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157D30FD-3529-4165-96E8-2F50EEC00F02}" xr6:coauthVersionLast="47" xr6:coauthVersionMax="47" xr10:uidLastSave="{D271CB36-FC13-4569-AB37-20BAF2E50EF2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3" l="1" a="1"/>
  <c r="A4" i="33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E23" i="33"/>
  <c r="F23" i="33"/>
  <c r="H23" i="33"/>
  <c r="I23" i="33" s="1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 s="1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 s="1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 s="1"/>
  <c r="H18" i="32"/>
  <c r="I18" i="32" s="1"/>
  <c r="E19" i="32"/>
  <c r="F19" i="32" s="1"/>
  <c r="H19" i="32"/>
  <c r="E20" i="32"/>
  <c r="F20" i="32" s="1"/>
  <c r="H20" i="32"/>
  <c r="I20" i="32" s="1"/>
  <c r="E21" i="32"/>
  <c r="F21" i="32" s="1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 s="1"/>
  <c r="E27" i="32"/>
  <c r="F27" i="32"/>
  <c r="H27" i="32"/>
  <c r="I27" i="32" s="1"/>
  <c r="E28" i="32"/>
  <c r="F28" i="32" s="1"/>
  <c r="H28" i="32"/>
  <c r="I28" i="32" s="1"/>
  <c r="E29" i="32"/>
  <c r="F29" i="32" s="1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 s="1"/>
  <c r="E34" i="32"/>
  <c r="F34" i="32" s="1"/>
  <c r="H34" i="32"/>
  <c r="I34" i="32" s="1"/>
  <c r="E35" i="32"/>
  <c r="F35" i="32" s="1"/>
  <c r="H35" i="32"/>
  <c r="I35" i="32" s="1"/>
  <c r="E36" i="32"/>
  <c r="F36" i="32" s="1"/>
  <c r="H36" i="32"/>
  <c r="I36" i="32" s="1"/>
  <c r="E37" i="32"/>
  <c r="F37" i="32" s="1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 s="1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9" i="34" l="1"/>
  <c r="E28" i="30"/>
  <c r="F28" i="30" s="1"/>
  <c r="C33" i="34"/>
  <c r="E8" i="30"/>
  <c r="F8" i="30" s="1"/>
  <c r="C24" i="34"/>
  <c r="E24" i="34" s="1"/>
  <c r="F24" i="34" s="1"/>
  <c r="C14" i="34"/>
  <c r="E23" i="29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E10" i="34" s="1"/>
  <c r="F10" i="34" s="1"/>
  <c r="I23" i="4"/>
  <c r="I25" i="1"/>
  <c r="H35" i="34"/>
  <c r="C36" i="34"/>
  <c r="E36" i="34" s="1"/>
  <c r="F36" i="34" s="1"/>
  <c r="C29" i="34"/>
  <c r="E29" i="34" s="1"/>
  <c r="F29" i="34" s="1"/>
  <c r="G31" i="34"/>
  <c r="G30" i="34"/>
  <c r="I34" i="1"/>
  <c r="E38" i="1"/>
  <c r="F38" i="1" s="1"/>
  <c r="E30" i="1"/>
  <c r="F30" i="1" s="1"/>
  <c r="E22" i="1"/>
  <c r="F22" i="1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G37" i="34"/>
  <c r="I36" i="72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<sst xmlns="http://schemas.openxmlformats.org/spreadsheetml/2006/main" count="1391" uniqueCount="242">
  <si>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</si>
  <si>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</si>
  <si>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</si>
  <si>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</si>
  <si>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</si>
  <si>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</si>
  <si>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</si>
  <si>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</si>
  <si>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</si>
  <si>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</si>
  <si>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</si>
  <si>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</si>
  <si>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</si>
  <si>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</si>
  <si>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</si>
  <si>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</si>
  <si>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</si>
  <si>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</si>
  <si>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</si>
  <si>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</si>
  <si>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</si>
  <si>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</si>
  <si>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</si>
  <si>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</si>
  <si>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</si>
  <si>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</si>
  <si>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</si>
  <si>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</si>
  <si>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</si>
  <si>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</si>
  <si>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</si>
  <si>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</si>
  <si>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</si>
  <si>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</si>
  <si>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</si>
  <si>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</si>
  <si>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</si>
  <si>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</si>
  <si>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</si>
  <si>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</si>
  <si>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</si>
  <si>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</si>
  <si>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</si>
  <si>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</si>
  <si>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</si>
  <si>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</si>
  <si>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</si>
  <si>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</si>
  <si>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</si>
  <si>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</si>
  <si>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</si>
  <si>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</si>
  <si>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</si>
  <si>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</si>
  <si>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</si>
  <si>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</si>
  <si>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</si>
  <si>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</si>
  <si>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</si>
  <si>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</si>
  <si>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</si>
  <si>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</si>
  <si>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</si>
  <si>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</si>
  <si>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</si>
  <si>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</si>
  <si>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</si>
  <si>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</si>
  <si>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</si>
  <si>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</si>
  <si>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</si>
  <si>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</si>
  <si>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</si>
  <si>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</si>
  <si>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</si>
  <si>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</si>
  <si>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</si>
  <si>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</si>
  <si>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</si>
  <si>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</si>
  <si>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</si>
  <si>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</si>
  <si>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</si>
  <si>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</si>
  <si>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</si>
  <si>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</si>
  <si>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</si>
  <si>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</si>
  <si>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</si>
  <si>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</si>
  <si>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</si>
  <si>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</si>
  <si>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</si>
  <si>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</si>
  <si>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</si>
  <si>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</si>
  <si>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</si>
  <si>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</si>
  <si>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</si>
  <si>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</si>
  <si>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</si>
  <si>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</si>
  <si>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</si>
  <si>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</si>
  <si>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</si>
  <si>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</si>
  <si>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</si>
  <si>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</si>
  <si>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</si>
  <si>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</si>
  <si>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</si>
  <si>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</si>
  <si>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</si>
  <si>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</si>
  <si>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</si>
  <si>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</si>
  <si>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</si>
  <si>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</si>
  <si>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</si>
  <si>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</si>
  <si>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</si>
  <si>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</si>
  <si>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</si>
  <si>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</si>
  <si>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</si>
  <si>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</si>
  <si>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</si>
  <si>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</si>
  <si>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</si>
  <si>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</si>
  <si>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</si>
  <si>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</si>
  <si>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</si>
  <si>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</si>
  <si>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1. 8 microinverters were offline and being RMA'd.</t>
  </si>
  <si>
    <t>1. Site gateway was not communicated from 07/04 to 06:45 on 08/09.</t>
  </si>
  <si>
    <t>1.12 microinverter were offline for whole month.</t>
  </si>
  <si>
    <t>1. 1 micro inverter was offline for whole month.</t>
  </si>
  <si>
    <t>1. 2 microinverters were offline for whole month and being RMA'd.</t>
  </si>
  <si>
    <t>1. SR106651</t>
  </si>
  <si>
    <t xml:space="preserve">1. 1 micro inverter was offline from 06/07 to 14:00 on 08/22. </t>
  </si>
  <si>
    <t>1. Site was offline from 07/18 to 15:45 on 08/15.</t>
  </si>
  <si>
    <t>1. SR104706</t>
  </si>
  <si>
    <t>September Actual v. Expected</t>
  </si>
  <si>
    <t>September Actual v. Forecasted</t>
  </si>
  <si>
    <t>-</t>
  </si>
  <si>
    <t>1. 8 microinverters are offline from 5/10/25 and "reporting AC Frequency Out of Range" and back online on 09/30.</t>
  </si>
  <si>
    <t>1. 12 microinverter were offline and are being RMA'd. They remained offline for the entire month.</t>
  </si>
  <si>
    <t>October Actual v. Expected</t>
  </si>
  <si>
    <t>October Actual v. Forecasted</t>
  </si>
  <si>
    <t>Status</t>
  </si>
  <si>
    <t>1. pending</t>
  </si>
  <si>
    <t>1. 1 micro inverter was offline on 05/28.25 and after replaceing a new microinverter is back online at 10/24.</t>
  </si>
  <si>
    <t>1. completed</t>
  </si>
  <si>
    <t>1. 2 microinverters were offline was back online at 10/02.</t>
  </si>
  <si>
    <t>1. Closed</t>
  </si>
  <si>
    <t>November Actual v. Expected</t>
  </si>
  <si>
    <t>November Actual v. Forecasted</t>
  </si>
  <si>
    <t>1. 8 microinverters are offline from 9/3/25. tech found that 8 microinverters were offline, and String BR 3 was offline due to an AC issue. Wires are needed for repairs.</t>
  </si>
  <si>
    <t>1.SR109951</t>
  </si>
  <si>
    <t>1.Pending</t>
  </si>
  <si>
    <t>December Actual v. Expected</t>
  </si>
  <si>
    <t>December Actual v. Forecasted</t>
  </si>
  <si>
    <t>1.	SR102087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</si>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</sst>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  <font>
      <sz val="11"/>
      <color rgb="FF000000"/>
      <name val="Aptos Narrow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40" borderId="12" xfId="43" applyFont="1" applyFill="1" applyBorder="1" applyAlignment="1">
      <alignment horizontal="left"/>
    </xf>
    <xf numFmtId="0" fontId="23" fillId="40" borderId="13" xfId="43" applyFont="1" applyFill="1" applyBorder="1"/>
    <xf numFmtId="0" fontId="36" fillId="40" borderId="13" xfId="0" applyFont="1" applyFill="1" applyBorder="1"/>
    <xf numFmtId="0" fontId="36" fillId="40" borderId="14" xfId="0" applyFont="1" applyFill="1" applyBorder="1"/>
    <xf numFmtId="0" fontId="23" fillId="0" borderId="12" xfId="43" applyFont="1" applyBorder="1" applyAlignment="1">
      <alignment horizontal="left"/>
    </xf>
    <xf numFmtId="0" fontId="23" fillId="0" borderId="13" xfId="43" applyFont="1" applyBorder="1"/>
    <xf numFmtId="0" fontId="36" fillId="0" borderId="13" xfId="0" applyFont="1" applyBorder="1"/>
    <xf numFmtId="0" fontId="36" fillId="0" borderId="14" xfId="0" applyFont="1" applyBorder="1"/>
    <xf numFmtId="0" fontId="23" fillId="0" borderId="15" xfId="43" applyFont="1" applyBorder="1" applyAlignment="1">
      <alignment horizontal="left"/>
    </xf>
    <xf numFmtId="0" fontId="23" fillId="0" borderId="16" xfId="43" applyFont="1" applyBorder="1"/>
    <xf numFmtId="0" fontId="36" fillId="40" borderId="16" xfId="0" applyFont="1" applyFill="1" applyBorder="1"/>
    <xf numFmtId="0" fontId="36" fillId="40" borderId="17" xfId="0" applyFont="1" applyFill="1" applyBorder="1"/>
    <xf numFmtId="49" fontId="28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 indent="1"/>
    </xf>
    <xf numFmtId="164" fontId="33" fillId="0" borderId="0" xfId="0" applyNumberFormat="1" applyFont="1"/>
    <xf numFmtId="164" fontId="0" fillId="0" borderId="0" xfId="0" applyNumberFormat="1"/>
    <xf numFmtId="49" fontId="29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3" fontId="31" fillId="4" borderId="0" xfId="1" applyNumberFormat="1" applyFont="1" applyFill="1" applyBorder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vertical="top" wrapText="1"/>
    </xf>
    <xf numFmtId="0" fontId="38" fillId="0" borderId="0" xfId="45" applyAlignment="1">
      <alignment vertical="top"/>
    </xf>
    <xf numFmtId="3" fontId="31" fillId="4" borderId="0" xfId="1" applyNumberFormat="1" applyFont="1" applyFill="1" applyBorder="1" applyAlignment="1">
      <alignment horizontal="right"/>
    </xf>
    <xf numFmtId="3" fontId="31" fillId="0" borderId="0" xfId="1" applyNumberFormat="1" applyFont="1" applyFill="1" applyBorder="1" applyAlignment="1">
      <alignment horizontal="right"/>
    </xf>
    <xf numFmtId="164" fontId="38" fillId="0" borderId="0" xfId="45" applyNumberFormat="1"/>
    <xf numFmtId="0" fontId="38" fillId="0" borderId="0" xfId="45"/>
    <xf numFmtId="49" fontId="38" fillId="0" borderId="0" xfId="45" applyNumberFormat="1" applyAlignment="1">
      <alignment vertical="center" wrapText="1"/>
    </xf>
    <xf numFmtId="164" fontId="29" fillId="0" borderId="0" xfId="1" applyNumberFormat="1" applyFont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 wrapText="1"/>
    </xf>
    <xf numFmtId="0" fontId="39" fillId="0" borderId="0" xfId="0" applyFont="1"/>
    <xf numFmtId="49" fontId="40" fillId="38" borderId="0" xfId="2" applyNumberFormat="1" applyFont="1" applyFill="1" applyBorder="1" applyAlignment="1">
      <alignment vertical="top" wrapText="1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45" borderId="1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vertical="top"/>
    </xf>
    <xf numFmtId="0" fontId="41" fillId="45" borderId="1" xfId="0" applyFont="1" applyFill="1" applyBorder="1" applyAlignment="1">
      <alignment horizontal="center" vertical="top"/>
    </xf>
    <xf numFmtId="1" fontId="39" fillId="0" borderId="0" xfId="0" applyNumberFormat="1" applyFont="1"/>
    <xf numFmtId="49" fontId="29" fillId="0" borderId="0" xfId="0" applyNumberFormat="1" applyFont="1" applyAlignment="1">
      <alignment vertical="top" wrapText="1"/>
    </xf>
    <xf numFmtId="49" fontId="31" fillId="38" borderId="0" xfId="2" applyNumberFormat="1" applyFont="1" applyFill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4706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639" TargetMode="External"/><Relationship Id="rId5" Type="http://schemas.openxmlformats.org/officeDocument/2006/relationships/hyperlink" Target="https://us3.assetplanner.com/service_request?ID=106651" TargetMode="External"/><Relationship Id="rId4" Type="http://schemas.openxmlformats.org/officeDocument/2006/relationships/hyperlink" Target="https://us3.assetplanner.com/service_request?ID=10208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9951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995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0</v>
      </c>
      <c r="E1" s="90"/>
      <c r="F1" s="90"/>
      <c r="G1" s="88" t="s">
        <v>1</v>
      </c>
      <c r="H1" s="88"/>
      <c r="I1" s="88"/>
    </row>
    <row r="2" spans="1:9" ht="19.5" customHeight="1">
      <c r="A2" s="91" t="s">
        <v>2</v>
      </c>
      <c r="B2" s="91"/>
      <c r="C2" s="5">
        <f>SUM(C4:C100)</f>
        <v>659372.82999999996</v>
      </c>
      <c r="D2" s="5">
        <f>SUM(D4:D100)</f>
        <v>0</v>
      </c>
      <c r="E2" s="5">
        <f>C2-D2</f>
        <v>659372.82999999996</v>
      </c>
      <c r="F2" s="6">
        <f>IFERROR(E2/D2, 0)</f>
        <v>0</v>
      </c>
      <c r="G2" s="5">
        <f>SUM(G4:G100)</f>
        <v>0</v>
      </c>
      <c r="H2" s="7">
        <f>C2-G2</f>
        <v>659372.82999999996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1039.1389999999999</v>
      </c>
      <c r="D6" s="13">
        <f>SUM(Jan!D6, Feb!D6, Mar!D6)</f>
        <v>0</v>
      </c>
      <c r="E6" s="13">
        <f t="shared" si="0"/>
        <v>1039.1389999999999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23298.531999999999</v>
      </c>
      <c r="D7" s="18">
        <f>SUM(Jan!D7, Feb!D7, Mar!D7)</f>
        <v>0</v>
      </c>
      <c r="E7" s="18">
        <f t="shared" si="0"/>
        <v>23298.531999999999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13837.738000000001</v>
      </c>
      <c r="D8" s="13">
        <f>SUM(Jan!D8, Feb!D8, Mar!D8)</f>
        <v>0</v>
      </c>
      <c r="E8" s="13">
        <f t="shared" si="0"/>
        <v>13837.738000000001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26080.072</v>
      </c>
      <c r="D9" s="18">
        <f>SUM(Jan!D9, Feb!D9, Mar!D9)</f>
        <v>0</v>
      </c>
      <c r="E9" s="18">
        <f t="shared" si="0"/>
        <v>26080.072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30693.788</v>
      </c>
      <c r="D10" s="13">
        <f>SUM(Jan!D10, Feb!D10, Mar!D10)</f>
        <v>0</v>
      </c>
      <c r="E10" s="13">
        <f t="shared" si="0"/>
        <v>30693.788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29992.521000000001</v>
      </c>
      <c r="D11" s="18">
        <f>SUM(Jan!D11, Feb!D11, Mar!D11)</f>
        <v>0</v>
      </c>
      <c r="E11" s="18">
        <f t="shared" si="0"/>
        <v>29992.521000000001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47415.660999999993</v>
      </c>
      <c r="D12" s="13">
        <f>SUM(Jan!D12, Feb!D12, Mar!D12)</f>
        <v>0</v>
      </c>
      <c r="E12" s="13">
        <f t="shared" si="0"/>
        <v>47415.660999999993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75247.226999999999</v>
      </c>
      <c r="D14" s="13">
        <f>SUM(Jan!D14, Feb!D14, Mar!D14)</f>
        <v>0</v>
      </c>
      <c r="E14" s="13">
        <f>IF(AND(ISNUMBER(C14),ISNUMBER(D14)), C14-D14, "")</f>
        <v>75247.226999999999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4371.1010000000006</v>
      </c>
      <c r="D15" s="18">
        <f>SUM(Jan!D15, Feb!D15, Mar!D15)</f>
        <v>0</v>
      </c>
      <c r="E15" s="18">
        <f>IF(AND(ISNUMBER(C15),ISNUMBER(D15)), C15-D15, "")</f>
        <v>4371.1010000000006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1147.7690000000002</v>
      </c>
      <c r="D16" s="13">
        <f>SUM(Jan!D16, Feb!D16, Mar!D16)</f>
        <v>0</v>
      </c>
      <c r="E16" s="13">
        <f t="shared" ref="E16:E17" si="3">IF(AND(ISNUMBER(C16),ISNUMBER(D16)), C16-D16, "")</f>
        <v>1147.7690000000002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16314.231</v>
      </c>
      <c r="D17" s="18">
        <f>SUM(Jan!D17, Feb!D17, Mar!D17)</f>
        <v>0</v>
      </c>
      <c r="E17" s="18">
        <f t="shared" si="3"/>
        <v>16314.231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21673.842999999997</v>
      </c>
      <c r="D19" s="18">
        <f>SUM(Jan!D19, Feb!D19, Mar!D19)</f>
        <v>0</v>
      </c>
      <c r="E19" s="18">
        <f t="shared" si="6"/>
        <v>21673.842999999997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26875.587</v>
      </c>
      <c r="D20" s="13">
        <f>SUM(Jan!D20, Feb!D20, Mar!D20)</f>
        <v>0</v>
      </c>
      <c r="E20" s="13">
        <f t="shared" si="6"/>
        <v>26875.587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20482.197999999997</v>
      </c>
      <c r="D21" s="18">
        <f>SUM(Jan!D21, Feb!D21, Mar!D21)</f>
        <v>0</v>
      </c>
      <c r="E21" s="18">
        <f t="shared" si="6"/>
        <v>20482.197999999997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27729.398000000001</v>
      </c>
      <c r="D22" s="13">
        <f>SUM(Jan!D22, Feb!D22, Mar!D22)</f>
        <v>0</v>
      </c>
      <c r="E22" s="13">
        <f t="shared" si="6"/>
        <v>27729.398000000001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12308.797</v>
      </c>
      <c r="D23" s="18">
        <f>SUM(Jan!D23, Feb!D23, Mar!D23)</f>
        <v>0</v>
      </c>
      <c r="E23" s="18">
        <f t="shared" si="6"/>
        <v>12308.797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32540.22</v>
      </c>
      <c r="D24" s="13">
        <f>SUM(Jan!D24, Feb!D24, Mar!D24)</f>
        <v>0</v>
      </c>
      <c r="E24" s="13">
        <f t="shared" si="6"/>
        <v>32540.22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15566.417000000001</v>
      </c>
      <c r="D25" s="18">
        <f>SUM(Jan!D25, Feb!D25, Mar!D25)</f>
        <v>0</v>
      </c>
      <c r="E25" s="18">
        <f t="shared" si="6"/>
        <v>15566.417000000001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29999.814999999999</v>
      </c>
      <c r="D26" s="13">
        <f>SUM(Jan!D26, Feb!D26, Mar!D26)</f>
        <v>0</v>
      </c>
      <c r="E26" s="13">
        <f t="shared" si="6"/>
        <v>29999.814999999999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15746.180999999999</v>
      </c>
      <c r="D27" s="18">
        <f>SUM(Jan!D27, Feb!D27, Mar!D27)</f>
        <v>0</v>
      </c>
      <c r="E27" s="18">
        <f t="shared" si="6"/>
        <v>15746.180999999999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13373.268</v>
      </c>
      <c r="D28" s="13">
        <f>SUM(Jan!D28, Feb!D28, Mar!D28)</f>
        <v>0</v>
      </c>
      <c r="E28" s="13">
        <f t="shared" si="6"/>
        <v>13373.268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18041.629000000001</v>
      </c>
      <c r="D29" s="18">
        <f>SUM(Jan!D29, Feb!D29, Mar!D29)</f>
        <v>0</v>
      </c>
      <c r="E29" s="18">
        <f t="shared" si="6"/>
        <v>18041.629000000001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27859.521000000001</v>
      </c>
      <c r="D30" s="13">
        <f>SUM(Jan!D30, Feb!D30, Mar!D30)</f>
        <v>0</v>
      </c>
      <c r="E30" s="13">
        <f t="shared" si="6"/>
        <v>27859.521000000001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28625.993000000002</v>
      </c>
      <c r="D31" s="18">
        <f>SUM(Jan!D31, Feb!D31, Mar!D31)</f>
        <v>0</v>
      </c>
      <c r="E31" s="18">
        <f t="shared" si="6"/>
        <v>28625.993000000002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9574.6830000000009</v>
      </c>
      <c r="D32" s="13">
        <f>SUM(Jan!D32, Feb!D32, Mar!D32)</f>
        <v>0</v>
      </c>
      <c r="E32" s="13">
        <f t="shared" si="6"/>
        <v>9574.6830000000009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28322.511000000002</v>
      </c>
      <c r="D33" s="18">
        <f>SUM(Jan!D33, Feb!D33, Mar!D33)</f>
        <v>0</v>
      </c>
      <c r="E33" s="18">
        <f t="shared" si="6"/>
        <v>28322.511000000002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23020.216</v>
      </c>
      <c r="D34" s="13">
        <f>SUM(Jan!D34, Feb!D34, Mar!D34)</f>
        <v>0</v>
      </c>
      <c r="E34" s="13">
        <f t="shared" si="6"/>
        <v>23020.216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532.67599999999993</v>
      </c>
      <c r="D35" s="18">
        <f>SUM(Jan!D35, Feb!D35, Mar!D35)</f>
        <v>0</v>
      </c>
      <c r="E35" s="18">
        <f t="shared" si="6"/>
        <v>532.67599999999993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34143.188000000002</v>
      </c>
      <c r="D37" s="18">
        <f>SUM(Jan!D37, Feb!D37, Mar!D37)</f>
        <v>0</v>
      </c>
      <c r="E37" s="18">
        <f t="shared" si="6"/>
        <v>34143.188000000002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3518.91</v>
      </c>
      <c r="D38" s="13">
        <f>SUM(Jan!D38, Feb!D38, Mar!D38)</f>
        <v>0</v>
      </c>
      <c r="E38" s="13">
        <f t="shared" si="6"/>
        <v>3518.91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10</v>
      </c>
      <c r="E1" s="90"/>
      <c r="F1" s="90"/>
      <c r="G1" s="88" t="s">
        <v>11</v>
      </c>
      <c r="H1" s="88"/>
      <c r="I1" s="88"/>
    </row>
    <row r="2" spans="1:9" ht="19.5" customHeight="1">
      <c r="A2" s="91" t="s">
        <v>2</v>
      </c>
      <c r="B2" s="91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12</v>
      </c>
      <c r="E1" s="90"/>
      <c r="F1" s="90"/>
      <c r="G1" s="88" t="s">
        <v>13</v>
      </c>
      <c r="H1" s="88"/>
      <c r="I1" s="88"/>
    </row>
    <row r="2" spans="1:9" ht="19.5" customHeight="1">
      <c r="A2" s="91" t="s">
        <v>2</v>
      </c>
      <c r="B2" s="91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14</v>
      </c>
      <c r="E1" s="90"/>
      <c r="F1" s="90"/>
      <c r="G1" s="88" t="s">
        <v>15</v>
      </c>
      <c r="H1" s="88"/>
      <c r="I1" s="88"/>
    </row>
    <row r="2" spans="1:9" ht="19.5" customHeight="1">
      <c r="A2" s="91" t="s">
        <v>2</v>
      </c>
      <c r="B2" s="91"/>
      <c r="C2" s="5">
        <f>SUM(C4:C100)</f>
        <v>175733.88999999996</v>
      </c>
      <c r="D2" s="5">
        <f>SUM(D4:D100)</f>
        <v>0</v>
      </c>
      <c r="E2" s="5">
        <f>C2-D2</f>
        <v>175733.88999999996</v>
      </c>
      <c r="F2" s="6">
        <f>IFERROR(E2/D2, 0)</f>
        <v>0</v>
      </c>
      <c r="G2" s="5">
        <f>SUM(G4:G100)</f>
        <v>0</v>
      </c>
      <c r="H2" s="7">
        <f>C2-G2</f>
        <v>175733.88999999996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297.83199999999999</v>
      </c>
      <c r="D6" s="13">
        <f>SUM(Jul!D6, Aug!D6, Sep!D6)</f>
        <v>0</v>
      </c>
      <c r="E6" s="13">
        <f t="shared" si="0"/>
        <v>297.83199999999999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6517.6639999999998</v>
      </c>
      <c r="D7" s="18">
        <f>SUM(Jul!D7, Aug!D7, Sep!D7)</f>
        <v>0</v>
      </c>
      <c r="E7" s="18">
        <f t="shared" si="0"/>
        <v>6517.6639999999998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4171.5219999999999</v>
      </c>
      <c r="D8" s="13">
        <f>SUM(Jul!D8, Aug!D8, Sep!D8)</f>
        <v>0</v>
      </c>
      <c r="E8" s="13">
        <f t="shared" si="0"/>
        <v>4171.5219999999999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3961.2649999999999</v>
      </c>
      <c r="D9" s="18">
        <f>SUM(Jul!D9, Aug!D9, Sep!D9)</f>
        <v>0</v>
      </c>
      <c r="E9" s="18">
        <f t="shared" si="0"/>
        <v>3961.2649999999999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8534.2179999999989</v>
      </c>
      <c r="D10" s="13">
        <f>SUM(Jul!D10, Aug!D10, Sep!D10)</f>
        <v>0</v>
      </c>
      <c r="E10" s="13">
        <f t="shared" si="0"/>
        <v>8534.2179999999989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8195.0930000000008</v>
      </c>
      <c r="D11" s="18">
        <f>SUM(Jul!D11, Aug!D11, Sep!D11)</f>
        <v>0</v>
      </c>
      <c r="E11" s="18">
        <f t="shared" si="0"/>
        <v>8195.0930000000008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13191.313999999998</v>
      </c>
      <c r="D12" s="13">
        <f>SUM(Jul!D12, Aug!D12, Sep!D12)</f>
        <v>0</v>
      </c>
      <c r="E12" s="13">
        <f t="shared" si="0"/>
        <v>13191.313999999998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20894.942999999999</v>
      </c>
      <c r="D14" s="13">
        <f>SUM(Jul!D14, Aug!D14, Sep!D14)</f>
        <v>0</v>
      </c>
      <c r="E14" s="13">
        <f t="shared" si="0"/>
        <v>20894.942999999999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258.26100000000002</v>
      </c>
      <c r="D15" s="18">
        <f>SUM(Jul!D15, Aug!D15, Sep!D15)</f>
        <v>0</v>
      </c>
      <c r="E15" s="18">
        <f t="shared" si="0"/>
        <v>258.26100000000002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192.042</v>
      </c>
      <c r="D16" s="13">
        <f>SUM(Jul!D16, Aug!D16, Sep!D16)</f>
        <v>0</v>
      </c>
      <c r="E16" s="13">
        <f t="shared" ref="E16:E19" si="3">IF(AND(ISNUMBER(C16),ISNUMBER(D16)), C16-D16, "")</f>
        <v>192.042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4803.0460000000003</v>
      </c>
      <c r="D17" s="18">
        <f>SUM(Jul!D17, Aug!D17, Sep!D17)</f>
        <v>0</v>
      </c>
      <c r="E17" s="18">
        <f t="shared" si="3"/>
        <v>4803.0460000000003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8586.6839999999993</v>
      </c>
      <c r="D19" s="18">
        <f>SUM(Jul!D19, Aug!D19, Sep!D19)</f>
        <v>0</v>
      </c>
      <c r="E19" s="18">
        <f t="shared" si="3"/>
        <v>8586.6839999999993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6351.5019999999995</v>
      </c>
      <c r="D20" s="13">
        <f>SUM(Jul!D20, Aug!D20, Sep!D20)</f>
        <v>0</v>
      </c>
      <c r="E20" s="13">
        <f t="shared" ref="E20:E38" si="6">IF(AND(ISNUMBER(C20),ISNUMBER(D20)), C20-D20, "")</f>
        <v>6351.5019999999995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5338.3409999999994</v>
      </c>
      <c r="D21" s="18">
        <f>SUM(Jul!D21, Aug!D21, Sep!D21)</f>
        <v>0</v>
      </c>
      <c r="E21" s="18">
        <f t="shared" si="6"/>
        <v>5338.3409999999994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8108.991</v>
      </c>
      <c r="D22" s="13">
        <f>SUM(Jul!D22, Aug!D22, Sep!D22)</f>
        <v>0</v>
      </c>
      <c r="E22" s="13">
        <f t="shared" si="6"/>
        <v>8108.991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3818.3180000000002</v>
      </c>
      <c r="D23" s="18">
        <f>SUM(Jul!D23, Aug!D23, Sep!D23)</f>
        <v>0</v>
      </c>
      <c r="E23" s="18">
        <f t="shared" si="6"/>
        <v>3818.3180000000002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7473.4479999999994</v>
      </c>
      <c r="D24" s="13">
        <f>SUM(Jul!D24, Aug!D24, Sep!D24)</f>
        <v>0</v>
      </c>
      <c r="E24" s="13">
        <f t="shared" si="6"/>
        <v>7473.4479999999994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5108.2070000000003</v>
      </c>
      <c r="D25" s="18">
        <f>SUM(Jul!D25, Aug!D25, Sep!D25)</f>
        <v>0</v>
      </c>
      <c r="E25" s="18">
        <f t="shared" si="6"/>
        <v>5108.2070000000003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7085.2509999999993</v>
      </c>
      <c r="D26" s="13">
        <f>SUM(Jul!D26, Aug!D26, Sep!D26)</f>
        <v>0</v>
      </c>
      <c r="E26" s="13">
        <f t="shared" si="6"/>
        <v>7085.2509999999993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4060.442</v>
      </c>
      <c r="D27" s="18">
        <f>SUM(Jul!D27, Aug!D27, Sep!D27)</f>
        <v>0</v>
      </c>
      <c r="E27" s="18">
        <f t="shared" si="6"/>
        <v>4060.442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3619.1770000000006</v>
      </c>
      <c r="D28" s="13">
        <f>SUM(Jul!D28, Aug!D28, Sep!D28)</f>
        <v>0</v>
      </c>
      <c r="E28" s="13">
        <f t="shared" si="6"/>
        <v>3619.1770000000006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4228.1860000000006</v>
      </c>
      <c r="D29" s="18">
        <f>SUM(Jul!D29, Aug!D29, Sep!D29)</f>
        <v>0</v>
      </c>
      <c r="E29" s="18">
        <f t="shared" si="6"/>
        <v>4228.1860000000006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8101.0040000000008</v>
      </c>
      <c r="D30" s="13">
        <f>SUM(Jul!D30, Aug!D30, Sep!D30)</f>
        <v>0</v>
      </c>
      <c r="E30" s="13">
        <f t="shared" si="6"/>
        <v>8101.0040000000008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8995.0580000000009</v>
      </c>
      <c r="D31" s="18">
        <f>SUM(Jul!D31, Aug!D31, Sep!D31)</f>
        <v>0</v>
      </c>
      <c r="E31" s="18">
        <f t="shared" si="6"/>
        <v>8995.0580000000009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1699.7779999999998</v>
      </c>
      <c r="D32" s="13">
        <f>SUM(Jul!D32, Aug!D32, Sep!D32)</f>
        <v>0</v>
      </c>
      <c r="E32" s="13">
        <f t="shared" si="6"/>
        <v>1699.7779999999998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7322.4620000000004</v>
      </c>
      <c r="D33" s="18">
        <f>SUM(Jul!D33, Aug!D33, Sep!D33)</f>
        <v>0</v>
      </c>
      <c r="E33" s="18">
        <f t="shared" si="6"/>
        <v>7322.4620000000004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6014.8829999999998</v>
      </c>
      <c r="D34" s="13">
        <f>SUM(Jul!D34, Aug!D34, Sep!D34)</f>
        <v>0</v>
      </c>
      <c r="E34" s="13">
        <f t="shared" si="6"/>
        <v>6014.8829999999998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130.45499999999998</v>
      </c>
      <c r="D35" s="18">
        <f>SUM(Jul!D35, Aug!D35, Sep!D35)</f>
        <v>0</v>
      </c>
      <c r="E35" s="18">
        <f t="shared" si="6"/>
        <v>130.45499999999998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8144.08</v>
      </c>
      <c r="D37" s="18">
        <f>SUM(Jul!D37, Aug!D37, Sep!D37)</f>
        <v>0</v>
      </c>
      <c r="E37" s="18">
        <f t="shared" si="6"/>
        <v>8144.08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530.423</v>
      </c>
      <c r="D38" s="13">
        <f>SUM(Jul!D38, Aug!D38, Sep!D38)</f>
        <v>0</v>
      </c>
      <c r="E38" s="13">
        <f t="shared" si="6"/>
        <v>530.423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16</v>
      </c>
      <c r="E1" s="90"/>
      <c r="F1" s="90"/>
      <c r="G1" s="88" t="s">
        <v>17</v>
      </c>
      <c r="H1" s="88"/>
      <c r="I1" s="88"/>
    </row>
    <row r="2" spans="1:9" ht="19.5" customHeight="1">
      <c r="A2" s="91" t="s">
        <v>2</v>
      </c>
      <c r="B2" s="91"/>
      <c r="C2" s="5">
        <f>SUM(C4:C100)</f>
        <v>180670.6</v>
      </c>
      <c r="D2" s="5">
        <f>SUM(D4:D100)</f>
        <v>0</v>
      </c>
      <c r="E2" s="5">
        <f>C2-D2</f>
        <v>180670.6</v>
      </c>
      <c r="F2" s="6">
        <f>IFERROR(E2/D2, 0)</f>
        <v>0</v>
      </c>
      <c r="G2" s="5">
        <f>SUM(G4:G100)</f>
        <v>0</v>
      </c>
      <c r="H2" s="7">
        <f>C2-G2</f>
        <v>180670.6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178.381</v>
      </c>
      <c r="D6" s="13">
        <f>SUM(Oct!D6, Nov!D6, Dec!D6)</f>
        <v>0</v>
      </c>
      <c r="E6" s="13">
        <f t="shared" si="0"/>
        <v>178.381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4639.18</v>
      </c>
      <c r="D7" s="18">
        <f>SUM(Oct!D7, Nov!D7, Dec!D7)</f>
        <v>0</v>
      </c>
      <c r="E7" s="18">
        <f t="shared" si="0"/>
        <v>4639.18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2847.5740000000001</v>
      </c>
      <c r="D8" s="13">
        <f>SUM(Oct!D8, Nov!D8, Dec!D8)</f>
        <v>0</v>
      </c>
      <c r="E8" s="13">
        <f t="shared" si="0"/>
        <v>2847.5740000000001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12160.58</v>
      </c>
      <c r="D9" s="18">
        <f>SUM(Oct!D9, Nov!D9, Dec!D9)</f>
        <v>0</v>
      </c>
      <c r="E9" s="18">
        <f t="shared" si="0"/>
        <v>12160.58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6441.72</v>
      </c>
      <c r="D10" s="13">
        <f>SUM(Oct!D10, Nov!D10, Dec!D10)</f>
        <v>0</v>
      </c>
      <c r="E10" s="13">
        <f t="shared" si="0"/>
        <v>6441.72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5957.9529999999995</v>
      </c>
      <c r="D11" s="18">
        <f>SUM(Oct!D11, Nov!D11, Dec!D11)</f>
        <v>0</v>
      </c>
      <c r="E11" s="18">
        <f t="shared" si="0"/>
        <v>5957.9529999999995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8425.3529999999992</v>
      </c>
      <c r="D12" s="13">
        <f>SUM(Oct!D12, Nov!D12, Dec!D12)</f>
        <v>0</v>
      </c>
      <c r="E12" s="13">
        <f t="shared" si="0"/>
        <v>8425.3529999999992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17022</v>
      </c>
      <c r="D14" s="13">
        <f>SUM(Oct!D14, Nov!D14, Dec!D14)</f>
        <v>0</v>
      </c>
      <c r="E14" s="13">
        <f t="shared" si="0"/>
        <v>17022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3656.71</v>
      </c>
      <c r="D15" s="18">
        <f>SUM(Oct!D15, Nov!D15, Dec!D15)</f>
        <v>0</v>
      </c>
      <c r="E15" s="18">
        <f t="shared" si="0"/>
        <v>3656.71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242.43299999999999</v>
      </c>
      <c r="D16" s="13">
        <f>SUM(Oct!D16, Nov!D16, Dec!D16)</f>
        <v>0</v>
      </c>
      <c r="E16" s="13">
        <f t="shared" ref="E16:E17" si="3">IF(AND(ISNUMBER(C16),ISNUMBER(D16)), C16-D16, "")</f>
        <v>242.43299999999999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1310.049</v>
      </c>
      <c r="D17" s="18">
        <f>SUM(Oct!D17, Nov!D17, Dec!D17)</f>
        <v>0</v>
      </c>
      <c r="E17" s="18">
        <f t="shared" si="3"/>
        <v>1310.049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6734.0659999999998</v>
      </c>
      <c r="D19" s="18">
        <f>SUM(Oct!D19, Nov!D19, Dec!D19)</f>
        <v>0</v>
      </c>
      <c r="E19" s="18">
        <f t="shared" si="6"/>
        <v>6734.0659999999998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6119.3850000000002</v>
      </c>
      <c r="D20" s="13">
        <f>SUM(Oct!D20, Nov!D20, Dec!D20)</f>
        <v>0</v>
      </c>
      <c r="E20" s="13">
        <f t="shared" si="6"/>
        <v>6119.3850000000002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7061.26</v>
      </c>
      <c r="D21" s="18">
        <f>SUM(Oct!D21, Nov!D21, Dec!D21)</f>
        <v>0</v>
      </c>
      <c r="E21" s="18">
        <f t="shared" si="6"/>
        <v>7061.26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5233.2939999999999</v>
      </c>
      <c r="D22" s="13">
        <f>SUM(Oct!D22, Nov!D22, Dec!D22)</f>
        <v>0</v>
      </c>
      <c r="E22" s="13">
        <f t="shared" si="6"/>
        <v>5233.2939999999999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1824.4659999999999</v>
      </c>
      <c r="D23" s="18">
        <f>SUM(Oct!D23, Nov!D23, Dec!D23)</f>
        <v>0</v>
      </c>
      <c r="E23" s="18">
        <f t="shared" si="6"/>
        <v>1824.4659999999999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13082.023000000001</v>
      </c>
      <c r="D24" s="13">
        <f>SUM(Oct!D24, Nov!D24, Dec!D24)</f>
        <v>0</v>
      </c>
      <c r="E24" s="13">
        <f t="shared" si="6"/>
        <v>13082.023000000001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2639.2709999999997</v>
      </c>
      <c r="D25" s="18">
        <f>SUM(Oct!D25, Nov!D25, Dec!D25)</f>
        <v>0</v>
      </c>
      <c r="E25" s="18">
        <f t="shared" si="6"/>
        <v>2639.2709999999997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11528.868999999999</v>
      </c>
      <c r="D26" s="13">
        <f>SUM(Oct!D26, Nov!D26, Dec!D26)</f>
        <v>0</v>
      </c>
      <c r="E26" s="13">
        <f t="shared" si="6"/>
        <v>11528.868999999999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5189.5779999999995</v>
      </c>
      <c r="D27" s="18">
        <f>SUM(Oct!D27, Nov!D27, Dec!D27)</f>
        <v>0</v>
      </c>
      <c r="E27" s="18">
        <f t="shared" si="6"/>
        <v>5189.5779999999995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5121.7479999999996</v>
      </c>
      <c r="D28" s="13">
        <f>SUM(Oct!D28, Nov!D28, Dec!D28)</f>
        <v>0</v>
      </c>
      <c r="E28" s="13">
        <f t="shared" si="6"/>
        <v>5121.7479999999996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6790.2550000000001</v>
      </c>
      <c r="D29" s="18">
        <f>SUM(Oct!D29, Nov!D29, Dec!D29)</f>
        <v>0</v>
      </c>
      <c r="E29" s="18">
        <f t="shared" si="6"/>
        <v>6790.2550000000001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7714.8159999999998</v>
      </c>
      <c r="D30" s="13">
        <f>SUM(Oct!D30, Nov!D30, Dec!D30)</f>
        <v>0</v>
      </c>
      <c r="E30" s="13">
        <f t="shared" si="6"/>
        <v>7714.8159999999998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6408.04</v>
      </c>
      <c r="D31" s="18">
        <f>SUM(Oct!D31, Nov!D31, Dec!D31)</f>
        <v>0</v>
      </c>
      <c r="E31" s="18">
        <f t="shared" si="6"/>
        <v>6408.04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876.44900000000007</v>
      </c>
      <c r="D32" s="13">
        <f>SUM(Oct!D32, Nov!D32, Dec!D32)</f>
        <v>0</v>
      </c>
      <c r="E32" s="13">
        <f t="shared" si="6"/>
        <v>876.44900000000007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10095.361000000001</v>
      </c>
      <c r="D33" s="18">
        <f>SUM(Oct!D33, Nov!D33, Dec!D33)</f>
        <v>0</v>
      </c>
      <c r="E33" s="18">
        <f t="shared" si="6"/>
        <v>10095.361000000001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8438.8220000000001</v>
      </c>
      <c r="D34" s="13">
        <f>SUM(Oct!D34, Nov!D34, Dec!D34)</f>
        <v>0</v>
      </c>
      <c r="E34" s="13">
        <f t="shared" si="6"/>
        <v>8438.8220000000001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98.373999999999995</v>
      </c>
      <c r="D35" s="18">
        <f>SUM(Oct!D35, Nov!D35, Dec!D35)</f>
        <v>0</v>
      </c>
      <c r="E35" s="18">
        <f t="shared" si="6"/>
        <v>98.373999999999995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12690.455</v>
      </c>
      <c r="D37" s="18">
        <f>SUM(Oct!D37, Nov!D37, Dec!D37)</f>
        <v>0</v>
      </c>
      <c r="E37" s="18">
        <f t="shared" si="6"/>
        <v>12690.455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142.13499999999999</v>
      </c>
      <c r="D38" s="13">
        <f>SUM(Oct!D38, Nov!D38, Dec!D38)</f>
        <v>0</v>
      </c>
      <c r="E38" s="13">
        <f t="shared" si="6"/>
        <v>142.13499999999999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18</v>
      </c>
      <c r="E1" s="90"/>
      <c r="F1" s="90"/>
      <c r="G1" s="88" t="s">
        <v>19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1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bottomRight" activeCell="C16" sqref="C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48</v>
      </c>
      <c r="E1" s="90"/>
      <c r="F1" s="90"/>
      <c r="G1" s="88" t="s">
        <v>49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bottomRight" activeCell="K34" sqref="K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64</v>
      </c>
      <c r="E1" s="90"/>
      <c r="F1" s="90"/>
      <c r="G1" s="88" t="s">
        <v>65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bottomRight" activeCell="P25" sqref="P2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72</v>
      </c>
      <c r="E1" s="90"/>
      <c r="F1" s="90"/>
      <c r="G1" s="88" t="s">
        <v>73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9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9" t="str" cm="1">
        <f t="array" ref="A1">portfolio</f>
        <v>Cushman &amp; Wakefield</v>
      </c>
      <c r="B1" s="89"/>
      <c r="C1" s="89"/>
      <c r="D1" s="90" t="s">
        <v>81</v>
      </c>
      <c r="E1" s="90"/>
      <c r="F1" s="90"/>
      <c r="G1" s="88" t="s">
        <v>82</v>
      </c>
      <c r="H1" s="88"/>
      <c r="I1" s="88"/>
      <c r="J1" s="4"/>
      <c r="K1" s="4"/>
    </row>
    <row r="2" spans="1:13" ht="19.5" customHeight="1">
      <c r="A2" s="91" t="s">
        <v>2</v>
      </c>
      <c r="B2" s="91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9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9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1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bottomRight" activeCell="F38" sqref="F3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100</v>
      </c>
      <c r="E1" s="90"/>
      <c r="F1" s="90"/>
      <c r="G1" s="88" t="s">
        <v>101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5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9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23" activePane="bottomRight" state="frozen"/>
      <selection pane="bottomRight" activeCell="O18" sqref="O1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115</v>
      </c>
      <c r="E1" s="90"/>
      <c r="F1" s="90"/>
      <c r="G1" s="88" t="s">
        <v>116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9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6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6.45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6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6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6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6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9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6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3.15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6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9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6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9" activePane="bottomRight" state="frozen"/>
      <selection pane="bottomRight" activeCell="K15" sqref="K15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132</v>
      </c>
      <c r="E1" s="90"/>
      <c r="F1" s="90"/>
      <c r="G1" s="88" t="s">
        <v>133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60444.871999999996</v>
      </c>
      <c r="D2" s="5">
        <f>SUM(D4:D100)</f>
        <v>0</v>
      </c>
      <c r="E2" s="5">
        <f>C2-D2</f>
        <v>60444.871999999996</v>
      </c>
      <c r="F2" s="6">
        <f>IFERROR(E2/D2, 0)</f>
        <v>0</v>
      </c>
      <c r="G2" s="5">
        <f>SUM(G4:G100)</f>
        <v>0</v>
      </c>
      <c r="H2" s="7">
        <f>C2-G2</f>
        <v>60444.871999999996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96.075999999999993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15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2321.9209999999998</v>
      </c>
      <c r="D7" s="18" t="s">
        <v>22</v>
      </c>
      <c r="E7" s="18" t="str">
        <f t="shared" si="0"/>
        <v/>
      </c>
      <c r="F7" s="19" t="str">
        <f t="shared" si="3"/>
        <v/>
      </c>
      <c r="G7" s="20" t="s">
        <v>22</v>
      </c>
      <c r="H7" s="20" t="str">
        <f t="shared" si="1"/>
        <v/>
      </c>
      <c r="I7" s="19" t="str">
        <f t="shared" si="2"/>
        <v/>
      </c>
      <c r="J7" t="s">
        <v>134</v>
      </c>
      <c r="K7" s="74" t="s">
        <v>103</v>
      </c>
    </row>
    <row r="8" spans="1:11" ht="15.6">
      <c r="A8" s="28" t="str">
        <v xml:space="preserve"> Chula Vista - Bank of America</v>
      </c>
      <c r="B8" s="29" t="str">
        <v>CA</v>
      </c>
      <c r="C8" s="24">
        <v>1411.3869999999999</v>
      </c>
      <c r="D8" s="13" t="s">
        <v>22</v>
      </c>
      <c r="E8" s="13" t="str">
        <f t="shared" si="0"/>
        <v/>
      </c>
      <c r="F8" s="14" t="str">
        <f t="shared" si="3"/>
        <v/>
      </c>
      <c r="G8" s="15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1756.9970000000001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20" t="s">
        <v>22</v>
      </c>
      <c r="H9" s="20" t="str">
        <f t="shared" si="1"/>
        <v/>
      </c>
      <c r="I9" s="19" t="str">
        <f t="shared" si="2"/>
        <v/>
      </c>
      <c r="J9" s="42" t="s">
        <v>135</v>
      </c>
      <c r="K9" s="74" t="s">
        <v>119</v>
      </c>
    </row>
    <row r="10" spans="1:11" ht="15.6">
      <c r="A10" s="28" t="str">
        <v xml:space="preserve"> Diamond Bar - Bank of America</v>
      </c>
      <c r="B10" s="29" t="str">
        <v>CA</v>
      </c>
      <c r="C10" s="24">
        <v>3100.4879999999998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15" t="s">
        <v>22</v>
      </c>
      <c r="H10" s="15" t="str">
        <f t="shared" si="1"/>
        <v/>
      </c>
      <c r="I10" s="16" t="str">
        <f t="shared" si="2"/>
        <v/>
      </c>
      <c r="J10" s="41" t="s">
        <v>136</v>
      </c>
      <c r="K10" s="65" t="s">
        <v>105</v>
      </c>
    </row>
    <row r="11" spans="1:11" ht="15.6">
      <c r="A11" s="30" t="str">
        <v xml:space="preserve"> El Centro - Bank of America</v>
      </c>
      <c r="B11" s="31" t="str">
        <v>CA</v>
      </c>
      <c r="C11" s="11">
        <v>2645.9549999999999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2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4216.3990000000003</v>
      </c>
      <c r="D12" s="13" t="s">
        <v>22</v>
      </c>
      <c r="E12" s="13" t="str">
        <f t="shared" si="0"/>
        <v/>
      </c>
      <c r="F12" s="14" t="str">
        <f t="shared" si="3"/>
        <v/>
      </c>
      <c r="G12" s="15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2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7155.8919999999998</v>
      </c>
      <c r="D14" s="13" t="s">
        <v>22</v>
      </c>
      <c r="E14" s="13" t="str">
        <f t="shared" si="0"/>
        <v/>
      </c>
      <c r="F14" s="14" t="str">
        <f t="shared" si="3"/>
        <v/>
      </c>
      <c r="G14" s="15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74.347999999999999</v>
      </c>
      <c r="D15" s="18" t="s">
        <v>22</v>
      </c>
      <c r="E15" s="18" t="str">
        <f t="shared" si="0"/>
        <v/>
      </c>
      <c r="F15" s="19" t="str">
        <f t="shared" si="3"/>
        <v/>
      </c>
      <c r="G15" s="20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>
      <c r="A16" s="28" t="str">
        <v xml:space="preserve"> San Diego - Bank of America</v>
      </c>
      <c r="B16" s="29" t="str">
        <v>CA</v>
      </c>
      <c r="C16" s="24">
        <v>67.215000000000003</v>
      </c>
      <c r="D16" s="13" t="s">
        <v>22</v>
      </c>
      <c r="E16" s="13" t="str">
        <f t="shared" si="0"/>
        <v/>
      </c>
      <c r="F16" s="14" t="str">
        <f t="shared" si="3"/>
        <v/>
      </c>
      <c r="G16" s="15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1551.0229999999999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2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1304.6880000000001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3807.8649999999998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1807.4069999999999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2773.904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41" t="s">
        <v>140</v>
      </c>
      <c r="K22" s="65" t="s">
        <v>110</v>
      </c>
    </row>
    <row r="23" spans="1:11" ht="15.6">
      <c r="A23" s="30" t="str">
        <v xml:space="preserve"> Denver - BA - 49th Ave</v>
      </c>
      <c r="B23" s="31" t="str">
        <v>CO</v>
      </c>
      <c r="C23" s="11">
        <v>1310.952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2527.152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1692.749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2434.6379999999999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1384.0509999999999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1230.202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1438.414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2875.538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3155.116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550.04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2633.7190000000001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2144.5279999999998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34.207999999999998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42" t="s">
        <v>141</v>
      </c>
      <c r="K35" s="74" t="s">
        <v>142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2757.2840000000001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184.71600000000001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7" r:id="rId1" display="https://us3.assetplanner.com/service_request?ID=101589" xr:uid="{B48F7F95-C52D-4479-8669-9E88C8DAD106}"/>
    <hyperlink ref="K9" r:id="rId2" display="https://us3.assetplanner.com/service_request?ID=104091" xr:uid="{E2B64405-FD0C-491A-BEE3-1E74BB765D7E}"/>
    <hyperlink ref="K10" r:id="rId3" display="https://us3.assetplanner.com/service_request?ID=102087" xr:uid="{ACD4BF58-D50D-4D47-88DA-58A44892BD89}"/>
    <hyperlink ref="K12" r:id="rId4" display="https://us3.assetplanner.com/service_request?ID=102088" xr:uid="{2C7D60B8-7DC7-4381-8162-6C6D5CA01CE3}"/>
    <hyperlink ref="K15" r:id="rId5" display="https://us3.assetplanner.com/service_request?ID=106651" xr:uid="{5DB77936-4969-4177-BF7E-AAF8A3C719DB}"/>
    <hyperlink ref="K22" r:id="rId6" display="https://us3.assetplanner.com/service_request?ID=102639" xr:uid="{0609D6B7-38FC-49E7-9DC6-3553E905EC1B}"/>
    <hyperlink ref="K35" r:id="rId7" display="https://us3.assetplanner.com/service_request?ID=104706" xr:uid="{863ED903-3D4B-4B73-84D3-3F8AB2520DB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D18" activePane="bottomRight" state="frozen"/>
      <selection pane="bottomRight" activeCell="A4" sqref="A4:A3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143</v>
      </c>
      <c r="E1" s="90"/>
      <c r="F1" s="90"/>
      <c r="G1" s="88" t="s">
        <v>144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50964.799000000006</v>
      </c>
      <c r="D2" s="5">
        <f>SUM(D4:D100)</f>
        <v>0</v>
      </c>
      <c r="E2" s="5">
        <f>C2-D2</f>
        <v>50964.799000000006</v>
      </c>
      <c r="F2" s="6">
        <f>IFERROR(E2/D2, 0)</f>
        <v>0</v>
      </c>
      <c r="G2" s="5">
        <f>SUM(G4:G100)</f>
        <v>0</v>
      </c>
      <c r="H2" s="7">
        <f>C2-G2</f>
        <v>50964.799000000006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 t="s">
        <v>145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 t="s">
        <v>145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86.896000000000001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9">
      <c r="A7" s="30" t="str">
        <v xml:space="preserve"> Bell - Bank of America</v>
      </c>
      <c r="B7" s="31" t="str">
        <v>CA</v>
      </c>
      <c r="C7" s="11">
        <v>1833.7809999999999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146</v>
      </c>
      <c r="K7" s="74" t="s">
        <v>103</v>
      </c>
    </row>
    <row r="8" spans="1:11" ht="15.6">
      <c r="A8" s="28" t="str">
        <v xml:space="preserve"> Chula Vista - Bank of America</v>
      </c>
      <c r="B8" s="29" t="str">
        <v>CA</v>
      </c>
      <c r="C8" s="24">
        <v>1244.0150000000001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1930.9659999999999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28.9">
      <c r="A10" s="28" t="str">
        <v xml:space="preserve"> Diamond Bar - Bank of America</v>
      </c>
      <c r="B10" s="29" t="str">
        <v>CA</v>
      </c>
      <c r="C10" s="24">
        <v>1998.9829999999999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105</v>
      </c>
    </row>
    <row r="11" spans="1:11" ht="15.6">
      <c r="A11" s="30" t="str">
        <v xml:space="preserve"> El Centro - Bank of America</v>
      </c>
      <c r="B11" s="31" t="str">
        <v>CA</v>
      </c>
      <c r="C11" s="11">
        <v>2559.634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3507.674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>
      <c r="A13" s="30" t="str">
        <v xml:space="preserve"> Redlands - Bank of America</v>
      </c>
      <c r="B13" s="31" t="str">
        <v>CA</v>
      </c>
      <c r="C13" s="11" t="s">
        <v>145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5574.2920000000004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64.793000000000006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>
      <c r="A16" s="28" t="str">
        <v xml:space="preserve"> San Diego - Bank of America</v>
      </c>
      <c r="B16" s="29" t="str">
        <v>CA</v>
      </c>
      <c r="C16" s="24">
        <v>48.875999999999998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870.35900000000004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 t="s">
        <v>145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3285.0459999999998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1124.7850000000001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1565.2929999999999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2527.7950000000001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1137.9369999999999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2255.04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1488.6849999999999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2091.29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1188.614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>
        <v>1047.1400000000001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1251.3810000000001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>
        <v>2475.11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2827.2449999999999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>
        <v>468.4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2253.683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>
        <v>1751.329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54.73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 t="s">
        <v>145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2319.4920000000002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131.535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7" r:id="rId1" display="https://us3.assetplanner.com/service_request?ID=101589" xr:uid="{42E7B9A1-0F68-4CCD-AFF5-58C18FFC7788}"/>
    <hyperlink ref="K10" r:id="rId2" display="https://us3.assetplanner.com/service_request?ID=102087" xr:uid="{04A15CE5-9D5C-42C1-80CE-0D005368B0CC}"/>
    <hyperlink ref="K12" r:id="rId3" display="https://us3.assetplanner.com/service_request?ID=102088" xr:uid="{4E9F6E6E-B37F-4DF2-BD33-9B89FDCCACCE}"/>
    <hyperlink ref="K15" r:id="rId4" display="https://us3.assetplanner.com/service_request?ID=106651" xr:uid="{A8924104-634F-481D-B915-9676AB66CD1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zoomScale="70" zoomScaleNormal="70" workbookViewId="0">
      <pane xSplit="2" ySplit="3" topLeftCell="C13" activePane="bottomRight" state="frozen"/>
      <selection pane="bottomRight" activeCell="C13" sqref="C13"/>
      <selection pane="bottomLeft" activeCell="P19" sqref="P19:P20"/>
      <selection pane="topRight" activeCell="P19" sqref="P19:P20"/>
    </sheetView>
  </sheetViews>
  <sheetFormatPr defaultRowHeight="14.4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82" customWidth="1"/>
    <col min="11" max="11" width="20.5703125" style="82" bestFit="1" customWidth="1"/>
    <col min="12" max="12" width="13.28515625" style="83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148</v>
      </c>
      <c r="E1" s="90"/>
      <c r="F1" s="90"/>
      <c r="G1" s="88" t="s">
        <v>149</v>
      </c>
      <c r="H1" s="88"/>
      <c r="I1" s="88"/>
      <c r="J1" s="79"/>
      <c r="K1" s="79"/>
    </row>
    <row r="2" spans="1:12" ht="19.5" customHeight="1">
      <c r="A2" s="91" t="s">
        <v>2</v>
      </c>
      <c r="B2" s="91"/>
      <c r="C2" s="5">
        <f>SUM(C4:C100)</f>
        <v>44810.317999999992</v>
      </c>
      <c r="D2" s="5">
        <f>SUM(D4:D100)</f>
        <v>0</v>
      </c>
      <c r="E2" s="5">
        <f>C2-D2</f>
        <v>44810.317999999992</v>
      </c>
      <c r="F2" s="6">
        <f>IFERROR(E2/D2, 0)</f>
        <v>0</v>
      </c>
      <c r="G2" s="5">
        <f>SUM(G4:G100)</f>
        <v>0</v>
      </c>
      <c r="H2" s="7">
        <f>C2-G2</f>
        <v>44810.317999999992</v>
      </c>
      <c r="I2" s="6">
        <f>IFERROR(H2/G2, 0)</f>
        <v>0</v>
      </c>
      <c r="J2" s="8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79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81" t="s">
        <v>20</v>
      </c>
      <c r="K3" s="81" t="s">
        <v>21</v>
      </c>
      <c r="L3" s="84" t="s">
        <v>150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78"/>
      <c r="K4" s="78"/>
      <c r="L4" s="78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>IF(AND(ISNUMBER(C5),ISNUMBER(G5)), C5-G5, "")</f>
        <v/>
      </c>
      <c r="I5" s="19" t="str">
        <f>IFERROR(H5/G5, "")</f>
        <v/>
      </c>
      <c r="J5" s="92"/>
      <c r="K5" s="92"/>
      <c r="L5" s="92"/>
    </row>
    <row r="6" spans="1:12" ht="15.6">
      <c r="A6" s="28" t="str">
        <v xml:space="preserve"> Arvin - Bank of America</v>
      </c>
      <c r="B6" s="29" t="str">
        <v>CA</v>
      </c>
      <c r="C6" s="24">
        <v>91.257000000000005</v>
      </c>
      <c r="D6" s="13" t="s">
        <v>22</v>
      </c>
      <c r="E6" s="13" t="str">
        <f t="shared" si="0"/>
        <v/>
      </c>
      <c r="F6" s="14" t="str">
        <f t="shared" ref="F6:F17" si="1">IFERROR(E6/D6, "")</f>
        <v/>
      </c>
      <c r="G6" s="15" t="s">
        <v>22</v>
      </c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78"/>
      <c r="K6" s="78"/>
      <c r="L6" s="78"/>
    </row>
    <row r="7" spans="1:12" ht="28.9">
      <c r="A7" s="30" t="str">
        <v xml:space="preserve"> Bell - Bank of America</v>
      </c>
      <c r="B7" s="31" t="str">
        <v>CA</v>
      </c>
      <c r="C7" s="75">
        <v>1855.64</v>
      </c>
      <c r="D7" s="18" t="s">
        <v>22</v>
      </c>
      <c r="E7" s="18" t="str">
        <f t="shared" si="0"/>
        <v/>
      </c>
      <c r="F7" s="19" t="str">
        <f t="shared" si="1"/>
        <v/>
      </c>
      <c r="G7" s="20" t="s">
        <v>22</v>
      </c>
      <c r="H7" s="20" t="str">
        <f t="shared" si="2"/>
        <v/>
      </c>
      <c r="I7" s="19" t="str">
        <f t="shared" si="3"/>
        <v/>
      </c>
      <c r="J7" s="92" t="s">
        <v>146</v>
      </c>
      <c r="K7" s="68" t="s">
        <v>103</v>
      </c>
      <c r="L7" s="92" t="s">
        <v>151</v>
      </c>
    </row>
    <row r="8" spans="1:12" ht="15.6">
      <c r="A8" s="28" t="str">
        <v xml:space="preserve"> Chula Vista - Bank of America</v>
      </c>
      <c r="B8" s="29" t="str">
        <v>CA</v>
      </c>
      <c r="C8" s="76">
        <v>1208.6849999999999</v>
      </c>
      <c r="D8" s="13" t="s">
        <v>22</v>
      </c>
      <c r="E8" s="13" t="str">
        <f t="shared" si="0"/>
        <v/>
      </c>
      <c r="F8" s="14" t="str">
        <f t="shared" si="1"/>
        <v/>
      </c>
      <c r="G8" s="15" t="s">
        <v>22</v>
      </c>
      <c r="H8" s="15" t="str">
        <f t="shared" si="2"/>
        <v/>
      </c>
      <c r="I8" s="16" t="str">
        <f t="shared" si="3"/>
        <v/>
      </c>
      <c r="J8" s="78"/>
      <c r="K8" s="78"/>
      <c r="L8" s="78"/>
    </row>
    <row r="9" spans="1:12" ht="15.6">
      <c r="A9" s="30" t="str">
        <v xml:space="preserve"> Cupertino - Bank of America</v>
      </c>
      <c r="B9" s="31" t="str">
        <v>CA</v>
      </c>
      <c r="C9" s="11">
        <v>1668.414</v>
      </c>
      <c r="D9" s="18" t="s">
        <v>22</v>
      </c>
      <c r="E9" s="18" t="str">
        <f t="shared" si="0"/>
        <v/>
      </c>
      <c r="F9" s="19" t="str">
        <f t="shared" si="1"/>
        <v/>
      </c>
      <c r="G9" s="20" t="s">
        <v>22</v>
      </c>
      <c r="H9" s="20" t="str">
        <f t="shared" si="2"/>
        <v/>
      </c>
      <c r="I9" s="19" t="str">
        <f t="shared" si="3"/>
        <v/>
      </c>
      <c r="J9" s="92"/>
      <c r="K9" s="92"/>
      <c r="L9" s="92"/>
    </row>
    <row r="10" spans="1:12" ht="28.9">
      <c r="A10" s="28" t="str">
        <v xml:space="preserve"> Diamond Bar - Bank of America</v>
      </c>
      <c r="B10" s="29" t="str">
        <v>CA</v>
      </c>
      <c r="C10" s="76">
        <v>3048.3580000000002</v>
      </c>
      <c r="D10" s="13" t="s">
        <v>22</v>
      </c>
      <c r="E10" s="13" t="str">
        <f t="shared" si="0"/>
        <v/>
      </c>
      <c r="F10" s="14" t="str">
        <f t="shared" si="1"/>
        <v/>
      </c>
      <c r="G10" s="15" t="s">
        <v>22</v>
      </c>
      <c r="H10" s="15" t="str">
        <f t="shared" si="2"/>
        <v/>
      </c>
      <c r="I10" s="16" t="str">
        <f t="shared" si="3"/>
        <v/>
      </c>
      <c r="J10" s="78" t="s">
        <v>147</v>
      </c>
      <c r="K10" s="65" t="s">
        <v>105</v>
      </c>
      <c r="L10" s="78" t="s">
        <v>151</v>
      </c>
    </row>
    <row r="11" spans="1:12" ht="15.6">
      <c r="A11" s="30" t="str">
        <v xml:space="preserve"> El Centro - Bank of America</v>
      </c>
      <c r="B11" s="31" t="str">
        <v>CA</v>
      </c>
      <c r="C11" s="75">
        <v>2492.5749999999998</v>
      </c>
      <c r="D11" s="18" t="s">
        <v>22</v>
      </c>
      <c r="E11" s="18" t="str">
        <f t="shared" si="0"/>
        <v/>
      </c>
      <c r="F11" s="19" t="str">
        <f t="shared" si="1"/>
        <v/>
      </c>
      <c r="G11" s="20" t="s">
        <v>22</v>
      </c>
      <c r="H11" s="20" t="str">
        <f t="shared" si="2"/>
        <v/>
      </c>
      <c r="I11" s="19" t="str">
        <f t="shared" si="3"/>
        <v/>
      </c>
      <c r="J11" s="92"/>
      <c r="K11" s="92"/>
      <c r="L11" s="92"/>
    </row>
    <row r="12" spans="1:12" ht="28.9">
      <c r="A12" s="28" t="str">
        <v xml:space="preserve"> Moreno Valley - Bank of America</v>
      </c>
      <c r="B12" s="29" t="str">
        <v>CA</v>
      </c>
      <c r="C12" s="24">
        <v>3621.3780000000002</v>
      </c>
      <c r="D12" s="13" t="s">
        <v>22</v>
      </c>
      <c r="E12" s="13" t="str">
        <f t="shared" si="0"/>
        <v/>
      </c>
      <c r="F12" s="14" t="str">
        <f t="shared" si="1"/>
        <v/>
      </c>
      <c r="G12" s="15" t="s">
        <v>22</v>
      </c>
      <c r="H12" s="15" t="str">
        <f t="shared" si="2"/>
        <v/>
      </c>
      <c r="I12" s="16" t="str">
        <f t="shared" si="3"/>
        <v/>
      </c>
      <c r="J12" s="78" t="s">
        <v>152</v>
      </c>
      <c r="K12" s="65" t="s">
        <v>90</v>
      </c>
      <c r="L12" s="78" t="s">
        <v>153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1"/>
        <v/>
      </c>
      <c r="G13" s="20" t="s">
        <v>22</v>
      </c>
      <c r="H13" s="20" t="str">
        <f t="shared" si="2"/>
        <v/>
      </c>
      <c r="I13" s="19" t="str">
        <f t="shared" si="3"/>
        <v/>
      </c>
      <c r="J13" s="92"/>
      <c r="K13" s="92"/>
      <c r="L13" s="92"/>
    </row>
    <row r="14" spans="1:12" ht="15.6">
      <c r="A14" s="28" t="str">
        <v xml:space="preserve"> Roseville - Bank of America</v>
      </c>
      <c r="B14" s="29" t="str">
        <v>CA</v>
      </c>
      <c r="C14" s="24">
        <v>4735.4759999999997</v>
      </c>
      <c r="D14" s="13" t="s">
        <v>22</v>
      </c>
      <c r="E14" s="13" t="str">
        <f t="shared" si="0"/>
        <v/>
      </c>
      <c r="F14" s="14" t="str">
        <f t="shared" si="1"/>
        <v/>
      </c>
      <c r="G14" s="15" t="s">
        <v>22</v>
      </c>
      <c r="H14" s="15" t="str">
        <f t="shared" si="2"/>
        <v/>
      </c>
      <c r="I14" s="16" t="str">
        <f t="shared" si="3"/>
        <v/>
      </c>
      <c r="J14" s="78"/>
      <c r="K14" s="78"/>
      <c r="L14" s="78"/>
    </row>
    <row r="15" spans="1:12" ht="15.6">
      <c r="A15" s="30" t="str">
        <v xml:space="preserve"> San Bernardino - Bank of America</v>
      </c>
      <c r="B15" s="31" t="str">
        <v>CA</v>
      </c>
      <c r="C15" s="11">
        <v>31.06</v>
      </c>
      <c r="D15" s="18" t="s">
        <v>22</v>
      </c>
      <c r="E15" s="18" t="str">
        <f t="shared" si="0"/>
        <v/>
      </c>
      <c r="F15" s="19" t="str">
        <f t="shared" si="1"/>
        <v/>
      </c>
      <c r="G15" s="20" t="s">
        <v>22</v>
      </c>
      <c r="H15" s="20" t="str">
        <f t="shared" si="2"/>
        <v/>
      </c>
      <c r="I15" s="19" t="str">
        <f t="shared" si="3"/>
        <v/>
      </c>
      <c r="J15" s="92" t="s">
        <v>154</v>
      </c>
      <c r="K15" s="74" t="s">
        <v>139</v>
      </c>
      <c r="L15" s="92" t="s">
        <v>155</v>
      </c>
    </row>
    <row r="16" spans="1:12" ht="15.6">
      <c r="A16" s="28" t="str">
        <v xml:space="preserve"> San Diego - Bank of America</v>
      </c>
      <c r="B16" s="29" t="str">
        <v>CA</v>
      </c>
      <c r="C16" s="24">
        <v>37.344000000000001</v>
      </c>
      <c r="D16" s="13" t="s">
        <v>22</v>
      </c>
      <c r="E16" s="13" t="str">
        <f t="shared" si="0"/>
        <v/>
      </c>
      <c r="F16" s="14" t="str">
        <f t="shared" si="1"/>
        <v/>
      </c>
      <c r="G16" s="15" t="s">
        <v>22</v>
      </c>
      <c r="H16" s="15" t="str">
        <f t="shared" si="2"/>
        <v/>
      </c>
      <c r="I16" s="16" t="str">
        <f t="shared" si="3"/>
        <v/>
      </c>
      <c r="J16" s="78"/>
      <c r="K16" s="78"/>
      <c r="L16" s="78"/>
    </row>
    <row r="17" spans="1:12" ht="15.6">
      <c r="A17" s="30" t="str">
        <v xml:space="preserve"> Stockton - Bank of America</v>
      </c>
      <c r="B17" s="31" t="str">
        <v>CA</v>
      </c>
      <c r="C17" s="11">
        <v>719.11099999999999</v>
      </c>
      <c r="D17" s="18" t="s">
        <v>22</v>
      </c>
      <c r="E17" s="18" t="str">
        <f t="shared" si="0"/>
        <v/>
      </c>
      <c r="F17" s="19" t="str">
        <f t="shared" si="1"/>
        <v/>
      </c>
      <c r="G17" s="20" t="s">
        <v>22</v>
      </c>
      <c r="H17" s="20" t="str">
        <f t="shared" si="2"/>
        <v/>
      </c>
      <c r="I17" s="19" t="str">
        <f t="shared" si="3"/>
        <v/>
      </c>
      <c r="J17" s="92"/>
      <c r="K17" s="92"/>
      <c r="L17" s="92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78"/>
      <c r="K18" s="78"/>
      <c r="L18" s="78"/>
    </row>
    <row r="19" spans="1:12" ht="15.6">
      <c r="A19" s="30" t="str">
        <v xml:space="preserve"> Aurora - BA - Colfax Ave</v>
      </c>
      <c r="B19" s="31" t="str">
        <v>CO</v>
      </c>
      <c r="C19" s="77">
        <v>974.22199999999998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92"/>
      <c r="K19" s="92"/>
      <c r="L19" s="92"/>
    </row>
    <row r="20" spans="1:12" ht="15.6">
      <c r="A20" s="28" t="str">
        <v xml:space="preserve"> Aurora - BA - Parker Rd</v>
      </c>
      <c r="B20" s="29" t="str">
        <v>CO</v>
      </c>
      <c r="C20" s="24">
        <v>2832.681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78"/>
      <c r="K20" s="78"/>
      <c r="L20" s="78"/>
    </row>
    <row r="21" spans="1:12" ht="15.6">
      <c r="A21" s="30" t="str">
        <v xml:space="preserve"> Broomfield - Bank of America</v>
      </c>
      <c r="B21" s="31" t="str">
        <v>CO</v>
      </c>
      <c r="C21" s="11">
        <v>1126.175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92"/>
      <c r="K21" s="92"/>
      <c r="L21" s="92"/>
    </row>
    <row r="22" spans="1:12" ht="15.6">
      <c r="A22" s="28" t="str">
        <v xml:space="preserve"> Colorado Springs - Bank of America</v>
      </c>
      <c r="B22" s="29" t="str">
        <v>CO</v>
      </c>
      <c r="C22" s="24">
        <v>2374.8890000000001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78"/>
      <c r="K22" s="78"/>
      <c r="L22" s="78"/>
    </row>
    <row r="23" spans="1:12" ht="15.6">
      <c r="A23" s="30" t="str">
        <v xml:space="preserve"> Denver - BA - 49th Ave</v>
      </c>
      <c r="B23" s="31" t="str">
        <v>CO</v>
      </c>
      <c r="C23" s="11">
        <v>943.6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92"/>
      <c r="K23" s="92"/>
      <c r="L23" s="92"/>
    </row>
    <row r="24" spans="1:12" ht="15.6">
      <c r="A24" s="28" t="str">
        <v xml:space="preserve"> Denver - BA Wadsworth Blvd</v>
      </c>
      <c r="B24" s="29" t="str">
        <v>CO</v>
      </c>
      <c r="C24" s="24">
        <v>1929.5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78"/>
      <c r="K24" s="78"/>
      <c r="L24" s="78"/>
    </row>
    <row r="25" spans="1:12" ht="15.6">
      <c r="A25" s="30" t="str">
        <v xml:space="preserve"> Fort Collins - Bank of America</v>
      </c>
      <c r="B25" s="31" t="str">
        <v>CO</v>
      </c>
      <c r="C25" s="11">
        <v>1234.067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92"/>
      <c r="K25" s="92"/>
      <c r="L25" s="92"/>
    </row>
    <row r="26" spans="1:12" ht="15.6">
      <c r="A26" s="28" t="str">
        <v xml:space="preserve"> Lafayette - Bank of America</v>
      </c>
      <c r="B26" s="29" t="str">
        <v>CO</v>
      </c>
      <c r="C26" s="24">
        <v>1803.5029999999999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78"/>
      <c r="K26" s="78"/>
      <c r="L26" s="78"/>
    </row>
    <row r="27" spans="1:12" ht="15.6">
      <c r="A27" s="30" t="str">
        <v xml:space="preserve"> Lakewood - Bank of America</v>
      </c>
      <c r="B27" s="31" t="str">
        <v>CO</v>
      </c>
      <c r="C27" s="11">
        <v>957.31100000000004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92"/>
      <c r="K27" s="92"/>
      <c r="L27" s="92"/>
    </row>
    <row r="28" spans="1:12" ht="15.6">
      <c r="A28" s="28" t="str">
        <v xml:space="preserve"> Longmont - Bank of America</v>
      </c>
      <c r="B28" s="29" t="str">
        <v>CO</v>
      </c>
      <c r="C28" s="24">
        <v>870.77599999999995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78"/>
      <c r="K28" s="78"/>
      <c r="L28" s="78"/>
    </row>
    <row r="29" spans="1:12" ht="15.6">
      <c r="A29" s="30" t="str">
        <v xml:space="preserve"> Thornton - Bank of America</v>
      </c>
      <c r="B29" s="31" t="str">
        <v>CO</v>
      </c>
      <c r="C29" s="11">
        <v>1073.579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92"/>
      <c r="K29" s="92"/>
      <c r="L29" s="92"/>
    </row>
    <row r="30" spans="1:12" ht="15.6">
      <c r="A30" s="28" t="str">
        <v xml:space="preserve"> Calumet City - Bank of America</v>
      </c>
      <c r="B30" s="29" t="str">
        <v>IL</v>
      </c>
      <c r="C30" s="24">
        <v>1801.3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78"/>
      <c r="K30" s="78"/>
      <c r="L30" s="78"/>
    </row>
    <row r="31" spans="1:12" ht="15.6">
      <c r="A31" s="30" t="str">
        <v xml:space="preserve"> Downers Grove - Bank of America</v>
      </c>
      <c r="B31" s="31" t="str">
        <v>IL</v>
      </c>
      <c r="C31" s="11">
        <v>2055.1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92"/>
      <c r="K31" s="92"/>
      <c r="L31" s="92"/>
    </row>
    <row r="32" spans="1:12" ht="15.6">
      <c r="A32" s="28" t="str">
        <v xml:space="preserve"> Bloomington - Bank of America</v>
      </c>
      <c r="B32" s="29" t="str">
        <v>MN</v>
      </c>
      <c r="C32" s="24">
        <v>297.86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78"/>
      <c r="K32" s="78"/>
      <c r="L32" s="78"/>
    </row>
    <row r="33" spans="1:12" ht="15.6">
      <c r="A33" s="30" t="str">
        <v xml:space="preserve"> Clayton - Bank of America</v>
      </c>
      <c r="B33" s="31" t="str">
        <v>MO</v>
      </c>
      <c r="C33" s="11">
        <v>1652.7180000000001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92"/>
      <c r="K33" s="92"/>
      <c r="L33" s="92"/>
    </row>
    <row r="34" spans="1:12" ht="15.6">
      <c r="A34" s="28" t="str">
        <v xml:space="preserve"> Manchester - Bank of America</v>
      </c>
      <c r="B34" s="29" t="str">
        <v>MO</v>
      </c>
      <c r="C34" s="24">
        <v>1287.1600000000001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78"/>
      <c r="K34" s="78"/>
      <c r="L34" s="78"/>
    </row>
    <row r="35" spans="1:12" ht="15.6">
      <c r="A35" s="30" t="str">
        <v xml:space="preserve"> Las Vegas - BA - Eastern Ave</v>
      </c>
      <c r="B35" s="31" t="str">
        <v>NV</v>
      </c>
      <c r="C35" s="11">
        <v>45.2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92"/>
      <c r="K35" s="92"/>
      <c r="L35" s="92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78"/>
      <c r="K36" s="78"/>
      <c r="L36" s="78"/>
    </row>
    <row r="37" spans="1:12" ht="15.6">
      <c r="A37" s="30" t="str">
        <v xml:space="preserve"> Riverton - Bank of America</v>
      </c>
      <c r="B37" s="31" t="str">
        <v>UT</v>
      </c>
      <c r="C37" s="11">
        <v>1974.664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92"/>
      <c r="K37" s="92"/>
      <c r="L37" s="92"/>
    </row>
    <row r="38" spans="1:12" ht="15.6">
      <c r="A38" s="28" t="str">
        <v xml:space="preserve"> Salt Lake City - Bank of America</v>
      </c>
      <c r="B38" s="29" t="str">
        <v>UT</v>
      </c>
      <c r="C38" s="24">
        <v>66.715000000000003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78"/>
      <c r="K38" s="78"/>
      <c r="L38" s="78"/>
    </row>
    <row r="39" spans="1:12">
      <c r="A39" s="21"/>
      <c r="B39" s="33"/>
      <c r="C39" s="21"/>
      <c r="D39" s="21"/>
      <c r="E39" s="21"/>
      <c r="F39" s="22"/>
      <c r="G39" s="20"/>
      <c r="H39" s="21"/>
      <c r="I39" s="22"/>
    </row>
    <row r="40" spans="1:12">
      <c r="A40" s="21"/>
      <c r="B40" s="33"/>
      <c r="C40" s="21"/>
      <c r="D40" s="21"/>
      <c r="E40" s="21"/>
      <c r="F40" s="22"/>
      <c r="G40" s="21"/>
      <c r="H40" s="21"/>
      <c r="I40" s="22"/>
    </row>
    <row r="41" spans="1:12">
      <c r="A41" s="21"/>
      <c r="B41" s="33"/>
      <c r="C41" s="21"/>
      <c r="D41" s="21"/>
      <c r="E41" s="21"/>
      <c r="F41" s="22"/>
      <c r="G41" s="21"/>
      <c r="H41" s="21"/>
      <c r="I41" s="22"/>
    </row>
    <row r="42" spans="1:12">
      <c r="A42" s="21"/>
      <c r="B42" s="33"/>
      <c r="C42" s="21"/>
      <c r="D42" s="21"/>
      <c r="E42" s="21"/>
      <c r="F42" s="22"/>
      <c r="G42" s="21"/>
      <c r="H42" s="21"/>
      <c r="I42" s="22"/>
    </row>
    <row r="43" spans="1:12">
      <c r="A43" s="21"/>
      <c r="B43" s="33"/>
      <c r="C43" s="21"/>
      <c r="D43" s="21"/>
      <c r="E43" s="21"/>
      <c r="F43" s="22"/>
      <c r="G43" s="21"/>
      <c r="H43" s="21"/>
      <c r="I43" s="22"/>
    </row>
    <row r="44" spans="1:12">
      <c r="A44" s="21"/>
      <c r="B44" s="33"/>
      <c r="C44" s="21"/>
      <c r="D44" s="21"/>
      <c r="E44" s="21"/>
      <c r="F44" s="22"/>
      <c r="G44" s="21"/>
      <c r="H44" s="21"/>
      <c r="I44" s="22"/>
    </row>
    <row r="45" spans="1:12">
      <c r="A45" s="21"/>
      <c r="B45" s="33"/>
      <c r="C45" s="21"/>
      <c r="D45" s="21"/>
      <c r="E45" s="21"/>
      <c r="F45" s="22"/>
      <c r="G45" s="21"/>
      <c r="H45" s="21"/>
      <c r="I45" s="22"/>
    </row>
    <row r="46" spans="1:12">
      <c r="A46" s="21"/>
      <c r="B46" s="33"/>
      <c r="C46" s="21"/>
      <c r="D46" s="21"/>
      <c r="E46" s="21"/>
      <c r="F46" s="22"/>
      <c r="G46" s="21"/>
      <c r="H46" s="21"/>
      <c r="I46" s="22"/>
    </row>
    <row r="47" spans="1:12">
      <c r="A47" s="21"/>
      <c r="B47" s="33"/>
      <c r="C47" s="21"/>
      <c r="D47" s="21"/>
      <c r="E47" s="21"/>
      <c r="F47" s="22"/>
      <c r="G47" s="21"/>
      <c r="H47" s="21"/>
      <c r="I47" s="22"/>
    </row>
    <row r="48" spans="1:12">
      <c r="A48" s="21"/>
      <c r="B48" s="33"/>
      <c r="C48" s="21"/>
      <c r="D48" s="21"/>
      <c r="E48" s="21"/>
      <c r="F48" s="22"/>
      <c r="G48" s="21"/>
      <c r="H48" s="21"/>
      <c r="I48" s="22"/>
    </row>
    <row r="49" spans="1:9">
      <c r="A49" s="21"/>
      <c r="B49" s="33"/>
      <c r="C49" s="21"/>
      <c r="D49" s="21"/>
      <c r="E49" s="21"/>
      <c r="F49" s="22"/>
      <c r="G49" s="21"/>
      <c r="H49" s="21"/>
      <c r="I49" s="22"/>
    </row>
    <row r="50" spans="1:9">
      <c r="A50" s="21"/>
      <c r="B50" s="33"/>
      <c r="C50" s="21"/>
      <c r="D50" s="21"/>
      <c r="E50" s="21"/>
      <c r="F50" s="22"/>
      <c r="G50" s="21"/>
      <c r="H50" s="21"/>
      <c r="I50" s="22"/>
    </row>
    <row r="51" spans="1:9">
      <c r="A51" s="21"/>
      <c r="B51" s="33"/>
      <c r="C51" s="21"/>
      <c r="D51" s="21"/>
      <c r="E51" s="21"/>
      <c r="F51" s="22"/>
      <c r="G51" s="21"/>
      <c r="H51" s="21"/>
      <c r="I51" s="22"/>
    </row>
    <row r="52" spans="1:9">
      <c r="A52" s="21"/>
      <c r="B52" s="33"/>
      <c r="C52" s="21"/>
      <c r="D52" s="21"/>
      <c r="E52" s="21"/>
      <c r="F52" s="22"/>
      <c r="G52" s="21"/>
      <c r="H52" s="21"/>
      <c r="I52" s="22"/>
    </row>
    <row r="53" spans="1:9">
      <c r="A53" s="21"/>
      <c r="B53" s="33"/>
      <c r="C53" s="21"/>
      <c r="D53" s="21"/>
      <c r="E53" s="21"/>
      <c r="F53" s="22"/>
      <c r="G53" s="21"/>
      <c r="H53" s="21"/>
      <c r="I53" s="22"/>
    </row>
    <row r="54" spans="1:9">
      <c r="A54" s="21"/>
      <c r="B54" s="33"/>
      <c r="C54" s="21"/>
      <c r="D54" s="21"/>
      <c r="E54" s="21"/>
      <c r="F54" s="22"/>
      <c r="G54" s="21"/>
      <c r="H54" s="21"/>
      <c r="I54" s="22"/>
    </row>
    <row r="55" spans="1:9">
      <c r="A55" s="21"/>
      <c r="B55" s="33"/>
      <c r="C55" s="21"/>
      <c r="D55" s="21"/>
      <c r="E55" s="21"/>
      <c r="F55" s="22"/>
      <c r="G55" s="21"/>
      <c r="H55" s="21"/>
      <c r="I55" s="22"/>
    </row>
    <row r="56" spans="1:9">
      <c r="A56" s="21"/>
      <c r="B56" s="33"/>
      <c r="C56" s="21"/>
      <c r="D56" s="21"/>
      <c r="E56" s="21"/>
      <c r="F56" s="22"/>
      <c r="G56" s="21"/>
      <c r="H56" s="21"/>
      <c r="I56" s="22"/>
    </row>
    <row r="57" spans="1:9">
      <c r="A57" s="21"/>
      <c r="B57" s="33"/>
      <c r="C57" s="21"/>
      <c r="D57" s="21"/>
      <c r="E57" s="21"/>
      <c r="F57" s="22"/>
      <c r="G57" s="21"/>
      <c r="H57" s="21"/>
      <c r="I57" s="22"/>
    </row>
    <row r="58" spans="1:9">
      <c r="A58" s="21"/>
      <c r="B58" s="33"/>
      <c r="C58" s="21"/>
      <c r="D58" s="21"/>
      <c r="E58" s="21"/>
      <c r="F58" s="22"/>
      <c r="G58" s="21"/>
      <c r="H58" s="21"/>
      <c r="I58" s="22"/>
    </row>
    <row r="59" spans="1:9">
      <c r="A59" s="21"/>
      <c r="B59" s="33"/>
      <c r="C59" s="21"/>
      <c r="D59" s="21"/>
      <c r="E59" s="21"/>
      <c r="F59" s="22"/>
      <c r="G59" s="21"/>
      <c r="H59" s="21"/>
      <c r="I59" s="22"/>
    </row>
    <row r="60" spans="1:9">
      <c r="A60" s="21"/>
      <c r="B60" s="33"/>
      <c r="C60" s="21"/>
      <c r="D60" s="21"/>
      <c r="E60" s="21"/>
      <c r="F60" s="22"/>
      <c r="G60" s="21"/>
      <c r="H60" s="21"/>
      <c r="I60" s="22"/>
    </row>
    <row r="61" spans="1:9">
      <c r="A61" s="21"/>
      <c r="B61" s="33"/>
      <c r="C61" s="21"/>
      <c r="D61" s="21"/>
      <c r="E61" s="21"/>
      <c r="F61" s="22"/>
      <c r="G61" s="21"/>
      <c r="H61" s="21"/>
      <c r="I61" s="22"/>
    </row>
    <row r="62" spans="1:9">
      <c r="A62" s="21"/>
      <c r="B62" s="33"/>
      <c r="C62" s="21"/>
      <c r="D62" s="21"/>
      <c r="E62" s="21"/>
      <c r="F62" s="22"/>
      <c r="G62" s="21"/>
      <c r="H62" s="21"/>
      <c r="I62" s="22"/>
    </row>
    <row r="63" spans="1:9">
      <c r="A63" s="21"/>
      <c r="B63" s="33"/>
      <c r="C63" s="21"/>
      <c r="D63" s="21"/>
      <c r="E63" s="21"/>
      <c r="F63" s="22"/>
      <c r="G63" s="21"/>
      <c r="H63" s="21"/>
      <c r="I63" s="22"/>
    </row>
    <row r="64" spans="1:9">
      <c r="A64" s="21"/>
      <c r="B64" s="33"/>
      <c r="C64" s="21"/>
      <c r="D64" s="21"/>
      <c r="E64" s="21"/>
      <c r="F64" s="22"/>
      <c r="G64" s="21"/>
      <c r="H64" s="21"/>
      <c r="I64" s="22"/>
    </row>
    <row r="65" spans="1:9">
      <c r="A65" s="21"/>
      <c r="B65" s="33"/>
      <c r="C65" s="21"/>
      <c r="D65" s="21"/>
      <c r="E65" s="21"/>
      <c r="F65" s="22"/>
      <c r="G65" s="21"/>
      <c r="H65" s="21"/>
      <c r="I65" s="22"/>
    </row>
    <row r="66" spans="1:9">
      <c r="A66" s="21"/>
      <c r="B66" s="33"/>
      <c r="C66" s="21"/>
      <c r="D66" s="21"/>
      <c r="E66" s="21"/>
      <c r="F66" s="22"/>
      <c r="G66" s="21"/>
      <c r="H66" s="21"/>
      <c r="I66" s="22"/>
    </row>
    <row r="67" spans="1:9">
      <c r="A67" s="21"/>
      <c r="B67" s="33"/>
      <c r="C67" s="21"/>
      <c r="D67" s="21"/>
      <c r="E67" s="21"/>
      <c r="F67" s="22"/>
      <c r="G67" s="21"/>
      <c r="H67" s="21"/>
      <c r="I67" s="22"/>
    </row>
    <row r="68" spans="1:9">
      <c r="A68" s="21"/>
      <c r="B68" s="33"/>
      <c r="C68" s="21"/>
      <c r="D68" s="21"/>
      <c r="E68" s="21"/>
      <c r="F68" s="22"/>
      <c r="G68" s="21"/>
      <c r="H68" s="21"/>
      <c r="I68" s="22"/>
    </row>
    <row r="69" spans="1:9">
      <c r="A69" s="21"/>
      <c r="B69" s="33"/>
      <c r="C69" s="21"/>
      <c r="D69" s="21"/>
      <c r="E69" s="21"/>
      <c r="F69" s="22"/>
      <c r="G69" s="21"/>
      <c r="H69" s="21"/>
      <c r="I69" s="22"/>
    </row>
    <row r="70" spans="1:9">
      <c r="A70" s="21"/>
      <c r="B70" s="33"/>
      <c r="C70" s="21"/>
      <c r="D70" s="21"/>
      <c r="E70" s="21"/>
      <c r="F70" s="22"/>
      <c r="G70" s="21"/>
      <c r="H70" s="21"/>
      <c r="I70" s="22"/>
    </row>
    <row r="71" spans="1:9">
      <c r="A71" s="21"/>
      <c r="B71" s="33"/>
      <c r="C71" s="21"/>
      <c r="D71" s="21"/>
      <c r="E71" s="21"/>
      <c r="F71" s="22"/>
      <c r="G71" s="21"/>
      <c r="H71" s="21"/>
      <c r="I71" s="22"/>
    </row>
    <row r="72" spans="1:9">
      <c r="A72" s="21"/>
      <c r="B72" s="33"/>
      <c r="C72" s="21"/>
      <c r="D72" s="21"/>
      <c r="E72" s="21"/>
      <c r="F72" s="22"/>
      <c r="G72" s="21"/>
      <c r="H72" s="21"/>
      <c r="I72" s="22"/>
    </row>
    <row r="73" spans="1:9">
      <c r="A73" s="21"/>
      <c r="B73" s="33"/>
      <c r="C73" s="21"/>
      <c r="D73" s="21"/>
      <c r="E73" s="21"/>
      <c r="F73" s="22"/>
      <c r="G73" s="21"/>
      <c r="H73" s="21"/>
      <c r="I73" s="22"/>
    </row>
    <row r="74" spans="1:9">
      <c r="A74" s="21"/>
      <c r="B74" s="33"/>
      <c r="C74" s="21"/>
      <c r="D74" s="21"/>
      <c r="E74" s="21"/>
      <c r="F74" s="22"/>
      <c r="G74" s="21"/>
      <c r="H74" s="21"/>
      <c r="I74" s="22"/>
    </row>
    <row r="75" spans="1:9">
      <c r="A75" s="21"/>
      <c r="B75" s="33"/>
      <c r="C75" s="21"/>
      <c r="D75" s="21"/>
      <c r="E75" s="21"/>
      <c r="F75" s="22"/>
      <c r="G75" s="21"/>
      <c r="H75" s="21"/>
      <c r="I75" s="22"/>
    </row>
    <row r="76" spans="1:9">
      <c r="A76" s="21"/>
      <c r="B76" s="33"/>
      <c r="C76" s="21"/>
      <c r="D76" s="21"/>
      <c r="E76" s="21"/>
      <c r="F76" s="22"/>
      <c r="G76" s="21"/>
      <c r="H76" s="21"/>
      <c r="I76" s="22"/>
    </row>
    <row r="77" spans="1:9">
      <c r="A77" s="21"/>
      <c r="B77" s="33"/>
      <c r="C77" s="21"/>
      <c r="D77" s="21"/>
      <c r="E77" s="21"/>
      <c r="F77" s="22"/>
      <c r="G77" s="21"/>
      <c r="H77" s="21"/>
      <c r="I77" s="22"/>
    </row>
    <row r="78" spans="1:9">
      <c r="A78" s="21"/>
      <c r="B78" s="33"/>
      <c r="C78" s="21"/>
      <c r="D78" s="21"/>
      <c r="E78" s="21"/>
      <c r="F78" s="22"/>
      <c r="G78" s="21"/>
      <c r="H78" s="21"/>
      <c r="I78" s="22"/>
    </row>
    <row r="79" spans="1:9">
      <c r="A79" s="21"/>
      <c r="B79" s="33"/>
      <c r="C79" s="21"/>
      <c r="D79" s="21"/>
      <c r="E79" s="21"/>
      <c r="F79" s="22"/>
      <c r="G79" s="21"/>
      <c r="H79" s="21"/>
      <c r="I79" s="22"/>
    </row>
    <row r="80" spans="1:9">
      <c r="A80" s="21"/>
      <c r="B80" s="33"/>
      <c r="C80" s="21"/>
      <c r="D80" s="21"/>
      <c r="E80" s="21"/>
      <c r="F80" s="22"/>
      <c r="G80" s="21"/>
      <c r="H80" s="21"/>
      <c r="I80" s="22"/>
    </row>
    <row r="81" spans="1:9">
      <c r="A81" s="21"/>
      <c r="B81" s="33"/>
      <c r="C81" s="21"/>
      <c r="D81" s="21"/>
      <c r="E81" s="21"/>
      <c r="F81" s="22"/>
      <c r="G81" s="21"/>
      <c r="H81" s="21"/>
      <c r="I81" s="22"/>
    </row>
    <row r="82" spans="1:9">
      <c r="A82" s="21"/>
      <c r="B82" s="33"/>
      <c r="C82" s="21"/>
      <c r="D82" s="21"/>
      <c r="E82" s="21"/>
      <c r="F82" s="22"/>
      <c r="G82" s="21"/>
      <c r="H82" s="21"/>
      <c r="I82" s="22"/>
    </row>
    <row r="83" spans="1:9">
      <c r="A83" s="21"/>
      <c r="B83" s="33"/>
      <c r="C83" s="21"/>
      <c r="D83" s="21"/>
      <c r="E83" s="21"/>
      <c r="F83" s="22"/>
      <c r="G83" s="21"/>
      <c r="H83" s="21"/>
      <c r="I83" s="22"/>
    </row>
    <row r="84" spans="1:9">
      <c r="A84" s="21"/>
      <c r="B84" s="33"/>
      <c r="C84" s="21"/>
      <c r="D84" s="21"/>
      <c r="E84" s="21"/>
      <c r="F84" s="22"/>
      <c r="G84" s="21"/>
      <c r="H84" s="21"/>
      <c r="I84" s="22"/>
    </row>
    <row r="85" spans="1:9">
      <c r="A85" s="21"/>
      <c r="B85" s="33"/>
      <c r="C85" s="21"/>
      <c r="D85" s="21"/>
      <c r="E85" s="21"/>
      <c r="F85" s="22"/>
      <c r="G85" s="21"/>
      <c r="H85" s="21"/>
      <c r="I85" s="22"/>
    </row>
    <row r="86" spans="1:9">
      <c r="A86" s="21"/>
      <c r="B86" s="33"/>
      <c r="C86" s="21"/>
      <c r="D86" s="21"/>
      <c r="E86" s="21"/>
      <c r="F86" s="22"/>
      <c r="G86" s="21"/>
      <c r="H86" s="21"/>
      <c r="I86" s="22"/>
    </row>
    <row r="87" spans="1:9">
      <c r="A87" s="21"/>
      <c r="B87" s="33"/>
      <c r="C87" s="21"/>
      <c r="D87" s="21"/>
      <c r="E87" s="21"/>
      <c r="F87" s="22"/>
      <c r="G87" s="21"/>
      <c r="H87" s="21"/>
      <c r="I87" s="22"/>
    </row>
    <row r="88" spans="1:9">
      <c r="A88" s="21"/>
      <c r="B88" s="33"/>
      <c r="C88" s="21"/>
      <c r="D88" s="21"/>
      <c r="E88" s="21"/>
      <c r="F88" s="22"/>
      <c r="G88" s="21"/>
      <c r="H88" s="21"/>
      <c r="I88" s="22"/>
    </row>
    <row r="89" spans="1:9">
      <c r="A89" s="21"/>
      <c r="B89" s="33"/>
      <c r="C89" s="21"/>
      <c r="D89" s="21"/>
      <c r="E89" s="21"/>
      <c r="F89" s="22"/>
      <c r="G89" s="21"/>
      <c r="H89" s="21"/>
      <c r="I89" s="22"/>
    </row>
    <row r="90" spans="1:9">
      <c r="A90" s="21"/>
      <c r="B90" s="33"/>
      <c r="C90" s="21"/>
      <c r="D90" s="21"/>
      <c r="E90" s="21"/>
      <c r="F90" s="22"/>
      <c r="G90" s="21"/>
      <c r="H90" s="21"/>
      <c r="I90" s="22"/>
    </row>
    <row r="91" spans="1:9">
      <c r="A91" s="21"/>
      <c r="B91" s="33"/>
      <c r="C91" s="21"/>
      <c r="D91" s="21"/>
      <c r="E91" s="21"/>
      <c r="F91" s="22"/>
      <c r="G91" s="21"/>
      <c r="H91" s="21"/>
      <c r="I91" s="22"/>
    </row>
    <row r="92" spans="1:9">
      <c r="A92" s="21"/>
      <c r="B92" s="33"/>
      <c r="C92" s="21"/>
      <c r="D92" s="21"/>
      <c r="E92" s="21"/>
      <c r="F92" s="22"/>
      <c r="G92" s="21"/>
      <c r="H92" s="21"/>
      <c r="I92" s="22"/>
    </row>
    <row r="93" spans="1:9">
      <c r="A93" s="21"/>
      <c r="B93" s="33"/>
      <c r="C93" s="21"/>
      <c r="D93" s="21"/>
      <c r="E93" s="21"/>
      <c r="F93" s="22"/>
      <c r="G93" s="21"/>
      <c r="H93" s="21"/>
      <c r="I93" s="22"/>
    </row>
    <row r="94" spans="1:9">
      <c r="A94" s="21"/>
      <c r="B94" s="33"/>
      <c r="C94" s="21"/>
      <c r="D94" s="21"/>
      <c r="E94" s="21"/>
      <c r="F94" s="22"/>
      <c r="G94" s="21"/>
      <c r="H94" s="21"/>
      <c r="I94" s="22"/>
    </row>
    <row r="95" spans="1:9">
      <c r="A95" s="21"/>
      <c r="B95" s="33"/>
      <c r="C95" s="21"/>
      <c r="D95" s="21"/>
      <c r="E95" s="21"/>
      <c r="F95" s="22"/>
      <c r="G95" s="21"/>
      <c r="H95" s="21"/>
      <c r="I95" s="22"/>
    </row>
    <row r="96" spans="1:9">
      <c r="A96" s="21"/>
      <c r="B96" s="33"/>
      <c r="C96" s="21"/>
      <c r="D96" s="21"/>
      <c r="E96" s="21"/>
      <c r="F96" s="22"/>
      <c r="G96" s="21"/>
      <c r="H96" s="21"/>
      <c r="I96" s="22"/>
    </row>
    <row r="97" spans="1:9">
      <c r="A97" s="21"/>
      <c r="B97" s="33"/>
      <c r="C97" s="21"/>
      <c r="D97" s="21"/>
      <c r="E97" s="21"/>
      <c r="F97" s="22"/>
      <c r="G97" s="21"/>
      <c r="H97" s="21"/>
      <c r="I97" s="22"/>
    </row>
    <row r="98" spans="1:9">
      <c r="A98" s="21"/>
      <c r="B98" s="33"/>
      <c r="C98" s="21"/>
      <c r="D98" s="21"/>
      <c r="E98" s="21"/>
      <c r="F98" s="22"/>
      <c r="G98" s="21"/>
      <c r="H98" s="21"/>
      <c r="I98" s="22"/>
    </row>
    <row r="99" spans="1:9">
      <c r="A99" s="21"/>
      <c r="B99" s="33"/>
      <c r="C99" s="21"/>
      <c r="D99" s="21"/>
      <c r="E99" s="21"/>
      <c r="F99" s="22"/>
      <c r="G99" s="21"/>
      <c r="H99" s="21"/>
      <c r="I99" s="22"/>
    </row>
    <row r="100" spans="1:9">
      <c r="A100" s="21"/>
      <c r="B100" s="33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3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3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3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3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3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3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3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3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3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3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3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3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3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3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3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3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3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3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3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3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3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3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3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3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3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3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3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3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3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3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3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3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3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3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3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3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3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3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3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3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3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3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3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3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3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3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3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3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3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3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3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3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3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3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3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3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3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3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3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3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3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3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3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3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3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3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3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3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3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3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3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3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3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3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3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3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3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3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3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3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3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3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3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3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3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3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3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3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3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3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3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3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3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3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3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3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3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3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3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3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3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3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3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3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3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3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3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3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3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3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3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3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3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3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3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3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3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3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3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3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3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3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3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3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3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3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3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3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3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3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3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3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3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3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3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3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3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3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3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3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3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3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3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3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3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3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3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3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3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3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3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3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3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3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3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3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3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3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3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3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3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3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3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3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3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3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3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3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3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3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3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3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3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3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3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3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3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3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3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3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3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3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3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3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3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3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3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3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3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3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3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3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3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3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3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3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3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3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3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3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3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3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3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3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3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3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3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3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3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3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3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3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3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3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3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3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3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3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3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3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3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3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3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3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3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3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3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3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3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33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33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33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33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33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33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33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33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33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33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33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33"/>
      <c r="C341" s="21"/>
      <c r="D341" s="21"/>
      <c r="E341" s="21"/>
      <c r="F341" s="22"/>
      <c r="G341" s="21"/>
      <c r="H341" s="21"/>
      <c r="I341" s="22"/>
    </row>
    <row r="342" spans="1:9"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7" r:id="rId1" display="https://us3.assetplanner.com/service_request?ID=101589" xr:uid="{CD4112E2-572D-4E6B-A880-177C068DD1D3}"/>
    <hyperlink ref="K10" r:id="rId2" display="https://us3.assetplanner.com/service_request?ID=102087" xr:uid="{86704985-2E60-46D4-91CC-89980F897AAE}"/>
    <hyperlink ref="K12" r:id="rId3" display="https://us3.assetplanner.com/service_request?ID=102088" xr:uid="{2CA57561-5A62-4692-B211-58B997D74C86}"/>
    <hyperlink ref="K15" r:id="rId4" display="https://us3.assetplanner.com/service_request?ID=106651" xr:uid="{28FB5FC5-CFDB-4CA0-ADB2-C4F3829B407E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zoomScale="70" zoomScaleNormal="70" workbookViewId="0">
      <pane xSplit="2" ySplit="3" topLeftCell="J4" activePane="bottomRight" state="frozen"/>
      <selection pane="bottomRight" activeCell="J11" sqref="J11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156</v>
      </c>
      <c r="E1" s="90"/>
      <c r="F1" s="90"/>
      <c r="G1" s="88" t="s">
        <v>157</v>
      </c>
      <c r="H1" s="88"/>
      <c r="I1" s="88"/>
      <c r="J1" s="4"/>
      <c r="K1" s="4"/>
      <c r="L1" s="4"/>
    </row>
    <row r="2" spans="1:12" ht="19.5" customHeight="1">
      <c r="A2" s="91" t="s">
        <v>2</v>
      </c>
      <c r="B2" s="91"/>
      <c r="C2" s="5">
        <f>SUM(C4:C100)</f>
        <v>28531.281999999996</v>
      </c>
      <c r="D2" s="5">
        <f>SUM(D4:D100)</f>
        <v>0</v>
      </c>
      <c r="E2" s="5">
        <f>C2-D2</f>
        <v>28531.281999999996</v>
      </c>
      <c r="F2" s="6">
        <f>IFERROR(E2/D2, 0)</f>
        <v>0</v>
      </c>
      <c r="G2" s="5">
        <f>SUM(G4:G100)</f>
        <v>0</v>
      </c>
      <c r="H2" s="7">
        <f>C2-G2</f>
        <v>28531.281999999996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150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2" ht="15.6">
      <c r="A6" s="28" t="str">
        <v xml:space="preserve"> Arvin - Bank of America</v>
      </c>
      <c r="B6" s="29" t="str">
        <v>CA</v>
      </c>
      <c r="C6" s="24">
        <v>53.124000000000002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2" ht="28.9">
      <c r="A7" s="30" t="str">
        <v xml:space="preserve"> Bell - Bank of America</v>
      </c>
      <c r="B7" s="31" t="str">
        <v>CA</v>
      </c>
      <c r="C7" s="11">
        <v>1315.54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 t="s">
        <v>158</v>
      </c>
      <c r="K7" s="68" t="s">
        <v>159</v>
      </c>
      <c r="L7" s="86" t="s">
        <v>160</v>
      </c>
    </row>
    <row r="8" spans="1:12" ht="15.6">
      <c r="A8" s="28" t="str">
        <v xml:space="preserve"> Chula Vista - Bank of America</v>
      </c>
      <c r="B8" s="29" t="str">
        <v>CA</v>
      </c>
      <c r="C8" s="24">
        <v>879.88900000000001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41"/>
    </row>
    <row r="9" spans="1:12" ht="15.6">
      <c r="A9" s="30" t="str">
        <v xml:space="preserve"> Cupertino - Bank of America</v>
      </c>
      <c r="B9" s="31" t="str">
        <v>CA</v>
      </c>
      <c r="C9" s="11">
        <v>1056.1659999999999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43"/>
    </row>
    <row r="10" spans="1:12" ht="28.9">
      <c r="A10" s="28" t="str">
        <v xml:space="preserve"> Diamond Bar - Bank of America</v>
      </c>
      <c r="B10" s="29" t="str">
        <v>CA</v>
      </c>
      <c r="C10" s="24">
        <v>1784.3620000000001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120</v>
      </c>
      <c r="L10" s="41" t="s">
        <v>160</v>
      </c>
    </row>
    <row r="11" spans="1:12" ht="15.6">
      <c r="A11" s="30" t="str">
        <v xml:space="preserve"> El Centro - Bank of America</v>
      </c>
      <c r="B11" s="31" t="str">
        <v>CA</v>
      </c>
      <c r="C11" s="85">
        <v>1824.3779999999999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43"/>
    </row>
    <row r="12" spans="1:12" ht="15.6">
      <c r="A12" s="28" t="str">
        <v xml:space="preserve"> Moreno Valley - Bank of America</v>
      </c>
      <c r="B12" s="29" t="str">
        <v>CA</v>
      </c>
      <c r="C12" s="24">
        <v>2427.9749999999999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41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43"/>
    </row>
    <row r="14" spans="1:12" ht="15.6">
      <c r="A14" s="28" t="str">
        <v xml:space="preserve"> Roseville - Bank of America</v>
      </c>
      <c r="B14" s="29" t="str">
        <v>CA</v>
      </c>
      <c r="C14" s="24">
        <v>2466.5239999999999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41"/>
    </row>
    <row r="15" spans="1:12" ht="15.6">
      <c r="A15" s="30" t="str">
        <v xml:space="preserve"> San Bernardino - Bank of America</v>
      </c>
      <c r="B15" s="31" t="str">
        <v>CA</v>
      </c>
      <c r="C15" s="11">
        <v>42.65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43"/>
    </row>
    <row r="16" spans="1:12" ht="15.6">
      <c r="A16" s="28" t="str">
        <v xml:space="preserve"> San Diego - Bank of America</v>
      </c>
      <c r="B16" s="29" t="str">
        <v>CA</v>
      </c>
      <c r="C16" s="24">
        <v>23.088999999999999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41"/>
    </row>
    <row r="17" spans="1:12" ht="15.6">
      <c r="A17" s="30" t="str">
        <v xml:space="preserve"> Stockton - Bank of America</v>
      </c>
      <c r="B17" s="31" t="str">
        <v>CA</v>
      </c>
      <c r="C17" s="11">
        <v>372.93799999999999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43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63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41"/>
    </row>
    <row r="19" spans="1:12" ht="15.6">
      <c r="A19" s="30" t="str">
        <v xml:space="preserve"> Aurora - BA - Colfax Ave</v>
      </c>
      <c r="B19" s="31" t="str">
        <v>CO</v>
      </c>
      <c r="C19" s="11">
        <v>660.84400000000005</v>
      </c>
      <c r="D19" s="18" t="s">
        <v>22</v>
      </c>
      <c r="E19" s="18" t="str">
        <f t="shared" si="4"/>
        <v/>
      </c>
      <c r="F19" s="19" t="str">
        <f t="shared" si="5"/>
        <v/>
      </c>
      <c r="G19" s="64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43"/>
    </row>
    <row r="20" spans="1:12" ht="15.6">
      <c r="A20" s="28" t="str">
        <v xml:space="preserve"> Aurora - BA - Parker Rd</v>
      </c>
      <c r="B20" s="29" t="str">
        <v>CO</v>
      </c>
      <c r="C20" s="24">
        <v>1881.704</v>
      </c>
      <c r="D20" s="13" t="s">
        <v>22</v>
      </c>
      <c r="E20" s="13" t="str">
        <f t="shared" si="4"/>
        <v/>
      </c>
      <c r="F20" s="14" t="str">
        <f t="shared" si="5"/>
        <v/>
      </c>
      <c r="G20" s="63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41"/>
    </row>
    <row r="21" spans="1:12" ht="15.6">
      <c r="A21" s="30" t="str">
        <v xml:space="preserve"> Broomfield - Bank of America</v>
      </c>
      <c r="B21" s="31" t="str">
        <v>CO</v>
      </c>
      <c r="C21" s="11">
        <v>716.08500000000004</v>
      </c>
      <c r="D21" s="18" t="s">
        <v>22</v>
      </c>
      <c r="E21" s="18" t="str">
        <f t="shared" si="4"/>
        <v/>
      </c>
      <c r="F21" s="19" t="str">
        <f t="shared" si="5"/>
        <v/>
      </c>
      <c r="G21" s="64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43"/>
    </row>
    <row r="22" spans="1:12" ht="15.6">
      <c r="A22" s="28" t="str">
        <v xml:space="preserve"> Colorado Springs - Bank of America</v>
      </c>
      <c r="B22" s="29" t="str">
        <v>CO</v>
      </c>
      <c r="C22" s="24">
        <v>1629.405</v>
      </c>
      <c r="D22" s="13" t="s">
        <v>22</v>
      </c>
      <c r="E22" s="13" t="str">
        <f t="shared" si="4"/>
        <v/>
      </c>
      <c r="F22" s="14" t="str">
        <f t="shared" si="5"/>
        <v/>
      </c>
      <c r="G22" s="63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41"/>
    </row>
    <row r="23" spans="1:12" ht="15.6">
      <c r="A23" s="30" t="str">
        <v xml:space="preserve"> Denver - BA - 49th Ave</v>
      </c>
      <c r="B23" s="31" t="str">
        <v>CO</v>
      </c>
      <c r="C23" s="11">
        <v>526.86599999999999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64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43"/>
    </row>
    <row r="24" spans="1:12" ht="15.6">
      <c r="A24" s="28" t="str">
        <v xml:space="preserve"> Denver - BA Wadsworth Blvd</v>
      </c>
      <c r="B24" s="29" t="str">
        <v>CO</v>
      </c>
      <c r="C24" s="24">
        <v>1332.5229999999999</v>
      </c>
      <c r="D24" s="13" t="s">
        <v>22</v>
      </c>
      <c r="E24" s="13" t="str">
        <f t="shared" si="4"/>
        <v/>
      </c>
      <c r="F24" s="14" t="str">
        <f t="shared" si="5"/>
        <v/>
      </c>
      <c r="G24" s="63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41"/>
    </row>
    <row r="25" spans="1:12" ht="15.6">
      <c r="A25" s="30" t="str">
        <v xml:space="preserve"> Fort Collins - Bank of America</v>
      </c>
      <c r="B25" s="31" t="str">
        <v>CO</v>
      </c>
      <c r="C25" s="11">
        <v>831.20399999999995</v>
      </c>
      <c r="D25" s="18" t="s">
        <v>22</v>
      </c>
      <c r="E25" s="18" t="str">
        <f t="shared" si="4"/>
        <v/>
      </c>
      <c r="F25" s="19" t="str">
        <f t="shared" si="5"/>
        <v/>
      </c>
      <c r="G25" s="64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42"/>
    </row>
    <row r="26" spans="1:12" ht="15.6">
      <c r="A26" s="28" t="str">
        <v xml:space="preserve"> Lafayette - Bank of America</v>
      </c>
      <c r="B26" s="29" t="str">
        <v>CO</v>
      </c>
      <c r="C26" s="24">
        <v>1201.366</v>
      </c>
      <c r="D26" s="13" t="s">
        <v>22</v>
      </c>
      <c r="E26" s="13" t="str">
        <f t="shared" si="4"/>
        <v/>
      </c>
      <c r="F26" s="14" t="str">
        <f t="shared" si="5"/>
        <v/>
      </c>
      <c r="G26" s="63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41"/>
    </row>
    <row r="27" spans="1:12" ht="15.6">
      <c r="A27" s="30" t="str">
        <v xml:space="preserve"> Lakewood - Bank of America</v>
      </c>
      <c r="B27" s="31" t="str">
        <v>CO</v>
      </c>
      <c r="C27" s="11">
        <v>565.26700000000005</v>
      </c>
      <c r="D27" s="18" t="s">
        <v>22</v>
      </c>
      <c r="E27" s="18" t="str">
        <f t="shared" si="4"/>
        <v/>
      </c>
      <c r="F27" s="19" t="str">
        <f t="shared" si="5"/>
        <v/>
      </c>
      <c r="G27" s="64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43"/>
    </row>
    <row r="28" spans="1:12" ht="15.6">
      <c r="A28" s="28" t="str">
        <v xml:space="preserve"> Longmont - Bank of America</v>
      </c>
      <c r="B28" s="29" t="str">
        <v>CO</v>
      </c>
      <c r="C28" s="24">
        <v>525.97199999999998</v>
      </c>
      <c r="D28" s="13" t="s">
        <v>22</v>
      </c>
      <c r="E28" s="13" t="str">
        <f t="shared" si="4"/>
        <v/>
      </c>
      <c r="F28" s="14" t="str">
        <f t="shared" si="5"/>
        <v/>
      </c>
      <c r="G28" s="63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41"/>
    </row>
    <row r="29" spans="1:12" ht="15.6">
      <c r="A29" s="30" t="str">
        <v xml:space="preserve"> Thornton - Bank of America</v>
      </c>
      <c r="B29" s="31" t="str">
        <v>CO</v>
      </c>
      <c r="C29" s="11">
        <v>646.67600000000004</v>
      </c>
      <c r="D29" s="18" t="s">
        <v>22</v>
      </c>
      <c r="E29" s="18" t="str">
        <f t="shared" si="4"/>
        <v/>
      </c>
      <c r="F29" s="19" t="str">
        <f t="shared" si="5"/>
        <v/>
      </c>
      <c r="G29" s="64" t="s">
        <v>22</v>
      </c>
      <c r="H29" s="20" t="str">
        <f t="shared" si="6"/>
        <v/>
      </c>
      <c r="I29" s="19" t="str">
        <f t="shared" si="7"/>
        <v/>
      </c>
      <c r="J29" s="42"/>
      <c r="K29" s="43"/>
      <c r="L29" s="43"/>
    </row>
    <row r="30" spans="1:12" ht="15.6">
      <c r="A30" s="28" t="str">
        <v xml:space="preserve"> Calumet City - Bank of America</v>
      </c>
      <c r="B30" s="29" t="str">
        <v>IL</v>
      </c>
      <c r="C30" s="24">
        <v>1010.516</v>
      </c>
      <c r="D30" s="13" t="s">
        <v>22</v>
      </c>
      <c r="E30" s="13" t="str">
        <f t="shared" si="4"/>
        <v/>
      </c>
      <c r="F30" s="14" t="str">
        <f t="shared" si="5"/>
        <v/>
      </c>
      <c r="G30" s="63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41"/>
    </row>
    <row r="31" spans="1:12" ht="15.6">
      <c r="A31" s="30" t="str">
        <v xml:space="preserve"> Downers Grove - Bank of America</v>
      </c>
      <c r="B31" s="31" t="str">
        <v>IL</v>
      </c>
      <c r="C31" s="11">
        <v>1186.94</v>
      </c>
      <c r="D31" s="18" t="s">
        <v>22</v>
      </c>
      <c r="E31" s="18" t="str">
        <f t="shared" si="4"/>
        <v/>
      </c>
      <c r="F31" s="19" t="str">
        <f t="shared" si="5"/>
        <v/>
      </c>
      <c r="G31" s="64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43"/>
    </row>
    <row r="32" spans="1:12" ht="15.6">
      <c r="A32" s="28" t="str">
        <v xml:space="preserve"> Bloomington - Bank of America</v>
      </c>
      <c r="B32" s="29" t="str">
        <v>MN</v>
      </c>
      <c r="C32" s="24">
        <v>166.589</v>
      </c>
      <c r="D32" s="13" t="s">
        <v>22</v>
      </c>
      <c r="E32" s="13" t="str">
        <f t="shared" si="4"/>
        <v/>
      </c>
      <c r="F32" s="14" t="str">
        <f t="shared" si="5"/>
        <v/>
      </c>
      <c r="G32" s="63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41"/>
    </row>
    <row r="33" spans="1:12" ht="15.6">
      <c r="A33" s="30" t="str">
        <v xml:space="preserve"> Clayton - Bank of America</v>
      </c>
      <c r="B33" s="31" t="str">
        <v>MO</v>
      </c>
      <c r="C33" s="11">
        <v>1145.643</v>
      </c>
      <c r="D33" s="18" t="s">
        <v>22</v>
      </c>
      <c r="E33" s="18" t="str">
        <f t="shared" si="4"/>
        <v/>
      </c>
      <c r="F33" s="19" t="str">
        <f t="shared" si="5"/>
        <v/>
      </c>
      <c r="G33" s="64" t="s">
        <v>22</v>
      </c>
      <c r="H33" s="20" t="str">
        <f t="shared" si="6"/>
        <v/>
      </c>
      <c r="I33" s="19" t="str">
        <f t="shared" si="7"/>
        <v/>
      </c>
      <c r="J33" s="42"/>
      <c r="K33" s="42"/>
      <c r="L33" s="42"/>
    </row>
    <row r="34" spans="1:12" ht="15.6">
      <c r="A34" s="28" t="str">
        <v xml:space="preserve"> Manchester - Bank of America</v>
      </c>
      <c r="B34" s="29" t="str">
        <v>MO</v>
      </c>
      <c r="C34" s="24">
        <v>903.66200000000003</v>
      </c>
      <c r="D34" s="13" t="s">
        <v>22</v>
      </c>
      <c r="E34" s="13" t="str">
        <f t="shared" si="4"/>
        <v/>
      </c>
      <c r="F34" s="14" t="str">
        <f t="shared" si="5"/>
        <v/>
      </c>
      <c r="G34" s="63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41"/>
    </row>
    <row r="35" spans="1:12" ht="15.6">
      <c r="A35" s="30" t="str">
        <v xml:space="preserve"> Las Vegas - BA - Eastern Ave</v>
      </c>
      <c r="B35" s="31" t="str">
        <v>NV</v>
      </c>
      <c r="C35" s="11">
        <v>29.173999999999999</v>
      </c>
      <c r="D35" s="18" t="s">
        <v>22</v>
      </c>
      <c r="E35" s="18" t="str">
        <f t="shared" si="4"/>
        <v/>
      </c>
      <c r="F35" s="19" t="str">
        <f t="shared" si="5"/>
        <v/>
      </c>
      <c r="G35" s="64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43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63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41"/>
    </row>
    <row r="37" spans="1:12" ht="15.6">
      <c r="A37" s="30" t="str">
        <v xml:space="preserve"> Riverton - Bank of America</v>
      </c>
      <c r="B37" s="31" t="str">
        <v>UT</v>
      </c>
      <c r="C37" s="11">
        <v>1280.7909999999999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64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43"/>
    </row>
    <row r="38" spans="1:12" ht="15.6">
      <c r="A38" s="28" t="str">
        <v xml:space="preserve"> Salt Lake City - Bank of America</v>
      </c>
      <c r="B38" s="29" t="str">
        <v>UT</v>
      </c>
      <c r="C38" s="24">
        <v>43.42</v>
      </c>
      <c r="D38" s="13" t="s">
        <v>22</v>
      </c>
      <c r="E38" s="13" t="str">
        <f t="shared" si="4"/>
        <v/>
      </c>
      <c r="F38" s="14" t="str">
        <f t="shared" si="5"/>
        <v/>
      </c>
      <c r="G38" s="63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4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  <row r="342" spans="1:12" ht="14.45">
      <c r="C342" s="21"/>
      <c r="D342" s="21"/>
      <c r="E342" s="21"/>
      <c r="F342" s="22"/>
      <c r="G342" s="21"/>
      <c r="H342" s="21"/>
      <c r="I342" s="22"/>
      <c r="J342" s="21"/>
      <c r="K342" s="21"/>
      <c r="L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hyperlinks>
    <hyperlink ref="K7" r:id="rId1" display="https://us3.assetplanner.com/service_request?ID=109951" xr:uid="{525F78FE-F4B3-455F-A552-46E095B6B9CA}"/>
    <hyperlink ref="K10" r:id="rId2" display="https://us3.assetplanner.com/service_request?ID=102087" xr:uid="{9E22153B-7D82-4D99-B403-FAF84C8DF343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tabSelected="1" zoomScale="70" zoomScaleNormal="70" workbookViewId="0">
      <pane xSplit="2" ySplit="3" topLeftCell="C4" activePane="bottomRight" state="frozen"/>
      <selection pane="bottomRight" activeCell="A4" sqref="A4:A3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85546875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161</v>
      </c>
      <c r="E1" s="90"/>
      <c r="F1" s="90"/>
      <c r="G1" s="88" t="s">
        <v>162</v>
      </c>
      <c r="H1" s="88"/>
      <c r="I1" s="88"/>
      <c r="J1" s="4"/>
      <c r="K1" s="4"/>
      <c r="L1" s="4"/>
    </row>
    <row r="2" spans="1:12" ht="19.5" customHeight="1">
      <c r="A2" s="91" t="s">
        <v>2</v>
      </c>
      <c r="B2" s="91"/>
      <c r="C2" s="5">
        <f>SUM(C4:C100)</f>
        <v>107329</v>
      </c>
      <c r="D2" s="5">
        <f>SUM(D4:D100)</f>
        <v>0</v>
      </c>
      <c r="E2" s="5">
        <f>C2-D2</f>
        <v>107329</v>
      </c>
      <c r="F2" s="6">
        <f>IFERROR(E2/D2, 0)</f>
        <v>0</v>
      </c>
      <c r="G2" s="5">
        <f>SUM(G4:G100)</f>
        <v>0</v>
      </c>
      <c r="H2" s="7">
        <f>C2-G2</f>
        <v>107329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150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2" ht="15.75">
      <c r="A6" s="28" t="str">
        <v xml:space="preserve"> Arvin - Bank of America</v>
      </c>
      <c r="B6" s="29" t="str">
        <v>CA</v>
      </c>
      <c r="C6" s="24">
        <v>34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2" ht="45.75">
      <c r="A7" s="30" t="str">
        <v xml:space="preserve"> Bell - Bank of America</v>
      </c>
      <c r="B7" s="31" t="str">
        <v>CA</v>
      </c>
      <c r="C7" s="11">
        <v>1468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60" t="s">
        <v>158</v>
      </c>
      <c r="K7" s="66" t="s">
        <v>159</v>
      </c>
      <c r="L7" s="86" t="s">
        <v>160</v>
      </c>
    </row>
    <row r="8" spans="1:12" ht="15.75">
      <c r="A8" s="28" t="str">
        <v xml:space="preserve"> Chula Vista - Bank of America</v>
      </c>
      <c r="B8" s="29" t="str">
        <v>CA</v>
      </c>
      <c r="C8" s="24">
        <v>759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41"/>
    </row>
    <row r="9" spans="1:12" ht="15.75">
      <c r="A9" s="30" t="str">
        <v xml:space="preserve"> Cupertino - Bank of America</v>
      </c>
      <c r="B9" s="31" t="str">
        <v>CA</v>
      </c>
      <c r="C9" s="11">
        <v>9436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/>
      <c r="K9" s="61"/>
      <c r="L9" s="61"/>
    </row>
    <row r="10" spans="1:12" ht="30.75">
      <c r="A10" s="28" t="str">
        <v xml:space="preserve"> Diamond Bar - Bank of America</v>
      </c>
      <c r="B10" s="29" t="str">
        <v>CA</v>
      </c>
      <c r="C10" s="24">
        <v>1609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63" t="str">
        <f t="shared" si="1"/>
        <v/>
      </c>
      <c r="I10" s="16" t="str">
        <f t="shared" si="2"/>
        <v/>
      </c>
      <c r="J10" s="62" t="s">
        <v>147</v>
      </c>
      <c r="K10" s="67" t="s">
        <v>163</v>
      </c>
      <c r="L10" s="87" t="s">
        <v>160</v>
      </c>
    </row>
    <row r="11" spans="1:12" ht="15.75">
      <c r="A11" s="30" t="str">
        <v xml:space="preserve"> El Centro - Bank of America</v>
      </c>
      <c r="B11" s="31" t="str">
        <v>CA</v>
      </c>
      <c r="C11" s="11">
        <v>1641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43"/>
    </row>
    <row r="12" spans="1:12" ht="15.75">
      <c r="A12" s="28" t="str">
        <v xml:space="preserve"> Moreno Valley - Bank of America</v>
      </c>
      <c r="B12" s="29" t="str">
        <v>CA</v>
      </c>
      <c r="C12" s="24">
        <v>2376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41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43"/>
    </row>
    <row r="14" spans="1:12" ht="15.75">
      <c r="A14" s="28" t="str">
        <v xml:space="preserve"> Roseville - Bank of America</v>
      </c>
      <c r="B14" s="29" t="str">
        <v>CA</v>
      </c>
      <c r="C14" s="24">
        <v>9820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41"/>
    </row>
    <row r="15" spans="1:12" ht="15.75">
      <c r="A15" s="30" t="str">
        <v xml:space="preserve"> San Bernardino - Bank of America</v>
      </c>
      <c r="B15" s="31" t="str">
        <v>CA</v>
      </c>
      <c r="C15" s="11">
        <v>3583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43"/>
    </row>
    <row r="16" spans="1:12" ht="15.75">
      <c r="A16" s="28" t="str">
        <v xml:space="preserve"> San Diego - Bank of America</v>
      </c>
      <c r="B16" s="29" t="str">
        <v>CA</v>
      </c>
      <c r="C16" s="24">
        <v>182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41"/>
    </row>
    <row r="17" spans="1:12" ht="15.75">
      <c r="A17" s="30" t="str">
        <v xml:space="preserve"> Stockton - Bank of America</v>
      </c>
      <c r="B17" s="31" t="str">
        <v>CA</v>
      </c>
      <c r="C17" s="11">
        <v>218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1"/>
        <v/>
      </c>
      <c r="I17" s="19" t="str">
        <f t="shared" si="2"/>
        <v/>
      </c>
      <c r="J17" s="60"/>
      <c r="K17" s="60"/>
      <c r="L17" s="60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63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41"/>
    </row>
    <row r="19" spans="1:12" ht="15.75">
      <c r="A19" s="30" t="str">
        <v xml:space="preserve"> Aurora - BA - Colfax Ave</v>
      </c>
      <c r="B19" s="31" t="str">
        <v>CO</v>
      </c>
      <c r="C19" s="11">
        <v>5099</v>
      </c>
      <c r="D19" s="18" t="s">
        <v>22</v>
      </c>
      <c r="E19" s="18" t="str">
        <f t="shared" si="4"/>
        <v/>
      </c>
      <c r="F19" s="19" t="str">
        <f t="shared" si="5"/>
        <v/>
      </c>
      <c r="G19" s="64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43"/>
    </row>
    <row r="20" spans="1:12" ht="15.75">
      <c r="A20" s="28" t="str">
        <v xml:space="preserve"> Aurora - BA - Parker Rd</v>
      </c>
      <c r="B20" s="29" t="str">
        <v>CO</v>
      </c>
      <c r="C20" s="24">
        <v>1405</v>
      </c>
      <c r="D20" s="13" t="s">
        <v>22</v>
      </c>
      <c r="E20" s="13" t="str">
        <f t="shared" si="4"/>
        <v/>
      </c>
      <c r="F20" s="14" t="str">
        <f t="shared" si="5"/>
        <v/>
      </c>
      <c r="G20" s="63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41"/>
    </row>
    <row r="21" spans="1:12" ht="15.75">
      <c r="A21" s="30" t="str">
        <v xml:space="preserve"> Broomfield - Bank of America</v>
      </c>
      <c r="B21" s="31" t="str">
        <v>CO</v>
      </c>
      <c r="C21" s="11">
        <v>5219</v>
      </c>
      <c r="D21" s="18" t="s">
        <v>22</v>
      </c>
      <c r="E21" s="18" t="str">
        <f t="shared" si="4"/>
        <v/>
      </c>
      <c r="F21" s="19" t="str">
        <f t="shared" si="5"/>
        <v/>
      </c>
      <c r="G21" s="64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43"/>
    </row>
    <row r="22" spans="1:12" ht="15.75">
      <c r="A22" s="28" t="str">
        <v xml:space="preserve"> Colorado Springs - Bank of America</v>
      </c>
      <c r="B22" s="29" t="str">
        <v>CO</v>
      </c>
      <c r="C22" s="24">
        <v>1229</v>
      </c>
      <c r="D22" s="13" t="s">
        <v>22</v>
      </c>
      <c r="E22" s="13" t="str">
        <f t="shared" si="4"/>
        <v/>
      </c>
      <c r="F22" s="14" t="str">
        <f t="shared" si="5"/>
        <v/>
      </c>
      <c r="G22" s="63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41"/>
    </row>
    <row r="23" spans="1:12" ht="15.75">
      <c r="A23" s="30" t="str">
        <v xml:space="preserve"> Denver - BA - 49th Ave</v>
      </c>
      <c r="B23" s="31" t="str">
        <v>CO</v>
      </c>
      <c r="C23" s="11">
        <v>354</v>
      </c>
      <c r="D23" s="18" t="s">
        <v>22</v>
      </c>
      <c r="E23" s="18" t="str">
        <f t="shared" si="4"/>
        <v/>
      </c>
      <c r="F23" s="19" t="str">
        <f t="shared" si="5"/>
        <v/>
      </c>
      <c r="G23" s="64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43"/>
    </row>
    <row r="24" spans="1:12" ht="15.75">
      <c r="A24" s="28" t="str">
        <v xml:space="preserve"> Denver - BA Wadsworth Blvd</v>
      </c>
      <c r="B24" s="29" t="str">
        <v>CO</v>
      </c>
      <c r="C24" s="24">
        <v>9820</v>
      </c>
      <c r="D24" s="13" t="s">
        <v>22</v>
      </c>
      <c r="E24" s="13" t="str">
        <f t="shared" si="4"/>
        <v/>
      </c>
      <c r="F24" s="14" t="str">
        <f t="shared" si="5"/>
        <v/>
      </c>
      <c r="G24" s="63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41"/>
    </row>
    <row r="25" spans="1:12" ht="15.75">
      <c r="A25" s="30" t="str">
        <v xml:space="preserve"> Fort Collins - Bank of America</v>
      </c>
      <c r="B25" s="31" t="str">
        <v>CO</v>
      </c>
      <c r="C25" s="11">
        <v>574</v>
      </c>
      <c r="D25" s="18" t="s">
        <v>22</v>
      </c>
      <c r="E25" s="18" t="str">
        <f t="shared" si="4"/>
        <v/>
      </c>
      <c r="F25" s="19" t="str">
        <f t="shared" si="5"/>
        <v/>
      </c>
      <c r="G25" s="64" t="s">
        <v>22</v>
      </c>
      <c r="H25" s="20" t="str">
        <f t="shared" si="6"/>
        <v/>
      </c>
      <c r="I25" s="19" t="str">
        <f t="shared" si="7"/>
        <v/>
      </c>
      <c r="J25" s="60"/>
      <c r="K25" s="60"/>
      <c r="L25" s="60"/>
    </row>
    <row r="26" spans="1:12" ht="15.75">
      <c r="A26" s="28" t="str">
        <v xml:space="preserve"> Lafayette - Bank of America</v>
      </c>
      <c r="B26" s="29" t="str">
        <v>CO</v>
      </c>
      <c r="C26" s="24">
        <v>8524</v>
      </c>
      <c r="D26" s="13" t="s">
        <v>22</v>
      </c>
      <c r="E26" s="13" t="str">
        <f t="shared" si="4"/>
        <v/>
      </c>
      <c r="F26" s="14" t="str">
        <f t="shared" si="5"/>
        <v/>
      </c>
      <c r="G26" s="63" t="s">
        <v>22</v>
      </c>
      <c r="H26" s="15" t="str">
        <f t="shared" si="6"/>
        <v/>
      </c>
      <c r="I26" s="16" t="str">
        <f t="shared" si="7"/>
        <v/>
      </c>
      <c r="J26" s="62"/>
      <c r="K26" s="62"/>
      <c r="L26" s="62"/>
    </row>
    <row r="27" spans="1:12" ht="15.75">
      <c r="A27" s="30" t="str">
        <v xml:space="preserve"> Lakewood - Bank of America</v>
      </c>
      <c r="B27" s="31" t="str">
        <v>CO</v>
      </c>
      <c r="C27" s="11">
        <v>3667</v>
      </c>
      <c r="D27" s="18" t="s">
        <v>22</v>
      </c>
      <c r="E27" s="18" t="str">
        <f t="shared" si="4"/>
        <v/>
      </c>
      <c r="F27" s="19" t="str">
        <f t="shared" si="5"/>
        <v/>
      </c>
      <c r="G27" s="64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43"/>
    </row>
    <row r="28" spans="1:12" ht="15.75">
      <c r="A28" s="28" t="str">
        <v xml:space="preserve"> Longmont - Bank of America</v>
      </c>
      <c r="B28" s="29" t="str">
        <v>CO</v>
      </c>
      <c r="C28" s="24">
        <v>3725</v>
      </c>
      <c r="D28" s="13" t="s">
        <v>22</v>
      </c>
      <c r="E28" s="13" t="str">
        <f t="shared" si="4"/>
        <v/>
      </c>
      <c r="F28" s="14" t="str">
        <f t="shared" si="5"/>
        <v/>
      </c>
      <c r="G28" s="63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41"/>
    </row>
    <row r="29" spans="1:12" ht="15.75">
      <c r="A29" s="30" t="str">
        <v xml:space="preserve"> Thornton - Bank of America</v>
      </c>
      <c r="B29" s="31" t="str">
        <v>CO</v>
      </c>
      <c r="C29" s="11">
        <v>5070</v>
      </c>
      <c r="D29" s="18" t="s">
        <v>22</v>
      </c>
      <c r="E29" s="18" t="str">
        <f t="shared" si="4"/>
        <v/>
      </c>
      <c r="F29" s="19" t="str">
        <f t="shared" si="5"/>
        <v/>
      </c>
      <c r="G29" s="64" t="s">
        <v>22</v>
      </c>
      <c r="H29" s="20" t="str">
        <f t="shared" si="6"/>
        <v/>
      </c>
      <c r="I29" s="19" t="str">
        <f t="shared" si="7"/>
        <v/>
      </c>
      <c r="J29" s="42"/>
      <c r="K29" s="43"/>
      <c r="L29" s="43"/>
    </row>
    <row r="30" spans="1:12" ht="15.75">
      <c r="A30" s="28" t="str">
        <v xml:space="preserve"> Calumet City - Bank of America</v>
      </c>
      <c r="B30" s="29" t="str">
        <v>IL</v>
      </c>
      <c r="C30" s="24">
        <v>4903</v>
      </c>
      <c r="D30" s="13" t="s">
        <v>22</v>
      </c>
      <c r="E30" s="13" t="str">
        <f t="shared" si="4"/>
        <v/>
      </c>
      <c r="F30" s="14" t="str">
        <f t="shared" si="5"/>
        <v/>
      </c>
      <c r="G30" s="63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41"/>
    </row>
    <row r="31" spans="1:12" ht="15.75">
      <c r="A31" s="30" t="str">
        <v xml:space="preserve"> Downers Grove - Bank of America</v>
      </c>
      <c r="B31" s="31" t="str">
        <v>IL</v>
      </c>
      <c r="C31" s="11">
        <v>3166</v>
      </c>
      <c r="D31" s="18" t="s">
        <v>22</v>
      </c>
      <c r="E31" s="18" t="str">
        <f t="shared" si="4"/>
        <v/>
      </c>
      <c r="F31" s="19" t="str">
        <f t="shared" si="5"/>
        <v/>
      </c>
      <c r="G31" s="64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43"/>
    </row>
    <row r="32" spans="1:12" ht="15.75">
      <c r="A32" s="28" t="str">
        <v xml:space="preserve"> Bloomington - Bank of America</v>
      </c>
      <c r="B32" s="29" t="str">
        <v>MN</v>
      </c>
      <c r="C32" s="24">
        <v>412</v>
      </c>
      <c r="D32" s="13" t="s">
        <v>22</v>
      </c>
      <c r="E32" s="13" t="str">
        <f t="shared" si="4"/>
        <v/>
      </c>
      <c r="F32" s="14" t="str">
        <f t="shared" si="5"/>
        <v/>
      </c>
      <c r="G32" s="63" t="s">
        <v>22</v>
      </c>
      <c r="H32" s="15" t="str">
        <f t="shared" si="6"/>
        <v/>
      </c>
      <c r="I32" s="16" t="str">
        <f t="shared" si="7"/>
        <v/>
      </c>
      <c r="J32" s="62"/>
      <c r="K32" s="62"/>
      <c r="L32" s="62"/>
    </row>
    <row r="33" spans="1:12" ht="15.75">
      <c r="A33" s="30" t="str">
        <v xml:space="preserve"> Clayton - Bank of America</v>
      </c>
      <c r="B33" s="31" t="str">
        <v>MO</v>
      </c>
      <c r="C33" s="11">
        <v>7297</v>
      </c>
      <c r="D33" s="18" t="s">
        <v>22</v>
      </c>
      <c r="E33" s="18" t="str">
        <f t="shared" si="4"/>
        <v/>
      </c>
      <c r="F33" s="19" t="str">
        <f t="shared" si="5"/>
        <v/>
      </c>
      <c r="G33" s="64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43"/>
    </row>
    <row r="34" spans="1:12" ht="15.75">
      <c r="A34" s="28" t="str">
        <v xml:space="preserve"> Manchester - Bank of America</v>
      </c>
      <c r="B34" s="29" t="str">
        <v>MO</v>
      </c>
      <c r="C34" s="24">
        <v>6248</v>
      </c>
      <c r="D34" s="13" t="s">
        <v>22</v>
      </c>
      <c r="E34" s="13" t="str">
        <f t="shared" si="4"/>
        <v/>
      </c>
      <c r="F34" s="14" t="str">
        <f t="shared" si="5"/>
        <v/>
      </c>
      <c r="G34" s="63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41"/>
    </row>
    <row r="35" spans="1:12" ht="15.75">
      <c r="A35" s="30" t="str">
        <v xml:space="preserve"> Las Vegas - BA - Eastern Ave</v>
      </c>
      <c r="B35" s="31" t="str">
        <v>NV</v>
      </c>
      <c r="C35" s="11">
        <v>24</v>
      </c>
      <c r="D35" s="18" t="s">
        <v>22</v>
      </c>
      <c r="E35" s="18" t="str">
        <f t="shared" si="4"/>
        <v/>
      </c>
      <c r="F35" s="19" t="str">
        <f t="shared" si="5"/>
        <v/>
      </c>
      <c r="G35" s="64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43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63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41"/>
    </row>
    <row r="37" spans="1:12" ht="15.75">
      <c r="A37" s="30" t="str">
        <v xml:space="preserve"> Riverton - Bank of America</v>
      </c>
      <c r="B37" s="31" t="str">
        <v>UT</v>
      </c>
      <c r="C37" s="11">
        <v>9435</v>
      </c>
      <c r="D37" s="18" t="s">
        <v>22</v>
      </c>
      <c r="E37" s="18" t="str">
        <f t="shared" si="4"/>
        <v/>
      </c>
      <c r="F37" s="19" t="str">
        <f t="shared" si="5"/>
        <v/>
      </c>
      <c r="G37" s="64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43"/>
    </row>
    <row r="38" spans="1:12" ht="15.75">
      <c r="A38" s="28" t="str">
        <v xml:space="preserve"> Salt Lake City - Bank of America</v>
      </c>
      <c r="B38" s="29" t="str">
        <v>UT</v>
      </c>
      <c r="C38" s="24">
        <v>32</v>
      </c>
      <c r="D38" s="13" t="s">
        <v>22</v>
      </c>
      <c r="E38" s="13" t="str">
        <f t="shared" si="4"/>
        <v/>
      </c>
      <c r="F38" s="14" t="str">
        <f t="shared" si="5"/>
        <v/>
      </c>
      <c r="G38" s="63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41"/>
    </row>
    <row r="39" spans="1:12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  <row r="342" spans="1:12" ht="14.25">
      <c r="C342" s="21"/>
      <c r="D342" s="21"/>
      <c r="E342" s="21"/>
      <c r="F342" s="22"/>
      <c r="G342" s="21"/>
      <c r="H342" s="21"/>
      <c r="I342" s="22"/>
      <c r="J342" s="21"/>
      <c r="K342" s="21"/>
      <c r="L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hyperlinks>
    <hyperlink ref="K7" r:id="rId1" display="https://us3.assetplanner.com/service_request?ID=109951" xr:uid="{9987786C-2E2C-4921-BB92-A529CA470BB8}"/>
    <hyperlink ref="K10" r:id="rId2" display="https://us3.assetplanner.com/service_request?ID=102087" xr:uid="{AA900F73-D1AA-4081-AF6F-ABAA02705D36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15" activePane="bottomLeft" state="frozen"/>
      <selection pane="bottomLeft" activeCell="A38" sqref="A38:XFD38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164</v>
      </c>
      <c r="B1" t="s">
        <v>165</v>
      </c>
    </row>
    <row r="3" spans="1:7" ht="13.15">
      <c r="A3" t="s">
        <v>166</v>
      </c>
      <c r="B3" t="s">
        <v>3</v>
      </c>
      <c r="C3" t="s">
        <v>4</v>
      </c>
      <c r="D3" t="s">
        <v>167</v>
      </c>
      <c r="E3" s="2" t="s">
        <v>168</v>
      </c>
    </row>
    <row r="4" spans="1:7" ht="14.45">
      <c r="A4" s="44" t="s">
        <v>169</v>
      </c>
      <c r="B4" s="45" t="s">
        <v>170</v>
      </c>
      <c r="C4" s="45" t="s">
        <v>171</v>
      </c>
      <c r="D4" s="46"/>
      <c r="E4" s="47" t="s">
        <v>172</v>
      </c>
      <c r="G4" s="3"/>
    </row>
    <row r="5" spans="1:7" ht="14.45">
      <c r="A5" s="48" t="s">
        <v>169</v>
      </c>
      <c r="B5" s="49" t="s">
        <v>173</v>
      </c>
      <c r="C5" s="49" t="s">
        <v>171</v>
      </c>
      <c r="D5" s="50"/>
      <c r="E5" s="51" t="s">
        <v>172</v>
      </c>
      <c r="G5" s="3"/>
    </row>
    <row r="6" spans="1:7" ht="14.45">
      <c r="A6" s="44" t="s">
        <v>174</v>
      </c>
      <c r="B6" s="45" t="s">
        <v>175</v>
      </c>
      <c r="C6" s="45" t="s">
        <v>171</v>
      </c>
      <c r="D6" s="46"/>
      <c r="E6" s="47" t="s">
        <v>172</v>
      </c>
      <c r="G6" s="3"/>
    </row>
    <row r="7" spans="1:7" ht="12.75" customHeight="1">
      <c r="A7" s="48" t="s">
        <v>176</v>
      </c>
      <c r="B7" s="49" t="s">
        <v>177</v>
      </c>
      <c r="C7" s="49" t="s">
        <v>171</v>
      </c>
      <c r="D7" s="50"/>
      <c r="E7" s="51" t="s">
        <v>172</v>
      </c>
    </row>
    <row r="8" spans="1:7" ht="12.75" customHeight="1">
      <c r="A8" s="44" t="s">
        <v>178</v>
      </c>
      <c r="B8" s="45" t="s">
        <v>179</v>
      </c>
      <c r="C8" s="45" t="s">
        <v>171</v>
      </c>
      <c r="D8" s="46"/>
      <c r="E8" s="47" t="s">
        <v>172</v>
      </c>
    </row>
    <row r="9" spans="1:7" ht="12.75" customHeight="1">
      <c r="A9" s="48" t="s">
        <v>180</v>
      </c>
      <c r="B9" s="49" t="s">
        <v>181</v>
      </c>
      <c r="C9" s="49" t="s">
        <v>171</v>
      </c>
      <c r="D9" s="50"/>
      <c r="E9" s="51" t="s">
        <v>172</v>
      </c>
    </row>
    <row r="10" spans="1:7" ht="12.75" customHeight="1">
      <c r="A10" s="44" t="s">
        <v>182</v>
      </c>
      <c r="B10" s="45" t="s">
        <v>183</v>
      </c>
      <c r="C10" s="45" t="s">
        <v>171</v>
      </c>
      <c r="D10" s="46"/>
      <c r="E10" s="47" t="s">
        <v>172</v>
      </c>
    </row>
    <row r="11" spans="1:7" ht="12.75" customHeight="1">
      <c r="A11" s="48" t="s">
        <v>184</v>
      </c>
      <c r="B11" s="49" t="s">
        <v>185</v>
      </c>
      <c r="C11" s="49" t="s">
        <v>171</v>
      </c>
      <c r="D11" s="50"/>
      <c r="E11" s="51" t="s">
        <v>172</v>
      </c>
    </row>
    <row r="12" spans="1:7" ht="12.75" customHeight="1">
      <c r="A12" s="44" t="s">
        <v>186</v>
      </c>
      <c r="B12" s="45" t="s">
        <v>187</v>
      </c>
      <c r="C12" s="45" t="s">
        <v>171</v>
      </c>
      <c r="D12" s="46"/>
      <c r="E12" s="47" t="s">
        <v>172</v>
      </c>
    </row>
    <row r="13" spans="1:7" ht="12.75" customHeight="1">
      <c r="A13" s="48" t="s">
        <v>169</v>
      </c>
      <c r="B13" s="49" t="s">
        <v>188</v>
      </c>
      <c r="C13" s="49" t="s">
        <v>171</v>
      </c>
      <c r="D13" s="50"/>
      <c r="E13" s="51" t="s">
        <v>172</v>
      </c>
    </row>
    <row r="14" spans="1:7" ht="12.75" customHeight="1">
      <c r="A14" s="44" t="s">
        <v>189</v>
      </c>
      <c r="B14" s="45" t="s">
        <v>190</v>
      </c>
      <c r="C14" s="45" t="s">
        <v>171</v>
      </c>
      <c r="D14" s="46"/>
      <c r="E14" s="47" t="s">
        <v>172</v>
      </c>
    </row>
    <row r="15" spans="1:7" ht="12.75" customHeight="1">
      <c r="A15" s="48" t="s">
        <v>191</v>
      </c>
      <c r="B15" s="49" t="s">
        <v>192</v>
      </c>
      <c r="C15" s="49" t="s">
        <v>171</v>
      </c>
      <c r="D15" s="50"/>
      <c r="E15" s="51" t="s">
        <v>172</v>
      </c>
    </row>
    <row r="16" spans="1:7" ht="12.75" customHeight="1">
      <c r="A16" s="44" t="s">
        <v>193</v>
      </c>
      <c r="B16" s="45" t="s">
        <v>194</v>
      </c>
      <c r="C16" s="45" t="s">
        <v>171</v>
      </c>
      <c r="D16" s="46"/>
      <c r="E16" s="47" t="s">
        <v>172</v>
      </c>
    </row>
    <row r="17" spans="1:5" ht="12.75" customHeight="1">
      <c r="A17" s="48" t="s">
        <v>195</v>
      </c>
      <c r="B17" s="49" t="s">
        <v>196</v>
      </c>
      <c r="C17" s="49" t="s">
        <v>171</v>
      </c>
      <c r="D17" s="50"/>
      <c r="E17" s="51" t="s">
        <v>172</v>
      </c>
    </row>
    <row r="18" spans="1:5" ht="12.75" customHeight="1">
      <c r="A18" s="48"/>
      <c r="B18" s="49" t="s">
        <v>197</v>
      </c>
      <c r="C18" s="49" t="s">
        <v>171</v>
      </c>
      <c r="D18" s="46"/>
      <c r="E18" s="47" t="s">
        <v>172</v>
      </c>
    </row>
    <row r="19" spans="1:5" ht="12.75" customHeight="1">
      <c r="A19" s="48" t="s">
        <v>198</v>
      </c>
      <c r="B19" s="49" t="s">
        <v>199</v>
      </c>
      <c r="C19" s="49" t="s">
        <v>200</v>
      </c>
      <c r="D19" s="50"/>
      <c r="E19" s="51" t="s">
        <v>172</v>
      </c>
    </row>
    <row r="20" spans="1:5" ht="12.75" customHeight="1">
      <c r="A20" s="48" t="s">
        <v>201</v>
      </c>
      <c r="B20" s="49" t="s">
        <v>202</v>
      </c>
      <c r="C20" s="49" t="s">
        <v>200</v>
      </c>
      <c r="D20" s="46"/>
      <c r="E20" s="47" t="s">
        <v>172</v>
      </c>
    </row>
    <row r="21" spans="1:5" ht="12.75" customHeight="1">
      <c r="A21" s="48" t="s">
        <v>203</v>
      </c>
      <c r="B21" s="49" t="s">
        <v>204</v>
      </c>
      <c r="C21" s="49" t="s">
        <v>200</v>
      </c>
      <c r="D21" s="50"/>
      <c r="E21" s="51" t="s">
        <v>172</v>
      </c>
    </row>
    <row r="22" spans="1:5" ht="12.75" customHeight="1">
      <c r="A22" s="48" t="s">
        <v>205</v>
      </c>
      <c r="B22" s="49" t="s">
        <v>206</v>
      </c>
      <c r="C22" s="49" t="s">
        <v>200</v>
      </c>
      <c r="D22" s="46"/>
      <c r="E22" s="47" t="s">
        <v>172</v>
      </c>
    </row>
    <row r="23" spans="1:5" ht="12.75" customHeight="1">
      <c r="A23" s="48" t="s">
        <v>207</v>
      </c>
      <c r="B23" s="49" t="s">
        <v>208</v>
      </c>
      <c r="C23" s="49" t="s">
        <v>200</v>
      </c>
      <c r="D23" s="50"/>
      <c r="E23" s="51" t="s">
        <v>172</v>
      </c>
    </row>
    <row r="24" spans="1:5" ht="12.75" customHeight="1">
      <c r="A24" s="48" t="s">
        <v>209</v>
      </c>
      <c r="B24" s="49" t="s">
        <v>210</v>
      </c>
      <c r="C24" s="49" t="s">
        <v>200</v>
      </c>
      <c r="D24" s="46"/>
      <c r="E24" s="47" t="s">
        <v>172</v>
      </c>
    </row>
    <row r="25" spans="1:5" ht="12.75" customHeight="1">
      <c r="A25" s="48" t="s">
        <v>211</v>
      </c>
      <c r="B25" s="49" t="s">
        <v>212</v>
      </c>
      <c r="C25" s="49" t="s">
        <v>200</v>
      </c>
      <c r="D25" s="50"/>
      <c r="E25" s="51" t="s">
        <v>172</v>
      </c>
    </row>
    <row r="26" spans="1:5" ht="12.75" customHeight="1">
      <c r="A26" s="48" t="s">
        <v>213</v>
      </c>
      <c r="B26" s="49" t="s">
        <v>214</v>
      </c>
      <c r="C26" s="49" t="s">
        <v>200</v>
      </c>
      <c r="D26" s="46"/>
      <c r="E26" s="47" t="s">
        <v>172</v>
      </c>
    </row>
    <row r="27" spans="1:5" ht="12.75" customHeight="1">
      <c r="A27" s="48" t="s">
        <v>215</v>
      </c>
      <c r="B27" s="49" t="s">
        <v>216</v>
      </c>
      <c r="C27" s="49" t="s">
        <v>200</v>
      </c>
      <c r="D27" s="50"/>
      <c r="E27" s="51" t="s">
        <v>172</v>
      </c>
    </row>
    <row r="28" spans="1:5" ht="12.75" customHeight="1">
      <c r="A28" s="48" t="s">
        <v>217</v>
      </c>
      <c r="B28" s="49" t="s">
        <v>218</v>
      </c>
      <c r="C28" s="49" t="s">
        <v>200</v>
      </c>
      <c r="D28" s="46"/>
      <c r="E28" s="47" t="s">
        <v>172</v>
      </c>
    </row>
    <row r="29" spans="1:5" ht="12.75" customHeight="1">
      <c r="A29" s="48" t="s">
        <v>219</v>
      </c>
      <c r="B29" s="49" t="s">
        <v>220</v>
      </c>
      <c r="C29" s="49" t="s">
        <v>200</v>
      </c>
      <c r="D29" s="50"/>
      <c r="E29" s="51" t="s">
        <v>172</v>
      </c>
    </row>
    <row r="30" spans="1:5" ht="12.75" customHeight="1">
      <c r="A30" s="48" t="s">
        <v>221</v>
      </c>
      <c r="B30" s="49" t="s">
        <v>222</v>
      </c>
      <c r="C30" s="49" t="s">
        <v>223</v>
      </c>
      <c r="D30" s="46"/>
      <c r="E30" s="47" t="s">
        <v>172</v>
      </c>
    </row>
    <row r="31" spans="1:5" ht="12.75" customHeight="1">
      <c r="A31" s="48" t="s">
        <v>224</v>
      </c>
      <c r="B31" s="49" t="s">
        <v>225</v>
      </c>
      <c r="C31" s="49" t="s">
        <v>223</v>
      </c>
      <c r="D31" s="50"/>
      <c r="E31" s="51" t="s">
        <v>172</v>
      </c>
    </row>
    <row r="32" spans="1:5" ht="12.75" customHeight="1">
      <c r="A32" s="48" t="s">
        <v>169</v>
      </c>
      <c r="B32" s="49" t="s">
        <v>226</v>
      </c>
      <c r="C32" s="49" t="s">
        <v>227</v>
      </c>
      <c r="D32" s="46"/>
      <c r="E32" s="47" t="s">
        <v>172</v>
      </c>
    </row>
    <row r="33" spans="1:5" ht="12.75" customHeight="1">
      <c r="A33" s="48" t="s">
        <v>228</v>
      </c>
      <c r="B33" s="49" t="s">
        <v>229</v>
      </c>
      <c r="C33" s="49" t="s">
        <v>230</v>
      </c>
      <c r="D33" s="50"/>
      <c r="E33" s="51" t="s">
        <v>172</v>
      </c>
    </row>
    <row r="34" spans="1:5" ht="12.75" customHeight="1">
      <c r="A34" s="48" t="s">
        <v>231</v>
      </c>
      <c r="B34" s="49" t="s">
        <v>232</v>
      </c>
      <c r="C34" s="49" t="s">
        <v>230</v>
      </c>
      <c r="D34" s="46"/>
      <c r="E34" s="47" t="s">
        <v>172</v>
      </c>
    </row>
    <row r="35" spans="1:5" ht="12.75" customHeight="1">
      <c r="A35" s="48" t="s">
        <v>233</v>
      </c>
      <c r="B35" s="49" t="s">
        <v>234</v>
      </c>
      <c r="C35" s="49" t="s">
        <v>235</v>
      </c>
      <c r="D35" s="50"/>
      <c r="E35" s="51" t="s">
        <v>172</v>
      </c>
    </row>
    <row r="36" spans="1:5" ht="12.75" customHeight="1">
      <c r="A36" s="48" t="s">
        <v>169</v>
      </c>
      <c r="B36" s="49" t="s">
        <v>236</v>
      </c>
      <c r="C36" s="49" t="s">
        <v>235</v>
      </c>
      <c r="D36" s="46"/>
      <c r="E36" s="47" t="s">
        <v>172</v>
      </c>
    </row>
    <row r="37" spans="1:5" ht="12.75" customHeight="1">
      <c r="A37" s="48" t="s">
        <v>237</v>
      </c>
      <c r="B37" s="49" t="s">
        <v>238</v>
      </c>
      <c r="C37" s="49" t="s">
        <v>239</v>
      </c>
      <c r="D37" s="50"/>
      <c r="E37" s="51" t="s">
        <v>172</v>
      </c>
    </row>
    <row r="38" spans="1:5" ht="12.75" customHeight="1">
      <c r="A38" s="52" t="s">
        <v>240</v>
      </c>
      <c r="B38" s="53" t="s">
        <v>241</v>
      </c>
      <c r="C38" s="53" t="s">
        <v>239</v>
      </c>
      <c r="D38" s="54"/>
      <c r="E38" s="55" t="s">
        <v>172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D8F4EB20-3812-44AD-9435-76DC291B5620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