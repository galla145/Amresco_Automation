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\"/>
    </mc:Choice>
  </mc:AlternateContent>
  <xr:revisionPtr revIDLastSave="0" documentId="13_ncr:1_{3ED5237B-D73D-47C0-8D6D-38C6C0402B2B}" xr6:coauthVersionLast="47" xr6:coauthVersionMax="47" xr10:uidLastSave="{00000000-0000-0000-0000-000000000000}"/>
  <bookViews>
    <workbookView xWindow="-108" yWindow="-108" windowWidth="23256" windowHeight="13896" tabRatio="866" firstSheet="4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33" l="1"/>
  <c r="G4" i="29"/>
  <c r="G4" i="30"/>
  <c r="G4" i="18"/>
  <c r="G2" i="18" s="1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I4" i="33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<sst xmlns="http://schemas.openxmlformats.org/spreadsheetml/2006/main" count="285" uniqueCount="76">
  <si>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</si>
  <si>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</si>
  <si>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</si>
  <si>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</si>
  <si>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</si>
  <si>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</si>
  <si>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</si>
  <si>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</si>
  <si>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</si>
  <si>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</si>
  <si>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</si>
  <si>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</si>
  <si>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</si>
  <si>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</si>
  <si>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</si>
  <si>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</si>
  <si>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</si>
  <si>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</si>
  <si>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</si>
  <si>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</si>
  <si>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</si>
  <si>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</si>
  <si>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</si>
  <si>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1.Inverter 2 is showing low production on 01/22 and is offline and inverter was back to normal production from 01/26</t>
  </si>
  <si>
    <t>1.SR095926</t>
  </si>
  <si>
    <t>February Actual v. Expected</t>
  </si>
  <si>
    <t>February Actual v. Forecasted</t>
  </si>
  <si>
    <t>1. Inverters are offline on 02/16 and on 02/17 technician found inverters are online, after a powercycle comms are restored.</t>
  </si>
  <si>
    <t>1. SR097163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</si>
  <si>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</si>
  <si>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</si>
  <si>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</si>
  <si>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</si>
  <si>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</si>
  <si>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</si>
  <si>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1.Site was offline from02:55pm on 05/30 to 11:35 am on 05/31
2.Site was offline from 08:50 am on 05/19 to 02:50 pm on 05/19.</t>
  </si>
  <si>
    <t>1.SR102205
2.SR101664</t>
  </si>
  <si>
    <t>SR101664</t>
  </si>
  <si>
    <t>June Actual v. Expected</t>
  </si>
  <si>
    <t>June Actual v. Forecasted</t>
  </si>
  <si>
    <t>1. The site went offline at 13:15 on 06/20 and came back online at 12:10 on 06/21.</t>
  </si>
  <si>
    <t>1. SR103236</t>
  </si>
  <si>
    <t>July Actual v. Expected</t>
  </si>
  <si>
    <t>July Actual v. Forecasted</t>
  </si>
  <si>
    <t>1.Inverter 1 zone 5 tripped offline at 13:45 on 07/26</t>
  </si>
  <si>
    <t>1.SR104056</t>
  </si>
  <si>
    <t>August Actual v. Expected</t>
  </si>
  <si>
    <t>August Actual v. Forecasted</t>
  </si>
  <si>
    <t>1. Inverter 4 is derating by 120 KW down since 08/12.
2. Inverter 1 zone 5 is back online at 12:00pm on 08/28.</t>
  </si>
  <si>
    <t>1.SR106529
2.SR104056</t>
  </si>
  <si>
    <t>SR104056</t>
  </si>
  <si>
    <t>September Actual v. Expected</t>
  </si>
  <si>
    <t>September Actual v. Forecasted</t>
  </si>
  <si>
    <t>1. Site tripped offline at 15:15 on 09/06 due to severe storms and back online at 15:20 on 09/07.</t>
  </si>
  <si>
    <t>1. SR107563</t>
  </si>
  <si>
    <t>October Actual v. Expected</t>
  </si>
  <si>
    <t>October Actual v. Forecasted</t>
  </si>
  <si>
    <t>November Actual v. Expected</t>
  </si>
  <si>
    <t>November Actual v. Forecasted</t>
  </si>
  <si>
    <t>Status</t>
  </si>
  <si>
    <t>1.Inverter 1 was offline at 12:30 on 11/26 and back online at 11/27</t>
  </si>
  <si>
    <t>1.SR111793</t>
  </si>
  <si>
    <t>1.Closed</t>
  </si>
  <si>
    <t>December Actual v. Expected</t>
  </si>
  <si>
    <t>December Actual v. Forecasted</t>
  </si>
  <si>
    <t xml:space="preserve">                    N/A</t>
  </si>
  <si>
    <t>1. The production was low on 12/02,12/04,12/06,12/07,12/10,12/13 to 12/15,12/19,12/23,12/27 to 12/29 due to snow.</t>
  </si>
  <si>
    <t>Portfolio:</t>
  </si>
  <si>
    <t>MA: Palmer - 105 North Street</t>
  </si>
  <si>
    <t>Site DAS Name</t>
  </si>
  <si>
    <t>Update</t>
  </si>
  <si>
    <t>DAS</t>
  </si>
  <si>
    <t>MA - Palmer Solar</t>
  </si>
  <si>
    <t>MA</t>
  </si>
  <si>
    <t>A</t>
  </si>
  <si>
    <t>Solrenview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</si>
</sst>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2CC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6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0" fontId="30" fillId="46" borderId="1" xfId="0" applyFont="1" applyFill="1" applyBorder="1" applyAlignment="1">
      <alignment wrapText="1"/>
    </xf>
    <xf numFmtId="0" fontId="30" fillId="46" borderId="12" xfId="0" applyFont="1" applyFill="1" applyBorder="1" applyAlignment="1">
      <alignment wrapText="1"/>
    </xf>
    <xf numFmtId="0" fontId="34" fillId="40" borderId="0" xfId="0" applyFont="1" applyFill="1" applyAlignment="1">
      <alignment horizontal="center" vertical="center"/>
    </xf>
    <xf numFmtId="3" fontId="30" fillId="4" borderId="0" xfId="1" applyNumberFormat="1" applyFont="1" applyFill="1" applyBorder="1" applyAlignment="1">
      <alignment horizontal="right" vertical="center"/>
    </xf>
    <xf numFmtId="49" fontId="35" fillId="38" borderId="0" xfId="45" applyNumberFormat="1" applyFill="1" applyBorder="1" applyAlignment="1">
      <alignment vertical="top" wrapText="1"/>
    </xf>
    <xf numFmtId="0" fontId="30" fillId="46" borderId="1" xfId="0" applyFont="1" applyFill="1" applyBorder="1" applyAlignment="1">
      <alignment horizontal="left" vertical="top" wrapText="1"/>
    </xf>
    <xf numFmtId="0" fontId="35" fillId="46" borderId="12" xfId="45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35" fillId="0" borderId="0" xfId="45" applyAlignment="1">
      <alignment horizontal="left" vertical="top"/>
    </xf>
    <xf numFmtId="3" fontId="30" fillId="4" borderId="0" xfId="1" applyNumberFormat="1" applyFont="1" applyFill="1" applyBorder="1" applyAlignment="1">
      <alignment horizontal="right"/>
    </xf>
    <xf numFmtId="3" fontId="30" fillId="3" borderId="0" xfId="0" applyNumberFormat="1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8" dataCellStyle="Normal 2"/>
    <tableColumn id="1" xr3:uid="{9A753695-C18C-437C-AD9C-C2CE5C1A806E}" name="Site" dataDxfId="37" dataCellStyle="Normal 2"/>
    <tableColumn id="2" xr3:uid="{250F229D-34D2-4043-BE8F-6D9C210E223F}" name="State" dataDxfId="36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5926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7163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1664" TargetMode="External"/><Relationship Id="rId1" Type="http://schemas.openxmlformats.org/officeDocument/2006/relationships/hyperlink" Target="https://us3.assetplanner.com/service_request?ID=102205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3236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4056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4056" TargetMode="External"/><Relationship Id="rId1" Type="http://schemas.openxmlformats.org/officeDocument/2006/relationships/hyperlink" Target="https://us3.assetplanner.com/service_request?ID=106529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7563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us3.assetplanner.com/service_request?ID=111793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H12" sqref="H12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61" t="str" cm="1">
        <f t="array" ref="A1">portfolio</f>
        <v>MA: Palmer - 105 North Street</v>
      </c>
      <c r="B1" s="61"/>
      <c r="C1" s="61"/>
      <c r="D1" s="62" t="s">
        <v>0</v>
      </c>
      <c r="E1" s="62"/>
      <c r="F1" s="62"/>
      <c r="G1" s="60" t="s">
        <v>1</v>
      </c>
      <c r="H1" s="60"/>
      <c r="I1" s="60"/>
    </row>
    <row r="2" spans="1:9" ht="19.5" customHeight="1" x14ac:dyDescent="0.25">
      <c r="A2" s="63" t="s">
        <v>2</v>
      </c>
      <c r="B2" s="63"/>
      <c r="C2" s="5">
        <f>SUM(C4:C79)</f>
        <v>2835852</v>
      </c>
      <c r="D2" s="5">
        <f>SUM(D4:D79)</f>
        <v>0</v>
      </c>
      <c r="E2" s="5">
        <f>C2-D2</f>
        <v>2835852</v>
      </c>
      <c r="F2" s="6">
        <f>IFERROR(E2/D2, 0)</f>
        <v>0</v>
      </c>
      <c r="G2" s="5">
        <f>SUM(G4:G79)</f>
        <v>0</v>
      </c>
      <c r="H2" s="7">
        <f>C2-G2</f>
        <v>2835852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 x14ac:dyDescent="0.25">
      <c r="A4" s="11" t="str" cm="1">
        <f t="array" ref="A4">Sites[Site]</f>
        <v>MA: Palmer - 105 North Street</v>
      </c>
      <c r="B4" s="9" t="str" cm="1">
        <f t="array" ref="B4">Sites[State]</f>
        <v>MA</v>
      </c>
      <c r="C4" s="23">
        <f>SUM('1st Qtr'!C4, '2nd Qtr'!C4, '3rd Qtr'!C4, '4th Qtr'!C4)</f>
        <v>2835852</v>
      </c>
      <c r="D4" s="12">
        <f>SUM('1st Qtr'!D4, '2nd Qtr'!D4, '3rd Qtr'!D4, '4th Qtr'!D4)</f>
        <v>0</v>
      </c>
      <c r="E4" s="12">
        <f>IF(AND(ISNUMBER(C4),ISNUMBER(D4)), C4-D4, "")</f>
        <v>2835852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0</v>
      </c>
      <c r="I4" s="15" t="str">
        <f>IFERROR(H4/G4, "")</f>
        <v/>
      </c>
    </row>
    <row r="5" spans="1:9" ht="13.8" x14ac:dyDescent="0.3">
      <c r="A5" s="20"/>
      <c r="B5" s="20"/>
      <c r="C5" s="20"/>
      <c r="D5" s="20"/>
      <c r="E5" s="20"/>
      <c r="F5" s="20"/>
      <c r="G5" s="20"/>
      <c r="H5" s="20"/>
      <c r="I5" s="20"/>
    </row>
    <row r="6" spans="1:9" ht="13.8" x14ac:dyDescent="0.3">
      <c r="A6" s="20"/>
      <c r="B6" s="20"/>
      <c r="C6" s="20"/>
      <c r="D6" s="20"/>
      <c r="E6" s="20"/>
      <c r="F6" s="20"/>
      <c r="G6" s="20"/>
      <c r="H6" s="20"/>
      <c r="I6" s="20"/>
    </row>
    <row r="7" spans="1:9" ht="13.8" x14ac:dyDescent="0.3">
      <c r="A7" s="20"/>
      <c r="B7" s="20"/>
      <c r="C7" s="20"/>
      <c r="D7" s="20"/>
      <c r="E7" s="20"/>
      <c r="F7" s="20"/>
      <c r="G7" s="20"/>
      <c r="H7" s="20"/>
      <c r="I7" s="20"/>
    </row>
    <row r="8" spans="1:9" ht="13.8" x14ac:dyDescent="0.3">
      <c r="A8" s="20"/>
      <c r="B8" s="20"/>
      <c r="C8" s="20"/>
      <c r="D8" s="20"/>
      <c r="E8" s="20"/>
      <c r="F8" s="20"/>
      <c r="G8" s="20"/>
      <c r="H8" s="20"/>
      <c r="I8" s="20"/>
    </row>
    <row r="9" spans="1:9" ht="13.8" x14ac:dyDescent="0.3">
      <c r="A9" s="20"/>
      <c r="B9" s="20"/>
      <c r="C9" s="20"/>
      <c r="D9" s="20"/>
      <c r="E9" s="20"/>
      <c r="F9" s="20"/>
      <c r="G9" s="20"/>
      <c r="H9" s="20"/>
      <c r="I9" s="20"/>
    </row>
    <row r="10" spans="1:9" ht="13.8" x14ac:dyDescent="0.3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8" x14ac:dyDescent="0.3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8" x14ac:dyDescent="0.3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8" x14ac:dyDescent="0.3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8" x14ac:dyDescent="0.3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8" x14ac:dyDescent="0.3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8" x14ac:dyDescent="0.3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8" x14ac:dyDescent="0.3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8" x14ac:dyDescent="0.3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8" x14ac:dyDescent="0.3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8" x14ac:dyDescent="0.3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8" x14ac:dyDescent="0.3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8" x14ac:dyDescent="0.3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8" x14ac:dyDescent="0.3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8" x14ac:dyDescent="0.3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8" x14ac:dyDescent="0.3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8" x14ac:dyDescent="0.3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8" x14ac:dyDescent="0.3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8" x14ac:dyDescent="0.3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8" x14ac:dyDescent="0.3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8" x14ac:dyDescent="0.3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8" x14ac:dyDescent="0.3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8" x14ac:dyDescent="0.3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8" x14ac:dyDescent="0.3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8" x14ac:dyDescent="0.3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8" x14ac:dyDescent="0.3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8" x14ac:dyDescent="0.3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8" x14ac:dyDescent="0.3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8" x14ac:dyDescent="0.3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8" x14ac:dyDescent="0.3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8" x14ac:dyDescent="0.3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8" x14ac:dyDescent="0.3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8" x14ac:dyDescent="0.3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8" x14ac:dyDescent="0.3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8" x14ac:dyDescent="0.3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8" x14ac:dyDescent="0.3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8" x14ac:dyDescent="0.3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8" x14ac:dyDescent="0.3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8" x14ac:dyDescent="0.3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8" x14ac:dyDescent="0.3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8" x14ac:dyDescent="0.3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8" x14ac:dyDescent="0.3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8" x14ac:dyDescent="0.3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8" x14ac:dyDescent="0.3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8" x14ac:dyDescent="0.3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8" x14ac:dyDescent="0.3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8" x14ac:dyDescent="0.3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8" x14ac:dyDescent="0.3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8" x14ac:dyDescent="0.3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8" x14ac:dyDescent="0.3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8" x14ac:dyDescent="0.3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8" x14ac:dyDescent="0.3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8" x14ac:dyDescent="0.3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8" x14ac:dyDescent="0.3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8" x14ac:dyDescent="0.3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8" x14ac:dyDescent="0.3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8" x14ac:dyDescent="0.3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8" x14ac:dyDescent="0.3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8" x14ac:dyDescent="0.3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8" x14ac:dyDescent="0.3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8" x14ac:dyDescent="0.3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8" x14ac:dyDescent="0.3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8" x14ac:dyDescent="0.3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8" x14ac:dyDescent="0.3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8" x14ac:dyDescent="0.3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8" x14ac:dyDescent="0.3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8" x14ac:dyDescent="0.3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8" x14ac:dyDescent="0.3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8" x14ac:dyDescent="0.3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8" x14ac:dyDescent="0.3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8" x14ac:dyDescent="0.3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8" x14ac:dyDescent="0.3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8" x14ac:dyDescent="0.3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8" x14ac:dyDescent="0.3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8" x14ac:dyDescent="0.3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8" x14ac:dyDescent="0.3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8" x14ac:dyDescent="0.3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8" x14ac:dyDescent="0.3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8" x14ac:dyDescent="0.3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8" x14ac:dyDescent="0.3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8" x14ac:dyDescent="0.3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8" x14ac:dyDescent="0.3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8" x14ac:dyDescent="0.3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8" x14ac:dyDescent="0.3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8" x14ac:dyDescent="0.3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8" x14ac:dyDescent="0.3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8" x14ac:dyDescent="0.3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8" x14ac:dyDescent="0.3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8" x14ac:dyDescent="0.3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8" x14ac:dyDescent="0.3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8" x14ac:dyDescent="0.3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8" x14ac:dyDescent="0.3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8" x14ac:dyDescent="0.3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8" x14ac:dyDescent="0.3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8" x14ac:dyDescent="0.3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8" x14ac:dyDescent="0.3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8" x14ac:dyDescent="0.3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8" x14ac:dyDescent="0.3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8" x14ac:dyDescent="0.3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8" x14ac:dyDescent="0.3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8" x14ac:dyDescent="0.3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8" x14ac:dyDescent="0.3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8" x14ac:dyDescent="0.3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8" x14ac:dyDescent="0.3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8" x14ac:dyDescent="0.3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8" x14ac:dyDescent="0.3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8" x14ac:dyDescent="0.3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8" x14ac:dyDescent="0.3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8" x14ac:dyDescent="0.3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8" x14ac:dyDescent="0.3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8" x14ac:dyDescent="0.3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8" x14ac:dyDescent="0.3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8" x14ac:dyDescent="0.3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8" x14ac:dyDescent="0.3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8" x14ac:dyDescent="0.3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8" x14ac:dyDescent="0.3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8" x14ac:dyDescent="0.3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8" x14ac:dyDescent="0.3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8" x14ac:dyDescent="0.3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8" x14ac:dyDescent="0.3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8" x14ac:dyDescent="0.3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8" x14ac:dyDescent="0.3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8" x14ac:dyDescent="0.3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8" x14ac:dyDescent="0.3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8" x14ac:dyDescent="0.3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8" x14ac:dyDescent="0.3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8" x14ac:dyDescent="0.3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8" x14ac:dyDescent="0.3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8" x14ac:dyDescent="0.3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8" x14ac:dyDescent="0.3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8" x14ac:dyDescent="0.3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8" x14ac:dyDescent="0.3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8" x14ac:dyDescent="0.3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8" x14ac:dyDescent="0.3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8" x14ac:dyDescent="0.3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8" x14ac:dyDescent="0.3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8" x14ac:dyDescent="0.3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8" x14ac:dyDescent="0.3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8" x14ac:dyDescent="0.3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8" x14ac:dyDescent="0.3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8" x14ac:dyDescent="0.3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8" x14ac:dyDescent="0.3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8" x14ac:dyDescent="0.3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8" x14ac:dyDescent="0.3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8" x14ac:dyDescent="0.3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8" x14ac:dyDescent="0.3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8" x14ac:dyDescent="0.3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8" x14ac:dyDescent="0.3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8" x14ac:dyDescent="0.3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8" x14ac:dyDescent="0.3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8" x14ac:dyDescent="0.3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8" x14ac:dyDescent="0.3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8" x14ac:dyDescent="0.3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8" x14ac:dyDescent="0.3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8" x14ac:dyDescent="0.3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8" x14ac:dyDescent="0.3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8" x14ac:dyDescent="0.3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8" x14ac:dyDescent="0.3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8" x14ac:dyDescent="0.3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8" x14ac:dyDescent="0.3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8" x14ac:dyDescent="0.3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8" x14ac:dyDescent="0.3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8" x14ac:dyDescent="0.3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8" x14ac:dyDescent="0.3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8" x14ac:dyDescent="0.3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8" x14ac:dyDescent="0.3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8" x14ac:dyDescent="0.3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8" x14ac:dyDescent="0.3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8" x14ac:dyDescent="0.3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8" x14ac:dyDescent="0.3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8" x14ac:dyDescent="0.3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8" x14ac:dyDescent="0.3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8" x14ac:dyDescent="0.3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8" x14ac:dyDescent="0.3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8" x14ac:dyDescent="0.3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8" x14ac:dyDescent="0.3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8" x14ac:dyDescent="0.3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8" x14ac:dyDescent="0.3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8" x14ac:dyDescent="0.3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8" x14ac:dyDescent="0.3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8" x14ac:dyDescent="0.3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8" x14ac:dyDescent="0.3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8" x14ac:dyDescent="0.3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8" x14ac:dyDescent="0.3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8" x14ac:dyDescent="0.3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8" x14ac:dyDescent="0.3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8" x14ac:dyDescent="0.3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8" x14ac:dyDescent="0.3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8" x14ac:dyDescent="0.3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8" x14ac:dyDescent="0.3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8" x14ac:dyDescent="0.3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8" x14ac:dyDescent="0.3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8" x14ac:dyDescent="0.3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8" x14ac:dyDescent="0.3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8" x14ac:dyDescent="0.3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8" x14ac:dyDescent="0.3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8" x14ac:dyDescent="0.3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8" x14ac:dyDescent="0.3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8" x14ac:dyDescent="0.3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8" x14ac:dyDescent="0.3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8" x14ac:dyDescent="0.3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8" x14ac:dyDescent="0.3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8" x14ac:dyDescent="0.3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8" x14ac:dyDescent="0.3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8" x14ac:dyDescent="0.3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8" x14ac:dyDescent="0.3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8" x14ac:dyDescent="0.3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8" x14ac:dyDescent="0.3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8" x14ac:dyDescent="0.3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8" x14ac:dyDescent="0.3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8" x14ac:dyDescent="0.3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8" x14ac:dyDescent="0.3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8" x14ac:dyDescent="0.3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8" x14ac:dyDescent="0.3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8" x14ac:dyDescent="0.3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8" x14ac:dyDescent="0.3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8" x14ac:dyDescent="0.3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8" x14ac:dyDescent="0.3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8" x14ac:dyDescent="0.3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8" x14ac:dyDescent="0.3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8" x14ac:dyDescent="0.3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8" x14ac:dyDescent="0.3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8" x14ac:dyDescent="0.3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8" x14ac:dyDescent="0.3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8" x14ac:dyDescent="0.3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8" x14ac:dyDescent="0.3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8" x14ac:dyDescent="0.3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8" x14ac:dyDescent="0.3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8" x14ac:dyDescent="0.3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8" x14ac:dyDescent="0.3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8" x14ac:dyDescent="0.3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8" x14ac:dyDescent="0.3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8" x14ac:dyDescent="0.3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8" x14ac:dyDescent="0.3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8" x14ac:dyDescent="0.3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8" x14ac:dyDescent="0.3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8" x14ac:dyDescent="0.3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8" x14ac:dyDescent="0.3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8" x14ac:dyDescent="0.3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8" x14ac:dyDescent="0.3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8" x14ac:dyDescent="0.3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8" x14ac:dyDescent="0.3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8" x14ac:dyDescent="0.3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8" x14ac:dyDescent="0.3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8" x14ac:dyDescent="0.3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8" x14ac:dyDescent="0.3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8" x14ac:dyDescent="0.3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8" x14ac:dyDescent="0.3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8" x14ac:dyDescent="0.3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8" x14ac:dyDescent="0.3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8" x14ac:dyDescent="0.3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8" x14ac:dyDescent="0.3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8" x14ac:dyDescent="0.3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8" x14ac:dyDescent="0.3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8" x14ac:dyDescent="0.3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8" x14ac:dyDescent="0.3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8" x14ac:dyDescent="0.3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8" x14ac:dyDescent="0.3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8" x14ac:dyDescent="0.3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8" x14ac:dyDescent="0.3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8" x14ac:dyDescent="0.3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8" x14ac:dyDescent="0.3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8" x14ac:dyDescent="0.3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8" x14ac:dyDescent="0.3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8" x14ac:dyDescent="0.3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8" x14ac:dyDescent="0.3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8" x14ac:dyDescent="0.3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8" x14ac:dyDescent="0.3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8" x14ac:dyDescent="0.3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8" x14ac:dyDescent="0.3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8" x14ac:dyDescent="0.3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8" x14ac:dyDescent="0.3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8" x14ac:dyDescent="0.3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8" x14ac:dyDescent="0.3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8" x14ac:dyDescent="0.3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8" x14ac:dyDescent="0.3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8" x14ac:dyDescent="0.3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8" x14ac:dyDescent="0.3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8" x14ac:dyDescent="0.3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8" x14ac:dyDescent="0.3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8" x14ac:dyDescent="0.3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8" x14ac:dyDescent="0.3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8" x14ac:dyDescent="0.3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8" x14ac:dyDescent="0.3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8" x14ac:dyDescent="0.3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8" x14ac:dyDescent="0.3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8" x14ac:dyDescent="0.3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8" x14ac:dyDescent="0.3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8" x14ac:dyDescent="0.3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8" x14ac:dyDescent="0.3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8" x14ac:dyDescent="0.3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8" x14ac:dyDescent="0.3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8" x14ac:dyDescent="0.3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8" x14ac:dyDescent="0.3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8" x14ac:dyDescent="0.3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8" x14ac:dyDescent="0.3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8" x14ac:dyDescent="0.3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8" x14ac:dyDescent="0.3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8" x14ac:dyDescent="0.3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8" x14ac:dyDescent="0.3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8" x14ac:dyDescent="0.3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8" x14ac:dyDescent="0.3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8" x14ac:dyDescent="0.3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8" x14ac:dyDescent="0.3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8" x14ac:dyDescent="0.3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8" x14ac:dyDescent="0.3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8" x14ac:dyDescent="0.3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8" x14ac:dyDescent="0.3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8" x14ac:dyDescent="0.3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8" x14ac:dyDescent="0.3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8" x14ac:dyDescent="0.3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8" x14ac:dyDescent="0.3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G4" sqref="G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61" t="str" cm="1">
        <f t="array" ref="A1">portfolio</f>
        <v>MA: Palmer - 105 North Street</v>
      </c>
      <c r="B1" s="61"/>
      <c r="C1" s="61"/>
      <c r="D1" s="62" t="s">
        <v>10</v>
      </c>
      <c r="E1" s="62"/>
      <c r="F1" s="62"/>
      <c r="G1" s="60" t="s">
        <v>11</v>
      </c>
      <c r="H1" s="60"/>
      <c r="I1" s="60"/>
    </row>
    <row r="2" spans="1:9" ht="19.5" customHeight="1" x14ac:dyDescent="0.25">
      <c r="A2" s="63" t="s">
        <v>2</v>
      </c>
      <c r="B2" s="63"/>
      <c r="C2" s="5">
        <f>SUM(C4:C79)</f>
        <v>552922</v>
      </c>
      <c r="D2" s="5">
        <f>SUM(D4:D79)</f>
        <v>0</v>
      </c>
      <c r="E2" s="5">
        <f>C2-D2</f>
        <v>552922</v>
      </c>
      <c r="F2" s="6">
        <f>IFERROR(E2/D2, 0)</f>
        <v>0</v>
      </c>
      <c r="G2" s="5">
        <f>SUM(G4:G79)</f>
        <v>0</v>
      </c>
      <c r="H2" s="7">
        <f>C2-G2</f>
        <v>552922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 x14ac:dyDescent="0.25">
      <c r="A4" s="43" t="str" cm="1">
        <f t="array" ref="A4">Sites[Site]</f>
        <v>MA: Palmer - 105 North Street</v>
      </c>
      <c r="B4" s="9" t="str" cm="1">
        <f t="array" ref="B4">Sites[State]</f>
        <v>MA</v>
      </c>
      <c r="C4" s="23">
        <f>SUM(Jan!C4, Feb!C4, Mar!C4)</f>
        <v>552922</v>
      </c>
      <c r="D4" s="12">
        <f>SUM(Jan!D4, Feb!D4, Mar!D4)</f>
        <v>0</v>
      </c>
      <c r="E4" s="12">
        <f>IF(AND(ISNUMBER(C4),ISNUMBER(D4)), C4-D4, "")</f>
        <v>552922</v>
      </c>
      <c r="F4" s="13" t="str">
        <f>IFERROR(E4/D4, "")</f>
        <v/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4.4" x14ac:dyDescent="0.3">
      <c r="A5" s="20"/>
      <c r="B5" s="10"/>
      <c r="C5" s="20"/>
      <c r="D5" s="20"/>
      <c r="E5" s="20"/>
      <c r="F5" s="20"/>
      <c r="G5" s="20"/>
      <c r="H5" s="20"/>
      <c r="I5" s="20"/>
    </row>
    <row r="6" spans="1:9" ht="13.8" x14ac:dyDescent="0.3">
      <c r="A6" s="20"/>
      <c r="B6" s="20"/>
      <c r="C6" s="20"/>
      <c r="D6" s="20"/>
      <c r="E6" s="20"/>
      <c r="F6" s="20"/>
      <c r="G6" s="20"/>
      <c r="H6" s="20"/>
      <c r="I6" s="20"/>
    </row>
    <row r="7" spans="1:9" ht="13.8" x14ac:dyDescent="0.3">
      <c r="A7" s="20"/>
      <c r="B7" s="20"/>
      <c r="C7" s="20"/>
      <c r="D7" s="20"/>
      <c r="E7" s="20"/>
      <c r="F7" s="20"/>
      <c r="G7" s="20"/>
      <c r="H7" s="20"/>
      <c r="I7" s="20"/>
    </row>
    <row r="8" spans="1:9" ht="13.8" x14ac:dyDescent="0.3">
      <c r="A8" s="20"/>
      <c r="B8" s="20"/>
      <c r="C8" s="20"/>
      <c r="D8" s="20"/>
      <c r="E8" s="20"/>
      <c r="F8" s="20"/>
      <c r="G8" s="20"/>
      <c r="H8" s="20"/>
      <c r="I8" s="20"/>
    </row>
    <row r="9" spans="1:9" ht="13.8" x14ac:dyDescent="0.3">
      <c r="A9" s="20"/>
      <c r="B9" s="20"/>
      <c r="C9" s="20"/>
      <c r="D9" s="20"/>
      <c r="E9" s="20"/>
      <c r="F9" s="20"/>
      <c r="G9" s="20"/>
      <c r="H9" s="20"/>
      <c r="I9" s="20"/>
    </row>
    <row r="10" spans="1:9" ht="13.8" x14ac:dyDescent="0.3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8" x14ac:dyDescent="0.3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8" x14ac:dyDescent="0.3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8" x14ac:dyDescent="0.3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8" x14ac:dyDescent="0.3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8" x14ac:dyDescent="0.3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8" x14ac:dyDescent="0.3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8" x14ac:dyDescent="0.3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8" x14ac:dyDescent="0.3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8" x14ac:dyDescent="0.3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8" x14ac:dyDescent="0.3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8" x14ac:dyDescent="0.3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8" x14ac:dyDescent="0.3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8" x14ac:dyDescent="0.3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8" x14ac:dyDescent="0.3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8" x14ac:dyDescent="0.3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8" x14ac:dyDescent="0.3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8" x14ac:dyDescent="0.3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8" x14ac:dyDescent="0.3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8" x14ac:dyDescent="0.3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8" x14ac:dyDescent="0.3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8" x14ac:dyDescent="0.3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8" x14ac:dyDescent="0.3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8" x14ac:dyDescent="0.3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8" x14ac:dyDescent="0.3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8" x14ac:dyDescent="0.3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8" x14ac:dyDescent="0.3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8" x14ac:dyDescent="0.3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8" x14ac:dyDescent="0.3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8" x14ac:dyDescent="0.3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8" x14ac:dyDescent="0.3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8" x14ac:dyDescent="0.3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8" x14ac:dyDescent="0.3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8" x14ac:dyDescent="0.3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8" x14ac:dyDescent="0.3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8" x14ac:dyDescent="0.3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8" x14ac:dyDescent="0.3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8" x14ac:dyDescent="0.3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8" x14ac:dyDescent="0.3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8" x14ac:dyDescent="0.3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8" x14ac:dyDescent="0.3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8" x14ac:dyDescent="0.3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8" x14ac:dyDescent="0.3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8" x14ac:dyDescent="0.3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8" x14ac:dyDescent="0.3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8" x14ac:dyDescent="0.3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8" x14ac:dyDescent="0.3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8" x14ac:dyDescent="0.3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8" x14ac:dyDescent="0.3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8" x14ac:dyDescent="0.3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8" x14ac:dyDescent="0.3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8" x14ac:dyDescent="0.3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8" x14ac:dyDescent="0.3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8" x14ac:dyDescent="0.3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8" x14ac:dyDescent="0.3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8" x14ac:dyDescent="0.3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8" x14ac:dyDescent="0.3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8" x14ac:dyDescent="0.3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8" x14ac:dyDescent="0.3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8" x14ac:dyDescent="0.3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8" x14ac:dyDescent="0.3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8" x14ac:dyDescent="0.3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8" x14ac:dyDescent="0.3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8" x14ac:dyDescent="0.3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8" x14ac:dyDescent="0.3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8" x14ac:dyDescent="0.3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8" x14ac:dyDescent="0.3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8" x14ac:dyDescent="0.3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8" x14ac:dyDescent="0.3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8" x14ac:dyDescent="0.3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8" x14ac:dyDescent="0.3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8" x14ac:dyDescent="0.3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8" x14ac:dyDescent="0.3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8" x14ac:dyDescent="0.3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8" x14ac:dyDescent="0.3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8" x14ac:dyDescent="0.3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8" x14ac:dyDescent="0.3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8" x14ac:dyDescent="0.3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8" x14ac:dyDescent="0.3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8" x14ac:dyDescent="0.3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8" x14ac:dyDescent="0.3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8" x14ac:dyDescent="0.3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8" x14ac:dyDescent="0.3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8" x14ac:dyDescent="0.3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8" x14ac:dyDescent="0.3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8" x14ac:dyDescent="0.3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8" x14ac:dyDescent="0.3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8" x14ac:dyDescent="0.3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8" x14ac:dyDescent="0.3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8" x14ac:dyDescent="0.3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8" x14ac:dyDescent="0.3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8" x14ac:dyDescent="0.3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8" x14ac:dyDescent="0.3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8" x14ac:dyDescent="0.3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8" x14ac:dyDescent="0.3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8" x14ac:dyDescent="0.3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8" x14ac:dyDescent="0.3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8" x14ac:dyDescent="0.3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8" x14ac:dyDescent="0.3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8" x14ac:dyDescent="0.3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8" x14ac:dyDescent="0.3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8" x14ac:dyDescent="0.3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8" x14ac:dyDescent="0.3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8" x14ac:dyDescent="0.3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8" x14ac:dyDescent="0.3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8" x14ac:dyDescent="0.3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8" x14ac:dyDescent="0.3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8" x14ac:dyDescent="0.3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8" x14ac:dyDescent="0.3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8" x14ac:dyDescent="0.3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8" x14ac:dyDescent="0.3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8" x14ac:dyDescent="0.3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8" x14ac:dyDescent="0.3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8" x14ac:dyDescent="0.3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8" x14ac:dyDescent="0.3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8" x14ac:dyDescent="0.3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8" x14ac:dyDescent="0.3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8" x14ac:dyDescent="0.3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8" x14ac:dyDescent="0.3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8" x14ac:dyDescent="0.3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8" x14ac:dyDescent="0.3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8" x14ac:dyDescent="0.3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8" x14ac:dyDescent="0.3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8" x14ac:dyDescent="0.3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8" x14ac:dyDescent="0.3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8" x14ac:dyDescent="0.3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8" x14ac:dyDescent="0.3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8" x14ac:dyDescent="0.3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8" x14ac:dyDescent="0.3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8" x14ac:dyDescent="0.3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8" x14ac:dyDescent="0.3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8" x14ac:dyDescent="0.3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8" x14ac:dyDescent="0.3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8" x14ac:dyDescent="0.3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8" x14ac:dyDescent="0.3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8" x14ac:dyDescent="0.3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8" x14ac:dyDescent="0.3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8" x14ac:dyDescent="0.3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8" x14ac:dyDescent="0.3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8" x14ac:dyDescent="0.3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8" x14ac:dyDescent="0.3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8" x14ac:dyDescent="0.3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8" x14ac:dyDescent="0.3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8" x14ac:dyDescent="0.3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8" x14ac:dyDescent="0.3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8" x14ac:dyDescent="0.3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8" x14ac:dyDescent="0.3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8" x14ac:dyDescent="0.3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8" x14ac:dyDescent="0.3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8" x14ac:dyDescent="0.3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8" x14ac:dyDescent="0.3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8" x14ac:dyDescent="0.3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8" x14ac:dyDescent="0.3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8" x14ac:dyDescent="0.3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8" x14ac:dyDescent="0.3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8" x14ac:dyDescent="0.3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8" x14ac:dyDescent="0.3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8" x14ac:dyDescent="0.3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8" x14ac:dyDescent="0.3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8" x14ac:dyDescent="0.3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8" x14ac:dyDescent="0.3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8" x14ac:dyDescent="0.3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8" x14ac:dyDescent="0.3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8" x14ac:dyDescent="0.3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8" x14ac:dyDescent="0.3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8" x14ac:dyDescent="0.3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8" x14ac:dyDescent="0.3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8" x14ac:dyDescent="0.3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8" x14ac:dyDescent="0.3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8" x14ac:dyDescent="0.3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8" x14ac:dyDescent="0.3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8" x14ac:dyDescent="0.3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8" x14ac:dyDescent="0.3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8" x14ac:dyDescent="0.3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8" x14ac:dyDescent="0.3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8" x14ac:dyDescent="0.3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8" x14ac:dyDescent="0.3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8" x14ac:dyDescent="0.3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8" x14ac:dyDescent="0.3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8" x14ac:dyDescent="0.3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8" x14ac:dyDescent="0.3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8" x14ac:dyDescent="0.3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8" x14ac:dyDescent="0.3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8" x14ac:dyDescent="0.3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8" x14ac:dyDescent="0.3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8" x14ac:dyDescent="0.3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8" x14ac:dyDescent="0.3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8" x14ac:dyDescent="0.3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8" x14ac:dyDescent="0.3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8" x14ac:dyDescent="0.3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8" x14ac:dyDescent="0.3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8" x14ac:dyDescent="0.3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8" x14ac:dyDescent="0.3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8" x14ac:dyDescent="0.3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8" x14ac:dyDescent="0.3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8" x14ac:dyDescent="0.3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8" x14ac:dyDescent="0.3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8" x14ac:dyDescent="0.3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8" x14ac:dyDescent="0.3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8" x14ac:dyDescent="0.3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8" x14ac:dyDescent="0.3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8" x14ac:dyDescent="0.3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8" x14ac:dyDescent="0.3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8" x14ac:dyDescent="0.3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8" x14ac:dyDescent="0.3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8" x14ac:dyDescent="0.3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8" x14ac:dyDescent="0.3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8" x14ac:dyDescent="0.3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8" x14ac:dyDescent="0.3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8" x14ac:dyDescent="0.3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8" x14ac:dyDescent="0.3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8" x14ac:dyDescent="0.3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8" x14ac:dyDescent="0.3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8" x14ac:dyDescent="0.3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8" x14ac:dyDescent="0.3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8" x14ac:dyDescent="0.3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8" x14ac:dyDescent="0.3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8" x14ac:dyDescent="0.3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8" x14ac:dyDescent="0.3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8" x14ac:dyDescent="0.3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8" x14ac:dyDescent="0.3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8" x14ac:dyDescent="0.3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8" x14ac:dyDescent="0.3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8" x14ac:dyDescent="0.3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8" x14ac:dyDescent="0.3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8" x14ac:dyDescent="0.3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8" x14ac:dyDescent="0.3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8" x14ac:dyDescent="0.3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8" x14ac:dyDescent="0.3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8" x14ac:dyDescent="0.3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8" x14ac:dyDescent="0.3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8" x14ac:dyDescent="0.3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8" x14ac:dyDescent="0.3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8" x14ac:dyDescent="0.3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8" x14ac:dyDescent="0.3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8" x14ac:dyDescent="0.3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8" x14ac:dyDescent="0.3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8" x14ac:dyDescent="0.3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8" x14ac:dyDescent="0.3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8" x14ac:dyDescent="0.3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8" x14ac:dyDescent="0.3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8" x14ac:dyDescent="0.3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8" x14ac:dyDescent="0.3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8" x14ac:dyDescent="0.3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8" x14ac:dyDescent="0.3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8" x14ac:dyDescent="0.3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8" x14ac:dyDescent="0.3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8" x14ac:dyDescent="0.3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8" x14ac:dyDescent="0.3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8" x14ac:dyDescent="0.3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8" x14ac:dyDescent="0.3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8" x14ac:dyDescent="0.3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8" x14ac:dyDescent="0.3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8" x14ac:dyDescent="0.3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8" x14ac:dyDescent="0.3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8" x14ac:dyDescent="0.3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8" x14ac:dyDescent="0.3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8" x14ac:dyDescent="0.3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8" x14ac:dyDescent="0.3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8" x14ac:dyDescent="0.3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8" x14ac:dyDescent="0.3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8" x14ac:dyDescent="0.3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8" x14ac:dyDescent="0.3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8" x14ac:dyDescent="0.3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8" x14ac:dyDescent="0.3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8" x14ac:dyDescent="0.3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8" x14ac:dyDescent="0.3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8" x14ac:dyDescent="0.3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8" x14ac:dyDescent="0.3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8" x14ac:dyDescent="0.3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8" x14ac:dyDescent="0.3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8" x14ac:dyDescent="0.3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8" x14ac:dyDescent="0.3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8" x14ac:dyDescent="0.3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8" x14ac:dyDescent="0.3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8" x14ac:dyDescent="0.3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8" x14ac:dyDescent="0.3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8" x14ac:dyDescent="0.3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8" x14ac:dyDescent="0.3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8" x14ac:dyDescent="0.3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8" x14ac:dyDescent="0.3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8" x14ac:dyDescent="0.3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8" x14ac:dyDescent="0.3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8" x14ac:dyDescent="0.3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8" x14ac:dyDescent="0.3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8" x14ac:dyDescent="0.3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8" x14ac:dyDescent="0.3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8" x14ac:dyDescent="0.3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8" x14ac:dyDescent="0.3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8" x14ac:dyDescent="0.3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8" x14ac:dyDescent="0.3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8" x14ac:dyDescent="0.3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8" x14ac:dyDescent="0.3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8" x14ac:dyDescent="0.3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8" x14ac:dyDescent="0.3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8" x14ac:dyDescent="0.3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8" x14ac:dyDescent="0.3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8" x14ac:dyDescent="0.3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8" x14ac:dyDescent="0.3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8" x14ac:dyDescent="0.3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8" x14ac:dyDescent="0.3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8" x14ac:dyDescent="0.3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8" x14ac:dyDescent="0.3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8" x14ac:dyDescent="0.3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8" x14ac:dyDescent="0.3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8" x14ac:dyDescent="0.3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8" x14ac:dyDescent="0.3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8" x14ac:dyDescent="0.3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8" x14ac:dyDescent="0.3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8" x14ac:dyDescent="0.3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8" x14ac:dyDescent="0.3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8" x14ac:dyDescent="0.3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E13" sqref="E13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61" t="str" cm="1">
        <f t="array" ref="A1">portfolio</f>
        <v>MA: Palmer - 105 North Street</v>
      </c>
      <c r="B1" s="61"/>
      <c r="C1" s="61"/>
      <c r="D1" s="62" t="s">
        <v>12</v>
      </c>
      <c r="E1" s="62"/>
      <c r="F1" s="62"/>
      <c r="G1" s="60" t="s">
        <v>13</v>
      </c>
      <c r="H1" s="60"/>
      <c r="I1" s="60"/>
    </row>
    <row r="2" spans="1:9" ht="19.5" customHeight="1" x14ac:dyDescent="0.25">
      <c r="A2" s="63" t="s">
        <v>2</v>
      </c>
      <c r="B2" s="63"/>
      <c r="C2" s="5">
        <f>SUM(C4:C79)</f>
        <v>836450</v>
      </c>
      <c r="D2" s="5">
        <f>SUM(D4:D79)</f>
        <v>0</v>
      </c>
      <c r="E2" s="5">
        <f>C2-D2</f>
        <v>836450</v>
      </c>
      <c r="F2" s="6">
        <f>IFERROR(E2/D2, 0)</f>
        <v>0</v>
      </c>
      <c r="G2" s="5">
        <f>SUM(G4:G79)</f>
        <v>0</v>
      </c>
      <c r="H2" s="7">
        <f>C2-G2</f>
        <v>836450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 x14ac:dyDescent="0.25">
      <c r="A4" s="43" t="str" cm="1">
        <f t="array" ref="A4">Sites[Site]</f>
        <v>MA: Palmer - 105 North Street</v>
      </c>
      <c r="B4" s="9" t="str" cm="1">
        <f t="array" ref="B4">Sites[State]</f>
        <v>MA</v>
      </c>
      <c r="C4" s="23">
        <f>SUM(Apr!C4, May!C4, Jun!C4)</f>
        <v>836450</v>
      </c>
      <c r="D4" s="12">
        <f>SUM(Apr!D4, May!D4, Jun!D4)</f>
        <v>0</v>
      </c>
      <c r="E4" s="12">
        <f>IF(AND(ISNUMBER(C4),ISNUMBER(D4)), C4-D4, "")</f>
        <v>836450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8" x14ac:dyDescent="0.3">
      <c r="A5" s="20"/>
      <c r="B5" s="20"/>
      <c r="C5" s="20"/>
      <c r="D5" s="20"/>
      <c r="E5" s="20"/>
      <c r="F5" s="20"/>
      <c r="G5" s="20"/>
      <c r="H5" s="20"/>
      <c r="I5" s="20"/>
    </row>
    <row r="6" spans="1:9" ht="13.8" x14ac:dyDescent="0.3">
      <c r="A6" s="20"/>
      <c r="B6" s="20"/>
      <c r="C6" s="20"/>
      <c r="D6" s="20"/>
      <c r="E6" s="20"/>
      <c r="F6" s="20"/>
      <c r="G6" s="20"/>
      <c r="H6" s="20"/>
      <c r="I6" s="20"/>
    </row>
    <row r="7" spans="1:9" ht="13.8" x14ac:dyDescent="0.3">
      <c r="A7" s="20"/>
      <c r="B7" s="20"/>
      <c r="C7" s="20"/>
      <c r="D7" s="20"/>
      <c r="E7" s="20"/>
      <c r="F7" s="20"/>
      <c r="G7" s="20"/>
      <c r="H7" s="20"/>
      <c r="I7" s="20"/>
    </row>
    <row r="8" spans="1:9" ht="13.8" x14ac:dyDescent="0.3">
      <c r="A8" s="20"/>
      <c r="B8" s="20"/>
      <c r="C8" s="20"/>
      <c r="D8" s="20"/>
      <c r="E8" s="20"/>
      <c r="F8" s="20"/>
      <c r="G8" s="20"/>
      <c r="H8" s="20"/>
      <c r="I8" s="20"/>
    </row>
    <row r="9" spans="1:9" ht="13.8" x14ac:dyDescent="0.3">
      <c r="A9" s="20"/>
      <c r="B9" s="20"/>
      <c r="C9" s="20"/>
      <c r="D9" s="20"/>
      <c r="E9" s="20"/>
      <c r="F9" s="20"/>
      <c r="G9" s="20"/>
      <c r="H9" s="20"/>
      <c r="I9" s="20"/>
    </row>
    <row r="10" spans="1:9" ht="13.8" x14ac:dyDescent="0.3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8" x14ac:dyDescent="0.3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8" x14ac:dyDescent="0.3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8" x14ac:dyDescent="0.3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8" x14ac:dyDescent="0.3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8" x14ac:dyDescent="0.3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8" x14ac:dyDescent="0.3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8" x14ac:dyDescent="0.3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8" x14ac:dyDescent="0.3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8" x14ac:dyDescent="0.3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8" x14ac:dyDescent="0.3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8" x14ac:dyDescent="0.3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8" x14ac:dyDescent="0.3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8" x14ac:dyDescent="0.3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8" x14ac:dyDescent="0.3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8" x14ac:dyDescent="0.3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8" x14ac:dyDescent="0.3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8" x14ac:dyDescent="0.3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8" x14ac:dyDescent="0.3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8" x14ac:dyDescent="0.3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8" x14ac:dyDescent="0.3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8" x14ac:dyDescent="0.3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8" x14ac:dyDescent="0.3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8" x14ac:dyDescent="0.3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8" x14ac:dyDescent="0.3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8" x14ac:dyDescent="0.3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8" x14ac:dyDescent="0.3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8" x14ac:dyDescent="0.3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8" x14ac:dyDescent="0.3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8" x14ac:dyDescent="0.3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8" x14ac:dyDescent="0.3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8" x14ac:dyDescent="0.3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8" x14ac:dyDescent="0.3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8" x14ac:dyDescent="0.3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8" x14ac:dyDescent="0.3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8" x14ac:dyDescent="0.3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8" x14ac:dyDescent="0.3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8" x14ac:dyDescent="0.3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8" x14ac:dyDescent="0.3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8" x14ac:dyDescent="0.3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8" x14ac:dyDescent="0.3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8" x14ac:dyDescent="0.3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8" x14ac:dyDescent="0.3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8" x14ac:dyDescent="0.3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8" x14ac:dyDescent="0.3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8" x14ac:dyDescent="0.3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8" x14ac:dyDescent="0.3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8" x14ac:dyDescent="0.3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8" x14ac:dyDescent="0.3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8" x14ac:dyDescent="0.3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8" x14ac:dyDescent="0.3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8" x14ac:dyDescent="0.3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8" x14ac:dyDescent="0.3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8" x14ac:dyDescent="0.3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8" x14ac:dyDescent="0.3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8" x14ac:dyDescent="0.3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8" x14ac:dyDescent="0.3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8" x14ac:dyDescent="0.3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8" x14ac:dyDescent="0.3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8" x14ac:dyDescent="0.3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8" x14ac:dyDescent="0.3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8" x14ac:dyDescent="0.3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8" x14ac:dyDescent="0.3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8" x14ac:dyDescent="0.3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8" x14ac:dyDescent="0.3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8" x14ac:dyDescent="0.3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8" x14ac:dyDescent="0.3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8" x14ac:dyDescent="0.3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8" x14ac:dyDescent="0.3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8" x14ac:dyDescent="0.3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8" x14ac:dyDescent="0.3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8" x14ac:dyDescent="0.3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8" x14ac:dyDescent="0.3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8" x14ac:dyDescent="0.3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8" x14ac:dyDescent="0.3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8" x14ac:dyDescent="0.3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8" x14ac:dyDescent="0.3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8" x14ac:dyDescent="0.3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8" x14ac:dyDescent="0.3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8" x14ac:dyDescent="0.3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8" x14ac:dyDescent="0.3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8" x14ac:dyDescent="0.3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8" x14ac:dyDescent="0.3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8" x14ac:dyDescent="0.3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8" x14ac:dyDescent="0.3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8" x14ac:dyDescent="0.3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8" x14ac:dyDescent="0.3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8" x14ac:dyDescent="0.3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8" x14ac:dyDescent="0.3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8" x14ac:dyDescent="0.3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8" x14ac:dyDescent="0.3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8" x14ac:dyDescent="0.3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8" x14ac:dyDescent="0.3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8" x14ac:dyDescent="0.3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8" x14ac:dyDescent="0.3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8" x14ac:dyDescent="0.3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8" x14ac:dyDescent="0.3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8" x14ac:dyDescent="0.3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8" x14ac:dyDescent="0.3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8" x14ac:dyDescent="0.3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8" x14ac:dyDescent="0.3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8" x14ac:dyDescent="0.3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8" x14ac:dyDescent="0.3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8" x14ac:dyDescent="0.3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8" x14ac:dyDescent="0.3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8" x14ac:dyDescent="0.3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8" x14ac:dyDescent="0.3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8" x14ac:dyDescent="0.3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8" x14ac:dyDescent="0.3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8" x14ac:dyDescent="0.3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8" x14ac:dyDescent="0.3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8" x14ac:dyDescent="0.3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8" x14ac:dyDescent="0.3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8" x14ac:dyDescent="0.3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8" x14ac:dyDescent="0.3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8" x14ac:dyDescent="0.3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8" x14ac:dyDescent="0.3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8" x14ac:dyDescent="0.3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8" x14ac:dyDescent="0.3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8" x14ac:dyDescent="0.3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8" x14ac:dyDescent="0.3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8" x14ac:dyDescent="0.3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8" x14ac:dyDescent="0.3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8" x14ac:dyDescent="0.3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8" x14ac:dyDescent="0.3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8" x14ac:dyDescent="0.3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8" x14ac:dyDescent="0.3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8" x14ac:dyDescent="0.3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8" x14ac:dyDescent="0.3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8" x14ac:dyDescent="0.3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8" x14ac:dyDescent="0.3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8" x14ac:dyDescent="0.3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8" x14ac:dyDescent="0.3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8" x14ac:dyDescent="0.3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8" x14ac:dyDescent="0.3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8" x14ac:dyDescent="0.3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8" x14ac:dyDescent="0.3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8" x14ac:dyDescent="0.3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8" x14ac:dyDescent="0.3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8" x14ac:dyDescent="0.3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8" x14ac:dyDescent="0.3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8" x14ac:dyDescent="0.3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8" x14ac:dyDescent="0.3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8" x14ac:dyDescent="0.3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8" x14ac:dyDescent="0.3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8" x14ac:dyDescent="0.3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8" x14ac:dyDescent="0.3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8" x14ac:dyDescent="0.3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8" x14ac:dyDescent="0.3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8" x14ac:dyDescent="0.3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8" x14ac:dyDescent="0.3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8" x14ac:dyDescent="0.3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8" x14ac:dyDescent="0.3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8" x14ac:dyDescent="0.3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8" x14ac:dyDescent="0.3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8" x14ac:dyDescent="0.3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8" x14ac:dyDescent="0.3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8" x14ac:dyDescent="0.3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8" x14ac:dyDescent="0.3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8" x14ac:dyDescent="0.3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8" x14ac:dyDescent="0.3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8" x14ac:dyDescent="0.3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8" x14ac:dyDescent="0.3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8" x14ac:dyDescent="0.3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8" x14ac:dyDescent="0.3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8" x14ac:dyDescent="0.3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8" x14ac:dyDescent="0.3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8" x14ac:dyDescent="0.3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8" x14ac:dyDescent="0.3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8" x14ac:dyDescent="0.3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8" x14ac:dyDescent="0.3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8" x14ac:dyDescent="0.3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8" x14ac:dyDescent="0.3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8" x14ac:dyDescent="0.3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8" x14ac:dyDescent="0.3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8" x14ac:dyDescent="0.3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8" x14ac:dyDescent="0.3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8" x14ac:dyDescent="0.3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8" x14ac:dyDescent="0.3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8" x14ac:dyDescent="0.3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8" x14ac:dyDescent="0.3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8" x14ac:dyDescent="0.3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8" x14ac:dyDescent="0.3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8" x14ac:dyDescent="0.3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8" x14ac:dyDescent="0.3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8" x14ac:dyDescent="0.3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8" x14ac:dyDescent="0.3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8" x14ac:dyDescent="0.3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8" x14ac:dyDescent="0.3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8" x14ac:dyDescent="0.3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8" x14ac:dyDescent="0.3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8" x14ac:dyDescent="0.3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8" x14ac:dyDescent="0.3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8" x14ac:dyDescent="0.3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8" x14ac:dyDescent="0.3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8" x14ac:dyDescent="0.3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8" x14ac:dyDescent="0.3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8" x14ac:dyDescent="0.3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8" x14ac:dyDescent="0.3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8" x14ac:dyDescent="0.3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8" x14ac:dyDescent="0.3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8" x14ac:dyDescent="0.3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8" x14ac:dyDescent="0.3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8" x14ac:dyDescent="0.3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8" x14ac:dyDescent="0.3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8" x14ac:dyDescent="0.3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8" x14ac:dyDescent="0.3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8" x14ac:dyDescent="0.3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8" x14ac:dyDescent="0.3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8" x14ac:dyDescent="0.3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8" x14ac:dyDescent="0.3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8" x14ac:dyDescent="0.3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8" x14ac:dyDescent="0.3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8" x14ac:dyDescent="0.3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8" x14ac:dyDescent="0.3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8" x14ac:dyDescent="0.3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8" x14ac:dyDescent="0.3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8" x14ac:dyDescent="0.3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8" x14ac:dyDescent="0.3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8" x14ac:dyDescent="0.3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8" x14ac:dyDescent="0.3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8" x14ac:dyDescent="0.3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8" x14ac:dyDescent="0.3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8" x14ac:dyDescent="0.3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8" x14ac:dyDescent="0.3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8" x14ac:dyDescent="0.3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8" x14ac:dyDescent="0.3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8" x14ac:dyDescent="0.3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8" x14ac:dyDescent="0.3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8" x14ac:dyDescent="0.3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8" x14ac:dyDescent="0.3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8" x14ac:dyDescent="0.3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8" x14ac:dyDescent="0.3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8" x14ac:dyDescent="0.3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8" x14ac:dyDescent="0.3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8" x14ac:dyDescent="0.3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8" x14ac:dyDescent="0.3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8" x14ac:dyDescent="0.3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8" x14ac:dyDescent="0.3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8" x14ac:dyDescent="0.3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8" x14ac:dyDescent="0.3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8" x14ac:dyDescent="0.3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8" x14ac:dyDescent="0.3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8" x14ac:dyDescent="0.3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8" x14ac:dyDescent="0.3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8" x14ac:dyDescent="0.3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8" x14ac:dyDescent="0.3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8" x14ac:dyDescent="0.3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8" x14ac:dyDescent="0.3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8" x14ac:dyDescent="0.3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8" x14ac:dyDescent="0.3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8" x14ac:dyDescent="0.3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8" x14ac:dyDescent="0.3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8" x14ac:dyDescent="0.3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8" x14ac:dyDescent="0.3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8" x14ac:dyDescent="0.3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8" x14ac:dyDescent="0.3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8" x14ac:dyDescent="0.3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8" x14ac:dyDescent="0.3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8" x14ac:dyDescent="0.3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8" x14ac:dyDescent="0.3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8" x14ac:dyDescent="0.3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8" x14ac:dyDescent="0.3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8" x14ac:dyDescent="0.3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8" x14ac:dyDescent="0.3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8" x14ac:dyDescent="0.3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8" x14ac:dyDescent="0.3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8" x14ac:dyDescent="0.3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8" x14ac:dyDescent="0.3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8" x14ac:dyDescent="0.3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8" x14ac:dyDescent="0.3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8" x14ac:dyDescent="0.3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8" x14ac:dyDescent="0.3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8" x14ac:dyDescent="0.3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8" x14ac:dyDescent="0.3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8" x14ac:dyDescent="0.3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8" x14ac:dyDescent="0.3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8" x14ac:dyDescent="0.3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8" x14ac:dyDescent="0.3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8" x14ac:dyDescent="0.3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8" x14ac:dyDescent="0.3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8" x14ac:dyDescent="0.3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8" x14ac:dyDescent="0.3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8" x14ac:dyDescent="0.3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8" x14ac:dyDescent="0.3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8" x14ac:dyDescent="0.3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8" x14ac:dyDescent="0.3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8" x14ac:dyDescent="0.3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8" x14ac:dyDescent="0.3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8" x14ac:dyDescent="0.3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8" x14ac:dyDescent="0.3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8" x14ac:dyDescent="0.3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8" x14ac:dyDescent="0.3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8" x14ac:dyDescent="0.3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8" x14ac:dyDescent="0.3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8" x14ac:dyDescent="0.3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8" x14ac:dyDescent="0.3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8" x14ac:dyDescent="0.3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8" x14ac:dyDescent="0.3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8" x14ac:dyDescent="0.3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8" x14ac:dyDescent="0.3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8" x14ac:dyDescent="0.3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8" x14ac:dyDescent="0.3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8" x14ac:dyDescent="0.3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8" x14ac:dyDescent="0.3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8" x14ac:dyDescent="0.3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8" x14ac:dyDescent="0.3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8" x14ac:dyDescent="0.3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8" x14ac:dyDescent="0.3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8" x14ac:dyDescent="0.3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8" x14ac:dyDescent="0.3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8" x14ac:dyDescent="0.3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G4" sqref="G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61" t="str" cm="1">
        <f t="array" ref="A1">portfolio</f>
        <v>MA: Palmer - 105 North Street</v>
      </c>
      <c r="B1" s="61"/>
      <c r="C1" s="61"/>
      <c r="D1" s="62" t="s">
        <v>14</v>
      </c>
      <c r="E1" s="62"/>
      <c r="F1" s="62"/>
      <c r="G1" s="60" t="s">
        <v>15</v>
      </c>
      <c r="H1" s="60"/>
      <c r="I1" s="60"/>
    </row>
    <row r="2" spans="1:9" ht="19.5" customHeight="1" x14ac:dyDescent="0.25">
      <c r="A2" s="63" t="s">
        <v>2</v>
      </c>
      <c r="B2" s="63"/>
      <c r="C2" s="5">
        <f>SUM(C4:C79)</f>
        <v>936877</v>
      </c>
      <c r="D2" s="5">
        <f>SUM(D4:D79)</f>
        <v>0</v>
      </c>
      <c r="E2" s="5">
        <f>C2-D2</f>
        <v>936877</v>
      </c>
      <c r="F2" s="6">
        <f>IFERROR(E2/D2, 0)</f>
        <v>0</v>
      </c>
      <c r="G2" s="5">
        <f>SUM(G4:G79)</f>
        <v>0</v>
      </c>
      <c r="H2" s="7">
        <f>C2-G2</f>
        <v>936877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 x14ac:dyDescent="0.25">
      <c r="A4" s="43" t="str" cm="1">
        <f t="array" ref="A4">Sites[Site]</f>
        <v>MA: Palmer - 105 North Street</v>
      </c>
      <c r="B4" s="9" t="str" cm="1">
        <f t="array" ref="B4">Sites[State]</f>
        <v>MA</v>
      </c>
      <c r="C4" s="23">
        <f>SUM(Jul!C4, Aug!C4, Sep!C4)</f>
        <v>936877</v>
      </c>
      <c r="D4" s="12">
        <f>SUM(Jul!D4, Aug!D4, Sep!D4)</f>
        <v>0</v>
      </c>
      <c r="E4" s="12">
        <f>IF(AND(ISNUMBER(C4),ISNUMBER(D4)), C4-D4, "")</f>
        <v>936877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>IFERROR(H4/G4, "")</f>
        <v/>
      </c>
    </row>
    <row r="5" spans="1:9" ht="15.6" x14ac:dyDescent="0.3">
      <c r="A5" s="16"/>
      <c r="B5" s="20"/>
      <c r="C5" s="20"/>
      <c r="D5" s="20"/>
      <c r="E5" s="20"/>
      <c r="F5" s="20"/>
      <c r="G5" s="20"/>
      <c r="H5" s="20"/>
      <c r="I5" s="20"/>
    </row>
    <row r="6" spans="1:9" ht="15.6" x14ac:dyDescent="0.3">
      <c r="A6" s="16"/>
      <c r="B6" s="20"/>
      <c r="C6" s="20"/>
      <c r="D6" s="20"/>
      <c r="E6" s="20"/>
      <c r="F6" s="20"/>
      <c r="G6" s="20"/>
      <c r="H6" s="20"/>
      <c r="I6" s="20"/>
    </row>
    <row r="7" spans="1:9" ht="15.6" x14ac:dyDescent="0.3">
      <c r="A7" s="16"/>
      <c r="B7" s="20"/>
      <c r="C7" s="20"/>
      <c r="D7" s="20"/>
      <c r="E7" s="20"/>
      <c r="F7" s="20"/>
      <c r="G7" s="20"/>
      <c r="H7" s="20"/>
      <c r="I7" s="20"/>
    </row>
    <row r="8" spans="1:9" ht="15.6" x14ac:dyDescent="0.3">
      <c r="A8" s="16"/>
      <c r="B8" s="20"/>
      <c r="C8" s="20"/>
      <c r="D8" s="20"/>
      <c r="E8" s="20"/>
      <c r="F8" s="20"/>
      <c r="G8" s="20"/>
      <c r="H8" s="20"/>
      <c r="I8" s="20"/>
    </row>
    <row r="9" spans="1:9" ht="15.6" x14ac:dyDescent="0.3">
      <c r="A9" s="16"/>
      <c r="B9" s="20"/>
      <c r="C9" s="20"/>
      <c r="D9" s="20"/>
      <c r="E9" s="20"/>
      <c r="F9" s="20"/>
      <c r="G9" s="20"/>
      <c r="H9" s="20"/>
      <c r="I9" s="20"/>
    </row>
    <row r="10" spans="1:9" ht="15.6" x14ac:dyDescent="0.3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8" x14ac:dyDescent="0.3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8" x14ac:dyDescent="0.3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8" x14ac:dyDescent="0.3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8" x14ac:dyDescent="0.3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8" x14ac:dyDescent="0.3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8" x14ac:dyDescent="0.3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8" x14ac:dyDescent="0.3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8" x14ac:dyDescent="0.3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8" x14ac:dyDescent="0.3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8" x14ac:dyDescent="0.3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8" x14ac:dyDescent="0.3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8" x14ac:dyDescent="0.3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8" x14ac:dyDescent="0.3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8" x14ac:dyDescent="0.3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8" x14ac:dyDescent="0.3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8" x14ac:dyDescent="0.3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8" x14ac:dyDescent="0.3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8" x14ac:dyDescent="0.3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8" x14ac:dyDescent="0.3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8" x14ac:dyDescent="0.3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8" x14ac:dyDescent="0.3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8" x14ac:dyDescent="0.3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8" x14ac:dyDescent="0.3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8" x14ac:dyDescent="0.3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8" x14ac:dyDescent="0.3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8" x14ac:dyDescent="0.3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8" x14ac:dyDescent="0.3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8" x14ac:dyDescent="0.3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8" x14ac:dyDescent="0.3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8" x14ac:dyDescent="0.3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8" x14ac:dyDescent="0.3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8" x14ac:dyDescent="0.3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8" x14ac:dyDescent="0.3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8" x14ac:dyDescent="0.3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8" x14ac:dyDescent="0.3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8" x14ac:dyDescent="0.3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8" x14ac:dyDescent="0.3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8" x14ac:dyDescent="0.3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8" x14ac:dyDescent="0.3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8" x14ac:dyDescent="0.3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8" x14ac:dyDescent="0.3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8" x14ac:dyDescent="0.3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8" x14ac:dyDescent="0.3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8" x14ac:dyDescent="0.3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8" x14ac:dyDescent="0.3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8" x14ac:dyDescent="0.3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8" x14ac:dyDescent="0.3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8" x14ac:dyDescent="0.3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8" x14ac:dyDescent="0.3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8" x14ac:dyDescent="0.3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8" x14ac:dyDescent="0.3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8" x14ac:dyDescent="0.3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8" x14ac:dyDescent="0.3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8" x14ac:dyDescent="0.3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8" x14ac:dyDescent="0.3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8" x14ac:dyDescent="0.3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8" x14ac:dyDescent="0.3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8" x14ac:dyDescent="0.3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8" x14ac:dyDescent="0.3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8" x14ac:dyDescent="0.3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8" x14ac:dyDescent="0.3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8" x14ac:dyDescent="0.3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8" x14ac:dyDescent="0.3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8" x14ac:dyDescent="0.3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8" x14ac:dyDescent="0.3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8" x14ac:dyDescent="0.3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8" x14ac:dyDescent="0.3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8" x14ac:dyDescent="0.3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8" x14ac:dyDescent="0.3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8" x14ac:dyDescent="0.3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8" x14ac:dyDescent="0.3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8" x14ac:dyDescent="0.3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8" x14ac:dyDescent="0.3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8" x14ac:dyDescent="0.3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8" x14ac:dyDescent="0.3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8" x14ac:dyDescent="0.3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8" x14ac:dyDescent="0.3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8" x14ac:dyDescent="0.3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8" x14ac:dyDescent="0.3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8" x14ac:dyDescent="0.3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8" x14ac:dyDescent="0.3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8" x14ac:dyDescent="0.3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8" x14ac:dyDescent="0.3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8" x14ac:dyDescent="0.3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8" x14ac:dyDescent="0.3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8" x14ac:dyDescent="0.3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8" x14ac:dyDescent="0.3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8" x14ac:dyDescent="0.3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8" x14ac:dyDescent="0.3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8" x14ac:dyDescent="0.3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8" x14ac:dyDescent="0.3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8" x14ac:dyDescent="0.3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8" x14ac:dyDescent="0.3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8" x14ac:dyDescent="0.3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8" x14ac:dyDescent="0.3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8" x14ac:dyDescent="0.3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8" x14ac:dyDescent="0.3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8" x14ac:dyDescent="0.3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8" x14ac:dyDescent="0.3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8" x14ac:dyDescent="0.3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8" x14ac:dyDescent="0.3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8" x14ac:dyDescent="0.3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8" x14ac:dyDescent="0.3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8" x14ac:dyDescent="0.3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8" x14ac:dyDescent="0.3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8" x14ac:dyDescent="0.3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8" x14ac:dyDescent="0.3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8" x14ac:dyDescent="0.3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8" x14ac:dyDescent="0.3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8" x14ac:dyDescent="0.3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8" x14ac:dyDescent="0.3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8" x14ac:dyDescent="0.3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8" x14ac:dyDescent="0.3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8" x14ac:dyDescent="0.3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8" x14ac:dyDescent="0.3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8" x14ac:dyDescent="0.3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8" x14ac:dyDescent="0.3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8" x14ac:dyDescent="0.3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8" x14ac:dyDescent="0.3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8" x14ac:dyDescent="0.3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8" x14ac:dyDescent="0.3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8" x14ac:dyDescent="0.3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8" x14ac:dyDescent="0.3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8" x14ac:dyDescent="0.3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8" x14ac:dyDescent="0.3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8" x14ac:dyDescent="0.3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8" x14ac:dyDescent="0.3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8" x14ac:dyDescent="0.3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8" x14ac:dyDescent="0.3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8" x14ac:dyDescent="0.3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8" x14ac:dyDescent="0.3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8" x14ac:dyDescent="0.3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8" x14ac:dyDescent="0.3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8" x14ac:dyDescent="0.3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8" x14ac:dyDescent="0.3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8" x14ac:dyDescent="0.3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8" x14ac:dyDescent="0.3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8" x14ac:dyDescent="0.3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8" x14ac:dyDescent="0.3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8" x14ac:dyDescent="0.3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8" x14ac:dyDescent="0.3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8" x14ac:dyDescent="0.3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8" x14ac:dyDescent="0.3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8" x14ac:dyDescent="0.3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8" x14ac:dyDescent="0.3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8" x14ac:dyDescent="0.3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8" x14ac:dyDescent="0.3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8" x14ac:dyDescent="0.3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8" x14ac:dyDescent="0.3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8" x14ac:dyDescent="0.3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8" x14ac:dyDescent="0.3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8" x14ac:dyDescent="0.3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8" x14ac:dyDescent="0.3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8" x14ac:dyDescent="0.3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8" x14ac:dyDescent="0.3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8" x14ac:dyDescent="0.3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8" x14ac:dyDescent="0.3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8" x14ac:dyDescent="0.3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8" x14ac:dyDescent="0.3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8" x14ac:dyDescent="0.3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8" x14ac:dyDescent="0.3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8" x14ac:dyDescent="0.3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8" x14ac:dyDescent="0.3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8" x14ac:dyDescent="0.3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8" x14ac:dyDescent="0.3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8" x14ac:dyDescent="0.3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8" x14ac:dyDescent="0.3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8" x14ac:dyDescent="0.3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8" x14ac:dyDescent="0.3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8" x14ac:dyDescent="0.3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8" x14ac:dyDescent="0.3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8" x14ac:dyDescent="0.3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8" x14ac:dyDescent="0.3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8" x14ac:dyDescent="0.3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8" x14ac:dyDescent="0.3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8" x14ac:dyDescent="0.3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8" x14ac:dyDescent="0.3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8" x14ac:dyDescent="0.3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8" x14ac:dyDescent="0.3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8" x14ac:dyDescent="0.3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8" x14ac:dyDescent="0.3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8" x14ac:dyDescent="0.3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8" x14ac:dyDescent="0.3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8" x14ac:dyDescent="0.3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8" x14ac:dyDescent="0.3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8" x14ac:dyDescent="0.3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8" x14ac:dyDescent="0.3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8" x14ac:dyDescent="0.3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8" x14ac:dyDescent="0.3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8" x14ac:dyDescent="0.3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8" x14ac:dyDescent="0.3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8" x14ac:dyDescent="0.3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8" x14ac:dyDescent="0.3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8" x14ac:dyDescent="0.3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8" x14ac:dyDescent="0.3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8" x14ac:dyDescent="0.3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8" x14ac:dyDescent="0.3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8" x14ac:dyDescent="0.3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8" x14ac:dyDescent="0.3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8" x14ac:dyDescent="0.3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8" x14ac:dyDescent="0.3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8" x14ac:dyDescent="0.3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8" x14ac:dyDescent="0.3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8" x14ac:dyDescent="0.3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8" x14ac:dyDescent="0.3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8" x14ac:dyDescent="0.3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8" x14ac:dyDescent="0.3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8" x14ac:dyDescent="0.3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8" x14ac:dyDescent="0.3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8" x14ac:dyDescent="0.3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8" x14ac:dyDescent="0.3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8" x14ac:dyDescent="0.3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8" x14ac:dyDescent="0.3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8" x14ac:dyDescent="0.3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8" x14ac:dyDescent="0.3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8" x14ac:dyDescent="0.3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8" x14ac:dyDescent="0.3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8" x14ac:dyDescent="0.3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8" x14ac:dyDescent="0.3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8" x14ac:dyDescent="0.3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8" x14ac:dyDescent="0.3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8" x14ac:dyDescent="0.3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8" x14ac:dyDescent="0.3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8" x14ac:dyDescent="0.3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8" x14ac:dyDescent="0.3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8" x14ac:dyDescent="0.3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8" x14ac:dyDescent="0.3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8" x14ac:dyDescent="0.3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8" x14ac:dyDescent="0.3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8" x14ac:dyDescent="0.3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8" x14ac:dyDescent="0.3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8" x14ac:dyDescent="0.3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8" x14ac:dyDescent="0.3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8" x14ac:dyDescent="0.3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8" x14ac:dyDescent="0.3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8" x14ac:dyDescent="0.3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8" x14ac:dyDescent="0.3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8" x14ac:dyDescent="0.3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8" x14ac:dyDescent="0.3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8" x14ac:dyDescent="0.3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8" x14ac:dyDescent="0.3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8" x14ac:dyDescent="0.3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8" x14ac:dyDescent="0.3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8" x14ac:dyDescent="0.3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8" x14ac:dyDescent="0.3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8" x14ac:dyDescent="0.3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8" x14ac:dyDescent="0.3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8" x14ac:dyDescent="0.3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8" x14ac:dyDescent="0.3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8" x14ac:dyDescent="0.3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8" x14ac:dyDescent="0.3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8" x14ac:dyDescent="0.3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8" x14ac:dyDescent="0.3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8" x14ac:dyDescent="0.3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8" x14ac:dyDescent="0.3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8" x14ac:dyDescent="0.3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8" x14ac:dyDescent="0.3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8" x14ac:dyDescent="0.3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8" x14ac:dyDescent="0.3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8" x14ac:dyDescent="0.3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8" x14ac:dyDescent="0.3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8" x14ac:dyDescent="0.3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8" x14ac:dyDescent="0.3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8" x14ac:dyDescent="0.3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8" x14ac:dyDescent="0.3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8" x14ac:dyDescent="0.3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8" x14ac:dyDescent="0.3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8" x14ac:dyDescent="0.3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8" x14ac:dyDescent="0.3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8" x14ac:dyDescent="0.3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8" x14ac:dyDescent="0.3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8" x14ac:dyDescent="0.3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8" x14ac:dyDescent="0.3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8" x14ac:dyDescent="0.3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8" x14ac:dyDescent="0.3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8" x14ac:dyDescent="0.3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8" x14ac:dyDescent="0.3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8" x14ac:dyDescent="0.3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8" x14ac:dyDescent="0.3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8" x14ac:dyDescent="0.3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8" x14ac:dyDescent="0.3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8" x14ac:dyDescent="0.3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8" x14ac:dyDescent="0.3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8" x14ac:dyDescent="0.3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8" x14ac:dyDescent="0.3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8" x14ac:dyDescent="0.3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8" x14ac:dyDescent="0.3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8" x14ac:dyDescent="0.3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8" x14ac:dyDescent="0.3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8" x14ac:dyDescent="0.3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8" x14ac:dyDescent="0.3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8" x14ac:dyDescent="0.3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8" x14ac:dyDescent="0.3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8" x14ac:dyDescent="0.3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8" x14ac:dyDescent="0.3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8" x14ac:dyDescent="0.3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8" x14ac:dyDescent="0.3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8" x14ac:dyDescent="0.3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8" x14ac:dyDescent="0.3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8" x14ac:dyDescent="0.3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8" x14ac:dyDescent="0.3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8" x14ac:dyDescent="0.3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8" x14ac:dyDescent="0.3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8" x14ac:dyDescent="0.3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8" x14ac:dyDescent="0.3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8" x14ac:dyDescent="0.3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8" x14ac:dyDescent="0.3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8" x14ac:dyDescent="0.3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8" x14ac:dyDescent="0.3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8" x14ac:dyDescent="0.3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8" x14ac:dyDescent="0.3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E4" sqref="E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61" t="str" cm="1">
        <f t="array" ref="A1">portfolio</f>
        <v>MA: Palmer - 105 North Street</v>
      </c>
      <c r="B1" s="61"/>
      <c r="C1" s="61"/>
      <c r="D1" s="62" t="s">
        <v>16</v>
      </c>
      <c r="E1" s="62"/>
      <c r="F1" s="62"/>
      <c r="G1" s="60" t="s">
        <v>17</v>
      </c>
      <c r="H1" s="60"/>
      <c r="I1" s="60"/>
    </row>
    <row r="2" spans="1:9" ht="19.5" customHeight="1" x14ac:dyDescent="0.25">
      <c r="A2" s="63" t="s">
        <v>2</v>
      </c>
      <c r="B2" s="63"/>
      <c r="C2" s="5">
        <f>SUM(C4:C79)</f>
        <v>509603</v>
      </c>
      <c r="D2" s="5">
        <f>SUM(D4:D79)</f>
        <v>0</v>
      </c>
      <c r="E2" s="5">
        <f>C2-D2</f>
        <v>509603</v>
      </c>
      <c r="F2" s="6">
        <f>IFERROR(E2/D2, 0)</f>
        <v>0</v>
      </c>
      <c r="G2" s="5">
        <f>SUM(G4:G79)</f>
        <v>0</v>
      </c>
      <c r="H2" s="7">
        <f>C2-G2</f>
        <v>509603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 x14ac:dyDescent="0.25">
      <c r="A4" s="43" t="str" cm="1">
        <f t="array" ref="A4">Sites[Site]</f>
        <v>MA: Palmer - 105 North Street</v>
      </c>
      <c r="B4" s="9" t="str" cm="1">
        <f t="array" ref="B4">Sites[State]</f>
        <v>MA</v>
      </c>
      <c r="C4" s="23">
        <f>SUM(Oct!C4, Nov!C4, Dec!C4)</f>
        <v>509603</v>
      </c>
      <c r="D4" s="12">
        <f>SUM(Oct!D4, Nov!D4, Dec!D4)</f>
        <v>0</v>
      </c>
      <c r="E4" s="12">
        <f>IF(AND(ISNUMBER(C4),ISNUMBER(D4)), C4-D4, "")</f>
        <v>509603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 x14ac:dyDescent="0.25">
      <c r="A5" s="16"/>
      <c r="B5" s="10"/>
      <c r="C5" s="40"/>
      <c r="D5" s="17"/>
      <c r="E5" s="17"/>
      <c r="F5" s="18"/>
      <c r="G5" s="19"/>
      <c r="H5" s="19"/>
      <c r="I5" s="18"/>
    </row>
    <row r="6" spans="1:9" ht="14.4" x14ac:dyDescent="0.3">
      <c r="A6" s="20"/>
      <c r="B6" s="10"/>
      <c r="C6" s="40"/>
      <c r="D6" s="17"/>
      <c r="E6" s="17"/>
      <c r="F6" s="18"/>
      <c r="G6" s="19"/>
      <c r="H6" s="19"/>
      <c r="I6" s="18"/>
    </row>
    <row r="7" spans="1:9" ht="14.4" x14ac:dyDescent="0.3">
      <c r="A7" s="20"/>
      <c r="B7" s="10"/>
      <c r="C7" s="40"/>
      <c r="D7" s="17"/>
      <c r="E7" s="17"/>
      <c r="F7" s="18"/>
      <c r="G7" s="19"/>
      <c r="H7" s="19"/>
      <c r="I7" s="18"/>
    </row>
    <row r="8" spans="1:9" ht="14.4" x14ac:dyDescent="0.3">
      <c r="A8" s="20"/>
      <c r="B8" s="10"/>
      <c r="C8" s="40"/>
      <c r="D8" s="17"/>
      <c r="E8" s="17"/>
      <c r="F8" s="18"/>
      <c r="G8" s="19"/>
      <c r="H8" s="19"/>
      <c r="I8" s="18"/>
    </row>
    <row r="9" spans="1:9" ht="14.4" x14ac:dyDescent="0.3">
      <c r="A9" s="20"/>
      <c r="B9" s="10"/>
      <c r="C9" s="40"/>
      <c r="D9" s="17"/>
      <c r="E9" s="17"/>
      <c r="F9" s="18"/>
      <c r="G9" s="19"/>
      <c r="H9" s="19"/>
      <c r="I9" s="18"/>
    </row>
    <row r="10" spans="1:9" ht="13.8" x14ac:dyDescent="0.3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8" x14ac:dyDescent="0.3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8" x14ac:dyDescent="0.3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8" x14ac:dyDescent="0.3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8" x14ac:dyDescent="0.3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8" x14ac:dyDescent="0.3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8" x14ac:dyDescent="0.3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8" x14ac:dyDescent="0.3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8" x14ac:dyDescent="0.3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8" x14ac:dyDescent="0.3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8" x14ac:dyDescent="0.3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8" x14ac:dyDescent="0.3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8" x14ac:dyDescent="0.3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8" x14ac:dyDescent="0.3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8" x14ac:dyDescent="0.3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8" x14ac:dyDescent="0.3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8" x14ac:dyDescent="0.3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8" x14ac:dyDescent="0.3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8" x14ac:dyDescent="0.3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8" x14ac:dyDescent="0.3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8" x14ac:dyDescent="0.3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8" x14ac:dyDescent="0.3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8" x14ac:dyDescent="0.3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8" x14ac:dyDescent="0.3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8" x14ac:dyDescent="0.3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8" x14ac:dyDescent="0.3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8" x14ac:dyDescent="0.3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8" x14ac:dyDescent="0.3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8" x14ac:dyDescent="0.3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8" x14ac:dyDescent="0.3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8" x14ac:dyDescent="0.3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8" x14ac:dyDescent="0.3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8" x14ac:dyDescent="0.3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8" x14ac:dyDescent="0.3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8" x14ac:dyDescent="0.3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8" x14ac:dyDescent="0.3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8" x14ac:dyDescent="0.3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8" x14ac:dyDescent="0.3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8" x14ac:dyDescent="0.3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8" x14ac:dyDescent="0.3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8" x14ac:dyDescent="0.3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8" x14ac:dyDescent="0.3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8" x14ac:dyDescent="0.3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8" x14ac:dyDescent="0.3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8" x14ac:dyDescent="0.3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8" x14ac:dyDescent="0.3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8" x14ac:dyDescent="0.3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8" x14ac:dyDescent="0.3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8" x14ac:dyDescent="0.3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8" x14ac:dyDescent="0.3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8" x14ac:dyDescent="0.3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8" x14ac:dyDescent="0.3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8" x14ac:dyDescent="0.3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8" x14ac:dyDescent="0.3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8" x14ac:dyDescent="0.3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8" x14ac:dyDescent="0.3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8" x14ac:dyDescent="0.3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8" x14ac:dyDescent="0.3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8" x14ac:dyDescent="0.3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8" x14ac:dyDescent="0.3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8" x14ac:dyDescent="0.3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8" x14ac:dyDescent="0.3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8" x14ac:dyDescent="0.3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8" x14ac:dyDescent="0.3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8" x14ac:dyDescent="0.3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8" x14ac:dyDescent="0.3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8" x14ac:dyDescent="0.3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8" x14ac:dyDescent="0.3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8" x14ac:dyDescent="0.3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8" x14ac:dyDescent="0.3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8" x14ac:dyDescent="0.3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8" x14ac:dyDescent="0.3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8" x14ac:dyDescent="0.3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8" x14ac:dyDescent="0.3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8" x14ac:dyDescent="0.3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8" x14ac:dyDescent="0.3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8" x14ac:dyDescent="0.3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8" x14ac:dyDescent="0.3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8" x14ac:dyDescent="0.3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8" x14ac:dyDescent="0.3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8" x14ac:dyDescent="0.3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8" x14ac:dyDescent="0.3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8" x14ac:dyDescent="0.3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8" x14ac:dyDescent="0.3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8" x14ac:dyDescent="0.3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8" x14ac:dyDescent="0.3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8" x14ac:dyDescent="0.3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8" x14ac:dyDescent="0.3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8" x14ac:dyDescent="0.3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8" x14ac:dyDescent="0.3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8" x14ac:dyDescent="0.3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8" x14ac:dyDescent="0.3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8" x14ac:dyDescent="0.3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8" x14ac:dyDescent="0.3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8" x14ac:dyDescent="0.3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8" x14ac:dyDescent="0.3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8" x14ac:dyDescent="0.3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8" x14ac:dyDescent="0.3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8" x14ac:dyDescent="0.3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8" x14ac:dyDescent="0.3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8" x14ac:dyDescent="0.3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8" x14ac:dyDescent="0.3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8" x14ac:dyDescent="0.3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8" x14ac:dyDescent="0.3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8" x14ac:dyDescent="0.3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8" x14ac:dyDescent="0.3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8" x14ac:dyDescent="0.3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8" x14ac:dyDescent="0.3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8" x14ac:dyDescent="0.3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8" x14ac:dyDescent="0.3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8" x14ac:dyDescent="0.3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8" x14ac:dyDescent="0.3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8" x14ac:dyDescent="0.3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8" x14ac:dyDescent="0.3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8" x14ac:dyDescent="0.3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8" x14ac:dyDescent="0.3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8" x14ac:dyDescent="0.3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8" x14ac:dyDescent="0.3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8" x14ac:dyDescent="0.3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8" x14ac:dyDescent="0.3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8" x14ac:dyDescent="0.3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8" x14ac:dyDescent="0.3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8" x14ac:dyDescent="0.3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8" x14ac:dyDescent="0.3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8" x14ac:dyDescent="0.3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8" x14ac:dyDescent="0.3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8" x14ac:dyDescent="0.3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8" x14ac:dyDescent="0.3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8" x14ac:dyDescent="0.3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8" x14ac:dyDescent="0.3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8" x14ac:dyDescent="0.3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8" x14ac:dyDescent="0.3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8" x14ac:dyDescent="0.3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8" x14ac:dyDescent="0.3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8" x14ac:dyDescent="0.3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8" x14ac:dyDescent="0.3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8" x14ac:dyDescent="0.3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8" x14ac:dyDescent="0.3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8" x14ac:dyDescent="0.3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8" x14ac:dyDescent="0.3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8" x14ac:dyDescent="0.3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8" x14ac:dyDescent="0.3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8" x14ac:dyDescent="0.3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8" x14ac:dyDescent="0.3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8" x14ac:dyDescent="0.3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8" x14ac:dyDescent="0.3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8" x14ac:dyDescent="0.3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8" x14ac:dyDescent="0.3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8" x14ac:dyDescent="0.3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8" x14ac:dyDescent="0.3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8" x14ac:dyDescent="0.3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8" x14ac:dyDescent="0.3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8" x14ac:dyDescent="0.3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8" x14ac:dyDescent="0.3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8" x14ac:dyDescent="0.3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8" x14ac:dyDescent="0.3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8" x14ac:dyDescent="0.3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8" x14ac:dyDescent="0.3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8" x14ac:dyDescent="0.3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8" x14ac:dyDescent="0.3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8" x14ac:dyDescent="0.3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8" x14ac:dyDescent="0.3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8" x14ac:dyDescent="0.3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8" x14ac:dyDescent="0.3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8" x14ac:dyDescent="0.3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8" x14ac:dyDescent="0.3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8" x14ac:dyDescent="0.3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8" x14ac:dyDescent="0.3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8" x14ac:dyDescent="0.3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8" x14ac:dyDescent="0.3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8" x14ac:dyDescent="0.3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8" x14ac:dyDescent="0.3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8" x14ac:dyDescent="0.3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8" x14ac:dyDescent="0.3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8" x14ac:dyDescent="0.3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8" x14ac:dyDescent="0.3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8" x14ac:dyDescent="0.3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8" x14ac:dyDescent="0.3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8" x14ac:dyDescent="0.3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8" x14ac:dyDescent="0.3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8" x14ac:dyDescent="0.3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8" x14ac:dyDescent="0.3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8" x14ac:dyDescent="0.3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8" x14ac:dyDescent="0.3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8" x14ac:dyDescent="0.3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8" x14ac:dyDescent="0.3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8" x14ac:dyDescent="0.3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8" x14ac:dyDescent="0.3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8" x14ac:dyDescent="0.3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8" x14ac:dyDescent="0.3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8" x14ac:dyDescent="0.3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8" x14ac:dyDescent="0.3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8" x14ac:dyDescent="0.3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8" x14ac:dyDescent="0.3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8" x14ac:dyDescent="0.3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8" x14ac:dyDescent="0.3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8" x14ac:dyDescent="0.3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8" x14ac:dyDescent="0.3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8" x14ac:dyDescent="0.3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8" x14ac:dyDescent="0.3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8" x14ac:dyDescent="0.3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8" x14ac:dyDescent="0.3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8" x14ac:dyDescent="0.3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8" x14ac:dyDescent="0.3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8" x14ac:dyDescent="0.3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8" x14ac:dyDescent="0.3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8" x14ac:dyDescent="0.3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8" x14ac:dyDescent="0.3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8" x14ac:dyDescent="0.3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8" x14ac:dyDescent="0.3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8" x14ac:dyDescent="0.3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8" x14ac:dyDescent="0.3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8" x14ac:dyDescent="0.3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8" x14ac:dyDescent="0.3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8" x14ac:dyDescent="0.3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8" x14ac:dyDescent="0.3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8" x14ac:dyDescent="0.3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8" x14ac:dyDescent="0.3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8" x14ac:dyDescent="0.3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8" x14ac:dyDescent="0.3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8" x14ac:dyDescent="0.3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8" x14ac:dyDescent="0.3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8" x14ac:dyDescent="0.3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8" x14ac:dyDescent="0.3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8" x14ac:dyDescent="0.3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8" x14ac:dyDescent="0.3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8" x14ac:dyDescent="0.3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8" x14ac:dyDescent="0.3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8" x14ac:dyDescent="0.3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8" x14ac:dyDescent="0.3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8" x14ac:dyDescent="0.3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8" x14ac:dyDescent="0.3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8" x14ac:dyDescent="0.3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8" x14ac:dyDescent="0.3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8" x14ac:dyDescent="0.3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8" x14ac:dyDescent="0.3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8" x14ac:dyDescent="0.3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8" x14ac:dyDescent="0.3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8" x14ac:dyDescent="0.3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8" x14ac:dyDescent="0.3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8" x14ac:dyDescent="0.3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8" x14ac:dyDescent="0.3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8" x14ac:dyDescent="0.3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8" x14ac:dyDescent="0.3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8" x14ac:dyDescent="0.3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8" x14ac:dyDescent="0.3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8" x14ac:dyDescent="0.3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8" x14ac:dyDescent="0.3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8" x14ac:dyDescent="0.3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8" x14ac:dyDescent="0.3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8" x14ac:dyDescent="0.3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8" x14ac:dyDescent="0.3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8" x14ac:dyDescent="0.3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8" x14ac:dyDescent="0.3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8" x14ac:dyDescent="0.3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8" x14ac:dyDescent="0.3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8" x14ac:dyDescent="0.3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8" x14ac:dyDescent="0.3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8" x14ac:dyDescent="0.3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8" x14ac:dyDescent="0.3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8" x14ac:dyDescent="0.3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8" x14ac:dyDescent="0.3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8" x14ac:dyDescent="0.3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8" x14ac:dyDescent="0.3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8" x14ac:dyDescent="0.3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8" x14ac:dyDescent="0.3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8" x14ac:dyDescent="0.3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8" x14ac:dyDescent="0.3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8" x14ac:dyDescent="0.3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8" x14ac:dyDescent="0.3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8" x14ac:dyDescent="0.3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8" x14ac:dyDescent="0.3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8" x14ac:dyDescent="0.3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8" x14ac:dyDescent="0.3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8" x14ac:dyDescent="0.3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8" x14ac:dyDescent="0.3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8" x14ac:dyDescent="0.3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8" x14ac:dyDescent="0.3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8" x14ac:dyDescent="0.3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8" x14ac:dyDescent="0.3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8" x14ac:dyDescent="0.3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8" x14ac:dyDescent="0.3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8" x14ac:dyDescent="0.3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8" x14ac:dyDescent="0.3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8" x14ac:dyDescent="0.3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8" x14ac:dyDescent="0.3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8" x14ac:dyDescent="0.3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8" x14ac:dyDescent="0.3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8" x14ac:dyDescent="0.3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8" x14ac:dyDescent="0.3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8" x14ac:dyDescent="0.3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8" x14ac:dyDescent="0.3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8" x14ac:dyDescent="0.3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8" x14ac:dyDescent="0.3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8" x14ac:dyDescent="0.3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8" x14ac:dyDescent="0.3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8" x14ac:dyDescent="0.3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8" x14ac:dyDescent="0.3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8" x14ac:dyDescent="0.3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8" x14ac:dyDescent="0.3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8" x14ac:dyDescent="0.3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8" x14ac:dyDescent="0.3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8" x14ac:dyDescent="0.3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8" x14ac:dyDescent="0.3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8" x14ac:dyDescent="0.3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8" x14ac:dyDescent="0.3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8" x14ac:dyDescent="0.3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8" x14ac:dyDescent="0.3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8" x14ac:dyDescent="0.3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8" x14ac:dyDescent="0.3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8" x14ac:dyDescent="0.3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8" x14ac:dyDescent="0.3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topRight" activeCell="A4" sqref="A4:XFD4"/>
      <selection pane="bottomLeft" activeCell="A4" sqref="A4:XFD4"/>
      <selection pane="bottomRight" activeCell="J9" sqref="J9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1" t="str" cm="1">
        <f t="array" ref="A1">portfolio</f>
        <v>MA: Palmer - 105 North Street</v>
      </c>
      <c r="B1" s="61"/>
      <c r="C1" s="61"/>
      <c r="D1" s="62" t="s">
        <v>18</v>
      </c>
      <c r="E1" s="62"/>
      <c r="F1" s="62"/>
      <c r="G1" s="60" t="s">
        <v>19</v>
      </c>
      <c r="H1" s="60"/>
      <c r="I1" s="60"/>
      <c r="J1" s="4"/>
      <c r="K1" s="4"/>
    </row>
    <row r="2" spans="1:11" ht="19.5" customHeight="1" x14ac:dyDescent="0.25">
      <c r="A2" s="63" t="s">
        <v>2</v>
      </c>
      <c r="B2" s="63"/>
      <c r="C2" s="5">
        <f>SUM(C4:C78)</f>
        <v>143914</v>
      </c>
      <c r="D2" s="5">
        <f>SUM(D4:D78)</f>
        <v>0</v>
      </c>
      <c r="E2" s="5">
        <f>C2-D2</f>
        <v>143914</v>
      </c>
      <c r="F2" s="6">
        <f>IFERROR(E2/D2, 0)</f>
        <v>0</v>
      </c>
      <c r="G2" s="5">
        <f>SUM(G4:G78)</f>
        <v>0</v>
      </c>
      <c r="H2" s="7">
        <f>C2-G2</f>
        <v>143914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26" t="s">
        <v>3</v>
      </c>
      <c r="B3" s="8" t="s">
        <v>4</v>
      </c>
      <c r="C3" s="46" t="s">
        <v>5</v>
      </c>
      <c r="D3" s="47" t="s">
        <v>6</v>
      </c>
      <c r="E3" s="31" t="s">
        <v>7</v>
      </c>
      <c r="F3" s="32" t="s">
        <v>8</v>
      </c>
      <c r="G3" s="48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8" x14ac:dyDescent="0.3">
      <c r="A4" s="45" t="str" cm="1">
        <f t="array" ref="A4">Sites[Site]</f>
        <v>MA: Palmer - 105 North Street</v>
      </c>
      <c r="B4" s="27" t="str" cm="1">
        <f t="array" ref="B4">Sites[State]</f>
        <v>MA</v>
      </c>
      <c r="C4" s="23">
        <v>143914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2" t="s">
        <v>22</v>
      </c>
      <c r="H4" s="14" t="str">
        <f>IF(AND(ISNUMBER(C4),ISNUMBER(G4)), C4-G4, "")</f>
        <v/>
      </c>
      <c r="I4" s="15" t="str">
        <f>IFERROR(H4/G4, "")</f>
        <v/>
      </c>
      <c r="J4" s="36" t="s">
        <v>23</v>
      </c>
      <c r="K4" s="53" t="s">
        <v>24</v>
      </c>
    </row>
    <row r="5" spans="1:11" ht="14.4" x14ac:dyDescent="0.3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">
    <cfRule type="cellIs" dxfId="25" priority="6" stopIfTrue="1" operator="lessThanOrEqual">
      <formula>-0.1</formula>
    </cfRule>
    <cfRule type="expression" dxfId="24" priority="7">
      <formula>AND(ISNUMBER(F2), F2&gt;=0.1)</formula>
    </cfRule>
  </conditionalFormatting>
  <conditionalFormatting sqref="F4:F78 I4:I78">
    <cfRule type="cellIs" dxfId="23" priority="1" stopIfTrue="1" operator="lessThanOrEqual">
      <formula>-0.1</formula>
    </cfRule>
    <cfRule type="expression" dxfId="22" priority="2">
      <formula>AND(ISNUMBER(F4), F4&gt;=0.1)</formula>
    </cfRule>
  </conditionalFormatting>
  <hyperlinks>
    <hyperlink ref="K4" r:id="rId1" display="https://us3.assetplanner.com/service_request?ID=095926" xr:uid="{3DD4C0D5-FDD2-4D36-B9AA-BCFB114A2BE8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J4" activePane="bottomRight" state="frozen"/>
      <selection pane="topRight" activeCell="J14" sqref="J14"/>
      <selection pane="bottomLeft" activeCell="J14" sqref="J14"/>
      <selection pane="bottomRight" activeCell="J8" sqref="J8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1" t="str" cm="1">
        <f t="array" ref="A1">portfolio</f>
        <v>MA: Palmer - 105 North Street</v>
      </c>
      <c r="B1" s="61"/>
      <c r="C1" s="61"/>
      <c r="D1" s="62" t="s">
        <v>25</v>
      </c>
      <c r="E1" s="62"/>
      <c r="F1" s="62"/>
      <c r="G1" s="60" t="s">
        <v>26</v>
      </c>
      <c r="H1" s="60"/>
      <c r="I1" s="60"/>
      <c r="J1" s="4"/>
      <c r="K1" s="4"/>
    </row>
    <row r="2" spans="1:11" ht="19.5" customHeight="1" x14ac:dyDescent="0.25">
      <c r="A2" s="63" t="s">
        <v>2</v>
      </c>
      <c r="B2" s="63"/>
      <c r="C2" s="5">
        <f>SUM(C4:C79)</f>
        <v>138085</v>
      </c>
      <c r="D2" s="5">
        <f>SUM(D4:D79)</f>
        <v>0</v>
      </c>
      <c r="E2" s="5">
        <f>C2-D2</f>
        <v>138085</v>
      </c>
      <c r="F2" s="6">
        <f>IFERROR(E2/D2, 0)</f>
        <v>0</v>
      </c>
      <c r="G2" s="5">
        <f>SUM(G4:G79)</f>
        <v>0</v>
      </c>
      <c r="H2" s="7">
        <f>C2-G2</f>
        <v>138085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8" x14ac:dyDescent="0.3">
      <c r="A4" s="45" t="str" cm="1">
        <f t="array" ref="A4">Sites[Site]</f>
        <v>MA: Palmer - 105 North Street</v>
      </c>
      <c r="B4" s="27" t="str" cm="1">
        <f t="array" ref="B4">Sites[State]</f>
        <v>MA</v>
      </c>
      <c r="C4" s="23">
        <v>138085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2" t="s">
        <v>22</v>
      </c>
      <c r="H4" s="14" t="str">
        <f>IF(AND(ISNUMBER(C4),ISNUMBER(G4)), C4-G4, "")</f>
        <v/>
      </c>
      <c r="I4" s="15" t="str">
        <f>IFERROR(H4/G4, "")</f>
        <v/>
      </c>
      <c r="J4" s="36" t="s">
        <v>27</v>
      </c>
      <c r="K4" s="53" t="s">
        <v>28</v>
      </c>
    </row>
    <row r="5" spans="1:11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hyperlinks>
    <hyperlink ref="K4" r:id="rId1" display="https://us3.assetplanner.com/service_request?ID=097163" xr:uid="{CE0F2157-9A62-4A40-BE28-57921753D72F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F4" activePane="bottomRight" state="frozen"/>
      <selection pane="topRight" activeCell="J14" sqref="J14"/>
      <selection pane="bottomLeft" activeCell="J14" sqref="J14"/>
      <selection pane="bottomRight" activeCell="E18" sqref="E18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1" t="str" cm="1">
        <f t="array" ref="A1">portfolio</f>
        <v>MA: Palmer - 105 North Street</v>
      </c>
      <c r="B1" s="61"/>
      <c r="C1" s="61"/>
      <c r="D1" s="62" t="s">
        <v>29</v>
      </c>
      <c r="E1" s="62"/>
      <c r="F1" s="62"/>
      <c r="G1" s="60" t="s">
        <v>30</v>
      </c>
      <c r="H1" s="60"/>
      <c r="I1" s="60"/>
      <c r="J1" s="4"/>
      <c r="K1" s="4"/>
    </row>
    <row r="2" spans="1:11" ht="19.5" customHeight="1" x14ac:dyDescent="0.25">
      <c r="A2" s="63" t="s">
        <v>2</v>
      </c>
      <c r="B2" s="63"/>
      <c r="C2" s="5">
        <f>SUM(C4:C79)</f>
        <v>270923</v>
      </c>
      <c r="D2" s="5">
        <f>SUM(D4:D79)</f>
        <v>0</v>
      </c>
      <c r="E2" s="5">
        <f>C2-D2</f>
        <v>270923</v>
      </c>
      <c r="F2" s="6">
        <f>IFERROR(E2/D2, 0)</f>
        <v>0</v>
      </c>
      <c r="G2" s="5">
        <f>SUM(G4:G79)</f>
        <v>0</v>
      </c>
      <c r="H2" s="7">
        <f>C2-G2</f>
        <v>270923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 x14ac:dyDescent="0.3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>
        <v>270923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2" t="s">
        <v>22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topRight" activeCell="J14" sqref="J14"/>
      <selection pane="bottomLeft" activeCell="J14" sqref="J14"/>
      <selection pane="bottomRight" activeCell="K4" sqref="K4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1" t="str" cm="1">
        <f t="array" ref="A1">portfolio</f>
        <v>MA: Palmer - 105 North Street</v>
      </c>
      <c r="B1" s="61"/>
      <c r="C1" s="61"/>
      <c r="D1" s="62" t="s">
        <v>31</v>
      </c>
      <c r="E1" s="62"/>
      <c r="F1" s="62"/>
      <c r="G1" s="60" t="s">
        <v>32</v>
      </c>
      <c r="H1" s="60"/>
      <c r="I1" s="60"/>
      <c r="J1" s="4"/>
      <c r="K1" s="4"/>
    </row>
    <row r="2" spans="1:11" ht="19.5" customHeight="1" x14ac:dyDescent="0.25">
      <c r="A2" s="63" t="s">
        <v>2</v>
      </c>
      <c r="B2" s="63"/>
      <c r="C2" s="5">
        <f>SUM(C4:C79)</f>
        <v>289792</v>
      </c>
      <c r="D2" s="5">
        <f>SUM(D4:D79)</f>
        <v>0</v>
      </c>
      <c r="E2" s="5">
        <f>C2-D2</f>
        <v>289792</v>
      </c>
      <c r="F2" s="6">
        <f>IFERROR(E2/D2, 0)</f>
        <v>0</v>
      </c>
      <c r="G2" s="5">
        <f>SUM(G4:G79)</f>
        <v>0</v>
      </c>
      <c r="H2" s="7">
        <f>C2-G2</f>
        <v>289792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 x14ac:dyDescent="0.3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>
        <v>289792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2" t="s">
        <v>22</v>
      </c>
      <c r="H4" s="14" t="str">
        <f>IF(AND(ISNUMBER(C4),ISNUMBER(G4)), C4-G4, "")</f>
        <v/>
      </c>
      <c r="I4" s="15" t="str">
        <f>IFERROR(H4/G4, "")</f>
        <v/>
      </c>
      <c r="J4" s="49"/>
      <c r="K4" s="50"/>
    </row>
    <row r="5" spans="1:11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21"/>
  <sheetViews>
    <sheetView workbookViewId="0">
      <pane xSplit="2" ySplit="3" topLeftCell="G4" activePane="bottomRight" state="frozen"/>
      <selection pane="topRight" activeCell="J14" sqref="J14"/>
      <selection pane="bottomLeft" activeCell="J14" sqref="J14"/>
      <selection pane="bottomRight" activeCell="L1" sqref="L1:L1048576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  <col min="12" max="12" width="8.88671875" style="56"/>
  </cols>
  <sheetData>
    <row r="1" spans="1:12" ht="19.5" customHeight="1" x14ac:dyDescent="0.25">
      <c r="A1" s="61" t="str" cm="1">
        <f t="array" ref="A1">portfolio</f>
        <v>MA: Palmer - 105 North Street</v>
      </c>
      <c r="B1" s="61"/>
      <c r="C1" s="61"/>
      <c r="D1" s="62" t="s">
        <v>33</v>
      </c>
      <c r="E1" s="62"/>
      <c r="F1" s="62"/>
      <c r="G1" s="60" t="s">
        <v>34</v>
      </c>
      <c r="H1" s="60"/>
      <c r="I1" s="60"/>
      <c r="J1" s="4"/>
      <c r="K1" s="4"/>
    </row>
    <row r="2" spans="1:12" ht="19.5" customHeight="1" x14ac:dyDescent="0.25">
      <c r="A2" s="63" t="s">
        <v>2</v>
      </c>
      <c r="B2" s="63"/>
      <c r="C2" s="5">
        <f>SUM(C4:C79)</f>
        <v>251778</v>
      </c>
      <c r="D2" s="5">
        <f>SUM(D4:D79)</f>
        <v>0</v>
      </c>
      <c r="E2" s="5">
        <f>C2-D2</f>
        <v>251778</v>
      </c>
      <c r="F2" s="6">
        <f>IFERROR(E2/D2, 0)</f>
        <v>0</v>
      </c>
      <c r="G2" s="5">
        <f>SUM(G4:G79)</f>
        <v>0</v>
      </c>
      <c r="H2" s="7">
        <f>C2-G2</f>
        <v>251778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2" ht="28.8" x14ac:dyDescent="0.25">
      <c r="A4" s="51" t="str" cm="1">
        <f t="array" ref="A4">Sites[Site]</f>
        <v>MA: Palmer - 105 North Street</v>
      </c>
      <c r="B4" s="27" t="str" cm="1">
        <f t="array" ref="B4">Sites[State]</f>
        <v>MA</v>
      </c>
      <c r="C4" s="23">
        <v>251778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2" t="s">
        <v>22</v>
      </c>
      <c r="H4" s="14" t="str">
        <f>IF(AND(ISNUMBER(C4),ISNUMBER(G4)), C4-G4, "")</f>
        <v/>
      </c>
      <c r="I4" s="15" t="str">
        <f>IFERROR(H4/G4, "")</f>
        <v/>
      </c>
      <c r="J4" s="54" t="s">
        <v>35</v>
      </c>
      <c r="K4" s="55" t="s">
        <v>36</v>
      </c>
      <c r="L4" s="57" t="s">
        <v>37</v>
      </c>
    </row>
    <row r="5" spans="1:12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hyperlinks>
    <hyperlink ref="K4" r:id="rId1" display="https://us3.assetplanner.com/service_request?ID=102205" xr:uid="{422F327C-E98E-460C-8ED7-219F1DC72D6B}"/>
    <hyperlink ref="L4" r:id="rId2" display="https://us3.assetplanner.com/service_request?ID=101664" xr:uid="{271B488E-F058-48BB-A67B-208FD4069798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F4" activePane="bottomRight" state="frozen"/>
      <selection pane="topRight" activeCell="J14" sqref="J14"/>
      <selection pane="bottomLeft" activeCell="J14" sqref="J14"/>
      <selection pane="bottomRight" activeCell="K4" sqref="K4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3.88671875" customWidth="1"/>
    <col min="11" max="11" width="20.5546875" bestFit="1" customWidth="1"/>
  </cols>
  <sheetData>
    <row r="1" spans="1:11" ht="19.5" customHeight="1" x14ac:dyDescent="0.25">
      <c r="A1" s="61" t="str" cm="1">
        <f t="array" ref="A1">portfolio</f>
        <v>MA: Palmer - 105 North Street</v>
      </c>
      <c r="B1" s="61"/>
      <c r="C1" s="61"/>
      <c r="D1" s="62" t="s">
        <v>38</v>
      </c>
      <c r="E1" s="62"/>
      <c r="F1" s="62"/>
      <c r="G1" s="60" t="s">
        <v>39</v>
      </c>
      <c r="H1" s="60"/>
      <c r="I1" s="60"/>
      <c r="J1" s="4"/>
      <c r="K1" s="4"/>
    </row>
    <row r="2" spans="1:11" ht="19.5" customHeight="1" x14ac:dyDescent="0.25">
      <c r="A2" s="63" t="s">
        <v>2</v>
      </c>
      <c r="B2" s="63"/>
      <c r="C2" s="5">
        <f>SUM(C4:C79)</f>
        <v>294880</v>
      </c>
      <c r="D2" s="5">
        <f>SUM(D4:D79)</f>
        <v>0</v>
      </c>
      <c r="E2" s="5">
        <f>C2-D2</f>
        <v>294880</v>
      </c>
      <c r="F2" s="6">
        <f>IFERROR(E2/D2, 0)</f>
        <v>0</v>
      </c>
      <c r="G2" s="5">
        <f>SUM(G4:G79)</f>
        <v>0</v>
      </c>
      <c r="H2" s="7">
        <f>C2-G2</f>
        <v>294880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8.75" customHeight="1" x14ac:dyDescent="0.3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>
        <v>294880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2" t="s">
        <v>22</v>
      </c>
      <c r="H4" s="14" t="str">
        <f>IF(AND(ISNUMBER(C4),ISNUMBER(G4)), C4-G4, "")</f>
        <v/>
      </c>
      <c r="I4" s="15" t="str">
        <f>IFERROR(H4/G4, "")</f>
        <v/>
      </c>
      <c r="J4" s="36" t="s">
        <v>40</v>
      </c>
      <c r="K4" s="53" t="s">
        <v>41</v>
      </c>
    </row>
    <row r="5" spans="1:11" ht="14.4" x14ac:dyDescent="0.3">
      <c r="A5" s="20"/>
      <c r="B5" s="29"/>
      <c r="C5" s="20"/>
      <c r="D5" s="20"/>
      <c r="E5" s="20"/>
      <c r="F5" s="20"/>
      <c r="G5" s="20"/>
      <c r="H5" s="20"/>
      <c r="I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hyperlinks>
    <hyperlink ref="K4" r:id="rId1" display="https://us3.assetplanner.com/service_request?ID=103236" xr:uid="{D32E40F3-4CF0-4E87-AF96-8E823665A80D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topRight" activeCell="J14" sqref="J14"/>
      <selection pane="bottomLeft" activeCell="J14" sqref="J14"/>
      <selection pane="bottomRight" activeCell="D15" sqref="D15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1" t="str" cm="1">
        <f t="array" ref="A1">portfolio</f>
        <v>MA: Palmer - 105 North Street</v>
      </c>
      <c r="B1" s="61"/>
      <c r="C1" s="61"/>
      <c r="D1" s="62" t="s">
        <v>42</v>
      </c>
      <c r="E1" s="62"/>
      <c r="F1" s="62"/>
      <c r="G1" s="60" t="s">
        <v>43</v>
      </c>
      <c r="H1" s="60"/>
      <c r="I1" s="60"/>
      <c r="J1" s="4"/>
      <c r="K1" s="4"/>
    </row>
    <row r="2" spans="1:11" ht="19.5" customHeight="1" x14ac:dyDescent="0.25">
      <c r="A2" s="63" t="s">
        <v>2</v>
      </c>
      <c r="B2" s="63"/>
      <c r="C2" s="5">
        <f>SUM(C4:C79)</f>
        <v>325026</v>
      </c>
      <c r="D2" s="5">
        <f>SUM(D4:D79)</f>
        <v>0</v>
      </c>
      <c r="E2" s="5">
        <f>C2-D2</f>
        <v>325026</v>
      </c>
      <c r="F2" s="6">
        <f>IFERROR(E2/D2, 0)</f>
        <v>0</v>
      </c>
      <c r="G2" s="5">
        <f>SUM(G4:G79)</f>
        <v>0</v>
      </c>
      <c r="H2" s="7">
        <f>C2-G2</f>
        <v>325026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 x14ac:dyDescent="0.3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>
        <v>325026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2" t="s">
        <v>22</v>
      </c>
      <c r="H4" s="14" t="str">
        <f>IF(AND(ISNUMBER(C4),ISNUMBER(G4)), C4-G4, "")</f>
        <v/>
      </c>
      <c r="I4" s="15" t="str">
        <f>IFERROR(H4/G4, "")</f>
        <v/>
      </c>
      <c r="J4" s="36" t="s">
        <v>44</v>
      </c>
      <c r="K4" s="53" t="s">
        <v>45</v>
      </c>
    </row>
    <row r="5" spans="1:11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hyperlinks>
    <hyperlink ref="K4" r:id="rId1" display="https://us3.assetplanner.com/service_request?ID=104056" xr:uid="{7579F0CB-94F7-4C68-A2AE-DDED7B90F804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21"/>
  <sheetViews>
    <sheetView workbookViewId="0">
      <pane xSplit="2" ySplit="3" topLeftCell="C4" activePane="bottomRight" state="frozen"/>
      <selection pane="topRight" activeCell="J14" sqref="J14"/>
      <selection pane="bottomLeft" activeCell="J14" sqref="J14"/>
      <selection pane="bottomRight" activeCell="D12" sqref="D12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  <col min="12" max="12" width="8.88671875" style="56"/>
  </cols>
  <sheetData>
    <row r="1" spans="1:12" ht="19.5" customHeight="1" x14ac:dyDescent="0.25">
      <c r="A1" s="61" t="str" cm="1">
        <f t="array" ref="A1">portfolio</f>
        <v>MA: Palmer - 105 North Street</v>
      </c>
      <c r="B1" s="61"/>
      <c r="C1" s="61"/>
      <c r="D1" s="62" t="s">
        <v>46</v>
      </c>
      <c r="E1" s="62"/>
      <c r="F1" s="62"/>
      <c r="G1" s="60" t="s">
        <v>47</v>
      </c>
      <c r="H1" s="60"/>
      <c r="I1" s="60"/>
      <c r="J1" s="4"/>
      <c r="K1" s="4"/>
    </row>
    <row r="2" spans="1:12" ht="19.5" customHeight="1" x14ac:dyDescent="0.25">
      <c r="A2" s="63" t="s">
        <v>2</v>
      </c>
      <c r="B2" s="63"/>
      <c r="C2" s="5">
        <f>SUM(C4:C79)</f>
        <v>324301</v>
      </c>
      <c r="D2" s="5">
        <f>SUM(D4:D79)</f>
        <v>0</v>
      </c>
      <c r="E2" s="5">
        <f>C2-D2</f>
        <v>324301</v>
      </c>
      <c r="F2" s="6">
        <f>IFERROR(E2/D2, 0)</f>
        <v>0</v>
      </c>
      <c r="G2" s="5">
        <f>SUM(G4:G79)</f>
        <v>0</v>
      </c>
      <c r="H2" s="7">
        <f>C2-G2</f>
        <v>324301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2" ht="28.8" x14ac:dyDescent="0.3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>
        <v>324301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8" t="s">
        <v>22</v>
      </c>
      <c r="H4" s="14" t="str">
        <f>IF(AND(ISNUMBER(C4),ISNUMBER(G4)), C4-G4, "")</f>
        <v/>
      </c>
      <c r="I4" s="15" t="str">
        <f>IFERROR(H4/G4, "")</f>
        <v/>
      </c>
      <c r="J4" s="36" t="s">
        <v>48</v>
      </c>
      <c r="K4" s="53" t="s">
        <v>49</v>
      </c>
      <c r="L4" s="57" t="s">
        <v>50</v>
      </c>
    </row>
    <row r="5" spans="1:12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hyperlinks>
    <hyperlink ref="K4" r:id="rId1" display="https://us3.assetplanner.com/service_request?ID=106529" xr:uid="{E50E96BE-3B81-4A11-9C41-B4DD7CB8C9DA}"/>
    <hyperlink ref="L4" r:id="rId2" display="https://us3.assetplanner.com/service_request?ID=104056" xr:uid="{0860D242-8515-4AF0-AAAB-C371BCC4CA7B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topRight" activeCell="J14" sqref="J14"/>
      <selection pane="bottomLeft" activeCell="J14" sqref="J14"/>
      <selection pane="bottomRight" activeCell="K11" sqref="K11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1" t="str" cm="1">
        <f t="array" ref="A1">portfolio</f>
        <v>MA: Palmer - 105 North Street</v>
      </c>
      <c r="B1" s="61"/>
      <c r="C1" s="61"/>
      <c r="D1" s="62" t="s">
        <v>51</v>
      </c>
      <c r="E1" s="62"/>
      <c r="F1" s="62"/>
      <c r="G1" s="60" t="s">
        <v>52</v>
      </c>
      <c r="H1" s="60"/>
      <c r="I1" s="60"/>
      <c r="J1" s="4"/>
      <c r="K1" s="4"/>
    </row>
    <row r="2" spans="1:11" ht="19.5" customHeight="1" x14ac:dyDescent="0.25">
      <c r="A2" s="63" t="s">
        <v>2</v>
      </c>
      <c r="B2" s="63"/>
      <c r="C2" s="5">
        <f>SUM(C4:C79)</f>
        <v>287550</v>
      </c>
      <c r="D2" s="5">
        <f>SUM(D4:D79)</f>
        <v>0</v>
      </c>
      <c r="E2" s="5">
        <f>C2-D2</f>
        <v>287550</v>
      </c>
      <c r="F2" s="6">
        <f>IFERROR(E2/D2, 0)</f>
        <v>0</v>
      </c>
      <c r="G2" s="5">
        <f>SUM(G4:G79)</f>
        <v>0</v>
      </c>
      <c r="H2" s="7">
        <f>C2-G2</f>
        <v>287550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85.5" customHeight="1" x14ac:dyDescent="0.25">
      <c r="A4" s="51" t="str" cm="1">
        <f t="array" ref="A4">Sites[Site]</f>
        <v>MA: Palmer - 105 North Street</v>
      </c>
      <c r="B4" s="27" t="str" cm="1">
        <f t="array" ref="B4">Sites[State]</f>
        <v>MA</v>
      </c>
      <c r="C4" s="23">
        <v>287550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 t="s">
        <v>22</v>
      </c>
      <c r="H4" s="14" t="str">
        <f>IF(AND(ISNUMBER(C4),ISNUMBER(G4)), C4-G4, "")</f>
        <v/>
      </c>
      <c r="I4" s="15" t="str">
        <f>IFERROR(H4/G4, "")</f>
        <v/>
      </c>
      <c r="J4" s="36" t="s">
        <v>53</v>
      </c>
      <c r="K4" s="53" t="s">
        <v>54</v>
      </c>
    </row>
    <row r="5" spans="1:11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hyperlinks>
    <hyperlink ref="K4" r:id="rId1" display="https://us3.assetplanner.com/service_request?ID=107563" xr:uid="{61C2B795-4540-4AC0-A389-15B9D6F4B95C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zoomScale="90" zoomScaleNormal="90" workbookViewId="0">
      <pane xSplit="2" ySplit="3" topLeftCell="C4" activePane="bottomRight" state="frozen"/>
      <selection pane="topRight" activeCell="J14" sqref="J14"/>
      <selection pane="bottomLeft" activeCell="J14" sqref="J14"/>
      <selection pane="bottomRight" activeCell="J16" sqref="J16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1" t="str" cm="1">
        <f t="array" ref="A1">portfolio</f>
        <v>MA: Palmer - 105 North Street</v>
      </c>
      <c r="B1" s="61"/>
      <c r="C1" s="61"/>
      <c r="D1" s="62" t="s">
        <v>55</v>
      </c>
      <c r="E1" s="62"/>
      <c r="F1" s="62"/>
      <c r="G1" s="60" t="s">
        <v>56</v>
      </c>
      <c r="H1" s="60"/>
      <c r="I1" s="60"/>
      <c r="J1" s="4"/>
      <c r="K1" s="4"/>
    </row>
    <row r="2" spans="1:11" ht="19.5" customHeight="1" x14ac:dyDescent="0.25">
      <c r="A2" s="63" t="s">
        <v>2</v>
      </c>
      <c r="B2" s="63"/>
      <c r="C2" s="5">
        <f>SUM(C4:C79)</f>
        <v>247654</v>
      </c>
      <c r="D2" s="5">
        <f>SUM(D4:D79)</f>
        <v>0</v>
      </c>
      <c r="E2" s="5">
        <f>C2-D2</f>
        <v>247654</v>
      </c>
      <c r="F2" s="6">
        <f>IFERROR(E2/D2, 0)</f>
        <v>0</v>
      </c>
      <c r="G2" s="5">
        <f>SUM(G4:G79)</f>
        <v>0</v>
      </c>
      <c r="H2" s="7">
        <f>C2-G2</f>
        <v>247654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 x14ac:dyDescent="0.3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>
        <v>247654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2" t="s">
        <v>22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L321"/>
  <sheetViews>
    <sheetView zoomScale="81" zoomScaleNormal="81" workbookViewId="0">
      <pane xSplit="2" ySplit="3" topLeftCell="C4" activePane="bottomRight" state="frozen"/>
      <selection pane="topRight" activeCell="J14" sqref="J14"/>
      <selection pane="bottomLeft" activeCell="J14" sqref="J14"/>
      <selection pane="bottomRight" activeCell="K1" sqref="K1:K1048576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  <col min="12" max="12" width="13.33203125" customWidth="1"/>
  </cols>
  <sheetData>
    <row r="1" spans="1:12" ht="19.5" customHeight="1" x14ac:dyDescent="0.25">
      <c r="A1" s="61" t="str" cm="1">
        <f t="array" ref="A1">portfolio</f>
        <v>MA: Palmer - 105 North Street</v>
      </c>
      <c r="B1" s="61"/>
      <c r="C1" s="61"/>
      <c r="D1" s="62" t="s">
        <v>57</v>
      </c>
      <c r="E1" s="62"/>
      <c r="F1" s="62"/>
      <c r="G1" s="60" t="s">
        <v>58</v>
      </c>
      <c r="H1" s="60"/>
      <c r="I1" s="60"/>
      <c r="J1" s="4"/>
      <c r="K1" s="4"/>
      <c r="L1" s="4"/>
    </row>
    <row r="2" spans="1:12" ht="19.5" customHeight="1" x14ac:dyDescent="0.25">
      <c r="A2" s="63" t="s">
        <v>2</v>
      </c>
      <c r="B2" s="63"/>
      <c r="C2" s="5">
        <f>SUM(C4:C79)</f>
        <v>157002</v>
      </c>
      <c r="D2" s="5">
        <f>SUM(D4:D79)</f>
        <v>0</v>
      </c>
      <c r="E2" s="5">
        <f>C2-D2</f>
        <v>157002</v>
      </c>
      <c r="F2" s="6">
        <f>IFERROR(E2/D2, 0)</f>
        <v>0</v>
      </c>
      <c r="G2" s="5">
        <f>SUM(G4:G79)</f>
        <v>0</v>
      </c>
      <c r="H2" s="7">
        <f>C2-G2</f>
        <v>157002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  <c r="L2" s="4"/>
    </row>
    <row r="3" spans="1:12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  <c r="L3" s="24" t="s">
        <v>59</v>
      </c>
    </row>
    <row r="4" spans="1:12" ht="15.6" x14ac:dyDescent="0.3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>
        <v>157002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2" t="s">
        <v>22</v>
      </c>
      <c r="H4" s="14" t="str">
        <f>IF(AND(ISNUMBER(C4),ISNUMBER(G4)), C4-G4, "")</f>
        <v/>
      </c>
      <c r="I4" s="15" t="str">
        <f>IFERROR(H4/G4, "")</f>
        <v/>
      </c>
      <c r="J4" s="36" t="s">
        <v>60</v>
      </c>
      <c r="K4" s="53" t="s">
        <v>61</v>
      </c>
      <c r="L4" s="36" t="s">
        <v>62</v>
      </c>
    </row>
    <row r="5" spans="1:12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12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1:12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  <c r="L7" s="20"/>
    </row>
    <row r="8" spans="1:12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2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  <c r="L9" s="20"/>
    </row>
    <row r="10" spans="1:12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 spans="1:12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  <c r="L11" s="20"/>
    </row>
    <row r="12" spans="1:12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  <c r="L12" s="20"/>
    </row>
    <row r="13" spans="1:12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  <c r="L13" s="20"/>
    </row>
    <row r="14" spans="1:12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  <c r="L14" s="20"/>
    </row>
    <row r="15" spans="1:12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  <c r="L15" s="20"/>
    </row>
    <row r="16" spans="1:12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  <c r="L16" s="20"/>
    </row>
    <row r="17" spans="1:12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  <c r="L17" s="20"/>
    </row>
    <row r="18" spans="1:12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  <c r="L18" s="20"/>
    </row>
    <row r="19" spans="1:12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  <c r="L19" s="20"/>
    </row>
    <row r="20" spans="1:12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  <c r="L20" s="20"/>
    </row>
    <row r="21" spans="1:12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  <c r="L21" s="20"/>
    </row>
    <row r="22" spans="1:12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  <c r="L22" s="20"/>
    </row>
    <row r="23" spans="1:12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  <c r="L23" s="20"/>
    </row>
    <row r="24" spans="1:12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  <c r="L24" s="20"/>
    </row>
    <row r="25" spans="1:12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  <c r="L25" s="20"/>
    </row>
    <row r="26" spans="1:12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  <c r="L26" s="20"/>
    </row>
    <row r="27" spans="1:12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  <c r="L27" s="20"/>
    </row>
    <row r="28" spans="1:12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  <c r="L28" s="20"/>
    </row>
    <row r="29" spans="1:12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  <c r="L29" s="20"/>
    </row>
    <row r="30" spans="1:12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  <c r="L30" s="20"/>
    </row>
    <row r="31" spans="1:12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  <c r="L31" s="20"/>
    </row>
    <row r="32" spans="1:12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  <c r="L32" s="20"/>
    </row>
    <row r="33" spans="1:12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  <c r="L33" s="20"/>
    </row>
    <row r="34" spans="1:12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  <c r="L34" s="20"/>
    </row>
    <row r="35" spans="1:12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  <c r="L35" s="20"/>
    </row>
    <row r="36" spans="1:12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  <c r="L36" s="20"/>
    </row>
    <row r="37" spans="1:12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  <c r="L37" s="20"/>
    </row>
    <row r="38" spans="1:12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  <c r="L38" s="20"/>
    </row>
    <row r="39" spans="1:12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  <c r="L39" s="20"/>
    </row>
    <row r="40" spans="1:12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  <c r="L40" s="20"/>
    </row>
    <row r="41" spans="1:12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  <c r="L41" s="20"/>
    </row>
    <row r="42" spans="1:12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  <c r="L42" s="20"/>
    </row>
    <row r="43" spans="1:12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  <c r="L43" s="20"/>
    </row>
    <row r="44" spans="1:12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  <c r="L44" s="20"/>
    </row>
    <row r="45" spans="1:12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  <c r="L45" s="20"/>
    </row>
    <row r="46" spans="1:12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  <c r="L46" s="20"/>
    </row>
    <row r="47" spans="1:12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  <c r="L47" s="20"/>
    </row>
    <row r="48" spans="1:12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  <c r="L48" s="20"/>
    </row>
    <row r="49" spans="1:12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  <c r="L49" s="20"/>
    </row>
    <row r="50" spans="1:12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  <c r="L50" s="20"/>
    </row>
    <row r="51" spans="1:12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  <c r="L51" s="20"/>
    </row>
    <row r="52" spans="1:12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  <c r="L52" s="20"/>
    </row>
    <row r="53" spans="1:12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  <c r="L53" s="20"/>
    </row>
    <row r="54" spans="1:12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  <c r="L54" s="20"/>
    </row>
    <row r="55" spans="1:12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  <c r="L55" s="20"/>
    </row>
    <row r="56" spans="1:12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  <c r="L56" s="20"/>
    </row>
    <row r="57" spans="1:12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  <c r="L57" s="20"/>
    </row>
    <row r="58" spans="1:12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  <c r="L58" s="20"/>
    </row>
    <row r="59" spans="1:12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  <c r="L59" s="20"/>
    </row>
    <row r="60" spans="1:12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  <c r="L60" s="20"/>
    </row>
    <row r="61" spans="1:12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  <c r="L61" s="20"/>
    </row>
    <row r="62" spans="1:12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  <c r="L62" s="20"/>
    </row>
    <row r="63" spans="1:12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  <c r="L63" s="20"/>
    </row>
    <row r="64" spans="1:12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  <c r="L64" s="20"/>
    </row>
    <row r="65" spans="1:12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  <c r="L65" s="20"/>
    </row>
    <row r="66" spans="1:12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  <c r="L66" s="20"/>
    </row>
    <row r="67" spans="1:12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  <c r="L67" s="20"/>
    </row>
    <row r="68" spans="1:12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  <c r="L68" s="20"/>
    </row>
    <row r="69" spans="1:12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  <c r="L69" s="20"/>
    </row>
    <row r="70" spans="1:12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  <c r="L70" s="20"/>
    </row>
    <row r="71" spans="1:12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  <c r="L71" s="20"/>
    </row>
    <row r="72" spans="1:12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  <c r="L72" s="20"/>
    </row>
    <row r="73" spans="1:12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  <c r="L73" s="20"/>
    </row>
    <row r="74" spans="1:12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  <c r="L74" s="20"/>
    </row>
    <row r="75" spans="1:12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  <c r="L75" s="20"/>
    </row>
    <row r="76" spans="1:12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  <c r="L76" s="20"/>
    </row>
    <row r="77" spans="1:12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  <c r="L77" s="20"/>
    </row>
    <row r="78" spans="1:12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  <c r="L78" s="20"/>
    </row>
    <row r="79" spans="1:12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  <c r="L79" s="20"/>
    </row>
    <row r="80" spans="1:12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  <c r="L80" s="20"/>
    </row>
    <row r="81" spans="1:12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  <c r="L81" s="20"/>
    </row>
    <row r="82" spans="1:12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  <c r="L82" s="20"/>
    </row>
    <row r="83" spans="1:12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  <c r="L83" s="20"/>
    </row>
    <row r="84" spans="1:12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  <c r="L84" s="20"/>
    </row>
    <row r="85" spans="1:12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  <c r="L85" s="20"/>
    </row>
    <row r="86" spans="1:12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  <c r="L86" s="20"/>
    </row>
    <row r="87" spans="1:12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  <c r="L87" s="20"/>
    </row>
    <row r="88" spans="1:12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  <c r="L88" s="20"/>
    </row>
    <row r="89" spans="1:12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  <c r="L89" s="20"/>
    </row>
    <row r="90" spans="1:12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  <c r="L90" s="20"/>
    </row>
    <row r="91" spans="1:12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  <c r="L91" s="20"/>
    </row>
    <row r="92" spans="1:12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  <c r="L92" s="20"/>
    </row>
    <row r="93" spans="1:12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  <c r="L93" s="20"/>
    </row>
    <row r="94" spans="1:12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  <c r="L94" s="20"/>
    </row>
    <row r="95" spans="1:12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  <c r="L95" s="20"/>
    </row>
    <row r="96" spans="1:12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  <c r="L96" s="20"/>
    </row>
    <row r="97" spans="1:12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  <c r="L97" s="20"/>
    </row>
    <row r="98" spans="1:12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  <c r="L98" s="20"/>
    </row>
    <row r="99" spans="1:12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  <c r="L99" s="20"/>
    </row>
    <row r="100" spans="1:12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  <c r="L100" s="20"/>
    </row>
    <row r="101" spans="1:12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  <c r="L101" s="20"/>
    </row>
    <row r="102" spans="1:12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  <c r="L102" s="20"/>
    </row>
    <row r="103" spans="1:12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  <c r="L103" s="20"/>
    </row>
    <row r="104" spans="1:12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  <c r="L104" s="20"/>
    </row>
    <row r="105" spans="1:12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  <c r="L105" s="20"/>
    </row>
    <row r="106" spans="1:12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  <c r="L106" s="20"/>
    </row>
    <row r="107" spans="1:12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  <c r="L107" s="20"/>
    </row>
    <row r="108" spans="1:12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  <c r="L108" s="20"/>
    </row>
    <row r="109" spans="1:12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  <c r="L109" s="20"/>
    </row>
    <row r="110" spans="1:12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  <c r="L110" s="20"/>
    </row>
    <row r="111" spans="1:12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  <c r="L111" s="20"/>
    </row>
    <row r="112" spans="1:12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  <c r="L112" s="20"/>
    </row>
    <row r="113" spans="1:12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  <c r="L113" s="20"/>
    </row>
    <row r="114" spans="1:12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  <c r="L114" s="20"/>
    </row>
    <row r="115" spans="1:12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  <c r="L115" s="20"/>
    </row>
    <row r="116" spans="1:12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  <c r="L116" s="20"/>
    </row>
    <row r="117" spans="1:12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  <c r="L117" s="20"/>
    </row>
    <row r="118" spans="1:12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  <c r="L118" s="20"/>
    </row>
    <row r="119" spans="1:12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  <c r="L119" s="20"/>
    </row>
    <row r="120" spans="1:12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  <c r="L120" s="20"/>
    </row>
    <row r="121" spans="1:12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  <c r="L121" s="20"/>
    </row>
    <row r="122" spans="1:12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  <c r="L122" s="20"/>
    </row>
    <row r="123" spans="1:12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  <c r="L123" s="20"/>
    </row>
    <row r="124" spans="1:12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  <c r="L124" s="20"/>
    </row>
    <row r="125" spans="1:12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  <c r="L125" s="20"/>
    </row>
    <row r="126" spans="1:12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  <c r="L126" s="20"/>
    </row>
    <row r="127" spans="1:12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  <c r="L127" s="20"/>
    </row>
    <row r="128" spans="1:12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  <c r="L128" s="20"/>
    </row>
    <row r="129" spans="1:12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  <c r="L129" s="20"/>
    </row>
    <row r="130" spans="1:12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  <c r="L130" s="20"/>
    </row>
    <row r="131" spans="1:12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  <c r="L131" s="20"/>
    </row>
    <row r="132" spans="1:12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  <c r="L132" s="20"/>
    </row>
    <row r="133" spans="1:12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  <c r="L133" s="20"/>
    </row>
    <row r="134" spans="1:12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  <c r="L134" s="20"/>
    </row>
    <row r="135" spans="1:12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  <c r="L135" s="20"/>
    </row>
    <row r="136" spans="1:12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  <c r="L136" s="20"/>
    </row>
    <row r="137" spans="1:12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  <c r="L137" s="20"/>
    </row>
    <row r="138" spans="1:12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  <c r="L138" s="20"/>
    </row>
    <row r="139" spans="1:12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  <c r="L139" s="20"/>
    </row>
    <row r="140" spans="1:12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  <c r="L140" s="20"/>
    </row>
    <row r="141" spans="1:12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  <c r="L141" s="20"/>
    </row>
    <row r="142" spans="1:12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  <c r="L142" s="20"/>
    </row>
    <row r="143" spans="1:12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  <c r="L143" s="20"/>
    </row>
    <row r="144" spans="1:12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  <c r="L144" s="20"/>
    </row>
    <row r="145" spans="1:12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  <c r="L145" s="20"/>
    </row>
    <row r="146" spans="1:12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  <c r="L146" s="20"/>
    </row>
    <row r="147" spans="1:12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  <c r="L147" s="20"/>
    </row>
    <row r="148" spans="1:12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  <c r="L148" s="20"/>
    </row>
    <row r="149" spans="1:12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  <c r="L149" s="20"/>
    </row>
    <row r="150" spans="1:12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  <c r="L150" s="20"/>
    </row>
    <row r="151" spans="1:12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  <c r="L151" s="20"/>
    </row>
    <row r="152" spans="1:12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  <c r="L152" s="20"/>
    </row>
    <row r="153" spans="1:12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  <c r="L153" s="20"/>
    </row>
    <row r="154" spans="1:12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  <c r="L154" s="20"/>
    </row>
    <row r="155" spans="1:12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  <c r="L155" s="20"/>
    </row>
    <row r="156" spans="1:12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  <c r="L156" s="20"/>
    </row>
    <row r="157" spans="1:12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  <c r="L157" s="20"/>
    </row>
    <row r="158" spans="1:12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  <c r="L158" s="20"/>
    </row>
    <row r="159" spans="1:12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  <c r="L159" s="20"/>
    </row>
    <row r="160" spans="1:12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  <c r="L160" s="20"/>
    </row>
    <row r="161" spans="1:12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  <c r="L161" s="20"/>
    </row>
    <row r="162" spans="1:12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  <c r="L162" s="20"/>
    </row>
    <row r="163" spans="1:12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  <c r="L163" s="20"/>
    </row>
    <row r="164" spans="1:12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  <c r="L164" s="20"/>
    </row>
    <row r="165" spans="1:12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  <c r="L165" s="20"/>
    </row>
    <row r="166" spans="1:12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  <c r="L166" s="20"/>
    </row>
    <row r="167" spans="1:12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  <c r="L167" s="20"/>
    </row>
    <row r="168" spans="1:12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  <c r="L168" s="20"/>
    </row>
    <row r="169" spans="1:12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  <c r="L169" s="20"/>
    </row>
    <row r="170" spans="1:12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  <c r="L170" s="20"/>
    </row>
    <row r="171" spans="1:12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  <c r="L171" s="20"/>
    </row>
    <row r="172" spans="1:12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  <c r="L172" s="20"/>
    </row>
    <row r="173" spans="1:12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  <c r="L173" s="20"/>
    </row>
    <row r="174" spans="1:12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  <c r="L174" s="20"/>
    </row>
    <row r="175" spans="1:12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  <c r="L175" s="20"/>
    </row>
    <row r="176" spans="1:12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  <c r="L176" s="20"/>
    </row>
    <row r="177" spans="1:12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  <c r="L177" s="20"/>
    </row>
    <row r="178" spans="1:12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  <c r="L178" s="20"/>
    </row>
    <row r="179" spans="1:12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  <c r="L179" s="20"/>
    </row>
    <row r="180" spans="1:12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  <c r="L180" s="20"/>
    </row>
    <row r="181" spans="1:12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  <c r="L181" s="20"/>
    </row>
    <row r="182" spans="1:12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  <c r="L182" s="20"/>
    </row>
    <row r="183" spans="1:12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  <c r="L183" s="20"/>
    </row>
    <row r="184" spans="1:12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  <c r="L184" s="20"/>
    </row>
    <row r="185" spans="1:12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  <c r="L185" s="20"/>
    </row>
    <row r="186" spans="1:12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  <c r="L186" s="20"/>
    </row>
    <row r="187" spans="1:12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  <c r="L187" s="20"/>
    </row>
    <row r="188" spans="1:12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  <c r="L188" s="20"/>
    </row>
    <row r="189" spans="1:12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  <c r="L189" s="20"/>
    </row>
    <row r="190" spans="1:12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  <c r="L190" s="20"/>
    </row>
    <row r="191" spans="1:12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  <c r="L191" s="20"/>
    </row>
    <row r="192" spans="1:12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  <c r="L192" s="20"/>
    </row>
    <row r="193" spans="1:12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  <c r="L193" s="20"/>
    </row>
    <row r="194" spans="1:12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  <c r="L194" s="20"/>
    </row>
    <row r="195" spans="1:12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  <c r="L195" s="20"/>
    </row>
    <row r="196" spans="1:12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  <c r="L196" s="20"/>
    </row>
    <row r="197" spans="1:12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  <c r="L197" s="20"/>
    </row>
    <row r="198" spans="1:12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  <c r="L198" s="20"/>
    </row>
    <row r="199" spans="1:12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  <c r="L199" s="20"/>
    </row>
    <row r="200" spans="1:12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  <c r="L200" s="20"/>
    </row>
    <row r="201" spans="1:12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  <c r="L201" s="20"/>
    </row>
    <row r="202" spans="1:12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  <c r="L202" s="20"/>
    </row>
    <row r="203" spans="1:12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  <c r="L203" s="20"/>
    </row>
    <row r="204" spans="1:12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  <c r="L204" s="20"/>
    </row>
    <row r="205" spans="1:12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  <c r="L205" s="20"/>
    </row>
    <row r="206" spans="1:12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  <c r="L206" s="20"/>
    </row>
    <row r="207" spans="1:12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  <c r="L207" s="20"/>
    </row>
    <row r="208" spans="1:12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  <c r="L208" s="20"/>
    </row>
    <row r="209" spans="1:12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  <c r="L209" s="20"/>
    </row>
    <row r="210" spans="1:12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  <c r="L210" s="20"/>
    </row>
    <row r="211" spans="1:12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  <c r="L211" s="20"/>
    </row>
    <row r="212" spans="1:12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  <c r="L212" s="20"/>
    </row>
    <row r="213" spans="1:12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  <c r="L213" s="20"/>
    </row>
    <row r="214" spans="1:12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  <c r="L214" s="20"/>
    </row>
    <row r="215" spans="1:12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  <c r="L215" s="20"/>
    </row>
    <row r="216" spans="1:12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  <c r="L216" s="20"/>
    </row>
    <row r="217" spans="1:12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  <c r="L217" s="20"/>
    </row>
    <row r="218" spans="1:12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  <c r="L218" s="20"/>
    </row>
    <row r="219" spans="1:12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  <c r="L219" s="20"/>
    </row>
    <row r="220" spans="1:12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  <c r="L220" s="20"/>
    </row>
    <row r="221" spans="1:12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  <c r="L221" s="20"/>
    </row>
    <row r="222" spans="1:12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  <c r="L222" s="20"/>
    </row>
    <row r="223" spans="1:12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  <c r="L223" s="20"/>
    </row>
    <row r="224" spans="1:12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  <c r="L224" s="20"/>
    </row>
    <row r="225" spans="1:12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  <c r="L225" s="20"/>
    </row>
    <row r="226" spans="1:12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  <c r="L226" s="20"/>
    </row>
    <row r="227" spans="1:12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  <c r="L227" s="20"/>
    </row>
    <row r="228" spans="1:12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  <c r="L228" s="20"/>
    </row>
    <row r="229" spans="1:12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  <c r="L229" s="20"/>
    </row>
    <row r="230" spans="1:12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  <c r="L230" s="20"/>
    </row>
    <row r="231" spans="1:12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  <c r="L231" s="20"/>
    </row>
    <row r="232" spans="1:12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  <c r="L232" s="20"/>
    </row>
    <row r="233" spans="1:12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  <c r="L233" s="20"/>
    </row>
    <row r="234" spans="1:12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  <c r="L234" s="20"/>
    </row>
    <row r="235" spans="1:12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  <c r="L235" s="20"/>
    </row>
    <row r="236" spans="1:12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  <c r="L236" s="20"/>
    </row>
    <row r="237" spans="1:12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  <c r="L237" s="20"/>
    </row>
    <row r="238" spans="1:12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  <c r="L238" s="20"/>
    </row>
    <row r="239" spans="1:12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  <c r="L239" s="20"/>
    </row>
    <row r="240" spans="1:12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  <c r="L240" s="20"/>
    </row>
    <row r="241" spans="1:12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  <c r="L241" s="20"/>
    </row>
    <row r="242" spans="1:12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  <c r="L242" s="20"/>
    </row>
    <row r="243" spans="1:12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  <c r="L243" s="20"/>
    </row>
    <row r="244" spans="1:12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  <c r="L244" s="20"/>
    </row>
    <row r="245" spans="1:12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  <c r="L245" s="20"/>
    </row>
    <row r="246" spans="1:12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  <c r="L246" s="20"/>
    </row>
    <row r="247" spans="1:12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  <c r="L247" s="20"/>
    </row>
    <row r="248" spans="1:12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  <c r="L248" s="20"/>
    </row>
    <row r="249" spans="1:12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  <c r="L249" s="20"/>
    </row>
    <row r="250" spans="1:12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  <c r="L250" s="20"/>
    </row>
    <row r="251" spans="1:12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  <c r="L251" s="20"/>
    </row>
    <row r="252" spans="1:12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  <c r="L252" s="20"/>
    </row>
    <row r="253" spans="1:12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  <c r="L253" s="20"/>
    </row>
    <row r="254" spans="1:12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  <c r="L254" s="20"/>
    </row>
    <row r="255" spans="1:12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  <c r="L255" s="20"/>
    </row>
    <row r="256" spans="1:12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  <c r="L256" s="20"/>
    </row>
    <row r="257" spans="1:12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  <c r="L257" s="20"/>
    </row>
    <row r="258" spans="1:12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  <c r="L258" s="20"/>
    </row>
    <row r="259" spans="1:12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  <c r="L259" s="20"/>
    </row>
    <row r="260" spans="1:12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  <c r="L260" s="20"/>
    </row>
    <row r="261" spans="1:12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  <c r="L261" s="20"/>
    </row>
    <row r="262" spans="1:12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  <c r="L262" s="20"/>
    </row>
    <row r="263" spans="1:12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  <c r="L263" s="20"/>
    </row>
    <row r="264" spans="1:12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  <c r="L264" s="20"/>
    </row>
    <row r="265" spans="1:12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  <c r="L265" s="20"/>
    </row>
    <row r="266" spans="1:12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  <c r="L266" s="20"/>
    </row>
    <row r="267" spans="1:12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  <c r="L267" s="20"/>
    </row>
    <row r="268" spans="1:12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  <c r="L268" s="20"/>
    </row>
    <row r="269" spans="1:12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  <c r="L269" s="20"/>
    </row>
    <row r="270" spans="1:12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  <c r="L270" s="20"/>
    </row>
    <row r="271" spans="1:12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  <c r="L271" s="20"/>
    </row>
    <row r="272" spans="1:12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  <c r="L272" s="20"/>
    </row>
    <row r="273" spans="1:12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  <c r="L273" s="20"/>
    </row>
    <row r="274" spans="1:12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  <c r="L274" s="20"/>
    </row>
    <row r="275" spans="1:12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  <c r="L275" s="20"/>
    </row>
    <row r="276" spans="1:12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  <c r="L276" s="20"/>
    </row>
    <row r="277" spans="1:12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  <c r="L277" s="20"/>
    </row>
    <row r="278" spans="1:12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  <c r="L278" s="20"/>
    </row>
    <row r="279" spans="1:12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  <c r="L279" s="20"/>
    </row>
    <row r="280" spans="1:12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  <c r="L280" s="20"/>
    </row>
    <row r="281" spans="1:12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  <c r="L281" s="20"/>
    </row>
    <row r="282" spans="1:12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  <c r="L282" s="20"/>
    </row>
    <row r="283" spans="1:12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  <c r="L283" s="20"/>
    </row>
    <row r="284" spans="1:12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  <c r="L284" s="20"/>
    </row>
    <row r="285" spans="1:12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  <c r="L285" s="20"/>
    </row>
    <row r="286" spans="1:12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  <c r="L286" s="20"/>
    </row>
    <row r="287" spans="1:12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  <c r="L287" s="20"/>
    </row>
    <row r="288" spans="1:12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  <c r="L288" s="20"/>
    </row>
    <row r="289" spans="1:12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  <c r="L289" s="20"/>
    </row>
    <row r="290" spans="1:12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  <c r="L290" s="20"/>
    </row>
    <row r="291" spans="1:12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  <c r="L291" s="20"/>
    </row>
    <row r="292" spans="1:12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  <c r="L292" s="20"/>
    </row>
    <row r="293" spans="1:12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  <c r="L293" s="20"/>
    </row>
    <row r="294" spans="1:12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  <c r="L294" s="20"/>
    </row>
    <row r="295" spans="1:12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  <c r="L295" s="20"/>
    </row>
    <row r="296" spans="1:12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  <c r="L296" s="20"/>
    </row>
    <row r="297" spans="1:12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  <c r="L297" s="20"/>
    </row>
    <row r="298" spans="1:12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  <c r="L298" s="20"/>
    </row>
    <row r="299" spans="1:12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  <c r="L299" s="20"/>
    </row>
    <row r="300" spans="1:12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  <c r="L300" s="20"/>
    </row>
    <row r="301" spans="1:12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  <c r="L301" s="20"/>
    </row>
    <row r="302" spans="1:12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  <c r="L302" s="20"/>
    </row>
    <row r="303" spans="1:12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  <c r="L303" s="20"/>
    </row>
    <row r="304" spans="1:12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  <c r="L304" s="20"/>
    </row>
    <row r="305" spans="1:12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  <c r="L305" s="20"/>
    </row>
    <row r="306" spans="1:12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  <c r="L306" s="20"/>
    </row>
    <row r="307" spans="1:12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  <c r="L307" s="20"/>
    </row>
    <row r="308" spans="1:12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  <c r="L308" s="20"/>
    </row>
    <row r="309" spans="1:12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  <c r="L309" s="20"/>
    </row>
    <row r="310" spans="1:12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  <c r="L310" s="20"/>
    </row>
    <row r="311" spans="1:12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  <c r="L311" s="20"/>
    </row>
    <row r="312" spans="1:12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  <c r="L312" s="20"/>
    </row>
    <row r="313" spans="1:12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  <c r="L313" s="20"/>
    </row>
    <row r="314" spans="1:12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  <c r="L314" s="20"/>
    </row>
    <row r="315" spans="1:12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  <c r="L315" s="20"/>
    </row>
    <row r="316" spans="1:12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  <c r="L316" s="20"/>
    </row>
    <row r="317" spans="1:12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  <c r="L317" s="20"/>
    </row>
    <row r="318" spans="1:12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  <c r="L318" s="20"/>
    </row>
    <row r="319" spans="1:12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  <c r="L319" s="20"/>
    </row>
    <row r="320" spans="1:12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  <c r="L320" s="20"/>
    </row>
    <row r="321" spans="3:12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  <c r="L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3" priority="3" stopIfTrue="1" operator="lessThanOrEqual">
      <formula>-0.1</formula>
    </cfRule>
    <cfRule type="expression" dxfId="2" priority="4">
      <formula>AND(ISNUMBER(F2), F2&gt;=0.1)</formula>
    </cfRule>
  </conditionalFormatting>
  <hyperlinks>
    <hyperlink ref="K4" r:id="rId1" display="https://us3.assetplanner.com/service_request?ID=111793" xr:uid="{813AAEDF-0A4B-4046-B331-A380677661EC}"/>
  </hyperlinks>
  <pageMargins left="0.4" right="0.7" top="0.25" bottom="0.25" header="0.3" footer="0.3"/>
  <pageSetup fitToHeight="99" orientation="landscape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tabSelected="1" zoomScale="72" zoomScaleNormal="72" workbookViewId="0">
      <pane xSplit="2" ySplit="3" topLeftCell="C4" activePane="bottomRight" state="frozen"/>
      <selection pane="topRight" activeCell="J14" sqref="J14"/>
      <selection pane="bottomLeft" activeCell="J14" sqref="J14"/>
      <selection pane="bottomRight" activeCell="J15" sqref="J15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1" t="str" cm="1">
        <f t="array" ref="A1">portfolio</f>
        <v>MA: Palmer - 105 North Street</v>
      </c>
      <c r="B1" s="61"/>
      <c r="C1" s="61"/>
      <c r="D1" s="62" t="s">
        <v>63</v>
      </c>
      <c r="E1" s="62"/>
      <c r="F1" s="62"/>
      <c r="G1" s="60" t="s">
        <v>64</v>
      </c>
      <c r="H1" s="60"/>
      <c r="I1" s="60"/>
      <c r="J1" s="4"/>
      <c r="K1" s="4"/>
    </row>
    <row r="2" spans="1:11" ht="19.5" customHeight="1" x14ac:dyDescent="0.25">
      <c r="A2" s="63" t="s">
        <v>2</v>
      </c>
      <c r="B2" s="63"/>
      <c r="C2" s="5">
        <f>SUM(C4:C79)</f>
        <v>104947</v>
      </c>
      <c r="D2" s="5">
        <f>SUM(D4:D79)</f>
        <v>0</v>
      </c>
      <c r="E2" s="5">
        <f>C2-D2</f>
        <v>104947</v>
      </c>
      <c r="F2" s="6">
        <f>IFERROR(E2/D2, 0)</f>
        <v>0</v>
      </c>
      <c r="G2" s="5">
        <f>SUM(G4:G79)</f>
        <v>0</v>
      </c>
      <c r="H2" s="7">
        <f>C2-G2</f>
        <v>104947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8" x14ac:dyDescent="0.3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>
        <v>104947</v>
      </c>
      <c r="D4" s="59" t="s">
        <v>22</v>
      </c>
      <c r="E4" s="12" t="str">
        <f>IF(AND(ISNUMBER(C4),ISNUMBER(D4)), C4-D4, "")</f>
        <v/>
      </c>
      <c r="F4" s="13" t="str">
        <f>IFERROR(E4/D4, "")</f>
        <v/>
      </c>
      <c r="G4" s="52" t="s">
        <v>65</v>
      </c>
      <c r="H4" s="14" t="str">
        <f>IF(AND(ISNUMBER(C4),ISNUMBER(G4)), C4-G4, "")</f>
        <v/>
      </c>
      <c r="I4" s="15" t="str">
        <f>IFERROR(H4/G4, "")</f>
        <v/>
      </c>
      <c r="J4" s="36" t="s">
        <v>66</v>
      </c>
      <c r="K4" s="36"/>
    </row>
    <row r="5" spans="1:11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" priority="3" stopIfTrue="1" operator="lessThanOrEqual">
      <formula>-0.1</formula>
    </cfRule>
    <cfRule type="expression" dxfId="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4" sqref="A4"/>
    </sheetView>
  </sheetViews>
  <sheetFormatPr defaultRowHeight="12.75" customHeight="1" x14ac:dyDescent="0.25"/>
  <cols>
    <col min="1" max="2" width="41.88671875" customWidth="1"/>
    <col min="4" max="4" width="9.109375" customWidth="1"/>
    <col min="5" max="5" width="24.109375" customWidth="1"/>
    <col min="6" max="10" width="9.109375" customWidth="1"/>
    <col min="11" max="12" width="22" bestFit="1" customWidth="1"/>
    <col min="13" max="14" width="9.109375" customWidth="1"/>
  </cols>
  <sheetData>
    <row r="1" spans="1:12" ht="12.75" customHeight="1" x14ac:dyDescent="0.25">
      <c r="A1" t="s">
        <v>67</v>
      </c>
      <c r="B1" t="s">
        <v>68</v>
      </c>
    </row>
    <row r="3" spans="1:12" ht="13.2" x14ac:dyDescent="0.25">
      <c r="A3" t="s">
        <v>69</v>
      </c>
      <c r="B3" t="s">
        <v>3</v>
      </c>
      <c r="C3" t="s">
        <v>4</v>
      </c>
      <c r="D3" t="s">
        <v>70</v>
      </c>
      <c r="E3" s="2" t="s">
        <v>71</v>
      </c>
    </row>
    <row r="4" spans="1:12" ht="14.4" x14ac:dyDescent="0.3">
      <c r="A4" s="44" t="s">
        <v>72</v>
      </c>
      <c r="B4" t="s">
        <v>68</v>
      </c>
      <c r="C4" s="42" t="s">
        <v>73</v>
      </c>
      <c r="D4" s="41" t="s">
        <v>74</v>
      </c>
      <c r="E4" t="s">
        <v>75</v>
      </c>
      <c r="G4" s="3"/>
    </row>
    <row r="5" spans="1:12" ht="14.4" x14ac:dyDescent="0.3">
      <c r="A5" s="44"/>
      <c r="C5" s="42"/>
      <c r="D5" s="41"/>
      <c r="G5" s="3"/>
    </row>
    <row r="6" spans="1:12" ht="14.4" x14ac:dyDescent="0.3">
      <c r="A6" s="44"/>
      <c r="C6" s="42"/>
      <c r="D6" s="41"/>
      <c r="G6" s="3"/>
    </row>
    <row r="7" spans="1:12" ht="12.75" customHeight="1" x14ac:dyDescent="0.25">
      <c r="A7" s="44"/>
      <c r="C7" s="42"/>
      <c r="D7" s="41"/>
    </row>
    <row r="8" spans="1:12" ht="12.75" customHeight="1" x14ac:dyDescent="0.25">
      <c r="A8" s="44"/>
      <c r="C8" s="42"/>
      <c r="D8" s="41"/>
    </row>
    <row r="9" spans="1:12" ht="12.75" customHeight="1" x14ac:dyDescent="0.25">
      <c r="A9" s="44"/>
      <c r="C9" s="42"/>
      <c r="D9" s="41"/>
    </row>
    <row r="10" spans="1:12" ht="12.75" customHeight="1" x14ac:dyDescent="0.25">
      <c r="A10" s="44"/>
      <c r="C10" s="42"/>
      <c r="D10" s="41"/>
      <c r="K10" s="38"/>
      <c r="L10" s="38"/>
    </row>
    <row r="11" spans="1:12" ht="12.75" customHeight="1" x14ac:dyDescent="0.25">
      <c r="A11" s="44"/>
      <c r="C11" s="42"/>
      <c r="D11" s="41"/>
      <c r="K11" s="38"/>
      <c r="L11" s="38"/>
    </row>
    <row r="12" spans="1:12" ht="12.75" customHeight="1" x14ac:dyDescent="0.25">
      <c r="A12" s="44"/>
      <c r="C12" s="42"/>
      <c r="D12" s="41"/>
      <c r="K12" s="38"/>
      <c r="L12" s="38"/>
    </row>
    <row r="13" spans="1:12" ht="12.75" customHeight="1" x14ac:dyDescent="0.25">
      <c r="A13" s="44"/>
      <c r="C13" s="42"/>
      <c r="D13" s="41"/>
      <c r="K13" s="38"/>
      <c r="L13" s="38"/>
    </row>
    <row r="14" spans="1:12" ht="12.75" customHeight="1" x14ac:dyDescent="0.25">
      <c r="A14" s="44"/>
      <c r="C14" s="42"/>
      <c r="D14" s="41"/>
      <c r="K14" s="38"/>
      <c r="L14" s="38"/>
    </row>
    <row r="15" spans="1:12" ht="12.75" customHeight="1" x14ac:dyDescent="0.25">
      <c r="A15" s="44"/>
      <c r="C15" s="42"/>
      <c r="D15" s="41"/>
      <c r="K15" s="38"/>
      <c r="L15" s="38"/>
    </row>
    <row r="16" spans="1:12" ht="12.75" customHeight="1" x14ac:dyDescent="0.25">
      <c r="A16" s="44"/>
      <c r="C16" s="42"/>
      <c r="D16" s="41"/>
      <c r="K16" s="38"/>
      <c r="L16" s="38"/>
    </row>
    <row r="17" spans="1:12" ht="12.75" customHeight="1" x14ac:dyDescent="0.25">
      <c r="A17" s="44"/>
      <c r="C17" s="42"/>
      <c r="D17" s="41"/>
      <c r="K17" s="38"/>
      <c r="L17" s="38"/>
    </row>
    <row r="18" spans="1:12" ht="12.75" customHeight="1" x14ac:dyDescent="0.25">
      <c r="A18" s="44"/>
      <c r="C18" s="42"/>
      <c r="D18" s="41"/>
      <c r="K18" s="38"/>
      <c r="L18" s="38"/>
    </row>
    <row r="19" spans="1:12" ht="12.75" customHeight="1" x14ac:dyDescent="0.25">
      <c r="A19" s="44"/>
      <c r="C19" s="42"/>
      <c r="D19" s="41"/>
      <c r="K19" s="38"/>
      <c r="L19" s="38"/>
    </row>
    <row r="20" spans="1:12" ht="12.75" customHeight="1" x14ac:dyDescent="0.25">
      <c r="A20" s="44"/>
      <c r="C20" s="42"/>
      <c r="D20" s="41"/>
      <c r="K20" s="38"/>
      <c r="L20" s="38"/>
    </row>
    <row r="21" spans="1:12" ht="12.75" customHeight="1" x14ac:dyDescent="0.25">
      <c r="A21" s="44"/>
      <c r="C21" s="42"/>
      <c r="D21" s="41"/>
      <c r="K21" s="38"/>
      <c r="L21" s="38"/>
    </row>
    <row r="22" spans="1:12" ht="12.75" customHeight="1" x14ac:dyDescent="0.25">
      <c r="A22" s="44"/>
      <c r="C22" s="42"/>
      <c r="D22" s="41"/>
      <c r="K22" s="38"/>
      <c r="L22" s="38"/>
    </row>
    <row r="23" spans="1:12" ht="12.75" customHeight="1" x14ac:dyDescent="0.25">
      <c r="A23" s="44"/>
      <c r="C23" s="42"/>
      <c r="D23" s="41"/>
      <c r="K23" s="38"/>
      <c r="L23" s="38"/>
    </row>
    <row r="24" spans="1:12" ht="12.75" customHeight="1" x14ac:dyDescent="0.25">
      <c r="A24" s="44"/>
      <c r="C24" s="42"/>
      <c r="D24" s="41"/>
      <c r="K24" s="38"/>
      <c r="L24" s="38"/>
    </row>
    <row r="25" spans="1:12" ht="12.75" customHeight="1" x14ac:dyDescent="0.25">
      <c r="A25" s="44"/>
      <c r="C25" s="42"/>
      <c r="D25" s="41"/>
      <c r="K25" s="38"/>
      <c r="L25" s="38"/>
    </row>
    <row r="26" spans="1:12" ht="12.75" customHeight="1" x14ac:dyDescent="0.25">
      <c r="K26" s="38"/>
      <c r="L26" s="38"/>
    </row>
    <row r="27" spans="1:12" ht="12.75" customHeight="1" x14ac:dyDescent="0.25">
      <c r="K27" s="38"/>
      <c r="L27" s="38"/>
    </row>
    <row r="28" spans="1:12" ht="12.75" customHeight="1" x14ac:dyDescent="0.25">
      <c r="K28" s="38"/>
      <c r="L28" s="38"/>
    </row>
    <row r="29" spans="1:12" ht="12.75" customHeight="1" x14ac:dyDescent="0.25">
      <c r="K29" s="38"/>
      <c r="L29" s="38"/>
    </row>
    <row r="30" spans="1:12" ht="12.75" customHeight="1" x14ac:dyDescent="0.25">
      <c r="K30" s="38"/>
      <c r="L30" s="38"/>
    </row>
    <row r="31" spans="1:12" ht="12.75" customHeight="1" x14ac:dyDescent="0.25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b1f1756a870b76efc27a8eaee629888b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644d54029bc3338cc5927c7c7a534b5a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2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4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5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6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7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8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9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10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11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12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13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14.xml><?xml version="1.0" encoding="utf-8"?>
<ds:datastoreItem xmlns:ds="http://schemas.openxmlformats.org/officeDocument/2006/customXml" ds:itemID="{7317F611-7BE2-4813-BF5F-0666A0D38BE5}"/>
</file>

<file path=customXml/itemProps15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16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17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18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19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20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Dheeraj Cheripelly [AGS]</cp:lastModifiedBy>
  <cp:revision/>
  <dcterms:created xsi:type="dcterms:W3CDTF">2021-01-01T16:39:53Z</dcterms:created>
  <dcterms:modified xsi:type="dcterms:W3CDTF">2026-01-10T12:59:04Z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2025-04-15T12:22:19Z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e6a2f1c4-78d3-41f6-a32c-9ed20b80210f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