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lad\Desktop\job_offer\AGS\AMRESCO_Automation\Backend\uploads\"/>
    </mc:Choice>
  </mc:AlternateContent>
  <xr:revisionPtr revIDLastSave="0" documentId="13_ncr:1_{F983CECD-47D9-4F0D-BEB8-54C3274F1650}" xr6:coauthVersionLast="47" xr6:coauthVersionMax="47" xr10:uidLastSave="{00000000-0000-0000-0000-000000000000}"/>
  <bookViews>
    <workbookView xWindow="-110" yWindow="-110" windowWidth="19420" windowHeight="1150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4" l="1"/>
  <c r="I9" i="27"/>
  <c r="I10" i="27"/>
  <c r="H9" i="27"/>
  <c r="H10" i="27"/>
  <c r="F9" i="27"/>
  <c r="F10" i="27"/>
  <c r="E9" i="27"/>
  <c r="E10" i="27"/>
  <c r="E6" i="26"/>
  <c r="E7" i="26"/>
  <c r="H6" i="26"/>
  <c r="I6" i="26"/>
  <c r="H7" i="26"/>
  <c r="I7" i="26"/>
  <c r="H8" i="26"/>
  <c r="I8" i="26"/>
  <c r="H9" i="26"/>
  <c r="I9" i="26"/>
  <c r="H10" i="26"/>
  <c r="I10" i="26"/>
  <c r="F6" i="26"/>
  <c r="F7" i="26"/>
  <c r="E8" i="26"/>
  <c r="F8" i="26"/>
  <c r="E9" i="26"/>
  <c r="F9" i="26"/>
  <c r="E10" i="26"/>
  <c r="F10" i="26"/>
  <c r="E5" i="26"/>
  <c r="F5" i="26"/>
  <c r="E4" i="26"/>
  <c r="A4" i="26" a="1"/>
  <c r="A4" i="26"/>
  <c r="I9" i="19"/>
  <c r="H9" i="19"/>
  <c r="H10" i="19"/>
  <c r="I10" i="19" s="1"/>
  <c r="F9" i="19"/>
  <c r="E9" i="19"/>
  <c r="E10" i="19"/>
  <c r="F10" i="19" s="1"/>
  <c r="I9" i="20"/>
  <c r="I10" i="20"/>
  <c r="H9" i="20"/>
  <c r="H10" i="20"/>
  <c r="F9" i="20"/>
  <c r="F10" i="20"/>
  <c r="E9" i="20"/>
  <c r="E10" i="20"/>
  <c r="I9" i="2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G5" i="29"/>
  <c r="G6" i="29"/>
  <c r="G7" i="29"/>
  <c r="G8" i="29"/>
  <c r="G4" i="29"/>
  <c r="H9" i="28"/>
  <c r="I9" i="28" s="1"/>
  <c r="E9" i="28"/>
  <c r="F9" i="28" s="1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I10" i="29" l="1"/>
  <c r="E10" i="29"/>
  <c r="F10" i="29" s="1"/>
  <c r="E9" i="29"/>
  <c r="F9" i="29" s="1"/>
  <c r="H10" i="18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I9" i="1"/>
  <c r="G8" i="34"/>
  <c r="E10" i="1"/>
  <c r="F10" i="1" s="1"/>
  <c r="C10" i="34"/>
  <c r="E9" i="1"/>
  <c r="F9" i="1" s="1"/>
  <c r="I9" i="30"/>
  <c r="C9" i="34"/>
  <c r="G9" i="34"/>
  <c r="I9" i="34" s="1"/>
  <c r="D9" i="34"/>
  <c r="C2" i="3"/>
  <c r="E10" i="34" l="1"/>
  <c r="F10" i="34" s="1"/>
  <c r="H10" i="34"/>
  <c r="I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H4" i="26"/>
  <c r="F4" i="26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H6" i="29" l="1"/>
  <c r="I8" i="32"/>
  <c r="H8" i="30"/>
  <c r="H7" i="29"/>
  <c r="I8" i="20"/>
  <c r="H8" i="18"/>
  <c r="I8" i="18" s="1"/>
  <c r="C7" i="34"/>
  <c r="H8" i="1"/>
  <c r="H7" i="34"/>
  <c r="I7" i="34" s="1"/>
  <c r="C6" i="34"/>
  <c r="E8" i="1"/>
  <c r="F8" i="1" s="1"/>
  <c r="C8" i="34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5" i="29"/>
  <c r="H6" i="18"/>
  <c r="I6" i="18" s="1"/>
  <c r="H4" i="18"/>
  <c r="I4" i="18" s="1"/>
  <c r="H7" i="18"/>
  <c r="I7" i="18" s="1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E7" i="34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<sst xmlns="http://schemas.openxmlformats.org/spreadsheetml/2006/main" count="327" uniqueCount="119">
  <si>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</si>
  <si>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</si>
  <si>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</si>
  <si>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</si>
  <si>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</si>
  <si>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</si>
  <si>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</si>
  <si>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</si>
  <si>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</si>
  <si>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</si>
  <si>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</si>
  <si>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</si>
  <si>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</si>
  <si>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</si>
  <si>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</si>
  <si>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</si>
  <si>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</si>
  <si>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</si>
  <si>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</si>
  <si>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</si>
  <si>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</si>
  <si>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</si>
  <si>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</si>
  <si>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</si>
  <si>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</si>
  <si>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</si>
  <si>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</si>
  <si>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</si>
  <si>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</si>
  <si>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</si>
  <si>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</si>
  <si>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</si>
  <si>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</si>
  <si>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</si>
  <si>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</si>
  <si>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</si>
  <si>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</si>
  <si>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</si>
  <si>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</si>
  <si>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</si>
  <si>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</si>
  <si>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</si>
  <si>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</si>
  <si>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</si>
  <si>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1.The A-phase CT on the meter recorded a drop of 20 amps on 09/26/2024. In May, the drop was reduced to 10 amps on the same phase. A 5% variance currently exwasts between the meter readings and the total inverter power. Thwas wassue was scheduled to be investigated during the upcoming preventive maintenance (PM) event.
2.Inverter 5 started late for production at 07:45 on 05/19.wassue got self resoled.</t>
  </si>
  <si>
    <t>1.SR098881
2.SR101671</t>
  </si>
  <si>
    <t>SR101671</t>
  </si>
  <si>
    <t>1. Multiple inverters experiencied tripping events from 10:30AM to 15:30 due technician was onsite for preventive maintenance.
2. Inverter 5 was offline from 15:30 to 16:30 due technician was onsite for preventive maintenance.
3. The site was producing as expected. The higher delta value indicates that the forecasted values are on the higher side.</t>
  </si>
  <si>
    <t>1. PM13593
2. PM13593</t>
  </si>
  <si>
    <t xml:space="preserve">1.Inverter 3 down a string from 5/06. issue did not resolve.
2. Inverter 4 was offline from 10:55 to 11:20 on 05/06 due to technician was onsite for preventive maintenance.
</t>
  </si>
  <si>
    <t>1.SR101329
2. PM13591.</t>
  </si>
  <si>
    <t>1. Multiple inverters experiencied tripping events from 11:30AM to 15:30 due technician was onsite for preventive maintenance.
2. The site was producing as expected. The higher delta value indicates that the forecasted values are on the higher side.</t>
  </si>
  <si>
    <t>1.  PM13589</t>
  </si>
  <si>
    <t>1.Inverter 14 tripped offline at 11:15 and self resolved at 11:25 on 05/03.
2. 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</si>
  <si>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1.SR100962
2. SR100567</t>
  </si>
  <si>
    <t>SR100567</t>
  </si>
  <si>
    <t>June Actual v. Expected</t>
  </si>
  <si>
    <t>June Actual v. Forecasted</t>
  </si>
  <si>
    <t>1.The A-phase CT on the meter recorded a drop of 20 amps on 09/26/2024. In May, the drop was reduced to 10 amps on the same phase. A 5% variance currently exwasts between the meter readings and the total inverter power. This issue was scheduled to be investigated during the upcoming preventive maintenance (PM) event.
2.Inverter 1 is underperforming by 5 kW down compared to its peer inverters since 06/16 at 14:00.</t>
  </si>
  <si>
    <t>1.	SR098881
2.	SR103049</t>
  </si>
  <si>
    <t>SR103049</t>
  </si>
  <si>
    <t>1.Inverter 3 down a string from 5/06. Issue was haven't resolved.</t>
  </si>
  <si>
    <t>1.	SR101329</t>
  </si>
  <si>
    <t>1.Inverter 2 tripped offline at 06:15 on 06/23, reporting a 'Steady State GFCI Fault – Fault0090.' The inverter came back online on 06/24.</t>
  </si>
  <si>
    <t>1.	SR103317</t>
  </si>
  <si>
    <t>1.Inverters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</si>
  <si>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	SR100567</t>
  </si>
  <si>
    <t>July Actual v. Expected</t>
  </si>
  <si>
    <t>July Actual v. Forecasted</t>
  </si>
  <si>
    <t xml:space="preserve">1. Inverter 1 is underperforming by 5 kW down compared to its peer inverters since 06/16 at 14:00.
2.The A-phase CT on the meter recorded a drop of 20 amps on 09/26/2024. In May, the drop was reduced to 10 amps on the same phase. A 5% variance currently exist between the meter readings and the total inverter power. </t>
  </si>
  <si>
    <t>1. SR103049 
2. SR104160</t>
  </si>
  <si>
    <t>SR104160</t>
  </si>
  <si>
    <t>1. Inverter 16 is having reoccurring late starts from 6/12.
2. Inverter 20 is down a string since 7/7.</t>
  </si>
  <si>
    <t>1. SR103140
2. SR104320</t>
  </si>
  <si>
    <t>SR104320</t>
  </si>
  <si>
    <t xml:space="preserve">1.Inverter 5 String 4 has low performance. </t>
  </si>
  <si>
    <t>1.SR102034</t>
  </si>
  <si>
    <t xml:space="preserve">1.Inverters 3, 5, and 7 may be swapped with inverters 4, 6, and 8 in PowerTrack. Invs 3, 5, and 7 are seven string inverters that are performing like eight string inverters, while 4, 6, and 8 are eight string inverters that are performing like seven strings. </t>
  </si>
  <si>
    <t>1. SR100567</t>
  </si>
  <si>
    <t>August Actual v. Expected</t>
  </si>
  <si>
    <t>August Actual v. Forecasted</t>
  </si>
  <si>
    <t xml:space="preserve">1.Inverter 1 is underperforming by 5 kW down compared to its peer inverters since 06/16 at 14:00.
2.The A-phase CT on the meter recorded a drop of 20 amps on 09/26/2024. In May, the drop was reduced to 10 amps on the same phase. A 5% variance currently exist between the meter readings and the total inverter power. </t>
  </si>
  <si>
    <t>1.SR103049
2.SR104160</t>
  </si>
  <si>
    <t>1.Site is producing as expected, may be issue with forecasted value</t>
  </si>
  <si>
    <t>1.SR103140
2.SR104320</t>
  </si>
  <si>
    <t>1.Inverter 5 String 4 has low performance. 
2. Inverters 1 and 2 tripped offline at 7:00 on 08/27 and later back online on 08/28 at 07:00</t>
  </si>
  <si>
    <t>1.SR102034
2.SR107041</t>
  </si>
  <si>
    <t>SR107041</t>
  </si>
  <si>
    <t>1.Low production due to weather on 08/16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</si>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</sst>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49" fontId="36" fillId="0" borderId="0" xfId="45" applyNumberFormat="1" applyAlignment="1">
      <alignment vertical="center" wrapText="1"/>
    </xf>
    <xf numFmtId="9" fontId="31" fillId="0" borderId="0" xfId="2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9" dataCellStyle="Normal 2"/>
    <tableColumn id="1" xr3:uid="{9A753695-C18C-437C-AD9C-C2CE5C1A806E}" name="Site" dataDxfId="58" dataCellStyle="Normal 2"/>
    <tableColumn id="2" xr3:uid="{250F229D-34D2-4043-BE8F-6D9C210E223F}" name="State" dataDxfId="57" dataCellStyle="Normal 2"/>
    <tableColumn id="5" xr3:uid="{61DF2E38-E0FD-4D7E-AE61-BDFE8D5E1312}" name="Update" dataDxfId="56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1671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096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3049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331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40" TargetMode="External"/><Relationship Id="rId2" Type="http://schemas.openxmlformats.org/officeDocument/2006/relationships/hyperlink" Target="https://us3.assetplanner.com/service_request?ID=104160" TargetMode="External"/><Relationship Id="rId1" Type="http://schemas.openxmlformats.org/officeDocument/2006/relationships/hyperlink" Target="https://us3.assetplanner.com/service_request?ID=103049" TargetMode="External"/><Relationship Id="rId6" Type="http://schemas.openxmlformats.org/officeDocument/2006/relationships/hyperlink" Target="https://us3.assetplanner.com/service_request?ID=100567" TargetMode="External"/><Relationship Id="rId5" Type="http://schemas.openxmlformats.org/officeDocument/2006/relationships/hyperlink" Target="https://us3.assetplanner.com/service_request?ID=102034" TargetMode="External"/><Relationship Id="rId4" Type="http://schemas.openxmlformats.org/officeDocument/2006/relationships/hyperlink" Target="https://us3.assetplanner.com/service_request?ID=10432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40" TargetMode="External"/><Relationship Id="rId2" Type="http://schemas.openxmlformats.org/officeDocument/2006/relationships/hyperlink" Target="https://us3.assetplanner.com/service_request?ID=104160" TargetMode="External"/><Relationship Id="rId1" Type="http://schemas.openxmlformats.org/officeDocument/2006/relationships/hyperlink" Target="https://us3.assetplanner.com/service_request?ID=103049" TargetMode="External"/><Relationship Id="rId6" Type="http://schemas.openxmlformats.org/officeDocument/2006/relationships/hyperlink" Target="https://us3.assetplanner.com/service_request?ID=107041" TargetMode="External"/><Relationship Id="rId5" Type="http://schemas.openxmlformats.org/officeDocument/2006/relationships/hyperlink" Target="https://us3.assetplanner.com/service_request?ID=102034" TargetMode="External"/><Relationship Id="rId4" Type="http://schemas.openxmlformats.org/officeDocument/2006/relationships/hyperlink" Target="https://us3.assetplanner.com/service_request?ID=10432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tabSelected="1"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C4" sqref="C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78" t="str" cm="1">
        <f t="array" ref="A1">portfolio</f>
        <v>KPCA Investment, LLC</v>
      </c>
      <c r="B1" s="78"/>
      <c r="C1" s="78"/>
      <c r="D1" s="79" t="s">
        <v>0</v>
      </c>
      <c r="E1" s="79"/>
      <c r="F1" s="79"/>
      <c r="G1" s="77" t="s">
        <v>1</v>
      </c>
      <c r="H1" s="77"/>
      <c r="I1" s="77"/>
    </row>
    <row r="2" spans="1:9" ht="19.5" customHeight="1" x14ac:dyDescent="0.25">
      <c r="A2" s="80" t="s">
        <v>2</v>
      </c>
      <c r="B2" s="80"/>
      <c r="C2" s="5">
        <f>SUM(C4:C80)</f>
        <v>2944309.7689550854</v>
      </c>
      <c r="D2" s="5">
        <f>SUM(D4:D80)</f>
        <v>3101311.2239999999</v>
      </c>
      <c r="E2" s="5">
        <f>C2-D2</f>
        <v>-157001.4550449145</v>
      </c>
      <c r="F2" s="6">
        <f>IFERROR(E2/D2, 0)</f>
        <v>-5.0624217856606354E-2</v>
      </c>
      <c r="G2" s="5">
        <f>SUM(G4:G80)</f>
        <v>3312855.8990000002</v>
      </c>
      <c r="H2" s="7">
        <f>C2-G2</f>
        <v>-368546.13004491478</v>
      </c>
      <c r="I2" s="6">
        <f>IFERROR(H2/G2, 0)</f>
        <v>-0.111247256530585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35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Qtr'!C4)</f>
        <v>175089.08583085472</v>
      </c>
      <c r="D4" s="12">
        <f>SUM('1st Qtr'!D4, '2nd Qtr'!D4, '3rd Qtr'!D4, '4th Qtr'!D4)</f>
        <v>152820.62</v>
      </c>
      <c r="E4" s="12">
        <f>IF(AND(ISNUMBER(C4),ISNUMBER(D4)), C4-D4, "")</f>
        <v>22268.465830854722</v>
      </c>
      <c r="F4" s="13">
        <f>IFERROR(E4/D4, "")</f>
        <v>0.14571636884377726</v>
      </c>
      <c r="G4" s="14">
        <f>SUM('1st Qtr'!G4, '2nd Qtr'!G4, '3rd Qtr'!G4, '4th Qtr'!G4)</f>
        <v>226748</v>
      </c>
      <c r="H4" s="14">
        <f>SUM('1st Qtr'!H4, '2nd Qtr'!H4, '3rd Qtr'!H4, '4th Qtr'!H4)</f>
        <v>-51658.914169145304</v>
      </c>
      <c r="I4" s="15">
        <f>IFERROR(H4/G4, "")</f>
        <v>-0.22782522522423707</v>
      </c>
    </row>
    <row r="5" spans="1:9" ht="15.5" x14ac:dyDescent="0.25">
      <c r="A5" s="50" t="str">
        <v>Murrieta - 28150 Keller Rd</v>
      </c>
      <c r="B5" s="28" t="str">
        <v>CA</v>
      </c>
      <c r="C5" s="16">
        <f>SUM('1st Qtr'!C5, '2nd Qtr'!C5, '3rd Qtr'!C5, '4th Qtr'!C5)</f>
        <v>512072</v>
      </c>
      <c r="D5" s="16">
        <f>SUM('1st Qtr'!D5, '2nd Qtr'!D5, '3rd Qtr'!D5, '4th Qtr'!D5)</f>
        <v>516182.31</v>
      </c>
      <c r="E5" s="16">
        <f t="shared" ref="E5:E10" si="0">IF(AND(ISNUMBER(C5),ISNUMBER(D5)), C5-D5, "")</f>
        <v>-4110.3099999999977</v>
      </c>
      <c r="F5" s="17">
        <f>IFERROR(E5/D5, "")</f>
        <v>-7.9629036492939818E-3</v>
      </c>
      <c r="G5" s="18">
        <f>SUM('1st Qtr'!G5, '2nd Qtr'!G5, '3rd Qtr'!G5, '4th Qtr'!G5)</f>
        <v>579636.80000000005</v>
      </c>
      <c r="H5" s="18">
        <f>SUM(Jan!H5, Feb!H5, Mar!H5)</f>
        <v>0</v>
      </c>
      <c r="I5" s="17">
        <f>IFERROR(H5/G5, "")</f>
        <v>0</v>
      </c>
    </row>
    <row r="6" spans="1:9" ht="15.5" x14ac:dyDescent="0.25">
      <c r="A6" s="51" t="str">
        <v>La Habra - 601 E Imperial Way</v>
      </c>
      <c r="B6" s="26" t="str">
        <v>CA</v>
      </c>
      <c r="C6" s="22">
        <f>SUM('1st Qtr'!C6, '2nd Qtr'!C6, '3rd Qtr'!C6, '4th Qtr'!C6)</f>
        <v>105627.63000000021</v>
      </c>
      <c r="D6" s="12">
        <f>SUM('1st Qtr'!D6, '2nd Qtr'!D6, '3rd Qtr'!D6, '4th Qtr'!D6)</f>
        <v>83409.282999999996</v>
      </c>
      <c r="E6" s="12">
        <f t="shared" si="0"/>
        <v>22218.347000000213</v>
      </c>
      <c r="F6" s="13">
        <f t="shared" ref="F6:F10" si="1">IFERROR(E6/D6, "")</f>
        <v>0.26637738871343869</v>
      </c>
      <c r="G6" s="14">
        <f>SUM('1st Qtr'!G6, '2nd Qtr'!G6, '3rd Qtr'!G6, '4th Qtr'!G6)</f>
        <v>119494.38</v>
      </c>
      <c r="H6" s="14">
        <f>SUM('1st Qtr'!H6, '2nd Qtr'!H6, '3rd Qtr'!H6, '4th Qtr'!H6)</f>
        <v>-13866.749999999804</v>
      </c>
      <c r="I6" s="15">
        <f t="shared" ref="I6:I10" si="2">IFERROR(H6/G6, "")</f>
        <v>-0.11604520647749127</v>
      </c>
    </row>
    <row r="7" spans="1:9" ht="15.5" x14ac:dyDescent="0.25">
      <c r="A7" s="50" t="str">
        <v>Kaiser - KP3 - SCA Skyport - CN7901 Site</v>
      </c>
      <c r="B7" s="28" t="str">
        <v>CA</v>
      </c>
      <c r="C7" s="16">
        <f>SUM('1st Qtr'!C7, '2nd Qtr'!C7, '3rd Qtr'!C7, '4th Qtr'!C7)</f>
        <v>587326.63084909366</v>
      </c>
      <c r="D7" s="16">
        <f>SUM('1st Qtr'!D7, '2nd Qtr'!D7, '3rd Qtr'!D7, '4th Qtr'!D7)</f>
        <v>607649.69999999995</v>
      </c>
      <c r="E7" s="16">
        <f t="shared" si="0"/>
        <v>-20323.069150906289</v>
      </c>
      <c r="F7" s="17">
        <f t="shared" si="1"/>
        <v>-3.3445370171179697E-2</v>
      </c>
      <c r="G7" s="18">
        <f>SUM('1st Qtr'!G7, '2nd Qtr'!G7, '3rd Qtr'!G7, '4th Qtr'!G7)</f>
        <v>637667.48900000006</v>
      </c>
      <c r="H7" s="18">
        <f>SUM(Jan!H7, Feb!H7, Mar!H7)</f>
        <v>0</v>
      </c>
      <c r="I7" s="17">
        <f t="shared" si="2"/>
        <v>0</v>
      </c>
    </row>
    <row r="8" spans="1:9" ht="15.5" x14ac:dyDescent="0.25">
      <c r="A8" s="51" t="str">
        <v>Irwindale - 12761 Schabarum Ave</v>
      </c>
      <c r="B8" s="26" t="str">
        <v>CA</v>
      </c>
      <c r="C8" s="22">
        <f>SUM('1st Qtr'!C8, '2nd Qtr'!C8, '3rd Qtr'!C8, '4th Qtr'!C8)</f>
        <v>141563.87</v>
      </c>
      <c r="D8" s="12">
        <f>SUM('1st Qtr'!D8, '2nd Qtr'!D8, '3rd Qtr'!D8, '4th Qtr'!D8)</f>
        <v>114166.253</v>
      </c>
      <c r="E8" s="12">
        <f t="shared" si="0"/>
        <v>27397.616999999998</v>
      </c>
      <c r="F8" s="13">
        <f t="shared" si="1"/>
        <v>0.23997999654065899</v>
      </c>
      <c r="G8" s="14">
        <f>SUM('1st Qtr'!G8, '2nd Qtr'!G8, '3rd Qtr'!G8, '4th Qtr'!G8)</f>
        <v>166536.73000000001</v>
      </c>
      <c r="H8" s="14">
        <f>SUM('1st Qtr'!H8, '2nd Qtr'!H8, '3rd Qtr'!H8, '4th Qtr'!H8)</f>
        <v>-24972.86</v>
      </c>
      <c r="I8" s="15">
        <f t="shared" si="2"/>
        <v>-0.14995406718986257</v>
      </c>
    </row>
    <row r="9" spans="1:9" ht="15.5" x14ac:dyDescent="0.25">
      <c r="A9" s="50" t="str">
        <v>Santa Rosa - 2240 Mercury Way</v>
      </c>
      <c r="B9" s="28" t="str">
        <v>CA</v>
      </c>
      <c r="C9" s="16">
        <f>SUM('1st Qtr'!C9, '2nd Qtr'!C9, '3rd Qtr'!C9, '4th Qtr'!C9)</f>
        <v>485404.5522751364</v>
      </c>
      <c r="D9" s="16">
        <f>SUM('1st Qtr'!D9, '2nd Qtr'!D9, '3rd Qtr'!D9, '4th Qtr'!D9)</f>
        <v>532925.48</v>
      </c>
      <c r="E9" s="16">
        <f t="shared" si="0"/>
        <v>-47520.927724863577</v>
      </c>
      <c r="F9" s="17">
        <f t="shared" si="1"/>
        <v>-8.9169929958806959E-2</v>
      </c>
      <c r="G9" s="18">
        <f>SUM('1st Qtr'!G9, '2nd Qtr'!G9, '3rd Qtr'!G9, '4th Qtr'!G9)</f>
        <v>549276</v>
      </c>
      <c r="H9" s="18">
        <f>SUM(Jan!H9, Feb!H9, Mar!H9)</f>
        <v>0</v>
      </c>
      <c r="I9" s="17">
        <f t="shared" si="2"/>
        <v>0</v>
      </c>
    </row>
    <row r="10" spans="1:9" ht="15.5" x14ac:dyDescent="0.25">
      <c r="A10" s="51" t="str">
        <v>Dublin - 3100 Dublin Blvd</v>
      </c>
      <c r="B10" s="26" t="str">
        <v>CA</v>
      </c>
      <c r="C10" s="22">
        <f>SUM('1st Qtr'!C10, '2nd Qtr'!C10, '3rd Qtr'!C10, '4th Qtr'!C10)</f>
        <v>937226</v>
      </c>
      <c r="D10" s="12">
        <f>SUM('1st Qtr'!D10, '2nd Qtr'!D10, '3rd Qtr'!D10, '4th Qtr'!D10)</f>
        <v>1094157.578</v>
      </c>
      <c r="E10" s="12">
        <f t="shared" si="0"/>
        <v>-156931.57799999998</v>
      </c>
      <c r="F10" s="13">
        <f t="shared" si="1"/>
        <v>-0.14342685290984658</v>
      </c>
      <c r="G10" s="14">
        <f>SUM('1st Qtr'!G10, '2nd Qtr'!G10, '3rd Qtr'!G10, '4th Qtr'!G10)</f>
        <v>1033496.5</v>
      </c>
      <c r="H10" s="14">
        <f>SUM('1st Qtr'!H10, '2nd Qtr'!H10, '3rd Qtr'!H10, '4th Qtr'!H10)</f>
        <v>-96270.5</v>
      </c>
      <c r="I10" s="15">
        <f t="shared" si="2"/>
        <v>-9.3150291268523894E-2</v>
      </c>
    </row>
    <row r="11" spans="1:9" ht="13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D21" sqref="D21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78" t="str" cm="1">
        <f t="array" ref="A1">portfolio</f>
        <v>KPCA Investment, LLC</v>
      </c>
      <c r="B1" s="78"/>
      <c r="C1" s="78"/>
      <c r="D1" s="79" t="s">
        <v>10</v>
      </c>
      <c r="E1" s="79"/>
      <c r="F1" s="79"/>
      <c r="G1" s="77" t="s">
        <v>11</v>
      </c>
      <c r="H1" s="77"/>
      <c r="I1" s="77"/>
    </row>
    <row r="2" spans="1:9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5" x14ac:dyDescent="0.25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5" x14ac:dyDescent="0.25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5" x14ac:dyDescent="0.25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5" x14ac:dyDescent="0.25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5" x14ac:dyDescent="0.25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5" x14ac:dyDescent="0.25">
      <c r="A10" s="46" t="str">
        <v>Dublin - 3100 Dublin Blvd</v>
      </c>
      <c r="B10" s="9" t="str">
        <v>CA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J34" sqref="A31:J3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78" t="str" cm="1">
        <f t="array" ref="A1">portfolio</f>
        <v>KPCA Investment, LLC</v>
      </c>
      <c r="B1" s="78"/>
      <c r="C1" s="78"/>
      <c r="D1" s="79" t="s">
        <v>12</v>
      </c>
      <c r="E1" s="79"/>
      <c r="F1" s="79"/>
      <c r="G1" s="77" t="s">
        <v>13</v>
      </c>
      <c r="H1" s="77"/>
      <c r="I1" s="77"/>
    </row>
    <row r="2" spans="1:9" ht="19.5" customHeight="1" x14ac:dyDescent="0.25">
      <c r="A2" s="80" t="s">
        <v>2</v>
      </c>
      <c r="B2" s="80"/>
      <c r="C2" s="5">
        <f>SUM(C4:C80)</f>
        <v>1771758.058529947</v>
      </c>
      <c r="D2" s="5">
        <f>SUM(D4:D80)</f>
        <v>1834976.2749999999</v>
      </c>
      <c r="E2" s="5">
        <f>C2-D2</f>
        <v>-63218.216470052954</v>
      </c>
      <c r="F2" s="6">
        <f>IFERROR(E2/D2, 0)</f>
        <v>-3.4451789557907474E-2</v>
      </c>
      <c r="G2" s="5">
        <f>SUM(G4:G80)</f>
        <v>1939577.0290000001</v>
      </c>
      <c r="H2" s="7">
        <f>C2-G2</f>
        <v>-167818.97047005314</v>
      </c>
      <c r="I2" s="6">
        <f>IFERROR(H2/G2, 0)</f>
        <v>-8.6523488348682204E-2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105148.9373501324</v>
      </c>
      <c r="D4" s="12">
        <f>SUM(Apr!D4, May!D4, Jun!D4)</f>
        <v>88704.65</v>
      </c>
      <c r="E4" s="12">
        <f>IF(AND(ISNUMBER(C4),ISNUMBER(D4)), C4-D4, "")</f>
        <v>16444.287350132407</v>
      </c>
      <c r="F4" s="13">
        <f>IFERROR(E4/D4, "")</f>
        <v>0.18538247262271379</v>
      </c>
      <c r="G4" s="14">
        <f>SUM(Apr!G4+May!G4+Jun!G4)</f>
        <v>132650</v>
      </c>
      <c r="H4" s="14">
        <f>SUM(Apr!H4, May!H4, Jun!H4)</f>
        <v>-27501.062649867603</v>
      </c>
      <c r="I4" s="15">
        <f>IFERROR(H4/G4, "")</f>
        <v>-0.20732048737178743</v>
      </c>
    </row>
    <row r="5" spans="1:9" ht="15.5" x14ac:dyDescent="0.25">
      <c r="A5" s="47" t="str">
        <v>Murrieta - 28150 Keller Rd</v>
      </c>
      <c r="B5" s="10" t="str">
        <v>CA</v>
      </c>
      <c r="C5" s="11">
        <f>SUM(Apr!C5, May!C5, Jun!C5)</f>
        <v>301660</v>
      </c>
      <c r="D5" s="16">
        <f>SUM(Apr!D5, May!D5, Jun!D5)</f>
        <v>301975.25</v>
      </c>
      <c r="E5" s="16">
        <f t="shared" ref="E5:E10" si="0">IF(AND(ISNUMBER(C5),ISNUMBER(D5)), C5-D5, "")</f>
        <v>-315.25</v>
      </c>
      <c r="F5" s="17">
        <f>IFERROR(E5/D5, "")</f>
        <v>-1.0439597284876824E-3</v>
      </c>
      <c r="G5" s="18">
        <f>SUM(Apr!G5+May!G5+Jun!G5)</f>
        <v>338989.4</v>
      </c>
      <c r="H5" s="18">
        <f>SUM(Apr!H5, May!H5, Jun!H5)</f>
        <v>-37329.400000000009</v>
      </c>
      <c r="I5" s="17">
        <f>IFERROR(H5/G5, "")</f>
        <v>-0.11011966745862851</v>
      </c>
    </row>
    <row r="6" spans="1:9" ht="15.5" x14ac:dyDescent="0.25">
      <c r="A6" s="46" t="str">
        <v>La Habra - 601 E Imperial Way</v>
      </c>
      <c r="B6" s="9" t="str">
        <v>CA</v>
      </c>
      <c r="C6" s="22">
        <f>SUM(Apr!C6, May!C6, Jun!C6)</f>
        <v>60220.630000000099</v>
      </c>
      <c r="D6" s="12">
        <f>SUM(Apr!D6, May!D6, Jun!D6)</f>
        <v>48057.75</v>
      </c>
      <c r="E6" s="12">
        <f t="shared" si="0"/>
        <v>12162.880000000099</v>
      </c>
      <c r="F6" s="13">
        <f t="shared" ref="F6:F10" si="1">IFERROR(E6/D6, "")</f>
        <v>0.25308883582773017</v>
      </c>
      <c r="G6" s="14">
        <f>SUM(Apr!G6+May!G6+Jun!G6)</f>
        <v>67344.570000000007</v>
      </c>
      <c r="H6" s="14">
        <f>SUM(Apr!H6, May!H6, Jun!H6)</f>
        <v>-7123.9399999999005</v>
      </c>
      <c r="I6" s="15">
        <f t="shared" ref="I6:I9" si="2">IFERROR(H6/G6, "")</f>
        <v>-0.10578343584345255</v>
      </c>
    </row>
    <row r="7" spans="1:9" ht="15.5" x14ac:dyDescent="0.25">
      <c r="A7" s="47" t="str">
        <v>Kaiser - KP3 - SCA Skyport - CN7901 Site</v>
      </c>
      <c r="B7" s="10" t="str">
        <v>CA</v>
      </c>
      <c r="C7" s="11">
        <f>SUM(Apr!C7, May!C7, Jun!C7)</f>
        <v>357011.58408212359</v>
      </c>
      <c r="D7" s="16">
        <f>SUM(Apr!D7, May!D7, Jun!D7)</f>
        <v>364194.08999999997</v>
      </c>
      <c r="E7" s="16">
        <f t="shared" si="0"/>
        <v>-7182.5059178763768</v>
      </c>
      <c r="F7" s="17">
        <f t="shared" si="1"/>
        <v>-1.9721643253124668E-2</v>
      </c>
      <c r="G7" s="18">
        <f>SUM(Apr!G7+May!G7+Jun!G7)</f>
        <v>372880.58900000004</v>
      </c>
      <c r="H7" s="18">
        <f>SUM(Apr!H7, May!H7, Jun!H7)</f>
        <v>-15869.004917876417</v>
      </c>
      <c r="I7" s="17">
        <f t="shared" si="2"/>
        <v>-4.2557873447996553E-2</v>
      </c>
    </row>
    <row r="8" spans="1:9" ht="15.5" x14ac:dyDescent="0.25">
      <c r="A8" s="46" t="str">
        <v>Irwindale - 12761 Schabarum Ave</v>
      </c>
      <c r="B8" s="9" t="str">
        <v>CA</v>
      </c>
      <c r="C8" s="22">
        <f>SUM(Apr!C8, May!C8, Jun!C8)</f>
        <v>84093.869999999908</v>
      </c>
      <c r="D8" s="12">
        <f>SUM(Apr!D8, May!D8, Jun!D8)</f>
        <v>65700.179999999993</v>
      </c>
      <c r="E8" s="12">
        <f t="shared" si="0"/>
        <v>18393.689999999915</v>
      </c>
      <c r="F8" s="13">
        <f t="shared" si="1"/>
        <v>0.27996407315778915</v>
      </c>
      <c r="G8" s="14">
        <f>SUM(Apr!G8+May!G8+Jun!G8)</f>
        <v>95470.97</v>
      </c>
      <c r="H8" s="14">
        <f>SUM(Apr!H8, May!H8, Jun!H8)</f>
        <v>-11377.100000000097</v>
      </c>
      <c r="I8" s="15">
        <f>IFERROR(H8/G8, "")</f>
        <v>-0.11916816179829426</v>
      </c>
    </row>
    <row r="9" spans="1:9" ht="15.5" x14ac:dyDescent="0.25">
      <c r="A9" s="47" t="str">
        <v>Santa Rosa - 2240 Mercury Way</v>
      </c>
      <c r="B9" s="10" t="str">
        <v>CA</v>
      </c>
      <c r="C9" s="11">
        <f>SUM(Apr!C9, May!C9, Jun!C9)</f>
        <v>294721.03709769092</v>
      </c>
      <c r="D9" s="16">
        <f>SUM(Apr!D9, May!D9, Jun!D9)</f>
        <v>315356.7</v>
      </c>
      <c r="E9" s="16">
        <f t="shared" si="0"/>
        <v>-20635.662902309094</v>
      </c>
      <c r="F9" s="17">
        <f t="shared" si="1"/>
        <v>-6.5435942544772613E-2</v>
      </c>
      <c r="G9" s="18">
        <f>SUM(Apr!G9+May!G9+Jun!G9)</f>
        <v>324424</v>
      </c>
      <c r="H9" s="18">
        <f>SUM(Apr!H9, May!H9, Jun!H9)</f>
        <v>-29702.962902309111</v>
      </c>
      <c r="I9" s="17">
        <f t="shared" si="2"/>
        <v>-9.1555997405583775E-2</v>
      </c>
    </row>
    <row r="10" spans="1:9" ht="15.5" x14ac:dyDescent="0.25">
      <c r="A10" s="46" t="str">
        <v>Dublin - 3100 Dublin Blvd</v>
      </c>
      <c r="B10" s="9" t="str">
        <v>CA</v>
      </c>
      <c r="C10" s="22">
        <f>SUM(Apr!C10, May!C10, Jun!C10)</f>
        <v>568902</v>
      </c>
      <c r="D10" s="12">
        <f>SUM(Apr!D10, May!D10, Jun!D10)</f>
        <v>650987.65500000003</v>
      </c>
      <c r="E10" s="12">
        <f t="shared" si="0"/>
        <v>-82085.655000000028</v>
      </c>
      <c r="F10" s="13">
        <f t="shared" si="1"/>
        <v>-0.12609402708258735</v>
      </c>
      <c r="G10" s="14">
        <f>SUM(Apr!G10+May!G10+Jun!G10)</f>
        <v>607817.5</v>
      </c>
      <c r="H10" s="14">
        <f>SUM(Apr!H10, May!H10, Jun!H10)</f>
        <v>-38915.5</v>
      </c>
      <c r="I10" s="15">
        <f>IFERROR(H10/G10, "")</f>
        <v>-6.4024974601751342E-2</v>
      </c>
    </row>
    <row r="11" spans="1:9" ht="13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7" activePane="bottomRight" state="frozen"/>
      <selection pane="topRight" activeCell="F27" sqref="F27"/>
      <selection pane="bottomLeft" activeCell="F27" sqref="F27"/>
      <selection pane="bottomRight" activeCell="H36" sqref="A32:H36"/>
    </sheetView>
  </sheetViews>
  <sheetFormatPr defaultRowHeight="12.75" customHeight="1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78" t="str" cm="1">
        <f t="array" ref="A1">portfolio</f>
        <v>KPCA Investment, LLC</v>
      </c>
      <c r="B1" s="78"/>
      <c r="C1" s="78"/>
      <c r="D1" s="79" t="s">
        <v>14</v>
      </c>
      <c r="E1" s="79"/>
      <c r="F1" s="79"/>
      <c r="G1" s="77" t="s">
        <v>15</v>
      </c>
      <c r="H1" s="77"/>
      <c r="I1" s="77"/>
    </row>
    <row r="2" spans="1:9" ht="19.5" customHeight="1" x14ac:dyDescent="0.25">
      <c r="A2" s="80" t="s">
        <v>2</v>
      </c>
      <c r="B2" s="80"/>
      <c r="C2" s="5">
        <f>SUM(C4:C79)</f>
        <v>1172551.710425138</v>
      </c>
      <c r="D2" s="5">
        <f>SUM(D4:D79)</f>
        <v>1266334.949</v>
      </c>
      <c r="E2" s="5">
        <f>C2-D2</f>
        <v>-93783.238574862015</v>
      </c>
      <c r="F2" s="6">
        <f>IFERROR(E2/D2, 0)</f>
        <v>-7.4058793567152836E-2</v>
      </c>
      <c r="G2" s="5">
        <f>SUM(G4:G79)</f>
        <v>1373278.87</v>
      </c>
      <c r="H2" s="7">
        <f>C2-G2</f>
        <v>-200727.1595748621</v>
      </c>
      <c r="I2" s="6">
        <f>IFERROR(H2/G2, 0)</f>
        <v>-0.1461663497195308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69940.148480722302</v>
      </c>
      <c r="D4" s="12">
        <f>SUM(Jul!D4, Aug!D4, Sep!D4)</f>
        <v>64115.97</v>
      </c>
      <c r="E4" s="12">
        <f>IF(AND(ISNUMBER(C4),ISNUMBER(D4)), C4-D4, "")</f>
        <v>5824.1784807223012</v>
      </c>
      <c r="F4" s="13">
        <f>IFERROR(E4/D4, "")</f>
        <v>9.0838187127517539E-2</v>
      </c>
      <c r="G4" s="14">
        <f>SUM(Jul!G4,Aug!G4,Sep!G4)</f>
        <v>94098</v>
      </c>
      <c r="H4" s="14">
        <f>SUM(Jul!H4, Aug!H4, Sep!H4)</f>
        <v>-24157.851519277701</v>
      </c>
      <c r="I4" s="15">
        <f t="shared" ref="I4:I9" si="0">IFERROR(H4/G4, "")</f>
        <v>-0.25673076493950669</v>
      </c>
    </row>
    <row r="5" spans="1:9" ht="15.5" x14ac:dyDescent="0.25">
      <c r="A5" s="47" t="str">
        <v>Murrieta - 28150 Keller Rd</v>
      </c>
      <c r="B5" s="10" t="str">
        <v>CA</v>
      </c>
      <c r="C5" s="11">
        <f>SUM(Jul!C5, Aug!C5, Sep!C5)</f>
        <v>210412</v>
      </c>
      <c r="D5" s="16">
        <f>SUM(Jul!D5, Aug!D5, Sep!D5)</f>
        <v>214207.06</v>
      </c>
      <c r="E5" s="16">
        <f t="shared" ref="E5:E10" si="1">IF(AND(ISNUMBER(C5),ISNUMBER(D5)), C5-D5, "")</f>
        <v>-3795.0599999999977</v>
      </c>
      <c r="F5" s="17">
        <f>IFERROR(E5/D5, "")</f>
        <v>-1.7716783004257646E-2</v>
      </c>
      <c r="G5" s="16">
        <f>SUM(Jul!G5,Aug!G5,Sep!G5)</f>
        <v>240647.4</v>
      </c>
      <c r="H5" s="18">
        <f>SUM(Jul!H5, Aug!H5, Sep!H5)</f>
        <v>-30235.399999999994</v>
      </c>
      <c r="I5" s="17">
        <f t="shared" si="0"/>
        <v>-0.12564191426959109</v>
      </c>
    </row>
    <row r="6" spans="1:9" ht="15.5" x14ac:dyDescent="0.25">
      <c r="A6" s="46" t="str">
        <v>La Habra - 601 E Imperial Way</v>
      </c>
      <c r="B6" s="9" t="str">
        <v>CA</v>
      </c>
      <c r="C6" s="22">
        <f>SUM(Jul!C6, Aug!C6, Sep!C6)</f>
        <v>45407.000000000102</v>
      </c>
      <c r="D6" s="12">
        <f>SUM(Jul!D6, Aug!D6, Sep!D6)</f>
        <v>35351.532999999996</v>
      </c>
      <c r="E6" s="12">
        <f t="shared" si="1"/>
        <v>10055.467000000106</v>
      </c>
      <c r="F6" s="13">
        <f t="shared" ref="F6:F10" si="2">IFERROR(E6/D6, "")</f>
        <v>0.2844421768074416</v>
      </c>
      <c r="G6" s="14">
        <f>SUM(Jul!G6,Aug!G6,Sep!G6)</f>
        <v>52149.81</v>
      </c>
      <c r="H6" s="14">
        <f>SUM(Jul!H6, Aug!H6, Sep!H6)</f>
        <v>-6742.8099999999031</v>
      </c>
      <c r="I6" s="15">
        <f t="shared" si="0"/>
        <v>-0.12929692361295092</v>
      </c>
    </row>
    <row r="7" spans="1:9" ht="15.5" x14ac:dyDescent="0.25">
      <c r="A7" s="47" t="str">
        <v>Kaiser - KP3 - SCA Skyport - CN7901 Site</v>
      </c>
      <c r="B7" s="10" t="str">
        <v>CA</v>
      </c>
      <c r="C7" s="11">
        <f>SUM(Jul!C7, Aug!C7, Sep!C7)</f>
        <v>230315.04676697002</v>
      </c>
      <c r="D7" s="16">
        <f>SUM(Jul!D7, Aug!D7, Sep!D7)</f>
        <v>243455.61</v>
      </c>
      <c r="E7" s="16">
        <f t="shared" si="1"/>
        <v>-13140.56323302997</v>
      </c>
      <c r="F7" s="17">
        <f t="shared" si="2"/>
        <v>-5.397519175273871E-2</v>
      </c>
      <c r="G7" s="16">
        <f>SUM(Jul!G7,Aug!G7,Sep!G7)</f>
        <v>264786.90000000002</v>
      </c>
      <c r="H7" s="18">
        <f>SUM(Jul!H7, Aug!H7, Sep!H7)</f>
        <v>-34471.853233029993</v>
      </c>
      <c r="I7" s="17">
        <f t="shared" si="0"/>
        <v>-0.13018715515393695</v>
      </c>
    </row>
    <row r="8" spans="1:9" ht="15.5" x14ac:dyDescent="0.25">
      <c r="A8" s="46" t="str">
        <v>Irwindale - 12761 Schabarum Ave</v>
      </c>
      <c r="B8" s="9" t="str">
        <v>CA</v>
      </c>
      <c r="C8" s="22">
        <f>SUM(Jul!C8, Aug!C8, Sep!C8)</f>
        <v>57470.000000000102</v>
      </c>
      <c r="D8" s="12">
        <f>SUM(Jul!D8, Aug!D8, Sep!D8)</f>
        <v>48466.073000000004</v>
      </c>
      <c r="E8" s="12">
        <f t="shared" si="1"/>
        <v>9003.9270000000979</v>
      </c>
      <c r="F8" s="13">
        <f t="shared" si="2"/>
        <v>0.18577793583565347</v>
      </c>
      <c r="G8" s="14">
        <f>SUM(Jul!G8,Aug!G8,Sep!G8)</f>
        <v>71065.760000000009</v>
      </c>
      <c r="H8" s="14">
        <f>SUM(Jul!H8, Aug!H8, Sep!H8)</f>
        <v>-13595.759999999904</v>
      </c>
      <c r="I8" s="15">
        <f t="shared" si="0"/>
        <v>-0.1913123844731964</v>
      </c>
    </row>
    <row r="9" spans="1:9" ht="15.5" x14ac:dyDescent="0.25">
      <c r="A9" s="47" t="str">
        <v>Santa Rosa - 2240 Mercury Way</v>
      </c>
      <c r="B9" s="10" t="str">
        <v>CA</v>
      </c>
      <c r="C9" s="11">
        <f>SUM(Jul!C9, Aug!C9, Sep!C9)</f>
        <v>190683.51517744549</v>
      </c>
      <c r="D9" s="16">
        <f>SUM(Jul!D9, Aug!D9, Sep!D9)</f>
        <v>217568.78</v>
      </c>
      <c r="E9" s="16">
        <f t="shared" si="1"/>
        <v>-26885.264822554513</v>
      </c>
      <c r="F9" s="17">
        <f t="shared" si="2"/>
        <v>-0.12357133602787364</v>
      </c>
      <c r="G9" s="16">
        <f>SUM(Jul!G9,Aug!G9,Sep!G9)</f>
        <v>224852</v>
      </c>
      <c r="H9" s="18">
        <f>SUM(Jul!H9, Aug!H9, Sep!H9)</f>
        <v>-34168.484822554499</v>
      </c>
      <c r="I9" s="17">
        <f t="shared" si="0"/>
        <v>-0.15195988838237817</v>
      </c>
    </row>
    <row r="10" spans="1:9" ht="15.5" x14ac:dyDescent="0.25">
      <c r="A10" s="46" t="str">
        <v>Dublin - 3100 Dublin Blvd</v>
      </c>
      <c r="B10" s="9" t="str">
        <v>CA</v>
      </c>
      <c r="C10" s="22">
        <f>SUM(Jul!C10, Aug!C10, Sep!C10)</f>
        <v>368324</v>
      </c>
      <c r="D10" s="12">
        <f>SUM(Jul!D10, Aug!D10, Sep!D10)</f>
        <v>443169.92299999995</v>
      </c>
      <c r="E10" s="12">
        <f t="shared" si="1"/>
        <v>-74845.922999999952</v>
      </c>
      <c r="F10" s="13">
        <f t="shared" si="2"/>
        <v>-0.16888764132127251</v>
      </c>
      <c r="G10" s="14">
        <f>SUM(Jul!G10,Aug!G10,Sep!G10)</f>
        <v>425679</v>
      </c>
      <c r="H10" s="14">
        <f>SUM(Jul!H10, Aug!H10, Sep!H10)</f>
        <v>-57355</v>
      </c>
      <c r="I10" s="15">
        <f>IFERROR(H10/G10, "")</f>
        <v>-0.13473767792162639</v>
      </c>
    </row>
    <row r="11" spans="1:9" ht="13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" x14ac:dyDescent="0.3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K12" sqref="K12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78" t="str" cm="1">
        <f t="array" ref="A1">portfolio</f>
        <v>KPCA Investment, LLC</v>
      </c>
      <c r="B1" s="78"/>
      <c r="C1" s="78"/>
      <c r="D1" s="79" t="s">
        <v>16</v>
      </c>
      <c r="E1" s="79"/>
      <c r="F1" s="79"/>
      <c r="G1" s="77" t="s">
        <v>17</v>
      </c>
      <c r="H1" s="77"/>
      <c r="I1" s="77"/>
    </row>
    <row r="2" spans="1:9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5" x14ac:dyDescent="0.25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5" x14ac:dyDescent="0.25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5" x14ac:dyDescent="0.25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5" x14ac:dyDescent="0.25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5" x14ac:dyDescent="0.25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5" x14ac:dyDescent="0.25">
      <c r="A10" s="46" t="str">
        <v>Dublin - 3100 Dublin Blvd</v>
      </c>
      <c r="B10" s="9" t="str">
        <v>CA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topRight" activeCell="F27" sqref="F27"/>
      <selection pane="bottomLeft" activeCell="F27" sqref="F27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3" ht="19.5" customHeight="1" x14ac:dyDescent="0.25">
      <c r="A1" s="78" t="str" cm="1">
        <f t="array" ref="A1">portfolio</f>
        <v>KPCA Investment, LLC</v>
      </c>
      <c r="B1" s="78"/>
      <c r="C1" s="78"/>
      <c r="D1" s="79" t="s">
        <v>18</v>
      </c>
      <c r="E1" s="79"/>
      <c r="F1" s="79"/>
      <c r="G1" s="77" t="s">
        <v>19</v>
      </c>
      <c r="H1" s="77"/>
      <c r="I1" s="77"/>
      <c r="J1" s="4"/>
      <c r="K1" s="4"/>
    </row>
    <row r="2" spans="1:13" ht="19.5" customHeight="1" x14ac:dyDescent="0.25">
      <c r="A2" s="80" t="s">
        <v>2</v>
      </c>
      <c r="B2" s="8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25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5" x14ac:dyDescent="0.25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 x14ac:dyDescent="0.25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5" x14ac:dyDescent="0.25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5" x14ac:dyDescent="0.25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5" x14ac:dyDescent="0.25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5" x14ac:dyDescent="0.25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5" x14ac:dyDescent="0.25">
      <c r="A10" s="51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5" x14ac:dyDescent="0.3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5" priority="12" stopIfTrue="1" operator="lessThanOrEqual">
      <formula>-0.1</formula>
    </cfRule>
    <cfRule type="expression" dxfId="44" priority="13">
      <formula>AND(ISNUMBER(F2), F2&gt;=0.1)</formula>
    </cfRule>
  </conditionalFormatting>
  <conditionalFormatting sqref="F4">
    <cfRule type="cellIs" dxfId="43" priority="3" stopIfTrue="1" operator="lessThanOrEqual">
      <formula>-0.1</formula>
    </cfRule>
    <cfRule type="expression" dxfId="42" priority="4">
      <formula>AND(ISNUMBER(F4), F4&gt;=0.1)</formula>
    </cfRule>
  </conditionalFormatting>
  <conditionalFormatting sqref="F6">
    <cfRule type="cellIs" dxfId="41" priority="1" stopIfTrue="1" operator="lessThanOrEqual">
      <formula>-0.1</formula>
    </cfRule>
    <cfRule type="expression" dxfId="40" priority="2">
      <formula>AND(ISNUMBER(F6), F6&gt;=0.1)</formula>
    </cfRule>
  </conditionalFormatting>
  <conditionalFormatting sqref="F11:F79">
    <cfRule type="cellIs" dxfId="39" priority="5" stopIfTrue="1" operator="lessThanOrEqual">
      <formula>-0.1</formula>
    </cfRule>
    <cfRule type="expression" dxfId="38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4" ht="19.5" customHeight="1" x14ac:dyDescent="0.25">
      <c r="A1" s="78" t="str" cm="1">
        <f t="array" ref="A1">portfolio</f>
        <v>KPCA Investment, LLC</v>
      </c>
      <c r="B1" s="78"/>
      <c r="C1" s="78"/>
      <c r="D1" s="79" t="s">
        <v>22</v>
      </c>
      <c r="E1" s="79"/>
      <c r="F1" s="79"/>
      <c r="G1" s="77" t="s">
        <v>23</v>
      </c>
      <c r="H1" s="77"/>
      <c r="I1" s="77"/>
      <c r="J1" s="4"/>
      <c r="K1" s="4"/>
    </row>
    <row r="2" spans="1:14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5" customHeight="1" x14ac:dyDescent="0.2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5" customHeight="1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5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 x14ac:dyDescent="0.25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7" priority="11" stopIfTrue="1" operator="lessThanOrEqual">
      <formula>-0.1</formula>
    </cfRule>
    <cfRule type="expression" dxfId="36" priority="12">
      <formula>AND(ISNUMBER(F2), F2&gt;=0.1)</formula>
    </cfRule>
  </conditionalFormatting>
  <conditionalFormatting sqref="F4:F80 I4:I8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7" ht="19.5" customHeight="1" x14ac:dyDescent="0.25">
      <c r="A1" s="78" t="str" cm="1">
        <f t="array" ref="A1">portfolio</f>
        <v>KPCA Investment, LLC</v>
      </c>
      <c r="B1" s="78"/>
      <c r="C1" s="78"/>
      <c r="D1" s="79" t="s">
        <v>24</v>
      </c>
      <c r="E1" s="79"/>
      <c r="F1" s="79"/>
      <c r="G1" s="77" t="s">
        <v>25</v>
      </c>
      <c r="H1" s="77"/>
      <c r="I1" s="77"/>
      <c r="J1" s="4"/>
      <c r="K1" s="4"/>
    </row>
    <row r="2" spans="1:17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 x14ac:dyDescent="0.25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3" priority="7" stopIfTrue="1" operator="lessThanOrEqual">
      <formula>-0.1</formula>
    </cfRule>
    <cfRule type="expression" dxfId="32" priority="8">
      <formula>AND(ISNUMBER(F2), F2&gt;=0.1)</formula>
    </cfRule>
  </conditionalFormatting>
  <conditionalFormatting sqref="F4:F80 I4:I80">
    <cfRule type="cellIs" dxfId="31" priority="1" stopIfTrue="1" operator="lessThanOrEqual">
      <formula>-0.1</formula>
    </cfRule>
    <cfRule type="expression" dxfId="3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80" zoomScaleNormal="80" workbookViewId="0">
      <pane xSplit="2" ySplit="3" topLeftCell="D4" activePane="bottomRight" state="frozen"/>
      <selection pane="topRight" activeCell="J21" sqref="J21"/>
      <selection pane="bottomLeft" activeCell="J21" sqref="J21"/>
      <selection pane="bottomRight" activeCell="J10" sqref="J10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3" max="13" width="9.81640625" bestFit="1" customWidth="1"/>
  </cols>
  <sheetData>
    <row r="1" spans="1:14" ht="19.5" customHeight="1" x14ac:dyDescent="0.25">
      <c r="A1" s="78" t="str" cm="1">
        <f t="array" ref="A1">portfolio</f>
        <v>KPCA Investment, LLC</v>
      </c>
      <c r="B1" s="78"/>
      <c r="C1" s="78"/>
      <c r="D1" s="79" t="s">
        <v>26</v>
      </c>
      <c r="E1" s="79"/>
      <c r="F1" s="79"/>
      <c r="G1" s="77" t="s">
        <v>27</v>
      </c>
      <c r="H1" s="77"/>
      <c r="I1" s="77"/>
      <c r="J1" s="4"/>
      <c r="K1" s="4"/>
    </row>
    <row r="2" spans="1:14" ht="19.5" customHeight="1" x14ac:dyDescent="0.25">
      <c r="A2" s="80" t="s">
        <v>2</v>
      </c>
      <c r="B2" s="80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3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9" x14ac:dyDescent="0.2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5" x14ac:dyDescent="0.2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 x14ac:dyDescent="0.25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.5" x14ac:dyDescent="0.25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 x14ac:dyDescent="0.25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101.5" x14ac:dyDescent="0.2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 x14ac:dyDescent="0.25">
      <c r="A10" s="26" t="str">
        <v>Dublin - 3100 Dublin Blvd</v>
      </c>
      <c r="B10" s="27" t="str">
        <v>CA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9" priority="5" stopIfTrue="1" operator="lessThanOrEqual">
      <formula>-0.1</formula>
    </cfRule>
    <cfRule type="expression" dxfId="28" priority="6">
      <formula>AND(ISNUMBER(F2), F2&gt;=0.1)</formula>
    </cfRule>
  </conditionalFormatting>
  <conditionalFormatting sqref="F4:F80 I4:I80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70" zoomScaleNormal="70" workbookViewId="0">
      <pane xSplit="2" ySplit="3" topLeftCell="J10" activePane="bottomRight" state="frozen"/>
      <selection pane="topRight" activeCell="J21" sqref="J21"/>
      <selection pane="bottomLeft" activeCell="J21" sqref="J21"/>
      <selection pane="bottomRight" activeCell="J10" sqref="J10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4" ht="19.5" customHeight="1" x14ac:dyDescent="0.25">
      <c r="A1" s="78" t="str" cm="1">
        <f t="array" ref="A1">portfolio</f>
        <v>KPCA Investment, LLC</v>
      </c>
      <c r="B1" s="78"/>
      <c r="C1" s="78"/>
      <c r="D1" s="79" t="s">
        <v>42</v>
      </c>
      <c r="E1" s="79"/>
      <c r="F1" s="79"/>
      <c r="G1" s="77" t="s">
        <v>43</v>
      </c>
      <c r="H1" s="77"/>
      <c r="I1" s="77"/>
      <c r="J1" s="4"/>
      <c r="K1" s="4"/>
    </row>
    <row r="2" spans="1:14" ht="19.5" customHeight="1" x14ac:dyDescent="0.25">
      <c r="A2" s="80" t="s">
        <v>2</v>
      </c>
      <c r="B2" s="80"/>
      <c r="C2" s="5">
        <f>SUM(C4:C80)</f>
        <v>624624.67191951408</v>
      </c>
      <c r="D2" s="5">
        <f>SUM(D4:D80)</f>
        <v>660255.13</v>
      </c>
      <c r="E2" s="5">
        <f>C2-D2</f>
        <v>-35630.458080485929</v>
      </c>
      <c r="F2" s="6">
        <f>IFERROR(E2/D2, 0)</f>
        <v>-5.3964681926039607E-2</v>
      </c>
      <c r="G2" s="5">
        <f>SUM(G4:G80)</f>
        <v>673935.73</v>
      </c>
      <c r="H2" s="7">
        <f>C2-G2</f>
        <v>-49311.058080485906</v>
      </c>
      <c r="I2" s="6">
        <f>IFERROR(H2/G2, 0)</f>
        <v>-7.3168784329754863E-2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87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34717.2293524942</v>
      </c>
      <c r="D4" s="12">
        <v>30123.32</v>
      </c>
      <c r="E4" s="12">
        <f>IF(AND(ISNUMBER(C4),ISNUMBER(D4)), C4-D4, "")</f>
        <v>4593.9093524942</v>
      </c>
      <c r="F4" s="13">
        <f>IFERROR(E4/D4, "")</f>
        <v>0.15250342102046521</v>
      </c>
      <c r="G4" s="14">
        <v>45926</v>
      </c>
      <c r="H4" s="14">
        <f>IF(AND(ISNUMBER(C4),ISNUMBER(G4)), C4-G4, "")</f>
        <v>-11208.7706475058</v>
      </c>
      <c r="I4" s="15">
        <f>IFERROR(H4/G4, "")</f>
        <v>-0.2440615478706136</v>
      </c>
      <c r="J4" s="39" t="s">
        <v>44</v>
      </c>
      <c r="K4" s="72" t="s">
        <v>45</v>
      </c>
      <c r="L4" s="62" t="s">
        <v>46</v>
      </c>
      <c r="M4" s="69"/>
      <c r="N4" s="69"/>
    </row>
    <row r="5" spans="1:14" ht="87" x14ac:dyDescent="0.25">
      <c r="A5" s="28" t="str">
        <v>Murrieta - 28150 Keller Rd</v>
      </c>
      <c r="B5" s="29" t="str">
        <v>CA</v>
      </c>
      <c r="C5" s="11">
        <v>100090</v>
      </c>
      <c r="D5" s="16">
        <v>104378.3</v>
      </c>
      <c r="E5" s="16">
        <f t="shared" ref="E5:E10" si="0">IF(AND(ISNUMBER(C5),ISNUMBER(D5)), C5-D5, "")</f>
        <v>-4288.3000000000029</v>
      </c>
      <c r="F5" s="17">
        <f>IFERROR(E5/D5, "")</f>
        <v>-4.1084210032161887E-2</v>
      </c>
      <c r="G5" s="18">
        <v>118934.8</v>
      </c>
      <c r="H5" s="18">
        <f t="shared" ref="H5:H10" si="1">IF(AND(ISNUMBER(C5),ISNUMBER(G5)), C5-G5, "")</f>
        <v>-18844.800000000003</v>
      </c>
      <c r="I5" s="17">
        <f t="shared" ref="I5:I10" si="2">IFERROR(H5/G5, "")</f>
        <v>-0.15844647655690347</v>
      </c>
      <c r="J5" s="40" t="s">
        <v>47</v>
      </c>
      <c r="K5" s="52" t="s">
        <v>48</v>
      </c>
      <c r="L5" s="69"/>
      <c r="M5" s="69"/>
      <c r="N5" s="69"/>
    </row>
    <row r="6" spans="1:14" ht="47.25" customHeight="1" x14ac:dyDescent="0.25">
      <c r="A6" s="26" t="str">
        <v>La Habra - 601 E Imperial Way</v>
      </c>
      <c r="B6" s="27" t="str">
        <v>CA</v>
      </c>
      <c r="C6" s="22">
        <v>19128.619999999901</v>
      </c>
      <c r="D6" s="12">
        <v>16120.48</v>
      </c>
      <c r="E6" s="12">
        <f t="shared" si="0"/>
        <v>3008.1399999999012</v>
      </c>
      <c r="F6" s="13">
        <f t="shared" ref="F6:F10" si="3">IFERROR(E6/D6, "")</f>
        <v>0.18660362470595795</v>
      </c>
      <c r="G6" s="14">
        <v>23850.17</v>
      </c>
      <c r="H6" s="14">
        <f t="shared" si="1"/>
        <v>-4721.5500000000975</v>
      </c>
      <c r="I6" s="15">
        <f t="shared" si="2"/>
        <v>-0.19796714237257421</v>
      </c>
      <c r="J6" s="39" t="s">
        <v>49</v>
      </c>
      <c r="K6" s="72" t="s">
        <v>50</v>
      </c>
      <c r="L6" s="69"/>
      <c r="M6" s="69"/>
      <c r="N6" s="69"/>
    </row>
    <row r="7" spans="1:14" ht="15.5" x14ac:dyDescent="0.25">
      <c r="A7" s="28" t="str">
        <v>Kaiser - KP3 - SCA Skyport - CN7901 Site</v>
      </c>
      <c r="B7" s="29" t="str">
        <v>CA</v>
      </c>
      <c r="C7" s="11">
        <v>128682.05119949899</v>
      </c>
      <c r="D7" s="16">
        <v>133149.1</v>
      </c>
      <c r="E7" s="16">
        <f t="shared" si="0"/>
        <v>-4467.048800501012</v>
      </c>
      <c r="F7" s="17">
        <f t="shared" si="3"/>
        <v>-3.354922264214337E-2</v>
      </c>
      <c r="G7" s="18">
        <v>129050.2</v>
      </c>
      <c r="H7" s="18">
        <f t="shared" si="1"/>
        <v>-368.14880050100328</v>
      </c>
      <c r="I7" s="17">
        <f t="shared" si="2"/>
        <v>-2.8527565280875447E-3</v>
      </c>
      <c r="J7" s="40"/>
      <c r="K7" s="73"/>
      <c r="L7" s="69"/>
      <c r="M7" s="69"/>
      <c r="N7" s="69"/>
    </row>
    <row r="8" spans="1:14" ht="58" x14ac:dyDescent="0.25">
      <c r="A8" s="26" t="str">
        <v>Irwindale - 12761 Schabarum Ave</v>
      </c>
      <c r="B8" s="27" t="str">
        <v>CA</v>
      </c>
      <c r="C8" s="22">
        <v>27504.75</v>
      </c>
      <c r="D8" s="12">
        <v>21662.73</v>
      </c>
      <c r="E8" s="12">
        <f t="shared" si="0"/>
        <v>5842.02</v>
      </c>
      <c r="F8" s="13">
        <f t="shared" si="3"/>
        <v>0.26968069121481919</v>
      </c>
      <c r="G8" s="14">
        <v>32927.56</v>
      </c>
      <c r="H8" s="14">
        <f t="shared" si="1"/>
        <v>-5422.8099999999977</v>
      </c>
      <c r="I8" s="15">
        <f t="shared" si="2"/>
        <v>-0.16468909327019671</v>
      </c>
      <c r="J8" s="39" t="s">
        <v>51</v>
      </c>
      <c r="K8" s="70" t="s">
        <v>52</v>
      </c>
      <c r="L8" s="69"/>
      <c r="M8" s="69"/>
      <c r="N8" s="69"/>
    </row>
    <row r="9" spans="1:14" ht="15.5" x14ac:dyDescent="0.25">
      <c r="A9" s="28" t="str">
        <v>Santa Rosa - 2240 Mercury Way</v>
      </c>
      <c r="B9" s="29" t="str">
        <v>CA</v>
      </c>
      <c r="C9" s="11">
        <v>110658.021367521</v>
      </c>
      <c r="D9" s="16">
        <v>118241.5</v>
      </c>
      <c r="E9" s="16">
        <f t="shared" si="0"/>
        <v>-7583.4786324790039</v>
      </c>
      <c r="F9" s="17">
        <f t="shared" si="3"/>
        <v>-6.4135507689592947E-2</v>
      </c>
      <c r="G9" s="18">
        <v>110018</v>
      </c>
      <c r="H9" s="18">
        <f t="shared" si="1"/>
        <v>640.02136752099614</v>
      </c>
      <c r="I9" s="17">
        <f t="shared" si="2"/>
        <v>5.817424126242943E-3</v>
      </c>
      <c r="J9" s="40"/>
      <c r="K9" s="73"/>
      <c r="L9" s="69"/>
      <c r="M9" s="69"/>
      <c r="N9" s="69"/>
    </row>
    <row r="10" spans="1:14" ht="72.5" x14ac:dyDescent="0.25">
      <c r="A10" s="26" t="str">
        <v>Dublin - 3100 Dublin Blvd</v>
      </c>
      <c r="B10" s="27" t="str">
        <v>CA</v>
      </c>
      <c r="C10" s="22">
        <v>203844</v>
      </c>
      <c r="D10" s="12">
        <v>236579.7</v>
      </c>
      <c r="E10" s="12">
        <f t="shared" si="0"/>
        <v>-32735.700000000012</v>
      </c>
      <c r="F10" s="13">
        <f t="shared" si="3"/>
        <v>-0.13837070551699918</v>
      </c>
      <c r="G10" s="14">
        <v>213229</v>
      </c>
      <c r="H10" s="14">
        <f t="shared" si="1"/>
        <v>-9385</v>
      </c>
      <c r="I10" s="15">
        <f t="shared" si="2"/>
        <v>-4.4013712956492784E-2</v>
      </c>
      <c r="J10" s="39" t="s">
        <v>53</v>
      </c>
      <c r="K10" s="72" t="s">
        <v>54</v>
      </c>
      <c r="L10" s="62" t="s">
        <v>55</v>
      </c>
      <c r="M10" s="69"/>
      <c r="N10" s="69"/>
    </row>
    <row r="11" spans="1:14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F4:F80 I4:I80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hyperlinks>
    <hyperlink ref="K4" r:id="rId1" display="https://us3.assetplanner.com/service_request?ID=098881" xr:uid="{A4F010A6-3B40-40C6-B746-8D9AE3868AE0}"/>
    <hyperlink ref="L4" r:id="rId2" display="https://us3.assetplanner.com/service_request?ID=101671" xr:uid="{EE2CDAC7-6914-412A-9397-99EF711E9342}"/>
    <hyperlink ref="K6" r:id="rId3" display="https://us3.assetplanner.com/service_request?ID=101329" xr:uid="{2D878FCE-5F18-4AB6-844E-FF92A7EDCD4A}"/>
    <hyperlink ref="K10" r:id="rId4" display="https://us3.assetplanner.com/service_request?ID=100962" xr:uid="{49286BDE-70A3-42C8-9D7E-73A8D61E52E5}"/>
    <hyperlink ref="L10" r:id="rId5" display="https://us3.assetplanner.com/service_request?ID=100567" xr:uid="{F3D9F451-4E92-4F72-A956-BE785EC34CFC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9" sqref="A27:J29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2" ht="19.5" customHeight="1" x14ac:dyDescent="0.25">
      <c r="A1" s="78" t="str" cm="1">
        <f t="array" ref="A1">portfolio</f>
        <v>KPCA Investment, LLC</v>
      </c>
      <c r="B1" s="78"/>
      <c r="C1" s="78"/>
      <c r="D1" s="79" t="s">
        <v>56</v>
      </c>
      <c r="E1" s="79"/>
      <c r="F1" s="79"/>
      <c r="G1" s="77" t="s">
        <v>57</v>
      </c>
      <c r="H1" s="77"/>
      <c r="I1" s="77"/>
      <c r="J1" s="4"/>
      <c r="K1" s="4"/>
    </row>
    <row r="2" spans="1:12" ht="19.5" customHeight="1" x14ac:dyDescent="0.25">
      <c r="A2" s="80" t="s">
        <v>2</v>
      </c>
      <c r="B2" s="80"/>
      <c r="C2" s="5">
        <f>SUM(C4:C80)</f>
        <v>648401.1268871933</v>
      </c>
      <c r="D2" s="5">
        <f>SUM(D4:D80)</f>
        <v>651929.14500000002</v>
      </c>
      <c r="E2" s="5">
        <f>C2-D2</f>
        <v>-3528.0181128067197</v>
      </c>
      <c r="F2" s="6">
        <f>IFERROR(E2/D2, 0)</f>
        <v>-5.4116588280567202E-3</v>
      </c>
      <c r="G2" s="5">
        <f>SUM(G4:G80)</f>
        <v>689585.11899999995</v>
      </c>
      <c r="H2" s="7">
        <f>C2-G2</f>
        <v>-41183.992112806649</v>
      </c>
      <c r="I2" s="6">
        <f>IFERROR(H2/G2, 0)</f>
        <v>-5.972285505889325E-2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1.5" x14ac:dyDescent="0.2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39240.944690265198</v>
      </c>
      <c r="D4" s="12">
        <v>31865.03</v>
      </c>
      <c r="E4" s="12">
        <f>IF(AND(ISNUMBER(C4),ISNUMBER(D4)), C4-D4, "")</f>
        <v>7375.9146902651992</v>
      </c>
      <c r="F4" s="13">
        <f>IFERROR(E4/D4, "")</f>
        <v>0.23147364651045987</v>
      </c>
      <c r="G4" s="14">
        <v>46451</v>
      </c>
      <c r="H4" s="14">
        <f>IF(AND(ISNUMBER(C4),ISNUMBER(G4)), C4-G4, "")</f>
        <v>-7210.055309734802</v>
      </c>
      <c r="I4" s="15">
        <f>IFERROR(H4/G4, "")</f>
        <v>-0.15521851649555019</v>
      </c>
      <c r="J4" s="39" t="s">
        <v>58</v>
      </c>
      <c r="K4" s="59" t="s">
        <v>59</v>
      </c>
      <c r="L4" s="62" t="s">
        <v>60</v>
      </c>
    </row>
    <row r="5" spans="1:12" ht="15.5" x14ac:dyDescent="0.25">
      <c r="A5" s="28" t="str">
        <v>Murrieta - 28150 Keller Rd</v>
      </c>
      <c r="B5" s="29" t="str">
        <v>CA</v>
      </c>
      <c r="C5" s="11">
        <v>114430</v>
      </c>
      <c r="D5" s="16">
        <v>107363</v>
      </c>
      <c r="E5" s="16">
        <f t="shared" ref="E5:E10" si="0">IF(AND(ISNUMBER(C5),ISNUMBER(D5)), C5-D5, "")</f>
        <v>7067</v>
      </c>
      <c r="F5" s="17">
        <f>IFERROR(E5/D5, "")</f>
        <v>6.5823421476672597E-2</v>
      </c>
      <c r="G5" s="18">
        <v>119932.1</v>
      </c>
      <c r="H5" s="18">
        <f t="shared" ref="H5:H10" si="1">IF(AND(ISNUMBER(C5),ISNUMBER(G5)), C5-G5, "")</f>
        <v>-5502.1000000000058</v>
      </c>
      <c r="I5" s="17">
        <f t="shared" ref="I5:I10" si="2">IFERROR(H5/G5, "")</f>
        <v>-4.5876791951445908E-2</v>
      </c>
      <c r="J5" s="40"/>
      <c r="K5" s="40"/>
    </row>
    <row r="6" spans="1:12" ht="15.5" x14ac:dyDescent="0.25">
      <c r="A6" s="26" t="str">
        <v>La Habra - 601 E Imperial Way</v>
      </c>
      <c r="B6" s="27" t="str">
        <v>CA</v>
      </c>
      <c r="C6" s="22">
        <v>23520.130000000099</v>
      </c>
      <c r="D6" s="12">
        <v>17005.169999999998</v>
      </c>
      <c r="E6" s="12">
        <f t="shared" si="0"/>
        <v>6514.960000000101</v>
      </c>
      <c r="F6" s="13">
        <f t="shared" ref="F6:F10" si="3">IFERROR(E6/D6, "")</f>
        <v>0.38311642870962781</v>
      </c>
      <c r="G6" s="14">
        <v>22551.32</v>
      </c>
      <c r="H6" s="14">
        <f t="shared" si="1"/>
        <v>968.81000000009954</v>
      </c>
      <c r="I6" s="15">
        <f t="shared" si="2"/>
        <v>4.2960234700234821E-2</v>
      </c>
      <c r="J6" s="39" t="s">
        <v>61</v>
      </c>
      <c r="K6" s="59" t="s">
        <v>62</v>
      </c>
    </row>
    <row r="7" spans="1:12" ht="15.5" x14ac:dyDescent="0.25">
      <c r="A7" s="28" t="str">
        <v>Kaiser - KP3 - SCA Skyport - CN7901 Site</v>
      </c>
      <c r="B7" s="29" t="str">
        <v>CA</v>
      </c>
      <c r="C7" s="11">
        <v>130530.038</v>
      </c>
      <c r="D7" s="16">
        <v>128905.29</v>
      </c>
      <c r="E7" s="16">
        <f t="shared" si="0"/>
        <v>1624.7480000000069</v>
      </c>
      <c r="F7" s="17">
        <f t="shared" si="3"/>
        <v>1.2604199563881412E-2</v>
      </c>
      <c r="G7" s="18">
        <v>133450.08900000001</v>
      </c>
      <c r="H7" s="18">
        <f t="shared" si="1"/>
        <v>-2920.0510000000068</v>
      </c>
      <c r="I7" s="17">
        <f t="shared" si="2"/>
        <v>-2.1881221825187442E-2</v>
      </c>
      <c r="J7" s="40"/>
      <c r="K7" s="41"/>
    </row>
    <row r="8" spans="1:12" ht="35.15" customHeight="1" x14ac:dyDescent="0.25">
      <c r="A8" s="26" t="str">
        <v>Irwindale - 12761 Schabarum Ave</v>
      </c>
      <c r="B8" s="27" t="str">
        <v>CA</v>
      </c>
      <c r="C8" s="22">
        <v>30614.5</v>
      </c>
      <c r="D8" s="12">
        <v>23907.599999999999</v>
      </c>
      <c r="E8" s="12">
        <f t="shared" si="0"/>
        <v>6706.9000000000015</v>
      </c>
      <c r="F8" s="13">
        <f t="shared" si="3"/>
        <v>0.28053422342686013</v>
      </c>
      <c r="G8" s="14">
        <v>32560.11</v>
      </c>
      <c r="H8" s="14">
        <f t="shared" si="1"/>
        <v>-1945.6100000000006</v>
      </c>
      <c r="I8" s="15">
        <f t="shared" si="2"/>
        <v>-5.9754405006617009E-2</v>
      </c>
      <c r="J8" s="39" t="s">
        <v>63</v>
      </c>
      <c r="K8" s="59" t="s">
        <v>64</v>
      </c>
    </row>
    <row r="9" spans="1:12" ht="15.5" x14ac:dyDescent="0.25">
      <c r="A9" s="28" t="str">
        <v>Santa Rosa - 2240 Mercury Way</v>
      </c>
      <c r="B9" s="29" t="str">
        <v>CA</v>
      </c>
      <c r="C9" s="11">
        <v>105453.01419692799</v>
      </c>
      <c r="D9" s="16">
        <v>111066.5</v>
      </c>
      <c r="E9" s="16">
        <f t="shared" si="0"/>
        <v>-5613.4858030720061</v>
      </c>
      <c r="F9" s="17">
        <f t="shared" si="3"/>
        <v>-5.0541664706027528E-2</v>
      </c>
      <c r="G9" s="18">
        <v>115486</v>
      </c>
      <c r="H9" s="18">
        <f t="shared" si="1"/>
        <v>-10032.985803072006</v>
      </c>
      <c r="I9" s="17">
        <f t="shared" si="2"/>
        <v>-8.6876208398178181E-2</v>
      </c>
      <c r="J9" s="40"/>
      <c r="K9" s="41"/>
    </row>
    <row r="10" spans="1:12" ht="66.75" customHeight="1" x14ac:dyDescent="0.25">
      <c r="A10" s="26" t="str">
        <v>Dublin - 3100 Dublin Blvd</v>
      </c>
      <c r="B10" s="27" t="str">
        <v>CA</v>
      </c>
      <c r="C10" s="22">
        <v>204612.5</v>
      </c>
      <c r="D10" s="12">
        <v>231816.55499999999</v>
      </c>
      <c r="E10" s="12">
        <f t="shared" si="0"/>
        <v>-27204.054999999993</v>
      </c>
      <c r="F10" s="13">
        <f t="shared" si="3"/>
        <v>-0.11735164902265066</v>
      </c>
      <c r="G10" s="14">
        <v>219154.5</v>
      </c>
      <c r="H10" s="14">
        <f t="shared" si="1"/>
        <v>-14542</v>
      </c>
      <c r="I10" s="15">
        <f t="shared" si="2"/>
        <v>-6.6355014384828964E-2</v>
      </c>
      <c r="J10" s="39" t="s">
        <v>65</v>
      </c>
      <c r="K10" s="59" t="s">
        <v>66</v>
      </c>
    </row>
    <row r="11" spans="1:12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1" priority="5" stopIfTrue="1" operator="lessThanOrEqual">
      <formula>-0.1</formula>
    </cfRule>
    <cfRule type="expression" dxfId="20" priority="6">
      <formula>AND(ISNUMBER(F2), F2&gt;=0.1)</formula>
    </cfRule>
  </conditionalFormatting>
  <conditionalFormatting sqref="F4:F80 I4:I80">
    <cfRule type="cellIs" dxfId="19" priority="1" stopIfTrue="1" operator="lessThanOrEqual">
      <formula>-0.1</formula>
    </cfRule>
    <cfRule type="expression" dxfId="18" priority="2">
      <formula>AND(ISNUMBER(F4), F4&gt;=0.1)</formula>
    </cfRule>
  </conditionalFormatting>
  <hyperlinks>
    <hyperlink ref="K4" r:id="rId1" display="https://us3.assetplanner.com/service_request?ID=098881" xr:uid="{BCFC08C6-4453-455B-9334-435D44E5E50C}"/>
    <hyperlink ref="L4" r:id="rId2" display="https://us3.assetplanner.com/service_request?ID=103049" xr:uid="{F3DABFE9-80CE-4554-8947-DFA55671EE41}"/>
    <hyperlink ref="K6" r:id="rId3" display="https://us3.assetplanner.com/service_request?ID=101329" xr:uid="{44A68645-BF34-4F88-A662-C12ED67E46D9}"/>
    <hyperlink ref="K8" r:id="rId4" display="https://us3.assetplanner.com/service_request?ID=103317" xr:uid="{D7788FD0-75D6-491C-8AAC-DAA7C1D5AF6E}"/>
    <hyperlink ref="K10" r:id="rId5" display="https://us3.assetplanner.com/service_request?ID=100567" xr:uid="{89555318-5BD0-4F03-ADAA-07E912C2ED4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10" sqref="J10"/>
    </sheetView>
  </sheetViews>
  <sheetFormatPr defaultRowHeight="14" x14ac:dyDescent="0.3"/>
  <cols>
    <col min="1" max="1" width="43" customWidth="1"/>
    <col min="2" max="2" width="8.453125" style="32" customWidth="1"/>
    <col min="3" max="3" width="17.26953125" customWidth="1"/>
    <col min="4" max="4" width="16.7265625" customWidth="1"/>
    <col min="5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6.54296875" customWidth="1"/>
  </cols>
  <sheetData>
    <row r="1" spans="1:14" ht="19.5" customHeight="1" x14ac:dyDescent="0.25">
      <c r="A1" s="78" t="str" cm="1">
        <f t="array" ref="A1">portfolio</f>
        <v>KPCA Investment, LLC</v>
      </c>
      <c r="B1" s="78"/>
      <c r="C1" s="78"/>
      <c r="D1" s="79" t="s">
        <v>67</v>
      </c>
      <c r="E1" s="79"/>
      <c r="F1" s="79"/>
      <c r="G1" s="77" t="s">
        <v>68</v>
      </c>
      <c r="H1" s="77"/>
      <c r="I1" s="77"/>
      <c r="J1" s="4"/>
      <c r="K1" s="4"/>
    </row>
    <row r="2" spans="1:14" ht="19.5" customHeight="1" x14ac:dyDescent="0.25">
      <c r="A2" s="80" t="s">
        <v>2</v>
      </c>
      <c r="B2" s="80"/>
      <c r="C2" s="5">
        <f>SUM(C4:C80)</f>
        <v>623987.73699999996</v>
      </c>
      <c r="D2" s="5">
        <f>SUM(D4:D80)</f>
        <v>663153.10899999994</v>
      </c>
      <c r="E2" s="5">
        <f>C2-D2</f>
        <v>-39165.371999999974</v>
      </c>
      <c r="F2" s="6">
        <f>IFERROR(E2/D2, 0)</f>
        <v>-5.905932049245656E-2</v>
      </c>
      <c r="G2" s="5">
        <f>SUM(G4:G80)</f>
        <v>718627</v>
      </c>
      <c r="H2" s="7">
        <f>C2-G2</f>
        <v>-94639.263000000035</v>
      </c>
      <c r="I2" s="6">
        <f>IFERROR(H2/G2, 0)</f>
        <v>-0.13169455503341795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72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38033.493999999999</v>
      </c>
      <c r="D4" s="12">
        <v>34071.269999999997</v>
      </c>
      <c r="E4" s="12">
        <f t="shared" ref="E4:E7" si="0">IF(AND(ISNUMBER(C4),ISNUMBER(D4)), C4-D4, "")</f>
        <v>3962.224000000002</v>
      </c>
      <c r="F4" s="13">
        <f>IFERROR(E4/D4, "")</f>
        <v>0.11629223096174585</v>
      </c>
      <c r="G4" s="14">
        <v>48864</v>
      </c>
      <c r="H4" s="14">
        <f>IF(AND(ISNUMBER(C4),ISNUMBER(G4)), C4-G4, "")</f>
        <v>-10830.506000000001</v>
      </c>
      <c r="I4" s="15">
        <f>IFERROR(H4/G4, "")</f>
        <v>-0.2216459151931893</v>
      </c>
      <c r="J4" s="39" t="s">
        <v>69</v>
      </c>
      <c r="K4" s="59" t="s">
        <v>70</v>
      </c>
      <c r="L4" s="62" t="s">
        <v>71</v>
      </c>
      <c r="M4" s="69"/>
      <c r="N4" s="69"/>
    </row>
    <row r="5" spans="1:14" ht="15.5" x14ac:dyDescent="0.25">
      <c r="A5" s="28" t="str">
        <v>Murrieta - 28150 Keller Rd</v>
      </c>
      <c r="B5" s="29" t="str">
        <v>CA</v>
      </c>
      <c r="C5" s="11">
        <v>115259</v>
      </c>
      <c r="D5" s="16">
        <v>114481.1</v>
      </c>
      <c r="E5" s="16">
        <f t="shared" si="0"/>
        <v>777.89999999999418</v>
      </c>
      <c r="F5" s="17">
        <f>IFERROR(E5/D5, "")</f>
        <v>6.7950080843038208E-3</v>
      </c>
      <c r="G5" s="18">
        <v>126237</v>
      </c>
      <c r="H5" s="18">
        <f t="shared" ref="H5:H6" si="1">IF(AND(ISNUMBER(C5),ISNUMBER(G5)), C5-G5, "")</f>
        <v>-10978</v>
      </c>
      <c r="I5" s="17">
        <f t="shared" ref="I5:I6" si="2">IFERROR(H5/G5, "")</f>
        <v>-8.6963410093712626E-2</v>
      </c>
      <c r="J5" s="40"/>
      <c r="K5" s="40"/>
      <c r="L5" s="69"/>
      <c r="M5" s="69"/>
      <c r="N5" s="69"/>
    </row>
    <row r="6" spans="1:14" ht="15.5" x14ac:dyDescent="0.25">
      <c r="A6" s="26" t="str">
        <v>La Habra - 601 E Imperial Way</v>
      </c>
      <c r="B6" s="27" t="str">
        <v>CA</v>
      </c>
      <c r="C6" s="22">
        <v>24207.37</v>
      </c>
      <c r="D6" s="12">
        <v>18656.803</v>
      </c>
      <c r="E6" s="12">
        <f t="shared" si="0"/>
        <v>5550.5669999999991</v>
      </c>
      <c r="F6" s="13">
        <f t="shared" ref="F6:F10" si="3">IFERROR(E6/D6, "")</f>
        <v>0.29750901052018391</v>
      </c>
      <c r="G6" s="14">
        <v>25624</v>
      </c>
      <c r="H6" s="14">
        <f t="shared" si="1"/>
        <v>-1416.630000000001</v>
      </c>
      <c r="I6" s="15">
        <f t="shared" si="2"/>
        <v>-5.5285279425538597E-2</v>
      </c>
      <c r="J6" s="39"/>
      <c r="K6" s="39"/>
      <c r="L6" s="69"/>
      <c r="M6" s="69"/>
      <c r="N6" s="69"/>
    </row>
    <row r="7" spans="1:14" ht="29" x14ac:dyDescent="0.25">
      <c r="A7" s="28" t="str">
        <v>Kaiser - KP3 - SCA Skyport - CN7901 Site</v>
      </c>
      <c r="B7" s="29" t="str">
        <v>CA</v>
      </c>
      <c r="C7" s="11">
        <v>123422.003</v>
      </c>
      <c r="D7" s="16">
        <v>129061.81</v>
      </c>
      <c r="E7" s="16">
        <f t="shared" si="0"/>
        <v>-5639.8070000000007</v>
      </c>
      <c r="F7" s="17">
        <f t="shared" si="3"/>
        <v>-4.369849609268614E-2</v>
      </c>
      <c r="G7" s="18">
        <v>141665</v>
      </c>
      <c r="H7" s="18">
        <f t="shared" ref="H7:H10" si="4">IF(AND(ISNUMBER(C7),ISNUMBER(G7)), C7-G7, "")</f>
        <v>-18242.997000000003</v>
      </c>
      <c r="I7" s="17">
        <f t="shared" ref="I7:I10" si="5">IFERROR(H7/G7, "")</f>
        <v>-0.1287756114777821</v>
      </c>
      <c r="J7" s="40" t="s">
        <v>72</v>
      </c>
      <c r="K7" s="75" t="s">
        <v>73</v>
      </c>
      <c r="L7" s="62" t="s">
        <v>74</v>
      </c>
      <c r="M7" s="69"/>
      <c r="N7" s="69"/>
    </row>
    <row r="8" spans="1:14" ht="15.5" x14ac:dyDescent="0.25">
      <c r="A8" s="26" t="str">
        <v>Irwindale - 12761 Schabarum Ave</v>
      </c>
      <c r="B8" s="27" t="str">
        <v>CA</v>
      </c>
      <c r="C8" s="22">
        <v>31536.37</v>
      </c>
      <c r="D8" s="12">
        <v>25932.523000000001</v>
      </c>
      <c r="E8" s="12">
        <f t="shared" ref="E8:E10" si="6">IF(AND(ISNUMBER(C8),ISNUMBER(D8)), C8-D8, "")</f>
        <v>5603.8469999999979</v>
      </c>
      <c r="F8" s="13">
        <f t="shared" si="3"/>
        <v>0.2160933974684992</v>
      </c>
      <c r="G8" s="14">
        <v>37219</v>
      </c>
      <c r="H8" s="14">
        <f t="shared" si="4"/>
        <v>-5682.630000000001</v>
      </c>
      <c r="I8" s="15">
        <f t="shared" si="5"/>
        <v>-0.15268088879335825</v>
      </c>
      <c r="J8" s="39" t="s">
        <v>75</v>
      </c>
      <c r="K8" s="59" t="s">
        <v>76</v>
      </c>
      <c r="L8" s="69"/>
      <c r="M8" s="69"/>
      <c r="N8" s="69"/>
    </row>
    <row r="9" spans="1:14" ht="15.5" x14ac:dyDescent="0.25">
      <c r="A9" s="28" t="str">
        <v>Santa Rosa - 2240 Mercury Way</v>
      </c>
      <c r="B9" s="29" t="str">
        <v>CA</v>
      </c>
      <c r="C9" s="11">
        <v>97975.5</v>
      </c>
      <c r="D9" s="16">
        <v>110139.48</v>
      </c>
      <c r="E9" s="16">
        <f t="shared" si="6"/>
        <v>-12163.979999999996</v>
      </c>
      <c r="F9" s="17">
        <f t="shared" si="3"/>
        <v>-0.11044159641937656</v>
      </c>
      <c r="G9" s="18">
        <v>117314</v>
      </c>
      <c r="H9" s="18">
        <f t="shared" si="4"/>
        <v>-19338.5</v>
      </c>
      <c r="I9" s="17">
        <f t="shared" si="5"/>
        <v>-0.16484392314642754</v>
      </c>
      <c r="J9" s="40"/>
      <c r="K9" s="41"/>
      <c r="L9" s="69"/>
      <c r="M9" s="69"/>
      <c r="N9" s="69"/>
    </row>
    <row r="10" spans="1:14" ht="60.75" customHeight="1" x14ac:dyDescent="0.25">
      <c r="A10" s="26" t="str">
        <v>Dublin - 3100 Dublin Blvd</v>
      </c>
      <c r="B10" s="27" t="str">
        <v>CA</v>
      </c>
      <c r="C10" s="22">
        <v>193554</v>
      </c>
      <c r="D10" s="12">
        <v>230810.12299999999</v>
      </c>
      <c r="E10" s="12">
        <f t="shared" si="6"/>
        <v>-37256.122999999992</v>
      </c>
      <c r="F10" s="13">
        <f t="shared" si="3"/>
        <v>-0.16141459705387357</v>
      </c>
      <c r="G10" s="14">
        <v>221704</v>
      </c>
      <c r="H10" s="14">
        <f t="shared" si="4"/>
        <v>-28150</v>
      </c>
      <c r="I10" s="15">
        <f t="shared" si="5"/>
        <v>-0.12697109659726483</v>
      </c>
      <c r="J10" s="39" t="s">
        <v>77</v>
      </c>
      <c r="K10" s="59" t="s">
        <v>78</v>
      </c>
      <c r="L10" s="69"/>
      <c r="M10" s="69"/>
      <c r="N10" s="69"/>
    </row>
    <row r="11" spans="1:14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7" priority="5" stopIfTrue="1" operator="lessThanOrEqual">
      <formula>-0.1</formula>
    </cfRule>
    <cfRule type="expression" dxfId="16" priority="6">
      <formula>AND(ISNUMBER(F2), F2&gt;=0.1)</formula>
    </cfRule>
  </conditionalFormatting>
  <conditionalFormatting sqref="F4:F80 I4:I80">
    <cfRule type="cellIs" dxfId="15" priority="1" stopIfTrue="1" operator="lessThanOrEqual">
      <formula>-0.1</formula>
    </cfRule>
    <cfRule type="expression" dxfId="14" priority="2">
      <formula>AND(ISNUMBER(F4), F4&gt;=0.1)</formula>
    </cfRule>
  </conditionalFormatting>
  <hyperlinks>
    <hyperlink ref="K4" r:id="rId1" display="https://us3.assetplanner.com/service_request?ID=103049" xr:uid="{EC52D185-A0FE-41CB-ADB9-D69FCEB98F31}"/>
    <hyperlink ref="L4" r:id="rId2" display="https://us3.assetplanner.com/service_request?ID=104160" xr:uid="{B99E32DB-222C-4C2D-8DE8-0DEB52096D41}"/>
    <hyperlink ref="K7" r:id="rId3" display="https://us3.assetplanner.com/service_request?ID=103140" xr:uid="{9484737B-5141-4C10-8B3F-199F30219233}"/>
    <hyperlink ref="L7" r:id="rId4" display="https://us3.assetplanner.com/service_request?ID=104320" xr:uid="{2487084D-4E28-41BB-9C5D-0B4237EEFF63}"/>
    <hyperlink ref="K8" r:id="rId5" display="https://us3.assetplanner.com/service_request?ID=102034" xr:uid="{75A9CA73-52B9-4926-815E-EBDBDADE843D}"/>
    <hyperlink ref="K10" r:id="rId6" display="https://us3.assetplanner.com/service_request?ID=100567" xr:uid="{B3D13C27-3F63-4AD9-893B-67BA4E514D4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B10" sqref="B10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4" ht="19.5" customHeight="1" x14ac:dyDescent="0.25">
      <c r="A1" s="78" t="str" cm="1">
        <f t="array" ref="A1">portfolio</f>
        <v>KPCA Investment, LLC</v>
      </c>
      <c r="B1" s="78"/>
      <c r="C1" s="78"/>
      <c r="D1" s="79" t="s">
        <v>79</v>
      </c>
      <c r="E1" s="79"/>
      <c r="F1" s="79"/>
      <c r="G1" s="77" t="s">
        <v>80</v>
      </c>
      <c r="H1" s="77"/>
      <c r="I1" s="77"/>
      <c r="J1" s="4"/>
      <c r="K1" s="4"/>
    </row>
    <row r="2" spans="1:14" ht="19.5" customHeight="1" x14ac:dyDescent="0.25">
      <c r="A2" s="80" t="s">
        <v>2</v>
      </c>
      <c r="B2" s="80"/>
      <c r="C2" s="5">
        <f>SUM(C4:C80)</f>
        <v>548563.97342513804</v>
      </c>
      <c r="D2" s="5">
        <f>SUM(D4:D80)</f>
        <v>603181.84</v>
      </c>
      <c r="E2" s="5">
        <f>C2-D2</f>
        <v>-54617.866574861924</v>
      </c>
      <c r="F2" s="6">
        <f>IFERROR(E2/D2, 0)</f>
        <v>-9.0549587127593104E-2</v>
      </c>
      <c r="G2" s="5">
        <f>SUM(G4:G80)</f>
        <v>654651.87</v>
      </c>
      <c r="H2" s="7">
        <f>C2-G2</f>
        <v>-106087.89657486195</v>
      </c>
      <c r="I2" s="6">
        <f>IFERROR(H2/G2, 0)</f>
        <v>-0.16205238453662701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72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31906.6544807223</v>
      </c>
      <c r="D4" s="12">
        <v>30044.7</v>
      </c>
      <c r="E4" s="12">
        <f>IF(AND(ISNUMBER(C4),ISNUMBER(D4)), C4-D4, "")</f>
        <v>1861.9544807222992</v>
      </c>
      <c r="F4" s="13">
        <f>IFERROR(E4/D4, "")</f>
        <v>6.1972809870702625E-2</v>
      </c>
      <c r="G4" s="14">
        <v>45234</v>
      </c>
      <c r="H4" s="14">
        <f>IF(AND(ISNUMBER(C4),ISNUMBER(G4)), C4-G4, "")</f>
        <v>-13327.3455192777</v>
      </c>
      <c r="I4" s="15">
        <f>IFERROR(H4/G4, "")</f>
        <v>-0.29463115177250959</v>
      </c>
      <c r="J4" s="39" t="s">
        <v>81</v>
      </c>
      <c r="K4" s="59" t="s">
        <v>82</v>
      </c>
      <c r="L4" s="62" t="s">
        <v>71</v>
      </c>
      <c r="M4" s="69"/>
      <c r="N4" s="69"/>
    </row>
    <row r="5" spans="1:14" ht="15.5" x14ac:dyDescent="0.25">
      <c r="A5" s="28" t="str">
        <v>Murrieta - 28150 Keller Rd</v>
      </c>
      <c r="B5" s="29" t="str">
        <v>CA</v>
      </c>
      <c r="C5" s="11">
        <v>95153</v>
      </c>
      <c r="D5" s="16">
        <v>99725.96</v>
      </c>
      <c r="E5" s="16">
        <f t="shared" ref="E5:E10" si="0">IF(AND(ISNUMBER(C5),ISNUMBER(D5)), C5-D5, "")</f>
        <v>-4572.9600000000064</v>
      </c>
      <c r="F5" s="17">
        <f>IFERROR(E5/D5, "")</f>
        <v>-4.5855261759325319E-2</v>
      </c>
      <c r="G5" s="18">
        <v>114410.4</v>
      </c>
      <c r="H5" s="18">
        <f t="shared" ref="H5:H10" si="1">IF(AND(ISNUMBER(C5),ISNUMBER(G5)), C5-G5, "")</f>
        <v>-19257.399999999994</v>
      </c>
      <c r="I5" s="17">
        <f t="shared" ref="I5:I10" si="2">IFERROR(H5/G5, "")</f>
        <v>-0.16831861439169862</v>
      </c>
      <c r="J5" s="40" t="s">
        <v>83</v>
      </c>
      <c r="K5" s="40"/>
      <c r="L5" s="76"/>
      <c r="M5" s="69"/>
      <c r="N5" s="69"/>
    </row>
    <row r="6" spans="1:14" ht="15.5" x14ac:dyDescent="0.25">
      <c r="A6" s="26" t="str">
        <v>La Habra - 601 E Imperial Way</v>
      </c>
      <c r="B6" s="27" t="str">
        <v>CA</v>
      </c>
      <c r="C6" s="22">
        <v>21199.630000000099</v>
      </c>
      <c r="D6" s="12">
        <v>16694.73</v>
      </c>
      <c r="E6" s="12">
        <f t="shared" si="0"/>
        <v>4504.9000000000997</v>
      </c>
      <c r="F6" s="13">
        <f t="shared" ref="F6:F10" si="3">IFERROR(E6/D6, "")</f>
        <v>0.26983964400742627</v>
      </c>
      <c r="G6" s="14">
        <v>26525.81</v>
      </c>
      <c r="H6" s="14">
        <f t="shared" si="1"/>
        <v>-5326.1799999999021</v>
      </c>
      <c r="I6" s="15">
        <f t="shared" si="2"/>
        <v>-0.200792360346391</v>
      </c>
      <c r="J6" s="39" t="s">
        <v>83</v>
      </c>
      <c r="K6" s="39"/>
      <c r="L6" s="69"/>
      <c r="M6" s="69"/>
      <c r="N6" s="69"/>
    </row>
    <row r="7" spans="1:14" ht="29" x14ac:dyDescent="0.25">
      <c r="A7" s="28" t="str">
        <v>Kaiser - KP3 - SCA Skyport - CN7901 Site</v>
      </c>
      <c r="B7" s="29" t="str">
        <v>CA</v>
      </c>
      <c r="C7" s="11">
        <v>106893.04376697</v>
      </c>
      <c r="D7" s="16">
        <v>114393.8</v>
      </c>
      <c r="E7" s="16">
        <f t="shared" si="0"/>
        <v>-7500.7562330299988</v>
      </c>
      <c r="F7" s="17">
        <f t="shared" si="3"/>
        <v>-6.5569604585475769E-2</v>
      </c>
      <c r="G7" s="18">
        <v>123121.9</v>
      </c>
      <c r="H7" s="18">
        <f t="shared" si="1"/>
        <v>-16228.85623302999</v>
      </c>
      <c r="I7" s="17">
        <f t="shared" si="2"/>
        <v>-0.13181128810577153</v>
      </c>
      <c r="J7" s="40" t="s">
        <v>72</v>
      </c>
      <c r="K7" s="75" t="s">
        <v>84</v>
      </c>
      <c r="L7" s="62" t="s">
        <v>74</v>
      </c>
      <c r="M7" s="69"/>
      <c r="N7" s="69"/>
    </row>
    <row r="8" spans="1:14" ht="43.5" x14ac:dyDescent="0.25">
      <c r="A8" s="26" t="str">
        <v>Irwindale - 12761 Schabarum Ave</v>
      </c>
      <c r="B8" s="27" t="str">
        <v>CA</v>
      </c>
      <c r="C8" s="22">
        <v>25933.630000000099</v>
      </c>
      <c r="D8" s="12">
        <v>22533.55</v>
      </c>
      <c r="E8" s="12">
        <f t="shared" si="0"/>
        <v>3400.0800000001</v>
      </c>
      <c r="F8" s="13">
        <f t="shared" si="3"/>
        <v>0.15088967339811526</v>
      </c>
      <c r="G8" s="14">
        <v>33846.76</v>
      </c>
      <c r="H8" s="14">
        <f t="shared" si="1"/>
        <v>-7913.1299999999028</v>
      </c>
      <c r="I8" s="15">
        <f t="shared" si="2"/>
        <v>-0.23379283571012122</v>
      </c>
      <c r="J8" s="39" t="s">
        <v>85</v>
      </c>
      <c r="K8" s="59" t="s">
        <v>86</v>
      </c>
      <c r="L8" s="62" t="s">
        <v>87</v>
      </c>
      <c r="M8" s="69"/>
      <c r="N8" s="69"/>
    </row>
    <row r="9" spans="1:14" ht="15.5" x14ac:dyDescent="0.25">
      <c r="A9" s="28" t="str">
        <v>Santa Rosa - 2240 Mercury Way</v>
      </c>
      <c r="B9" s="29" t="str">
        <v>CA</v>
      </c>
      <c r="C9" s="11">
        <v>92708.015177445501</v>
      </c>
      <c r="D9" s="16">
        <v>107429.3</v>
      </c>
      <c r="E9" s="16">
        <f t="shared" si="0"/>
        <v>-14721.284822554502</v>
      </c>
      <c r="F9" s="17">
        <f t="shared" si="3"/>
        <v>-0.13703230703871758</v>
      </c>
      <c r="G9" s="18">
        <v>107538</v>
      </c>
      <c r="H9" s="18">
        <f t="shared" si="1"/>
        <v>-14829.984822554499</v>
      </c>
      <c r="I9" s="17">
        <f t="shared" si="2"/>
        <v>-0.13790459951416709</v>
      </c>
      <c r="J9" s="40"/>
      <c r="K9" s="41"/>
      <c r="L9" s="69"/>
      <c r="M9" s="69"/>
      <c r="N9" s="69"/>
    </row>
    <row r="10" spans="1:14" ht="15.5" x14ac:dyDescent="0.25">
      <c r="A10" s="26" t="str">
        <v>Dublin - 3100 Dublin Blvd</v>
      </c>
      <c r="B10" s="27" t="str">
        <v>CA</v>
      </c>
      <c r="C10" s="22">
        <v>174770</v>
      </c>
      <c r="D10" s="12">
        <v>212359.8</v>
      </c>
      <c r="E10" s="12">
        <f t="shared" si="0"/>
        <v>-37589.799999999988</v>
      </c>
      <c r="F10" s="13">
        <f t="shared" si="3"/>
        <v>-0.17700996139570668</v>
      </c>
      <c r="G10" s="14">
        <v>203975</v>
      </c>
      <c r="H10" s="14">
        <f t="shared" si="1"/>
        <v>-29205</v>
      </c>
      <c r="I10" s="15">
        <f t="shared" si="2"/>
        <v>-0.14317931119009683</v>
      </c>
      <c r="J10" s="39" t="s">
        <v>88</v>
      </c>
      <c r="K10" s="39"/>
      <c r="L10" s="69"/>
      <c r="M10" s="69"/>
      <c r="N10" s="69"/>
    </row>
    <row r="11" spans="1:14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5" stopIfTrue="1" operator="lessThanOrEqual">
      <formula>-0.1</formula>
    </cfRule>
    <cfRule type="expression" dxfId="12" priority="6">
      <formula>AND(ISNUMBER(F2), F2&gt;=0.1)</formula>
    </cfRule>
  </conditionalFormatting>
  <conditionalFormatting sqref="L5">
    <cfRule type="cellIs" dxfId="11" priority="1" stopIfTrue="1" operator="lessThanOrEqual">
      <formula>-0.1</formula>
    </cfRule>
    <cfRule type="expression" dxfId="10" priority="2">
      <formula>AND(ISNUMBER(L5), L5&gt;=0.1)</formula>
    </cfRule>
  </conditionalFormatting>
  <hyperlinks>
    <hyperlink ref="K4" r:id="rId1" display="https://us3.assetplanner.com/service_request?ID=103049" xr:uid="{263F6FA7-FDA9-4295-8BD4-A8F2A58A70DF}"/>
    <hyperlink ref="L4" r:id="rId2" display="https://us3.assetplanner.com/service_request?ID=104160" xr:uid="{38017AB1-8BA0-41CC-8880-7FEE500E28F1}"/>
    <hyperlink ref="K7" r:id="rId3" display="https://us3.assetplanner.com/service_request?ID=103140" xr:uid="{219F410E-2E6F-4015-BC5D-81A28FB534AA}"/>
    <hyperlink ref="L7" r:id="rId4" display="https://us3.assetplanner.com/service_request?ID=104320" xr:uid="{58334292-E990-4D2D-9799-E355C33652BF}"/>
    <hyperlink ref="K8" r:id="rId5" display="https://us3.assetplanner.com/service_request?ID=102034" xr:uid="{A835F1A3-4112-46D3-B591-F839B51AAECE}"/>
    <hyperlink ref="L8" r:id="rId6" display="https://us3.assetplanner.com/service_request?ID=107041" xr:uid="{694A3419-383C-4FB3-8FEF-7A680A33162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78" t="str" cm="1">
        <f t="array" ref="A1">portfolio</f>
        <v>KPCA Investment, LLC</v>
      </c>
      <c r="B1" s="78"/>
      <c r="C1" s="78"/>
      <c r="D1" s="79" t="s">
        <v>89</v>
      </c>
      <c r="E1" s="79"/>
      <c r="F1" s="79"/>
      <c r="G1" s="77" t="s">
        <v>90</v>
      </c>
      <c r="H1" s="77"/>
      <c r="I1" s="77"/>
      <c r="J1" s="4"/>
      <c r="K1" s="4"/>
    </row>
    <row r="2" spans="1:11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5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5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5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5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5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5" x14ac:dyDescent="0.25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78" t="str" cm="1">
        <f t="array" ref="A1">portfolio</f>
        <v>KPCA Investment, LLC</v>
      </c>
      <c r="B1" s="78"/>
      <c r="C1" s="78"/>
      <c r="D1" s="79" t="s">
        <v>91</v>
      </c>
      <c r="E1" s="79"/>
      <c r="F1" s="79"/>
      <c r="G1" s="77" t="s">
        <v>92</v>
      </c>
      <c r="H1" s="77"/>
      <c r="I1" s="77"/>
      <c r="J1" s="4"/>
      <c r="K1" s="4"/>
    </row>
    <row r="2" spans="1:11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5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5" x14ac:dyDescent="0.35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5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5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5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5" x14ac:dyDescent="0.25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7" priority="5" stopIfTrue="1" operator="lessThanOrEqual">
      <formula>-0.1</formula>
    </cfRule>
    <cfRule type="expression" dxfId="6" priority="6">
      <formula>AND(ISNUMBER(F2), F2&gt;=0.1)</formula>
    </cfRule>
  </conditionalFormatting>
  <conditionalFormatting sqref="F4:F80 I4:I8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15.453125" customWidth="1"/>
  </cols>
  <sheetData>
    <row r="1" spans="1:11" ht="19.5" customHeight="1" x14ac:dyDescent="0.25">
      <c r="A1" s="78" t="str" cm="1">
        <f t="array" ref="A1">portfolio</f>
        <v>KPCA Investment, LLC</v>
      </c>
      <c r="B1" s="78"/>
      <c r="C1" s="78"/>
      <c r="D1" s="79" t="s">
        <v>93</v>
      </c>
      <c r="E1" s="79"/>
      <c r="F1" s="79"/>
      <c r="G1" s="77" t="s">
        <v>94</v>
      </c>
      <c r="H1" s="77"/>
      <c r="I1" s="77"/>
      <c r="J1" s="4"/>
      <c r="K1" s="4"/>
    </row>
    <row r="2" spans="1:11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5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5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5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5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5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5" x14ac:dyDescent="0.25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78" t="str" cm="1">
        <f t="array" ref="A1">portfolio</f>
        <v>KPCA Investment, LLC</v>
      </c>
      <c r="B1" s="78"/>
      <c r="C1" s="78"/>
      <c r="D1" s="79" t="s">
        <v>95</v>
      </c>
      <c r="E1" s="79"/>
      <c r="F1" s="79"/>
      <c r="G1" s="77" t="s">
        <v>96</v>
      </c>
      <c r="H1" s="77"/>
      <c r="I1" s="77"/>
      <c r="J1" s="4"/>
      <c r="K1" s="4"/>
    </row>
    <row r="2" spans="1:11" ht="19.5" customHeight="1" x14ac:dyDescent="0.25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5" x14ac:dyDescent="0.3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5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5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5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5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5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5" x14ac:dyDescent="0.25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5" x14ac:dyDescent="0.3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5" x14ac:dyDescent="0.3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5" x14ac:dyDescent="0.3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5" x14ac:dyDescent="0.3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C11" sqref="C11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24.1796875" customWidth="1"/>
    <col min="6" max="10" width="9.1796875" customWidth="1"/>
    <col min="11" max="12" width="22" bestFit="1" customWidth="1"/>
    <col min="13" max="14" width="9.1796875" customWidth="1"/>
  </cols>
  <sheetData>
    <row r="1" spans="1:12" ht="12.75" customHeight="1" x14ac:dyDescent="0.25">
      <c r="A1" t="s">
        <v>97</v>
      </c>
      <c r="B1" t="s">
        <v>98</v>
      </c>
    </row>
    <row r="3" spans="1:12" ht="12.5" x14ac:dyDescent="0.25">
      <c r="A3" t="s">
        <v>99</v>
      </c>
      <c r="B3" t="s">
        <v>3</v>
      </c>
      <c r="C3" t="s">
        <v>4</v>
      </c>
      <c r="D3" t="s">
        <v>100</v>
      </c>
      <c r="E3" s="2" t="s">
        <v>101</v>
      </c>
    </row>
    <row r="4" spans="1:12" ht="14.5" x14ac:dyDescent="0.35">
      <c r="A4" s="48" t="s">
        <v>102</v>
      </c>
      <c r="B4" t="s">
        <v>103</v>
      </c>
      <c r="C4" s="45" t="s">
        <v>104</v>
      </c>
      <c r="D4" s="44" t="s">
        <v>105</v>
      </c>
      <c r="E4" t="s">
        <v>106</v>
      </c>
      <c r="G4" s="3"/>
    </row>
    <row r="5" spans="1:12" ht="14.5" x14ac:dyDescent="0.35">
      <c r="A5" s="48" t="s">
        <v>107</v>
      </c>
      <c r="B5" t="s">
        <v>108</v>
      </c>
      <c r="C5" s="45" t="s">
        <v>104</v>
      </c>
      <c r="D5" s="44" t="s">
        <v>105</v>
      </c>
      <c r="E5" t="s">
        <v>106</v>
      </c>
      <c r="G5" s="3"/>
    </row>
    <row r="6" spans="1:12" ht="14.5" x14ac:dyDescent="0.35">
      <c r="A6" s="48" t="s">
        <v>109</v>
      </c>
      <c r="B6" t="s">
        <v>110</v>
      </c>
      <c r="C6" s="45" t="s">
        <v>104</v>
      </c>
      <c r="D6" s="44" t="s">
        <v>105</v>
      </c>
      <c r="E6" t="s">
        <v>106</v>
      </c>
      <c r="G6" s="3"/>
    </row>
    <row r="7" spans="1:12" ht="12.75" customHeight="1" x14ac:dyDescent="0.25">
      <c r="A7" s="48" t="s">
        <v>111</v>
      </c>
      <c r="B7" t="s">
        <v>112</v>
      </c>
      <c r="C7" s="45" t="s">
        <v>104</v>
      </c>
      <c r="D7" s="44"/>
      <c r="E7" t="s">
        <v>106</v>
      </c>
    </row>
    <row r="8" spans="1:12" ht="12.75" customHeight="1" x14ac:dyDescent="0.25">
      <c r="A8" s="48" t="s">
        <v>113</v>
      </c>
      <c r="B8" t="s">
        <v>114</v>
      </c>
      <c r="C8" s="45" t="s">
        <v>104</v>
      </c>
      <c r="D8" s="44" t="s">
        <v>105</v>
      </c>
      <c r="E8" t="s">
        <v>106</v>
      </c>
    </row>
    <row r="9" spans="1:12" ht="12.75" customHeight="1" x14ac:dyDescent="0.25">
      <c r="A9" s="54" t="s">
        <v>115</v>
      </c>
      <c r="B9" s="55" t="s">
        <v>116</v>
      </c>
      <c r="C9" s="45" t="s">
        <v>104</v>
      </c>
      <c r="D9" s="44" t="s">
        <v>105</v>
      </c>
      <c r="E9" t="s">
        <v>106</v>
      </c>
      <c r="K9" s="42"/>
      <c r="L9" s="42"/>
    </row>
    <row r="10" spans="1:12" ht="12.75" customHeight="1" x14ac:dyDescent="0.25">
      <c r="A10" s="54" t="s">
        <v>117</v>
      </c>
      <c r="B10" s="55" t="s">
        <v>118</v>
      </c>
      <c r="C10" s="45" t="s">
        <v>104</v>
      </c>
      <c r="D10" s="44"/>
      <c r="E10" t="s">
        <v>106</v>
      </c>
      <c r="K10" s="42"/>
      <c r="L10" s="42"/>
    </row>
    <row r="11" spans="1:12" ht="12.75" customHeight="1" x14ac:dyDescent="0.25">
      <c r="K11" s="42"/>
      <c r="L11" s="42"/>
    </row>
    <row r="12" spans="1:12" ht="12.75" customHeight="1" x14ac:dyDescent="0.25">
      <c r="K12" s="42"/>
      <c r="L12" s="42"/>
    </row>
    <row r="13" spans="1:12" ht="12.75" customHeight="1" x14ac:dyDescent="0.25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CCCA9FBC-8E40-46BA-AD66-4D0B4E588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Girish Allada</cp:lastModifiedBy>
  <cp:revision/>
  <dcterms:created xsi:type="dcterms:W3CDTF">2021-01-01T16:39:53Z</dcterms:created>
  <dcterms:modified xsi:type="dcterms:W3CDTF">2026-03-12T16:20:11Z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