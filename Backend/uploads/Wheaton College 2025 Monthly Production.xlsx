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0A4C52F3-438A-42D3-BA81-034ADC89704C}" xr6:coauthVersionLast="47" xr6:coauthVersionMax="47" xr10:uidLastSave="{2650FCA0-71DE-4BBB-8C04-208A0DC09F1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3" l="1"/>
  <c r="H4" i="32"/>
  <c r="I4" i="32" s="1"/>
  <c r="H4" i="31"/>
  <c r="I4" i="31" s="1"/>
  <c r="H4" i="28"/>
  <c r="H4" i="27"/>
  <c r="H4" i="26"/>
  <c r="H4" i="19"/>
  <c r="I4" i="19" s="1"/>
  <c r="H4" i="20"/>
  <c r="I4" i="20" s="1"/>
  <c r="H4" i="21"/>
  <c r="I4" i="21" s="1"/>
  <c r="H4" i="4"/>
  <c r="H4" i="3"/>
  <c r="H4" i="72"/>
  <c r="G4" i="30"/>
  <c r="G2" i="30" s="1"/>
  <c r="G4" i="29"/>
  <c r="G4" i="18"/>
  <c r="G2" i="18" s="1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E4" i="32"/>
  <c r="F4" i="32" s="1"/>
  <c r="G2" i="32"/>
  <c r="D2" i="32"/>
  <c r="C2" i="32"/>
  <c r="A1" i="32" a="1"/>
  <c r="A1" i="32" s="1"/>
  <c r="E4" i="31"/>
  <c r="F4" i="31" s="1"/>
  <c r="G2" i="31"/>
  <c r="D2" i="31"/>
  <c r="C2" i="31"/>
  <c r="A1" i="31" a="1"/>
  <c r="A1" i="31" s="1"/>
  <c r="I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E4" i="27"/>
  <c r="F4" i="27" s="1"/>
  <c r="G2" i="27"/>
  <c r="D2" i="27"/>
  <c r="C2" i="27"/>
  <c r="A1" i="27" a="1"/>
  <c r="A1" i="27" s="1"/>
  <c r="I4" i="26"/>
  <c r="E4" i="26"/>
  <c r="F4" i="26" s="1"/>
  <c r="G2" i="26"/>
  <c r="D2" i="26"/>
  <c r="C2" i="26"/>
  <c r="A1" i="26" a="1"/>
  <c r="A1" i="26" s="1"/>
  <c r="E4" i="19"/>
  <c r="F4" i="19" s="1"/>
  <c r="G2" i="19"/>
  <c r="D2" i="19"/>
  <c r="C2" i="19"/>
  <c r="A1" i="19" a="1"/>
  <c r="A1" i="19" s="1"/>
  <c r="E4" i="20"/>
  <c r="F4" i="20" s="1"/>
  <c r="G2" i="20"/>
  <c r="D2" i="20"/>
  <c r="C2" i="20"/>
  <c r="A1" i="20" a="1"/>
  <c r="A1" i="20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I4" i="72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<sst xmlns="http://schemas.openxmlformats.org/spreadsheetml/2006/main" count="306" uniqueCount="78">
  <si>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</si>
  <si>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</si>
  <si>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</si>
  <si>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</si>
  <si>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</si>
  <si>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</si>
  <si>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</si>
  <si>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</si>
  <si>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</si>
  <si>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</si>
  <si>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</si>
  <si>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</si>
  <si>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</si>
  <si>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</si>
  <si>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</si>
  <si>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</si>
  <si>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</si>
  <si>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</si>
  <si>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</si>
  <si>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</si>
  <si>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</si>
  <si>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</si>
  <si>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erraneous values since 03/12/2024.</t>
  </si>
  <si>
    <t>1. SR081787</t>
  </si>
  <si>
    <t>February Actual v. Expected</t>
  </si>
  <si>
    <t>February Actual v. Forecasted</t>
  </si>
  <si>
    <t>N/A</t>
  </si>
  <si>
    <t>1.Inverter 16 went offline on 02/01 and came back online at 7:15 AM on 02/02. However, the inverter started production late at 2:25 PM on 02/04. It tripped offline again at 12:35 PM on 02/19. On 02/20, upon the technician's arrival, several faults were identified: "Isolation Error, grid voltage fault, and protect 0260." The inverter was brought back online on 02/20.
2.Inverter 16 was offline on 02/25 and back online at 02:35PM on same day.
3.Inverter 12 was taken offline from 09:15AM to 09:55AM on 02/26 to replace damaged screen
4. Weather station reporting erraneous values since 03/12/2024.</t>
  </si>
  <si>
    <t>1.SR096218
2.SR097773
3.SR097591
4. SR081787</t>
  </si>
  <si>
    <t>SR097773</t>
  </si>
  <si>
    <t>SR097591</t>
  </si>
  <si>
    <t>SR081787</t>
  </si>
  <si>
    <t>March Actual v. Expected</t>
  </si>
  <si>
    <t>March Actual v. Forecasted</t>
  </si>
  <si>
    <t>April Actual v. Expected</t>
  </si>
  <si>
    <t>April Actual v. Forecasted</t>
  </si>
  <si>
    <t>1. Inverter 16 was offline from 07:00 on 04/07 to 17:00 on 04/09; issue self-resolved.
2. Inverter 10 was offline on 04/21 and back online at 17:30 the same day, it again offline from 04/23 and back online on 04/27, and it was again offline on 04/29 and back online at 10:40 on 04/30.
3.  Inverter 12 went offline on 04/01, back online on 04/02, then offline again from 04/03 to 06:25 on 04/19. It tripped on 04/20, recovered on 04/23, late started on 04/24, and went offline again on 04/25, remaining down for the rest of the month. Parts are needed to restore operation.
4. Weather station reporting erraneous values since 03/12/2024.</t>
  </si>
  <si>
    <t>1. SR099479
2. SR100077
3. SR097591, PM4612, SR098351
4. SR081787</t>
  </si>
  <si>
    <t>SR100077</t>
  </si>
  <si>
    <t>SR098351</t>
  </si>
  <si>
    <t>May Actual v. Expected</t>
  </si>
  <si>
    <t>May Actual v. Forecasted</t>
  </si>
  <si>
    <t>1. Inverter 12 was offline from 04/25 and came back online at 11:35 on 05/20; issue self-resolved.
2. Invertre 10 is offline from 05/01 and back online at 08:15 on 05/06, it again offline from 05/07 and back online on 05/10; issue self-resolved. 
3. Weather station reporting erraneous values since 03/12/2024.</t>
  </si>
  <si>
    <t>1. SR098351
2. SR100077 
3. SR081787</t>
  </si>
  <si>
    <t>June Actual v. Expected</t>
  </si>
  <si>
    <t>June Actual v. Forecasted</t>
  </si>
  <si>
    <t>1.Weather station reporting erraneous values since 03/12/2024.</t>
  </si>
  <si>
    <t>1.	SR081787</t>
  </si>
  <si>
    <t>July Actual v. Expected</t>
  </si>
  <si>
    <t>July Actual v. Forecasted</t>
  </si>
  <si>
    <t>1. Weather station reporting erraneous values since 03/12/2024.
2. Inverter 1 has been operating with one string down since 07/08/25.</t>
  </si>
  <si>
    <t>1. SR081787
2. SR105558</t>
  </si>
  <si>
    <t>SR105558</t>
  </si>
  <si>
    <t>August Actual v. Expected</t>
  </si>
  <si>
    <t>August Actual v. Forecasted</t>
  </si>
  <si>
    <t>September Actual v. Expected</t>
  </si>
  <si>
    <t>September Actual v. Forecasted</t>
  </si>
  <si>
    <t xml:space="preserve">                   N/A</t>
  </si>
  <si>
    <t>1. Weather station reporting erraneous values since 03/12/2024.
2. Inverter 1 has been operating with one string down since 07/08/25.
3. Inverter 6 was offline on most of the days throughout the month.</t>
  </si>
  <si>
    <t>1. SR081787
2. SR105558
3. SR105141</t>
  </si>
  <si>
    <t>October Actual v. Expected</t>
  </si>
  <si>
    <t>October Actual v. Forecasted</t>
  </si>
  <si>
    <t>Status</t>
  </si>
  <si>
    <t>1. pending
2. pending
3. pending</t>
  </si>
  <si>
    <t>SR105141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</si>
  <si>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</si>
  <si>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</si>
  <si>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</si>
  <si>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</si>
  <si>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</si>
  <si>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Norton - Wheaton College</t>
  </si>
  <si>
    <t>Site DAS Name</t>
  </si>
  <si>
    <t>Update</t>
  </si>
  <si>
    <t>DAS</t>
  </si>
  <si>
    <t>Wheaton College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</si>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</sst>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9" fontId="30" fillId="38" borderId="12" xfId="2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4" fillId="40" borderId="0" xfId="0" applyFont="1" applyFill="1" applyAlignment="1">
      <alignment horizontal="center" vertical="center"/>
    </xf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9" fontId="36" fillId="38" borderId="12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8178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591" TargetMode="External"/><Relationship Id="rId2" Type="http://schemas.openxmlformats.org/officeDocument/2006/relationships/hyperlink" Target="https://us3.assetplanner.com/service_request?ID=097773" TargetMode="External"/><Relationship Id="rId1" Type="http://schemas.openxmlformats.org/officeDocument/2006/relationships/hyperlink" Target="https://us3.assetplanner.com/service_request?ID=096218" TargetMode="External"/><Relationship Id="rId4" Type="http://schemas.openxmlformats.org/officeDocument/2006/relationships/hyperlink" Target="https://us3.assetplanner.com/service_request?ID=08178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178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591" TargetMode="External"/><Relationship Id="rId2" Type="http://schemas.openxmlformats.org/officeDocument/2006/relationships/hyperlink" Target="https://us3.assetplanner.com/service_request?ID=100077" TargetMode="External"/><Relationship Id="rId1" Type="http://schemas.openxmlformats.org/officeDocument/2006/relationships/hyperlink" Target="https://us3.assetplanner.com/service_request?ID=099479" TargetMode="External"/><Relationship Id="rId5" Type="http://schemas.openxmlformats.org/officeDocument/2006/relationships/hyperlink" Target="https://us3.assetplanner.com/service_request?ID=081787" TargetMode="External"/><Relationship Id="rId4" Type="http://schemas.openxmlformats.org/officeDocument/2006/relationships/hyperlink" Target="https://us3.assetplanner.com/service_request?ID=09835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1787" TargetMode="External"/><Relationship Id="rId2" Type="http://schemas.openxmlformats.org/officeDocument/2006/relationships/hyperlink" Target="https://us3.assetplanner.com/service_request?ID=100077" TargetMode="External"/><Relationship Id="rId1" Type="http://schemas.openxmlformats.org/officeDocument/2006/relationships/hyperlink" Target="https://us3.assetplanner.com/service_request?ID=09835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1787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558" TargetMode="External"/><Relationship Id="rId1" Type="http://schemas.openxmlformats.org/officeDocument/2006/relationships/hyperlink" Target="https://us3.assetplanner.com/service_request?ID=081787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558" TargetMode="External"/><Relationship Id="rId2" Type="http://schemas.openxmlformats.org/officeDocument/2006/relationships/hyperlink" Target="https://us3.assetplanner.com/service_request?ID=105141" TargetMode="External"/><Relationship Id="rId1" Type="http://schemas.openxmlformats.org/officeDocument/2006/relationships/hyperlink" Target="https://us3.assetplanner.com/service_request?ID=081787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141" TargetMode="External"/><Relationship Id="rId2" Type="http://schemas.openxmlformats.org/officeDocument/2006/relationships/hyperlink" Target="https://us3.assetplanner.com/service_request?ID=105558" TargetMode="External"/><Relationship Id="rId1" Type="http://schemas.openxmlformats.org/officeDocument/2006/relationships/hyperlink" Target="https://us3.assetplanner.com/service_request?ID=081787" TargetMode="External"/><Relationship Id="rId4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141" TargetMode="External"/><Relationship Id="rId2" Type="http://schemas.openxmlformats.org/officeDocument/2006/relationships/hyperlink" Target="https://us3.assetplanner.com/service_request?ID=105558" TargetMode="External"/><Relationship Id="rId1" Type="http://schemas.openxmlformats.org/officeDocument/2006/relationships/hyperlink" Target="https://us3.assetplanner.com/service_request?ID=081787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14" sqref="G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MA: Norton - Wheaton College</v>
      </c>
      <c r="B1" s="64"/>
      <c r="C1" s="64"/>
      <c r="D1" s="65" t="s">
        <v>0</v>
      </c>
      <c r="E1" s="65"/>
      <c r="F1" s="65"/>
      <c r="G1" s="63" t="s">
        <v>1</v>
      </c>
      <c r="H1" s="63"/>
      <c r="I1" s="63"/>
    </row>
    <row r="2" spans="1:9" ht="19.5" customHeight="1">
      <c r="A2" s="66" t="s">
        <v>2</v>
      </c>
      <c r="B2" s="66"/>
      <c r="C2" s="5">
        <f>SUM(C4:C79)</f>
        <v>375994</v>
      </c>
      <c r="D2" s="5">
        <f>SUM(D4:D79)</f>
        <v>0</v>
      </c>
      <c r="E2" s="5">
        <f>C2-D2</f>
        <v>375994</v>
      </c>
      <c r="F2" s="6">
        <f>IFERROR(E2/D2, 0)</f>
        <v>0</v>
      </c>
      <c r="G2" s="5">
        <f>SUM(G4:G79)</f>
        <v>0</v>
      </c>
      <c r="H2" s="7">
        <f>C2-G2</f>
        <v>375994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Norton - Wheaton College</v>
      </c>
      <c r="B4" s="9" t="str" cm="1">
        <f t="array" ref="B4">Sites[State]</f>
        <v>MA</v>
      </c>
      <c r="C4" s="23">
        <f>SUM('1st Qtr'!C4, '2nd Qtr'!C4, '3rd Qtr'!C4, '4th Qtr'!C4)</f>
        <v>375994</v>
      </c>
      <c r="D4" s="12">
        <f>SUM('1st Qtr'!D4, '2nd Qtr'!D4, '3rd Qtr'!D4, '4th Qtr'!D4)</f>
        <v>0</v>
      </c>
      <c r="E4" s="12">
        <f>IF(AND(ISNUMBER(C4),ISNUMBER(D4)), C4-D4, "")</f>
        <v>375994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25561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F19" sqref="F1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MA: Norton - Wheaton College</v>
      </c>
      <c r="B1" s="64"/>
      <c r="C1" s="64"/>
      <c r="D1" s="65" t="s">
        <v>10</v>
      </c>
      <c r="E1" s="65"/>
      <c r="F1" s="65"/>
      <c r="G1" s="63" t="s">
        <v>11</v>
      </c>
      <c r="H1" s="63"/>
      <c r="I1" s="63"/>
    </row>
    <row r="2" spans="1:9" ht="19.5" customHeight="1">
      <c r="A2" s="66" t="s">
        <v>2</v>
      </c>
      <c r="B2" s="66"/>
      <c r="C2" s="5">
        <f>SUM(C4:C79)</f>
        <v>67281</v>
      </c>
      <c r="D2" s="5">
        <f>SUM(D4:D79)</f>
        <v>0</v>
      </c>
      <c r="E2" s="5">
        <f>C2-D2</f>
        <v>67281</v>
      </c>
      <c r="F2" s="6">
        <f>IFERROR(E2/D2, 0)</f>
        <v>0</v>
      </c>
      <c r="G2" s="5">
        <f>SUM(G4:G79)</f>
        <v>0</v>
      </c>
      <c r="H2" s="7">
        <f>C2-G2</f>
        <v>67281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SUM(Jan!C4, Feb!C4, Mar!C4)</f>
        <v>67281</v>
      </c>
      <c r="D4" s="12">
        <f>SUM(Jan!D4, Feb!D4, Mar!D4)</f>
        <v>0</v>
      </c>
      <c r="E4" s="12">
        <f>IF(AND(ISNUMBER(C4),ISNUMBER(D4)), C4-D4, "")</f>
        <v>67281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13777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21" sqref="F2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MA: Norton - Wheaton College</v>
      </c>
      <c r="B1" s="64"/>
      <c r="C1" s="64"/>
      <c r="D1" s="65" t="s">
        <v>12</v>
      </c>
      <c r="E1" s="65"/>
      <c r="F1" s="65"/>
      <c r="G1" s="63" t="s">
        <v>13</v>
      </c>
      <c r="H1" s="63"/>
      <c r="I1" s="63"/>
    </row>
    <row r="2" spans="1:9" ht="19.5" customHeight="1">
      <c r="A2" s="66" t="s">
        <v>2</v>
      </c>
      <c r="B2" s="66"/>
      <c r="C2" s="5">
        <f>SUM(C4:C79)</f>
        <v>123905</v>
      </c>
      <c r="D2" s="5">
        <f>SUM(D4:D79)</f>
        <v>0</v>
      </c>
      <c r="E2" s="5">
        <f>C2-D2</f>
        <v>123905</v>
      </c>
      <c r="F2" s="6">
        <f>IFERROR(E2/D2, 0)</f>
        <v>0</v>
      </c>
      <c r="G2" s="5">
        <f>SUM(G4:G79)</f>
        <v>0</v>
      </c>
      <c r="H2" s="7">
        <f>C2-G2</f>
        <v>123905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SUM(Apr!C4, May!C4, Jun!C4)</f>
        <v>123905</v>
      </c>
      <c r="D4" s="12">
        <f>SUM(Apr!D4, May!D4, Jun!D4)</f>
        <v>0</v>
      </c>
      <c r="E4" s="12">
        <f>IF(AND(ISNUMBER(C4),ISNUMBER(D4)), C4-D4, "")</f>
        <v>123905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E31" sqref="E3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MA: Norton - Wheaton College</v>
      </c>
      <c r="B1" s="64"/>
      <c r="C1" s="64"/>
      <c r="D1" s="65" t="s">
        <v>14</v>
      </c>
      <c r="E1" s="65"/>
      <c r="F1" s="65"/>
      <c r="G1" s="63" t="s">
        <v>15</v>
      </c>
      <c r="H1" s="63"/>
      <c r="I1" s="63"/>
    </row>
    <row r="2" spans="1:9" ht="19.5" customHeight="1">
      <c r="A2" s="66" t="s">
        <v>2</v>
      </c>
      <c r="B2" s="66"/>
      <c r="C2" s="5">
        <f>SUM(C4:C79)</f>
        <v>129932</v>
      </c>
      <c r="D2" s="5">
        <f>SUM(D4:D79)</f>
        <v>0</v>
      </c>
      <c r="E2" s="5">
        <f>C2-D2</f>
        <v>129932</v>
      </c>
      <c r="F2" s="6">
        <f>IFERROR(E2/D2, 0)</f>
        <v>0</v>
      </c>
      <c r="G2" s="5">
        <f>SUM(G4:G79)</f>
        <v>0</v>
      </c>
      <c r="H2" s="7">
        <f>C2-G2</f>
        <v>129932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SUM(Jul!C4, Aug!C4, Sep!C4)</f>
        <v>129932</v>
      </c>
      <c r="D4" s="12">
        <f>SUM(Jul!D4, Aug!D4, Sep!D4)</f>
        <v>0</v>
      </c>
      <c r="E4" s="12">
        <f>IF(AND(ISNUMBER(C4),ISNUMBER(D4)), C4-D4, "")</f>
        <v>129932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H17" sqref="H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MA: Norton - Wheaton College</v>
      </c>
      <c r="B1" s="64"/>
      <c r="C1" s="64"/>
      <c r="D1" s="65" t="s">
        <v>16</v>
      </c>
      <c r="E1" s="65"/>
      <c r="F1" s="65"/>
      <c r="G1" s="63" t="s">
        <v>17</v>
      </c>
      <c r="H1" s="63"/>
      <c r="I1" s="63"/>
    </row>
    <row r="2" spans="1:9" ht="19.5" customHeight="1">
      <c r="A2" s="66" t="s">
        <v>2</v>
      </c>
      <c r="B2" s="66"/>
      <c r="C2" s="5">
        <f>SUM(C4:C79)</f>
        <v>54876</v>
      </c>
      <c r="D2" s="5">
        <f>SUM(D4:D79)</f>
        <v>0</v>
      </c>
      <c r="E2" s="5">
        <f>C2-D2</f>
        <v>54876</v>
      </c>
      <c r="F2" s="6">
        <f>IFERROR(E2/D2, 0)</f>
        <v>0</v>
      </c>
      <c r="G2" s="5">
        <f>SUM(G4:G79)</f>
        <v>0</v>
      </c>
      <c r="H2" s="7">
        <f>C2-G2</f>
        <v>54876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SUM(Oct!C4, Nov!C4, Dec!C4)</f>
        <v>54876</v>
      </c>
      <c r="D4" s="12">
        <f>SUM(Oct!D4, Nov!D4, Dec!D4)</f>
        <v>0</v>
      </c>
      <c r="E4" s="12">
        <f>IF(AND(ISNUMBER(C4),ISNUMBER(D4)), C4-D4, "")</f>
        <v>54876</v>
      </c>
      <c r="F4" s="13" t="str">
        <f>IFERROR(E4/D4, "")</f>
        <v/>
      </c>
      <c r="G4" s="14">
        <f>SUM(Oct!G4,Nov!G4,Dec!G4)</f>
        <v>0</v>
      </c>
      <c r="H4" s="14">
        <f>SUM(Oct!H4, Nov!H4, Dec!H4)</f>
        <v>11784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F4" activePane="bottomRight" state="frozen"/>
      <selection pane="bottomRight" activeCell="K4" sqref="K4"/>
      <selection pane="bottomLeft" activeCell="F16" sqref="F16"/>
      <selection pane="topRight" activeCell="F16" sqref="F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MA: Norton - Wheaton College</v>
      </c>
      <c r="B1" s="64"/>
      <c r="C1" s="64"/>
      <c r="D1" s="65" t="s">
        <v>18</v>
      </c>
      <c r="E1" s="65"/>
      <c r="F1" s="65"/>
      <c r="G1" s="63" t="s">
        <v>19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SUM(C4:C78)</f>
        <v>13777</v>
      </c>
      <c r="D2" s="5">
        <f>SUM(D4:D78)</f>
        <v>0</v>
      </c>
      <c r="E2" s="5">
        <f>C2-D2</f>
        <v>13777</v>
      </c>
      <c r="F2" s="6">
        <f>IFERROR(E2/D2, 0)</f>
        <v>0</v>
      </c>
      <c r="G2" s="5">
        <f>SUM(G4:G78)</f>
        <v>0</v>
      </c>
      <c r="H2" s="7">
        <f>C2-G2</f>
        <v>13777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Norton - Wheaton College</v>
      </c>
      <c r="B4" s="27" t="str" cm="1">
        <f t="array" ref="B4">Sites[State]</f>
        <v>MA</v>
      </c>
      <c r="C4" s="49">
        <v>13777</v>
      </c>
      <c r="D4" s="50">
        <v>0</v>
      </c>
      <c r="E4" s="12">
        <f>IF(AND(ISNUMBER(C4),ISNUMBER(D4)), C4-D4, "")</f>
        <v>13777</v>
      </c>
      <c r="F4" s="40" t="str">
        <f>IFERROR(E4/D4, "")</f>
        <v/>
      </c>
      <c r="G4" s="52">
        <v>0</v>
      </c>
      <c r="H4" s="14">
        <f>IF(AND(ISNUMBER(C4),ISNUMBER(G4)), C4-G4, "")</f>
        <v>13777</v>
      </c>
      <c r="I4" s="15" t="str">
        <f>IFERROR(H4/G4, "")</f>
        <v/>
      </c>
      <c r="J4" s="53" t="s">
        <v>22</v>
      </c>
      <c r="K4" s="60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hyperlinks>
    <hyperlink ref="K4" r:id="rId1" display="https://us3.assetplanner.com/service_request?ID=081787" xr:uid="{16B54B48-B702-4C3B-A4C8-C5FB2A17A0AB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80" zoomScaleNormal="80" workbookViewId="0">
      <pane xSplit="2" ySplit="3" topLeftCell="C4" activePane="bottomRight" state="frozen"/>
      <selection pane="bottomRight" activeCell="G36" sqref="G36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8"/>
  </cols>
  <sheetData>
    <row r="1" spans="1:14" ht="19.5" customHeight="1">
      <c r="A1" s="64" t="str" cm="1">
        <f t="array" ref="A1">portfolio</f>
        <v>MA: Norton - Wheaton College</v>
      </c>
      <c r="B1" s="64"/>
      <c r="C1" s="64"/>
      <c r="D1" s="65" t="s">
        <v>24</v>
      </c>
      <c r="E1" s="65"/>
      <c r="F1" s="65"/>
      <c r="G1" s="63" t="s">
        <v>25</v>
      </c>
      <c r="H1" s="63"/>
      <c r="I1" s="63"/>
      <c r="J1" s="4"/>
      <c r="K1" s="4"/>
    </row>
    <row r="2" spans="1:14" ht="19.5" customHeight="1">
      <c r="A2" s="66" t="s">
        <v>2</v>
      </c>
      <c r="B2" s="66"/>
      <c r="C2" s="5">
        <f>SUM(C4:C79)</f>
        <v>18434</v>
      </c>
      <c r="D2" s="5">
        <f>SUM(D4:D79)</f>
        <v>0</v>
      </c>
      <c r="E2" s="5">
        <f>C2-D2</f>
        <v>18434</v>
      </c>
      <c r="F2" s="6">
        <f>IFERROR(E2/D2, 0)</f>
        <v>0</v>
      </c>
      <c r="G2" s="5">
        <f>SUM(G4:G79)</f>
        <v>0</v>
      </c>
      <c r="H2" s="7">
        <f>C2-G2</f>
        <v>18434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33.5" customHeight="1">
      <c r="A4" s="54" t="str" cm="1">
        <f t="array" ref="A4">Sites[Site]</f>
        <v>MA: Norton - Wheaton College</v>
      </c>
      <c r="B4" s="27" t="str" cm="1">
        <f t="array" ref="B4">Sites[State]</f>
        <v>MA</v>
      </c>
      <c r="C4" s="23">
        <v>18434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7" t="s">
        <v>28</v>
      </c>
      <c r="L4" s="59" t="s">
        <v>29</v>
      </c>
      <c r="M4" s="59" t="s">
        <v>30</v>
      </c>
      <c r="N4" s="59" t="s">
        <v>31</v>
      </c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218" xr:uid="{4853CEAB-057E-4CB6-8242-E9F30BEB0FE4}"/>
    <hyperlink ref="L4" r:id="rId2" display="https://us3.assetplanner.com/service_request?ID=097773" xr:uid="{C6EE84D2-7377-4146-A836-5D5F7A9E7935}"/>
    <hyperlink ref="M4" r:id="rId3" display="https://us3.assetplanner.com/service_request?ID=097591" xr:uid="{9782D02F-A025-45C5-AD70-03DCED8D68F6}"/>
    <hyperlink ref="N4" r:id="rId4" display="https://us3.assetplanner.com/service_request?ID=081787" xr:uid="{6390B6E6-9E28-40A5-A93B-9986A4D6D448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90" zoomScaleNormal="90" workbookViewId="0">
      <pane xSplit="2" ySplit="3" topLeftCell="I4" activePane="bottomRight" state="frozen"/>
      <selection pane="bottomRight" activeCell="K4" sqref="K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MA: Norton - Wheaton College</v>
      </c>
      <c r="B1" s="64"/>
      <c r="C1" s="64"/>
      <c r="D1" s="65" t="s">
        <v>32</v>
      </c>
      <c r="E1" s="65"/>
      <c r="F1" s="65"/>
      <c r="G1" s="63" t="s">
        <v>33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SUM(C4:C79)</f>
        <v>35070</v>
      </c>
      <c r="D2" s="5">
        <f>SUM(D4:D79)</f>
        <v>0</v>
      </c>
      <c r="E2" s="5">
        <f>C2-D2</f>
        <v>35070</v>
      </c>
      <c r="F2" s="6">
        <f>IFERROR(E2/D2, 0)</f>
        <v>0</v>
      </c>
      <c r="G2" s="5">
        <f>SUM(G4:G79)</f>
        <v>0</v>
      </c>
      <c r="H2" s="7">
        <f>C2-G2</f>
        <v>35070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35070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22</v>
      </c>
      <c r="K4" s="57" t="s">
        <v>23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81787" xr:uid="{CA9D4AE2-057C-4F93-8ABF-6712343FF6DC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21"/>
  <sheetViews>
    <sheetView workbookViewId="0">
      <pane xSplit="2" ySplit="3" topLeftCell="C4" activePane="bottomRight" state="frozen"/>
      <selection pane="bottomRight" activeCell="J8" sqref="J8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58"/>
  </cols>
  <sheetData>
    <row r="1" spans="1:15" ht="19.5" customHeight="1">
      <c r="A1" s="64" t="str" cm="1">
        <f t="array" ref="A1">portfolio</f>
        <v>MA: Norton - Wheaton College</v>
      </c>
      <c r="B1" s="64"/>
      <c r="C1" s="64"/>
      <c r="D1" s="65" t="s">
        <v>34</v>
      </c>
      <c r="E1" s="65"/>
      <c r="F1" s="65"/>
      <c r="G1" s="63" t="s">
        <v>35</v>
      </c>
      <c r="H1" s="63"/>
      <c r="I1" s="63"/>
      <c r="J1" s="4"/>
      <c r="K1" s="4"/>
    </row>
    <row r="2" spans="1:15" ht="19.5" customHeight="1">
      <c r="A2" s="66" t="s">
        <v>2</v>
      </c>
      <c r="B2" s="66"/>
      <c r="C2" s="5">
        <f>SUM(C4:C79)</f>
        <v>38389</v>
      </c>
      <c r="D2" s="5">
        <f>SUM(D4:D79)</f>
        <v>0</v>
      </c>
      <c r="E2" s="5">
        <f>C2-D2</f>
        <v>38389</v>
      </c>
      <c r="F2" s="6">
        <f>IFERROR(E2/D2, 0)</f>
        <v>0</v>
      </c>
      <c r="G2" s="5">
        <f>SUM(G4:G79)</f>
        <v>0</v>
      </c>
      <c r="H2" s="7">
        <f>C2-G2</f>
        <v>38389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5" ht="174.75" customHeight="1">
      <c r="A4" s="56" t="str" cm="1">
        <f t="array" ref="A4">Sites[Site]</f>
        <v>MA: Norton - Wheaton College</v>
      </c>
      <c r="B4" s="27" t="str" cm="1">
        <f t="array" ref="B4">Sites[State]</f>
        <v>MA</v>
      </c>
      <c r="C4" s="23">
        <v>38389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14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36</v>
      </c>
      <c r="K4" s="57" t="s">
        <v>37</v>
      </c>
      <c r="L4" s="59" t="s">
        <v>38</v>
      </c>
      <c r="M4" s="59" t="s">
        <v>30</v>
      </c>
      <c r="N4" s="59" t="s">
        <v>39</v>
      </c>
      <c r="O4" s="59" t="s">
        <v>31</v>
      </c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479" xr:uid="{206FDDED-E3FF-49C2-A6A4-5B109D448D03}"/>
    <hyperlink ref="L4" r:id="rId2" display="https://us3.assetplanner.com/service_request?ID=100077" xr:uid="{DC71E34D-6A9E-4FC2-BE42-7A6AF4360223}"/>
    <hyperlink ref="M4" r:id="rId3" display="https://us3.assetplanner.com/service_request?ID=097591" xr:uid="{CEE489EB-9318-40C5-BFC7-8686C9307D3C}"/>
    <hyperlink ref="N4" r:id="rId4" display="https://us3.assetplanner.com/service_request?ID=098351" xr:uid="{28486D3B-0CC9-41C4-B664-946B0A97955A}"/>
    <hyperlink ref="O4" r:id="rId5" display="https://us3.assetplanner.com/service_request?ID=081787" xr:uid="{706EDD4B-09B9-48F8-96D4-C51622FD1073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1"/>
  <sheetViews>
    <sheetView zoomScale="80" zoomScaleNormal="80" workbookViewId="0">
      <pane xSplit="2" ySplit="3" topLeftCell="C4" activePane="bottomRight" state="frozen"/>
      <selection pane="bottomRight" activeCell="L1" sqref="L1:N1048576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58"/>
  </cols>
  <sheetData>
    <row r="1" spans="1:13" ht="19.5" customHeight="1">
      <c r="A1" s="64" t="str" cm="1">
        <f t="array" ref="A1">portfolio</f>
        <v>MA: Norton - Wheaton College</v>
      </c>
      <c r="B1" s="64"/>
      <c r="C1" s="64"/>
      <c r="D1" s="65" t="s">
        <v>40</v>
      </c>
      <c r="E1" s="65"/>
      <c r="F1" s="65"/>
      <c r="G1" s="63" t="s">
        <v>41</v>
      </c>
      <c r="H1" s="63"/>
      <c r="I1" s="63"/>
      <c r="J1" s="4"/>
      <c r="K1" s="4"/>
    </row>
    <row r="2" spans="1:13" ht="19.5" customHeight="1">
      <c r="A2" s="66" t="s">
        <v>2</v>
      </c>
      <c r="B2" s="66"/>
      <c r="C2" s="5">
        <f>SUM(C4:C79)</f>
        <v>39667</v>
      </c>
      <c r="D2" s="5">
        <f>SUM(D4:D79)</f>
        <v>0</v>
      </c>
      <c r="E2" s="5">
        <f>C2-D2</f>
        <v>39667</v>
      </c>
      <c r="F2" s="6">
        <f>IFERROR(E2/D2, 0)</f>
        <v>0</v>
      </c>
      <c r="G2" s="5">
        <f>SUM(G4:G79)</f>
        <v>0</v>
      </c>
      <c r="H2" s="7">
        <f>C2-G2</f>
        <v>39667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08.75" customHeight="1">
      <c r="A4" s="56" t="str" cm="1">
        <f t="array" ref="A4">Sites[Site]</f>
        <v>MA: Norton - Wheaton College</v>
      </c>
      <c r="B4" s="27" t="str" cm="1">
        <f t="array" ref="B4">Sites[State]</f>
        <v>MA</v>
      </c>
      <c r="C4" s="23">
        <v>39667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14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42</v>
      </c>
      <c r="K4" s="57" t="s">
        <v>43</v>
      </c>
      <c r="L4" s="59" t="s">
        <v>38</v>
      </c>
      <c r="M4" s="59" t="s">
        <v>31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8351" xr:uid="{4B5A71E6-A78D-42BC-95B7-4891AFA76D94}"/>
    <hyperlink ref="L4" r:id="rId2" display="https://us3.assetplanner.com/service_request?ID=100077" xr:uid="{024C44A5-9F8E-4729-B42D-495C97C8B858}"/>
    <hyperlink ref="M4" r:id="rId3" display="https://us3.assetplanner.com/service_request?ID=081787" xr:uid="{4E1E50AD-FE89-4E91-9F32-28433A36B14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MA: Norton - Wheaton College</v>
      </c>
      <c r="B1" s="64"/>
      <c r="C1" s="64"/>
      <c r="D1" s="65" t="s">
        <v>44</v>
      </c>
      <c r="E1" s="65"/>
      <c r="F1" s="65"/>
      <c r="G1" s="63" t="s">
        <v>45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SUM(C4:C79)</f>
        <v>45849</v>
      </c>
      <c r="D2" s="5">
        <f>SUM(D4:D79)</f>
        <v>0</v>
      </c>
      <c r="E2" s="5">
        <f>C2-D2</f>
        <v>45849</v>
      </c>
      <c r="F2" s="6">
        <f>IFERROR(E2/D2, 0)</f>
        <v>0</v>
      </c>
      <c r="G2" s="5">
        <f>SUM(G4:G79)</f>
        <v>0</v>
      </c>
      <c r="H2" s="7">
        <f>C2-G2</f>
        <v>45849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45849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46</v>
      </c>
      <c r="K4" s="57" t="s">
        <v>47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81787" xr:uid="{443D0C89-002D-4400-81AD-84AF35CC514E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workbookViewId="0">
      <pane xSplit="2" ySplit="3" topLeftCell="C4" activePane="bottomRight" state="frozen"/>
      <selection pane="bottomRight" activeCell="E14" sqref="E14"/>
      <selection pane="bottomLeft" activeCell="E14" sqref="E14"/>
      <selection pane="topRight" activeCell="E14" sqref="E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1"/>
  </cols>
  <sheetData>
    <row r="1" spans="1:12" ht="19.5" customHeight="1">
      <c r="A1" s="64" t="str" cm="1">
        <f t="array" ref="A1">portfolio</f>
        <v>MA: Norton - Wheaton College</v>
      </c>
      <c r="B1" s="64"/>
      <c r="C1" s="64"/>
      <c r="D1" s="65" t="s">
        <v>48</v>
      </c>
      <c r="E1" s="65"/>
      <c r="F1" s="65"/>
      <c r="G1" s="63" t="s">
        <v>49</v>
      </c>
      <c r="H1" s="63"/>
      <c r="I1" s="63"/>
      <c r="J1" s="4"/>
      <c r="K1" s="4"/>
    </row>
    <row r="2" spans="1:12" ht="19.5" customHeight="1">
      <c r="A2" s="66" t="s">
        <v>2</v>
      </c>
      <c r="B2" s="66"/>
      <c r="C2" s="5">
        <f>SUM(C4:C79)</f>
        <v>47667</v>
      </c>
      <c r="D2" s="5">
        <f>SUM(D4:D79)</f>
        <v>0</v>
      </c>
      <c r="E2" s="5">
        <f>C2-D2</f>
        <v>47667</v>
      </c>
      <c r="F2" s="6">
        <f>IFERROR(E2/D2, 0)</f>
        <v>0</v>
      </c>
      <c r="G2" s="5">
        <f>SUM(G4:G79)</f>
        <v>0</v>
      </c>
      <c r="H2" s="7">
        <f>C2-G2</f>
        <v>47667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9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47667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50</v>
      </c>
      <c r="K4" s="57" t="s">
        <v>51</v>
      </c>
      <c r="L4" s="62" t="s">
        <v>52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81787" xr:uid="{58A569B5-4915-44F7-A19D-85EFC565FD04}"/>
    <hyperlink ref="L4" r:id="rId2" display="https://us3.assetplanner.com/service_request?ID=105558" xr:uid="{87FD4423-1140-4A14-913F-7D6A23118EDD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1"/>
  <sheetViews>
    <sheetView workbookViewId="0">
      <pane xSplit="2" ySplit="3" topLeftCell="G4" activePane="bottomRight" state="frozen"/>
      <selection pane="bottomRight" activeCell="E14" sqref="E14"/>
      <selection pane="bottomLeft" activeCell="E14" sqref="E14"/>
      <selection pane="topRight" activeCell="E14" sqref="E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1"/>
  </cols>
  <sheetData>
    <row r="1" spans="1:12" ht="19.5" customHeight="1">
      <c r="A1" s="64" t="str" cm="1">
        <f t="array" ref="A1">portfolio</f>
        <v>MA: Norton - Wheaton College</v>
      </c>
      <c r="B1" s="64"/>
      <c r="C1" s="64"/>
      <c r="D1" s="65" t="s">
        <v>53</v>
      </c>
      <c r="E1" s="65"/>
      <c r="F1" s="65"/>
      <c r="G1" s="63" t="s">
        <v>54</v>
      </c>
      <c r="H1" s="63"/>
      <c r="I1" s="63"/>
      <c r="J1" s="4"/>
      <c r="K1" s="4"/>
    </row>
    <row r="2" spans="1:12" ht="19.5" customHeight="1">
      <c r="A2" s="66" t="s">
        <v>2</v>
      </c>
      <c r="B2" s="66"/>
      <c r="C2" s="5">
        <f>SUM(C4:C79)</f>
        <v>47508</v>
      </c>
      <c r="D2" s="5">
        <f>SUM(D4:D79)</f>
        <v>0</v>
      </c>
      <c r="E2" s="5">
        <f>C2-D2</f>
        <v>47508</v>
      </c>
      <c r="F2" s="6">
        <f>IFERROR(E2/D2, 0)</f>
        <v>0</v>
      </c>
      <c r="G2" s="5">
        <f>SUM(G4:G79)</f>
        <v>0</v>
      </c>
      <c r="H2" s="7">
        <f>C2-G2</f>
        <v>47508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9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47508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50</v>
      </c>
      <c r="K4" s="57" t="s">
        <v>51</v>
      </c>
      <c r="L4" s="62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1"/>
  <sheetViews>
    <sheetView workbookViewId="0">
      <pane xSplit="2" topLeftCell="C1" activePane="topRight" state="frozen"/>
      <selection pane="topRight" activeCell="K4" sqref="K4"/>
      <selection activeCell="H17" sqref="H1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1"/>
  </cols>
  <sheetData>
    <row r="1" spans="1:12" ht="19.5" customHeight="1">
      <c r="A1" s="64" t="str" cm="1">
        <f t="array" ref="A1">portfolio</f>
        <v>MA: Norton - Wheaton College</v>
      </c>
      <c r="B1" s="64"/>
      <c r="C1" s="64"/>
      <c r="D1" s="65" t="s">
        <v>55</v>
      </c>
      <c r="E1" s="65"/>
      <c r="F1" s="65"/>
      <c r="G1" s="63" t="s">
        <v>56</v>
      </c>
      <c r="H1" s="63"/>
      <c r="I1" s="63"/>
      <c r="J1" s="4"/>
      <c r="K1" s="4"/>
    </row>
    <row r="2" spans="1:12" ht="19.5" customHeight="1">
      <c r="A2" s="66" t="s">
        <v>2</v>
      </c>
      <c r="B2" s="66"/>
      <c r="C2" s="5">
        <f>SUM(C4:C79)</f>
        <v>34757</v>
      </c>
      <c r="D2" s="5">
        <f>SUM(D4:D79)</f>
        <v>0</v>
      </c>
      <c r="E2" s="5">
        <f>C2-D2</f>
        <v>34757</v>
      </c>
      <c r="F2" s="6">
        <f>IFERROR(E2/D2, 0)</f>
        <v>0</v>
      </c>
      <c r="G2" s="5">
        <f>SUM(G4:G79)</f>
        <v>0</v>
      </c>
      <c r="H2" s="7">
        <f>C2-G2</f>
        <v>34757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43.1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34757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14" t="s">
        <v>57</v>
      </c>
      <c r="H4" s="14" t="str">
        <f>IF(AND(ISNUMBER(C4),ISNUMBER(G4)), C4-G4, "")</f>
        <v/>
      </c>
      <c r="I4" s="15" t="str">
        <f>IFERROR(H4/G4, "")</f>
        <v/>
      </c>
      <c r="J4" s="36" t="s">
        <v>58</v>
      </c>
      <c r="K4" s="57" t="s">
        <v>59</v>
      </c>
      <c r="L4" s="62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21"/>
  <sheetViews>
    <sheetView tabSelected="1" workbookViewId="0">
      <pane xSplit="2" ySplit="3" topLeftCell="C8" activePane="bottomRight" state="frozen"/>
      <selection pane="bottomRight" activeCell="E25" sqref="E2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140625" customWidth="1"/>
    <col min="13" max="14" width="8.85546875" style="58"/>
  </cols>
  <sheetData>
    <row r="1" spans="1:14" ht="19.5" customHeight="1">
      <c r="A1" s="64" t="str" cm="1">
        <f t="array" ref="A1">portfolio</f>
        <v>MA: Norton - Wheaton College</v>
      </c>
      <c r="B1" s="64"/>
      <c r="C1" s="64"/>
      <c r="D1" s="65" t="s">
        <v>60</v>
      </c>
      <c r="E1" s="65"/>
      <c r="F1" s="65"/>
      <c r="G1" s="63" t="s">
        <v>61</v>
      </c>
      <c r="H1" s="63"/>
      <c r="I1" s="63"/>
      <c r="J1" s="4"/>
      <c r="K1" s="4"/>
    </row>
    <row r="2" spans="1:14" ht="19.5" customHeight="1">
      <c r="A2" s="66" t="s">
        <v>2</v>
      </c>
      <c r="B2" s="66"/>
      <c r="C2" s="5">
        <f>SUM(C4:C79)</f>
        <v>26150</v>
      </c>
      <c r="D2" s="5">
        <f>SUM(D4:D79)</f>
        <v>0</v>
      </c>
      <c r="E2" s="5">
        <f>C2-D2</f>
        <v>26150</v>
      </c>
      <c r="F2" s="6">
        <f>IFERROR(E2/D2, 0)</f>
        <v>0</v>
      </c>
      <c r="G2" s="5">
        <f>SUM(G4:G79)</f>
        <v>0</v>
      </c>
      <c r="H2" s="7">
        <f>C2-G2</f>
        <v>26150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62</v>
      </c>
    </row>
    <row r="4" spans="1:14" ht="43.1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26150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58</v>
      </c>
      <c r="K4" s="57" t="s">
        <v>59</v>
      </c>
      <c r="L4" s="36" t="s">
        <v>63</v>
      </c>
      <c r="M4" s="59" t="s">
        <v>52</v>
      </c>
      <c r="N4" s="59" t="s">
        <v>64</v>
      </c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081787" xr:uid="{42DC734E-FD20-4843-A63A-05C65E63D9DB}"/>
    <hyperlink ref="N4" r:id="rId2" display="https://us3.assetplanner.com/service_request?ID=105141" xr:uid="{4BBE8ACA-0714-417B-8F8B-8A0DABD5C424}"/>
    <hyperlink ref="M4" r:id="rId3" display="https://us3.assetplanner.com/service_request?ID=105558" xr:uid="{BEBD5550-C3EE-4267-BE0D-6C4021090D5E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N321"/>
  <sheetViews>
    <sheetView workbookViewId="0">
      <pane xSplit="2" ySplit="3" topLeftCell="J4" activePane="bottomRight" state="frozen"/>
      <selection pane="bottomRight" activeCell="K13" sqref="K13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.28515625" customWidth="1"/>
    <col min="13" max="14" width="8.85546875" style="58"/>
  </cols>
  <sheetData>
    <row r="1" spans="1:14" ht="19.5" customHeight="1">
      <c r="A1" s="64" t="str" cm="1">
        <f t="array" ref="A1">portfolio</f>
        <v>MA: Norton - Wheaton College</v>
      </c>
      <c r="B1" s="64"/>
      <c r="C1" s="64"/>
      <c r="D1" s="65" t="s">
        <v>65</v>
      </c>
      <c r="E1" s="65"/>
      <c r="F1" s="65"/>
      <c r="G1" s="63" t="s">
        <v>66</v>
      </c>
      <c r="H1" s="63"/>
      <c r="I1" s="63"/>
      <c r="J1" s="4"/>
      <c r="K1" s="4"/>
    </row>
    <row r="2" spans="1:14" ht="19.5" customHeight="1">
      <c r="A2" s="66" t="s">
        <v>2</v>
      </c>
      <c r="B2" s="66"/>
      <c r="C2" s="5">
        <f>SUM(C4:C79)</f>
        <v>16942</v>
      </c>
      <c r="D2" s="5">
        <f>SUM(D4:D79)</f>
        <v>0</v>
      </c>
      <c r="E2" s="5">
        <f>C2-D2</f>
        <v>16942</v>
      </c>
      <c r="F2" s="6">
        <f>IFERROR(E2/D2, 0)</f>
        <v>0</v>
      </c>
      <c r="G2" s="5">
        <f>SUM(G4:G79)</f>
        <v>0</v>
      </c>
      <c r="H2" s="7">
        <f>C2-G2</f>
        <v>16942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62</v>
      </c>
    </row>
    <row r="4" spans="1:14" ht="43.1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16942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58</v>
      </c>
      <c r="K4" s="57" t="s">
        <v>59</v>
      </c>
      <c r="L4" s="36" t="s">
        <v>63</v>
      </c>
      <c r="M4" s="59" t="s">
        <v>52</v>
      </c>
      <c r="N4" s="59" t="s">
        <v>64</v>
      </c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081787" xr:uid="{52F8041A-EB0F-488F-AD89-352F8B579D6B}"/>
    <hyperlink ref="M4" r:id="rId2" display="https://us3.assetplanner.com/service_request?ID=105558" xr:uid="{4B18645A-27D6-435B-BFC5-4D7096E3B01D}"/>
    <hyperlink ref="N4" r:id="rId3" display="https://us3.assetplanner.com/service_request?ID=105141" xr:uid="{4FB3897C-9374-4661-BD7E-B54189C164CE}"/>
  </hyperlinks>
  <pageMargins left="0.4" right="0.7" top="0.25" bottom="0.25" header="0.3" footer="0.3"/>
  <pageSetup fitToHeight="99" orientation="landscape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21"/>
  <sheetViews>
    <sheetView workbookViewId="0">
      <pane xSplit="2" ySplit="3" topLeftCell="J4" activePane="bottomRight" state="frozen"/>
      <selection pane="bottomRight" activeCell="M7" sqref="M7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3" max="14" width="8.85546875" style="58"/>
  </cols>
  <sheetData>
    <row r="1" spans="1:14" ht="19.5" customHeight="1">
      <c r="A1" s="64" t="str" cm="1">
        <f t="array" ref="A1">portfolio</f>
        <v>MA: Norton - Wheaton College</v>
      </c>
      <c r="B1" s="64"/>
      <c r="C1" s="64"/>
      <c r="D1" s="65" t="s">
        <v>67</v>
      </c>
      <c r="E1" s="65"/>
      <c r="F1" s="65"/>
      <c r="G1" s="63" t="s">
        <v>68</v>
      </c>
      <c r="H1" s="63"/>
      <c r="I1" s="63"/>
      <c r="J1" s="4"/>
      <c r="K1" s="4"/>
    </row>
    <row r="2" spans="1:14" ht="19.5" customHeight="1">
      <c r="A2" s="66" t="s">
        <v>2</v>
      </c>
      <c r="B2" s="66"/>
      <c r="C2" s="5">
        <f>SUM(C4:C79)</f>
        <v>11784</v>
      </c>
      <c r="D2" s="5">
        <f>SUM(D4:D79)</f>
        <v>0</v>
      </c>
      <c r="E2" s="5">
        <f>C2-D2</f>
        <v>11784</v>
      </c>
      <c r="F2" s="6">
        <f>IFERROR(E2/D2, 0)</f>
        <v>0</v>
      </c>
      <c r="G2" s="5">
        <f>SUM(G4:G79)</f>
        <v>0</v>
      </c>
      <c r="H2" s="7">
        <f>C2-G2</f>
        <v>11784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62</v>
      </c>
    </row>
    <row r="4" spans="1:14" ht="86.4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11784</v>
      </c>
      <c r="D4" s="12">
        <v>0</v>
      </c>
      <c r="E4" s="12">
        <f>IF(AND(ISNUMBER(C4),ISNUMBER(D4)), C4-D4, "")</f>
        <v>11784</v>
      </c>
      <c r="F4" s="13" t="str">
        <f>IFERROR(E4/D4, "")</f>
        <v/>
      </c>
      <c r="G4" s="14">
        <v>0</v>
      </c>
      <c r="H4" s="14">
        <f>IF(AND(ISNUMBER(C4),ISNUMBER(G4)), C4-G4, "")</f>
        <v>11784</v>
      </c>
      <c r="I4" s="15" t="str">
        <f>IFERROR(H4/G4, "")</f>
        <v/>
      </c>
      <c r="J4" s="36" t="s">
        <v>58</v>
      </c>
      <c r="K4" s="57" t="s">
        <v>59</v>
      </c>
      <c r="L4" s="36" t="s">
        <v>63</v>
      </c>
      <c r="M4" s="59" t="s">
        <v>52</v>
      </c>
      <c r="N4" s="59" t="s">
        <v>64</v>
      </c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081787" xr:uid="{20043097-E0B2-477D-8476-95D96DF3D0F6}"/>
    <hyperlink ref="M4" r:id="rId2" display="https://us3.assetplanner.com/service_request?ID=105558" xr:uid="{7AC861BB-17FF-4D34-B64D-03A1913E9293}"/>
    <hyperlink ref="N4" r:id="rId3" display="https://us3.assetplanner.com/service_request?ID=105141" xr:uid="{2E449359-A79D-4307-BF23-859CD8355730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69</v>
      </c>
      <c r="B1" t="s">
        <v>70</v>
      </c>
    </row>
    <row r="3" spans="1:12" ht="13.15">
      <c r="A3" t="s">
        <v>71</v>
      </c>
      <c r="B3" t="s">
        <v>3</v>
      </c>
      <c r="C3" t="s">
        <v>4</v>
      </c>
      <c r="D3" t="s">
        <v>72</v>
      </c>
      <c r="E3" s="2" t="s">
        <v>73</v>
      </c>
    </row>
    <row r="4" spans="1:12" ht="14.45">
      <c r="A4" s="45" t="s">
        <v>74</v>
      </c>
      <c r="B4" t="s">
        <v>70</v>
      </c>
      <c r="C4" s="43" t="s">
        <v>75</v>
      </c>
      <c r="D4" s="42" t="s">
        <v>76</v>
      </c>
      <c r="E4" t="s">
        <v>77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E21C0B9D-8CD9-48A6-8C1B-6D5E9041C23E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2026-01-22T20:38:40Z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0979899d-3f2d-44af-b376-8ac31d51a25b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