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lad\Downloads\"/>
    </mc:Choice>
  </mc:AlternateContent>
  <xr:revisionPtr revIDLastSave="0" documentId="13_ncr:1_{64C3B09A-28E1-4B80-99A1-37E9E8D47065}" xr6:coauthVersionLast="47" xr6:coauthVersionMax="47" xr10:uidLastSave="{00000000-0000-0000-0000-000000000000}"/>
  <bookViews>
    <workbookView xWindow="-110" yWindow="-110" windowWidth="19420" windowHeight="11500" tabRatio="866" xr2:uid="{00000000-000D-0000-FFFF-FFFF00000000}"/>
  </bookViews>
  <sheets>
    <sheet name="Year to Date" sheetId="2" r:id="rId1"/>
    <sheet name="1st Qtr" sheetId="3" r:id="rId2"/>
    <sheet name="2nd Qtr" sheetId="4" r:id="rId3"/>
    <sheet name="3rd Qtr" sheetId="5" r:id="rId4"/>
    <sheet name="4th Qtr" sheetId="6" r:id="rId5"/>
    <sheet name="Jan" sheetId="7" r:id="rId6"/>
    <sheet name="Feb" sheetId="8" r:id="rId7"/>
    <sheet name="Mar" sheetId="9" r:id="rId8"/>
    <sheet name="Apr" sheetId="10" r:id="rId9"/>
    <sheet name="May" sheetId="11" r:id="rId10"/>
    <sheet name="Jun" sheetId="12" r:id="rId11"/>
    <sheet name="Jul" sheetId="13" r:id="rId12"/>
    <sheet name="Aug" sheetId="14" r:id="rId13"/>
    <sheet name="Sep" sheetId="15" r:id="rId14"/>
    <sheet name="Oct" sheetId="16" r:id="rId15"/>
    <sheet name="Nov" sheetId="17" r:id="rId16"/>
    <sheet name="Dec" sheetId="18" r:id="rId17"/>
    <sheet name="Sites" sheetId="19" r:id="rId18"/>
  </sheets>
  <definedNames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8" l="1"/>
  <c r="H5" i="18"/>
  <c r="F5" i="18"/>
  <c r="E5" i="18"/>
  <c r="H4" i="18"/>
  <c r="I4" i="18" s="1"/>
  <c r="E4" i="18"/>
  <c r="F4" i="18" s="1"/>
  <c r="B4" i="18" a="1"/>
  <c r="B5" i="18" s="1"/>
  <c r="A4" i="18" a="1"/>
  <c r="A5" i="18" s="1"/>
  <c r="G2" i="18"/>
  <c r="D2" i="18"/>
  <c r="C2" i="18"/>
  <c r="J2" i="18" s="1"/>
  <c r="A1" i="18" a="1"/>
  <c r="A1" i="18" s="1"/>
  <c r="H5" i="16"/>
  <c r="I5" i="16" s="1"/>
  <c r="F5" i="16"/>
  <c r="E5" i="16"/>
  <c r="I4" i="16"/>
  <c r="H4" i="16"/>
  <c r="F4" i="16"/>
  <c r="E4" i="16"/>
  <c r="B4" i="16" a="1"/>
  <c r="B5" i="16" s="1"/>
  <c r="A4" i="16" a="1"/>
  <c r="A5" i="16" s="1"/>
  <c r="A4" i="16"/>
  <c r="J2" i="16"/>
  <c r="H2" i="16"/>
  <c r="I2" i="16" s="1"/>
  <c r="G2" i="16"/>
  <c r="D2" i="16"/>
  <c r="C2" i="16"/>
  <c r="E2" i="16" s="1"/>
  <c r="F2" i="16" s="1"/>
  <c r="A1" i="16" a="1"/>
  <c r="A1" i="16" s="1"/>
  <c r="H5" i="15"/>
  <c r="I5" i="15" s="1"/>
  <c r="E5" i="15"/>
  <c r="F5" i="15" s="1"/>
  <c r="I4" i="15"/>
  <c r="H4" i="15"/>
  <c r="F4" i="15"/>
  <c r="E4" i="15"/>
  <c r="B4" i="15" a="1"/>
  <c r="B5" i="15" s="1"/>
  <c r="A4" i="15" a="1"/>
  <c r="A5" i="15" s="1"/>
  <c r="J2" i="15"/>
  <c r="G2" i="15"/>
  <c r="H2" i="15" s="1"/>
  <c r="I2" i="15" s="1"/>
  <c r="D2" i="15"/>
  <c r="C2" i="15"/>
  <c r="E2" i="15" s="1"/>
  <c r="F2" i="15" s="1"/>
  <c r="A1" i="15" a="1"/>
  <c r="A1" i="15" s="1"/>
  <c r="I5" i="14"/>
  <c r="H5" i="14"/>
  <c r="F5" i="14"/>
  <c r="E5" i="14"/>
  <c r="I4" i="14"/>
  <c r="H4" i="14"/>
  <c r="E4" i="14"/>
  <c r="F4" i="14" s="1"/>
  <c r="B4" i="14" a="1"/>
  <c r="B5" i="14" s="1"/>
  <c r="B4" i="14"/>
  <c r="A4" i="14" a="1"/>
  <c r="A4" i="14" s="1"/>
  <c r="H2" i="14"/>
  <c r="I2" i="14" s="1"/>
  <c r="G2" i="14"/>
  <c r="D2" i="14"/>
  <c r="C2" i="14"/>
  <c r="J2" i="14" s="1"/>
  <c r="A1" i="14" a="1"/>
  <c r="A1" i="14" s="1"/>
  <c r="I5" i="13"/>
  <c r="H5" i="13"/>
  <c r="F5" i="13"/>
  <c r="E5" i="13"/>
  <c r="I4" i="13"/>
  <c r="H4" i="13"/>
  <c r="F4" i="13"/>
  <c r="E4" i="13"/>
  <c r="B4" i="13" a="1"/>
  <c r="B5" i="13" s="1"/>
  <c r="B4" i="13"/>
  <c r="A4" i="13" a="1"/>
  <c r="A5" i="13" s="1"/>
  <c r="J2" i="13"/>
  <c r="H2" i="13"/>
  <c r="I2" i="13" s="1"/>
  <c r="G2" i="13"/>
  <c r="D2" i="13"/>
  <c r="C2" i="13"/>
  <c r="E2" i="13" s="1"/>
  <c r="F2" i="13" s="1"/>
  <c r="A1" i="13" a="1"/>
  <c r="A1" i="13" s="1"/>
  <c r="H5" i="12"/>
  <c r="I5" i="12" s="1"/>
  <c r="F5" i="12"/>
  <c r="E5" i="12"/>
  <c r="I4" i="12"/>
  <c r="H4" i="12"/>
  <c r="F4" i="12"/>
  <c r="E4" i="12"/>
  <c r="B4" i="12" a="1"/>
  <c r="B5" i="12" s="1"/>
  <c r="B4" i="12"/>
  <c r="A4" i="12" a="1"/>
  <c r="A5" i="12" s="1"/>
  <c r="G2" i="12"/>
  <c r="D2" i="12"/>
  <c r="C2" i="12"/>
  <c r="H2" i="12" s="1"/>
  <c r="I2" i="12" s="1"/>
  <c r="A1" i="12" a="1"/>
  <c r="A1" i="12" s="1"/>
  <c r="I5" i="11"/>
  <c r="H5" i="11"/>
  <c r="F5" i="11"/>
  <c r="E5" i="11"/>
  <c r="H4" i="11"/>
  <c r="H4" i="4" s="1"/>
  <c r="I4" i="4" s="1"/>
  <c r="F4" i="11"/>
  <c r="E4" i="11"/>
  <c r="B5" i="11"/>
  <c r="B4" i="11" a="1"/>
  <c r="B4" i="11"/>
  <c r="A4" i="11" a="1"/>
  <c r="A5" i="11" s="1"/>
  <c r="J2" i="11"/>
  <c r="H2" i="11"/>
  <c r="I2" i="11" s="1"/>
  <c r="G2" i="11"/>
  <c r="D2" i="11"/>
  <c r="E2" i="11" s="1"/>
  <c r="F2" i="11" s="1"/>
  <c r="C2" i="11"/>
  <c r="A1" i="11" a="1"/>
  <c r="A1" i="11" s="1"/>
  <c r="I5" i="10"/>
  <c r="H5" i="10"/>
  <c r="F5" i="10"/>
  <c r="E5" i="10"/>
  <c r="I4" i="10"/>
  <c r="H4" i="10"/>
  <c r="F4" i="10"/>
  <c r="E4" i="10"/>
  <c r="B4" i="10" a="1"/>
  <c r="B5" i="10" s="1"/>
  <c r="B4" i="10"/>
  <c r="A4" i="10" a="1"/>
  <c r="A5" i="10" s="1"/>
  <c r="J2" i="10"/>
  <c r="H2" i="10"/>
  <c r="I2" i="10" s="1"/>
  <c r="G2" i="10"/>
  <c r="D2" i="10"/>
  <c r="E2" i="10" s="1"/>
  <c r="F2" i="10" s="1"/>
  <c r="C2" i="10"/>
  <c r="A1" i="10" a="1"/>
  <c r="A1" i="10" s="1"/>
  <c r="I5" i="9"/>
  <c r="H5" i="9"/>
  <c r="F5" i="9"/>
  <c r="E5" i="9"/>
  <c r="I4" i="9"/>
  <c r="H4" i="9"/>
  <c r="H4" i="3" s="1"/>
  <c r="F4" i="9"/>
  <c r="E4" i="9"/>
  <c r="B5" i="9"/>
  <c r="B4" i="9" a="1"/>
  <c r="B4" i="9"/>
  <c r="A4" i="9" a="1"/>
  <c r="A5" i="9" s="1"/>
  <c r="A4" i="9"/>
  <c r="J2" i="9"/>
  <c r="H2" i="9"/>
  <c r="I2" i="9" s="1"/>
  <c r="G2" i="9"/>
  <c r="D2" i="9"/>
  <c r="E2" i="9" s="1"/>
  <c r="F2" i="9" s="1"/>
  <c r="C2" i="9"/>
  <c r="A1" i="9" a="1"/>
  <c r="A1" i="9" s="1"/>
  <c r="I5" i="8"/>
  <c r="H5" i="8"/>
  <c r="E5" i="8"/>
  <c r="F5" i="8" s="1"/>
  <c r="I4" i="8"/>
  <c r="H4" i="8"/>
  <c r="F4" i="8"/>
  <c r="E4" i="8"/>
  <c r="B5" i="8"/>
  <c r="B4" i="8" a="1"/>
  <c r="B4" i="8"/>
  <c r="A4" i="8" a="1"/>
  <c r="A5" i="8" s="1"/>
  <c r="J2" i="8"/>
  <c r="G2" i="8"/>
  <c r="H2" i="8" s="1"/>
  <c r="I2" i="8" s="1"/>
  <c r="D2" i="8"/>
  <c r="E2" i="8" s="1"/>
  <c r="F2" i="8" s="1"/>
  <c r="C2" i="8"/>
  <c r="A1" i="8" a="1"/>
  <c r="A1" i="8" s="1"/>
  <c r="I5" i="7"/>
  <c r="H5" i="7"/>
  <c r="F5" i="7"/>
  <c r="E5" i="7"/>
  <c r="I4" i="7"/>
  <c r="H4" i="7"/>
  <c r="E4" i="7"/>
  <c r="F4" i="7" s="1"/>
  <c r="B5" i="7"/>
  <c r="B4" i="7" a="1"/>
  <c r="B4" i="7"/>
  <c r="A4" i="7" a="1"/>
  <c r="A4" i="7" s="1"/>
  <c r="J2" i="7"/>
  <c r="H2" i="7"/>
  <c r="I2" i="7" s="1"/>
  <c r="G2" i="7"/>
  <c r="D2" i="7"/>
  <c r="C2" i="7"/>
  <c r="E2" i="7" s="1"/>
  <c r="F2" i="7" s="1"/>
  <c r="A1" i="7" a="1"/>
  <c r="A1" i="7" s="1"/>
  <c r="G5" i="6"/>
  <c r="G2" i="6" s="1"/>
  <c r="E5" i="6"/>
  <c r="F5" i="6" s="1"/>
  <c r="D5" i="6"/>
  <c r="C5" i="6"/>
  <c r="C5" i="2" s="1"/>
  <c r="G4" i="6"/>
  <c r="D4" i="6"/>
  <c r="E4" i="6" s="1"/>
  <c r="F4" i="6" s="1"/>
  <c r="C4" i="6"/>
  <c r="B5" i="6"/>
  <c r="B4" i="6" a="1"/>
  <c r="B4" i="6"/>
  <c r="A4" i="6" a="1"/>
  <c r="A5" i="6" s="1"/>
  <c r="A1" i="6" a="1"/>
  <c r="A1" i="6" s="1"/>
  <c r="H5" i="5"/>
  <c r="I5" i="5" s="1"/>
  <c r="G5" i="5"/>
  <c r="D5" i="5"/>
  <c r="E5" i="5" s="1"/>
  <c r="F5" i="5" s="1"/>
  <c r="C5" i="5"/>
  <c r="H4" i="5"/>
  <c r="G4" i="5"/>
  <c r="I4" i="5" s="1"/>
  <c r="D4" i="5"/>
  <c r="D2" i="5" s="1"/>
  <c r="C4" i="5"/>
  <c r="E4" i="5" s="1"/>
  <c r="F4" i="5" s="1"/>
  <c r="B4" i="5" a="1"/>
  <c r="B4" i="5" s="1"/>
  <c r="A5" i="5"/>
  <c r="A4" i="5" a="1"/>
  <c r="A4" i="5"/>
  <c r="A1" i="5" a="1"/>
  <c r="A1" i="5" s="1"/>
  <c r="H5" i="4"/>
  <c r="G5" i="4"/>
  <c r="G5" i="2" s="1"/>
  <c r="E5" i="4"/>
  <c r="F5" i="4" s="1"/>
  <c r="D5" i="4"/>
  <c r="C5" i="4"/>
  <c r="G4" i="4"/>
  <c r="G2" i="4" s="1"/>
  <c r="D4" i="4"/>
  <c r="E4" i="4" s="1"/>
  <c r="F4" i="4" s="1"/>
  <c r="C4" i="4"/>
  <c r="B5" i="4"/>
  <c r="B4" i="4" a="1"/>
  <c r="B4" i="4"/>
  <c r="A4" i="4" a="1"/>
  <c r="A5" i="4" s="1"/>
  <c r="C2" i="4"/>
  <c r="A1" i="4" a="1"/>
  <c r="A1" i="4"/>
  <c r="H5" i="3"/>
  <c r="I5" i="3" s="1"/>
  <c r="G5" i="3"/>
  <c r="D5" i="3"/>
  <c r="E5" i="3" s="1"/>
  <c r="F5" i="3" s="1"/>
  <c r="C5" i="3"/>
  <c r="G4" i="3"/>
  <c r="G2" i="3" s="1"/>
  <c r="D4" i="3"/>
  <c r="C4" i="3"/>
  <c r="C4" i="2" s="1"/>
  <c r="B4" i="3" a="1"/>
  <c r="B5" i="3" s="1"/>
  <c r="A5" i="3"/>
  <c r="A4" i="3" a="1"/>
  <c r="A4" i="3"/>
  <c r="D2" i="3"/>
  <c r="A1" i="3" a="1"/>
  <c r="A1" i="3" s="1"/>
  <c r="G4" i="2"/>
  <c r="D4" i="2"/>
  <c r="B5" i="2"/>
  <c r="B4" i="2" a="1"/>
  <c r="B4" i="2"/>
  <c r="A4" i="2" a="1"/>
  <c r="A5" i="2" s="1"/>
  <c r="A1" i="2" a="1"/>
  <c r="A1" i="2"/>
  <c r="H5" i="17"/>
  <c r="I5" i="17" s="1"/>
  <c r="E5" i="17"/>
  <c r="F5" i="17" s="1"/>
  <c r="H4" i="17"/>
  <c r="H4" i="6" s="1"/>
  <c r="I4" i="6" s="1"/>
  <c r="E4" i="17"/>
  <c r="F4" i="17" s="1"/>
  <c r="B4" i="17" a="1"/>
  <c r="B5" i="17" s="1"/>
  <c r="A5" i="17"/>
  <c r="A4" i="17" a="1"/>
  <c r="A4" i="17"/>
  <c r="G2" i="17"/>
  <c r="D2" i="17"/>
  <c r="C2" i="17"/>
  <c r="J2" i="17" s="1"/>
  <c r="A1" i="17" a="1"/>
  <c r="A1" i="17"/>
  <c r="C2" i="2" l="1"/>
  <c r="E4" i="2"/>
  <c r="F4" i="2" s="1"/>
  <c r="G2" i="2"/>
  <c r="H2" i="4"/>
  <c r="I2" i="4" s="1"/>
  <c r="I4" i="3"/>
  <c r="H4" i="2"/>
  <c r="I4" i="2" s="1"/>
  <c r="B4" i="17"/>
  <c r="C2" i="3"/>
  <c r="B5" i="5"/>
  <c r="H5" i="6"/>
  <c r="I5" i="6" s="1"/>
  <c r="A5" i="7"/>
  <c r="A4" i="10"/>
  <c r="E2" i="12"/>
  <c r="F2" i="12" s="1"/>
  <c r="A5" i="14"/>
  <c r="A4" i="18"/>
  <c r="A4" i="13"/>
  <c r="B4" i="18"/>
  <c r="D2" i="4"/>
  <c r="C2" i="5"/>
  <c r="E2" i="4"/>
  <c r="F2" i="4" s="1"/>
  <c r="C2" i="6"/>
  <c r="I4" i="11"/>
  <c r="J2" i="12"/>
  <c r="I4" i="17"/>
  <c r="A4" i="2"/>
  <c r="D5" i="2"/>
  <c r="E5" i="2" s="1"/>
  <c r="F5" i="2" s="1"/>
  <c r="G2" i="5"/>
  <c r="A4" i="12"/>
  <c r="E2" i="14"/>
  <c r="F2" i="14" s="1"/>
  <c r="B4" i="16"/>
  <c r="D2" i="6"/>
  <c r="E2" i="17"/>
  <c r="F2" i="17" s="1"/>
  <c r="H2" i="17"/>
  <c r="I2" i="17" s="1"/>
  <c r="A4" i="4"/>
  <c r="A4" i="8"/>
  <c r="A4" i="15"/>
  <c r="E2" i="18"/>
  <c r="F2" i="18" s="1"/>
  <c r="I5" i="4"/>
  <c r="E4" i="3"/>
  <c r="F4" i="3" s="1"/>
  <c r="H5" i="2"/>
  <c r="I5" i="2" s="1"/>
  <c r="B4" i="3"/>
  <c r="A4" i="6"/>
  <c r="A4" i="11"/>
  <c r="B4" i="15"/>
  <c r="H2" i="18"/>
  <c r="I2" i="18" s="1"/>
  <c r="H2" i="3" l="1"/>
  <c r="I2" i="3" s="1"/>
  <c r="E2" i="3"/>
  <c r="F2" i="3" s="1"/>
  <c r="H2" i="6"/>
  <c r="I2" i="6" s="1"/>
  <c r="E2" i="6"/>
  <c r="F2" i="6" s="1"/>
  <c r="D2" i="2"/>
  <c r="E2" i="2" s="1"/>
  <c r="F2" i="2" s="1"/>
  <c r="H2" i="5"/>
  <c r="I2" i="5" s="1"/>
  <c r="E2" i="5"/>
  <c r="F2" i="5" s="1"/>
  <c r="H2" i="2"/>
  <c r="I2" i="2" s="1"/>
</calcChain>
</file>

<file path=xl/sharedStrings.xml><?xml version="1.0" encoding="utf-8"?>
<sst xmlns="http://schemas.openxmlformats.org/spreadsheetml/2006/main" count="307" uniqueCount="74">
  <si>
    <t>November Actual v. Expected</t>
  </si>
  <si>
    <t>November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</si>
  <si>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</si>
  <si>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</si>
  <si>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</si>
  <si>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</si>
  <si>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</si>
  <si>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</si>
  <si>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</si>
  <si>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</si>
  <si>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Notes</t>
  </si>
  <si>
    <t>Service Requests</t>
  </si>
  <si>
    <t>Status</t>
  </si>
  <si>
    <t>N/A</t>
  </si>
  <si>
    <t>1.  Inverters 1 and 2 were turning on and off repeatedly during high irradiance. 
2. Site was not communicated from 11/22 to end of the month but was online at the site.</t>
  </si>
  <si>
    <t>1. SR098036
2. SR111671</t>
  </si>
  <si>
    <t>1. Pending
2. Closed</t>
  </si>
  <si>
    <t>SR111671</t>
  </si>
  <si>
    <t>Year to Date Actual v. Expected</t>
  </si>
  <si>
    <t>Year to Date Actual v. 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</si>
  <si>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</si>
  <si>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</si>
  <si>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</si>
  <si>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</si>
  <si>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</si>
  <si>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</si>
  <si>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</si>
  <si>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</si>
  <si>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</si>
  <si>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</si>
  <si>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1. Low generation due to snow/rain.</t>
  </si>
  <si>
    <t>February Actual v. Expected</t>
  </si>
  <si>
    <t>February Actual v. Forecasted</t>
  </si>
  <si>
    <t>1.Site was offline from 7:00AM to 14:00 on 02/08.</t>
  </si>
  <si>
    <t>1.SR096528</t>
  </si>
  <si>
    <t>March Actual v. Expected</t>
  </si>
  <si>
    <t>March Actual v. Forecasted</t>
  </si>
  <si>
    <t>1.Inverters 1 and 2 are turning on and off repeatedly during high irradiance, likely an imbalance in the array.</t>
  </si>
  <si>
    <t>1.SR098036</t>
  </si>
  <si>
    <t>April Actual v. Expected</t>
  </si>
  <si>
    <t>April Actual v. Forecasted</t>
  </si>
  <si>
    <t>1.Inverters 1 and 2 are turning on and off repeatedly during  periods of high irradiance due to an imbalance in the array throughout the month.</t>
  </si>
  <si>
    <t>May Actual v. Expected</t>
  </si>
  <si>
    <t>May Actual v. Forecasted</t>
  </si>
  <si>
    <t>June Actual v. Expected</t>
  </si>
  <si>
    <t>June Actual v. Forecasted</t>
  </si>
  <si>
    <t>1. SR098036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</si>
  <si>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</si>
  <si>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</si>
  <si>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</si>
  <si>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</si>
  <si>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</si>
  <si>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</si>
  <si>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</si>
  <si>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</si>
  <si>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 xml:space="preserve">1.  Inverters 1 and 2 were turning on and off repeatedly during high irradiance. </t>
  </si>
  <si>
    <t>1. Pending</t>
  </si>
  <si>
    <t>December Actual v. Expected</t>
  </si>
  <si>
    <t>December Actual v. Forecasted</t>
  </si>
  <si>
    <t xml:space="preserve">1.  Inverters 1 and 2 were turning on and off repeatedly during high irradiance. 
</t>
  </si>
  <si>
    <t xml:space="preserve">1. SR098036
</t>
  </si>
  <si>
    <t>1.Meter was offline on 12/14 and again offline on 12/27,12/28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</si>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</sst>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242424"/>
      <name val="Aptos Narrow"/>
      <charset val="1"/>
    </font>
    <font>
      <u/>
      <sz val="10"/>
      <color theme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2" fillId="0" borderId="0"/>
    <xf numFmtId="9" fontId="2" fillId="0" borderId="0"/>
    <xf numFmtId="0" fontId="1" fillId="0" borderId="0"/>
    <xf numFmtId="0" fontId="1" fillId="5" borderId="2"/>
    <xf numFmtId="0" fontId="20" fillId="0" borderId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3" fontId="9" fillId="6" borderId="1" xfId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12" fillId="10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64" fontId="12" fillId="0" borderId="0" xfId="1" applyNumberFormat="1" applyFont="1" applyAlignment="1">
      <alignment horizontal="center" vertical="center"/>
    </xf>
    <xf numFmtId="49" fontId="11" fillId="10" borderId="0" xfId="0" applyNumberFormat="1" applyFont="1" applyFill="1" applyAlignment="1">
      <alignment horizontal="center" vertical="center"/>
    </xf>
    <xf numFmtId="3" fontId="14" fillId="3" borderId="0" xfId="0" applyNumberFormat="1" applyFont="1" applyFill="1" applyAlignment="1">
      <alignment horizontal="right" vertical="center"/>
    </xf>
    <xf numFmtId="9" fontId="14" fillId="3" borderId="0" xfId="2" applyFont="1" applyFill="1" applyAlignment="1">
      <alignment horizontal="center" vertical="center"/>
    </xf>
    <xf numFmtId="3" fontId="14" fillId="4" borderId="0" xfId="1" applyNumberFormat="1" applyFont="1" applyFill="1" applyAlignment="1">
      <alignment vertical="center"/>
    </xf>
    <xf numFmtId="9" fontId="14" fillId="7" borderId="0" xfId="2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9" fontId="14" fillId="0" borderId="0" xfId="2" applyFont="1" applyAlignment="1">
      <alignment horizontal="center" vertical="center"/>
    </xf>
    <xf numFmtId="3" fontId="14" fillId="0" borderId="0" xfId="1" applyNumberFormat="1" applyFont="1" applyAlignment="1">
      <alignment vertical="center"/>
    </xf>
    <xf numFmtId="0" fontId="16" fillId="0" borderId="0" xfId="0" applyFont="1"/>
    <xf numFmtId="9" fontId="15" fillId="0" borderId="0" xfId="2" applyFont="1" applyAlignment="1">
      <alignment horizontal="center"/>
    </xf>
    <xf numFmtId="0" fontId="13" fillId="13" borderId="1" xfId="0" applyFont="1" applyFill="1" applyBorder="1" applyAlignment="1">
      <alignment horizontal="center" vertical="center" wrapText="1"/>
    </xf>
    <xf numFmtId="164" fontId="12" fillId="14" borderId="0" xfId="1" applyNumberFormat="1" applyFont="1" applyFill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2" borderId="3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10" borderId="0" xfId="0" applyFont="1" applyFill="1" applyAlignment="1">
      <alignment horizontal="center"/>
    </xf>
    <xf numFmtId="0" fontId="14" fillId="0" borderId="0" xfId="0" applyFont="1"/>
    <xf numFmtId="0" fontId="9" fillId="0" borderId="0" xfId="0" applyFont="1"/>
    <xf numFmtId="0" fontId="8" fillId="11" borderId="1" xfId="0" applyFont="1" applyFill="1" applyBorder="1" applyAlignment="1">
      <alignment horizontal="center" vertical="center" wrapText="1"/>
    </xf>
    <xf numFmtId="9" fontId="8" fillId="11" borderId="1" xfId="2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 wrapText="1"/>
    </xf>
    <xf numFmtId="9" fontId="8" fillId="12" borderId="1" xfId="2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49" fontId="14" fillId="8" borderId="0" xfId="2" applyNumberFormat="1" applyFont="1" applyFill="1" applyAlignment="1">
      <alignment vertical="top" wrapText="1"/>
    </xf>
    <xf numFmtId="49" fontId="12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14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3" applyFont="1" applyAlignment="1">
      <alignment horizontal="center" vertical="center"/>
    </xf>
    <xf numFmtId="49" fontId="11" fillId="10" borderId="0" xfId="0" applyNumberFormat="1" applyFont="1" applyFill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18" fillId="10" borderId="0" xfId="0" applyFont="1" applyFill="1" applyAlignment="1">
      <alignment horizontal="left"/>
    </xf>
    <xf numFmtId="0" fontId="11" fillId="0" borderId="0" xfId="0" applyFont="1" applyAlignment="1">
      <alignment horizontal="left" vertical="center"/>
    </xf>
    <xf numFmtId="0" fontId="6" fillId="0" borderId="0" xfId="3" applyFont="1" applyAlignment="1">
      <alignment horizontal="center" vertical="top"/>
    </xf>
    <xf numFmtId="3" fontId="19" fillId="0" borderId="0" xfId="0" applyNumberFormat="1" applyFont="1"/>
    <xf numFmtId="3" fontId="14" fillId="4" borderId="0" xfId="1" applyNumberFormat="1" applyFont="1" applyFill="1" applyAlignment="1">
      <alignment horizontal="right" vertical="center"/>
    </xf>
    <xf numFmtId="49" fontId="20" fillId="0" borderId="0" xfId="5" applyNumberFormat="1" applyAlignment="1">
      <alignment vertical="center" wrapText="1"/>
    </xf>
    <xf numFmtId="49" fontId="20" fillId="8" borderId="0" xfId="5" applyNumberFormat="1" applyFill="1" applyAlignment="1">
      <alignment vertical="top" wrapText="1"/>
    </xf>
    <xf numFmtId="3" fontId="14" fillId="4" borderId="0" xfId="1" applyNumberFormat="1" applyFont="1" applyFill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20" fillId="0" borderId="0" xfId="5" applyAlignment="1">
      <alignment horizontal="left" vertical="top"/>
    </xf>
    <xf numFmtId="0" fontId="10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3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6">
    <cellStyle name="Comma" xfId="1" builtinId="3"/>
    <cellStyle name="Hyperlink" xfId="5" builtinId="8"/>
    <cellStyle name="Normal" xfId="0" builtinId="0"/>
    <cellStyle name="Normal 2" xfId="3" xr:uid="{00000000-0005-0000-0000-00002B000000}"/>
    <cellStyle name="Note 2" xfId="4" xr:uid="{00000000-0005-0000-0000-00002C000000}"/>
    <cellStyle name="Percent" xfId="2" builtinId="5"/>
  </cellStyles>
  <dxfs count="3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top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left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s" displayName="Sites" ref="A3:E5" totalsRowShown="0">
  <autoFilter ref="A3:E5" xr:uid="{00000000-0009-0000-0100-000001000000}"/>
  <sortState xmlns:xlrd2="http://schemas.microsoft.com/office/spreadsheetml/2017/richdata2" ref="A4:D6">
    <sortCondition ref="C3:C6"/>
  </sortState>
  <tableColumns count="5">
    <tableColumn id="3" xr3:uid="{00000000-0010-0000-0000-000003000000}" name="Site DAS Name" dataDxfId="37" dataCellStyle="Normal 2"/>
    <tableColumn id="1" xr3:uid="{00000000-0010-0000-0000-000001000000}" name="Site" dataDxfId="36" dataCellStyle="Normal 2"/>
    <tableColumn id="2" xr3:uid="{00000000-0010-0000-0000-000002000000}" name="State" dataDxfId="35" dataCellStyle="Normal 2"/>
    <tableColumn id="5" xr3:uid="{00000000-0010-0000-0000-000005000000}" name="Update" dataDxfId="34"/>
    <tableColumn id="4" xr3:uid="{00000000-0010-0000-0000-000004000000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52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11671" TargetMode="External"/><Relationship Id="rId1" Type="http://schemas.openxmlformats.org/officeDocument/2006/relationships/hyperlink" Target="https://us3.assetplanner.com/service_request?ID=098036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311"/>
  <sheetViews>
    <sheetView tabSelected="1" workbookViewId="0">
      <pane xSplit="2" ySplit="3" topLeftCell="C4" activePane="bottomRight" state="frozen"/>
      <selection pane="topRight" activeCell="A15" sqref="A15"/>
      <selection pane="bottomLeft" activeCell="A15" sqref="A15"/>
      <selection pane="bottomRight" activeCell="E17" sqref="E17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0" t="str">
        <f t="array" ref="A1">portfolio</f>
        <v>American Polyfilm, Inc.</v>
      </c>
      <c r="B1" s="61"/>
      <c r="C1" s="62"/>
      <c r="D1" s="63" t="s">
        <v>18</v>
      </c>
      <c r="E1" s="61"/>
      <c r="F1" s="62"/>
      <c r="G1" s="65" t="s">
        <v>19</v>
      </c>
      <c r="H1" s="61"/>
      <c r="I1" s="62"/>
    </row>
    <row r="2" spans="1:9" ht="19.5" customHeight="1" x14ac:dyDescent="0.25">
      <c r="A2" s="64" t="s">
        <v>2</v>
      </c>
      <c r="B2" s="62"/>
      <c r="C2" s="5">
        <f>SUM(C4:C69)</f>
        <v>229622.71500000011</v>
      </c>
      <c r="D2" s="5">
        <f>SUM(D4:D69)</f>
        <v>0</v>
      </c>
      <c r="E2" s="5">
        <f>C2-D2</f>
        <v>229622.71500000011</v>
      </c>
      <c r="F2" s="6">
        <f>IFERROR(E2/D2, 0)</f>
        <v>0</v>
      </c>
      <c r="G2" s="5">
        <f>SUM(G4:G69)</f>
        <v>135527.09700000001</v>
      </c>
      <c r="H2" s="7">
        <f>C2-G2</f>
        <v>94095.618000000104</v>
      </c>
      <c r="I2" s="6">
        <f>IFERROR(H2/G2, 0)</f>
        <v>0.69429376178551283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5" customHeight="1" x14ac:dyDescent="0.25">
      <c r="A4" s="12" t="str">
        <f t="array" ref="A4:A5">Sites[Site]</f>
        <v>15 Baldwin Dr</v>
      </c>
      <c r="B4" s="9" t="str">
        <f t="array" ref="B4:B5">Sites[State]</f>
        <v>CT</v>
      </c>
      <c r="C4" s="24">
        <f>SUM('1st Qtr'!C4, '2nd Qtr'!C4, '3rd Qtr'!C4, '4th Qtr'!C4)</f>
        <v>74616.915000000008</v>
      </c>
      <c r="D4" s="13">
        <f>SUM('1st Qtr'!D4, '2nd Qtr'!D4, '3rd Qtr'!D4, '4th Qtr'!D4)</f>
        <v>0</v>
      </c>
      <c r="E4" s="13">
        <f>IF(AND(ISNUMBER(C4),ISNUMBER(D4)), C4-D4, "")</f>
        <v>74616.915000000008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5" customHeight="1" x14ac:dyDescent="0.25">
      <c r="A5" s="17" t="str">
        <v>8 Sycamore Way</v>
      </c>
      <c r="B5" s="10" t="str">
        <v>CT</v>
      </c>
      <c r="C5" s="11">
        <f>SUM('1st Qtr'!C5, '2nd Qtr'!C5, '3rd Qtr'!C5, '4th Qtr'!C5)</f>
        <v>155005.8000000001</v>
      </c>
      <c r="D5" s="20">
        <f>SUM('1st Qtr'!D5, '2nd Qtr'!D5, '3rd Qtr'!D5, '4th Qtr'!D5)</f>
        <v>0</v>
      </c>
      <c r="E5" s="18">
        <f>IF(AND(ISNUMBER(C5),ISNUMBER(D5)), C5-D5, "")</f>
        <v>155005.8000000001</v>
      </c>
      <c r="F5" s="19" t="str">
        <f>IFERROR(E5/D5, "")</f>
        <v/>
      </c>
      <c r="G5" s="20">
        <f>SUM('1st Qtr'!G5, '2nd Qtr'!G5, '3rd Qtr'!G5, '4th Qtr'!G5)</f>
        <v>135527.09700000001</v>
      </c>
      <c r="H5" s="20">
        <f>SUM('1st Qtr'!H5, '2nd Qtr'!H5, '3rd Qtr'!H5, '4th Qtr'!H5)</f>
        <v>19478.7030000001</v>
      </c>
      <c r="I5" s="19">
        <f>IFERROR(H5/G5, "")</f>
        <v>0.14372552376002046</v>
      </c>
    </row>
    <row r="6" spans="1:9" ht="13.9" customHeight="1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.9" customHeight="1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.9" customHeight="1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.9" customHeight="1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.9" customHeight="1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 customHeight="1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 customHeight="1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 customHeight="1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 customHeight="1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 customHeight="1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 customHeight="1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 customHeight="1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 customHeight="1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 customHeight="1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 customHeight="1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 customHeight="1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 customHeight="1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 customHeight="1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 customHeight="1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 customHeight="1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 customHeight="1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 customHeight="1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 customHeight="1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 customHeight="1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 customHeight="1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 customHeight="1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 customHeight="1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 customHeight="1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 customHeight="1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 customHeight="1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 customHeight="1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 customHeight="1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 customHeight="1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 customHeight="1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 customHeight="1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 customHeight="1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 customHeight="1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 customHeight="1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 customHeight="1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 customHeight="1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 customHeight="1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 customHeight="1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 customHeight="1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 customHeight="1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 customHeight="1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 customHeight="1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 customHeight="1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 customHeight="1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 customHeight="1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 customHeight="1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 customHeight="1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 customHeight="1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 customHeight="1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 customHeight="1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 customHeight="1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 customHeight="1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 customHeight="1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 customHeight="1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 customHeight="1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 customHeight="1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 customHeight="1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 customHeight="1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 customHeight="1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 customHeight="1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 customHeight="1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 customHeight="1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 customHeight="1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 customHeight="1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 customHeight="1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 customHeight="1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 customHeight="1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 customHeight="1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 customHeight="1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 customHeight="1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 customHeight="1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 customHeight="1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 customHeight="1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 customHeight="1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 customHeight="1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 customHeight="1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 customHeight="1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 customHeight="1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 customHeight="1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 customHeight="1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 customHeight="1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 customHeight="1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 customHeight="1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 customHeight="1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 customHeight="1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 customHeight="1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 customHeight="1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 customHeight="1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 customHeight="1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 customHeight="1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 customHeight="1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 customHeight="1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 customHeight="1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 customHeight="1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 customHeight="1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 customHeight="1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 customHeight="1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 customHeight="1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 customHeight="1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 customHeight="1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 customHeight="1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 customHeight="1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 customHeight="1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 customHeight="1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 customHeight="1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 customHeight="1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 customHeight="1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 customHeight="1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 customHeight="1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 customHeight="1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 customHeight="1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 customHeight="1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 customHeight="1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 customHeight="1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 customHeight="1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 customHeight="1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 customHeight="1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 customHeight="1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 customHeight="1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 customHeight="1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 customHeight="1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 customHeight="1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 customHeight="1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 customHeight="1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 customHeight="1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 customHeight="1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 customHeight="1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 customHeight="1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 customHeight="1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 customHeight="1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 customHeight="1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 customHeight="1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 customHeight="1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 customHeight="1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 customHeight="1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 customHeight="1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 customHeight="1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 customHeight="1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 customHeight="1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 customHeight="1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 customHeight="1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 customHeight="1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 customHeight="1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 customHeight="1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 customHeight="1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 customHeight="1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 customHeight="1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 customHeight="1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 customHeight="1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 customHeight="1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 customHeight="1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 customHeight="1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 customHeight="1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 customHeight="1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 customHeight="1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 customHeight="1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 customHeight="1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 customHeight="1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 customHeight="1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 customHeight="1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 customHeight="1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 customHeight="1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 customHeight="1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 customHeight="1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 customHeight="1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 customHeight="1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 customHeight="1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 customHeight="1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 customHeight="1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 customHeight="1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 customHeight="1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 customHeight="1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 customHeight="1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 customHeight="1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 customHeight="1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 customHeight="1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 customHeight="1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 customHeight="1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 customHeight="1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 customHeight="1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 customHeight="1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 customHeight="1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 customHeight="1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 customHeight="1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 customHeight="1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 customHeight="1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 customHeight="1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 customHeight="1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 customHeight="1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 customHeight="1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 customHeight="1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 customHeight="1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 customHeight="1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 customHeight="1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 customHeight="1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 customHeight="1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 customHeight="1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 customHeight="1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 customHeight="1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 customHeight="1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 customHeight="1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 customHeight="1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 customHeight="1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 customHeight="1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 customHeight="1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 customHeight="1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 customHeight="1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 customHeight="1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 customHeight="1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 customHeight="1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 customHeight="1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 customHeight="1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 customHeight="1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 customHeight="1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 customHeight="1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 customHeight="1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 customHeight="1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 customHeight="1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 customHeight="1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 customHeight="1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 customHeight="1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 customHeight="1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 customHeight="1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 customHeight="1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 customHeight="1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 customHeight="1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 customHeight="1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 customHeight="1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 customHeight="1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 customHeight="1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 customHeight="1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 customHeight="1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 customHeight="1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 customHeight="1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 customHeight="1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 customHeight="1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 customHeight="1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 customHeight="1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 customHeight="1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 customHeight="1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 customHeight="1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 customHeight="1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 customHeight="1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 customHeight="1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 customHeight="1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 customHeight="1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 customHeight="1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 customHeight="1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 customHeight="1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 customHeight="1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 customHeight="1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 customHeight="1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 customHeight="1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 customHeight="1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 customHeight="1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 customHeight="1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 customHeight="1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 customHeight="1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 customHeight="1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 customHeight="1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 customHeight="1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 customHeight="1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 customHeight="1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 customHeight="1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 customHeight="1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 customHeight="1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 customHeight="1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 customHeight="1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 customHeight="1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 customHeight="1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 customHeight="1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 customHeight="1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 customHeight="1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 customHeight="1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 customHeight="1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 customHeight="1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 customHeight="1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 customHeight="1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 customHeight="1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 customHeight="1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 customHeight="1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 customHeight="1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 customHeight="1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 customHeight="1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 customHeight="1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 customHeight="1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 customHeight="1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 customHeight="1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 customHeight="1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 customHeight="1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 customHeight="1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 customHeight="1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 customHeight="1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 customHeight="1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 customHeight="1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 customHeight="1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 customHeight="1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 customHeight="1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 customHeight="1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 customHeight="1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 customHeight="1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 customHeight="1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00000000-0009-0000-0000-000001000000}"/>
  <mergeCells count="4">
    <mergeCell ref="A1:C1"/>
    <mergeCell ref="D1:F1"/>
    <mergeCell ref="A2:B2"/>
    <mergeCell ref="G1:I1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topRight" activeCell="A15" sqref="A15"/>
      <selection pane="bottomLeft" activeCell="A15" sqref="A15"/>
      <selection pane="bottomRight" activeCell="G4" sqref="G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0" t="str">
        <f t="array" ref="A1">portfolio</f>
        <v>American Polyfilm, Inc.</v>
      </c>
      <c r="B1" s="61"/>
      <c r="C1" s="62"/>
      <c r="D1" s="63" t="s">
        <v>20</v>
      </c>
      <c r="E1" s="61"/>
      <c r="F1" s="62"/>
      <c r="G1" s="65" t="s">
        <v>21</v>
      </c>
      <c r="H1" s="61"/>
      <c r="I1" s="62"/>
    </row>
    <row r="2" spans="1:9" ht="19.5" customHeight="1" x14ac:dyDescent="0.25">
      <c r="A2" s="64" t="s">
        <v>2</v>
      </c>
      <c r="B2" s="62"/>
      <c r="C2" s="5">
        <f>SUM(C4:C69)</f>
        <v>42694.232000000098</v>
      </c>
      <c r="D2" s="5">
        <f>SUM(D4:D69)</f>
        <v>0</v>
      </c>
      <c r="E2" s="5">
        <f>C2-D2</f>
        <v>42694.232000000098</v>
      </c>
      <c r="F2" s="6">
        <f>IFERROR(E2/D2, 0)</f>
        <v>0</v>
      </c>
      <c r="G2" s="5">
        <f>SUM(G4:G69)</f>
        <v>28703.678</v>
      </c>
      <c r="H2" s="7">
        <f>C2-G2</f>
        <v>13990.554000000098</v>
      </c>
      <c r="I2" s="6">
        <f>IFERROR(H2/G2, 0)</f>
        <v>0.48741328550299717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5" customHeight="1" x14ac:dyDescent="0.25">
      <c r="A4" s="46" t="str">
        <f t="array" ref="A4:A5">Sites[Site]</f>
        <v>15 Baldwin Dr</v>
      </c>
      <c r="B4" s="9" t="str">
        <f t="array" ref="B4:B5">Sites[State]</f>
        <v>CT</v>
      </c>
      <c r="C4" s="24">
        <f>SUM(Jan!C4, Feb!C4, Mar!C4)</f>
        <v>13764.031999999999</v>
      </c>
      <c r="D4" s="13">
        <f>SUM(Jan!D4, Feb!D4, Mar!D4)</f>
        <v>0</v>
      </c>
      <c r="E4" s="13">
        <f>IF(AND(ISNUMBER(C4),ISNUMBER(D4)), C4-D4, "")</f>
        <v>13764.031999999999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5" customHeight="1" x14ac:dyDescent="0.25">
      <c r="A5" s="47" t="str">
        <v>8 Sycamore Way</v>
      </c>
      <c r="B5" s="10" t="str">
        <v>CT</v>
      </c>
      <c r="C5" s="11">
        <f>SUM(Jan!C5, Feb!C5, Mar!C5)</f>
        <v>28930.200000000099</v>
      </c>
      <c r="D5" s="18">
        <f>SUM(Jan!D5, Feb!D5, Mar!D5)</f>
        <v>0</v>
      </c>
      <c r="E5" s="18">
        <f>IF(AND(ISNUMBER(C5),ISNUMBER(D5)), C5-D5, "")</f>
        <v>28930.200000000099</v>
      </c>
      <c r="F5" s="19" t="str">
        <f>IFERROR(E5/D5, "")</f>
        <v/>
      </c>
      <c r="G5" s="20">
        <f>SUM(Jan!G5, Feb!G5, Mar!G5)</f>
        <v>28703.678</v>
      </c>
      <c r="H5" s="20">
        <f>SUM(Jan!H5, Feb!H5, Mar!H5)</f>
        <v>226.52200000010089</v>
      </c>
      <c r="I5" s="19">
        <f>IFERROR(H5/G5, "")</f>
        <v>7.8917412604789152E-3</v>
      </c>
    </row>
    <row r="6" spans="1:9" ht="13.9" customHeight="1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.9" customHeight="1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.9" customHeight="1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.9" customHeight="1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.9" customHeight="1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 customHeight="1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 customHeight="1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 customHeight="1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 customHeight="1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 customHeight="1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 customHeight="1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 customHeight="1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 customHeight="1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 customHeight="1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 customHeight="1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 customHeight="1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 customHeight="1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 customHeight="1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 customHeight="1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 customHeight="1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 customHeight="1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 customHeight="1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 customHeight="1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 customHeight="1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 customHeight="1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 customHeight="1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 customHeight="1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 customHeight="1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 customHeight="1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 customHeight="1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 customHeight="1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 customHeight="1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 customHeight="1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 customHeight="1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 customHeight="1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 customHeight="1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 customHeight="1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 customHeight="1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 customHeight="1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 customHeight="1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 customHeight="1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 customHeight="1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 customHeight="1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 customHeight="1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 customHeight="1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 customHeight="1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 customHeight="1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 customHeight="1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 customHeight="1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 customHeight="1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 customHeight="1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 customHeight="1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 customHeight="1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 customHeight="1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 customHeight="1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 customHeight="1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 customHeight="1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 customHeight="1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 customHeight="1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 customHeight="1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 customHeight="1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 customHeight="1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 customHeight="1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 customHeight="1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 customHeight="1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 customHeight="1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 customHeight="1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 customHeight="1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 customHeight="1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 customHeight="1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 customHeight="1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 customHeight="1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 customHeight="1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 customHeight="1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 customHeight="1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 customHeight="1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 customHeight="1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 customHeight="1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 customHeight="1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 customHeight="1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 customHeight="1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 customHeight="1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 customHeight="1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 customHeight="1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 customHeight="1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 customHeight="1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 customHeight="1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 customHeight="1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 customHeight="1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 customHeight="1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 customHeight="1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 customHeight="1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 customHeight="1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 customHeight="1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 customHeight="1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 customHeight="1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 customHeight="1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 customHeight="1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 customHeight="1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 customHeight="1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 customHeight="1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 customHeight="1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 customHeight="1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 customHeight="1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 customHeight="1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 customHeight="1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 customHeight="1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 customHeight="1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 customHeight="1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 customHeight="1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 customHeight="1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 customHeight="1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 customHeight="1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 customHeight="1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 customHeight="1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 customHeight="1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 customHeight="1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 customHeight="1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 customHeight="1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 customHeight="1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 customHeight="1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 customHeight="1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 customHeight="1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 customHeight="1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 customHeight="1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 customHeight="1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 customHeight="1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 customHeight="1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 customHeight="1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 customHeight="1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 customHeight="1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 customHeight="1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 customHeight="1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 customHeight="1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 customHeight="1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 customHeight="1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 customHeight="1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 customHeight="1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 customHeight="1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 customHeight="1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 customHeight="1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 customHeight="1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 customHeight="1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 customHeight="1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 customHeight="1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 customHeight="1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 customHeight="1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 customHeight="1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 customHeight="1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 customHeight="1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 customHeight="1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 customHeight="1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 customHeight="1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 customHeight="1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 customHeight="1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 customHeight="1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 customHeight="1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 customHeight="1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 customHeight="1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 customHeight="1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 customHeight="1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 customHeight="1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 customHeight="1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 customHeight="1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 customHeight="1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 customHeight="1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 customHeight="1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 customHeight="1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 customHeight="1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 customHeight="1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 customHeight="1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 customHeight="1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 customHeight="1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 customHeight="1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 customHeight="1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 customHeight="1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 customHeight="1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 customHeight="1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 customHeight="1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 customHeight="1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 customHeight="1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 customHeight="1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 customHeight="1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 customHeight="1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 customHeight="1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 customHeight="1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 customHeight="1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 customHeight="1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 customHeight="1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 customHeight="1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 customHeight="1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 customHeight="1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 customHeight="1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 customHeight="1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 customHeight="1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 customHeight="1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 customHeight="1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 customHeight="1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 customHeight="1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 customHeight="1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 customHeight="1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 customHeight="1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 customHeight="1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 customHeight="1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 customHeight="1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 customHeight="1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 customHeight="1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 customHeight="1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 customHeight="1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 customHeight="1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 customHeight="1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 customHeight="1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 customHeight="1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 customHeight="1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 customHeight="1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 customHeight="1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 customHeight="1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 customHeight="1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 customHeight="1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 customHeight="1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 customHeight="1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 customHeight="1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 customHeight="1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 customHeight="1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 customHeight="1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 customHeight="1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 customHeight="1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 customHeight="1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 customHeight="1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 customHeight="1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 customHeight="1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 customHeight="1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 customHeight="1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 customHeight="1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 customHeight="1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 customHeight="1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 customHeight="1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 customHeight="1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 customHeight="1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 customHeight="1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 customHeight="1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 customHeight="1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 customHeight="1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 customHeight="1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 customHeight="1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 customHeight="1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 customHeight="1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 customHeight="1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 customHeight="1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 customHeight="1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 customHeight="1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 customHeight="1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 customHeight="1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 customHeight="1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 customHeight="1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 customHeight="1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 customHeight="1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 customHeight="1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 customHeight="1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 customHeight="1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 customHeight="1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 customHeight="1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 customHeight="1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 customHeight="1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 customHeight="1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 customHeight="1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 customHeight="1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 customHeight="1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 customHeight="1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 customHeight="1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 customHeight="1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 customHeight="1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 customHeight="1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 customHeight="1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 customHeight="1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 customHeight="1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 customHeight="1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 customHeight="1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 customHeight="1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 customHeight="1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 customHeight="1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 customHeight="1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 customHeight="1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 customHeight="1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 customHeight="1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 customHeight="1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 customHeight="1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 customHeight="1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 customHeight="1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 customHeight="1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 customHeight="1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 customHeight="1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 customHeight="1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 customHeight="1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 customHeight="1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 customHeight="1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 customHeight="1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 customHeight="1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 customHeight="1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 customHeight="1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 customHeight="1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 customHeight="1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 customHeight="1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 customHeight="1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 customHeight="1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 customHeight="1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A1:C1"/>
    <mergeCell ref="D1:F1"/>
    <mergeCell ref="A2:B2"/>
    <mergeCell ref="G1:I1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I311"/>
  <sheetViews>
    <sheetView workbookViewId="0">
      <pane xSplit="2" ySplit="3" topLeftCell="C4" activePane="bottomRight" state="frozen"/>
      <selection pane="topRight" activeCell="A15" sqref="A15"/>
      <selection pane="bottomLeft" activeCell="A15" sqref="A15"/>
      <selection pane="bottomRight" activeCell="H5" sqref="H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0" t="str">
        <f t="array" ref="A1">portfolio</f>
        <v>American Polyfilm, Inc.</v>
      </c>
      <c r="B1" s="61"/>
      <c r="C1" s="62"/>
      <c r="D1" s="63" t="s">
        <v>22</v>
      </c>
      <c r="E1" s="61"/>
      <c r="F1" s="62"/>
      <c r="G1" s="65" t="s">
        <v>23</v>
      </c>
      <c r="H1" s="61"/>
      <c r="I1" s="62"/>
    </row>
    <row r="2" spans="1:9" ht="19.5" customHeight="1" x14ac:dyDescent="0.25">
      <c r="A2" s="64" t="s">
        <v>2</v>
      </c>
      <c r="B2" s="62"/>
      <c r="C2" s="5">
        <f>SUM(C4:C69)</f>
        <v>70695.376000000004</v>
      </c>
      <c r="D2" s="5">
        <f>SUM(D4:D69)</f>
        <v>0</v>
      </c>
      <c r="E2" s="5">
        <f>C2-D2</f>
        <v>70695.376000000004</v>
      </c>
      <c r="F2" s="6">
        <f>IFERROR(E2/D2, 0)</f>
        <v>0</v>
      </c>
      <c r="G2" s="5">
        <f>SUM(G4:G69)</f>
        <v>41905.176999999996</v>
      </c>
      <c r="H2" s="7">
        <f>C2-G2</f>
        <v>28790.199000000008</v>
      </c>
      <c r="I2" s="6">
        <f>IFERROR(H2/G2, 0)</f>
        <v>0.68703203425199733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5" customHeight="1" x14ac:dyDescent="0.25">
      <c r="A4" s="46" t="str">
        <f t="array" ref="A4:A5">Sites[Site]</f>
        <v>15 Baldwin Dr</v>
      </c>
      <c r="B4" s="9" t="str">
        <f t="array" ref="B4:B5">Sites[State]</f>
        <v>CT</v>
      </c>
      <c r="C4" s="24">
        <f>SUM(Apr!C4, May!C4, Jun!C4)</f>
        <v>21898.976000000002</v>
      </c>
      <c r="D4" s="13">
        <f>SUM(Apr!D4, May!D4, Jun!D4)</f>
        <v>0</v>
      </c>
      <c r="E4" s="13">
        <f>IF(AND(ISNUMBER(C4),ISNUMBER(D4)), C4-D4, "")</f>
        <v>21898.976000000002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5" customHeight="1" x14ac:dyDescent="0.25">
      <c r="A5" s="47" t="str">
        <v>8 Sycamore Way</v>
      </c>
      <c r="B5" s="10" t="str">
        <v>CT</v>
      </c>
      <c r="C5" s="11">
        <f>SUM(Apr!C5, May!C5, Jun!C5)</f>
        <v>48796.4</v>
      </c>
      <c r="D5" s="18">
        <f>SUM(Apr!D5, May!D5, Jun!D5)</f>
        <v>0</v>
      </c>
      <c r="E5" s="18">
        <f>IF(AND(ISNUMBER(C5),ISNUMBER(D5)), C5-D5, "")</f>
        <v>48796.4</v>
      </c>
      <c r="F5" s="19" t="str">
        <f>IFERROR(E5/D5, "")</f>
        <v/>
      </c>
      <c r="G5" s="18">
        <f>SUM(Apr!G5,May!G5,Jun!G5)</f>
        <v>41905.176999999996</v>
      </c>
      <c r="H5" s="20">
        <f>SUM(Apr!H5, May!H5, Jun!H5)</f>
        <v>6891.2230000000018</v>
      </c>
      <c r="I5" s="19">
        <f>IFERROR(H5/G5, "")</f>
        <v>0.16444801080305668</v>
      </c>
    </row>
    <row r="6" spans="1:9" ht="13.9" customHeight="1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.9" customHeight="1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.9" customHeight="1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.9" customHeight="1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.9" customHeight="1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 customHeight="1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 customHeight="1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 customHeight="1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 customHeight="1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 customHeight="1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 customHeight="1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 customHeight="1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 customHeight="1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 customHeight="1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 customHeight="1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 customHeight="1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 customHeight="1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 customHeight="1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 customHeight="1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 customHeight="1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 customHeight="1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 customHeight="1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 customHeight="1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 customHeight="1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 customHeight="1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 customHeight="1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 customHeight="1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 customHeight="1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 customHeight="1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 customHeight="1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 customHeight="1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 customHeight="1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 customHeight="1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 customHeight="1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 customHeight="1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 customHeight="1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 customHeight="1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 customHeight="1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 customHeight="1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 customHeight="1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 customHeight="1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 customHeight="1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 customHeight="1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 customHeight="1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 customHeight="1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 customHeight="1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 customHeight="1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 customHeight="1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 customHeight="1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 customHeight="1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 customHeight="1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 customHeight="1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 customHeight="1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 customHeight="1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 customHeight="1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 customHeight="1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 customHeight="1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 customHeight="1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 customHeight="1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 customHeight="1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 customHeight="1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 customHeight="1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 customHeight="1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 customHeight="1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 customHeight="1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 customHeight="1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 customHeight="1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 customHeight="1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 customHeight="1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 customHeight="1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 customHeight="1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 customHeight="1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 customHeight="1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 customHeight="1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 customHeight="1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 customHeight="1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 customHeight="1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 customHeight="1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 customHeight="1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 customHeight="1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 customHeight="1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 customHeight="1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 customHeight="1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 customHeight="1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 customHeight="1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 customHeight="1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 customHeight="1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 customHeight="1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 customHeight="1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 customHeight="1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 customHeight="1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 customHeight="1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 customHeight="1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 customHeight="1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 customHeight="1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 customHeight="1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 customHeight="1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 customHeight="1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 customHeight="1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 customHeight="1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 customHeight="1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 customHeight="1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 customHeight="1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 customHeight="1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 customHeight="1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 customHeight="1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 customHeight="1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 customHeight="1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 customHeight="1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 customHeight="1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 customHeight="1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 customHeight="1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 customHeight="1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 customHeight="1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 customHeight="1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 customHeight="1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 customHeight="1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 customHeight="1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 customHeight="1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 customHeight="1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 customHeight="1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 customHeight="1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 customHeight="1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 customHeight="1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 customHeight="1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 customHeight="1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 customHeight="1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 customHeight="1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 customHeight="1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 customHeight="1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 customHeight="1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 customHeight="1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 customHeight="1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 customHeight="1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 customHeight="1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 customHeight="1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 customHeight="1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 customHeight="1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 customHeight="1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 customHeight="1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 customHeight="1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 customHeight="1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 customHeight="1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 customHeight="1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 customHeight="1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 customHeight="1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 customHeight="1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 customHeight="1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 customHeight="1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 customHeight="1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 customHeight="1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 customHeight="1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 customHeight="1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 customHeight="1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 customHeight="1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 customHeight="1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 customHeight="1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 customHeight="1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 customHeight="1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 customHeight="1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 customHeight="1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 customHeight="1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 customHeight="1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 customHeight="1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 customHeight="1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 customHeight="1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 customHeight="1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 customHeight="1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 customHeight="1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 customHeight="1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 customHeight="1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 customHeight="1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 customHeight="1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 customHeight="1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 customHeight="1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 customHeight="1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 customHeight="1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 customHeight="1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 customHeight="1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 customHeight="1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 customHeight="1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 customHeight="1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 customHeight="1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 customHeight="1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 customHeight="1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 customHeight="1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 customHeight="1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 customHeight="1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 customHeight="1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 customHeight="1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 customHeight="1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 customHeight="1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 customHeight="1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 customHeight="1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 customHeight="1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 customHeight="1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 customHeight="1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 customHeight="1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 customHeight="1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 customHeight="1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 customHeight="1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 customHeight="1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 customHeight="1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 customHeight="1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 customHeight="1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 customHeight="1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 customHeight="1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 customHeight="1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 customHeight="1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 customHeight="1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 customHeight="1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 customHeight="1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 customHeight="1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 customHeight="1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 customHeight="1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 customHeight="1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 customHeight="1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 customHeight="1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 customHeight="1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 customHeight="1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 customHeight="1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 customHeight="1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 customHeight="1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 customHeight="1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 customHeight="1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 customHeight="1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 customHeight="1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 customHeight="1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 customHeight="1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 customHeight="1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 customHeight="1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 customHeight="1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 customHeight="1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 customHeight="1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 customHeight="1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 customHeight="1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 customHeight="1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 customHeight="1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 customHeight="1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 customHeight="1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 customHeight="1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 customHeight="1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 customHeight="1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 customHeight="1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 customHeight="1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 customHeight="1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 customHeight="1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 customHeight="1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 customHeight="1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 customHeight="1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 customHeight="1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 customHeight="1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 customHeight="1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 customHeight="1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 customHeight="1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 customHeight="1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 customHeight="1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 customHeight="1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 customHeight="1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 customHeight="1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 customHeight="1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 customHeight="1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 customHeight="1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 customHeight="1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 customHeight="1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 customHeight="1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 customHeight="1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 customHeight="1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 customHeight="1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 customHeight="1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 customHeight="1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 customHeight="1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 customHeight="1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 customHeight="1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 customHeight="1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 customHeight="1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 customHeight="1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 customHeight="1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 customHeight="1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 customHeight="1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 customHeight="1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 customHeight="1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 customHeight="1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 customHeight="1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 customHeight="1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 customHeight="1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 customHeight="1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 customHeight="1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 customHeight="1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 customHeight="1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 customHeight="1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 customHeight="1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 customHeight="1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 customHeight="1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 customHeight="1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 customHeight="1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 customHeight="1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 customHeight="1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 customHeight="1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 customHeight="1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 customHeight="1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 customHeight="1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 customHeight="1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 customHeight="1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 customHeight="1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 customHeight="1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A1:C1"/>
    <mergeCell ref="D1:F1"/>
    <mergeCell ref="A2:B2"/>
    <mergeCell ref="G1:I1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I311"/>
  <sheetViews>
    <sheetView workbookViewId="0">
      <pane xSplit="2" ySplit="3" topLeftCell="C4" activePane="bottomRight" state="frozen"/>
      <selection pane="topRight" activeCell="A15" sqref="A15"/>
      <selection pane="bottomLeft" activeCell="A15" sqref="A15"/>
      <selection pane="bottomRight" activeCell="F37" sqref="F37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0" t="str">
        <f t="array" ref="A1">portfolio</f>
        <v>American Polyfilm, Inc.</v>
      </c>
      <c r="B1" s="61"/>
      <c r="C1" s="62"/>
      <c r="D1" s="63" t="s">
        <v>24</v>
      </c>
      <c r="E1" s="61"/>
      <c r="F1" s="62"/>
      <c r="G1" s="65" t="s">
        <v>25</v>
      </c>
      <c r="H1" s="61"/>
      <c r="I1" s="62"/>
    </row>
    <row r="2" spans="1:9" ht="19.5" customHeight="1" x14ac:dyDescent="0.25">
      <c r="A2" s="64" t="s">
        <v>2</v>
      </c>
      <c r="B2" s="62"/>
      <c r="C2" s="5">
        <f>SUM(C4:C69)</f>
        <v>78101.107999999993</v>
      </c>
      <c r="D2" s="5">
        <f>SUM(D4:D69)</f>
        <v>0</v>
      </c>
      <c r="E2" s="5">
        <f>C2-D2</f>
        <v>78101.107999999993</v>
      </c>
      <c r="F2" s="6">
        <f>IFERROR(E2/D2, 0)</f>
        <v>0</v>
      </c>
      <c r="G2" s="5">
        <f>SUM(G4:G69)</f>
        <v>41253.887000000002</v>
      </c>
      <c r="H2" s="7">
        <f>C2-G2</f>
        <v>36847.22099999999</v>
      </c>
      <c r="I2" s="6">
        <f>IFERROR(H2/G2, 0)</f>
        <v>0.89318179884479709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5" customHeight="1" x14ac:dyDescent="0.25">
      <c r="A4" s="46" t="str">
        <f t="array" ref="A4:A5">Sites[Site]</f>
        <v>15 Baldwin Dr</v>
      </c>
      <c r="B4" s="9" t="str">
        <f t="array" ref="B4:B5">Sites[State]</f>
        <v>CT</v>
      </c>
      <c r="C4" s="24">
        <f>SUM(Jul!C4, Aug!C4, Sep!C4)</f>
        <v>25295.007999999998</v>
      </c>
      <c r="D4" s="13">
        <f>SUM(Jul!D4, Aug!D4, Sep!D4)</f>
        <v>0</v>
      </c>
      <c r="E4" s="13">
        <f>IF(AND(ISNUMBER(C4),ISNUMBER(D4)), C4-D4, "")</f>
        <v>25295.007999999998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5" customHeight="1" x14ac:dyDescent="0.25">
      <c r="A5" s="47" t="str">
        <v>8 Sycamore Way</v>
      </c>
      <c r="B5" s="10" t="str">
        <v>CT</v>
      </c>
      <c r="C5" s="11">
        <f>SUM(Jul!C5, Aug!C5, Sep!C5)</f>
        <v>52806.1</v>
      </c>
      <c r="D5" s="18">
        <f>SUM(Jul!D5, Aug!D5, Sep!D5)</f>
        <v>0</v>
      </c>
      <c r="E5" s="18">
        <f>IF(AND(ISNUMBER(C5),ISNUMBER(D5)), C5-D5, "")</f>
        <v>52806.1</v>
      </c>
      <c r="F5" s="19" t="str">
        <f>IFERROR(E5/D5, "")</f>
        <v/>
      </c>
      <c r="G5" s="18">
        <f>SUM(Jul!G5,Aug!G5,Sep!G5)</f>
        <v>41253.887000000002</v>
      </c>
      <c r="H5" s="20">
        <f>SUM(Jul!H5, Aug!H5, Sep!H5)</f>
        <v>11552.213</v>
      </c>
      <c r="I5" s="19">
        <f>IFERROR(H5/G5, "")</f>
        <v>0.28002726143114703</v>
      </c>
    </row>
    <row r="6" spans="1:9" ht="13.9" customHeight="1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.9" customHeight="1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.9" customHeight="1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.9" customHeight="1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.9" customHeight="1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 customHeight="1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 customHeight="1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 customHeight="1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 customHeight="1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 customHeight="1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 customHeight="1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 customHeight="1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 customHeight="1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 customHeight="1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 customHeight="1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 customHeight="1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 customHeight="1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 customHeight="1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 customHeight="1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 customHeight="1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 customHeight="1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 customHeight="1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 customHeight="1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 customHeight="1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 customHeight="1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 customHeight="1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 customHeight="1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 customHeight="1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 customHeight="1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 customHeight="1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 customHeight="1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 customHeight="1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 customHeight="1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 customHeight="1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 customHeight="1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 customHeight="1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 customHeight="1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 customHeight="1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 customHeight="1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 customHeight="1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 customHeight="1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 customHeight="1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 customHeight="1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 customHeight="1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 customHeight="1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 customHeight="1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 customHeight="1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 customHeight="1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 customHeight="1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 customHeight="1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 customHeight="1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 customHeight="1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 customHeight="1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 customHeight="1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 customHeight="1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 customHeight="1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 customHeight="1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 customHeight="1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 customHeight="1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 customHeight="1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 customHeight="1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 customHeight="1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 customHeight="1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 customHeight="1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 customHeight="1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 customHeight="1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 customHeight="1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 customHeight="1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 customHeight="1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 customHeight="1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 customHeight="1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 customHeight="1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 customHeight="1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 customHeight="1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 customHeight="1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 customHeight="1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 customHeight="1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 customHeight="1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 customHeight="1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 customHeight="1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 customHeight="1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 customHeight="1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 customHeight="1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 customHeight="1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 customHeight="1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 customHeight="1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 customHeight="1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 customHeight="1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 customHeight="1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 customHeight="1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 customHeight="1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 customHeight="1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 customHeight="1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 customHeight="1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 customHeight="1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 customHeight="1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 customHeight="1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 customHeight="1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 customHeight="1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 customHeight="1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 customHeight="1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 customHeight="1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 customHeight="1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 customHeight="1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 customHeight="1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 customHeight="1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 customHeight="1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 customHeight="1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 customHeight="1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 customHeight="1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 customHeight="1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 customHeight="1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 customHeight="1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 customHeight="1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 customHeight="1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 customHeight="1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 customHeight="1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 customHeight="1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 customHeight="1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 customHeight="1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 customHeight="1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 customHeight="1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 customHeight="1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 customHeight="1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 customHeight="1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 customHeight="1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 customHeight="1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 customHeight="1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 customHeight="1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 customHeight="1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 customHeight="1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 customHeight="1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 customHeight="1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 customHeight="1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 customHeight="1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 customHeight="1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 customHeight="1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 customHeight="1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 customHeight="1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 customHeight="1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 customHeight="1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 customHeight="1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 customHeight="1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 customHeight="1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 customHeight="1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 customHeight="1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 customHeight="1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 customHeight="1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 customHeight="1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 customHeight="1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 customHeight="1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 customHeight="1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 customHeight="1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 customHeight="1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 customHeight="1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 customHeight="1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 customHeight="1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 customHeight="1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 customHeight="1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 customHeight="1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 customHeight="1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 customHeight="1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 customHeight="1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 customHeight="1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 customHeight="1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 customHeight="1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 customHeight="1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 customHeight="1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 customHeight="1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 customHeight="1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 customHeight="1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 customHeight="1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 customHeight="1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 customHeight="1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 customHeight="1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 customHeight="1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 customHeight="1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 customHeight="1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 customHeight="1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 customHeight="1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 customHeight="1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 customHeight="1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 customHeight="1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 customHeight="1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 customHeight="1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 customHeight="1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 customHeight="1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 customHeight="1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 customHeight="1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 customHeight="1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 customHeight="1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 customHeight="1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 customHeight="1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 customHeight="1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 customHeight="1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 customHeight="1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 customHeight="1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 customHeight="1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 customHeight="1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 customHeight="1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 customHeight="1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 customHeight="1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 customHeight="1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 customHeight="1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 customHeight="1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 customHeight="1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 customHeight="1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 customHeight="1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 customHeight="1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 customHeight="1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 customHeight="1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 customHeight="1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 customHeight="1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 customHeight="1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 customHeight="1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 customHeight="1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 customHeight="1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 customHeight="1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 customHeight="1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 customHeight="1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 customHeight="1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 customHeight="1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 customHeight="1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 customHeight="1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 customHeight="1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 customHeight="1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 customHeight="1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 customHeight="1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 customHeight="1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 customHeight="1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 customHeight="1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 customHeight="1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 customHeight="1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 customHeight="1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 customHeight="1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 customHeight="1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 customHeight="1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 customHeight="1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 customHeight="1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 customHeight="1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 customHeight="1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 customHeight="1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 customHeight="1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 customHeight="1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 customHeight="1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 customHeight="1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 customHeight="1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 customHeight="1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 customHeight="1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 customHeight="1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 customHeight="1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 customHeight="1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 customHeight="1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 customHeight="1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 customHeight="1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 customHeight="1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 customHeight="1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 customHeight="1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 customHeight="1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 customHeight="1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 customHeight="1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 customHeight="1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 customHeight="1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 customHeight="1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 customHeight="1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 customHeight="1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 customHeight="1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 customHeight="1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 customHeight="1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 customHeight="1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 customHeight="1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 customHeight="1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 customHeight="1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 customHeight="1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 customHeight="1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 customHeight="1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 customHeight="1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 customHeight="1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 customHeight="1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 customHeight="1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 customHeight="1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 customHeight="1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 customHeight="1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 customHeight="1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 customHeight="1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 customHeight="1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 customHeight="1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 customHeight="1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 customHeight="1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 customHeight="1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 customHeight="1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 customHeight="1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 customHeight="1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 customHeight="1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 customHeight="1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 customHeight="1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 customHeight="1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 customHeight="1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 customHeight="1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 customHeight="1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 customHeight="1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 customHeight="1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 customHeight="1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 customHeight="1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 customHeight="1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 customHeight="1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A1:C1"/>
    <mergeCell ref="D1:F1"/>
    <mergeCell ref="A2:B2"/>
    <mergeCell ref="G1:I1"/>
  </mergeCells>
  <conditionalFormatting sqref="F2 I2 F4:F69 I4:I6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I311"/>
  <sheetViews>
    <sheetView workbookViewId="0">
      <pane xSplit="2" ySplit="3" topLeftCell="C4" activePane="bottomRight" state="frozen"/>
      <selection pane="topRight" activeCell="A15" sqref="A15"/>
      <selection pane="bottomLeft" activeCell="A15" sqref="A15"/>
      <selection pane="bottomRight" activeCell="F25" sqref="F2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0" t="str">
        <f t="array" ref="A1">portfolio</f>
        <v>American Polyfilm, Inc.</v>
      </c>
      <c r="B1" s="61"/>
      <c r="C1" s="62"/>
      <c r="D1" s="63" t="s">
        <v>26</v>
      </c>
      <c r="E1" s="61"/>
      <c r="F1" s="62"/>
      <c r="G1" s="65" t="s">
        <v>27</v>
      </c>
      <c r="H1" s="61"/>
      <c r="I1" s="62"/>
    </row>
    <row r="2" spans="1:9" ht="19.5" customHeight="1" x14ac:dyDescent="0.25">
      <c r="A2" s="64" t="s">
        <v>2</v>
      </c>
      <c r="B2" s="62"/>
      <c r="C2" s="5">
        <f>SUM(C4:C69)</f>
        <v>38131.998999999996</v>
      </c>
      <c r="D2" s="5">
        <f>SUM(D4:D69)</f>
        <v>0</v>
      </c>
      <c r="E2" s="5">
        <f>C2-D2</f>
        <v>38131.998999999996</v>
      </c>
      <c r="F2" s="6">
        <f>IFERROR(E2/D2, 0)</f>
        <v>0</v>
      </c>
      <c r="G2" s="5">
        <f>SUM(G4:G69)</f>
        <v>23664.355</v>
      </c>
      <c r="H2" s="7">
        <f>C2-G2</f>
        <v>14467.643999999997</v>
      </c>
      <c r="I2" s="6">
        <f>IFERROR(H2/G2, 0)</f>
        <v>0.6113686174839752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5" customHeight="1" x14ac:dyDescent="0.25">
      <c r="A4" s="46" t="str">
        <f t="array" ref="A4:A5">Sites[Site]</f>
        <v>15 Baldwin Dr</v>
      </c>
      <c r="B4" s="9" t="str">
        <f t="array" ref="B4:B5">Sites[State]</f>
        <v>CT</v>
      </c>
      <c r="C4" s="24">
        <f>SUM(Oct!C4, Nov!C4, Dec!C4)</f>
        <v>13658.899000000001</v>
      </c>
      <c r="D4" s="13">
        <f>SUM(Oct!D4, Nov!D4, Dec!D4)</f>
        <v>0</v>
      </c>
      <c r="E4" s="13">
        <f>IF(AND(ISNUMBER(C4),ISNUMBER(D4)), C4-D4, "")</f>
        <v>13658.899000000001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5" customHeight="1" x14ac:dyDescent="0.25">
      <c r="A5" s="47" t="str">
        <v>8 Sycamore Way</v>
      </c>
      <c r="B5" s="10" t="str">
        <v>CT</v>
      </c>
      <c r="C5" s="11">
        <f>SUM(Oct!C5, Nov!C5, Dec!C5)</f>
        <v>24473.1</v>
      </c>
      <c r="D5" s="18">
        <f>SUM(Oct!D5, Nov!D5, Dec!D5)</f>
        <v>0</v>
      </c>
      <c r="E5" s="18">
        <f>IF(AND(ISNUMBER(C5),ISNUMBER(D5)), C5-D5, "")</f>
        <v>24473.1</v>
      </c>
      <c r="F5" s="19" t="str">
        <f>IFERROR(E5/D5, "")</f>
        <v/>
      </c>
      <c r="G5" s="11">
        <f>SUM(Oct!G5,Nov!G5,Dec!G5)</f>
        <v>23664.355</v>
      </c>
      <c r="H5" s="20">
        <f>SUM(Oct!H5, Nov!H5, Dec!H5)</f>
        <v>808.74499999999989</v>
      </c>
      <c r="I5" s="19">
        <f>IFERROR(H5/G5, "")</f>
        <v>3.4175662087557422E-2</v>
      </c>
    </row>
    <row r="6" spans="1:9" ht="13.9" customHeight="1" x14ac:dyDescent="0.3">
      <c r="A6" s="21"/>
      <c r="B6" s="21"/>
      <c r="C6" s="21"/>
      <c r="D6" s="21"/>
      <c r="E6" s="21"/>
      <c r="F6" s="22"/>
      <c r="G6" s="21"/>
      <c r="H6" s="21"/>
      <c r="I6" s="22"/>
    </row>
    <row r="7" spans="1:9" ht="13.9" customHeight="1" x14ac:dyDescent="0.3">
      <c r="A7" s="21"/>
      <c r="B7" s="21"/>
      <c r="C7" s="21"/>
      <c r="D7" s="21"/>
      <c r="E7" s="21"/>
      <c r="F7" s="22"/>
      <c r="G7" s="21"/>
      <c r="H7" s="21"/>
      <c r="I7" s="22"/>
    </row>
    <row r="8" spans="1:9" ht="13.9" customHeight="1" x14ac:dyDescent="0.3">
      <c r="A8" s="21"/>
      <c r="B8" s="21"/>
      <c r="C8" s="21"/>
      <c r="D8" s="21"/>
      <c r="E8" s="21"/>
      <c r="F8" s="22"/>
      <c r="G8" s="21"/>
      <c r="H8" s="21"/>
      <c r="I8" s="22"/>
    </row>
    <row r="9" spans="1:9" ht="13.9" customHeight="1" x14ac:dyDescent="0.3">
      <c r="A9" s="21"/>
      <c r="B9" s="21"/>
      <c r="C9" s="21"/>
      <c r="D9" s="21"/>
      <c r="E9" s="21"/>
      <c r="F9" s="22"/>
      <c r="G9" s="21"/>
      <c r="H9" s="21"/>
      <c r="I9" s="22"/>
    </row>
    <row r="10" spans="1:9" ht="13.9" customHeight="1" x14ac:dyDescent="0.3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 customHeight="1" x14ac:dyDescent="0.3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 customHeight="1" x14ac:dyDescent="0.3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 customHeight="1" x14ac:dyDescent="0.3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 customHeight="1" x14ac:dyDescent="0.3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 customHeight="1" x14ac:dyDescent="0.3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 customHeight="1" x14ac:dyDescent="0.3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 customHeight="1" x14ac:dyDescent="0.3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 customHeight="1" x14ac:dyDescent="0.3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 customHeight="1" x14ac:dyDescent="0.3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 customHeight="1" x14ac:dyDescent="0.3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 customHeight="1" x14ac:dyDescent="0.3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 customHeight="1" x14ac:dyDescent="0.3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 customHeight="1" x14ac:dyDescent="0.3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 customHeight="1" x14ac:dyDescent="0.3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 customHeight="1" x14ac:dyDescent="0.3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 customHeight="1" x14ac:dyDescent="0.3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 customHeight="1" x14ac:dyDescent="0.3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 customHeight="1" x14ac:dyDescent="0.3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 customHeight="1" x14ac:dyDescent="0.3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 customHeight="1" x14ac:dyDescent="0.3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 customHeight="1" x14ac:dyDescent="0.3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 customHeight="1" x14ac:dyDescent="0.3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 customHeight="1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 customHeight="1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 customHeight="1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 customHeight="1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 customHeight="1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 customHeight="1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 customHeight="1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 customHeight="1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 customHeight="1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 customHeight="1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 customHeight="1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 customHeight="1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 customHeight="1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 customHeight="1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 customHeight="1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 customHeight="1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 customHeight="1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 customHeight="1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 customHeight="1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 customHeight="1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 customHeight="1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 customHeight="1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 customHeight="1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 customHeight="1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 customHeight="1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 customHeight="1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 customHeight="1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 customHeight="1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 customHeight="1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 customHeight="1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 customHeight="1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 customHeight="1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 customHeight="1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 customHeight="1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 customHeight="1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 customHeight="1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 customHeight="1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 customHeight="1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 customHeight="1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 customHeight="1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 customHeight="1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 customHeight="1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 customHeight="1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 customHeight="1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 customHeight="1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 customHeight="1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 customHeight="1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 customHeight="1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 customHeight="1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 customHeight="1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 customHeight="1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 customHeight="1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 customHeight="1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 customHeight="1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 customHeight="1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 customHeight="1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 customHeight="1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 customHeight="1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 customHeight="1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 customHeight="1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 customHeight="1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 customHeight="1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 customHeight="1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 customHeight="1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 customHeight="1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 customHeight="1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 customHeight="1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 customHeight="1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 customHeight="1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 customHeight="1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 customHeight="1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 customHeight="1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 customHeight="1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 customHeight="1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 customHeight="1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 customHeight="1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 customHeight="1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 customHeight="1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 customHeight="1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 customHeight="1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 customHeight="1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 customHeight="1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 customHeight="1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 customHeight="1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 customHeight="1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 customHeight="1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 customHeight="1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 customHeight="1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 customHeight="1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 customHeight="1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 customHeight="1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 customHeight="1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 customHeight="1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 customHeight="1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 customHeight="1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 customHeight="1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 customHeight="1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 customHeight="1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 customHeight="1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 customHeight="1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 customHeight="1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 customHeight="1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 customHeight="1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 customHeight="1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 customHeight="1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 customHeight="1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 customHeight="1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 customHeight="1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 customHeight="1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 customHeight="1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 customHeight="1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 customHeight="1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 customHeight="1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 customHeight="1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 customHeight="1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 customHeight="1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 customHeight="1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 customHeight="1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 customHeight="1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 customHeight="1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 customHeight="1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 customHeight="1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 customHeight="1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 customHeight="1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 customHeight="1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 customHeight="1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 customHeight="1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 customHeight="1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 customHeight="1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 customHeight="1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 customHeight="1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 customHeight="1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 customHeight="1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 customHeight="1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 customHeight="1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 customHeight="1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 customHeight="1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 customHeight="1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 customHeight="1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 customHeight="1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 customHeight="1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 customHeight="1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 customHeight="1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 customHeight="1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 customHeight="1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 customHeight="1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 customHeight="1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 customHeight="1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 customHeight="1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 customHeight="1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 customHeight="1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 customHeight="1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 customHeight="1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 customHeight="1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 customHeight="1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 customHeight="1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 customHeight="1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 customHeight="1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 customHeight="1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 customHeight="1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 customHeight="1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 customHeight="1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 customHeight="1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 customHeight="1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 customHeight="1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 customHeight="1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 customHeight="1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 customHeight="1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 customHeight="1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 customHeight="1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 customHeight="1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 customHeight="1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 customHeight="1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 customHeight="1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 customHeight="1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 customHeight="1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 customHeight="1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 customHeight="1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 customHeight="1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 customHeight="1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 customHeight="1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 customHeight="1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 customHeight="1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 customHeight="1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 customHeight="1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 customHeight="1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 customHeight="1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 customHeight="1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 customHeight="1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 customHeight="1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 customHeight="1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 customHeight="1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 customHeight="1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 customHeight="1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 customHeight="1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 customHeight="1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 customHeight="1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 customHeight="1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 customHeight="1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 customHeight="1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 customHeight="1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 customHeight="1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 customHeight="1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 customHeight="1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 customHeight="1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 customHeight="1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 customHeight="1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 customHeight="1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 customHeight="1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 customHeight="1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 customHeight="1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 customHeight="1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 customHeight="1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 customHeight="1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 customHeight="1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 customHeight="1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 customHeight="1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 customHeight="1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 customHeight="1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 customHeight="1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 customHeight="1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 customHeight="1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 customHeight="1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 customHeight="1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 customHeight="1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 customHeight="1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 customHeight="1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 customHeight="1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 customHeight="1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 customHeight="1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 customHeight="1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 customHeight="1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 customHeight="1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 customHeight="1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 customHeight="1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 customHeight="1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 customHeight="1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 customHeight="1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 customHeight="1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 customHeight="1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 customHeight="1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 customHeight="1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 customHeight="1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 customHeight="1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 customHeight="1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 customHeight="1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 customHeight="1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 customHeight="1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 customHeight="1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 customHeight="1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 customHeight="1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 customHeight="1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 customHeight="1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 customHeight="1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 customHeight="1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 customHeight="1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 customHeight="1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 customHeight="1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 customHeight="1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 customHeight="1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 customHeight="1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 customHeight="1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 customHeight="1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 customHeight="1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 customHeight="1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 customHeight="1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 customHeight="1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 customHeight="1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 customHeight="1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 customHeight="1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 customHeight="1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 customHeight="1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 customHeight="1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 customHeight="1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 customHeight="1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 customHeight="1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 customHeight="1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 customHeight="1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 customHeight="1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A1:C1"/>
    <mergeCell ref="D1:F1"/>
    <mergeCell ref="A2:B2"/>
    <mergeCell ref="G1:I1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K310"/>
  <sheetViews>
    <sheetView workbookViewId="0">
      <pane xSplit="2" ySplit="3" topLeftCell="C4" activePane="bottomRight" state="frozen"/>
      <selection pane="topRight" activeCell="I14" sqref="I14"/>
      <selection pane="bottomLeft" activeCell="I14" sqref="I14"/>
      <selection pane="bottomRight" activeCell="J5" sqref="J5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28</v>
      </c>
      <c r="E1" s="61"/>
      <c r="F1" s="62"/>
      <c r="G1" s="65" t="s">
        <v>29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SUM(C4:C68)</f>
        <v>10908.308000000001</v>
      </c>
      <c r="D2" s="5">
        <f>SUM(D4:D68)</f>
        <v>0</v>
      </c>
      <c r="E2" s="5">
        <f>C2-D2</f>
        <v>10908.308000000001</v>
      </c>
      <c r="F2" s="6">
        <f>IFERROR(E2/D2, 0)</f>
        <v>0</v>
      </c>
      <c r="G2" s="5">
        <f>SUM(G4:G68)</f>
        <v>7766.6779999999999</v>
      </c>
      <c r="H2" s="7">
        <f>C2-G2</f>
        <v>3141.630000000001</v>
      </c>
      <c r="I2" s="6">
        <f>IFERROR(H2/G2, 0)</f>
        <v>0.40450112647904302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15.65" customHeight="1" x14ac:dyDescent="0.35">
      <c r="A4" s="49" t="str">
        <f t="array" ref="A4:A5">Sites[Site]</f>
        <v>15 Baldwin Dr</v>
      </c>
      <c r="B4" s="28" t="str">
        <f t="array" ref="B4:B5">Sites[State]</f>
        <v>CT</v>
      </c>
      <c r="C4" s="13">
        <v>3975.0079999999998</v>
      </c>
      <c r="D4" s="13" t="s">
        <v>13</v>
      </c>
      <c r="E4" s="13" t="str">
        <f>IF(AND(ISNUMBER(C4),ISNUMBER(D4)), C4-D4, "")</f>
        <v/>
      </c>
      <c r="F4" s="43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5" customHeight="1" x14ac:dyDescent="0.35">
      <c r="A5" s="50" t="str">
        <v>8 Sycamore Way</v>
      </c>
      <c r="B5" s="30" t="str">
        <v>CT</v>
      </c>
      <c r="C5" s="18">
        <v>6933.3</v>
      </c>
      <c r="D5" s="18" t="s">
        <v>13</v>
      </c>
      <c r="E5" s="18" t="str">
        <f>IF(AND(ISNUMBER(C5),ISNUMBER(D5)), C5-D5, "")</f>
        <v/>
      </c>
      <c r="F5" s="22" t="str">
        <f>IFERROR(E5/D5, "")</f>
        <v/>
      </c>
      <c r="G5" s="18">
        <v>7766.6779999999999</v>
      </c>
      <c r="H5" s="32">
        <f>IF(AND(ISNUMBER(C5),ISNUMBER(G5)), C5-G5, "")</f>
        <v>-833.3779999999997</v>
      </c>
      <c r="I5" s="19">
        <f>IFERROR(H5/G5, "")</f>
        <v>-0.1073017318343827</v>
      </c>
      <c r="J5" s="41" t="s">
        <v>30</v>
      </c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A1:C1"/>
    <mergeCell ref="D1:F1"/>
    <mergeCell ref="A2:B2"/>
    <mergeCell ref="G1:I1"/>
  </mergeCells>
  <conditionalFormatting sqref="F2 I2 I4:I68 F5:F68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K311"/>
  <sheetViews>
    <sheetView workbookViewId="0">
      <pane xSplit="2" ySplit="3" topLeftCell="J4" activePane="bottomRight" state="frozen"/>
      <selection pane="topRight" activeCell="G22" sqref="G22"/>
      <selection pane="bottomLeft" activeCell="G22" sqref="G22"/>
      <selection pane="bottomRight" activeCell="J15" sqref="J15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31</v>
      </c>
      <c r="E1" s="61"/>
      <c r="F1" s="62"/>
      <c r="G1" s="65" t="s">
        <v>32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11876.716</v>
      </c>
      <c r="D2" s="5">
        <f>SUM(D4:D69)</f>
        <v>0</v>
      </c>
      <c r="E2" s="5">
        <f>C2-D2</f>
        <v>11876.716</v>
      </c>
      <c r="F2" s="6">
        <f>IFERROR(E2/D2, 0)</f>
        <v>0</v>
      </c>
      <c r="G2" s="5">
        <f>SUM(G4:G69)</f>
        <v>9148</v>
      </c>
      <c r="H2" s="7">
        <f>C2-G2</f>
        <v>2728.7160000000003</v>
      </c>
      <c r="I2" s="6">
        <f>IFERROR(H2/G2, 0)</f>
        <v>0.29828552689112375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15.65" customHeight="1" x14ac:dyDescent="0.35">
      <c r="A4" s="49" t="str">
        <f t="array" ref="A4:A5">Sites[Site]</f>
        <v>15 Baldwin Dr</v>
      </c>
      <c r="B4" s="28" t="str">
        <f t="array" ref="B4:B5">Sites[State]</f>
        <v>CT</v>
      </c>
      <c r="C4" s="24">
        <v>3838.0160000000001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5" customHeight="1" x14ac:dyDescent="0.35">
      <c r="A5" s="50" t="str">
        <v>8 Sycamore Way</v>
      </c>
      <c r="B5" s="30" t="str">
        <v>CT</v>
      </c>
      <c r="C5" s="11">
        <v>8038.7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52">
        <v>9148</v>
      </c>
      <c r="H5" s="20">
        <f>IF(AND(ISNUMBER(C5),ISNUMBER(G5)), C5-G5, "")</f>
        <v>-1109.3000000000002</v>
      </c>
      <c r="I5" s="19">
        <f>IFERROR(H5/G5, "")</f>
        <v>-0.12126147791867077</v>
      </c>
      <c r="J5" s="41" t="s">
        <v>33</v>
      </c>
      <c r="K5" s="54" t="s">
        <v>34</v>
      </c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5" r:id="rId1" display="https://us3.assetplanner.com/service_request?ID=096528" xr:uid="{00000000-0004-0000-0700-00000000000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K311"/>
  <sheetViews>
    <sheetView zoomScale="80" zoomScaleNormal="80"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D4" sqref="D4:D5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35</v>
      </c>
      <c r="E1" s="61"/>
      <c r="F1" s="62"/>
      <c r="G1" s="65" t="s">
        <v>36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19909.208000000101</v>
      </c>
      <c r="D2" s="5">
        <f>SUM(D4:D69)</f>
        <v>0</v>
      </c>
      <c r="E2" s="5">
        <f>C2-D2</f>
        <v>19909.208000000101</v>
      </c>
      <c r="F2" s="6">
        <f>IFERROR(E2/D2, 0)</f>
        <v>0</v>
      </c>
      <c r="G2" s="5">
        <f>SUM(G4:G69)</f>
        <v>11789</v>
      </c>
      <c r="H2" s="7">
        <f>C2-G2</f>
        <v>8120.2080000001006</v>
      </c>
      <c r="I2" s="6">
        <f>IFERROR(H2/G2, 0)</f>
        <v>0.68879531766902202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5951.0079999999998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37</v>
      </c>
      <c r="K4" s="55" t="s">
        <v>38</v>
      </c>
    </row>
    <row r="5" spans="1:11" ht="15.65" customHeight="1" x14ac:dyDescent="0.25">
      <c r="A5" s="29" t="str">
        <v>8 Sycamore Way</v>
      </c>
      <c r="B5" s="30" t="str">
        <v>CT</v>
      </c>
      <c r="C5" s="11">
        <v>13958.200000000101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11789</v>
      </c>
      <c r="H5" s="20">
        <f>IF(AND(ISNUMBER(C5),ISNUMBER(G5)), C5-G5, "")</f>
        <v>2169.2000000001008</v>
      </c>
      <c r="I5" s="19">
        <f>IFERROR(H5/G5, "")</f>
        <v>0.18400203579608965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8036" xr:uid="{00000000-0004-0000-0800-000000000000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K311"/>
  <sheetViews>
    <sheetView workbookViewId="0">
      <pane xSplit="2" ySplit="3" topLeftCell="H4" activePane="bottomRight" state="frozen"/>
      <selection pane="topRight" activeCell="G22" sqref="G22"/>
      <selection pane="bottomLeft" activeCell="G22" sqref="G22"/>
      <selection pane="bottomRight" activeCell="K4" sqref="K4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39</v>
      </c>
      <c r="E1" s="61"/>
      <c r="F1" s="62"/>
      <c r="G1" s="65" t="s">
        <v>40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22525.9</v>
      </c>
      <c r="D2" s="5">
        <f>SUM(D4:D69)</f>
        <v>0</v>
      </c>
      <c r="E2" s="5">
        <f>C2-D2</f>
        <v>22525.9</v>
      </c>
      <c r="F2" s="6">
        <f>IFERROR(E2/D2, 0)</f>
        <v>0</v>
      </c>
      <c r="G2" s="5">
        <f>SUM(G4:G69)</f>
        <v>13203</v>
      </c>
      <c r="H2" s="7">
        <f>C2-G2</f>
        <v>9322.9000000000015</v>
      </c>
      <c r="I2" s="6">
        <f>IFERROR(H2/G2, 0)</f>
        <v>0.70611982125274575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6532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41</v>
      </c>
      <c r="K4" s="55" t="s">
        <v>38</v>
      </c>
    </row>
    <row r="5" spans="1:11" ht="15.65" customHeight="1" x14ac:dyDescent="0.25">
      <c r="A5" s="29" t="str">
        <v>8 Sycamore Way</v>
      </c>
      <c r="B5" s="30" t="str">
        <v>CT</v>
      </c>
      <c r="C5" s="11">
        <v>15993.9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13203</v>
      </c>
      <c r="H5" s="20">
        <f>IF(AND(ISNUMBER(C5),ISNUMBER(G5)), C5-G5, "")</f>
        <v>2790.8999999999996</v>
      </c>
      <c r="I5" s="19">
        <f>IFERROR(H5/G5, "")</f>
        <v>0.21138377641445125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8036" xr:uid="{00000000-0004-0000-0900-000000000000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K311"/>
  <sheetViews>
    <sheetView workbookViewId="0">
      <pane xSplit="2" ySplit="3" topLeftCell="F4" activePane="bottomRight" state="frozen"/>
      <selection pane="topRight" activeCell="G22" sqref="G22"/>
      <selection pane="bottomLeft" activeCell="G22" sqref="G22"/>
      <selection pane="bottomRight" activeCell="K4" sqref="K4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42</v>
      </c>
      <c r="E1" s="61"/>
      <c r="F1" s="62"/>
      <c r="G1" s="65" t="s">
        <v>43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22810.584000000003</v>
      </c>
      <c r="D2" s="5">
        <f>SUM(D4:D69)</f>
        <v>0</v>
      </c>
      <c r="E2" s="5">
        <f>C2-D2</f>
        <v>22810.584000000003</v>
      </c>
      <c r="F2" s="6">
        <f>IFERROR(E2/D2, 0)</f>
        <v>0</v>
      </c>
      <c r="G2" s="5">
        <f>SUM(G4:G69)</f>
        <v>14197.677</v>
      </c>
      <c r="H2" s="7">
        <f>C2-G2</f>
        <v>8612.9070000000029</v>
      </c>
      <c r="I2" s="6">
        <f>IFERROR(H2/G2, 0)</f>
        <v>0.60664198798155522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7225.9840000000004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6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41</v>
      </c>
      <c r="K4" s="55" t="s">
        <v>38</v>
      </c>
    </row>
    <row r="5" spans="1:11" ht="15.65" customHeight="1" x14ac:dyDescent="0.25">
      <c r="A5" s="29" t="str">
        <v>8 Sycamore Way</v>
      </c>
      <c r="B5" s="30" t="str">
        <v>CT</v>
      </c>
      <c r="C5" s="11">
        <v>15584.6</v>
      </c>
      <c r="D5" s="18">
        <v>0</v>
      </c>
      <c r="E5" s="18">
        <f>IF(AND(ISNUMBER(C5),ISNUMBER(D5)), C5-D5, "")</f>
        <v>15584.6</v>
      </c>
      <c r="F5" s="19" t="str">
        <f>IFERROR(E5/D5, "")</f>
        <v/>
      </c>
      <c r="G5" s="20">
        <v>14197.677</v>
      </c>
      <c r="H5" s="20">
        <f>IF(AND(ISNUMBER(C5),ISNUMBER(G5)), C5-G5, "")</f>
        <v>1386.9230000000007</v>
      </c>
      <c r="I5" s="19">
        <f>IFERROR(H5/G5, "")</f>
        <v>9.7686614507429687E-2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8036" xr:uid="{00000000-0004-0000-0A00-00000000000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K311"/>
  <sheetViews>
    <sheetView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J4" sqref="J4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44</v>
      </c>
      <c r="E1" s="61"/>
      <c r="F1" s="62"/>
      <c r="G1" s="65" t="s">
        <v>45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25358.892</v>
      </c>
      <c r="D2" s="5">
        <f>SUM(D4:D69)</f>
        <v>0</v>
      </c>
      <c r="E2" s="5">
        <f>C2-D2</f>
        <v>25358.892</v>
      </c>
      <c r="F2" s="6">
        <f>IFERROR(E2/D2, 0)</f>
        <v>0</v>
      </c>
      <c r="G2" s="5">
        <f>SUM(G4:G69)</f>
        <v>14504.5</v>
      </c>
      <c r="H2" s="7">
        <f>C2-G2</f>
        <v>10854.392</v>
      </c>
      <c r="I2" s="6">
        <f>IFERROR(H2/G2, 0)</f>
        <v>0.74834651315109102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8140.9920000000002</v>
      </c>
      <c r="D4" s="13">
        <v>0</v>
      </c>
      <c r="E4" s="13">
        <f>IF(AND(ISNUMBER(C4),ISNUMBER(D4)), C4-D4, "")</f>
        <v>8140.9920000000002</v>
      </c>
      <c r="F4" s="14" t="str">
        <f>IFERROR(E4/D4, "")</f>
        <v/>
      </c>
      <c r="G4" s="56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41</v>
      </c>
      <c r="K4" s="55" t="s">
        <v>46</v>
      </c>
    </row>
    <row r="5" spans="1:11" ht="15.65" customHeight="1" x14ac:dyDescent="0.25">
      <c r="A5" s="29" t="str">
        <v>8 Sycamore Way</v>
      </c>
      <c r="B5" s="30" t="str">
        <v>CT</v>
      </c>
      <c r="C5" s="11">
        <v>17217.900000000001</v>
      </c>
      <c r="D5" s="18">
        <v>0</v>
      </c>
      <c r="E5" s="18">
        <f>IF(AND(ISNUMBER(C5),ISNUMBER(D5)), C5-D5, "")</f>
        <v>17217.900000000001</v>
      </c>
      <c r="F5" s="19" t="str">
        <f>IFERROR(E5/D5, "")</f>
        <v/>
      </c>
      <c r="G5" s="20">
        <v>14504.5</v>
      </c>
      <c r="H5" s="20">
        <f>IF(AND(ISNUMBER(C5),ISNUMBER(G5)), C5-G5, "")</f>
        <v>2713.4000000000015</v>
      </c>
      <c r="I5" s="19">
        <f>IFERROR(H5/G5, "")</f>
        <v>0.18707297735185643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8036" xr:uid="{00000000-0004-0000-0B00-000000000000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A1:K311"/>
  <sheetViews>
    <sheetView workbookViewId="0">
      <pane xSplit="2" ySplit="3" topLeftCell="D4" activePane="bottomRight" state="frozen"/>
      <selection pane="topRight" activeCell="G22" sqref="G22"/>
      <selection pane="bottomLeft" activeCell="G22" sqref="G22"/>
      <selection pane="bottomRight" activeCell="H29" sqref="H29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47</v>
      </c>
      <c r="E1" s="61"/>
      <c r="F1" s="62"/>
      <c r="G1" s="65" t="s">
        <v>48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27491.908000000003</v>
      </c>
      <c r="D2" s="5">
        <f>SUM(D4:D69)</f>
        <v>0</v>
      </c>
      <c r="E2" s="5">
        <f>C2-D2</f>
        <v>27491.908000000003</v>
      </c>
      <c r="F2" s="6">
        <f>IFERROR(E2/D2, 0)</f>
        <v>0</v>
      </c>
      <c r="G2" s="5">
        <f>SUM(G4:G69)</f>
        <v>15228.258</v>
      </c>
      <c r="H2" s="7">
        <f>C2-G2</f>
        <v>12263.650000000003</v>
      </c>
      <c r="I2" s="6">
        <f>IFERROR(H2/G2, 0)</f>
        <v>0.80532192191647944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8607.0079999999998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41</v>
      </c>
      <c r="K4" s="55" t="s">
        <v>38</v>
      </c>
    </row>
    <row r="5" spans="1:11" ht="15.65" customHeight="1" x14ac:dyDescent="0.25">
      <c r="A5" s="29" t="str">
        <v>8 Sycamore Way</v>
      </c>
      <c r="B5" s="30" t="str">
        <v>CT</v>
      </c>
      <c r="C5" s="11">
        <v>18884.900000000001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15228.258</v>
      </c>
      <c r="H5" s="20">
        <f>IF(AND(ISNUMBER(C5),ISNUMBER(G5)), C5-G5, "")</f>
        <v>3656.6420000000016</v>
      </c>
      <c r="I5" s="19">
        <f>IFERROR(H5/G5, "")</f>
        <v>0.24012214660403058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98036" xr:uid="{00000000-0004-0000-0C00-00000000000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pageSetUpPr fitToPage="1"/>
  </sheetPr>
  <dimension ref="A1:K311"/>
  <sheetViews>
    <sheetView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G27" sqref="G27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49</v>
      </c>
      <c r="E1" s="61"/>
      <c r="F1" s="62"/>
      <c r="G1" s="65" t="s">
        <v>50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28187.115999999998</v>
      </c>
      <c r="D2" s="5">
        <f>SUM(D4:D69)</f>
        <v>0</v>
      </c>
      <c r="E2" s="5">
        <f>C2-D2</f>
        <v>28187.115999999998</v>
      </c>
      <c r="F2" s="6">
        <f>IFERROR(E2/D2, 0)</f>
        <v>0</v>
      </c>
      <c r="G2" s="5">
        <f>SUM(G4:G69)</f>
        <v>14024.129000000001</v>
      </c>
      <c r="H2" s="7">
        <f>C2-G2</f>
        <v>14162.986999999997</v>
      </c>
      <c r="I2" s="6">
        <f>IFERROR(H2/G2, 0)</f>
        <v>1.0099013635713132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9030.0159999999996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41</v>
      </c>
      <c r="K4" s="55" t="s">
        <v>38</v>
      </c>
    </row>
    <row r="5" spans="1:11" ht="15.65" customHeight="1" x14ac:dyDescent="0.25">
      <c r="A5" s="29" t="str">
        <v>8 Sycamore Way</v>
      </c>
      <c r="B5" s="30" t="str">
        <v>CT</v>
      </c>
      <c r="C5" s="11">
        <v>19157.099999999999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14024.129000000001</v>
      </c>
      <c r="H5" s="20">
        <f>IF(AND(ISNUMBER(C5),ISNUMBER(G5)), C5-G5, "")</f>
        <v>5132.9709999999977</v>
      </c>
      <c r="I5" s="19">
        <f>IFERROR(H5/G5, "")</f>
        <v>0.36600996753523857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098036" xr:uid="{00000000-0004-0000-0D00-00000000000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pageSetUpPr fitToPage="1"/>
  </sheetPr>
  <dimension ref="A1:K311"/>
  <sheetViews>
    <sheetView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I16" sqref="I16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0" t="str">
        <f t="array" ref="A1">portfolio</f>
        <v>American Polyfilm, Inc.</v>
      </c>
      <c r="B1" s="61"/>
      <c r="C1" s="62"/>
      <c r="D1" s="63" t="s">
        <v>51</v>
      </c>
      <c r="E1" s="61"/>
      <c r="F1" s="62"/>
      <c r="G1" s="65" t="s">
        <v>52</v>
      </c>
      <c r="H1" s="61"/>
      <c r="I1" s="62"/>
      <c r="J1" s="4"/>
      <c r="K1" s="4"/>
    </row>
    <row r="2" spans="1:11" ht="19.5" customHeight="1" x14ac:dyDescent="0.25">
      <c r="A2" s="64" t="s">
        <v>2</v>
      </c>
      <c r="B2" s="62"/>
      <c r="C2" s="5">
        <f>SUM(C4:C69)</f>
        <v>22422.084000000003</v>
      </c>
      <c r="D2" s="5">
        <f>SUM(D4:D69)</f>
        <v>0</v>
      </c>
      <c r="E2" s="5">
        <f>C2-D2</f>
        <v>22422.084000000003</v>
      </c>
      <c r="F2" s="6">
        <f>IFERROR(E2/D2, 0)</f>
        <v>0</v>
      </c>
      <c r="G2" s="5">
        <f>SUM(G4:G69)</f>
        <v>12001.5</v>
      </c>
      <c r="H2" s="7">
        <f>C2-G2</f>
        <v>10420.584000000003</v>
      </c>
      <c r="I2" s="6">
        <f>IFERROR(H2/G2, 0)</f>
        <v>0.86827346581677312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1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7657.9840000000004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41</v>
      </c>
      <c r="K4" s="55" t="s">
        <v>46</v>
      </c>
    </row>
    <row r="5" spans="1:11" ht="15.65" customHeight="1" x14ac:dyDescent="0.25">
      <c r="A5" s="29" t="str">
        <v>8 Sycamore Way</v>
      </c>
      <c r="B5" s="30" t="str">
        <v>CT</v>
      </c>
      <c r="C5" s="11">
        <v>14764.1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12001.5</v>
      </c>
      <c r="H5" s="20">
        <f>IF(AND(ISNUMBER(C5),ISNUMBER(G5)), C5-G5, "")</f>
        <v>2762.6000000000004</v>
      </c>
      <c r="I5" s="19">
        <f>IFERROR(H5/G5, "")</f>
        <v>0.2301878931800192</v>
      </c>
      <c r="J5" s="41"/>
      <c r="K5" s="41"/>
    </row>
    <row r="6" spans="1:11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hyperlinks>
    <hyperlink ref="K4" r:id="rId1" display="https://us3.assetplanner.com/service_request?ID=098036" xr:uid="{00000000-0004-0000-0E00-000000000000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A1:L311"/>
  <sheetViews>
    <sheetView zoomScale="80" zoomScaleNormal="80"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J22" sqref="J22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2" ht="19.5" customHeight="1" x14ac:dyDescent="0.25">
      <c r="A1" s="60" t="str">
        <f t="array" ref="A1">portfolio</f>
        <v>American Polyfilm, Inc.</v>
      </c>
      <c r="B1" s="61"/>
      <c r="C1" s="62"/>
      <c r="D1" s="63" t="s">
        <v>53</v>
      </c>
      <c r="E1" s="61"/>
      <c r="F1" s="62"/>
      <c r="G1" s="65" t="s">
        <v>54</v>
      </c>
      <c r="H1" s="61"/>
      <c r="I1" s="62"/>
      <c r="J1" s="4"/>
      <c r="K1" s="4"/>
    </row>
    <row r="2" spans="1:12" ht="19.5" customHeight="1" x14ac:dyDescent="0.25">
      <c r="A2" s="64" t="s">
        <v>2</v>
      </c>
      <c r="B2" s="62"/>
      <c r="C2" s="5">
        <f>SUM(C4:C69)</f>
        <v>17630.8</v>
      </c>
      <c r="D2" s="5">
        <f>SUM(D4:D69)</f>
        <v>0</v>
      </c>
      <c r="E2" s="5">
        <f>C2-D2</f>
        <v>17630.8</v>
      </c>
      <c r="F2" s="6">
        <f>IFERROR(E2/D2, 0)</f>
        <v>0</v>
      </c>
      <c r="G2" s="5">
        <f>SUM(G4:G69)</f>
        <v>9608</v>
      </c>
      <c r="H2" s="7">
        <f>C2-G2</f>
        <v>8022.7999999999993</v>
      </c>
      <c r="I2" s="6">
        <f>IFERROR(H2/G2, 0)</f>
        <v>0.83501248959200658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2" ht="15.65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6319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15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55</v>
      </c>
      <c r="K4" s="55" t="s">
        <v>46</v>
      </c>
      <c r="L4" t="s">
        <v>56</v>
      </c>
    </row>
    <row r="5" spans="1:12" ht="15.65" customHeight="1" x14ac:dyDescent="0.25">
      <c r="A5" s="29" t="str">
        <v>8 Sycamore Way</v>
      </c>
      <c r="B5" s="30" t="str">
        <v>CT</v>
      </c>
      <c r="C5" s="11">
        <v>11311.8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9608</v>
      </c>
      <c r="H5" s="20">
        <f>IF(AND(ISNUMBER(C5),ISNUMBER(G5)), C5-G5, "")</f>
        <v>1703.7999999999993</v>
      </c>
      <c r="I5" s="19">
        <f>IFERROR(H5/G5, "")</f>
        <v>0.17733139050791</v>
      </c>
      <c r="J5" s="41"/>
      <c r="K5" s="41"/>
    </row>
    <row r="6" spans="1:12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hyperlinks>
    <hyperlink ref="K4" r:id="rId1" display="https://us3.assetplanner.com/service_request?ID=098036" xr:uid="{00000000-0004-0000-0F00-000000000000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fitToPage="1"/>
  </sheetPr>
  <dimension ref="A1:M311"/>
  <sheetViews>
    <sheetView zoomScale="70" zoomScaleNormal="70"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J11" sqref="J11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2" width="20.54296875" bestFit="1" customWidth="1"/>
    <col min="13" max="13" width="8.81640625" style="58" customWidth="1"/>
  </cols>
  <sheetData>
    <row r="1" spans="1:13" ht="19.5" customHeight="1" x14ac:dyDescent="0.25">
      <c r="A1" s="60" t="str">
        <f t="array" ref="A1">portfolio</f>
        <v>American Polyfilm, Inc.</v>
      </c>
      <c r="B1" s="61"/>
      <c r="C1" s="62"/>
      <c r="D1" s="63" t="s">
        <v>0</v>
      </c>
      <c r="E1" s="61"/>
      <c r="F1" s="62"/>
      <c r="G1" s="65" t="s">
        <v>1</v>
      </c>
      <c r="H1" s="61"/>
      <c r="I1" s="62"/>
      <c r="J1" s="4"/>
      <c r="K1" s="4"/>
      <c r="L1" s="4"/>
    </row>
    <row r="2" spans="1:13" ht="19.5" customHeight="1" x14ac:dyDescent="0.25">
      <c r="A2" s="64" t="s">
        <v>2</v>
      </c>
      <c r="B2" s="62"/>
      <c r="C2" s="5">
        <f>SUM(C4:C69)</f>
        <v>10610.9</v>
      </c>
      <c r="D2" s="5">
        <f>SUM(D4:D69)</f>
        <v>0</v>
      </c>
      <c r="E2" s="5">
        <f>C2-D2</f>
        <v>10610.9</v>
      </c>
      <c r="F2" s="6">
        <f>IFERROR(E2/D2, 0)</f>
        <v>0</v>
      </c>
      <c r="G2" s="5">
        <f>SUM(G4:G69)</f>
        <v>7454</v>
      </c>
      <c r="H2" s="7">
        <f>C2-G2</f>
        <v>3156.8999999999996</v>
      </c>
      <c r="I2" s="6">
        <f>IFERROR(H2/G2, 0)</f>
        <v>0.42351757445666749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  <c r="L3" s="25" t="s">
        <v>12</v>
      </c>
    </row>
    <row r="4" spans="1:13" ht="43.15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3113.6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15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14</v>
      </c>
      <c r="K4" s="55" t="s">
        <v>15</v>
      </c>
      <c r="L4" s="40" t="s">
        <v>16</v>
      </c>
      <c r="M4" s="59" t="s">
        <v>17</v>
      </c>
    </row>
    <row r="5" spans="1:13" ht="15.65" customHeight="1" x14ac:dyDescent="0.25">
      <c r="A5" s="29" t="str">
        <v>8 Sycamore Way</v>
      </c>
      <c r="B5" s="30" t="str">
        <v>CT</v>
      </c>
      <c r="C5" s="11">
        <v>7497.3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7454</v>
      </c>
      <c r="H5" s="20">
        <f>IF(AND(ISNUMBER(C5),ISNUMBER(G5)), C5-G5, "")</f>
        <v>43.300000000000182</v>
      </c>
      <c r="I5" s="19">
        <f>IFERROR(H5/G5, "")</f>
        <v>5.8089616313389027E-3</v>
      </c>
      <c r="J5" s="41"/>
      <c r="K5" s="41"/>
      <c r="L5" s="41"/>
    </row>
    <row r="6" spans="1:13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  <c r="L6" s="21"/>
    </row>
    <row r="7" spans="1:13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3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3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3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3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3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3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3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3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3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hyperlinks>
    <hyperlink ref="K4" r:id="rId1" display="https://us3.assetplanner.com/service_request?ID=098036" xr:uid="{00000000-0004-0000-1000-000000000000}"/>
    <hyperlink ref="M4" r:id="rId2" display="https://us3.assetplanner.com/service_request?ID=111671" xr:uid="{00000000-0004-0000-1000-000001000000}"/>
  </hyperlinks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A1:L311"/>
  <sheetViews>
    <sheetView zoomScale="80" zoomScaleNormal="80" workbookViewId="0">
      <pane xSplit="2" ySplit="3" topLeftCell="C4" activePane="bottomRight" state="frozen"/>
      <selection pane="topRight" activeCell="G22" sqref="G22"/>
      <selection pane="bottomLeft" activeCell="G22" sqref="G22"/>
      <selection pane="bottomRight" activeCell="J23" sqref="J23:J24"/>
    </sheetView>
  </sheetViews>
  <sheetFormatPr defaultRowHeight="14" x14ac:dyDescent="0.3"/>
  <cols>
    <col min="1" max="1" width="35.81640625" bestFit="1" customWidth="1"/>
    <col min="2" max="2" width="8.453125" style="33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2" ht="19.5" customHeight="1" x14ac:dyDescent="0.25">
      <c r="A1" s="60" t="str">
        <f t="array" ref="A1">portfolio</f>
        <v>American Polyfilm, Inc.</v>
      </c>
      <c r="B1" s="61"/>
      <c r="C1" s="62"/>
      <c r="D1" s="63" t="s">
        <v>57</v>
      </c>
      <c r="E1" s="61"/>
      <c r="F1" s="62"/>
      <c r="G1" s="65" t="s">
        <v>58</v>
      </c>
      <c r="H1" s="61"/>
      <c r="I1" s="62"/>
      <c r="J1" s="4"/>
      <c r="K1" s="4"/>
    </row>
    <row r="2" spans="1:12" ht="19.5" customHeight="1" x14ac:dyDescent="0.25">
      <c r="A2" s="64" t="s">
        <v>2</v>
      </c>
      <c r="B2" s="62"/>
      <c r="C2" s="5">
        <f>SUM(C4:C69)</f>
        <v>9890.2989999999991</v>
      </c>
      <c r="D2" s="5">
        <f>SUM(D4:D69)</f>
        <v>0</v>
      </c>
      <c r="E2" s="5">
        <f>C2-D2</f>
        <v>9890.2989999999991</v>
      </c>
      <c r="F2" s="6">
        <f>IFERROR(E2/D2, 0)</f>
        <v>0</v>
      </c>
      <c r="G2" s="5">
        <f>SUM(G4:G69)</f>
        <v>6602.3549999999996</v>
      </c>
      <c r="H2" s="7">
        <f>C2-G2</f>
        <v>3287.9439999999995</v>
      </c>
      <c r="I2" s="6">
        <f>IFERROR(H2/G2, 0)</f>
        <v>0.49799563943471681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3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10</v>
      </c>
      <c r="K3" s="25" t="s">
        <v>11</v>
      </c>
    </row>
    <row r="4" spans="1:12" ht="28.9" customHeight="1" x14ac:dyDescent="0.35">
      <c r="A4" s="31" t="str">
        <f t="array" ref="A4:A5">Sites[Site]</f>
        <v>15 Baldwin Dr</v>
      </c>
      <c r="B4" s="28" t="str">
        <f t="array" ref="B4:B5">Sites[State]</f>
        <v>CT</v>
      </c>
      <c r="C4" s="24">
        <v>4226.299</v>
      </c>
      <c r="D4" s="13" t="s">
        <v>13</v>
      </c>
      <c r="E4" s="13" t="str">
        <f>IF(AND(ISNUMBER(C4),ISNUMBER(D4)), C4-D4, "")</f>
        <v/>
      </c>
      <c r="F4" s="14" t="str">
        <f>IFERROR(E4/D4, "")</f>
        <v/>
      </c>
      <c r="G4" s="53" t="s">
        <v>13</v>
      </c>
      <c r="H4" s="15" t="str">
        <f>IF(AND(ISNUMBER(C4),ISNUMBER(G4)), C4-G4, "")</f>
        <v/>
      </c>
      <c r="I4" s="16" t="str">
        <f>IFERROR(H4/G4, "")</f>
        <v/>
      </c>
      <c r="J4" s="40" t="s">
        <v>59</v>
      </c>
      <c r="K4" s="55" t="s">
        <v>60</v>
      </c>
      <c r="L4" s="57" t="s">
        <v>56</v>
      </c>
    </row>
    <row r="5" spans="1:12" ht="15.65" customHeight="1" x14ac:dyDescent="0.25">
      <c r="A5" s="29" t="str">
        <v>8 Sycamore Way</v>
      </c>
      <c r="B5" s="30" t="str">
        <v>CT</v>
      </c>
      <c r="C5" s="11">
        <v>5664</v>
      </c>
      <c r="D5" s="18" t="s">
        <v>13</v>
      </c>
      <c r="E5" s="18" t="str">
        <f>IF(AND(ISNUMBER(C5),ISNUMBER(D5)), C5-D5, "")</f>
        <v/>
      </c>
      <c r="F5" s="19" t="str">
        <f>IFERROR(E5/D5, "")</f>
        <v/>
      </c>
      <c r="G5" s="20">
        <v>6602.3549999999996</v>
      </c>
      <c r="H5" s="20">
        <f>IF(AND(ISNUMBER(C5),ISNUMBER(G5)), C5-G5, "")</f>
        <v>-938.35499999999956</v>
      </c>
      <c r="I5" s="19">
        <f>IFERROR(H5/G5, "")</f>
        <v>-0.14212428747015263</v>
      </c>
      <c r="J5" s="41" t="s">
        <v>61</v>
      </c>
      <c r="K5" s="41"/>
    </row>
    <row r="6" spans="1:12" ht="14.5" customHeight="1" x14ac:dyDescent="0.3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5" customHeight="1" x14ac:dyDescent="0.3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5" customHeight="1" x14ac:dyDescent="0.3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5" customHeight="1" x14ac:dyDescent="0.3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5" customHeight="1" x14ac:dyDescent="0.3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5" customHeight="1" x14ac:dyDescent="0.3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5" customHeight="1" x14ac:dyDescent="0.3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5" customHeight="1" x14ac:dyDescent="0.3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5" customHeight="1" x14ac:dyDescent="0.3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5" customHeight="1" x14ac:dyDescent="0.3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5" customHeight="1" x14ac:dyDescent="0.3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5" customHeight="1" x14ac:dyDescent="0.3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5" customHeight="1" x14ac:dyDescent="0.3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5" customHeight="1" x14ac:dyDescent="0.3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5" customHeight="1" x14ac:dyDescent="0.3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5" customHeight="1" x14ac:dyDescent="0.3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5" customHeight="1" x14ac:dyDescent="0.3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5" customHeight="1" x14ac:dyDescent="0.3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5" customHeight="1" x14ac:dyDescent="0.3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5" customHeight="1" x14ac:dyDescent="0.3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5" customHeight="1" x14ac:dyDescent="0.3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5" customHeight="1" x14ac:dyDescent="0.3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5" customHeight="1" x14ac:dyDescent="0.3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5" customHeight="1" x14ac:dyDescent="0.3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5" customHeight="1" x14ac:dyDescent="0.3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5" customHeight="1" x14ac:dyDescent="0.3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5" customHeight="1" x14ac:dyDescent="0.3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customHeight="1" x14ac:dyDescent="0.3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customHeight="1" x14ac:dyDescent="0.3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customHeight="1" x14ac:dyDescent="0.3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customHeight="1" x14ac:dyDescent="0.3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customHeight="1" x14ac:dyDescent="0.3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customHeight="1" x14ac:dyDescent="0.3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customHeight="1" x14ac:dyDescent="0.3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customHeight="1" x14ac:dyDescent="0.3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customHeight="1" x14ac:dyDescent="0.3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customHeight="1" x14ac:dyDescent="0.3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customHeight="1" x14ac:dyDescent="0.3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customHeight="1" x14ac:dyDescent="0.3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customHeight="1" x14ac:dyDescent="0.3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customHeight="1" x14ac:dyDescent="0.3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customHeight="1" x14ac:dyDescent="0.3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customHeight="1" x14ac:dyDescent="0.3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customHeight="1" x14ac:dyDescent="0.3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customHeight="1" x14ac:dyDescent="0.3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customHeight="1" x14ac:dyDescent="0.3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customHeight="1" x14ac:dyDescent="0.3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customHeight="1" x14ac:dyDescent="0.3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customHeight="1" x14ac:dyDescent="0.3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customHeight="1" x14ac:dyDescent="0.3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customHeight="1" x14ac:dyDescent="0.3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customHeight="1" x14ac:dyDescent="0.3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customHeight="1" x14ac:dyDescent="0.3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customHeight="1" x14ac:dyDescent="0.3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customHeight="1" x14ac:dyDescent="0.3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customHeight="1" x14ac:dyDescent="0.3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customHeight="1" x14ac:dyDescent="0.3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customHeight="1" x14ac:dyDescent="0.3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customHeight="1" x14ac:dyDescent="0.3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customHeight="1" x14ac:dyDescent="0.3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customHeight="1" x14ac:dyDescent="0.3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customHeight="1" x14ac:dyDescent="0.3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customHeight="1" x14ac:dyDescent="0.3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customHeight="1" x14ac:dyDescent="0.3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customHeight="1" x14ac:dyDescent="0.3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customHeight="1" x14ac:dyDescent="0.3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customHeight="1" x14ac:dyDescent="0.3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customHeight="1" x14ac:dyDescent="0.3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customHeight="1" x14ac:dyDescent="0.3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customHeight="1" x14ac:dyDescent="0.3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customHeight="1" x14ac:dyDescent="0.3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customHeight="1" x14ac:dyDescent="0.3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customHeight="1" x14ac:dyDescent="0.3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customHeight="1" x14ac:dyDescent="0.3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customHeight="1" x14ac:dyDescent="0.3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customHeight="1" x14ac:dyDescent="0.3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customHeight="1" x14ac:dyDescent="0.3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customHeight="1" x14ac:dyDescent="0.3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customHeight="1" x14ac:dyDescent="0.3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customHeight="1" x14ac:dyDescent="0.3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customHeight="1" x14ac:dyDescent="0.3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customHeight="1" x14ac:dyDescent="0.3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customHeight="1" x14ac:dyDescent="0.3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customHeight="1" x14ac:dyDescent="0.3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customHeight="1" x14ac:dyDescent="0.3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customHeight="1" x14ac:dyDescent="0.3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customHeight="1" x14ac:dyDescent="0.3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customHeight="1" x14ac:dyDescent="0.3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customHeight="1" x14ac:dyDescent="0.3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customHeight="1" x14ac:dyDescent="0.3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customHeight="1" x14ac:dyDescent="0.3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customHeight="1" x14ac:dyDescent="0.3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customHeight="1" x14ac:dyDescent="0.3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customHeight="1" x14ac:dyDescent="0.3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customHeight="1" x14ac:dyDescent="0.3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customHeight="1" x14ac:dyDescent="0.3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customHeight="1" x14ac:dyDescent="0.3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customHeight="1" x14ac:dyDescent="0.3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customHeight="1" x14ac:dyDescent="0.3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customHeight="1" x14ac:dyDescent="0.3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customHeight="1" x14ac:dyDescent="0.3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customHeight="1" x14ac:dyDescent="0.3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customHeight="1" x14ac:dyDescent="0.3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customHeight="1" x14ac:dyDescent="0.3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customHeight="1" x14ac:dyDescent="0.3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customHeight="1" x14ac:dyDescent="0.3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customHeight="1" x14ac:dyDescent="0.3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customHeight="1" x14ac:dyDescent="0.3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customHeight="1" x14ac:dyDescent="0.3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customHeight="1" x14ac:dyDescent="0.3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customHeight="1" x14ac:dyDescent="0.3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customHeight="1" x14ac:dyDescent="0.3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customHeight="1" x14ac:dyDescent="0.3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customHeight="1" x14ac:dyDescent="0.3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customHeight="1" x14ac:dyDescent="0.3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customHeight="1" x14ac:dyDescent="0.3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customHeight="1" x14ac:dyDescent="0.3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customHeight="1" x14ac:dyDescent="0.3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customHeight="1" x14ac:dyDescent="0.3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customHeight="1" x14ac:dyDescent="0.3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customHeight="1" x14ac:dyDescent="0.3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customHeight="1" x14ac:dyDescent="0.3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customHeight="1" x14ac:dyDescent="0.3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customHeight="1" x14ac:dyDescent="0.3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customHeight="1" x14ac:dyDescent="0.3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customHeight="1" x14ac:dyDescent="0.3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customHeight="1" x14ac:dyDescent="0.3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customHeight="1" x14ac:dyDescent="0.3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customHeight="1" x14ac:dyDescent="0.3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customHeight="1" x14ac:dyDescent="0.3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customHeight="1" x14ac:dyDescent="0.3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customHeight="1" x14ac:dyDescent="0.3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customHeight="1" x14ac:dyDescent="0.3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customHeight="1" x14ac:dyDescent="0.3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customHeight="1" x14ac:dyDescent="0.3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customHeight="1" x14ac:dyDescent="0.3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customHeight="1" x14ac:dyDescent="0.3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customHeight="1" x14ac:dyDescent="0.3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customHeight="1" x14ac:dyDescent="0.3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customHeight="1" x14ac:dyDescent="0.3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customHeight="1" x14ac:dyDescent="0.3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customHeight="1" x14ac:dyDescent="0.3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customHeight="1" x14ac:dyDescent="0.3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customHeight="1" x14ac:dyDescent="0.3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customHeight="1" x14ac:dyDescent="0.3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customHeight="1" x14ac:dyDescent="0.3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customHeight="1" x14ac:dyDescent="0.3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customHeight="1" x14ac:dyDescent="0.3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customHeight="1" x14ac:dyDescent="0.3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customHeight="1" x14ac:dyDescent="0.3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customHeight="1" x14ac:dyDescent="0.3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customHeight="1" x14ac:dyDescent="0.3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customHeight="1" x14ac:dyDescent="0.3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customHeight="1" x14ac:dyDescent="0.3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customHeight="1" x14ac:dyDescent="0.3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customHeight="1" x14ac:dyDescent="0.3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customHeight="1" x14ac:dyDescent="0.3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customHeight="1" x14ac:dyDescent="0.3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customHeight="1" x14ac:dyDescent="0.3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customHeight="1" x14ac:dyDescent="0.3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customHeight="1" x14ac:dyDescent="0.3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customHeight="1" x14ac:dyDescent="0.3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customHeight="1" x14ac:dyDescent="0.3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customHeight="1" x14ac:dyDescent="0.3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customHeight="1" x14ac:dyDescent="0.3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customHeight="1" x14ac:dyDescent="0.3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customHeight="1" x14ac:dyDescent="0.3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customHeight="1" x14ac:dyDescent="0.3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customHeight="1" x14ac:dyDescent="0.3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customHeight="1" x14ac:dyDescent="0.3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customHeight="1" x14ac:dyDescent="0.3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customHeight="1" x14ac:dyDescent="0.3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customHeight="1" x14ac:dyDescent="0.3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customHeight="1" x14ac:dyDescent="0.3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customHeight="1" x14ac:dyDescent="0.3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customHeight="1" x14ac:dyDescent="0.3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customHeight="1" x14ac:dyDescent="0.3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customHeight="1" x14ac:dyDescent="0.3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customHeight="1" x14ac:dyDescent="0.3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customHeight="1" x14ac:dyDescent="0.3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customHeight="1" x14ac:dyDescent="0.3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customHeight="1" x14ac:dyDescent="0.3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customHeight="1" x14ac:dyDescent="0.3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customHeight="1" x14ac:dyDescent="0.3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customHeight="1" x14ac:dyDescent="0.3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customHeight="1" x14ac:dyDescent="0.3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customHeight="1" x14ac:dyDescent="0.3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customHeight="1" x14ac:dyDescent="0.3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customHeight="1" x14ac:dyDescent="0.3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customHeight="1" x14ac:dyDescent="0.3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customHeight="1" x14ac:dyDescent="0.3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customHeight="1" x14ac:dyDescent="0.3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customHeight="1" x14ac:dyDescent="0.3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customHeight="1" x14ac:dyDescent="0.3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customHeight="1" x14ac:dyDescent="0.3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customHeight="1" x14ac:dyDescent="0.3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customHeight="1" x14ac:dyDescent="0.3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customHeight="1" x14ac:dyDescent="0.3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customHeight="1" x14ac:dyDescent="0.3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customHeight="1" x14ac:dyDescent="0.3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customHeight="1" x14ac:dyDescent="0.3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customHeight="1" x14ac:dyDescent="0.3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customHeight="1" x14ac:dyDescent="0.3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customHeight="1" x14ac:dyDescent="0.3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customHeight="1" x14ac:dyDescent="0.3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customHeight="1" x14ac:dyDescent="0.3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customHeight="1" x14ac:dyDescent="0.3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customHeight="1" x14ac:dyDescent="0.3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customHeight="1" x14ac:dyDescent="0.3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customHeight="1" x14ac:dyDescent="0.3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customHeight="1" x14ac:dyDescent="0.3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customHeight="1" x14ac:dyDescent="0.3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customHeight="1" x14ac:dyDescent="0.3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customHeight="1" x14ac:dyDescent="0.3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customHeight="1" x14ac:dyDescent="0.3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customHeight="1" x14ac:dyDescent="0.3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customHeight="1" x14ac:dyDescent="0.3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customHeight="1" x14ac:dyDescent="0.3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customHeight="1" x14ac:dyDescent="0.3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customHeight="1" x14ac:dyDescent="0.3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customHeight="1" x14ac:dyDescent="0.3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customHeight="1" x14ac:dyDescent="0.3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customHeight="1" x14ac:dyDescent="0.3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customHeight="1" x14ac:dyDescent="0.3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customHeight="1" x14ac:dyDescent="0.3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customHeight="1" x14ac:dyDescent="0.3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customHeight="1" x14ac:dyDescent="0.3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customHeight="1" x14ac:dyDescent="0.3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customHeight="1" x14ac:dyDescent="0.3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customHeight="1" x14ac:dyDescent="0.3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customHeight="1" x14ac:dyDescent="0.3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customHeight="1" x14ac:dyDescent="0.3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customHeight="1" x14ac:dyDescent="0.3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customHeight="1" x14ac:dyDescent="0.3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customHeight="1" x14ac:dyDescent="0.3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customHeight="1" x14ac:dyDescent="0.3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customHeight="1" x14ac:dyDescent="0.3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customHeight="1" x14ac:dyDescent="0.3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customHeight="1" x14ac:dyDescent="0.3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customHeight="1" x14ac:dyDescent="0.3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customHeight="1" x14ac:dyDescent="0.3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customHeight="1" x14ac:dyDescent="0.3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customHeight="1" x14ac:dyDescent="0.3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customHeight="1" x14ac:dyDescent="0.3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customHeight="1" x14ac:dyDescent="0.3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customHeight="1" x14ac:dyDescent="0.3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customHeight="1" x14ac:dyDescent="0.3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customHeight="1" x14ac:dyDescent="0.3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customHeight="1" x14ac:dyDescent="0.3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customHeight="1" x14ac:dyDescent="0.3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customHeight="1" x14ac:dyDescent="0.3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customHeight="1" x14ac:dyDescent="0.3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customHeight="1" x14ac:dyDescent="0.3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customHeight="1" x14ac:dyDescent="0.3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customHeight="1" x14ac:dyDescent="0.3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customHeight="1" x14ac:dyDescent="0.3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customHeight="1" x14ac:dyDescent="0.3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customHeight="1" x14ac:dyDescent="0.3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customHeight="1" x14ac:dyDescent="0.3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customHeight="1" x14ac:dyDescent="0.3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customHeight="1" x14ac:dyDescent="0.3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customHeight="1" x14ac:dyDescent="0.3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customHeight="1" x14ac:dyDescent="0.3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customHeight="1" x14ac:dyDescent="0.3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customHeight="1" x14ac:dyDescent="0.3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customHeight="1" x14ac:dyDescent="0.3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customHeight="1" x14ac:dyDescent="0.3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customHeight="1" x14ac:dyDescent="0.3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customHeight="1" x14ac:dyDescent="0.3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customHeight="1" x14ac:dyDescent="0.3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customHeight="1" x14ac:dyDescent="0.3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customHeight="1" x14ac:dyDescent="0.3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customHeight="1" x14ac:dyDescent="0.3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customHeight="1" x14ac:dyDescent="0.3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customHeight="1" x14ac:dyDescent="0.3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customHeight="1" x14ac:dyDescent="0.3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customHeight="1" x14ac:dyDescent="0.3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customHeight="1" x14ac:dyDescent="0.3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customHeight="1" x14ac:dyDescent="0.3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customHeight="1" x14ac:dyDescent="0.3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customHeight="1" x14ac:dyDescent="0.3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customHeight="1" x14ac:dyDescent="0.3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customHeight="1" x14ac:dyDescent="0.3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customHeight="1" x14ac:dyDescent="0.3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customHeight="1" x14ac:dyDescent="0.3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customHeight="1" x14ac:dyDescent="0.3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customHeight="1" x14ac:dyDescent="0.3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customHeight="1" x14ac:dyDescent="0.3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customHeight="1" x14ac:dyDescent="0.3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customHeight="1" x14ac:dyDescent="0.3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customHeight="1" x14ac:dyDescent="0.3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customHeight="1" x14ac:dyDescent="0.3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customHeight="1" x14ac:dyDescent="0.3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customHeight="1" x14ac:dyDescent="0.3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customHeight="1" x14ac:dyDescent="0.3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customHeight="1" x14ac:dyDescent="0.3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customHeight="1" x14ac:dyDescent="0.3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customHeight="1" x14ac:dyDescent="0.3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customHeight="1" x14ac:dyDescent="0.3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customHeight="1" x14ac:dyDescent="0.3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customHeight="1" x14ac:dyDescent="0.3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customHeight="1" x14ac:dyDescent="0.3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customHeight="1" x14ac:dyDescent="0.3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customHeight="1" x14ac:dyDescent="0.3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customHeight="1" x14ac:dyDescent="0.3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customHeight="1" x14ac:dyDescent="0.3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A1:C1"/>
    <mergeCell ref="D1:F1"/>
    <mergeCell ref="A2:B2"/>
    <mergeCell ref="G1:I1"/>
  </mergeCells>
  <conditionalFormatting sqref="F2 I2 F4:F69 I4:I6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hyperlinks>
    <hyperlink ref="K4" r:id="rId1" display="https://us3.assetplanner.com/service_request?ID=098036" xr:uid="{00000000-0004-0000-1100-000000000000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27" sqref="B27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24.1796875" customWidth="1"/>
    <col min="6" max="10" width="9.1796875" customWidth="1"/>
    <col min="11" max="12" width="22" bestFit="1" customWidth="1"/>
    <col min="13" max="14" width="9.1796875" customWidth="1"/>
  </cols>
  <sheetData>
    <row r="1" spans="1:12" ht="12.75" customHeight="1" x14ac:dyDescent="0.25">
      <c r="A1" t="s">
        <v>62</v>
      </c>
      <c r="B1" t="s">
        <v>63</v>
      </c>
    </row>
    <row r="2" spans="1:12" ht="12.5" x14ac:dyDescent="0.25"/>
    <row r="3" spans="1:12" ht="13.15" customHeight="1" x14ac:dyDescent="0.2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5" customHeight="1" x14ac:dyDescent="0.35">
      <c r="A4" s="3" t="s">
        <v>67</v>
      </c>
      <c r="B4" s="3" t="s">
        <v>68</v>
      </c>
      <c r="C4" s="51" t="s">
        <v>69</v>
      </c>
      <c r="D4" s="2" t="s">
        <v>70</v>
      </c>
      <c r="E4" t="s">
        <v>71</v>
      </c>
      <c r="G4" s="3"/>
    </row>
    <row r="5" spans="1:12" ht="14.5" customHeight="1" x14ac:dyDescent="0.35">
      <c r="A5" s="3" t="s">
        <v>72</v>
      </c>
      <c r="B5" s="3" t="s">
        <v>72</v>
      </c>
      <c r="C5" s="51" t="s">
        <v>69</v>
      </c>
      <c r="D5" s="2" t="s">
        <v>73</v>
      </c>
      <c r="E5" t="s">
        <v>71</v>
      </c>
      <c r="G5" s="3"/>
    </row>
    <row r="6" spans="1:12" ht="14.5" customHeight="1" x14ac:dyDescent="0.35">
      <c r="A6" s="48"/>
      <c r="C6" s="45"/>
      <c r="D6" s="44"/>
      <c r="G6" s="3"/>
    </row>
    <row r="7" spans="1:12" ht="12.75" customHeight="1" x14ac:dyDescent="0.25">
      <c r="A7" s="48"/>
      <c r="C7" s="45"/>
      <c r="D7" s="44"/>
    </row>
    <row r="8" spans="1:12" ht="12.75" customHeight="1" x14ac:dyDescent="0.25">
      <c r="A8" s="48"/>
      <c r="C8" s="45"/>
      <c r="D8" s="44"/>
    </row>
    <row r="9" spans="1:12" ht="12.75" customHeight="1" x14ac:dyDescent="0.25">
      <c r="A9" s="48"/>
      <c r="C9" s="45"/>
      <c r="D9" s="44"/>
    </row>
    <row r="10" spans="1:12" ht="12.75" customHeight="1" x14ac:dyDescent="0.25">
      <c r="A10" s="48"/>
      <c r="C10" s="45"/>
      <c r="D10" s="44"/>
      <c r="K10" s="42"/>
      <c r="L10" s="42"/>
    </row>
    <row r="11" spans="1:12" ht="12.75" customHeight="1" x14ac:dyDescent="0.25">
      <c r="A11" s="48"/>
      <c r="C11" s="45"/>
      <c r="D11" s="44"/>
      <c r="K11" s="42"/>
      <c r="L11" s="42"/>
    </row>
    <row r="12" spans="1:12" ht="12.75" customHeight="1" x14ac:dyDescent="0.25">
      <c r="A12" s="48"/>
      <c r="C12" s="45"/>
      <c r="D12" s="44"/>
      <c r="K12" s="42"/>
      <c r="L12" s="42"/>
    </row>
    <row r="13" spans="1:12" ht="12.75" customHeight="1" x14ac:dyDescent="0.25">
      <c r="A13" s="48"/>
      <c r="C13" s="45"/>
      <c r="D13" s="44"/>
      <c r="K13" s="42"/>
      <c r="L13" s="42"/>
    </row>
    <row r="14" spans="1:12" ht="12.75" customHeight="1" x14ac:dyDescent="0.25">
      <c r="A14" s="48"/>
      <c r="C14" s="45"/>
      <c r="D14" s="44"/>
      <c r="K14" s="42"/>
      <c r="L14" s="42"/>
    </row>
    <row r="15" spans="1:12" ht="12.75" customHeight="1" x14ac:dyDescent="0.25">
      <c r="A15" s="48"/>
      <c r="C15" s="45"/>
      <c r="D15" s="44"/>
      <c r="K15" s="42"/>
      <c r="L15" s="42"/>
    </row>
    <row r="16" spans="1:12" ht="12.75" customHeight="1" x14ac:dyDescent="0.25">
      <c r="A16" s="48"/>
      <c r="C16" s="45"/>
      <c r="D16" s="44"/>
      <c r="K16" s="42"/>
      <c r="L16" s="42"/>
    </row>
    <row r="17" spans="1:12" ht="12.75" customHeight="1" x14ac:dyDescent="0.25">
      <c r="A17" s="48"/>
      <c r="C17" s="45"/>
      <c r="D17" s="44"/>
      <c r="K17" s="42"/>
      <c r="L17" s="42"/>
    </row>
    <row r="18" spans="1:12" ht="12.75" customHeight="1" x14ac:dyDescent="0.25">
      <c r="A18" s="48"/>
      <c r="C18" s="45"/>
      <c r="D18" s="44"/>
      <c r="K18" s="42"/>
      <c r="L18" s="42"/>
    </row>
    <row r="19" spans="1:12" ht="12.75" customHeight="1" x14ac:dyDescent="0.25">
      <c r="A19" s="48"/>
      <c r="C19" s="45"/>
      <c r="D19" s="44"/>
      <c r="K19" s="42"/>
      <c r="L19" s="42"/>
    </row>
    <row r="20" spans="1:12" ht="12.75" customHeight="1" x14ac:dyDescent="0.25">
      <c r="A20" s="48"/>
      <c r="C20" s="45"/>
      <c r="D20" s="44"/>
      <c r="K20" s="42"/>
      <c r="L20" s="42"/>
    </row>
    <row r="21" spans="1:12" ht="12.75" customHeight="1" x14ac:dyDescent="0.25">
      <c r="A21" s="48"/>
      <c r="C21" s="45"/>
      <c r="D21" s="44"/>
      <c r="K21" s="42"/>
      <c r="L21" s="42"/>
    </row>
    <row r="22" spans="1:12" ht="12.75" customHeight="1" x14ac:dyDescent="0.25">
      <c r="A22" s="48"/>
      <c r="C22" s="45"/>
      <c r="D22" s="44"/>
      <c r="K22" s="42"/>
      <c r="L22" s="42"/>
    </row>
    <row r="23" spans="1:12" ht="12.75" customHeight="1" x14ac:dyDescent="0.25">
      <c r="A23" s="48"/>
      <c r="C23" s="45"/>
      <c r="D23" s="44"/>
      <c r="K23" s="42"/>
      <c r="L23" s="42"/>
    </row>
    <row r="24" spans="1:12" ht="12.75" customHeight="1" x14ac:dyDescent="0.25">
      <c r="A24" s="48"/>
      <c r="C24" s="45"/>
      <c r="D24" s="44"/>
      <c r="K24" s="42"/>
      <c r="L24" s="42"/>
    </row>
    <row r="25" spans="1:12" ht="12.75" customHeight="1" x14ac:dyDescent="0.25">
      <c r="A25" s="48"/>
      <c r="C25" s="45"/>
      <c r="D25" s="44"/>
      <c r="K25" s="42"/>
      <c r="L25" s="42"/>
    </row>
    <row r="26" spans="1:12" ht="12.75" customHeight="1" x14ac:dyDescent="0.25">
      <c r="K26" s="42"/>
      <c r="L26" s="42"/>
    </row>
    <row r="27" spans="1:12" ht="12.75" customHeight="1" x14ac:dyDescent="0.25">
      <c r="K27" s="42"/>
      <c r="L27" s="42"/>
    </row>
    <row r="28" spans="1:12" ht="12.75" customHeight="1" x14ac:dyDescent="0.25">
      <c r="K28" s="42"/>
      <c r="L28" s="42"/>
    </row>
    <row r="29" spans="1:12" ht="12.75" customHeight="1" x14ac:dyDescent="0.25">
      <c r="K29" s="42"/>
      <c r="L29" s="42"/>
    </row>
    <row r="30" spans="1:12" ht="12.75" customHeight="1" x14ac:dyDescent="0.25">
      <c r="K30" s="42"/>
      <c r="L30" s="42"/>
    </row>
    <row r="31" spans="1:12" ht="12.75" customHeight="1" x14ac:dyDescent="0.25">
      <c r="K31" s="42"/>
      <c r="L31" s="42"/>
    </row>
  </sheetData>
  <pageMargins left="0.7" right="0.7" top="0.75" bottom="0.75" header="0.3" footer="0.3"/>
  <pageSetup orientation="portrait" horizontalDpi="1200" verticalDpi="1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Brett</dc:creator>
  <cp:lastModifiedBy>Girish Allada</cp:lastModifiedBy>
  <dcterms:created xsi:type="dcterms:W3CDTF">2021-01-01T16:39:53Z</dcterms:created>
  <dcterms:modified xsi:type="dcterms:W3CDTF">2026-03-02T10:03:55Z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2025-10-15T20:23:49Z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31f3bc71-090a-40fa-a539-692a5924c4aa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