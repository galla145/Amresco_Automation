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D46D2612-E225-4B93-80BA-5F972A658076}" xr6:coauthVersionLast="47" xr6:coauthVersionMax="47" xr10:uidLastSave="{00000000-0000-0000-0000-000000000000}"/>
  <bookViews>
    <workbookView xWindow="-108" yWindow="-108" windowWidth="23256" windowHeight="12456" tabRatio="866" firstSheet="14" activeTab="14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2" i="30" s="1"/>
  <c r="G4" i="29"/>
  <c r="G2" i="29" s="1"/>
  <c r="G4" i="18"/>
  <c r="G2" i="18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G4" i="34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<sst xmlns="http://schemas.openxmlformats.org/spreadsheetml/2006/main" count="263" uniqueCount="65">
  <si>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</si>
  <si>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</si>
  <si>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</si>
  <si>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</si>
  <si>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</si>
  <si>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</si>
  <si>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</si>
  <si>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</si>
  <si>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</si>
  <si>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</si>
  <si>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</si>
  <si>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</si>
  <si>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</si>
  <si>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</si>
  <si>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</si>
  <si>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</si>
  <si>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</si>
  <si>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</si>
  <si>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</si>
  <si>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</si>
  <si>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</si>
  <si>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</si>
  <si>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</si>
  <si>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Low production due to snow/rain.</t>
  </si>
  <si>
    <t>February Actual v. Expected</t>
  </si>
  <si>
    <t>February Actual v. Forecasted</t>
  </si>
  <si>
    <t>March Actual v. Expected</t>
  </si>
  <si>
    <t>March Actual v. Forecasted</t>
  </si>
  <si>
    <t>1. Site production was low on 03/05,  03/24 due to rain.</t>
  </si>
  <si>
    <t>April Actual v. Expected</t>
  </si>
  <si>
    <t>April Actual v. Forecasted</t>
  </si>
  <si>
    <t>1.Site was low production on 04/03, 04/05, 04/06, 04/07, 04/12 and 04/26 due to low irradiance.</t>
  </si>
  <si>
    <t>May Actual v. Expected</t>
  </si>
  <si>
    <t>May Actual v. Forecasted</t>
  </si>
  <si>
    <t>1.Site has low productionon 05/05,05/09 and 05/022 due to low irradiance</t>
  </si>
  <si>
    <t>June Actual v. Expected</t>
  </si>
  <si>
    <t>June Actual v. Forecasted</t>
  </si>
  <si>
    <t>1. Site has low production/generation on 06/07,06/09, 06/14,06/15,06/17and 06/18 due to low irradiance.</t>
  </si>
  <si>
    <t>July Actual v. Expected</t>
  </si>
  <si>
    <t>July Actual v. Forecasted</t>
  </si>
  <si>
    <t>August Actual v. Expected</t>
  </si>
  <si>
    <t>August Actual v. Forecasted</t>
  </si>
  <si>
    <t>1. No communication to the DAS from 07:30 on 08/21, but site is online.</t>
  </si>
  <si>
    <t>1.SR105309</t>
  </si>
  <si>
    <t>September Actual v. Expected</t>
  </si>
  <si>
    <t>September Actual v. Forecasted</t>
  </si>
  <si>
    <t>1. Site regained its communication at 19:00 on 09/11, energy has backfilled.</t>
  </si>
  <si>
    <t>October Actual v. Expected</t>
  </si>
  <si>
    <t>October Actual v. Forecasted</t>
  </si>
  <si>
    <t>1. Site production low on 10/12, 10/30 due to bad weather.</t>
  </si>
  <si>
    <t>November Actual v. Expected</t>
  </si>
  <si>
    <t>November Actual v. Forecasted</t>
  </si>
  <si>
    <t>1. Site production low on 11/10, 11/26, 11/30 due to bad weather.</t>
  </si>
  <si>
    <t>December Actual v. Expected</t>
  </si>
  <si>
    <t>December Actual v. Forecasted</t>
  </si>
  <si>
    <t>1.Site production was low on 12/14,12/19,12/27 to 12/29</t>
  </si>
  <si>
    <t>Portfolio:</t>
  </si>
  <si>
    <t>Burt Process Equipment</t>
  </si>
  <si>
    <t>Site DAS Name</t>
  </si>
  <si>
    <t>Update</t>
  </si>
  <si>
    <t>DAS</t>
  </si>
  <si>
    <t>CT: Hamden - Burt Process Equipment</t>
  </si>
  <si>
    <t>CT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</si>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</sst>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4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0" fontId="34" fillId="40" borderId="0" xfId="0" applyFont="1" applyFill="1" applyAlignment="1">
      <alignment horizontal="left" vertical="center"/>
    </xf>
    <xf numFmtId="49" fontId="35" fillId="38" borderId="0" xfId="45" applyNumberForma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5309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7"/>
  <sheetViews>
    <sheetView workbookViewId="0">
      <pane xSplit="2" ySplit="3" topLeftCell="C4" activePane="bottomRight" state="frozen"/>
      <selection pane="bottomRight" activeCell="D22" sqref="D22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Burt Process Equipment</v>
      </c>
      <c r="B1" s="43"/>
      <c r="C1" s="43"/>
      <c r="D1" s="44" t="s">
        <v>0</v>
      </c>
      <c r="E1" s="44"/>
      <c r="F1" s="44"/>
      <c r="G1" s="42" t="s">
        <v>1</v>
      </c>
      <c r="H1" s="42"/>
      <c r="I1" s="42"/>
    </row>
    <row r="2" spans="1:9" ht="19.5" customHeight="1">
      <c r="A2" s="45" t="s">
        <v>2</v>
      </c>
      <c r="B2" s="45"/>
      <c r="C2" s="5">
        <f>SUM(C4:C65)</f>
        <v>236577.98503750001</v>
      </c>
      <c r="D2" s="5">
        <f>SUM(D4:D65)</f>
        <v>0</v>
      </c>
      <c r="E2" s="5">
        <f>C2-D2</f>
        <v>236577.98503750001</v>
      </c>
      <c r="F2" s="6">
        <f>IFERROR(E2/D2, 0)</f>
        <v>0</v>
      </c>
      <c r="G2" s="5">
        <f>SUM(G4:G65)</f>
        <v>300327.46100000001</v>
      </c>
      <c r="H2" s="7">
        <f>C2-G2</f>
        <v>-63749.475962500001</v>
      </c>
      <c r="I2" s="6">
        <f>IFERROR(H2/G2, 0)</f>
        <v>-0.21226655647882961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10" t="str" cm="1">
        <f t="array" ref="A4">Sites[Site]</f>
        <v>CT: Hamden - Burt Process Equipment</v>
      </c>
      <c r="B4" s="9" t="str" cm="1">
        <f t="array" ref="B4">Sites[State]</f>
        <v>CT</v>
      </c>
      <c r="C4" s="18">
        <f>SUM('1st Qtr'!C4, '2nd Qtr'!C4, '3rd Qtr'!C4, '4th Qtr'!C4)</f>
        <v>236577.98503750001</v>
      </c>
      <c r="D4" s="11">
        <f>SUM('1st Qtr'!D4, '2nd Qtr'!D4, '3rd Qtr'!D4, '4th Qtr'!D4)</f>
        <v>0</v>
      </c>
      <c r="E4" s="11">
        <f>IF(AND(ISNUMBER(C4),ISNUMBER(D4)), C4-D4, "")</f>
        <v>236577.98503750001</v>
      </c>
      <c r="F4" s="12" t="str">
        <f>IFERROR(E4/D4, "")</f>
        <v/>
      </c>
      <c r="G4" s="13">
        <f>SUM('1st Qtr'!G4, '2nd Qtr'!G4, '3rd Qtr'!G4, '4th Qtr'!G4)</f>
        <v>300327.46100000001</v>
      </c>
      <c r="H4" s="13">
        <f>SUM('1st Qtr'!H4, '2nd Qtr'!H4, '3rd Qtr'!H4, '4th Qtr'!H4)</f>
        <v>-63749.475962500001</v>
      </c>
      <c r="I4" s="14">
        <f>IFERROR(H4/G4, "")</f>
        <v>-0.21226655647882961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5 I4:I65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07"/>
  <sheetViews>
    <sheetView workbookViewId="0">
      <pane xSplit="2" ySplit="3" topLeftCell="C4" activePane="bottomRight" state="frozen"/>
      <selection pane="bottomRight" activeCell="E15" sqref="E15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Burt Process Equipment</v>
      </c>
      <c r="B1" s="43"/>
      <c r="C1" s="43"/>
      <c r="D1" s="44" t="s">
        <v>10</v>
      </c>
      <c r="E1" s="44"/>
      <c r="F1" s="44"/>
      <c r="G1" s="42" t="s">
        <v>11</v>
      </c>
      <c r="H1" s="42"/>
      <c r="I1" s="42"/>
    </row>
    <row r="2" spans="1:9" ht="19.5" customHeight="1">
      <c r="A2" s="45" t="s">
        <v>2</v>
      </c>
      <c r="B2" s="45"/>
      <c r="C2" s="5">
        <f>SUM(C4:C65)</f>
        <v>37754.924687499995</v>
      </c>
      <c r="D2" s="5">
        <f>SUM(D4:D65)</f>
        <v>0</v>
      </c>
      <c r="E2" s="5">
        <f>C2-D2</f>
        <v>37754.924687499995</v>
      </c>
      <c r="F2" s="6">
        <f>IFERROR(E2/D2, 0)</f>
        <v>0</v>
      </c>
      <c r="G2" s="5">
        <f>SUM(G4:G65)</f>
        <v>55227</v>
      </c>
      <c r="H2" s="7">
        <f>C2-G2</f>
        <v>-17472.075312500005</v>
      </c>
      <c r="I2" s="6">
        <f>IFERROR(H2/G2, 0)</f>
        <v>-0.31636835809477259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5" t="str" cm="1">
        <f t="array" ref="A4">Sites[Site]</f>
        <v>CT: Hamden - Burt Process Equipment</v>
      </c>
      <c r="B4" s="9" t="str" cm="1">
        <f t="array" ref="B4">Sites[State]</f>
        <v>CT</v>
      </c>
      <c r="C4" s="18">
        <f>SUM(Jan!C4, Feb!C4, Mar!C4)</f>
        <v>37754.924687499995</v>
      </c>
      <c r="D4" s="11">
        <f>SUM(Jan!D4, Feb!D4, Mar!D4)</f>
        <v>0</v>
      </c>
      <c r="E4" s="11">
        <f>IF(AND(ISNUMBER(C4),ISNUMBER(D4)), C4-D4, "")</f>
        <v>37754.924687499995</v>
      </c>
      <c r="F4" s="12" t="str">
        <f>IFERROR(E4/D4, "")</f>
        <v/>
      </c>
      <c r="G4" s="13">
        <f>SUM(Jan!G4, Feb!G4, Mar!G4)</f>
        <v>55227</v>
      </c>
      <c r="H4" s="13">
        <f>SUM(Jan!H4, Feb!H4, Mar!H4)</f>
        <v>-17472.075312500001</v>
      </c>
      <c r="I4" s="14">
        <f>IFERROR(H4/G4, "")</f>
        <v>-0.31636835809477248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5 I4:I65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07"/>
  <sheetViews>
    <sheetView workbookViewId="0">
      <pane xSplit="2" ySplit="3" topLeftCell="C4" activePane="bottomRight" state="frozen"/>
      <selection pane="bottomRight" activeCell="F19" sqref="F19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Burt Process Equipment</v>
      </c>
      <c r="B1" s="43"/>
      <c r="C1" s="43"/>
      <c r="D1" s="44" t="s">
        <v>12</v>
      </c>
      <c r="E1" s="44"/>
      <c r="F1" s="44"/>
      <c r="G1" s="42" t="s">
        <v>13</v>
      </c>
      <c r="H1" s="42"/>
      <c r="I1" s="42"/>
    </row>
    <row r="2" spans="1:9" ht="19.5" customHeight="1">
      <c r="A2" s="45" t="s">
        <v>2</v>
      </c>
      <c r="B2" s="45"/>
      <c r="C2" s="5">
        <f>SUM(C4:C65)</f>
        <v>79529.016000000003</v>
      </c>
      <c r="D2" s="5">
        <f>SUM(D4:D65)</f>
        <v>0</v>
      </c>
      <c r="E2" s="5">
        <f>C2-D2</f>
        <v>79529.016000000003</v>
      </c>
      <c r="F2" s="6">
        <f>IFERROR(E2/D2, 0)</f>
        <v>0</v>
      </c>
      <c r="G2" s="5">
        <f>SUM(G4:G65)</f>
        <v>105423.91600000001</v>
      </c>
      <c r="H2" s="7">
        <f>C2-G2</f>
        <v>-25894.900000000009</v>
      </c>
      <c r="I2" s="6">
        <f>IFERROR(H2/G2, 0)</f>
        <v>-0.24562642882664315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5" t="str" cm="1">
        <f t="array" ref="A4">Sites[Site]</f>
        <v>CT: Hamden - Burt Process Equipment</v>
      </c>
      <c r="B4" s="9" t="str" cm="1">
        <f t="array" ref="B4">Sites[State]</f>
        <v>CT</v>
      </c>
      <c r="C4" s="18">
        <f>SUM(Apr!C4, May!C4, Jun!C4)</f>
        <v>79529.016000000003</v>
      </c>
      <c r="D4" s="11">
        <f>SUM(Apr!D4, May!D4, Jun!D4)</f>
        <v>0</v>
      </c>
      <c r="E4" s="11">
        <f>IF(AND(ISNUMBER(C4),ISNUMBER(D4)), C4-D4, "")</f>
        <v>79529.016000000003</v>
      </c>
      <c r="F4" s="12" t="str">
        <f>IFERROR(E4/D4, "")</f>
        <v/>
      </c>
      <c r="G4" s="13">
        <f>SUM(Apr!G4,May!G4,Jun!G4)</f>
        <v>105423.91600000001</v>
      </c>
      <c r="H4" s="13">
        <f>SUM(Apr!H4, May!H4, Jun!H4)</f>
        <v>-25894.900000000005</v>
      </c>
      <c r="I4" s="14">
        <f>IFERROR(H4/G4, "")</f>
        <v>-0.24562642882664312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65 I4:I65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07"/>
  <sheetViews>
    <sheetView workbookViewId="0">
      <pane xSplit="2" ySplit="3" topLeftCell="C4" activePane="bottomRight" state="frozen"/>
      <selection pane="bottomRight" activeCell="G21" sqref="G21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Burt Process Equipment</v>
      </c>
      <c r="B1" s="43"/>
      <c r="C1" s="43"/>
      <c r="D1" s="44" t="s">
        <v>14</v>
      </c>
      <c r="E1" s="44"/>
      <c r="F1" s="44"/>
      <c r="G1" s="42" t="s">
        <v>15</v>
      </c>
      <c r="H1" s="42"/>
      <c r="I1" s="42"/>
    </row>
    <row r="2" spans="1:9" ht="19.5" customHeight="1">
      <c r="A2" s="45" t="s">
        <v>2</v>
      </c>
      <c r="B2" s="45"/>
      <c r="C2" s="5">
        <f>SUM(C4:C65)</f>
        <v>83815.314350000001</v>
      </c>
      <c r="D2" s="5">
        <f>SUM(D4:D65)</f>
        <v>0</v>
      </c>
      <c r="E2" s="5">
        <f>C2-D2</f>
        <v>83815.314350000001</v>
      </c>
      <c r="F2" s="6">
        <f>IFERROR(E2/D2, 0)</f>
        <v>0</v>
      </c>
      <c r="G2" s="5">
        <f>SUM(G4:G65)</f>
        <v>95425.07</v>
      </c>
      <c r="H2" s="7">
        <f>C2-G2</f>
        <v>-11609.755650000006</v>
      </c>
      <c r="I2" s="6">
        <f>IFERROR(H2/G2, 0)</f>
        <v>-0.12166358012627086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5" t="str" cm="1">
        <f t="array" ref="A4">Sites[Site]</f>
        <v>CT: Hamden - Burt Process Equipment</v>
      </c>
      <c r="B4" s="9" t="str" cm="1">
        <f t="array" ref="B4">Sites[State]</f>
        <v>CT</v>
      </c>
      <c r="C4" s="18">
        <f>SUM(Jul!C4, Aug!C4, Sep!C4)</f>
        <v>83815.314350000001</v>
      </c>
      <c r="D4" s="11">
        <f>SUM(Jul!D4, Aug!D4, Sep!D4)</f>
        <v>0</v>
      </c>
      <c r="E4" s="11">
        <f>IF(AND(ISNUMBER(C4),ISNUMBER(D4)), C4-D4, "")</f>
        <v>83815.314350000001</v>
      </c>
      <c r="F4" s="12" t="str">
        <f>IFERROR(E4/D4, "")</f>
        <v/>
      </c>
      <c r="G4" s="13">
        <f>SUM(Jul!G4,Aug!G4,Sep!G4)</f>
        <v>95425.07</v>
      </c>
      <c r="H4" s="13">
        <f>SUM(Jul!H4, Aug!H4, Sep!H4)</f>
        <v>-11609.755649999999</v>
      </c>
      <c r="I4" s="14">
        <f>IFERROR(H4/G4, "")</f>
        <v>-0.12166358012627078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mergeCells count="4">
    <mergeCell ref="G1:I1"/>
    <mergeCell ref="A1:C1"/>
    <mergeCell ref="D1:F1"/>
    <mergeCell ref="A2:B2"/>
  </mergeCells>
  <conditionalFormatting sqref="F2 I2 F4:F65 I4:I65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07"/>
  <sheetViews>
    <sheetView workbookViewId="0">
      <pane xSplit="2" ySplit="3" topLeftCell="C4" activePane="bottomRight" state="frozen"/>
      <selection pane="bottomRight" activeCell="C12" sqref="C12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Burt Process Equipment</v>
      </c>
      <c r="B1" s="43"/>
      <c r="C1" s="43"/>
      <c r="D1" s="44" t="s">
        <v>16</v>
      </c>
      <c r="E1" s="44"/>
      <c r="F1" s="44"/>
      <c r="G1" s="42" t="s">
        <v>17</v>
      </c>
      <c r="H1" s="42"/>
      <c r="I1" s="42"/>
    </row>
    <row r="2" spans="1:9" ht="19.5" customHeight="1">
      <c r="A2" s="45" t="s">
        <v>2</v>
      </c>
      <c r="B2" s="45"/>
      <c r="C2" s="5">
        <f>SUM(C4:C65)</f>
        <v>35478.730000000003</v>
      </c>
      <c r="D2" s="5">
        <f>SUM(D4:D65)</f>
        <v>0</v>
      </c>
      <c r="E2" s="5">
        <f>C2-D2</f>
        <v>35478.730000000003</v>
      </c>
      <c r="F2" s="6">
        <f>IFERROR(E2/D2, 0)</f>
        <v>0</v>
      </c>
      <c r="G2" s="5">
        <f>SUM(G4:G65)</f>
        <v>44251.474999999999</v>
      </c>
      <c r="H2" s="7">
        <f>C2-G2</f>
        <v>-8772.7449999999953</v>
      </c>
      <c r="I2" s="6">
        <f>IFERROR(H2/G2, 0)</f>
        <v>-0.19824751604325044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5" t="str" cm="1">
        <f t="array" ref="A4">Sites[Site]</f>
        <v>CT: Hamden - Burt Process Equipment</v>
      </c>
      <c r="B4" s="9" t="str" cm="1">
        <f t="array" ref="B4">Sites[State]</f>
        <v>CT</v>
      </c>
      <c r="C4" s="18">
        <f>SUM(Oct!C4, Nov!C4, Dec!C4)</f>
        <v>35478.730000000003</v>
      </c>
      <c r="D4" s="11">
        <f>SUM(Oct!D4, Nov!D4, Dec!D4)</f>
        <v>0</v>
      </c>
      <c r="E4" s="11">
        <f>IF(AND(ISNUMBER(C4),ISNUMBER(D4)), C4-D4, "")</f>
        <v>35478.730000000003</v>
      </c>
      <c r="F4" s="12" t="str">
        <f>IFERROR(E4/D4, "")</f>
        <v/>
      </c>
      <c r="G4" s="13">
        <f>SUM(Oct!G4,Nov!G4,Dec!G4)</f>
        <v>44251.474999999999</v>
      </c>
      <c r="H4" s="13">
        <f>SUM(Oct!H4, Nov!H4, Dec!H4)</f>
        <v>-8772.744999999999</v>
      </c>
      <c r="I4" s="14">
        <f>IFERROR(H4/G4, "")</f>
        <v>-0.19824751604325053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mergeCells count="4">
    <mergeCell ref="G1:I1"/>
    <mergeCell ref="A1:C1"/>
    <mergeCell ref="D1:F1"/>
    <mergeCell ref="A2:B2"/>
  </mergeCells>
  <conditionalFormatting sqref="F2 I2 F4:F65 I4:I65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06"/>
  <sheetViews>
    <sheetView workbookViewId="0">
      <pane xSplit="2" ySplit="3" topLeftCell="J4" activePane="bottomRight" state="frozen"/>
      <selection pane="bottomRight" activeCell="J16" sqref="J16"/>
      <selection pane="bottomLeft" activeCell="G23" sqref="G23"/>
      <selection pane="topRight" activeCell="G23" sqref="G23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Burt Process Equipment</v>
      </c>
      <c r="B1" s="43"/>
      <c r="C1" s="43"/>
      <c r="D1" s="44" t="s">
        <v>18</v>
      </c>
      <c r="E1" s="44"/>
      <c r="F1" s="44"/>
      <c r="G1" s="42" t="s">
        <v>19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SUM(C4:C64)</f>
        <v>8464.09</v>
      </c>
      <c r="D2" s="5">
        <f>SUM(D4:D64)</f>
        <v>0</v>
      </c>
      <c r="E2" s="5">
        <f>C2-D2</f>
        <v>8464.09</v>
      </c>
      <c r="F2" s="6">
        <f>IFERROR(E2/D2, 0)</f>
        <v>0</v>
      </c>
      <c r="G2" s="5">
        <f>SUM(G4:G64)</f>
        <v>12910</v>
      </c>
      <c r="H2" s="7">
        <f>C2-G2</f>
        <v>-4445.91</v>
      </c>
      <c r="I2" s="6">
        <f>IFERROR(H2/G2, 0)</f>
        <v>-0.34437722695584816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1" t="s">
        <v>3</v>
      </c>
      <c r="B3" s="8" t="s">
        <v>4</v>
      </c>
      <c r="C3" s="37" t="s">
        <v>5</v>
      </c>
      <c r="D3" s="38" t="s">
        <v>6</v>
      </c>
      <c r="E3" s="26" t="s">
        <v>7</v>
      </c>
      <c r="F3" s="27" t="s">
        <v>8</v>
      </c>
      <c r="G3" s="39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9.5" customHeight="1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>
        <v>8464.09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>
        <v>12910</v>
      </c>
      <c r="H4" s="13">
        <f>IF(AND(ISNUMBER(C4),ISNUMBER(G4)), C4-G4, "")</f>
        <v>-4445.91</v>
      </c>
      <c r="I4" s="14">
        <f>IFERROR(H4/G4, "")</f>
        <v>-0.34437722695584816</v>
      </c>
      <c r="J4" s="31" t="s">
        <v>23</v>
      </c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D1:F1"/>
    <mergeCell ref="A1:C1"/>
    <mergeCell ref="G1:I1"/>
    <mergeCell ref="A2:B2"/>
  </mergeCells>
  <conditionalFormatting sqref="F2 I2">
    <cfRule type="cellIs" dxfId="30" priority="6" stopIfTrue="1" operator="lessThanOrEqual">
      <formula>-0.1</formula>
    </cfRule>
    <cfRule type="expression" dxfId="29" priority="7">
      <formula>AND(ISNUMBER(F2), F2&gt;=0.1)</formula>
    </cfRule>
  </conditionalFormatting>
  <conditionalFormatting sqref="F4:F64 I4:I64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07"/>
  <sheetViews>
    <sheetView workbookViewId="0">
      <pane xSplit="2" ySplit="3" topLeftCell="D4" activePane="bottomRight" state="frozen"/>
      <selection pane="bottomRight" activeCell="D14" sqref="D14"/>
      <selection pane="bottomLeft" activeCell="D34" sqref="D34"/>
      <selection pane="topRight" activeCell="D34" sqref="D3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Burt Process Equipment</v>
      </c>
      <c r="B1" s="43"/>
      <c r="C1" s="43"/>
      <c r="D1" s="44" t="s">
        <v>24</v>
      </c>
      <c r="E1" s="44"/>
      <c r="F1" s="44"/>
      <c r="G1" s="42" t="s">
        <v>25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SUM(C4:C65)</f>
        <v>6972.03</v>
      </c>
      <c r="D2" s="5">
        <f>SUM(D4:D65)</f>
        <v>0</v>
      </c>
      <c r="E2" s="5">
        <f>C2-D2</f>
        <v>6972.03</v>
      </c>
      <c r="F2" s="6">
        <f>IFERROR(E2/D2, 0)</f>
        <v>0</v>
      </c>
      <c r="G2" s="5">
        <f>SUM(G4:G65)</f>
        <v>17368</v>
      </c>
      <c r="H2" s="7">
        <f>C2-G2</f>
        <v>-10395.970000000001</v>
      </c>
      <c r="I2" s="6">
        <f>IFERROR(H2/G2, 0)</f>
        <v>-0.5985703592814372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>
        <v>6972.03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>
        <v>17368</v>
      </c>
      <c r="H4" s="13">
        <f>IF(AND(ISNUMBER(C4),ISNUMBER(G4)), C4-G4, "")</f>
        <v>-10395.970000000001</v>
      </c>
      <c r="I4" s="14">
        <f>IFERROR(H4/G4, "")</f>
        <v>-0.5985703592814372</v>
      </c>
      <c r="J4" s="31" t="s">
        <v>23</v>
      </c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conditionalFormatting sqref="F4:F65 I4:I65">
    <cfRule type="cellIs" dxfId="24" priority="1" stopIfTrue="1" operator="lessThanOrEqual">
      <formula>-0.1</formula>
    </cfRule>
    <cfRule type="expression" dxfId="2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07"/>
  <sheetViews>
    <sheetView zoomScale="90" zoomScaleNormal="90" workbookViewId="0">
      <pane xSplit="2" ySplit="3" topLeftCell="E4" activePane="bottomRight" state="frozen"/>
      <selection pane="bottomRight" activeCell="G9" sqref="G9"/>
      <selection pane="bottomLeft" activeCell="D34" sqref="D34"/>
      <selection pane="topRight" activeCell="D34" sqref="D3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Burt Process Equipment</v>
      </c>
      <c r="B1" s="43"/>
      <c r="C1" s="43"/>
      <c r="D1" s="44" t="s">
        <v>26</v>
      </c>
      <c r="E1" s="44"/>
      <c r="F1" s="44"/>
      <c r="G1" s="42" t="s">
        <v>27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SUM(C4:C65)</f>
        <v>22318.8046875</v>
      </c>
      <c r="D2" s="5">
        <f>SUM(D4:D65)</f>
        <v>0</v>
      </c>
      <c r="E2" s="5">
        <f>C2-D2</f>
        <v>22318.8046875</v>
      </c>
      <c r="F2" s="6">
        <f>IFERROR(E2/D2, 0)</f>
        <v>0</v>
      </c>
      <c r="G2" s="5">
        <f>SUM(G4:G65)</f>
        <v>24949</v>
      </c>
      <c r="H2" s="7">
        <f>C2-G2</f>
        <v>-2630.1953125</v>
      </c>
      <c r="I2" s="6">
        <f>IFERROR(H2/G2, 0)</f>
        <v>-0.10542287516533728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40" t="str" cm="1">
        <f t="array" ref="A4">Sites[Site]</f>
        <v>CT: Hamden - Burt Process Equipment</v>
      </c>
      <c r="B4" s="22" t="str" cm="1">
        <f t="array" ref="B4">Sites[State]</f>
        <v>CT</v>
      </c>
      <c r="C4" s="18">
        <v>22318.8046875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>
        <v>24949</v>
      </c>
      <c r="H4" s="13">
        <f>IF(AND(ISNUMBER(C4),ISNUMBER(G4)), C4-G4, "")</f>
        <v>-2630.1953125</v>
      </c>
      <c r="I4" s="14">
        <f>IFERROR(H4/G4, "")</f>
        <v>-0.10542287516533728</v>
      </c>
      <c r="J4" s="31" t="s">
        <v>28</v>
      </c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07"/>
  <sheetViews>
    <sheetView workbookViewId="0">
      <pane xSplit="2" ySplit="3" topLeftCell="C4" activePane="bottomRight" state="frozen"/>
      <selection pane="bottomRight" activeCell="J4" sqref="J4"/>
      <selection pane="bottomLeft" activeCell="D34" sqref="D34"/>
      <selection pane="topRight" activeCell="D34" sqref="D3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Burt Process Equipment</v>
      </c>
      <c r="B1" s="43"/>
      <c r="C1" s="43"/>
      <c r="D1" s="44" t="s">
        <v>29</v>
      </c>
      <c r="E1" s="44"/>
      <c r="F1" s="44"/>
      <c r="G1" s="42" t="s">
        <v>30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SUM(C4:C65)</f>
        <v>26949.84</v>
      </c>
      <c r="D2" s="5">
        <f>SUM(D4:D65)</f>
        <v>0</v>
      </c>
      <c r="E2" s="5">
        <f>C2-D2</f>
        <v>26949.84</v>
      </c>
      <c r="F2" s="6">
        <f>IFERROR(E2/D2, 0)</f>
        <v>0</v>
      </c>
      <c r="G2" s="5">
        <f>SUM(G4:G65)</f>
        <v>32612</v>
      </c>
      <c r="H2" s="7">
        <f>C2-G2</f>
        <v>-5662.16</v>
      </c>
      <c r="I2" s="6">
        <f>IFERROR(H2/G2, 0)</f>
        <v>-0.17362197963939655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28.9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>
        <v>26949.84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>
        <v>32612</v>
      </c>
      <c r="H4" s="13">
        <f>IF(AND(ISNUMBER(C4),ISNUMBER(G4)), C4-G4, "")</f>
        <v>-5662.16</v>
      </c>
      <c r="I4" s="14">
        <f>IFERROR(H4/G4, "")</f>
        <v>-0.17362197963939655</v>
      </c>
      <c r="J4" s="31" t="s">
        <v>31</v>
      </c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07"/>
  <sheetViews>
    <sheetView workbookViewId="0">
      <pane xSplit="2" ySplit="3" topLeftCell="C4" activePane="bottomRight" state="frozen"/>
      <selection pane="bottomRight" activeCell="J12" sqref="J12"/>
      <selection pane="bottomLeft" activeCell="D34" sqref="D34"/>
      <selection pane="topRight" activeCell="D34" sqref="D3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Burt Process Equipment</v>
      </c>
      <c r="B1" s="43"/>
      <c r="C1" s="43"/>
      <c r="D1" s="44" t="s">
        <v>32</v>
      </c>
      <c r="E1" s="44"/>
      <c r="F1" s="44"/>
      <c r="G1" s="42" t="s">
        <v>33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SUM(C4:C65)</f>
        <v>24929.806</v>
      </c>
      <c r="D2" s="5">
        <f>SUM(D4:D65)</f>
        <v>0</v>
      </c>
      <c r="E2" s="5">
        <f>C2-D2</f>
        <v>24929.806</v>
      </c>
      <c r="F2" s="6">
        <f>IFERROR(E2/D2, 0)</f>
        <v>0</v>
      </c>
      <c r="G2" s="5">
        <f>SUM(G4:G65)</f>
        <v>36206.798000000003</v>
      </c>
      <c r="H2" s="7">
        <f>C2-G2</f>
        <v>-11276.992000000002</v>
      </c>
      <c r="I2" s="6">
        <f>IFERROR(H2/G2, 0)</f>
        <v>-0.31146062681378234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>
        <v>24929.806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>
        <v>36206.798000000003</v>
      </c>
      <c r="H4" s="13">
        <f>IF(AND(ISNUMBER(C4),ISNUMBER(G4)), C4-G4, "")</f>
        <v>-11276.992000000002</v>
      </c>
      <c r="I4" s="14">
        <f>IFERROR(H4/G4, "")</f>
        <v>-0.31146062681378234</v>
      </c>
      <c r="J4" s="31" t="s">
        <v>34</v>
      </c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07"/>
  <sheetViews>
    <sheetView workbookViewId="0">
      <pane xSplit="2" ySplit="3" topLeftCell="C4" activePane="bottomRight" state="frozen"/>
      <selection pane="bottomRight" activeCell="J10" sqref="J10"/>
      <selection pane="bottomLeft" activeCell="D34" sqref="D34"/>
      <selection pane="topRight" activeCell="D34" sqref="D3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Burt Process Equipment</v>
      </c>
      <c r="B1" s="43"/>
      <c r="C1" s="43"/>
      <c r="D1" s="44" t="s">
        <v>35</v>
      </c>
      <c r="E1" s="44"/>
      <c r="F1" s="44"/>
      <c r="G1" s="42" t="s">
        <v>36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SUM(C4:C65)</f>
        <v>27649.37</v>
      </c>
      <c r="D2" s="5">
        <f>SUM(D4:D65)</f>
        <v>0</v>
      </c>
      <c r="E2" s="5">
        <f>C2-D2</f>
        <v>27649.37</v>
      </c>
      <c r="F2" s="6">
        <f>IFERROR(E2/D2, 0)</f>
        <v>0</v>
      </c>
      <c r="G2" s="5">
        <f>SUM(G4:G65)</f>
        <v>36605.118000000002</v>
      </c>
      <c r="H2" s="7">
        <f>C2-G2</f>
        <v>-8955.7480000000032</v>
      </c>
      <c r="I2" s="6">
        <f>IFERROR(H2/G2, 0)</f>
        <v>-0.2446583562440641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28.9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>
        <v>27649.37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>
        <v>36605.118000000002</v>
      </c>
      <c r="H4" s="13">
        <f>IF(AND(ISNUMBER(C4),ISNUMBER(G4)), C4-G4, "")</f>
        <v>-8955.7480000000032</v>
      </c>
      <c r="I4" s="14">
        <f>IFERROR(H4/G4, "")</f>
        <v>-0.2446583562440641</v>
      </c>
      <c r="J4" s="31" t="s">
        <v>37</v>
      </c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07"/>
  <sheetViews>
    <sheetView workbookViewId="0">
      <pane xSplit="2" ySplit="3" topLeftCell="C4" activePane="bottomRight" state="frozen"/>
      <selection pane="bottomRight" activeCell="H11" sqref="H11"/>
      <selection pane="bottomLeft" activeCell="D34" sqref="D34"/>
      <selection pane="topRight" activeCell="D34" sqref="D3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Burt Process Equipment</v>
      </c>
      <c r="B1" s="43"/>
      <c r="C1" s="43"/>
      <c r="D1" s="44" t="s">
        <v>38</v>
      </c>
      <c r="E1" s="44"/>
      <c r="F1" s="44"/>
      <c r="G1" s="42" t="s">
        <v>39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SUM(C4:C65)</f>
        <v>30331.894629999999</v>
      </c>
      <c r="D2" s="5">
        <f>SUM(D4:D65)</f>
        <v>0</v>
      </c>
      <c r="E2" s="5">
        <f>C2-D2</f>
        <v>30331.894629999999</v>
      </c>
      <c r="F2" s="6">
        <f>IFERROR(E2/D2, 0)</f>
        <v>0</v>
      </c>
      <c r="G2" s="5">
        <f>SUM(G4:G65)</f>
        <v>36385.93</v>
      </c>
      <c r="H2" s="7">
        <f>C2-G2</f>
        <v>-6054.0353700000014</v>
      </c>
      <c r="I2" s="6">
        <f>IFERROR(H2/G2, 0)</f>
        <v>-0.16638396682453907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>
        <v>30331.894629999999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>
        <v>36385.93</v>
      </c>
      <c r="H4" s="13">
        <f>IF(AND(ISNUMBER(C4),ISNUMBER(G4)), C4-G4, "")</f>
        <v>-6054.0353700000014</v>
      </c>
      <c r="I4" s="14">
        <f>IFERROR(H4/G4, "")</f>
        <v>-0.16638396682453907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65 I4:I65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07"/>
  <sheetViews>
    <sheetView workbookViewId="0">
      <pane xSplit="2" ySplit="3" topLeftCell="C4" activePane="bottomRight" state="frozen"/>
      <selection pane="bottomRight" activeCell="H28" sqref="H27:H28"/>
      <selection pane="bottomLeft" activeCell="D34" sqref="D34"/>
      <selection pane="topRight" activeCell="D34" sqref="D3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Burt Process Equipment</v>
      </c>
      <c r="B1" s="43"/>
      <c r="C1" s="43"/>
      <c r="D1" s="44" t="s">
        <v>40</v>
      </c>
      <c r="E1" s="44"/>
      <c r="F1" s="44"/>
      <c r="G1" s="42" t="s">
        <v>41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SUM(C4:C65)</f>
        <v>19777.129720000001</v>
      </c>
      <c r="D2" s="5">
        <f>SUM(D4:D65)</f>
        <v>0</v>
      </c>
      <c r="E2" s="5">
        <f>C2-D2</f>
        <v>19777.129720000001</v>
      </c>
      <c r="F2" s="6">
        <f>IFERROR(E2/D2, 0)</f>
        <v>0</v>
      </c>
      <c r="G2" s="5">
        <f>SUM(G4:G65)</f>
        <v>32546.14</v>
      </c>
      <c r="H2" s="7">
        <f>C2-G2</f>
        <v>-12769.010279999999</v>
      </c>
      <c r="I2" s="6">
        <f>IFERROR(H2/G2, 0)</f>
        <v>-0.39233562812671485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>
        <v>19777.129720000001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>
        <v>32546.14</v>
      </c>
      <c r="H4" s="13">
        <f>IF(AND(ISNUMBER(C4),ISNUMBER(G4)), C4-G4, "")</f>
        <v>-12769.010279999999</v>
      </c>
      <c r="I4" s="14">
        <f>IFERROR(H4/G4, "")</f>
        <v>-0.39233562812671485</v>
      </c>
      <c r="J4" s="31" t="s">
        <v>42</v>
      </c>
      <c r="K4" s="41" t="s">
        <v>43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hyperlinks>
    <hyperlink ref="K4" r:id="rId1" display="https://us3.assetplanner.com/service_request?ID=105309" xr:uid="{A53320F3-00FE-4447-81A2-9DC4DAD290D8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07"/>
  <sheetViews>
    <sheetView workbookViewId="0">
      <pane xSplit="2" ySplit="3" topLeftCell="C4" activePane="bottomRight" state="frozen"/>
      <selection pane="bottomRight" activeCell="J23" sqref="J23"/>
      <selection pane="bottomLeft" activeCell="D34" sqref="D34"/>
      <selection pane="topRight" activeCell="D34" sqref="D3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Burt Process Equipment</v>
      </c>
      <c r="B1" s="43"/>
      <c r="C1" s="43"/>
      <c r="D1" s="44" t="s">
        <v>44</v>
      </c>
      <c r="E1" s="44"/>
      <c r="F1" s="44"/>
      <c r="G1" s="42" t="s">
        <v>45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SUM(C4:C65)</f>
        <v>33706.29</v>
      </c>
      <c r="D2" s="5">
        <f>SUM(D4:D65)</f>
        <v>0</v>
      </c>
      <c r="E2" s="5">
        <f>C2-D2</f>
        <v>33706.29</v>
      </c>
      <c r="F2" s="6">
        <f>IFERROR(E2/D2, 0)</f>
        <v>0</v>
      </c>
      <c r="G2" s="5">
        <f>SUM(G4:G65)</f>
        <v>26493</v>
      </c>
      <c r="H2" s="7">
        <f>C2-G2</f>
        <v>7213.2900000000009</v>
      </c>
      <c r="I2" s="6">
        <f>IFERROR(H2/G2, 0)</f>
        <v>0.27227154342656557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>
        <v>33706.29</v>
      </c>
      <c r="D4" s="11">
        <v>0</v>
      </c>
      <c r="E4" s="11">
        <f>IF(AND(ISNUMBER(C4),ISNUMBER(D4)), C4-D4, "")</f>
        <v>33706.29</v>
      </c>
      <c r="F4" s="12" t="str">
        <f>IFERROR(E4/D4, "")</f>
        <v/>
      </c>
      <c r="G4" s="13">
        <v>26493</v>
      </c>
      <c r="H4" s="13">
        <f>IF(AND(ISNUMBER(C4),ISNUMBER(G4)), C4-G4, "")</f>
        <v>7213.2900000000009</v>
      </c>
      <c r="I4" s="14">
        <f>IFERROR(H4/G4, "")</f>
        <v>0.27227154342656557</v>
      </c>
      <c r="J4" s="31" t="s">
        <v>46</v>
      </c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07"/>
  <sheetViews>
    <sheetView tabSelected="1" workbookViewId="0">
      <pane xSplit="2" ySplit="3" topLeftCell="C4" activePane="bottomRight" state="frozen"/>
      <selection pane="bottomRight" activeCell="D5" sqref="D5"/>
      <selection pane="bottomLeft" activeCell="D34" sqref="D34"/>
      <selection pane="topRight" activeCell="D34" sqref="D3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Burt Process Equipment</v>
      </c>
      <c r="B1" s="43"/>
      <c r="C1" s="43"/>
      <c r="D1" s="44" t="s">
        <v>47</v>
      </c>
      <c r="E1" s="44"/>
      <c r="F1" s="44"/>
      <c r="G1" s="42" t="s">
        <v>48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SUM(C4:C65)</f>
        <v>17792</v>
      </c>
      <c r="D2" s="5">
        <f>SUM(D4:D65)</f>
        <v>0</v>
      </c>
      <c r="E2" s="5">
        <f>C2-D2</f>
        <v>17792</v>
      </c>
      <c r="F2" s="6">
        <f>IFERROR(E2/D2, 0)</f>
        <v>0</v>
      </c>
      <c r="G2" s="5">
        <f>SUM(G4:G65)</f>
        <v>20797</v>
      </c>
      <c r="H2" s="7">
        <f>C2-G2</f>
        <v>-3005</v>
      </c>
      <c r="I2" s="6">
        <f>IFERROR(H2/G2, 0)</f>
        <v>-0.14449199403760157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>
        <v>17792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>
        <v>20797</v>
      </c>
      <c r="H4" s="13">
        <f>IF(AND(ISNUMBER(C4),ISNUMBER(G4)), C4-G4, "")</f>
        <v>-3005</v>
      </c>
      <c r="I4" s="14">
        <f>IFERROR(H4/G4, "")</f>
        <v>-0.14449199403760157</v>
      </c>
      <c r="J4" s="31" t="s">
        <v>49</v>
      </c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07"/>
  <sheetViews>
    <sheetView zoomScale="80" zoomScaleNormal="80" workbookViewId="0">
      <pane xSplit="2" ySplit="3" topLeftCell="C4" activePane="bottomRight" state="frozen"/>
      <selection pane="bottomRight" activeCell="J4" sqref="J4"/>
      <selection pane="bottomLeft" activeCell="D34" sqref="D34"/>
      <selection pane="topRight" activeCell="D34" sqref="D3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Burt Process Equipment</v>
      </c>
      <c r="B1" s="43"/>
      <c r="C1" s="43"/>
      <c r="D1" s="44" t="s">
        <v>50</v>
      </c>
      <c r="E1" s="44"/>
      <c r="F1" s="44"/>
      <c r="G1" s="42" t="s">
        <v>51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SUM(C4:C65)</f>
        <v>10967.27</v>
      </c>
      <c r="D2" s="5">
        <f>SUM(D4:D65)</f>
        <v>0</v>
      </c>
      <c r="E2" s="5">
        <f>C2-D2</f>
        <v>10967.27</v>
      </c>
      <c r="F2" s="6">
        <f>IFERROR(E2/D2, 0)</f>
        <v>0</v>
      </c>
      <c r="G2" s="5">
        <f>SUM(G4:G65)</f>
        <v>12592</v>
      </c>
      <c r="H2" s="7">
        <f>C2-G2</f>
        <v>-1624.7299999999996</v>
      </c>
      <c r="I2" s="6">
        <f>IFERROR(H2/G2, 0)</f>
        <v>-0.12902874841168993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>
        <v>10967.27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>
        <v>12592</v>
      </c>
      <c r="H4" s="13">
        <f>IF(AND(ISNUMBER(C4),ISNUMBER(G4)), C4-G4, "")</f>
        <v>-1624.7299999999996</v>
      </c>
      <c r="I4" s="14">
        <f>IFERROR(H4/G4, "")</f>
        <v>-0.12902874841168993</v>
      </c>
      <c r="J4" s="31" t="s">
        <v>52</v>
      </c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07"/>
  <sheetViews>
    <sheetView zoomScale="80" zoomScaleNormal="80" workbookViewId="0">
      <pane xSplit="2" ySplit="3" topLeftCell="C4" activePane="bottomRight" state="frozen"/>
      <selection pane="bottomRight" activeCell="J19" sqref="J19"/>
      <selection pane="bottomLeft" activeCell="D34" sqref="D34"/>
      <selection pane="topRight" activeCell="D34" sqref="D3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Burt Process Equipment</v>
      </c>
      <c r="B1" s="43"/>
      <c r="C1" s="43"/>
      <c r="D1" s="44" t="s">
        <v>53</v>
      </c>
      <c r="E1" s="44"/>
      <c r="F1" s="44"/>
      <c r="G1" s="42" t="s">
        <v>54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SUM(C4:C65)</f>
        <v>6719.46</v>
      </c>
      <c r="D2" s="5">
        <f>SUM(D4:D65)</f>
        <v>0</v>
      </c>
      <c r="E2" s="5">
        <f>C2-D2</f>
        <v>6719.46</v>
      </c>
      <c r="F2" s="6">
        <f>IFERROR(E2/D2, 0)</f>
        <v>0</v>
      </c>
      <c r="G2" s="5">
        <f>SUM(G4:G65)</f>
        <v>10862.475</v>
      </c>
      <c r="H2" s="7">
        <f>C2-G2</f>
        <v>-4143.0150000000003</v>
      </c>
      <c r="I2" s="6">
        <f>IFERROR(H2/G2, 0)</f>
        <v>-0.38140617124550347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>
        <v>6719.46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>
        <v>10862.475</v>
      </c>
      <c r="H4" s="13">
        <f>IF(AND(ISNUMBER(C4),ISNUMBER(G4)), C4-G4, "")</f>
        <v>-4143.0150000000003</v>
      </c>
      <c r="I4" s="14">
        <f>IFERROR(H4/G4, "")</f>
        <v>-0.38140617124550347</v>
      </c>
      <c r="J4" s="31" t="s">
        <v>55</v>
      </c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C14" sqref="C1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56</v>
      </c>
      <c r="B1" t="s">
        <v>57</v>
      </c>
    </row>
    <row r="3" spans="1:12" ht="13.15">
      <c r="A3" t="s">
        <v>58</v>
      </c>
      <c r="B3" t="s">
        <v>3</v>
      </c>
      <c r="C3" t="s">
        <v>4</v>
      </c>
      <c r="D3" t="s">
        <v>59</v>
      </c>
      <c r="E3" s="2" t="s">
        <v>60</v>
      </c>
    </row>
    <row r="4" spans="1:12" ht="14.45">
      <c r="A4" s="36" t="s">
        <v>57</v>
      </c>
      <c r="B4" t="s">
        <v>61</v>
      </c>
      <c r="C4" s="34" t="s">
        <v>62</v>
      </c>
      <c r="D4" s="33" t="s">
        <v>63</v>
      </c>
      <c r="E4" t="s">
        <v>64</v>
      </c>
      <c r="G4" s="3"/>
    </row>
    <row r="5" spans="1:12" ht="14.45">
      <c r="A5" s="36"/>
      <c r="C5" s="34"/>
      <c r="D5" s="33"/>
      <c r="G5" s="3"/>
    </row>
    <row r="6" spans="1:12" ht="14.45">
      <c r="A6" s="36"/>
      <c r="C6" s="34"/>
      <c r="D6" s="33"/>
      <c r="G6" s="3"/>
    </row>
    <row r="7" spans="1:12" ht="12.75" customHeight="1">
      <c r="A7" s="36"/>
      <c r="C7" s="34"/>
      <c r="D7" s="33"/>
    </row>
    <row r="8" spans="1:12" ht="12.75" customHeight="1">
      <c r="A8" s="36"/>
      <c r="C8" s="34"/>
      <c r="D8" s="33"/>
    </row>
    <row r="9" spans="1:12" ht="12.75" customHeight="1">
      <c r="A9" s="36"/>
      <c r="C9" s="34"/>
      <c r="D9" s="33"/>
    </row>
    <row r="10" spans="1:12" ht="12.75" customHeight="1">
      <c r="A10" s="36"/>
      <c r="C10" s="34"/>
      <c r="D10" s="33"/>
      <c r="K10" s="32"/>
      <c r="L10" s="32"/>
    </row>
    <row r="11" spans="1:12" ht="12.75" customHeight="1">
      <c r="A11" s="36"/>
      <c r="C11" s="34"/>
      <c r="D11" s="33"/>
      <c r="K11" s="32"/>
      <c r="L11" s="32"/>
    </row>
    <row r="12" spans="1:12" ht="12.75" customHeight="1">
      <c r="A12" s="36"/>
      <c r="C12" s="34"/>
      <c r="D12" s="33"/>
      <c r="K12" s="32"/>
      <c r="L12" s="32"/>
    </row>
    <row r="13" spans="1:12" ht="12.75" customHeight="1">
      <c r="A13" s="36"/>
      <c r="C13" s="34"/>
      <c r="D13" s="33"/>
      <c r="K13" s="32"/>
      <c r="L13" s="32"/>
    </row>
    <row r="14" spans="1:12" ht="12.75" customHeight="1">
      <c r="A14" s="36"/>
      <c r="C14" s="34"/>
      <c r="D14" s="33"/>
      <c r="K14" s="32"/>
      <c r="L14" s="32"/>
    </row>
    <row r="15" spans="1:12" ht="12.75" customHeight="1">
      <c r="A15" s="36"/>
      <c r="C15" s="34"/>
      <c r="D15" s="33"/>
      <c r="K15" s="32"/>
      <c r="L15" s="32"/>
    </row>
    <row r="16" spans="1:12" ht="12.75" customHeight="1">
      <c r="A16" s="36"/>
      <c r="C16" s="34"/>
      <c r="D16" s="33"/>
      <c r="K16" s="32"/>
      <c r="L16" s="32"/>
    </row>
    <row r="17" spans="1:12" ht="12.75" customHeight="1">
      <c r="A17" s="36"/>
      <c r="C17" s="34"/>
      <c r="D17" s="33"/>
      <c r="K17" s="32"/>
      <c r="L17" s="32"/>
    </row>
    <row r="18" spans="1:12" ht="12.75" customHeight="1">
      <c r="A18" s="36"/>
      <c r="C18" s="34"/>
      <c r="D18" s="33"/>
      <c r="K18" s="32"/>
      <c r="L18" s="32"/>
    </row>
    <row r="19" spans="1:12" ht="12.75" customHeight="1">
      <c r="A19" s="36"/>
      <c r="C19" s="34"/>
      <c r="D19" s="33"/>
      <c r="K19" s="32"/>
      <c r="L19" s="32"/>
    </row>
    <row r="20" spans="1:12" ht="12.75" customHeight="1">
      <c r="A20" s="36"/>
      <c r="C20" s="34"/>
      <c r="D20" s="33"/>
      <c r="K20" s="32"/>
      <c r="L20" s="32"/>
    </row>
    <row r="21" spans="1:12" ht="12.75" customHeight="1">
      <c r="A21" s="36"/>
      <c r="C21" s="34"/>
      <c r="D21" s="33"/>
      <c r="K21" s="32"/>
      <c r="L21" s="32"/>
    </row>
    <row r="22" spans="1:12" ht="12.75" customHeight="1">
      <c r="A22" s="36"/>
      <c r="C22" s="34"/>
      <c r="D22" s="33"/>
      <c r="K22" s="32"/>
      <c r="L22" s="32"/>
    </row>
    <row r="23" spans="1:12" ht="12.75" customHeight="1">
      <c r="A23" s="36"/>
      <c r="C23" s="34"/>
      <c r="D23" s="33"/>
      <c r="K23" s="32"/>
      <c r="L23" s="32"/>
    </row>
    <row r="24" spans="1:12" ht="12.75" customHeight="1">
      <c r="A24" s="36"/>
      <c r="C24" s="34"/>
      <c r="D24" s="33"/>
      <c r="K24" s="32"/>
      <c r="L24" s="32"/>
    </row>
    <row r="25" spans="1:12" ht="12.75" customHeight="1">
      <c r="A25" s="36"/>
      <c r="C25" s="34"/>
      <c r="D25" s="33"/>
      <c r="K25" s="32"/>
      <c r="L25" s="32"/>
    </row>
    <row r="26" spans="1:12" ht="12.75" customHeight="1">
      <c r="K26" s="32"/>
      <c r="L26" s="32"/>
    </row>
    <row r="27" spans="1:12" ht="12.75" customHeight="1">
      <c r="K27" s="32"/>
      <c r="L27" s="32"/>
    </row>
    <row r="28" spans="1:12" ht="12.75" customHeight="1">
      <c r="K28" s="32"/>
      <c r="L28" s="32"/>
    </row>
    <row r="29" spans="1:12" ht="12.75" customHeight="1">
      <c r="K29" s="32"/>
      <c r="L29" s="32"/>
    </row>
    <row r="30" spans="1:12" ht="12.75" customHeight="1">
      <c r="K30" s="32"/>
      <c r="L30" s="32"/>
    </row>
    <row r="31" spans="1:12" ht="12.75" customHeight="1">
      <c r="K31" s="32"/>
      <c r="L31" s="3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3.xml>��
</file>

<file path=customXml/item1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3AEAA9D8-2182-46BA-A58E-96C72DDA1C54}"/>
</file>

<file path=customXml/itemProps2.xml><?xml version="1.0" encoding="utf-8"?>
<ds:datastoreItem xmlns:ds="http://schemas.openxmlformats.org/officeDocument/2006/customXml" ds:itemID="{89CF5C07-45EB-4100-9AFB-2C6AF77FA787}"/>
</file>

<file path=customXml/itemProps3.xml><?xml version="1.0" encoding="utf-8"?>
<ds:datastoreItem xmlns:ds="http://schemas.openxmlformats.org/officeDocument/2006/customXml" ds:itemID="{9FB7D41F-E321-4C1D-B12E-FE70606896A9}"/>
</file>

<file path=customXml/itemProps4.xml><?xml version="1.0" encoding="utf-8"?>
<ds:datastoreItem xmlns:ds="http://schemas.openxmlformats.org/officeDocument/2006/customXml" ds:itemID="{078388C9-06F9-42F4-B857-EF76B5CAF1FD}"/>
</file>

<file path=customXml/itemProps5.xml><?xml version="1.0" encoding="utf-8"?>
<ds:datastoreItem xmlns:ds="http://schemas.openxmlformats.org/officeDocument/2006/customXml" ds:itemID="{E20E8303-6A67-485C-B6F4-303542CC295C}"/>
</file>

<file path=customXml/itemProps6.xml><?xml version="1.0" encoding="utf-8"?>
<ds:datastoreItem xmlns:ds="http://schemas.openxmlformats.org/officeDocument/2006/customXml" ds:itemID="{F12EFA50-0068-4A8C-85A0-F1B26389EBC3}"/>
</file>

<file path=customXml/itemProps7.xml><?xml version="1.0" encoding="utf-8"?>
<ds:datastoreItem xmlns:ds="http://schemas.openxmlformats.org/officeDocument/2006/customXml" ds:itemID="{98A113BB-8B7A-453C-8BD4-8EFC67FC2D3F}"/>
</file>

<file path=customXml/itemProps8.xml><?xml version="1.0" encoding="utf-8"?>
<ds:datastoreItem xmlns:ds="http://schemas.openxmlformats.org/officeDocument/2006/customXml" ds:itemID="{14966E4F-347B-477B-B74C-9DAC05405806}"/>
</file>

<file path=customXml/itemProps9.xml><?xml version="1.0" encoding="utf-8"?>
<ds:datastoreItem xmlns:ds="http://schemas.openxmlformats.org/officeDocument/2006/customXml" ds:itemID="{D3A7101F-9A85-4235-8B03-415370C100B2}"/>
</file>

<file path=customXml/itemProps10.xml><?xml version="1.0" encoding="utf-8"?>
<ds:datastoreItem xmlns:ds="http://schemas.openxmlformats.org/officeDocument/2006/customXml" ds:itemID="{BE26B669-A686-459C-A5E9-FEC3409C4C81}"/>
</file>

<file path=customXml/itemProps11.xml><?xml version="1.0" encoding="utf-8"?>
<ds:datastoreItem xmlns:ds="http://schemas.openxmlformats.org/officeDocument/2006/customXml" ds:itemID="{66B09F59-6532-46F8-924A-9A02417E070D}"/>
</file>

<file path=customXml/itemProps12.xml><?xml version="1.0" encoding="utf-8"?>
<ds:datastoreItem xmlns:ds="http://schemas.openxmlformats.org/officeDocument/2006/customXml" ds:itemID="{7946C510-7D04-49D8-9B25-EEC04582A1CA}"/>
</file>

<file path=customXml/itemProps13.xml><?xml version="1.0" encoding="utf-8"?>
<ds:datastoreItem xmlns:ds="http://schemas.openxmlformats.org/officeDocument/2006/customXml" ds:itemID="{BF5C6359-7763-4C37-8EAF-2BC4698CB285}"/>
</file>

<file path=customXml/itemProps14.xml><?xml version="1.0" encoding="utf-8"?>
<ds:datastoreItem xmlns:ds="http://schemas.openxmlformats.org/officeDocument/2006/customXml" ds:itemID="{8D732231-4216-4543-A665-18A2886B0EB7}"/>
</file>

<file path=customXml/itemProps15.xml><?xml version="1.0" encoding="utf-8"?>
<ds:datastoreItem xmlns:ds="http://schemas.openxmlformats.org/officeDocument/2006/customXml" ds:itemID="{CB52044A-5C0B-44A2-99D0-C1C315EC302D}"/>
</file>

<file path=customXml/itemProps16.xml><?xml version="1.0" encoding="utf-8"?>
<ds:datastoreItem xmlns:ds="http://schemas.openxmlformats.org/officeDocument/2006/customXml" ds:itemID="{0389C43E-394D-44C0-87DC-4780FCFCFB40}"/>
</file>

<file path=customXml/itemProps17.xml><?xml version="1.0" encoding="utf-8"?>
<ds:datastoreItem xmlns:ds="http://schemas.openxmlformats.org/officeDocument/2006/customXml" ds:itemID="{2BC74AAC-D69B-4AF1-9649-B21EF3C1C463}"/>
</file>

<file path=customXml/itemProps18.xml><?xml version="1.0" encoding="utf-8"?>
<ds:datastoreItem xmlns:ds="http://schemas.openxmlformats.org/officeDocument/2006/customXml" ds:itemID="{1954BBA4-0359-438C-B0EC-A756015F7C02}"/>
</file>

<file path=customXml/itemProps19.xml><?xml version="1.0" encoding="utf-8"?>
<ds:datastoreItem xmlns:ds="http://schemas.openxmlformats.org/officeDocument/2006/customXml" ds:itemID="{F6B2B1A1-1C4B-4AC9-9A7D-7A102DD1C942}"/>
</file>

<file path=customXml/itemProps20.xml><?xml version="1.0" encoding="utf-8"?>
<ds:datastoreItem xmlns:ds="http://schemas.openxmlformats.org/officeDocument/2006/customXml" ds:itemID="{E3716282-BFD2-4ED2-BA47-BFA1123827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2026-02-20T17:56:59Z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2025-10-29T23:10:52Z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4bdeb047-7ae5-44ef-8970-cfbfe11482d2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