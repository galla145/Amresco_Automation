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D8E8812D-469A-41CB-B663-59AD0BCE5899}" xr6:coauthVersionLast="47" xr6:coauthVersionMax="47" xr10:uidLastSave="{00000000-0000-0000-0000-000000000000}"/>
  <bookViews>
    <workbookView xWindow="-108" yWindow="-108" windowWidth="23256" windowHeight="1389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D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H2" i="28"/>
  <c r="I2" i="28" s="1"/>
  <c r="H2" i="33"/>
  <c r="I2" i="33" s="1"/>
  <c r="H2" i="3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<sst xmlns="http://schemas.openxmlformats.org/spreadsheetml/2006/main" count="270" uniqueCount="65">
  <si>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</si>
  <si>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</si>
  <si>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</si>
  <si>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</si>
  <si>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</si>
  <si>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</si>
  <si>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</si>
  <si>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</si>
  <si>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</si>
  <si>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</si>
  <si>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</si>
  <si>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</si>
  <si>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</si>
  <si>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</si>
  <si>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</si>
  <si>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</si>
  <si>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</si>
  <si>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</si>
  <si>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</si>
  <si>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</si>
  <si>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</si>
  <si>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</si>
  <si>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</si>
  <si>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February Actual v. Expected</t>
  </si>
  <si>
    <t>February Actual v. Forecasted</t>
  </si>
  <si>
    <t>1. Low generation due to weather/snow</t>
  </si>
  <si>
    <t>March Actual v. Expected</t>
  </si>
  <si>
    <t>March Actual v. Forecasted</t>
  </si>
  <si>
    <t xml:space="preserve">1.The Site Expected Energy data reporting intermittently throughout the month due to site communication issues in the Unity portal. </t>
  </si>
  <si>
    <t>1. SR098457,SR092283</t>
  </si>
  <si>
    <t>SR092283</t>
  </si>
  <si>
    <t>April Actual v. Expected</t>
  </si>
  <si>
    <t>April Actual v. Forecasted</t>
  </si>
  <si>
    <t>1.Expected energy data reporting intermittently throughout the month due to site communication issue</t>
  </si>
  <si>
    <t>1.SR092283</t>
  </si>
  <si>
    <t>May Actual v. Expected</t>
  </si>
  <si>
    <t>May Actual v. Forecasted</t>
  </si>
  <si>
    <t>1. SR092283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</si>
  <si>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</si>
  <si>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</si>
  <si>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</si>
  <si>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</si>
  <si>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</si>
  <si>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</si>
  <si>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</si>
  <si>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</si>
  <si>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N/A</t>
  </si>
  <si>
    <t>October Actual v. Expected</t>
  </si>
  <si>
    <t>October Actual v. Forecasted</t>
  </si>
  <si>
    <t>Status</t>
  </si>
  <si>
    <t>1.Closed</t>
  </si>
  <si>
    <t>November Actual v. Expected</t>
  </si>
  <si>
    <t>November Actual v. Forecasted</t>
  </si>
  <si>
    <t>SR Status</t>
  </si>
  <si>
    <t>December Actual v. Expected</t>
  </si>
  <si>
    <t>December Actual v. Forecasted</t>
  </si>
  <si>
    <t>1.Site production was low on 12/14,12/15,12/19,12/27 to 12/29 due to snow.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</si>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</sst>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283" TargetMode="External"/><Relationship Id="rId1" Type="http://schemas.openxmlformats.org/officeDocument/2006/relationships/hyperlink" Target="https://us3.assetplanner.com/service_request?ID=098457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092283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us3.assetplanner.com/service_request?ID=092283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us3.assetplanner.com/service_request?ID=092283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D4" sqref="D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>
      <c r="A2" s="49" t="s">
        <v>2</v>
      </c>
      <c r="B2" s="49"/>
      <c r="C2" s="6">
        <f>SUM(C4:C60)</f>
        <v>264556.06499999994</v>
      </c>
      <c r="D2" s="6">
        <f>SUM(D4:D60)</f>
        <v>187726.952139</v>
      </c>
      <c r="E2" s="6">
        <f>C2-D2</f>
        <v>76829.112860999943</v>
      </c>
      <c r="F2" s="7">
        <f>IFERROR(E2/D2, 0)</f>
        <v>0.40925989574535265</v>
      </c>
      <c r="G2" s="6">
        <f>SUM(G4:G60)</f>
        <v>0</v>
      </c>
      <c r="H2" s="8">
        <f>C2-G2</f>
        <v>264556.06499999994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264556.06499999994</v>
      </c>
      <c r="D4" s="14">
        <f>SUM('1st Qtr'!D4, '2nd Qtr'!D4, '3rd Qtr'!D4, '4th Qtr'!D4)</f>
        <v>187726.952139</v>
      </c>
      <c r="E4" s="14">
        <f>IF(AND(ISNUMBER(C4),ISNUMBER(D4)), C4-D4, "")</f>
        <v>76829.112860999943</v>
      </c>
      <c r="F4" s="15">
        <f>IFERROR(E4/D4, "")</f>
        <v>0.40925989574535265</v>
      </c>
      <c r="G4" s="16">
        <f>SUM('1st Qtr'!G4,'2nd Qtr'!G4,'3rd Qtr'!G4,'4th Qtr'!G4)</f>
        <v>0</v>
      </c>
      <c r="H4" s="16">
        <f>SUM('1st Qtr'!H4, '2nd Qtr'!H4, '3rd Qtr'!H4, '4th Qtr'!H4)</f>
        <v>201272.39499999999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C4" sqref="C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>
      <c r="A2" s="49" t="s">
        <v>2</v>
      </c>
      <c r="B2" s="49"/>
      <c r="C2" s="6">
        <f>SUM(C4:C68)</f>
        <v>41253.092999999993</v>
      </c>
      <c r="D2" s="6">
        <f>SUM(D4:D68)</f>
        <v>40356.013999999996</v>
      </c>
      <c r="E2" s="6">
        <f>C2-D2</f>
        <v>897.0789999999979</v>
      </c>
      <c r="F2" s="7">
        <f>IFERROR(E2/D2, 0)</f>
        <v>2.222912798077625E-2</v>
      </c>
      <c r="G2" s="6">
        <f>SUM(G4:G68)</f>
        <v>0</v>
      </c>
      <c r="H2" s="8">
        <f>C2-G2</f>
        <v>41253.092999999993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41253.092999999993</v>
      </c>
      <c r="D4" s="14">
        <f>SUM(Jan!D4, Feb!D4, Mar!D4)</f>
        <v>40356.013999999996</v>
      </c>
      <c r="E4" s="14">
        <f>IF(AND(ISNUMBER(C4),ISNUMBER(D4)), C4-D4, "")</f>
        <v>897.0789999999979</v>
      </c>
      <c r="F4" s="15">
        <f>IFERROR(E4/D4, "")</f>
        <v>2.222912798077625E-2</v>
      </c>
      <c r="G4" s="16">
        <f>SUM(Jan!G4, Feb!G4, Mar!G4)</f>
        <v>0</v>
      </c>
      <c r="H4" s="16">
        <f>SUM(Jan!H4, Feb!H4, Mar!H4)</f>
        <v>41253.092999999993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L16" sqref="L16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>
      <c r="A2" s="49" t="s">
        <v>2</v>
      </c>
      <c r="B2" s="49"/>
      <c r="C2" s="6">
        <f>SUM(C4:C90)</f>
        <v>88768.422999999995</v>
      </c>
      <c r="D2" s="6">
        <f>SUM(D4:D90)</f>
        <v>37069.85</v>
      </c>
      <c r="E2" s="6">
        <f>C2-D2</f>
        <v>51698.572999999997</v>
      </c>
      <c r="F2" s="7">
        <f>IFERROR(E2/D2, 0)</f>
        <v>1.3946259021819618</v>
      </c>
      <c r="G2" s="6">
        <f>SUM(G4:G90)</f>
        <v>0</v>
      </c>
      <c r="H2" s="8">
        <f>C2-G2</f>
        <v>88768.422999999995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88768.422999999995</v>
      </c>
      <c r="D4" s="14">
        <f>SUM(Apr!D4, May!D4, Jun!D4)</f>
        <v>37069.85</v>
      </c>
      <c r="E4" s="14">
        <f>IF(AND(ISNUMBER(C4),ISNUMBER(D4)), C4-D4, "")</f>
        <v>51698.572999999997</v>
      </c>
      <c r="F4" s="15">
        <f>IFERROR(E4/D4, "")</f>
        <v>1.3946259021819618</v>
      </c>
      <c r="G4" s="16">
        <f>SUM(Apr!G4+May!G4+Jun!G4)</f>
        <v>0</v>
      </c>
      <c r="H4" s="16">
        <f>SUM(Apr!H4, May!H4, Jun!H4)</f>
        <v>88768.422999999995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>
      <c r="A2" s="49" t="s">
        <v>2</v>
      </c>
      <c r="B2" s="49"/>
      <c r="C2" s="6">
        <f>SUM(C4:C89)</f>
        <v>97315.948999999993</v>
      </c>
      <c r="D2" s="6">
        <f>SUM(D4:D89)</f>
        <v>79082.988138999994</v>
      </c>
      <c r="E2" s="6">
        <f>C2-D2</f>
        <v>18232.960861</v>
      </c>
      <c r="F2" s="7">
        <f>IFERROR(E2/D2, 0)</f>
        <v>0.23055477910056821</v>
      </c>
      <c r="G2" s="6">
        <f>SUM(G4:G89)</f>
        <v>0</v>
      </c>
      <c r="H2" s="8">
        <f>C2-G2</f>
        <v>97315.948999999993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97315.948999999993</v>
      </c>
      <c r="D4" s="14">
        <f>SUM(Jul!D4, Aug!D4, Sep!D4)</f>
        <v>79082.988138999994</v>
      </c>
      <c r="E4" s="14">
        <f>IF(AND(ISNUMBER(C4),ISNUMBER(D4)), C4-D4, "")</f>
        <v>18232.960861</v>
      </c>
      <c r="F4" s="15">
        <f>IFERROR(E4/D4, "")</f>
        <v>0.23055477910056821</v>
      </c>
      <c r="G4" s="16">
        <f>SUM(Jul!G4, Aug!G4, Sep!G4)</f>
        <v>0</v>
      </c>
      <c r="H4" s="16">
        <f>SUM(Jul!H4, Aug!H4, Sep!H4)</f>
        <v>71250.879000000001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>
      <c r="A2" s="49" t="s">
        <v>2</v>
      </c>
      <c r="B2" s="49"/>
      <c r="C2" s="6">
        <f>SUM(C4:C89)</f>
        <v>37218.6</v>
      </c>
      <c r="D2" s="6">
        <f>SUM(D4:D89)</f>
        <v>31218.1</v>
      </c>
      <c r="E2" s="6">
        <f>C2-D2</f>
        <v>6000.5</v>
      </c>
      <c r="F2" s="7">
        <f>IFERROR(E2/D2, 0)</f>
        <v>0.19221221022419688</v>
      </c>
      <c r="G2" s="6">
        <f>SUM(G4:G89)</f>
        <v>0</v>
      </c>
      <c r="H2" s="8">
        <f>C2-G2</f>
        <v>37218.6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37218.6</v>
      </c>
      <c r="D4" s="14">
        <f>SUM(Oct!D4, Nov!D4, Dec!D4)</f>
        <v>31218.1</v>
      </c>
      <c r="E4" s="14">
        <f>IF(AND(ISNUMBER(C4),ISNUMBER(D4)), C4-D4, "")</f>
        <v>6000.5</v>
      </c>
      <c r="F4" s="15">
        <f>IFERROR(E4/D4, "")</f>
        <v>0.19221221022419688</v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H12" sqref="H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SUM(C4:C89)</f>
        <v>9261.7929999999997</v>
      </c>
      <c r="D2" s="6">
        <f>SUM(D4:D89)</f>
        <v>15145.214</v>
      </c>
      <c r="E2" s="6">
        <f>C2-D2</f>
        <v>-5883.4210000000003</v>
      </c>
      <c r="F2" s="7">
        <f>IFERROR(E2/D2, 0)</f>
        <v>-0.38846734024359114</v>
      </c>
      <c r="G2" s="6">
        <f>SUM(G4:G89)</f>
        <v>0</v>
      </c>
      <c r="H2" s="8">
        <f>C2-G2</f>
        <v>9261.7929999999997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9261.7929999999997</v>
      </c>
      <c r="D4" s="14">
        <v>15145.214</v>
      </c>
      <c r="E4" s="14">
        <f>IF(AND(ISNUMBER(C4),ISNUMBER(D4)), C4-D4, "")</f>
        <v>-5883.4210000000003</v>
      </c>
      <c r="F4" s="15">
        <f>IFERROR(E4/D4, "")</f>
        <v>-0.38846734024359114</v>
      </c>
      <c r="G4" s="16">
        <v>0</v>
      </c>
      <c r="H4" s="16">
        <f>IF(AND(ISNUMBER(C4),ISNUMBER(G4)), C4-G4, "")</f>
        <v>9261.7929999999997</v>
      </c>
      <c r="I4" s="17" t="str">
        <f>IFERROR(H4/G4, "")</f>
        <v/>
      </c>
      <c r="J4" s="18" t="s">
        <v>22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zoomScale="80" zoomScaleNormal="80" workbookViewId="0">
      <pane ySplit="2" topLeftCell="A3" activePane="bottomLeft" state="frozen"/>
      <selection pane="bottomLeft" activeCell="J14" sqref="J14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23</v>
      </c>
      <c r="E1" s="48"/>
      <c r="F1" s="48"/>
      <c r="G1" s="46" t="s">
        <v>24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SUM(C4:C85)</f>
        <v>7778.7</v>
      </c>
      <c r="D2" s="6">
        <f>SUM(D4:D85)</f>
        <v>15467.3</v>
      </c>
      <c r="E2" s="6">
        <f>C2-D2</f>
        <v>-7688.5999999999995</v>
      </c>
      <c r="F2" s="7">
        <f>IFERROR(E2/D2, 0)</f>
        <v>-0.49708740374855337</v>
      </c>
      <c r="G2" s="6">
        <f>SUM(G4:G85)</f>
        <v>0</v>
      </c>
      <c r="H2" s="8">
        <f>C2-G2</f>
        <v>7778.7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7778.7</v>
      </c>
      <c r="D4" s="14">
        <v>15467.3</v>
      </c>
      <c r="E4" s="14">
        <f>IF(AND(ISNUMBER(C4),ISNUMBER(D4)), C4-D4, "")</f>
        <v>-7688.5999999999995</v>
      </c>
      <c r="F4" s="15">
        <f>IFERROR(E4/D4, "")</f>
        <v>-0.49708740374855337</v>
      </c>
      <c r="G4" s="16">
        <v>0</v>
      </c>
      <c r="H4" s="16">
        <f>IF(AND(ISNUMBER(C4),ISNUMBER(G4)), C4-G4, "")</f>
        <v>7778.7</v>
      </c>
      <c r="I4" s="17" t="str">
        <f>IFERROR(H4/G4, "")</f>
        <v/>
      </c>
      <c r="J4" s="18" t="s">
        <v>25</v>
      </c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zoomScale="90" zoomScaleNormal="90" workbookViewId="0">
      <pane ySplit="2" topLeftCell="A3" activePane="bottomLeft" state="frozen"/>
      <selection pane="bottomLeft" activeCell="J17" sqref="J17"/>
      <selection activeCell="H22" sqref="H22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7" t="str" cm="1">
        <f t="array" ref="A1">portfolio</f>
        <v>RMR Group</v>
      </c>
      <c r="B1" s="47"/>
      <c r="C1" s="47"/>
      <c r="D1" s="48" t="s">
        <v>26</v>
      </c>
      <c r="E1" s="48"/>
      <c r="F1" s="48"/>
      <c r="G1" s="46" t="s">
        <v>27</v>
      </c>
      <c r="H1" s="46"/>
      <c r="I1" s="46"/>
      <c r="J1" s="5"/>
      <c r="K1" s="5"/>
    </row>
    <row r="2" spans="1:12" ht="19.5" customHeight="1">
      <c r="A2" s="49" t="s">
        <v>2</v>
      </c>
      <c r="B2" s="49"/>
      <c r="C2" s="6">
        <f>SUM(C4:C90)</f>
        <v>24212.6</v>
      </c>
      <c r="D2" s="6">
        <f>SUM(D4:D90)</f>
        <v>9743.5</v>
      </c>
      <c r="E2" s="6">
        <f>C2-D2</f>
        <v>14469.099999999999</v>
      </c>
      <c r="F2" s="7">
        <f>IFERROR(E2/D2, 0)</f>
        <v>1.4850002565813105</v>
      </c>
      <c r="G2" s="6">
        <f>SUM(G4:G90)</f>
        <v>0</v>
      </c>
      <c r="H2" s="8">
        <f>C2-G2</f>
        <v>24212.6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24212.6</v>
      </c>
      <c r="D4" s="14">
        <v>9743.5</v>
      </c>
      <c r="E4" s="14">
        <f>IF(AND(ISNUMBER(C4),ISNUMBER(D4)), C4-D4, "")</f>
        <v>14469.099999999999</v>
      </c>
      <c r="F4" s="15">
        <f>IFERROR(E4/D4, "")</f>
        <v>1.4850002565813105</v>
      </c>
      <c r="G4" s="16">
        <v>0</v>
      </c>
      <c r="H4" s="16">
        <f>IF(AND(ISNUMBER(C4),ISNUMBER(G4)), C4-G4, "")</f>
        <v>24212.6</v>
      </c>
      <c r="I4" s="17" t="str">
        <f>IFERROR(H4/G4, "")</f>
        <v/>
      </c>
      <c r="J4" s="18" t="s">
        <v>28</v>
      </c>
      <c r="K4" s="42" t="s">
        <v>29</v>
      </c>
      <c r="L4" s="43" t="s">
        <v>30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8457" xr:uid="{962A6811-2B8D-4A06-9278-93ED38244485}"/>
    <hyperlink ref="L4" r:id="rId2" display="https://us3.assetplanner.com/service_request?ID=092283" xr:uid="{1434438C-4D4C-406F-A50D-AFB596EB6DFB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C1" zoomScaleNormal="100" workbookViewId="0">
      <pane ySplit="2" topLeftCell="A3" activePane="bottomLeft" state="frozen"/>
      <selection pane="bottomLeft" activeCell="H16" sqref="H16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31</v>
      </c>
      <c r="E1" s="48"/>
      <c r="F1" s="48"/>
      <c r="G1" s="46" t="s">
        <v>32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28950.2</v>
      </c>
      <c r="D2" s="6">
        <f>SUM(D4:D90)</f>
        <v>5305.19</v>
      </c>
      <c r="E2" s="6">
        <f>C2-D2</f>
        <v>23645.010000000002</v>
      </c>
      <c r="F2" s="7">
        <f>IFERROR(E2/D2, 0)</f>
        <v>4.4569581862289578</v>
      </c>
      <c r="G2" s="6">
        <f>SUM(G4:G90)</f>
        <v>0</v>
      </c>
      <c r="H2" s="8">
        <f>C2-G2</f>
        <v>28950.2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28950.2</v>
      </c>
      <c r="D4" s="14">
        <v>5305.19</v>
      </c>
      <c r="E4" s="14">
        <f>IF(AND(ISNUMBER(C4),ISNUMBER(D4)), C4-D4, "")</f>
        <v>23645.010000000002</v>
      </c>
      <c r="F4" s="15">
        <f>IFERROR(E4/D4, "")</f>
        <v>4.4569581862289578</v>
      </c>
      <c r="G4" s="44">
        <v>0</v>
      </c>
      <c r="H4" s="16">
        <f>IF(AND(ISNUMBER(C4),ISNUMBER(G4)), C4-G4, "")</f>
        <v>28950.2</v>
      </c>
      <c r="I4" s="17" t="str">
        <f>IFERROR(H4/G4, "")</f>
        <v/>
      </c>
      <c r="J4" s="18" t="s">
        <v>33</v>
      </c>
      <c r="K4" s="42" t="s">
        <v>34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2283" xr:uid="{76A249B6-AEF1-4C9C-94D6-23E7DB8E970A}"/>
  </hyperlinks>
  <pageMargins left="0.4" right="0.7" top="0.25" bottom="0.25" header="0.3" footer="0.3"/>
  <pageSetup scale="56" fitToHeight="99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J17" sqref="J17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35</v>
      </c>
      <c r="E1" s="48"/>
      <c r="F1" s="48"/>
      <c r="G1" s="46" t="s">
        <v>36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27649.523000000001</v>
      </c>
      <c r="D2" s="6">
        <f>SUM(D4:D90)</f>
        <v>8317.7000000000007</v>
      </c>
      <c r="E2" s="6">
        <f>C2-D2</f>
        <v>19331.823</v>
      </c>
      <c r="F2" s="7">
        <f>IFERROR(E2/D2, 0)</f>
        <v>2.3241789196532694</v>
      </c>
      <c r="G2" s="6">
        <f>SUM(G4:G90)</f>
        <v>0</v>
      </c>
      <c r="H2" s="8">
        <f>C2-G2</f>
        <v>27649.523000000001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27649.523000000001</v>
      </c>
      <c r="D4" s="14">
        <v>8317.7000000000007</v>
      </c>
      <c r="E4" s="14">
        <f>IF(AND(ISNUMBER(C4),ISNUMBER(D4)), C4-D4, "")</f>
        <v>19331.823</v>
      </c>
      <c r="F4" s="15">
        <f>IFERROR(E4/D4, "")</f>
        <v>2.3241789196532694</v>
      </c>
      <c r="G4" s="44">
        <v>0</v>
      </c>
      <c r="H4" s="16">
        <f>IF(AND(ISNUMBER(C4),ISNUMBER(G4)), C4-G4, "")</f>
        <v>27649.523000000001</v>
      </c>
      <c r="I4" s="17" t="str">
        <f>IFERROR(H4/G4, "")</f>
        <v/>
      </c>
      <c r="J4" s="18" t="s">
        <v>33</v>
      </c>
      <c r="K4" s="42" t="s">
        <v>37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2283" xr:uid="{AAFFE0AE-8CBF-4EE1-917C-43E3AA82AAF9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H20" sqref="H19:H20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38</v>
      </c>
      <c r="E1" s="48"/>
      <c r="F1" s="48"/>
      <c r="G1" s="46" t="s">
        <v>39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32168.7</v>
      </c>
      <c r="D2" s="6">
        <f>SUM(D4:D90)</f>
        <v>23446.959999999999</v>
      </c>
      <c r="E2" s="6">
        <f>C2-D2</f>
        <v>8721.7400000000016</v>
      </c>
      <c r="F2" s="7">
        <f>IFERROR(E2/D2, 0)</f>
        <v>0.37197743332184652</v>
      </c>
      <c r="G2" s="6">
        <f>SUM(G4:G90)</f>
        <v>0</v>
      </c>
      <c r="H2" s="8">
        <f>C2-G2</f>
        <v>32168.7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32168.7</v>
      </c>
      <c r="D4" s="14">
        <v>23446.959999999999</v>
      </c>
      <c r="E4" s="14">
        <f>IF(AND(ISNUMBER(C4),ISNUMBER(D4)), C4-D4, "")</f>
        <v>8721.7400000000016</v>
      </c>
      <c r="F4" s="15">
        <f>IFERROR(E4/D4, "")</f>
        <v>0.37197743332184652</v>
      </c>
      <c r="G4" s="45">
        <v>0</v>
      </c>
      <c r="H4" s="16">
        <f>IF(AND(ISNUMBER(C4),ISNUMBER(G4)), C4-G4, "")</f>
        <v>32168.7</v>
      </c>
      <c r="I4" s="17" t="str">
        <f>IFERROR(H4/G4, "")</f>
        <v/>
      </c>
      <c r="J4" s="18" t="s">
        <v>33</v>
      </c>
      <c r="K4" s="42" t="s">
        <v>37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2283" xr:uid="{C9E70AA1-707C-44BB-B59A-EFD8644008EF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zoomScale="80" zoomScaleNormal="80" workbookViewId="0">
      <pane ySplit="2" topLeftCell="A4" activePane="bottomLeft" state="frozen"/>
      <selection pane="bottomLeft" activeCell="J4" sqref="J4:K4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40</v>
      </c>
      <c r="E1" s="48"/>
      <c r="F1" s="48"/>
      <c r="G1" s="46" t="s">
        <v>41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35625.478999999999</v>
      </c>
      <c r="D2" s="6">
        <f>SUM(D4:D90)</f>
        <v>28464.798138999999</v>
      </c>
      <c r="E2" s="6">
        <f>C2-D2</f>
        <v>7160.6808610000007</v>
      </c>
      <c r="F2" s="7">
        <f>IFERROR(E2/D2, 0)</f>
        <v>0.25156267843645996</v>
      </c>
      <c r="G2" s="6">
        <f>SUM(G4:G90)</f>
        <v>0</v>
      </c>
      <c r="H2" s="8">
        <f>C2-G2</f>
        <v>35625.478999999999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35625.478999999999</v>
      </c>
      <c r="D4" s="14">
        <v>28464.798138999999</v>
      </c>
      <c r="E4" s="14">
        <f>IF(AND(ISNUMBER(C4),ISNUMBER(D4)), C4-D4, "")</f>
        <v>7160.6808610000007</v>
      </c>
      <c r="F4" s="15">
        <f>IFERROR(E4/D4, "")</f>
        <v>0.25156267843645996</v>
      </c>
      <c r="G4" s="44">
        <v>0</v>
      </c>
      <c r="H4" s="16">
        <f>IF(AND(ISNUMBER(C4),ISNUMBER(G4)), C4-G4, "")</f>
        <v>35625.478999999999</v>
      </c>
      <c r="I4" s="17" t="str">
        <f>IFERROR(H4/G4, "")</f>
        <v/>
      </c>
      <c r="J4" s="18" t="s">
        <v>33</v>
      </c>
      <c r="K4" s="42" t="s">
        <v>34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092283" xr:uid="{EC859F7E-81E1-4C2C-AD68-09B99E73DBF4}"/>
  </hyperlinks>
  <pageMargins left="0.4" right="0.7" top="0.25" bottom="0.25" header="0.3" footer="0.3"/>
  <pageSetup scale="56" fitToHeight="99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zoomScale="80" zoomScaleNormal="80" workbookViewId="0">
      <pane ySplit="2" topLeftCell="A3" activePane="bottomLeft" state="frozen"/>
      <selection pane="bottomLeft" activeCell="K4" sqref="K4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42</v>
      </c>
      <c r="E1" s="48"/>
      <c r="F1" s="48"/>
      <c r="G1" s="46" t="s">
        <v>43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SUM(C4:C30)</f>
        <v>35625.4</v>
      </c>
      <c r="D2" s="6">
        <f>SUM(D4:D30)</f>
        <v>26946.49</v>
      </c>
      <c r="E2" s="6">
        <f>C2-D2</f>
        <v>8678.91</v>
      </c>
      <c r="F2" s="7">
        <f>IFERROR(E2/D2, 0)</f>
        <v>0.32207942481562529</v>
      </c>
      <c r="G2" s="6">
        <f>SUM(G4:G30)</f>
        <v>0</v>
      </c>
      <c r="H2" s="8">
        <f>C2-G2</f>
        <v>35625.4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35625.4</v>
      </c>
      <c r="D4" s="14">
        <v>26946.49</v>
      </c>
      <c r="E4" s="14">
        <f>IF(AND(ISNUMBER(C4),ISNUMBER(D4)), C4-D4, "")</f>
        <v>8678.91</v>
      </c>
      <c r="F4" s="15">
        <f>IFERROR(E4/D4, "")</f>
        <v>0.32207942481562529</v>
      </c>
      <c r="G4" s="16">
        <v>0</v>
      </c>
      <c r="H4" s="16">
        <f>IF(AND(ISNUMBER(C4),ISNUMBER(G4)), C4-G4, "")</f>
        <v>35625.4</v>
      </c>
      <c r="I4" s="17" t="str">
        <f>IFERROR(H4/G4, "")</f>
        <v/>
      </c>
      <c r="J4" s="18" t="s">
        <v>33</v>
      </c>
      <c r="K4" s="42" t="s">
        <v>34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092283" xr:uid="{99ED31F3-346C-4DC0-9E82-761E8D57B3DB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topLeftCell="C1" workbookViewId="0">
      <pane ySplit="2" topLeftCell="A3" activePane="bottomLeft" state="frozen"/>
      <selection pane="bottomLeft" activeCell="K4" sqref="K4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44</v>
      </c>
      <c r="E1" s="48"/>
      <c r="F1" s="48"/>
      <c r="G1" s="46" t="s">
        <v>45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26065.07</v>
      </c>
      <c r="D2" s="6">
        <f>SUM(D4:D90)</f>
        <v>23671.7</v>
      </c>
      <c r="E2" s="6">
        <f>C2-D2</f>
        <v>2393.369999999999</v>
      </c>
      <c r="F2" s="7">
        <f>IFERROR(E2/D2, 0)</f>
        <v>0.1011068068622025</v>
      </c>
      <c r="G2" s="6">
        <f>SUM(G4:G90)</f>
        <v>0</v>
      </c>
      <c r="H2" s="8">
        <f>C2-G2</f>
        <v>26065.07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26065.07</v>
      </c>
      <c r="D4" s="14">
        <v>23671.7</v>
      </c>
      <c r="E4" s="14">
        <f>IF(AND(ISNUMBER(C4),ISNUMBER(D4)), C4-D4, "")</f>
        <v>2393.369999999999</v>
      </c>
      <c r="F4" s="15">
        <f>IFERROR(E4/D4, "")</f>
        <v>0.1011068068622025</v>
      </c>
      <c r="G4" s="44" t="s">
        <v>46</v>
      </c>
      <c r="H4" s="16" t="str">
        <f>IF(AND(ISNUMBER(C4),ISNUMBER(G4)), C4-G4, "")</f>
        <v/>
      </c>
      <c r="I4" s="17" t="str">
        <f>IFERROR(H4/G4, "")</f>
        <v/>
      </c>
      <c r="J4" s="18" t="s">
        <v>33</v>
      </c>
      <c r="K4" s="42" t="s">
        <v>34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hyperlinks>
    <hyperlink ref="K4" r:id="rId1" display="https://us3.assetplanner.com/service_request?ID=092283" xr:uid="{1A624327-351A-4AEE-BF2E-E1C9724686F6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32"/>
  <sheetViews>
    <sheetView topLeftCell="D1" workbookViewId="0">
      <pane ySplit="2" topLeftCell="A3" activePane="bottomLeft" state="frozen"/>
      <selection pane="bottomLeft" activeCell="J4" sqref="J4:L4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7" t="str" cm="1">
        <f t="array" ref="A1">portfolio</f>
        <v>RMR Group</v>
      </c>
      <c r="B1" s="47"/>
      <c r="C1" s="47"/>
      <c r="D1" s="48" t="s">
        <v>47</v>
      </c>
      <c r="E1" s="48"/>
      <c r="F1" s="48"/>
      <c r="G1" s="46" t="s">
        <v>48</v>
      </c>
      <c r="H1" s="46"/>
      <c r="I1" s="46"/>
      <c r="J1" s="5"/>
      <c r="K1" s="5"/>
    </row>
    <row r="2" spans="1:12" ht="19.5" customHeight="1">
      <c r="A2" s="49" t="s">
        <v>2</v>
      </c>
      <c r="B2" s="49"/>
      <c r="C2" s="6">
        <f>SUM(C4:C90)</f>
        <v>18924.599999999999</v>
      </c>
      <c r="D2" s="6">
        <f>SUM(D4:D90)</f>
        <v>14064.7</v>
      </c>
      <c r="E2" s="6">
        <f>C2-D2</f>
        <v>4859.8999999999978</v>
      </c>
      <c r="F2" s="7">
        <f>IFERROR(E2/D2, 0)</f>
        <v>0.34553883125839852</v>
      </c>
      <c r="G2" s="6">
        <f>SUM(G4:G90)</f>
        <v>0</v>
      </c>
      <c r="H2" s="8">
        <f>C2-G2</f>
        <v>18924.599999999999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  <c r="L3" s="27" t="s">
        <v>49</v>
      </c>
    </row>
    <row r="4" spans="1:12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18924.599999999999</v>
      </c>
      <c r="D4" s="14">
        <v>14064.7</v>
      </c>
      <c r="E4" s="14">
        <f>IF(AND(ISNUMBER(C4),ISNUMBER(D4)), C4-D4, "")</f>
        <v>4859.8999999999978</v>
      </c>
      <c r="F4" s="15">
        <f>IFERROR(E4/D4, "")</f>
        <v>0.34553883125839852</v>
      </c>
      <c r="G4" s="45" t="s">
        <v>46</v>
      </c>
      <c r="H4" s="16" t="str">
        <f>IF(AND(ISNUMBER(C4),ISNUMBER(G4)), C4-G4, "")</f>
        <v/>
      </c>
      <c r="I4" s="17" t="str">
        <f>IFERROR(H4/G4, "")</f>
        <v/>
      </c>
      <c r="J4" s="18" t="s">
        <v>33</v>
      </c>
      <c r="K4" s="42" t="s">
        <v>34</v>
      </c>
      <c r="L4" s="18" t="s">
        <v>50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hyperlinks>
    <hyperlink ref="K4" r:id="rId1" display="https://us3.assetplanner.com/service_request?ID=092283" xr:uid="{3C1BB762-29F0-4814-8C55-EE9D11ECFCE0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32"/>
  <sheetViews>
    <sheetView topLeftCell="E1" workbookViewId="0">
      <pane ySplit="2" topLeftCell="A3" activePane="bottomLeft" state="frozen"/>
      <selection pane="bottomLeft" activeCell="J16" sqref="J16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7109375" customWidth="1"/>
  </cols>
  <sheetData>
    <row r="1" spans="1:12" ht="19.5" customHeight="1">
      <c r="A1" s="47" t="str" cm="1">
        <f t="array" ref="A1">portfolio</f>
        <v>RMR Group</v>
      </c>
      <c r="B1" s="47"/>
      <c r="C1" s="47"/>
      <c r="D1" s="48" t="s">
        <v>51</v>
      </c>
      <c r="E1" s="48"/>
      <c r="F1" s="48"/>
      <c r="G1" s="46" t="s">
        <v>52</v>
      </c>
      <c r="H1" s="46"/>
      <c r="I1" s="46"/>
      <c r="J1" s="5"/>
      <c r="K1" s="5"/>
    </row>
    <row r="2" spans="1:12" ht="19.5" customHeight="1">
      <c r="A2" s="49" t="s">
        <v>2</v>
      </c>
      <c r="B2" s="49"/>
      <c r="C2" s="6">
        <f>SUM(C4:C90)</f>
        <v>9789.4</v>
      </c>
      <c r="D2" s="6">
        <f>SUM(D4:D90)</f>
        <v>6993.3</v>
      </c>
      <c r="E2" s="6">
        <f>C2-D2</f>
        <v>2796.0999999999995</v>
      </c>
      <c r="F2" s="7">
        <f>IFERROR(E2/D2, 0)</f>
        <v>0.39982554730956765</v>
      </c>
      <c r="G2" s="6">
        <f>SUM(G4:G90)</f>
        <v>0</v>
      </c>
      <c r="H2" s="8">
        <f>C2-G2</f>
        <v>9789.4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  <c r="L3" s="27" t="s">
        <v>53</v>
      </c>
    </row>
    <row r="4" spans="1:12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9789.4</v>
      </c>
      <c r="D4" s="14">
        <v>6993.3</v>
      </c>
      <c r="E4" s="14">
        <f>IF(AND(ISNUMBER(C4),ISNUMBER(D4)), C4-D4, "")</f>
        <v>2796.0999999999995</v>
      </c>
      <c r="F4" s="15">
        <f>IFERROR(E4/D4, "")</f>
        <v>0.39982554730956765</v>
      </c>
      <c r="G4" s="44" t="s">
        <v>46</v>
      </c>
      <c r="H4" s="16" t="str">
        <f>IF(AND(ISNUMBER(C4),ISNUMBER(G4)), C4-G4, "")</f>
        <v/>
      </c>
      <c r="I4" s="17" t="str">
        <f>IFERROR(H4/G4, "")</f>
        <v/>
      </c>
      <c r="J4" s="18" t="s">
        <v>33</v>
      </c>
      <c r="K4" s="42" t="s">
        <v>34</v>
      </c>
      <c r="L4" s="18" t="s">
        <v>50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hyperlinks>
    <hyperlink ref="K4" r:id="rId1" display="https://us3.assetplanner.com/service_request?ID=092283" xr:uid="{7C33851F-ED4E-4F31-B24A-DB381BE16BBB}"/>
  </hyperlinks>
  <pageMargins left="0.4" right="0.7" top="0.25" bottom="0.25" header="0.3" footer="0.3"/>
  <pageSetup fitToHeight="99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32"/>
  <sheetViews>
    <sheetView tabSelected="1" topLeftCell="C1" workbookViewId="0">
      <pane ySplit="2" topLeftCell="A3" activePane="bottomLeft" state="frozen"/>
      <selection pane="bottomLeft" activeCell="B42" sqref="B42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7" t="str" cm="1">
        <f t="array" ref="A1">portfolio</f>
        <v>RMR Group</v>
      </c>
      <c r="B1" s="47"/>
      <c r="C1" s="47"/>
      <c r="D1" s="48" t="s">
        <v>54</v>
      </c>
      <c r="E1" s="48"/>
      <c r="F1" s="48"/>
      <c r="G1" s="46" t="s">
        <v>55</v>
      </c>
      <c r="H1" s="46"/>
      <c r="I1" s="46"/>
      <c r="J1" s="5"/>
      <c r="K1" s="5"/>
      <c r="L1" s="5"/>
    </row>
    <row r="2" spans="1:12" ht="19.5" customHeight="1">
      <c r="A2" s="49" t="s">
        <v>2</v>
      </c>
      <c r="B2" s="49"/>
      <c r="C2" s="6">
        <f>SUM(C4:C90)</f>
        <v>8504.6</v>
      </c>
      <c r="D2" s="6">
        <f>SUM(D4:D90)</f>
        <v>10160.1</v>
      </c>
      <c r="E2" s="6">
        <f>C2-D2</f>
        <v>-1655.5</v>
      </c>
      <c r="F2" s="7">
        <f>IFERROR(E2/D2, 0)</f>
        <v>-0.1629413096327792</v>
      </c>
      <c r="G2" s="6">
        <f>SUM(G4:G90)</f>
        <v>0</v>
      </c>
      <c r="H2" s="8">
        <f>C2-G2</f>
        <v>8504.6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  <c r="L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  <c r="L3" s="27" t="s">
        <v>49</v>
      </c>
    </row>
    <row r="4" spans="1:12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8504.6</v>
      </c>
      <c r="D4" s="14">
        <v>10160.1</v>
      </c>
      <c r="E4" s="14">
        <f>IF(AND(ISNUMBER(C4),ISNUMBER(D4)), C4-D4, "")</f>
        <v>-1655.5</v>
      </c>
      <c r="F4" s="15">
        <f>IFERROR(E4/D4, "")</f>
        <v>-0.1629413096327792</v>
      </c>
      <c r="G4" s="44" t="s">
        <v>46</v>
      </c>
      <c r="H4" s="16" t="str">
        <f>IF(AND(ISNUMBER(C4),ISNUMBER(G4)), C4-G4, "")</f>
        <v/>
      </c>
      <c r="I4" s="17" t="str">
        <f>IFERROR(H4/G4, "")</f>
        <v/>
      </c>
      <c r="J4" s="18" t="s">
        <v>56</v>
      </c>
      <c r="K4" s="18"/>
      <c r="L4" s="18"/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  <c r="L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  <c r="L23" s="23"/>
    </row>
    <row r="24" spans="1:12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  <c r="L24" s="23"/>
    </row>
    <row r="25" spans="1:12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  <c r="L25" s="23"/>
    </row>
    <row r="26" spans="1:12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  <c r="L26" s="23"/>
    </row>
    <row r="27" spans="1:12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  <c r="L27" s="23"/>
    </row>
    <row r="28" spans="1:12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  <c r="L28" s="23"/>
    </row>
    <row r="29" spans="1:12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  <c r="L29" s="23"/>
    </row>
    <row r="30" spans="1:12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  <c r="L30" s="23"/>
    </row>
    <row r="31" spans="1:12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  <c r="L31" s="23"/>
    </row>
    <row r="32" spans="1:12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  <c r="L32" s="23"/>
    </row>
    <row r="33" spans="1:12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  <c r="L33" s="23"/>
    </row>
    <row r="34" spans="1:12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  <c r="L34" s="23"/>
    </row>
    <row r="35" spans="1:12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  <c r="L35" s="23"/>
    </row>
    <row r="36" spans="1:12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  <c r="L36" s="23"/>
    </row>
    <row r="37" spans="1:12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  <c r="L37" s="23"/>
    </row>
    <row r="38" spans="1:12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  <c r="L38" s="23"/>
    </row>
    <row r="39" spans="1:12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  <c r="L39" s="23"/>
    </row>
    <row r="40" spans="1:12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  <c r="L40" s="23"/>
    </row>
    <row r="41" spans="1:12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  <c r="L41" s="23"/>
    </row>
    <row r="42" spans="1:12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  <c r="L42" s="23"/>
    </row>
    <row r="43" spans="1:12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  <row r="327" spans="1:12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  <c r="L327" s="23"/>
    </row>
    <row r="328" spans="1:12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  <c r="L328" s="23"/>
    </row>
    <row r="329" spans="1:12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  <c r="L329" s="23"/>
    </row>
    <row r="330" spans="1:12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  <c r="L330" s="23"/>
    </row>
    <row r="331" spans="1:12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  <c r="L331" s="23"/>
    </row>
    <row r="332" spans="1:12" ht="14.45">
      <c r="C332" s="23"/>
      <c r="D332" s="23"/>
      <c r="E332" s="23"/>
      <c r="F332" s="24"/>
      <c r="G332" s="23"/>
      <c r="H332" s="23"/>
      <c r="I332" s="24"/>
      <c r="J332" s="23"/>
      <c r="K332" s="23"/>
      <c r="L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57</v>
      </c>
      <c r="B1" t="s">
        <v>58</v>
      </c>
    </row>
    <row r="3" spans="1:7" ht="13.15">
      <c r="A3" t="s">
        <v>59</v>
      </c>
      <c r="B3" t="s">
        <v>3</v>
      </c>
      <c r="C3" t="s">
        <v>4</v>
      </c>
      <c r="D3" t="s">
        <v>60</v>
      </c>
      <c r="E3" s="2" t="s">
        <v>61</v>
      </c>
    </row>
    <row r="4" spans="1:7" ht="14.45">
      <c r="A4" t="s">
        <v>62</v>
      </c>
      <c r="B4" t="s">
        <v>62</v>
      </c>
      <c r="C4" s="4" t="s">
        <v>63</v>
      </c>
      <c r="E4" t="s">
        <v>64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021054D5-1BB9-40BE-B7F3-F786BCE9A607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2026-02-20T19:08:43Z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