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7B043D3A-51D6-4503-ABA4-64046D13B6F0}" xr6:coauthVersionLast="47" xr6:coauthVersionMax="47" xr10:uidLastSave="{ED52BDFC-0E73-4B77-927C-62820F19B5A2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3" l="1"/>
  <c r="F7" i="33" s="1"/>
  <c r="H7" i="33"/>
  <c r="I7" i="33" s="1"/>
  <c r="E8" i="33"/>
  <c r="F8" i="33" s="1"/>
  <c r="H8" i="33"/>
  <c r="E9" i="33"/>
  <c r="F9" i="33"/>
  <c r="H9" i="33"/>
  <c r="I9" i="33" s="1"/>
  <c r="E10" i="33"/>
  <c r="F10" i="33" s="1"/>
  <c r="H10" i="33"/>
  <c r="E11" i="33"/>
  <c r="F11" i="33" s="1"/>
  <c r="H11" i="33"/>
  <c r="I11" i="33" s="1"/>
  <c r="E12" i="33"/>
  <c r="F12" i="33" s="1"/>
  <c r="H12" i="33"/>
  <c r="I12" i="33"/>
  <c r="E13" i="33"/>
  <c r="F13" i="33" s="1"/>
  <c r="H13" i="33"/>
  <c r="E8" i="32"/>
  <c r="F8" i="32" s="1"/>
  <c r="H8" i="32"/>
  <c r="I8" i="32" s="1"/>
  <c r="E9" i="32"/>
  <c r="F9" i="32" s="1"/>
  <c r="H9" i="32"/>
  <c r="I9" i="32"/>
  <c r="E10" i="32"/>
  <c r="F10" i="32"/>
  <c r="H10" i="32"/>
  <c r="I10" i="32" s="1"/>
  <c r="E11" i="32"/>
  <c r="F11" i="32" s="1"/>
  <c r="H11" i="32"/>
  <c r="I11" i="32"/>
  <c r="E12" i="32"/>
  <c r="F12" i="32"/>
  <c r="H12" i="32"/>
  <c r="I12" i="32" s="1"/>
  <c r="E13" i="32"/>
  <c r="F13" i="32" s="1"/>
  <c r="H13" i="32"/>
  <c r="I13" i="32"/>
  <c r="I13" i="18"/>
  <c r="H13" i="18"/>
  <c r="G13" i="18"/>
  <c r="F13" i="18"/>
  <c r="E13" i="18"/>
  <c r="D13" i="18"/>
  <c r="C13" i="18"/>
  <c r="I13" i="1"/>
  <c r="H13" i="1"/>
  <c r="G13" i="1"/>
  <c r="F13" i="1"/>
  <c r="E13" i="1"/>
  <c r="F11" i="1"/>
  <c r="F12" i="1"/>
  <c r="D13" i="1"/>
  <c r="C13" i="1"/>
  <c r="I13" i="28"/>
  <c r="H13" i="28"/>
  <c r="F13" i="28"/>
  <c r="E13" i="28"/>
  <c r="H13" i="29"/>
  <c r="G13" i="29"/>
  <c r="I13" i="29" s="1"/>
  <c r="D13" i="29"/>
  <c r="C13" i="29"/>
  <c r="E13" i="29" s="1"/>
  <c r="F13" i="29" s="1"/>
  <c r="G8" i="30"/>
  <c r="G9" i="30"/>
  <c r="G10" i="30"/>
  <c r="G11" i="30"/>
  <c r="G12" i="30"/>
  <c r="G12" i="34" s="1"/>
  <c r="G13" i="30"/>
  <c r="G13" i="34" s="1"/>
  <c r="D8" i="30"/>
  <c r="D9" i="30"/>
  <c r="D10" i="30"/>
  <c r="D11" i="30"/>
  <c r="D12" i="30"/>
  <c r="D13" i="30"/>
  <c r="D13" i="34" s="1"/>
  <c r="C8" i="30"/>
  <c r="C9" i="30"/>
  <c r="C10" i="30"/>
  <c r="C11" i="30"/>
  <c r="C12" i="30"/>
  <c r="C13" i="30"/>
  <c r="H8" i="31"/>
  <c r="I8" i="31" s="1"/>
  <c r="H9" i="31"/>
  <c r="I9" i="31" s="1"/>
  <c r="H10" i="31"/>
  <c r="I10" i="31" s="1"/>
  <c r="H11" i="31"/>
  <c r="I11" i="31" s="1"/>
  <c r="H12" i="31"/>
  <c r="I12" i="31" s="1"/>
  <c r="H13" i="31"/>
  <c r="I13" i="31" s="1"/>
  <c r="E8" i="31"/>
  <c r="F8" i="31" s="1"/>
  <c r="E9" i="31"/>
  <c r="F9" i="31" s="1"/>
  <c r="E10" i="31"/>
  <c r="F10" i="31" s="1"/>
  <c r="E11" i="31"/>
  <c r="F11" i="31" s="1"/>
  <c r="E12" i="31"/>
  <c r="F12" i="31" s="1"/>
  <c r="E13" i="31"/>
  <c r="F13" i="31" s="1"/>
  <c r="H6" i="31"/>
  <c r="D12" i="34"/>
  <c r="I12" i="29"/>
  <c r="H12" i="29"/>
  <c r="G12" i="29"/>
  <c r="F12" i="29"/>
  <c r="E12" i="29"/>
  <c r="D12" i="29"/>
  <c r="C11" i="29"/>
  <c r="C12" i="29"/>
  <c r="I12" i="18"/>
  <c r="H12" i="18"/>
  <c r="G12" i="18"/>
  <c r="F12" i="18"/>
  <c r="E12" i="18"/>
  <c r="D12" i="18"/>
  <c r="C12" i="18"/>
  <c r="I11" i="1"/>
  <c r="I12" i="1"/>
  <c r="H11" i="1"/>
  <c r="H12" i="1"/>
  <c r="G11" i="1"/>
  <c r="G12" i="1"/>
  <c r="E12" i="1"/>
  <c r="D12" i="1"/>
  <c r="C12" i="1"/>
  <c r="I12" i="28"/>
  <c r="H12" i="28"/>
  <c r="F12" i="28"/>
  <c r="E12" i="28"/>
  <c r="I8" i="28"/>
  <c r="H6" i="28"/>
  <c r="I6" i="28" s="1"/>
  <c r="H7" i="28"/>
  <c r="I7" i="28" s="1"/>
  <c r="H8" i="28"/>
  <c r="H9" i="28"/>
  <c r="I9" i="28" s="1"/>
  <c r="H10" i="28"/>
  <c r="I10" i="28" s="1"/>
  <c r="H11" i="28"/>
  <c r="I11" i="28" s="1"/>
  <c r="F8" i="28"/>
  <c r="E6" i="28"/>
  <c r="F6" i="28" s="1"/>
  <c r="E7" i="28"/>
  <c r="F7" i="28" s="1"/>
  <c r="E8" i="28"/>
  <c r="E9" i="28"/>
  <c r="F9" i="28" s="1"/>
  <c r="E10" i="28"/>
  <c r="F10" i="28" s="1"/>
  <c r="E11" i="28"/>
  <c r="F11" i="28" s="1"/>
  <c r="H6" i="27"/>
  <c r="I6" i="27"/>
  <c r="H7" i="27"/>
  <c r="I7" i="27"/>
  <c r="H8" i="27"/>
  <c r="I8" i="27"/>
  <c r="H9" i="27"/>
  <c r="I9" i="27"/>
  <c r="H10" i="27"/>
  <c r="I10" i="27"/>
  <c r="H11" i="27"/>
  <c r="I11" i="27"/>
  <c r="E6" i="27"/>
  <c r="F6" i="27"/>
  <c r="E7" i="27"/>
  <c r="F7" i="27"/>
  <c r="E8" i="27"/>
  <c r="F8" i="27"/>
  <c r="E9" i="27"/>
  <c r="F9" i="27"/>
  <c r="E10" i="27"/>
  <c r="F10" i="27"/>
  <c r="E11" i="27"/>
  <c r="F11" i="27"/>
  <c r="I8" i="26"/>
  <c r="I9" i="26"/>
  <c r="I10" i="26"/>
  <c r="I11" i="26"/>
  <c r="H8" i="26"/>
  <c r="H8" i="29" s="1"/>
  <c r="H9" i="26"/>
  <c r="H10" i="26"/>
  <c r="H11" i="26"/>
  <c r="F8" i="26"/>
  <c r="F9" i="26"/>
  <c r="F10" i="26"/>
  <c r="F11" i="26"/>
  <c r="E8" i="26"/>
  <c r="E9" i="26"/>
  <c r="E10" i="26"/>
  <c r="E11" i="26"/>
  <c r="H8" i="1"/>
  <c r="I8" i="1" s="1"/>
  <c r="H9" i="1"/>
  <c r="I9" i="1" s="1"/>
  <c r="H10" i="1"/>
  <c r="G8" i="1"/>
  <c r="G9" i="1"/>
  <c r="G10" i="1"/>
  <c r="I10" i="1" s="1"/>
  <c r="D8" i="1"/>
  <c r="D9" i="1"/>
  <c r="D10" i="1"/>
  <c r="D11" i="1"/>
  <c r="C8" i="1"/>
  <c r="E8" i="1" s="1"/>
  <c r="F8" i="1" s="1"/>
  <c r="C9" i="1"/>
  <c r="E9" i="1" s="1"/>
  <c r="F9" i="1" s="1"/>
  <c r="C10" i="1"/>
  <c r="E10" i="1" s="1"/>
  <c r="F10" i="1" s="1"/>
  <c r="C11" i="1"/>
  <c r="E11" i="1" s="1"/>
  <c r="H9" i="29"/>
  <c r="H10" i="29"/>
  <c r="H11" i="29"/>
  <c r="G8" i="29"/>
  <c r="G9" i="29"/>
  <c r="G10" i="29"/>
  <c r="I10" i="29" s="1"/>
  <c r="G11" i="29"/>
  <c r="D8" i="29"/>
  <c r="D9" i="29"/>
  <c r="D10" i="29"/>
  <c r="D11" i="29"/>
  <c r="C8" i="29"/>
  <c r="C9" i="29"/>
  <c r="E9" i="29" s="1"/>
  <c r="F9" i="29" s="1"/>
  <c r="C10" i="29"/>
  <c r="I8" i="18"/>
  <c r="I9" i="18"/>
  <c r="I10" i="18"/>
  <c r="I11" i="18"/>
  <c r="H8" i="18"/>
  <c r="H9" i="18"/>
  <c r="H10" i="18"/>
  <c r="H11" i="18"/>
  <c r="G8" i="18"/>
  <c r="G9" i="18"/>
  <c r="G10" i="18"/>
  <c r="G11" i="18"/>
  <c r="E8" i="18"/>
  <c r="F8" i="18" s="1"/>
  <c r="E9" i="18"/>
  <c r="F9" i="18" s="1"/>
  <c r="E10" i="18"/>
  <c r="F10" i="18" s="1"/>
  <c r="E11" i="18"/>
  <c r="F11" i="18" s="1"/>
  <c r="D8" i="18"/>
  <c r="D9" i="18"/>
  <c r="D10" i="18"/>
  <c r="D11" i="18"/>
  <c r="C8" i="18"/>
  <c r="C9" i="18"/>
  <c r="C10" i="18"/>
  <c r="C11" i="18"/>
  <c r="H8" i="19"/>
  <c r="I8" i="19" s="1"/>
  <c r="H9" i="19"/>
  <c r="I9" i="19" s="1"/>
  <c r="H10" i="19"/>
  <c r="I10" i="19" s="1"/>
  <c r="H11" i="19"/>
  <c r="I11" i="19" s="1"/>
  <c r="E8" i="19"/>
  <c r="F8" i="19" s="1"/>
  <c r="E9" i="19"/>
  <c r="F9" i="19" s="1"/>
  <c r="E10" i="19"/>
  <c r="F10" i="19" s="1"/>
  <c r="E11" i="19"/>
  <c r="F11" i="19" s="1"/>
  <c r="E8" i="20"/>
  <c r="F8" i="20"/>
  <c r="H8" i="20"/>
  <c r="I8" i="20"/>
  <c r="E9" i="20"/>
  <c r="F9" i="20"/>
  <c r="H9" i="20"/>
  <c r="I9" i="20"/>
  <c r="E10" i="20"/>
  <c r="F10" i="20"/>
  <c r="H10" i="20"/>
  <c r="I10" i="20"/>
  <c r="A4" i="21" a="1"/>
  <c r="A4" i="21" s="1"/>
  <c r="H10" i="21"/>
  <c r="I6" i="21"/>
  <c r="I7" i="21"/>
  <c r="I8" i="21"/>
  <c r="H6" i="21"/>
  <c r="H7" i="21"/>
  <c r="H8" i="21"/>
  <c r="H9" i="21"/>
  <c r="I9" i="21" s="1"/>
  <c r="I10" i="21"/>
  <c r="F8" i="21"/>
  <c r="E8" i="21"/>
  <c r="E9" i="21"/>
  <c r="F9" i="21" s="1"/>
  <c r="E10" i="21"/>
  <c r="F10" i="21" s="1"/>
  <c r="F5" i="3"/>
  <c r="F6" i="3"/>
  <c r="F7" i="3"/>
  <c r="H5" i="3"/>
  <c r="I5" i="3" s="1"/>
  <c r="G6" i="30"/>
  <c r="G7" i="30"/>
  <c r="G5" i="30"/>
  <c r="G4" i="30"/>
  <c r="G4" i="29"/>
  <c r="G5" i="29"/>
  <c r="G6" i="29"/>
  <c r="G7" i="29"/>
  <c r="G5" i="18"/>
  <c r="G6" i="18"/>
  <c r="G7" i="18"/>
  <c r="G4" i="18"/>
  <c r="H6" i="3"/>
  <c r="I6" i="3" s="1"/>
  <c r="H7" i="3"/>
  <c r="I7" i="3" s="1"/>
  <c r="G9" i="34" l="1"/>
  <c r="H9" i="30"/>
  <c r="H9" i="34" s="1"/>
  <c r="I9" i="34" s="1"/>
  <c r="H13" i="30"/>
  <c r="H13" i="34" s="1"/>
  <c r="I13" i="34" s="1"/>
  <c r="H8" i="30"/>
  <c r="I8" i="30" s="1"/>
  <c r="H10" i="30"/>
  <c r="I10" i="30" s="1"/>
  <c r="H12" i="30"/>
  <c r="H12" i="34" s="1"/>
  <c r="I12" i="34" s="1"/>
  <c r="I13" i="33"/>
  <c r="H11" i="30"/>
  <c r="H11" i="34" s="1"/>
  <c r="I10" i="33"/>
  <c r="E9" i="30"/>
  <c r="F9" i="30" s="1"/>
  <c r="G8" i="34"/>
  <c r="I8" i="33"/>
  <c r="D8" i="34"/>
  <c r="E8" i="30"/>
  <c r="F8" i="30" s="1"/>
  <c r="H10" i="34"/>
  <c r="E12" i="30"/>
  <c r="F12" i="30" s="1"/>
  <c r="E11" i="30"/>
  <c r="F11" i="30" s="1"/>
  <c r="C12" i="34"/>
  <c r="E12" i="34" s="1"/>
  <c r="F12" i="34" s="1"/>
  <c r="E10" i="30"/>
  <c r="F10" i="30" s="1"/>
  <c r="C13" i="34"/>
  <c r="E13" i="34" s="1"/>
  <c r="F13" i="34" s="1"/>
  <c r="E13" i="30"/>
  <c r="F13" i="30" s="1"/>
  <c r="I12" i="30"/>
  <c r="D10" i="34"/>
  <c r="D9" i="34"/>
  <c r="C11" i="34"/>
  <c r="G11" i="34"/>
  <c r="C10" i="34"/>
  <c r="D11" i="34"/>
  <c r="E11" i="29"/>
  <c r="F11" i="29" s="1"/>
  <c r="G10" i="34"/>
  <c r="C9" i="34"/>
  <c r="I11" i="29"/>
  <c r="I8" i="29"/>
  <c r="E8" i="29"/>
  <c r="F8" i="29" s="1"/>
  <c r="I9" i="29"/>
  <c r="E10" i="29"/>
  <c r="F10" i="29" s="1"/>
  <c r="C8" i="34"/>
  <c r="E4" i="4"/>
  <c r="E4" i="72"/>
  <c r="F4" i="72" s="1"/>
  <c r="E5" i="72"/>
  <c r="F5" i="72" s="1"/>
  <c r="E6" i="72"/>
  <c r="F6" i="72" s="1"/>
  <c r="E7" i="72"/>
  <c r="F7" i="72" s="1"/>
  <c r="I11" i="30" l="1"/>
  <c r="I9" i="30"/>
  <c r="H8" i="34"/>
  <c r="I8" i="34" s="1"/>
  <c r="E8" i="34"/>
  <c r="F8" i="34" s="1"/>
  <c r="I11" i="34"/>
  <c r="I13" i="30"/>
  <c r="E10" i="34"/>
  <c r="F10" i="34" s="1"/>
  <c r="I10" i="34"/>
  <c r="E11" i="34"/>
  <c r="F11" i="34" s="1"/>
  <c r="E9" i="34"/>
  <c r="F9" i="34" s="1"/>
  <c r="C2" i="3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E6" i="3"/>
  <c r="E7" i="3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E5" i="30" s="1"/>
  <c r="F5" i="30" s="1"/>
  <c r="D4" i="30"/>
  <c r="C4" i="30"/>
  <c r="D7" i="29"/>
  <c r="C7" i="29"/>
  <c r="D6" i="29"/>
  <c r="C6" i="29"/>
  <c r="D5" i="29"/>
  <c r="C5" i="29"/>
  <c r="D4" i="29"/>
  <c r="C4" i="29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I6" i="3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E7" i="21"/>
  <c r="F7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D6" i="34" l="1"/>
  <c r="C7" i="34"/>
  <c r="C5" i="34"/>
  <c r="D5" i="34"/>
  <c r="D7" i="34"/>
  <c r="E7" i="34" s="1"/>
  <c r="F7" i="34" s="1"/>
  <c r="C4" i="34"/>
  <c r="E6" i="29"/>
  <c r="F6" i="29" s="1"/>
  <c r="C6" i="34"/>
  <c r="E6" i="34" s="1"/>
  <c r="F6" i="34" s="1"/>
  <c r="E7" i="18"/>
  <c r="F7" i="18" s="1"/>
  <c r="E5" i="18"/>
  <c r="F5" i="18" s="1"/>
  <c r="D2" i="18"/>
  <c r="H6" i="29"/>
  <c r="E4" i="18"/>
  <c r="F4" i="18" s="1"/>
  <c r="E6" i="30"/>
  <c r="F6" i="30" s="1"/>
  <c r="H7" i="29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H4" i="29"/>
  <c r="I4" i="29" s="1"/>
  <c r="H5" i="29"/>
  <c r="I7" i="26"/>
  <c r="H6" i="18"/>
  <c r="I6" i="18" s="1"/>
  <c r="H4" i="18"/>
  <c r="I4" i="18" s="1"/>
  <c r="H7" i="18"/>
  <c r="I7" i="18" s="1"/>
  <c r="H5" i="18"/>
  <c r="I5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2" i="34" l="1"/>
  <c r="E5" i="34"/>
  <c r="F5" i="34" s="1"/>
  <c r="I7" i="29"/>
  <c r="H7" i="34"/>
  <c r="I7" i="34" s="1"/>
  <c r="I6" i="29"/>
  <c r="H6" i="34"/>
  <c r="I6" i="34" s="1"/>
  <c r="I5" i="29"/>
  <c r="H5" i="34"/>
  <c r="I5" i="34" s="1"/>
  <c r="E4" i="34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<sst xmlns="http://schemas.openxmlformats.org/spreadsheetml/2006/main" count="477" uniqueCount="235">
  <si>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</si>
  <si>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</si>
  <si>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</si>
  <si>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</si>
  <si>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</si>
  <si>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</si>
  <si>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</si>
  <si>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</si>
  <si>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</si>
  <si>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</si>
  <si>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</si>
  <si>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</si>
  <si>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</si>
  <si>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</si>
  <si>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</si>
  <si>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</si>
  <si>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</si>
  <si>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</si>
  <si>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</si>
  <si>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</si>
  <si>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</si>
  <si>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</si>
  <si>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</si>
  <si>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The Site tripped offline at 10:00AM to 12:15 on 01/10 due to tech on site to work on the air break switch at the pole.
2. The site tripped offline at 01:15 AM on 01/20 due to the main breaker tripping. The site back online at 10:15 on 01/21 after resetting the SEL and main breaker.
3. Inverter 4 offline from 11/30/2024 due to Permanent fault of power module - Fault and it has been RMA'd &amp; remain offline from 12/02/2024.</t>
  </si>
  <si>
    <t>1. SR094963
2. SR095713
3.	SR093738</t>
  </si>
  <si>
    <t>1. The site tripped offline from 10:15 to 13:15 on 01/08 due to Grid Phase Voltage out of range. After being re-energized, the site is back online.</t>
  </si>
  <si>
    <t>1. SR095389</t>
  </si>
  <si>
    <t>1. Weather station experiencing seasonal shading from January to March resulting in expected energy value reporting low. Actual production is not being impacted</t>
  </si>
  <si>
    <t>1. SR099647</t>
  </si>
  <si>
    <t>1. Site generation was low due to rain/snow</t>
  </si>
  <si>
    <t>February Actual v. Expected</t>
  </si>
  <si>
    <t>February Actual v. Forecasted</t>
  </si>
  <si>
    <t>1. Inverter 4 offline from 11/30/2024 due to Permanent fault of power module - Fault and it has been RMA'd &amp; remain offline from 12/02/24.</t>
  </si>
  <si>
    <t>1.SR093738</t>
  </si>
  <si>
    <t xml:space="preserve"> </t>
  </si>
  <si>
    <t>March Actual v. Expected</t>
  </si>
  <si>
    <t>March Actual v. Forecasted</t>
  </si>
  <si>
    <t>1. Site tripped offline at 11:00 AM due to main breaker trip and back online at 15:45 on 03/07 after technician has reset the relay. 
2.Site tripped offline at 5:15 AM on 03/17 due to main breaker trip and back online at 8:15AM on 03/18 after technician reset relay.
3.Inverter 4 was offline from 11/30/2024 due to Permanent fault of power module - Fault0010 and it has been RMA'd from 12/02/24. Technician has replaced the RMA'd inverter with a new Chint inverter, bringing it back online and producing from 03/12 at 13:00.</t>
  </si>
  <si>
    <t>1.SR098258
2.SR098648
3.SR093738</t>
  </si>
  <si>
    <t>SR098648</t>
  </si>
  <si>
    <t>SR093738</t>
  </si>
  <si>
    <t>1.Site tripped offline at  5:33AM on 03/07 due to utility outage and was back online at 14:45 on 03/08 after technician has reset SEL and re-energize the site.</t>
  </si>
  <si>
    <t>1.SR098240</t>
  </si>
  <si>
    <t>April Actual v. Expected</t>
  </si>
  <si>
    <t>April Actual v. Forecasted</t>
  </si>
  <si>
    <t>1.Site tripped offline between 8:45AM to 11:45Am on 04/07 due to loss of utility power later technician reset main breaker and re-energised the site.</t>
  </si>
  <si>
    <t>1.SR099472</t>
  </si>
  <si>
    <t>1. Inverter 1.2 has tripped offline 13:30 on 04/29 due to Grid Phase Voltage Out of Range - GridV.OutLim fault. Inverter self resolved at 15:45 on the same day.</t>
  </si>
  <si>
    <t>1.SR100664</t>
  </si>
  <si>
    <t>1.Weather station is experiencing seasonal shading from 2023. Production is not being impacted but the expected energy value reporting low due to shading.</t>
  </si>
  <si>
    <t>1.SR099647</t>
  </si>
  <si>
    <t>1. Inverter 5 experienced derating of approximately 44 kW to 50 kW during peak hours on 04/19, 04/24, 04/28, and 04/29 due to an External Fan Error. The issue self-resolved on the following days.</t>
  </si>
  <si>
    <t>1.SR100020</t>
  </si>
  <si>
    <t>1.Site tripped offline from 12:15AM to 14:00 on 04/07.</t>
  </si>
  <si>
    <t>1.SR099480</t>
  </si>
  <si>
    <t>1.Inverter 1 tripped offline at 12:30 AM on 04/24 due to a "Grid Voltage &gt; Installation" fault related to a grid connection issue. It was brought back online at 4:45 PM the same day after a technician reset the breaker.
2.The weather station has been starting late on multiple days throughout the month.</t>
  </si>
  <si>
    <t>1.SR100347</t>
  </si>
  <si>
    <t>May Actual v. Expected</t>
  </si>
  <si>
    <t>May Actual v. Forecasted</t>
  </si>
  <si>
    <t>1. The site tripped offline at 08:00 on 05/12 due to a main breaker trip. A technician was on-site on 05/13 and reset the breaker. The site came back online at 16:00 on 05/13.
2. The site was taken offline from 12:53 to 13:27 on 05/16 while a technician was on-site for a preventive maintenance work.</t>
  </si>
  <si>
    <t>1. SR101376
2. PM8049</t>
  </si>
  <si>
    <t>1. The site tripped offline at 08:30 on 05/28. The technician later re-energized the site, and it came back online at 15:00 on 05/28.
2. Weather station is experiencing seasonal shading from 2023. Production is not being impacted but the expected energy value reporting low due to shading.</t>
  </si>
  <si>
    <t>1. SR102029
2. SR099647</t>
  </si>
  <si>
    <t>SR099647</t>
  </si>
  <si>
    <t>1. The site tripped offline at 08:30 on 05/28. The technician later re-energized the site, and it came back online at 15:00 on 05/28.
2. The site tripped offline at 11:45 on 05/31. The technician later re-energized the site, and it came back online at 13:45 on 05/31.
3. Inverter 5 has been experiencing derating of approximately 44 to 50 kW during peak hours due to an "External Fan Err" since 04/19. A technician was on-site on 05/19, removed the faulty fan, and installed a new RMA’d fan. The inverter has been producing in line with its peers since 15:00 on 05/19.</t>
  </si>
  <si>
    <t>1. SR102030
2. SR102218
3. SR100020</t>
  </si>
  <si>
    <t>SR102218</t>
  </si>
  <si>
    <t>SR100020</t>
  </si>
  <si>
    <t>1. Site production was low on 05/08 and 05/09 because a technician was on-site performing preventive maintenance work.</t>
  </si>
  <si>
    <t>1. PM13669</t>
  </si>
  <si>
    <t>1. Inverters 2 and 3 tripped offline at 14:15 on 05/28 due to "Waiting for grid voltage &gt; Installation failure grid connection &gt; Check grid and fuses". A technician was on-site on 05/29 and closed the inverter breakers. Both inverters came back online at 15:00 on 05/29. However, Inverter 2 tripped offline again at 10:15 on 05/30, followed by Inverter 3 at 13:30 on 05/30, both due to "Waiting for grid voltage".</t>
  </si>
  <si>
    <t>1. SR102061</t>
  </si>
  <si>
    <t>1. Inverter 1 tripped offline at 11:30 on 05/01due to "Waiting for grid voltage &gt; Installation failure grid connection &gt; Check grid and fuses". A technician was on-site on 05/01 and replaced the faulty inverter breaker with a spare one. The inverter came back online at 15:30 on 05/21.</t>
  </si>
  <si>
    <t>1. SR100825</t>
  </si>
  <si>
    <t>June Actual v. Expected</t>
  </si>
  <si>
    <t>June Actual v. Forecasted</t>
  </si>
  <si>
    <t>1. The site tripped offline at 11:15 on 06/11 and came back online at 16:04 on the same day.
2. Inverter 2 tripped offline at 15:00 on 06/23 due to 'Grid Line Voltage Out of Range' and came back online at 10:00 on 06/24.
3. Inverter 3 tripped offline at 07:00 on 06/12 and came back online at 07:15 on 06/13.</t>
  </si>
  <si>
    <t>1. SR102825
2. SR103332
3. SR102780</t>
  </si>
  <si>
    <t>SR103332</t>
  </si>
  <si>
    <t>SR102780</t>
  </si>
  <si>
    <t>1. The site tripped offline at 13:30 on 06/20 and came back online at 12:45 on 06/21.</t>
  </si>
  <si>
    <t>1. SR103230</t>
  </si>
  <si>
    <t>1. Weather station is experiencing seasonal shading from 2023. Production is not being impacted but the expected energy value reporting low due to shading.</t>
  </si>
  <si>
    <t>1. Inverter 4 tripped offline at 14:45 on 06/05 due to 'Waiting for Grid Voltages' and came back online at 14:45 on 06/06. It tripped offline again at 11:45 on 06/08 due to 'Installation Failure - Grid Connection' and later came back online at 13:00 on 06/10. 
2. Inverter 5 tripped offline at 10:00 on 06/11 and has been offline since then.</t>
  </si>
  <si>
    <t>1. SR102549
2. SR102549, SR102969</t>
  </si>
  <si>
    <t>SR102549</t>
  </si>
  <si>
    <t>SR102969</t>
  </si>
  <si>
    <t>1. Inverter 2 was offline from 10:15 on 05/30, and Inverter 3 was offline from 13:30 on 05/30 due to 'Waiting for Grid Voltage.' Inverter 2 came back online at 13:00 on 06/20, but Inverter 3 has remained offline since then.</t>
  </si>
  <si>
    <t>1. SR102971, SR102367, SR102061</t>
  </si>
  <si>
    <t>SR102367</t>
  </si>
  <si>
    <t>SR102061</t>
  </si>
  <si>
    <t>1. The site tripped offline at 06:00 on 06/17 and came back online at 10:30 on the same day.
2. Inverter 5 tripped offline at 12:15 on 06/24 due to 'Installation Failure - Grid Connection' and came back online at 07:30 on 06/25.</t>
  </si>
  <si>
    <t>1. SR103058
2. SR103397</t>
  </si>
  <si>
    <t>SR103397</t>
  </si>
  <si>
    <t>1. The site tripped offline at 09:15 on 06/24 and came back online at 09:15 on 06/25.</t>
  </si>
  <si>
    <t>1. SR103383</t>
  </si>
  <si>
    <t>July Actual v. Expected</t>
  </si>
  <si>
    <t>July Actual v. Forecasted</t>
  </si>
  <si>
    <t>1. 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</si>
  <si>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1.Site tripped offline at 20:20 on 07/25 and back online at 11:45 on 07/26</t>
  </si>
  <si>
    <t>1.SR105084</t>
  </si>
  <si>
    <t>1. Inverter 7 is experiencing multiple trippings since 07/15. 
2. Inverter 4 tripped offline at 14:00 on 07/13 and back online at 08:30 on 07/21
3. Inverter 5 was offline from 10:00 on 06/11 is back online 09:30 on 07/07</t>
  </si>
  <si>
    <t>1.SR104551
2.SR104369
3.SR102969</t>
  </si>
  <si>
    <t>SR104369</t>
  </si>
  <si>
    <t>1. Inverter 3 is back online at 09:45 on 07/02, while on site the site was taken offline from 08:30 to 09:30. On 07/07 EPC has taken site offline from 17:15 to 17:45  for site maintenance.
2.POA and BOM lost communications on 7/3/25.</t>
  </si>
  <si>
    <t>1.SR102971
2.SR107542</t>
  </si>
  <si>
    <t>SR107542</t>
  </si>
  <si>
    <t>August Actual v. Expected</t>
  </si>
  <si>
    <t>August Actual v. Forecasted</t>
  </si>
  <si>
    <t>1.Inverter 5 tripped offline at 14:45 on 08/12 and back online at 10:15 on 08/14.
2. Site was taken offline from 13:45 to 14:45 on 08/11 due to thermals of transformers.
3.POA and BOM lost communications on 7/3/25.</t>
  </si>
  <si>
    <t>1.SR106143
2.SR106009
3.SR107542</t>
  </si>
  <si>
    <t>SR106009</t>
  </si>
  <si>
    <t>1. Site tripped offline at 16:26 on 08/14 and back online at 08:15 on 08/15</t>
  </si>
  <si>
    <t>1.SR106311</t>
  </si>
  <si>
    <t>September Actual v. Expected</t>
  </si>
  <si>
    <t>September Actual v. Forecasted</t>
  </si>
  <si>
    <t>1. Site tripped offline at 11:00 on 09/17 and after resetting the breaker site is back online at 14:30 on 09/17.
2. Site tripped offline at 11:15 on 09/25 and after resetting the breaker site is back online at 14:45 on 09/25. and again triiped offline at 18:45 on 09/25 and back online at 08:15 on 09/26.</t>
  </si>
  <si>
    <t>1. SR108124
2. SR108542</t>
  </si>
  <si>
    <t>SR108542</t>
  </si>
  <si>
    <t>1. Weather station is experiencing seasonal shading from 2023. Production is not being impacted but the expected energy value reporting low due to shading.
2. Site tripped offline at 03:15 on 09/07 and back online at 16:00 on 09/09.</t>
  </si>
  <si>
    <t>1. SR107541
2. SR107568</t>
  </si>
  <si>
    <t>SR107568</t>
  </si>
  <si>
    <t>1.Site tripped offline at 18:18 on 09/12 and later back online at 12:30 on 09/13</t>
  </si>
  <si>
    <t>1.SR107916</t>
  </si>
  <si>
    <t>1.POA and BOM lost communications on 7/3/25.</t>
  </si>
  <si>
    <t>1.SR107542</t>
  </si>
  <si>
    <t>1. Site was offline from 09:15 on 09/15 to 13:00 on 09/26 due to utility planned outage</t>
  </si>
  <si>
    <t>1.SR107957</t>
  </si>
  <si>
    <t>1. Site tripped offline at 18:00 on 09/06 and back online at 12:30 on 09/07.
2. Site tripped offline at 12:45 on 09/18 and back online at 08:00 on 09/19.</t>
  </si>
  <si>
    <t>1. SR107565
2. SR108245</t>
  </si>
  <si>
    <t>October Actual v. Expected</t>
  </si>
  <si>
    <t>October Actual v. Forecasted</t>
  </si>
  <si>
    <t>Status</t>
  </si>
  <si>
    <t>1. The site went offline at 08:45 on 10/24 and came back online at 16:30 on 10/24. It went offline again at 07:45 on 10/25 and came back online at 07:45 on 10/26.
2.Weather station(GHI) is reporting erronous values on high irradiance days.</t>
  </si>
  <si>
    <t xml:space="preserve">1. SR109964, SR109979
</t>
  </si>
  <si>
    <t>1. Closed</t>
  </si>
  <si>
    <t>SR109979</t>
  </si>
  <si>
    <t xml:space="preserve">1. The site went offline at 02:30 on 10/31 and came back online at 08:15 on 11/01. </t>
  </si>
  <si>
    <t>1. SR110392</t>
  </si>
  <si>
    <t>1. Weather station is experiencing seasonal shading from 2023. Production is not being impacted but the expected energy value reporting low due to shading.
2. Site tripped offline at 11:45 on 10/07 and back online at 15:15 on 10/07.
3. Inverter 3 was offline at 11:45 on  10/07 and back online at 07:00 on 10/08.
4. Inverter 5 is tripped offline at 13:15 on 10/22 and reporting "Inverter Over Current - ProtectOO30" and back online at 07:00 on 10/23.
5. Site tripped offline at 09:30 on 10/29 and back online at 14:40 on 10/29.</t>
  </si>
  <si>
    <t>1. SR107541
2. SR109149
3. SR109162
4. SR109853
5. SR107568</t>
  </si>
  <si>
    <t>1. Pending
2. Closed
3. Closed
4. Pending
5. Pending</t>
  </si>
  <si>
    <t>SR109149</t>
  </si>
  <si>
    <t>SR109162</t>
  </si>
  <si>
    <t>SR109853</t>
  </si>
  <si>
    <t>1. Site tripped offline at 11:45 on 10/07 and back online at 15:15 on 10/07.
2. The meter and weather stations (GHI and ALB) stopped communicating at 08:15 on 10/27. The meter came back online at 17:00 on 10/28. The GHI weather station came back online at 11:00 on 10/31, but the ALB weather station still requires further troubleshooting and is currently under RMA.</t>
  </si>
  <si>
    <t>1. SR109150
2. SR110034</t>
  </si>
  <si>
    <t>1. Closed
2. Pending</t>
  </si>
  <si>
    <t>SR110034</t>
  </si>
  <si>
    <t>1. SR107542</t>
  </si>
  <si>
    <t xml:space="preserve">1. Pending </t>
  </si>
  <si>
    <t>1. The site went offline at 20:45 on 10/23 due to the breaker being in an open state. After the technician closed the breaker, the site came back online at 15:45 on 10/24.</t>
  </si>
  <si>
    <t>1. SR109959</t>
  </si>
  <si>
    <t>1. Inverter 1 tripped offline at 10:45 on 10/10 and reporting Arc fault and back online at 07:00 on 10/11.</t>
  </si>
  <si>
    <t xml:space="preserve">1. SR108135
</t>
  </si>
  <si>
    <t xml:space="preserve">1.  The site went offline at 07:30 on 10/18 due to the recloser being in an open state. After the technician closed the relay, the site came back online at 11:45 on 10/18.
</t>
  </si>
  <si>
    <t>1. SR109657</t>
  </si>
  <si>
    <t>November Actual v. Expected</t>
  </si>
  <si>
    <t>November Actual v. Forecasted</t>
  </si>
  <si>
    <t>1.Site tripped offline from 09:30 to 14:30 on 11/04 
2.Site tripped offline at 20:30 on 11/07 and later back online at 11:45 on 11/08
3.Site offline from 07:45 to 11:15 on 11/19
4.Site tripped offline at 09:15 on 11/28 and back online at 08:30 on 11/29
Weather station(GHI) is reporting erronous values on high irradiance days.</t>
  </si>
  <si>
    <t>1.SR110599
2.SR110802
3.SR111312
4.SR111816</t>
  </si>
  <si>
    <t>1.Closed
2.Closed
3.Closed
4.Closed</t>
  </si>
  <si>
    <t>SR110802</t>
  </si>
  <si>
    <t>SR111312</t>
  </si>
  <si>
    <t>SR111816</t>
  </si>
  <si>
    <t>1. The site was offline at 02:30 on 10/31 and came back online at 08:15 on 11/01. 
2.Inverter 1.8 is having evening shading</t>
  </si>
  <si>
    <t>1.Site tripped offline at 13:00 on 11/04 and later back online at 08:00 on 11/05
2.1.Site tripped offline at 10:30 on 11/28 and later back online at 13:30 on 11/29
3.Weather station is experiencing seasonal shading from 2023. Production is not being impacted but the expected energy value reporting low due to shading.GHI has not communicated since 10/15/24.</t>
  </si>
  <si>
    <t>1.SR110617
2.SR111815
3.SR107541</t>
  </si>
  <si>
    <t>1. Closed
2.Closed
3.Pending</t>
  </si>
  <si>
    <t>SR111815</t>
  </si>
  <si>
    <t>SR107541</t>
  </si>
  <si>
    <t>1.ALB pyranometer is being RMA'd, on 11/14 weather station has removed for RMA'd process
2.Site tripped offline at 13:00 on 11/04 and later back online at 08:00 on 11/05
3.Site tripped offline at 11:15 on 11/14 and later back online at 10:45 on 11/16</t>
  </si>
  <si>
    <t>1.SR110034
2.SR110618
3.SR111164</t>
  </si>
  <si>
    <t>1.Pending
2.Closed
3.Closed</t>
  </si>
  <si>
    <t>SR110618</t>
  </si>
  <si>
    <t>SR111164</t>
  </si>
  <si>
    <t>1.Inverters having morning and evening shading</t>
  </si>
  <si>
    <t>1.POA and BOM started communicating from 08:15 on 11/13
2.Inverters having morning and evening shading</t>
  </si>
  <si>
    <t>1. Inverters have morning shading</t>
  </si>
  <si>
    <t>December Actual v. Expected</t>
  </si>
  <si>
    <t>December Actual v. Forecasted</t>
  </si>
  <si>
    <t>1.Site tripped at 18:45 on 12/01 and later back online at 07:45 on 12/02 and again tripped offline on 12/03 from 08:15 to 10:00 
2.Site tripped offline at 16:45 on 12/04 and back online at 09:00 on 12/05
3.Site tripped offline at 08:45 on 12/29 and back online at 08:30 on 12/30</t>
  </si>
  <si>
    <t>1.SR111885
2.SR112241
3.SR113714</t>
  </si>
  <si>
    <t>1.Closed
2.Closed
3.Closed</t>
  </si>
  <si>
    <t>SR112241</t>
  </si>
  <si>
    <t>SR113714</t>
  </si>
  <si>
    <t>1.Site tripped offline at 05:00 on 12/29 and back online at 11:00 on 12/30</t>
  </si>
  <si>
    <t>1.SR113704</t>
  </si>
  <si>
    <t>1.Closed</t>
  </si>
  <si>
    <t>1.Site tripped offline at 11:30 on 12/19 and back online at 10:30 on 12/20
2.Weather station is experiencing seasonal shading from 2023. Production is not being impacted but the expected energy value reporting low due to shading.GHI has not communicated since 10/15/24.</t>
  </si>
  <si>
    <t>1.SR113205
2.	SR107541</t>
  </si>
  <si>
    <t>1.Closed
2.Pending</t>
  </si>
  <si>
    <t>1.ALB pyranometer is being RMA'd, on 11/14 weather station has removed for RMA'd process
2.Site tripped offline at 11:30 on 12/19 and back online at 11:15 on 12/20</t>
  </si>
  <si>
    <t>1.SR110034
2.SR113207</t>
  </si>
  <si>
    <t>1.Pending
2.Closed</t>
  </si>
  <si>
    <t>SR113207</t>
  </si>
  <si>
    <t>1. Site was barely producing from 12/02, 12/06, 12/14, 12/16 12/24 to 12/29</t>
  </si>
  <si>
    <t>1. Site was offline from 06:00 on 12/20 to 11:00 on 12/21.
2. Site was offline from 01:30 on 12/24 to 09:30 on 12/26.</t>
  </si>
  <si>
    <t>1. SR113321
2. SR113570</t>
  </si>
  <si>
    <t>1. Closed
2. closed</t>
  </si>
  <si>
    <t>SR113570</t>
  </si>
  <si>
    <t>1. Site was offline from 15:55 on 12/19 to 07:00 on 12/21.</t>
  </si>
  <si>
    <t>1. SR113263</t>
  </si>
  <si>
    <t>1. Site was offline from 09:55 to 10:16 on 12/31.
2. Site production was low from 12/02 to 12/04, 12/24 to 12/28.</t>
  </si>
  <si>
    <t>1. SR113896</t>
  </si>
  <si>
    <t>1. Site production was low from 12/02 to 12/04, 12/19, 12/24 to 12/28.</t>
  </si>
  <si>
    <t>Portfolio:</t>
  </si>
  <si>
    <t>ALIGNED</t>
  </si>
  <si>
    <t>Site DAS Name</t>
  </si>
  <si>
    <t>Update</t>
  </si>
  <si>
    <t>DAS</t>
  </si>
  <si>
    <t>Conway - Lake</t>
  </si>
  <si>
    <t>Conway -US 302 and Stirch Road</t>
  </si>
  <si>
    <t>NH</t>
  </si>
  <si>
    <t>AEF</t>
  </si>
  <si>
    <t>PowerTrack</t>
  </si>
  <si>
    <t>Loudon Pleasant Street Solar GSSG</t>
  </si>
  <si>
    <t>Loudon - 7046 Pleasant Street</t>
  </si>
  <si>
    <t>Pennichuck Water East GSSG</t>
  </si>
  <si>
    <t>Nashua - Pennichuck Water  East</t>
  </si>
  <si>
    <t>Pennichuck Water West GSSG</t>
  </si>
  <si>
    <t>Nashua - Pennichuck Water West</t>
  </si>
  <si>
    <t>Boothbay Solar</t>
  </si>
  <si>
    <t>Boothbay - Wiscasset Road</t>
  </si>
  <si>
    <t>ME</t>
  </si>
  <si>
    <t>Thorndike Solar</t>
  </si>
  <si>
    <t>Thorndike -  Leonard Road</t>
  </si>
  <si>
    <t>Topsham Solar</t>
  </si>
  <si>
    <t>Topsham - Solarize LLC</t>
  </si>
  <si>
    <t>Cherryfield</t>
  </si>
  <si>
    <t>Cherryfield - 727 North Main St (IRA)</t>
  </si>
  <si>
    <t xml:space="preserve">Bucksport Solar 1, LLC </t>
  </si>
  <si>
    <t>ME: Bucksport - 258 Route 1 (IRA)</t>
  </si>
  <si>
    <t>Union ME 1, LLC</t>
  </si>
  <si>
    <t>ME: Union - Route 131 (IRA)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</si>
</sst>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5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u/>
      <sz val="10"/>
      <color theme="10"/>
      <name val="Arial"/>
    </font>
    <font>
      <sz val="11"/>
      <name val="Calibri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000000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12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28" fillId="0" borderId="0" xfId="0" applyFont="1" applyAlignment="1">
      <alignment horizontal="left" vertical="center"/>
    </xf>
    <xf numFmtId="0" fontId="28" fillId="40" borderId="0" xfId="0" applyFont="1" applyFill="1" applyAlignment="1">
      <alignment horizontal="left" vertical="center"/>
    </xf>
    <xf numFmtId="0" fontId="36" fillId="46" borderId="0" xfId="0" applyFont="1" applyFill="1"/>
    <xf numFmtId="49" fontId="31" fillId="38" borderId="0" xfId="2" applyNumberFormat="1" applyFont="1" applyFill="1" applyBorder="1" applyAlignment="1">
      <alignment horizontal="left" vertical="top" wrapText="1"/>
    </xf>
    <xf numFmtId="49" fontId="29" fillId="0" borderId="0" xfId="0" applyNumberFormat="1" applyFont="1" applyAlignment="1">
      <alignment horizontal="left" vertical="top" wrapText="1"/>
    </xf>
    <xf numFmtId="49" fontId="29" fillId="0" borderId="0" xfId="0" applyNumberFormat="1" applyFont="1" applyAlignment="1">
      <alignment vertical="top" wrapText="1"/>
    </xf>
    <xf numFmtId="49" fontId="24" fillId="0" borderId="0" xfId="0" applyNumberFormat="1" applyFont="1" applyAlignment="1">
      <alignment vertical="center" wrapText="1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37" fillId="47" borderId="0" xfId="0" applyNumberFormat="1" applyFont="1" applyFill="1" applyAlignment="1">
      <alignment horizontal="center" vertical="center"/>
    </xf>
    <xf numFmtId="3" fontId="31" fillId="0" borderId="0" xfId="0" applyNumberFormat="1" applyFont="1" applyAlignment="1">
      <alignment vertical="center"/>
    </xf>
    <xf numFmtId="0" fontId="24" fillId="0" borderId="0" xfId="0" applyFont="1" applyAlignment="1">
      <alignment vertical="center" wrapText="1"/>
    </xf>
    <xf numFmtId="3" fontId="24" fillId="0" borderId="0" xfId="0" applyNumberFormat="1" applyFont="1" applyAlignment="1">
      <alignment horizontal="right" vertical="top"/>
    </xf>
    <xf numFmtId="0" fontId="24" fillId="46" borderId="0" xfId="0" applyFont="1" applyFill="1" applyAlignment="1">
      <alignment horizontal="center" vertical="center"/>
    </xf>
    <xf numFmtId="3" fontId="31" fillId="49" borderId="0" xfId="0" applyNumberFormat="1" applyFont="1" applyFill="1" applyAlignment="1">
      <alignment horizontal="right" vertical="center"/>
    </xf>
    <xf numFmtId="9" fontId="38" fillId="50" borderId="0" xfId="0" applyNumberFormat="1" applyFont="1" applyFill="1" applyAlignment="1">
      <alignment horizontal="center" vertical="center"/>
    </xf>
    <xf numFmtId="3" fontId="31" fillId="51" borderId="0" xfId="0" applyNumberFormat="1" applyFont="1" applyFill="1" applyAlignment="1">
      <alignment vertical="center"/>
    </xf>
    <xf numFmtId="0" fontId="31" fillId="52" borderId="0" xfId="0" applyFont="1" applyFill="1" applyAlignment="1">
      <alignment vertical="top" wrapText="1"/>
    </xf>
    <xf numFmtId="0" fontId="35" fillId="46" borderId="0" xfId="0" applyFont="1" applyFill="1" applyAlignment="1">
      <alignment horizontal="center" vertical="center"/>
    </xf>
    <xf numFmtId="0" fontId="24" fillId="0" borderId="0" xfId="0" applyFont="1" applyAlignment="1">
      <alignment vertical="top" wrapText="1"/>
    </xf>
    <xf numFmtId="3" fontId="24" fillId="48" borderId="0" xfId="0" applyNumberFormat="1" applyFont="1" applyFill="1" applyAlignment="1">
      <alignment horizontal="right" vertical="center"/>
    </xf>
    <xf numFmtId="0" fontId="35" fillId="40" borderId="0" xfId="0" applyFont="1" applyFill="1" applyAlignment="1">
      <alignment horizontal="center" vertical="center"/>
    </xf>
    <xf numFmtId="3" fontId="31" fillId="51" borderId="0" xfId="0" applyNumberFormat="1" applyFont="1" applyFill="1" applyAlignment="1">
      <alignment horizontal="right" vertical="center"/>
    </xf>
    <xf numFmtId="3" fontId="31" fillId="0" borderId="0" xfId="1" applyNumberFormat="1" applyFont="1" applyFill="1" applyBorder="1" applyAlignment="1">
      <alignment horizontal="right" vertical="center"/>
    </xf>
    <xf numFmtId="3" fontId="31" fillId="4" borderId="0" xfId="1" applyNumberFormat="1" applyFont="1" applyFill="1" applyBorder="1" applyAlignment="1">
      <alignment horizontal="right" vertical="center"/>
    </xf>
    <xf numFmtId="0" fontId="39" fillId="52" borderId="0" xfId="45" applyFill="1" applyAlignment="1">
      <alignment vertical="top" wrapText="1"/>
    </xf>
    <xf numFmtId="49" fontId="39" fillId="38" borderId="0" xfId="45" applyNumberFormat="1" applyFill="1" applyBorder="1" applyAlignment="1">
      <alignment vertical="top" wrapText="1"/>
    </xf>
    <xf numFmtId="49" fontId="39" fillId="38" borderId="0" xfId="45" applyNumberFormat="1" applyFill="1" applyBorder="1" applyAlignment="1">
      <alignment horizontal="left" vertical="top" wrapText="1"/>
    </xf>
    <xf numFmtId="49" fontId="39" fillId="0" borderId="0" xfId="45" applyNumberFormat="1" applyAlignment="1">
      <alignment horizontal="left" vertical="top" wrapText="1"/>
    </xf>
    <xf numFmtId="0" fontId="39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40" fillId="0" borderId="0" xfId="0" applyFont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9" fontId="31" fillId="37" borderId="0" xfId="2" applyFont="1" applyFill="1" applyAlignment="1">
      <alignment horizontal="center" vertical="center"/>
    </xf>
    <xf numFmtId="49" fontId="31" fillId="38" borderId="0" xfId="2" applyNumberFormat="1" applyFont="1" applyFill="1" applyAlignment="1">
      <alignment vertical="top" wrapText="1"/>
    </xf>
    <xf numFmtId="164" fontId="29" fillId="0" borderId="0" xfId="1" applyNumberFormat="1" applyFont="1" applyAlignment="1">
      <alignment horizontal="center" vertical="center"/>
    </xf>
    <xf numFmtId="9" fontId="31" fillId="0" borderId="0" xfId="2" applyFont="1" applyAlignment="1">
      <alignment horizontal="center" vertical="center"/>
    </xf>
    <xf numFmtId="3" fontId="31" fillId="0" borderId="0" xfId="1" applyNumberFormat="1" applyFont="1" applyAlignment="1">
      <alignment vertical="center"/>
    </xf>
    <xf numFmtId="0" fontId="35" fillId="40" borderId="0" xfId="0" applyFont="1" applyFill="1" applyAlignment="1">
      <alignment vertical="center"/>
    </xf>
    <xf numFmtId="0" fontId="0" fillId="0" borderId="0" xfId="0" applyAlignment="1">
      <alignment wrapText="1"/>
    </xf>
    <xf numFmtId="49" fontId="39" fillId="0" borderId="0" xfId="45" applyNumberFormat="1" applyAlignment="1">
      <alignment vertical="top" wrapText="1"/>
    </xf>
    <xf numFmtId="49" fontId="39" fillId="38" borderId="0" xfId="45" applyNumberFormat="1" applyFill="1" applyAlignment="1">
      <alignment vertical="top" wrapText="1"/>
    </xf>
    <xf numFmtId="0" fontId="40" fillId="0" borderId="0" xfId="0" applyFont="1" applyAlignment="1">
      <alignment vertical="center"/>
    </xf>
    <xf numFmtId="0" fontId="41" fillId="2" borderId="1" xfId="0" applyFont="1" applyFill="1" applyBorder="1" applyAlignment="1">
      <alignment vertical="center" wrapText="1"/>
    </xf>
    <xf numFmtId="0" fontId="42" fillId="40" borderId="0" xfId="0" applyFont="1" applyFill="1" applyAlignment="1">
      <alignment vertical="center"/>
    </xf>
    <xf numFmtId="49" fontId="40" fillId="38" borderId="0" xfId="2" applyNumberFormat="1" applyFont="1" applyFill="1" applyBorder="1" applyAlignment="1">
      <alignment vertical="top" wrapText="1"/>
    </xf>
    <xf numFmtId="0" fontId="43" fillId="0" borderId="0" xfId="0" applyFont="1" applyAlignment="1">
      <alignment vertical="top"/>
    </xf>
    <xf numFmtId="0" fontId="43" fillId="45" borderId="1" xfId="0" applyFont="1" applyFill="1" applyBorder="1" applyAlignment="1">
      <alignment horizontal="center" vertical="top"/>
    </xf>
    <xf numFmtId="0" fontId="40" fillId="0" borderId="0" xfId="0" applyFont="1" applyAlignment="1">
      <alignment vertical="top"/>
    </xf>
    <xf numFmtId="0" fontId="44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40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3" fontId="31" fillId="0" borderId="0" xfId="1" applyNumberFormat="1" applyFont="1" applyAlignment="1">
      <alignment horizontal="right" vertical="center"/>
    </xf>
    <xf numFmtId="0" fontId="30" fillId="2" borderId="1" xfId="0" applyFont="1" applyFill="1" applyBorder="1" applyAlignment="1">
      <alignment vertical="center" wrapText="1"/>
    </xf>
    <xf numFmtId="0" fontId="29" fillId="40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49" fontId="24" fillId="0" borderId="0" xfId="0" applyNumberFormat="1" applyFont="1" applyAlignment="1">
      <alignment horizontal="left" vertical="top" wrapText="1"/>
    </xf>
    <xf numFmtId="0" fontId="39" fillId="0" borderId="0" xfId="45"/>
    <xf numFmtId="0" fontId="39" fillId="0" borderId="0" xfId="45" applyAlignment="1">
      <alignment vertical="top"/>
    </xf>
    <xf numFmtId="49" fontId="39" fillId="0" borderId="0" xfId="45" applyNumberFormat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top" wrapText="1"/>
    </xf>
    <xf numFmtId="0" fontId="1" fillId="40" borderId="0" xfId="0" applyFont="1" applyFill="1" applyAlignment="1">
      <alignment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3" totalsRowShown="0">
  <autoFilter ref="A3:E13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9647" TargetMode="External"/><Relationship Id="rId1" Type="http://schemas.openxmlformats.org/officeDocument/2006/relationships/hyperlink" Target="https://us3.assetplanner.com/service_request?ID=09373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3738" TargetMode="External"/><Relationship Id="rId2" Type="http://schemas.openxmlformats.org/officeDocument/2006/relationships/hyperlink" Target="https://us3.assetplanner.com/service_request?ID=098648" TargetMode="External"/><Relationship Id="rId1" Type="http://schemas.openxmlformats.org/officeDocument/2006/relationships/hyperlink" Target="https://us3.assetplanner.com/service_request?ID=098258" TargetMode="External"/><Relationship Id="rId5" Type="http://schemas.openxmlformats.org/officeDocument/2006/relationships/hyperlink" Target="https://us3.assetplanner.com/service_request?ID=099647" TargetMode="External"/><Relationship Id="rId4" Type="http://schemas.openxmlformats.org/officeDocument/2006/relationships/hyperlink" Target="https://us3.assetplanner.com/service_request?ID=09824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647" TargetMode="External"/><Relationship Id="rId2" Type="http://schemas.openxmlformats.org/officeDocument/2006/relationships/hyperlink" Target="https://us3.assetplanner.com/service_request?ID=100664" TargetMode="External"/><Relationship Id="rId1" Type="http://schemas.openxmlformats.org/officeDocument/2006/relationships/hyperlink" Target="https://us3.assetplanner.com/service_request?ID=099472" TargetMode="External"/><Relationship Id="rId6" Type="http://schemas.openxmlformats.org/officeDocument/2006/relationships/hyperlink" Target="https://us3.assetplanner.com/service_request?ID=100347" TargetMode="External"/><Relationship Id="rId5" Type="http://schemas.openxmlformats.org/officeDocument/2006/relationships/hyperlink" Target="https://us3.assetplanner.com/service_request?ID=099480" TargetMode="External"/><Relationship Id="rId4" Type="http://schemas.openxmlformats.org/officeDocument/2006/relationships/hyperlink" Target="https://us3.assetplanner.com/service_request?ID=10002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825" TargetMode="External"/><Relationship Id="rId3" Type="http://schemas.openxmlformats.org/officeDocument/2006/relationships/hyperlink" Target="https://us3.assetplanner.com/service_request?ID=099647" TargetMode="External"/><Relationship Id="rId7" Type="http://schemas.openxmlformats.org/officeDocument/2006/relationships/hyperlink" Target="https://us3.assetplanner.com/service_request?ID=102061" TargetMode="External"/><Relationship Id="rId2" Type="http://schemas.openxmlformats.org/officeDocument/2006/relationships/hyperlink" Target="https://us3.assetplanner.com/service_request?ID=102029" TargetMode="External"/><Relationship Id="rId1" Type="http://schemas.openxmlformats.org/officeDocument/2006/relationships/hyperlink" Target="https://us3.assetplanner.com/service_request?ID=101376" TargetMode="External"/><Relationship Id="rId6" Type="http://schemas.openxmlformats.org/officeDocument/2006/relationships/hyperlink" Target="https://us3.assetplanner.com/service_request?ID=100020" TargetMode="External"/><Relationship Id="rId5" Type="http://schemas.openxmlformats.org/officeDocument/2006/relationships/hyperlink" Target="https://us3.assetplanner.com/service_request?ID=102218" TargetMode="External"/><Relationship Id="rId4" Type="http://schemas.openxmlformats.org/officeDocument/2006/relationships/hyperlink" Target="https://us3.assetplanner.com/service_request?ID=10203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2969" TargetMode="External"/><Relationship Id="rId13" Type="http://schemas.openxmlformats.org/officeDocument/2006/relationships/hyperlink" Target="https://us3.assetplanner.com/service_request?ID=103397" TargetMode="External"/><Relationship Id="rId3" Type="http://schemas.openxmlformats.org/officeDocument/2006/relationships/hyperlink" Target="https://us3.assetplanner.com/service_request?ID=102780" TargetMode="External"/><Relationship Id="rId7" Type="http://schemas.openxmlformats.org/officeDocument/2006/relationships/hyperlink" Target="https://us3.assetplanner.com/service_request?ID=102549" TargetMode="External"/><Relationship Id="rId12" Type="http://schemas.openxmlformats.org/officeDocument/2006/relationships/hyperlink" Target="https://us3.assetplanner.com/service_request?ID=103058" TargetMode="External"/><Relationship Id="rId2" Type="http://schemas.openxmlformats.org/officeDocument/2006/relationships/hyperlink" Target="https://us3.assetplanner.com/service_request?ID=103332" TargetMode="External"/><Relationship Id="rId1" Type="http://schemas.openxmlformats.org/officeDocument/2006/relationships/hyperlink" Target="https://us3.assetplanner.com/service_request?ID=102825" TargetMode="External"/><Relationship Id="rId6" Type="http://schemas.openxmlformats.org/officeDocument/2006/relationships/hyperlink" Target="https://us3.assetplanner.com/service_request?ID=102549" TargetMode="External"/><Relationship Id="rId11" Type="http://schemas.openxmlformats.org/officeDocument/2006/relationships/hyperlink" Target="https://us3.assetplanner.com/service_request?ID=102061" TargetMode="External"/><Relationship Id="rId5" Type="http://schemas.openxmlformats.org/officeDocument/2006/relationships/hyperlink" Target="https://us3.assetplanner.com/service_request?ID=099647" TargetMode="External"/><Relationship Id="rId10" Type="http://schemas.openxmlformats.org/officeDocument/2006/relationships/hyperlink" Target="https://us3.assetplanner.com/service_request?ID=102367" TargetMode="External"/><Relationship Id="rId4" Type="http://schemas.openxmlformats.org/officeDocument/2006/relationships/hyperlink" Target="https://us3.assetplanner.com/service_request?ID=103230" TargetMode="External"/><Relationship Id="rId9" Type="http://schemas.openxmlformats.org/officeDocument/2006/relationships/hyperlink" Target="https://us3.assetplanner.com/service_request?ID=102971" TargetMode="External"/><Relationship Id="rId14" Type="http://schemas.openxmlformats.org/officeDocument/2006/relationships/hyperlink" Target="https://us3.assetplanner.com/service_request?ID=103383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369" TargetMode="External"/><Relationship Id="rId7" Type="http://schemas.openxmlformats.org/officeDocument/2006/relationships/hyperlink" Target="https://us3.assetplanner.com/service_request?ID=099647" TargetMode="External"/><Relationship Id="rId2" Type="http://schemas.openxmlformats.org/officeDocument/2006/relationships/hyperlink" Target="https://us3.assetplanner.com/service_request?ID=104551" TargetMode="External"/><Relationship Id="rId1" Type="http://schemas.openxmlformats.org/officeDocument/2006/relationships/hyperlink" Target="https://us3.assetplanner.com/service_request?ID=105084" TargetMode="External"/><Relationship Id="rId6" Type="http://schemas.openxmlformats.org/officeDocument/2006/relationships/hyperlink" Target="https://us3.assetplanner.com/service_request?ID=107542" TargetMode="External"/><Relationship Id="rId5" Type="http://schemas.openxmlformats.org/officeDocument/2006/relationships/hyperlink" Target="https://us3.assetplanner.com/service_request?ID=102971" TargetMode="External"/><Relationship Id="rId4" Type="http://schemas.openxmlformats.org/officeDocument/2006/relationships/hyperlink" Target="https://us3.assetplanner.com/service_request?ID=102969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7542" TargetMode="External"/><Relationship Id="rId2" Type="http://schemas.openxmlformats.org/officeDocument/2006/relationships/hyperlink" Target="https://us3.assetplanner.com/service_request?ID=106009" TargetMode="External"/><Relationship Id="rId1" Type="http://schemas.openxmlformats.org/officeDocument/2006/relationships/hyperlink" Target="https://us3.assetplanner.com/service_request?ID=106143" TargetMode="External"/><Relationship Id="rId4" Type="http://schemas.openxmlformats.org/officeDocument/2006/relationships/hyperlink" Target="https://us3.assetplanner.com/service_request?ID=106311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7541" TargetMode="External"/><Relationship Id="rId7" Type="http://schemas.openxmlformats.org/officeDocument/2006/relationships/hyperlink" Target="https://us3.assetplanner.com/service_request?ID=107957" TargetMode="External"/><Relationship Id="rId2" Type="http://schemas.openxmlformats.org/officeDocument/2006/relationships/hyperlink" Target="https://us3.assetplanner.com/service_request?ID=108542" TargetMode="External"/><Relationship Id="rId1" Type="http://schemas.openxmlformats.org/officeDocument/2006/relationships/hyperlink" Target="https://us3.assetplanner.com/service_request?ID=108124" TargetMode="External"/><Relationship Id="rId6" Type="http://schemas.openxmlformats.org/officeDocument/2006/relationships/hyperlink" Target="https://us3.assetplanner.com/service_request?ID=107542" TargetMode="External"/><Relationship Id="rId5" Type="http://schemas.openxmlformats.org/officeDocument/2006/relationships/hyperlink" Target="https://us3.assetplanner.com/service_request?ID=107916" TargetMode="External"/><Relationship Id="rId4" Type="http://schemas.openxmlformats.org/officeDocument/2006/relationships/hyperlink" Target="https://us3.assetplanner.com/service_request?ID=107568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7542" TargetMode="External"/><Relationship Id="rId13" Type="http://schemas.openxmlformats.org/officeDocument/2006/relationships/hyperlink" Target="https://us3.assetplanner.com/service_request?ID=109149" TargetMode="External"/><Relationship Id="rId3" Type="http://schemas.openxmlformats.org/officeDocument/2006/relationships/hyperlink" Target="https://us3.assetplanner.com/service_request?ID=107541" TargetMode="External"/><Relationship Id="rId7" Type="http://schemas.openxmlformats.org/officeDocument/2006/relationships/hyperlink" Target="https://us3.assetplanner.com/service_request?ID=109150" TargetMode="External"/><Relationship Id="rId12" Type="http://schemas.openxmlformats.org/officeDocument/2006/relationships/hyperlink" Target="https://us3.assetplanner.com/service_request?ID=110034" TargetMode="External"/><Relationship Id="rId2" Type="http://schemas.openxmlformats.org/officeDocument/2006/relationships/hyperlink" Target="https://us3.assetplanner.com/service_request?ID=110392" TargetMode="External"/><Relationship Id="rId1" Type="http://schemas.openxmlformats.org/officeDocument/2006/relationships/hyperlink" Target="https://us3.assetplanner.com/service_request?ID=109964" TargetMode="External"/><Relationship Id="rId6" Type="http://schemas.openxmlformats.org/officeDocument/2006/relationships/hyperlink" Target="https://us3.assetplanner.com/service_request?ID=107568" TargetMode="External"/><Relationship Id="rId11" Type="http://schemas.openxmlformats.org/officeDocument/2006/relationships/hyperlink" Target="https://us3.assetplanner.com/service_request?ID=109657" TargetMode="External"/><Relationship Id="rId5" Type="http://schemas.openxmlformats.org/officeDocument/2006/relationships/hyperlink" Target="https://us3.assetplanner.com/service_request?ID=109853" TargetMode="External"/><Relationship Id="rId10" Type="http://schemas.openxmlformats.org/officeDocument/2006/relationships/hyperlink" Target="https://us3.assetplanner.com/service_request?ID=108135" TargetMode="External"/><Relationship Id="rId4" Type="http://schemas.openxmlformats.org/officeDocument/2006/relationships/hyperlink" Target="https://us3.assetplanner.com/service_request?ID=109162" TargetMode="External"/><Relationship Id="rId9" Type="http://schemas.openxmlformats.org/officeDocument/2006/relationships/hyperlink" Target="https://us3.assetplanner.com/service_request?ID=109959" TargetMode="External"/><Relationship Id="rId14" Type="http://schemas.openxmlformats.org/officeDocument/2006/relationships/hyperlink" Target="https://us3.assetplanner.com/service_request?ID=109979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7541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https://us3.assetplanner.com/service_request?ID=111312" TargetMode="External"/><Relationship Id="rId7" Type="http://schemas.openxmlformats.org/officeDocument/2006/relationships/hyperlink" Target="https://us3.assetplanner.com/service_request?ID=111815" TargetMode="External"/><Relationship Id="rId12" Type="http://schemas.openxmlformats.org/officeDocument/2006/relationships/hyperlink" Target="https://us3.assetplanner.com/service_request?ID=107542" TargetMode="External"/><Relationship Id="rId2" Type="http://schemas.openxmlformats.org/officeDocument/2006/relationships/hyperlink" Target="https://us3.assetplanner.com/service_request?ID=110802" TargetMode="External"/><Relationship Id="rId1" Type="http://schemas.openxmlformats.org/officeDocument/2006/relationships/hyperlink" Target="https://us3.assetplanner.com/service_request?ID=110599" TargetMode="External"/><Relationship Id="rId6" Type="http://schemas.openxmlformats.org/officeDocument/2006/relationships/hyperlink" Target="https://us3.assetplanner.com/service_request?ID=110617" TargetMode="External"/><Relationship Id="rId11" Type="http://schemas.openxmlformats.org/officeDocument/2006/relationships/hyperlink" Target="https://us3.assetplanner.com/service_request?ID=111164" TargetMode="External"/><Relationship Id="rId5" Type="http://schemas.openxmlformats.org/officeDocument/2006/relationships/hyperlink" Target="https://us3.assetplanner.com/service_request?ID=110392" TargetMode="External"/><Relationship Id="rId10" Type="http://schemas.openxmlformats.org/officeDocument/2006/relationships/hyperlink" Target="https://us3.assetplanner.com/service_request?ID=110618" TargetMode="External"/><Relationship Id="rId4" Type="http://schemas.openxmlformats.org/officeDocument/2006/relationships/hyperlink" Target="https://us3.assetplanner.com/service_request?ID=111816" TargetMode="External"/><Relationship Id="rId9" Type="http://schemas.openxmlformats.org/officeDocument/2006/relationships/hyperlink" Target="https://us3.assetplanner.com/service_request?ID=110034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13207" TargetMode="External"/><Relationship Id="rId3" Type="http://schemas.openxmlformats.org/officeDocument/2006/relationships/hyperlink" Target="https://us3.assetplanner.com/service_request?ID=113714" TargetMode="External"/><Relationship Id="rId7" Type="http://schemas.openxmlformats.org/officeDocument/2006/relationships/hyperlink" Target="https://us3.assetplanner.com/service_request?ID=110034" TargetMode="External"/><Relationship Id="rId12" Type="http://schemas.openxmlformats.org/officeDocument/2006/relationships/hyperlink" Target="https://us3.assetplanner.com/service_request?ID=113896" TargetMode="External"/><Relationship Id="rId2" Type="http://schemas.openxmlformats.org/officeDocument/2006/relationships/hyperlink" Target="https://us3.assetplanner.com/service_request?ID=112241" TargetMode="External"/><Relationship Id="rId1" Type="http://schemas.openxmlformats.org/officeDocument/2006/relationships/hyperlink" Target="https://us3.assetplanner.com/service_request?ID=111885" TargetMode="External"/><Relationship Id="rId6" Type="http://schemas.openxmlformats.org/officeDocument/2006/relationships/hyperlink" Target="https://us3.assetplanner.com/service_request?ID=107541" TargetMode="External"/><Relationship Id="rId11" Type="http://schemas.openxmlformats.org/officeDocument/2006/relationships/hyperlink" Target="https://us3.assetplanner.com/service_request?ID=113263" TargetMode="External"/><Relationship Id="rId5" Type="http://schemas.openxmlformats.org/officeDocument/2006/relationships/hyperlink" Target="https://us3.assetplanner.com/service_request?ID=113205" TargetMode="External"/><Relationship Id="rId10" Type="http://schemas.openxmlformats.org/officeDocument/2006/relationships/hyperlink" Target="https://us3.assetplanner.com/service_request?ID=113570" TargetMode="External"/><Relationship Id="rId4" Type="http://schemas.openxmlformats.org/officeDocument/2006/relationships/hyperlink" Target="https://us3.assetplanner.com/service_request?ID=113704" TargetMode="External"/><Relationship Id="rId9" Type="http://schemas.openxmlformats.org/officeDocument/2006/relationships/hyperlink" Target="https://us3.assetplanner.com/service_request?ID=11332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20" sqref="F20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6" t="str" cm="1">
        <f t="array" ref="A1">portfolio</f>
        <v>ALIGNED</v>
      </c>
      <c r="B1" s="116"/>
      <c r="C1" s="116"/>
      <c r="D1" s="117" t="s">
        <v>0</v>
      </c>
      <c r="E1" s="117"/>
      <c r="F1" s="117"/>
      <c r="G1" s="115" t="s">
        <v>1</v>
      </c>
      <c r="H1" s="115"/>
      <c r="I1" s="115"/>
    </row>
    <row r="2" spans="1:9" ht="19.5" customHeight="1">
      <c r="A2" s="118" t="s">
        <v>2</v>
      </c>
      <c r="B2" s="118"/>
      <c r="C2" s="5">
        <f>SUM(C4:C79)</f>
        <v>14610580.664856037</v>
      </c>
      <c r="D2" s="5">
        <f>SUM(D4:D79)</f>
        <v>14622282.106000002</v>
      </c>
      <c r="E2" s="5">
        <f>C2-D2</f>
        <v>-11701.441143965349</v>
      </c>
      <c r="F2" s="6">
        <f>IFERROR(E2/D2, 0)</f>
        <v>-8.0024725683303999E-4</v>
      </c>
      <c r="G2" s="5">
        <f>SUM(G4:G79)</f>
        <v>15654671.846000001</v>
      </c>
      <c r="H2" s="7">
        <f>C2-G2</f>
        <v>-1044091.1811439637</v>
      </c>
      <c r="I2" s="6">
        <f>IFERROR(H2/G2, 0)</f>
        <v>-6.6695181567203804E-2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SUM('1st Qtr'!C4, '2nd Qtr'!C4, '3rd Qtr'!C4, '4th Qtr'!C4)</f>
        <v>1614913.3949999991</v>
      </c>
      <c r="D4" s="12">
        <f>SUM('1st Qtr'!D4, '2nd Qtr'!D4, '3rd Qtr'!D4, '4th Qtr'!D4)</f>
        <v>1536598.6950000001</v>
      </c>
      <c r="E4" s="12">
        <f>IF(AND(ISNUMBER(C4),ISNUMBER(D4)), C4-D4, "")</f>
        <v>78314.699999999022</v>
      </c>
      <c r="F4" s="13">
        <f>IFERROR(E4/D4, "")</f>
        <v>5.0966267415708706E-2</v>
      </c>
      <c r="G4" s="14">
        <f>SUM('1st Qtr'!G4, '2nd Qtr'!G4, '3rd Qtr'!G4, '4th Qtr'!G4)</f>
        <v>1393700</v>
      </c>
      <c r="H4" s="14">
        <f>SUM('1st Qtr'!H4, '2nd Qtr'!H4, '3rd Qtr'!H4, '4th Qtr'!H4)</f>
        <v>-213898.10500000051</v>
      </c>
      <c r="I4" s="15">
        <f>IFERROR(H4/G4, "")</f>
        <v>-0.15347499820621405</v>
      </c>
    </row>
    <row r="5" spans="1:9" ht="15.6">
      <c r="A5" s="46" t="str">
        <v>Loudon - 7046 Pleasant Street</v>
      </c>
      <c r="B5" s="10" t="str">
        <v>NH</v>
      </c>
      <c r="C5" s="18">
        <f>SUM('1st Qtr'!C5, '2nd Qtr'!C5, '3rd Qtr'!C5, '4th Qtr'!C5)</f>
        <v>1729294.8754936866</v>
      </c>
      <c r="D5" s="18">
        <f>SUM('1st Qtr'!D5, '2nd Qtr'!D5, '3rd Qtr'!D5, '4th Qtr'!D5)</f>
        <v>1796636.3699999999</v>
      </c>
      <c r="E5" s="16">
        <f t="shared" ref="E5:E12" si="0">IF(AND(ISNUMBER(C5),ISNUMBER(D5)), C5-D5, "")</f>
        <v>-67341.494506313233</v>
      </c>
      <c r="F5" s="17">
        <f>IFERROR(E5/D5, "")</f>
        <v>-3.748198334998263E-2</v>
      </c>
      <c r="G5" s="18">
        <f>SUM('1st Qtr'!G5, '2nd Qtr'!G5, '3rd Qtr'!G5, '4th Qtr'!G5)</f>
        <v>1951173.5959999999</v>
      </c>
      <c r="H5" s="18">
        <f>SUM('1st Qtr'!H5, '2nd Qtr'!H5, '3rd Qtr'!H5, '4th Qtr'!H5)</f>
        <v>-221878.7205063132</v>
      </c>
      <c r="I5" s="17">
        <f>IFERROR(H5/G5, "")</f>
        <v>-0.11371552021879308</v>
      </c>
    </row>
    <row r="6" spans="1:9" ht="15.6">
      <c r="A6" s="45" t="str">
        <v>Nashua - Pennichuck Water  East</v>
      </c>
      <c r="B6" s="9" t="str">
        <v>NH</v>
      </c>
      <c r="C6" s="22">
        <f>SUM('1st Qtr'!C6, '2nd Qtr'!C6, '3rd Qtr'!C6, '4th Qtr'!C6)</f>
        <v>1668835.5000558188</v>
      </c>
      <c r="D6" s="12">
        <f>SUM('1st Qtr'!D6, '2nd Qtr'!D6, '3rd Qtr'!D6, '4th Qtr'!D6)</f>
        <v>1586536.2450000001</v>
      </c>
      <c r="E6" s="12">
        <f t="shared" si="0"/>
        <v>82299.255055818707</v>
      </c>
      <c r="F6" s="13">
        <f t="shared" ref="F6:F12" si="1">IFERROR(E6/D6, "")</f>
        <v>5.1873542325418923E-2</v>
      </c>
      <c r="G6" s="14">
        <f>SUM('1st Qtr'!G6, '2nd Qtr'!G6, '3rd Qtr'!G6, '4th Qtr'!G6)</f>
        <v>1337808</v>
      </c>
      <c r="H6" s="14">
        <f>SUM('1st Qtr'!H6, '2nd Qtr'!H6, '3rd Qtr'!H6, '4th Qtr'!H6)</f>
        <v>331027.50005581859</v>
      </c>
      <c r="I6" s="15">
        <f t="shared" ref="I6:I12" si="2">IFERROR(H6/G6, "")</f>
        <v>0.24744021567804841</v>
      </c>
    </row>
    <row r="7" spans="1:9" ht="15.6">
      <c r="A7" s="46" t="str">
        <v>Nashua - Pennichuck Water West</v>
      </c>
      <c r="B7" s="10" t="str">
        <v>NH</v>
      </c>
      <c r="C7" s="18">
        <f>SUM('1st Qtr'!C7, '2nd Qtr'!C7, '3rd Qtr'!C7, '4th Qtr'!C7)</f>
        <v>1297017.3310565327</v>
      </c>
      <c r="D7" s="18">
        <f>SUM('1st Qtr'!D7, '2nd Qtr'!D7, '3rd Qtr'!D7, '4th Qtr'!D7)</f>
        <v>961368.05700000003</v>
      </c>
      <c r="E7" s="16">
        <f t="shared" si="0"/>
        <v>335649.27405653265</v>
      </c>
      <c r="F7" s="17">
        <f t="shared" si="1"/>
        <v>0.34913711935046399</v>
      </c>
      <c r="G7" s="18">
        <f>SUM('1st Qtr'!G7, '2nd Qtr'!G7, '3rd Qtr'!G7, '4th Qtr'!G7)</f>
        <v>705300</v>
      </c>
      <c r="H7" s="18">
        <f>SUM('1st Qtr'!H7, '2nd Qtr'!H7, '3rd Qtr'!H7, '4th Qtr'!H7)</f>
        <v>-29056.500193467196</v>
      </c>
      <c r="I7" s="17">
        <f t="shared" si="2"/>
        <v>-4.11973630986349E-2</v>
      </c>
    </row>
    <row r="8" spans="1:9" ht="15.6">
      <c r="A8" s="45" t="str">
        <v>Boothbay - Wiscasset Road</v>
      </c>
      <c r="B8" s="9" t="str">
        <v>ME</v>
      </c>
      <c r="C8" s="22">
        <f>SUM('1st Qtr'!C8, '2nd Qtr'!C8, '3rd Qtr'!C8, '4th Qtr'!C8)</f>
        <v>1459125.8130000001</v>
      </c>
      <c r="D8" s="12">
        <f>SUM('1st Qtr'!D8, '2nd Qtr'!D8, '3rd Qtr'!D8, '4th Qtr'!D8)</f>
        <v>1583407.602</v>
      </c>
      <c r="E8" s="12">
        <f t="shared" si="0"/>
        <v>-124281.78899999987</v>
      </c>
      <c r="F8" s="13">
        <f t="shared" si="1"/>
        <v>-7.8490079776691563E-2</v>
      </c>
      <c r="G8" s="14">
        <f>SUM('1st Qtr'!G8, '2nd Qtr'!G8, '3rd Qtr'!G8, '4th Qtr'!G8)</f>
        <v>1558392.5</v>
      </c>
      <c r="H8" s="14">
        <f>SUM('1st Qtr'!H8, '2nd Qtr'!H8, '3rd Qtr'!H8, '4th Qtr'!H8)</f>
        <v>-99266.687000000005</v>
      </c>
      <c r="I8" s="15">
        <f t="shared" si="2"/>
        <v>-6.3698129322362629E-2</v>
      </c>
    </row>
    <row r="9" spans="1:9" ht="15.6">
      <c r="A9" s="46" t="str">
        <v>Thorndike -  Leonard Road</v>
      </c>
      <c r="B9" s="10" t="str">
        <v>ME</v>
      </c>
      <c r="C9" s="18">
        <f>SUM('1st Qtr'!C9, '2nd Qtr'!C9, '3rd Qtr'!C9, '4th Qtr'!C9)</f>
        <v>1448377</v>
      </c>
      <c r="D9" s="18">
        <f>SUM('1st Qtr'!D9, '2nd Qtr'!D9, '3rd Qtr'!D9, '4th Qtr'!D9)</f>
        <v>1362062.9539999999</v>
      </c>
      <c r="E9" s="16">
        <f t="shared" si="0"/>
        <v>86314.046000000089</v>
      </c>
      <c r="F9" s="17">
        <f t="shared" si="1"/>
        <v>6.3370085609126769E-2</v>
      </c>
      <c r="G9" s="18">
        <f>SUM('1st Qtr'!G9, '2nd Qtr'!G9, '3rd Qtr'!G9, '4th Qtr'!G9)</f>
        <v>2880197.25</v>
      </c>
      <c r="H9" s="18">
        <f>SUM('1st Qtr'!H9, '2nd Qtr'!H9, '3rd Qtr'!H9, '4th Qtr'!H9)</f>
        <v>-1431820.2499999998</v>
      </c>
      <c r="I9" s="17">
        <f t="shared" si="2"/>
        <v>-0.49712576109153628</v>
      </c>
    </row>
    <row r="10" spans="1:9" ht="15.6">
      <c r="A10" s="45" t="str">
        <v>Topsham - Solarize LLC</v>
      </c>
      <c r="B10" s="9" t="str">
        <v>ME</v>
      </c>
      <c r="C10" s="22">
        <f>SUM('1st Qtr'!C10, '2nd Qtr'!C10, '3rd Qtr'!C10, '4th Qtr'!C10)</f>
        <v>1158444.50025</v>
      </c>
      <c r="D10" s="12">
        <f>SUM('1st Qtr'!D10, '2nd Qtr'!D10, '3rd Qtr'!D10, '4th Qtr'!D10)</f>
        <v>1185797.6150000002</v>
      </c>
      <c r="E10" s="12">
        <f t="shared" si="0"/>
        <v>-27353.114750000183</v>
      </c>
      <c r="F10" s="13">
        <f t="shared" si="1"/>
        <v>-2.3067270842841235E-2</v>
      </c>
      <c r="G10" s="14">
        <f>SUM('1st Qtr'!G10, '2nd Qtr'!G10, '3rd Qtr'!G10, '4th Qtr'!G10)</f>
        <v>1614205</v>
      </c>
      <c r="H10" s="14">
        <f>SUM('1st Qtr'!H10, '2nd Qtr'!H10, '3rd Qtr'!H10, '4th Qtr'!H10)</f>
        <v>-455760.49974999996</v>
      </c>
      <c r="I10" s="15">
        <f t="shared" si="2"/>
        <v>-0.28234363030098403</v>
      </c>
    </row>
    <row r="11" spans="1:9" ht="15.6">
      <c r="A11" s="46" t="str">
        <v>Cherryfield - 727 North Main St (IRA)</v>
      </c>
      <c r="B11" s="10" t="str">
        <v>ME</v>
      </c>
      <c r="C11" s="18">
        <f>SUM('1st Qtr'!C11, '2nd Qtr'!C11, '3rd Qtr'!C11, '4th Qtr'!C11)</f>
        <v>2180792</v>
      </c>
      <c r="D11" s="18">
        <f>SUM('1st Qtr'!D11, '2nd Qtr'!D11, '3rd Qtr'!D11, '4th Qtr'!D11)</f>
        <v>2351770.3000000003</v>
      </c>
      <c r="E11" s="16">
        <f t="shared" si="0"/>
        <v>-170978.30000000028</v>
      </c>
      <c r="F11" s="17">
        <f t="shared" si="1"/>
        <v>-7.2701955628915058E-2</v>
      </c>
      <c r="G11" s="18">
        <f>SUM('1st Qtr'!G11, '2nd Qtr'!G11, '3rd Qtr'!G11, '4th Qtr'!G11)</f>
        <v>2122817.9</v>
      </c>
      <c r="H11" s="18">
        <f>SUM('1st Qtr'!H11, '2nd Qtr'!H11, '3rd Qtr'!H11, '4th Qtr'!H11)</f>
        <v>57974.10000000002</v>
      </c>
      <c r="I11" s="17">
        <f t="shared" si="2"/>
        <v>2.730997322002986E-2</v>
      </c>
    </row>
    <row r="12" spans="1:9" ht="15.6">
      <c r="A12" s="45" t="str">
        <v>ME: Bucksport - 258 Route 1 (IRA)</v>
      </c>
      <c r="B12" s="9" t="str">
        <v>ME</v>
      </c>
      <c r="C12" s="22">
        <f>SUM('1st Qtr'!C12, '2nd Qtr'!C12, '3rd Qtr'!C12, '4th Qtr'!C12)</f>
        <v>1007565</v>
      </c>
      <c r="D12" s="12">
        <f>SUM('1st Qtr'!D12, '2nd Qtr'!D12, '3rd Qtr'!D12, '4th Qtr'!D12)</f>
        <v>1152165.7000000002</v>
      </c>
      <c r="E12" s="12">
        <f t="shared" si="0"/>
        <v>-144600.70000000019</v>
      </c>
      <c r="F12" s="13">
        <f t="shared" si="1"/>
        <v>-0.12550338896566715</v>
      </c>
      <c r="G12" s="14">
        <f>SUM('1st Qtr'!G12, '2nd Qtr'!G12, '3rd Qtr'!G12, '4th Qtr'!G12)</f>
        <v>1150920.1000000001</v>
      </c>
      <c r="H12" s="14">
        <f>SUM('1st Qtr'!H12, '2nd Qtr'!H12, '3rd Qtr'!H12, '4th Qtr'!H12)</f>
        <v>-143355.1</v>
      </c>
      <c r="I12" s="15">
        <f t="shared" si="2"/>
        <v>-0.12455695230277063</v>
      </c>
    </row>
    <row r="13" spans="1:9" ht="15.6">
      <c r="A13" s="46" t="str">
        <v>ME: Union - Route 131 (IRA)</v>
      </c>
      <c r="B13" s="10" t="str">
        <v>ME</v>
      </c>
      <c r="C13" s="89">
        <f>SUM('1st Qtr'!C13, '2nd Qtr'!C13, '3rd Qtr'!C13, '4th Qtr'!C13)</f>
        <v>1046215.25</v>
      </c>
      <c r="D13" s="89">
        <f>SUM('1st Qtr'!D13, '2nd Qtr'!D13, '3rd Qtr'!D13, '4th Qtr'!D13)</f>
        <v>1105938.568</v>
      </c>
      <c r="E13" s="16">
        <f>IF(AND(ISNUMBER(C13),ISNUMBER(D13)), C13-D13, "")</f>
        <v>-59723.31799999997</v>
      </c>
      <c r="F13" s="88">
        <f>IFERROR(E13/D13, "")</f>
        <v>-5.4002382888232878E-2</v>
      </c>
      <c r="G13" s="89">
        <f>SUM('1st Qtr'!G13, '2nd Qtr'!G13, '3rd Qtr'!G13, '4th Qtr'!G13)</f>
        <v>940157.5</v>
      </c>
      <c r="H13" s="89">
        <f>SUM('1st Qtr'!H13, '2nd Qtr'!H13, '3rd Qtr'!H13, '4th Qtr'!H13)</f>
        <v>106057.75</v>
      </c>
      <c r="I13" s="88">
        <f>IFERROR(H13/G13, "")</f>
        <v>0.11280849219412704</v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44" priority="5" stopIfTrue="1" operator="lessThanOrEqual">
      <formula>-0.1</formula>
    </cfRule>
    <cfRule type="expression" dxfId="43" priority="6">
      <formula>AND(ISNUMBER(F2), F2&gt;=0.1)</formula>
    </cfRule>
  </conditionalFormatting>
  <conditionalFormatting sqref="F4:F79 I4:I79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F23" sqref="F23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6" t="str" cm="1">
        <f t="array" ref="A1">portfolio</f>
        <v>ALIGNED</v>
      </c>
      <c r="B1" s="116"/>
      <c r="C1" s="116"/>
      <c r="D1" s="117" t="s">
        <v>10</v>
      </c>
      <c r="E1" s="117"/>
      <c r="F1" s="117"/>
      <c r="G1" s="115" t="s">
        <v>11</v>
      </c>
      <c r="H1" s="115"/>
      <c r="I1" s="115"/>
    </row>
    <row r="2" spans="1:9" ht="19.5" customHeight="1">
      <c r="A2" s="118" t="s">
        <v>2</v>
      </c>
      <c r="B2" s="118"/>
      <c r="C2" s="5">
        <f>SUM(C4:C79)</f>
        <v>1148376.8312499996</v>
      </c>
      <c r="D2" s="5">
        <f>SUM(D4:D79)</f>
        <v>1241693.46</v>
      </c>
      <c r="E2" s="5">
        <f>C2-D2</f>
        <v>-93316.628750000382</v>
      </c>
      <c r="F2" s="6">
        <f>IFERROR(E2/D2, 0)</f>
        <v>-7.5152710194672678E-2</v>
      </c>
      <c r="G2" s="5">
        <f>SUM(G4:G79)</f>
        <v>720076.39999999991</v>
      </c>
      <c r="H2" s="7">
        <f>C2-G2</f>
        <v>428300.43124999967</v>
      </c>
      <c r="I2" s="6">
        <f>IFERROR(H2/G2, 0)</f>
        <v>0.59479859532960633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SUM(Jan!C4, Feb!C4, Mar!C4)</f>
        <v>265530.99999999977</v>
      </c>
      <c r="D4" s="12">
        <f>SUM(Jan!D4, Feb!D4, Mar!D4)</f>
        <v>297220.15000000002</v>
      </c>
      <c r="E4" s="12">
        <f>IF(AND(ISNUMBER(C4),ISNUMBER(D4)), C4-D4, "")</f>
        <v>-31689.150000000256</v>
      </c>
      <c r="F4" s="13">
        <f>IFERROR(E4/D4, "")</f>
        <v>-0.10661844427438803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46" t="str">
        <v>Loudon - 7046 Pleasant Street</v>
      </c>
      <c r="B5" s="10" t="str">
        <v>NH</v>
      </c>
      <c r="C5" s="11">
        <f>SUM(Jan!C5, Feb!C5, Mar!C5)</f>
        <v>304616.5</v>
      </c>
      <c r="D5" s="16">
        <f>SUM(Jan!D5, Feb!D5, Mar!D5)</f>
        <v>396427</v>
      </c>
      <c r="E5" s="16">
        <f t="shared" ref="E5:E9" si="0">IF(AND(ISNUMBER(C5),ISNUMBER(D5)), C5-D5, "")</f>
        <v>-91810.5</v>
      </c>
      <c r="F5" s="17">
        <f>IFERROR(E5/D5, "")</f>
        <v>-0.23159497208817764</v>
      </c>
      <c r="G5" s="18">
        <f>SUM(Jan!G5, Feb!G5, Mar!G5)</f>
        <v>430004.39999999997</v>
      </c>
      <c r="H5" s="18">
        <f>SUM(Jan!H5, Feb!H5, Mar!H5)</f>
        <v>-125387.89999999998</v>
      </c>
      <c r="I5" s="17">
        <f>IFERROR(H5/G5, "")</f>
        <v>-0.29159678366081832</v>
      </c>
    </row>
    <row r="6" spans="1:9" ht="15.6">
      <c r="A6" s="45" t="str">
        <v>Nashua - Pennichuck Water  East</v>
      </c>
      <c r="B6" s="9" t="str">
        <v>NH</v>
      </c>
      <c r="C6" s="22">
        <f>SUM(Jan!C6, Feb!C6, Mar!C6)</f>
        <v>331162.5</v>
      </c>
      <c r="D6" s="12">
        <f>SUM(Jan!D6, Feb!D6, Mar!D6)</f>
        <v>294876.74</v>
      </c>
      <c r="E6" s="12">
        <f t="shared" si="0"/>
        <v>36285.760000000009</v>
      </c>
      <c r="F6" s="13">
        <f t="shared" ref="F6:F9" si="1">IFERROR(E6/D6, "")</f>
        <v>0.12305399198322665</v>
      </c>
      <c r="G6" s="14">
        <f>SUM(Jan!G6, Feb!G6, Mar!G6)</f>
        <v>290072</v>
      </c>
      <c r="H6" s="14">
        <f>SUM(Jan!H6, Feb!H6, Mar!H6)</f>
        <v>41090.5</v>
      </c>
      <c r="I6" s="15">
        <f t="shared" ref="I6:I12" si="2">IFERROR(H6/G6, "")</f>
        <v>0.14165620949281557</v>
      </c>
    </row>
    <row r="7" spans="1:9" ht="15.6">
      <c r="A7" s="46" t="str">
        <v>Nashua - Pennichuck Water West</v>
      </c>
      <c r="B7" s="10" t="str">
        <v>NH</v>
      </c>
      <c r="C7" s="11">
        <f>SUM(Jan!C7, Feb!C7, Mar!C7)</f>
        <v>247066.83124999981</v>
      </c>
      <c r="D7" s="16">
        <f>SUM(Jan!D7, Feb!D7, Mar!D7)</f>
        <v>253169.57</v>
      </c>
      <c r="E7" s="16">
        <f t="shared" si="0"/>
        <v>-6102.7387500001932</v>
      </c>
      <c r="F7" s="17">
        <f t="shared" si="1"/>
        <v>-2.4105340740596087E-2</v>
      </c>
      <c r="G7" s="18">
        <f>SUM(Jan!G7, Feb!G7, Mar!G7)</f>
        <v>0</v>
      </c>
      <c r="H7" s="18">
        <f>SUM(Jan!H7, Feb!H7, Mar!H7)</f>
        <v>0</v>
      </c>
      <c r="I7" s="17" t="str">
        <f t="shared" si="2"/>
        <v/>
      </c>
    </row>
    <row r="8" spans="1:9" ht="15.6">
      <c r="A8" s="45" t="str">
        <v>Boothbay - Wiscasset Road</v>
      </c>
      <c r="B8" s="9" t="str">
        <v>ME</v>
      </c>
      <c r="C8" s="22">
        <f>SUM(Jan!C8, Feb!C8, Mar!C8)</f>
        <v>0</v>
      </c>
      <c r="D8" s="12">
        <f>SUM(Jan!D8, Feb!D8, Mar!D8)</f>
        <v>0</v>
      </c>
      <c r="E8" s="12">
        <f t="shared" si="0"/>
        <v>0</v>
      </c>
      <c r="F8" s="13" t="str">
        <f t="shared" si="1"/>
        <v/>
      </c>
      <c r="G8" s="14">
        <f>SUM(Jan!G8, Feb!G8, Mar!G8)</f>
        <v>0</v>
      </c>
      <c r="H8" s="14">
        <f>SUM(Jan!H8, Feb!H8, Mar!H8)</f>
        <v>0</v>
      </c>
      <c r="I8" s="15" t="str">
        <f t="shared" si="2"/>
        <v/>
      </c>
    </row>
    <row r="9" spans="1:9" ht="15.6">
      <c r="A9" s="46" t="str">
        <v>Thorndike -  Leonard Road</v>
      </c>
      <c r="B9" s="10" t="str">
        <v>ME</v>
      </c>
      <c r="C9" s="11">
        <f>SUM(Jan!C9, Feb!C9, Mar!C9)</f>
        <v>0</v>
      </c>
      <c r="D9" s="16">
        <f>SUM(Jan!D9, Feb!D9, Mar!D9)</f>
        <v>0</v>
      </c>
      <c r="E9" s="16">
        <f t="shared" si="0"/>
        <v>0</v>
      </c>
      <c r="F9" s="17" t="str">
        <f t="shared" si="1"/>
        <v/>
      </c>
      <c r="G9" s="18">
        <f>SUM(Jan!G9, Feb!G9, Mar!G9)</f>
        <v>0</v>
      </c>
      <c r="H9" s="18">
        <f>SUM(Jan!H9, Feb!H9, Mar!H9)</f>
        <v>0</v>
      </c>
      <c r="I9" s="17" t="str">
        <f t="shared" si="2"/>
        <v/>
      </c>
    </row>
    <row r="10" spans="1:9" ht="15.6">
      <c r="A10" s="45" t="str">
        <v>Topsham - Solarize LLC</v>
      </c>
      <c r="B10" s="9" t="str">
        <v>ME</v>
      </c>
      <c r="C10" s="22">
        <f>SUM(Jan!C10, Feb!C10, Mar!C10)</f>
        <v>0</v>
      </c>
      <c r="D10" s="12">
        <f>SUM(Jan!D10, Feb!D10, Mar!D10)</f>
        <v>0</v>
      </c>
      <c r="E10" s="12">
        <f>IF(AND(ISNUMBER(C10),ISNUMBER(D10)), C10-D10, "")</f>
        <v>0</v>
      </c>
      <c r="F10" s="13" t="str">
        <f>IFERROR(E10/D10, "")</f>
        <v/>
      </c>
      <c r="G10" s="14">
        <f>SUM(Jan!G10, Feb!G10, Mar!G10)</f>
        <v>0</v>
      </c>
      <c r="H10" s="14">
        <f>SUM(Jan!H10, Feb!H10, Mar!H10)</f>
        <v>0</v>
      </c>
      <c r="I10" s="15" t="str">
        <f t="shared" si="2"/>
        <v/>
      </c>
    </row>
    <row r="11" spans="1:9" ht="15.6">
      <c r="A11" s="46" t="str">
        <v>Cherryfield - 727 North Main St (IRA)</v>
      </c>
      <c r="B11" s="10" t="str">
        <v>ME</v>
      </c>
      <c r="C11" s="11">
        <f>SUM(Jan!C11, Feb!C11, Mar!C11)</f>
        <v>0</v>
      </c>
      <c r="D11" s="16">
        <f>SUM(Jan!D11, Feb!D11, Mar!D11)</f>
        <v>0</v>
      </c>
      <c r="E11" s="16">
        <f>IF(AND(ISNUMBER(C11),ISNUMBER(D11)), C11-D11, "")</f>
        <v>0</v>
      </c>
      <c r="F11" s="88" t="str">
        <f>IFERROR(E11/D11, "")</f>
        <v/>
      </c>
      <c r="G11" s="18">
        <f>SUM(Jan!G11, Feb!G11, Mar!G11)</f>
        <v>0</v>
      </c>
      <c r="H11" s="18">
        <f>SUM(Jan!H11, Feb!H11, Mar!H11)</f>
        <v>0</v>
      </c>
      <c r="I11" s="17" t="str">
        <f t="shared" si="2"/>
        <v/>
      </c>
    </row>
    <row r="12" spans="1:9" ht="15.6">
      <c r="A12" s="45" t="str">
        <v>ME: Bucksport - 258 Route 1 (IRA)</v>
      </c>
      <c r="B12" s="9" t="str">
        <v>ME</v>
      </c>
      <c r="C12" s="22">
        <f>SUM(Jan!C12, Feb!C12, Mar!C12)</f>
        <v>0</v>
      </c>
      <c r="D12" s="12">
        <f>SUM(Jan!D12, Feb!D12, Mar!D12)</f>
        <v>0</v>
      </c>
      <c r="E12" s="12">
        <f>IF(AND(ISNUMBER(C12),ISNUMBER(D12)), C12-D12, "")</f>
        <v>0</v>
      </c>
      <c r="F12" s="83" t="str">
        <f>IFERROR(E12/D12, "")</f>
        <v/>
      </c>
      <c r="G12" s="14">
        <f>SUM(Jan!G12, Feb!G12, Mar!G12)</f>
        <v>0</v>
      </c>
      <c r="H12" s="14">
        <f>SUM(Jan!H12, Feb!H12, Mar!H12)</f>
        <v>0</v>
      </c>
      <c r="I12" s="15" t="str">
        <f t="shared" si="2"/>
        <v/>
      </c>
    </row>
    <row r="13" spans="1:9" ht="15.6">
      <c r="A13" s="46" t="str">
        <v>ME: Union - Route 131 (IRA)</v>
      </c>
      <c r="B13" s="10" t="str">
        <v>ME</v>
      </c>
      <c r="C13" s="87">
        <f>SUM(Jan!C13, Feb!C13, Mar!C13)</f>
        <v>0</v>
      </c>
      <c r="D13" s="16">
        <f>SUM(Jan!D13, Feb!D13, Mar!D13)</f>
        <v>0</v>
      </c>
      <c r="E13" s="16">
        <f>IF(AND(ISNUMBER(C13),ISNUMBER(D13)), C13-D13, "")</f>
        <v>0</v>
      </c>
      <c r="F13" s="88" t="str">
        <f>IFERROR(E13/D13, "")</f>
        <v/>
      </c>
      <c r="G13" s="89">
        <f>SUM(Jan!G13, Feb!G13, Mar!G13)</f>
        <v>0</v>
      </c>
      <c r="H13" s="89">
        <f>SUM(Jan!H13, Feb!H13, Mar!H13)</f>
        <v>0</v>
      </c>
      <c r="I13" s="88" t="str">
        <f>IFERROR(H13/G13, "")</f>
        <v/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0" priority="5" stopIfTrue="1" operator="lessThanOrEqual">
      <formula>-0.1</formula>
    </cfRule>
    <cfRule type="expression" dxfId="39" priority="6">
      <formula>AND(ISNUMBER(F2), F2&gt;=0.1)</formula>
    </cfRule>
  </conditionalFormatting>
  <conditionalFormatting sqref="F4:F79 I4:I79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F21" sqref="F21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6" t="str" cm="1">
        <f t="array" ref="A1">portfolio</f>
        <v>ALIGNED</v>
      </c>
      <c r="B1" s="116"/>
      <c r="C1" s="116"/>
      <c r="D1" s="117" t="s">
        <v>12</v>
      </c>
      <c r="E1" s="117"/>
      <c r="F1" s="117"/>
      <c r="G1" s="115" t="s">
        <v>13</v>
      </c>
      <c r="H1" s="115"/>
      <c r="I1" s="115"/>
    </row>
    <row r="2" spans="1:9" ht="19.5" customHeight="1">
      <c r="A2" s="118" t="s">
        <v>2</v>
      </c>
      <c r="B2" s="118"/>
      <c r="C2" s="5">
        <f>SUM(C4:C79)</f>
        <v>3748877.5631414033</v>
      </c>
      <c r="D2" s="5">
        <f>SUM(D4:D79)</f>
        <v>3799021.6179999998</v>
      </c>
      <c r="E2" s="5">
        <f>C2-D2</f>
        <v>-50144.05485859653</v>
      </c>
      <c r="F2" s="6">
        <f>IFERROR(E2/D2, 0)</f>
        <v>-1.3199202294877947E-2</v>
      </c>
      <c r="G2" s="5">
        <f>SUM(G4:G79)</f>
        <v>4076410.0659999996</v>
      </c>
      <c r="H2" s="7">
        <f>C2-G2</f>
        <v>-327532.50285859639</v>
      </c>
      <c r="I2" s="6">
        <f>IFERROR(H2/G2, 0)</f>
        <v>-8.0348271531963292E-2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SUM(Apr!C4, May!C4, Jun!C4)</f>
        <v>488149.99999999901</v>
      </c>
      <c r="D4" s="12">
        <f>SUM(Apr!D4, May!D4, Jun!D4)</f>
        <v>479099.01500000001</v>
      </c>
      <c r="E4" s="12">
        <f>IF(AND(ISNUMBER(C4),ISNUMBER(D4)), C4-D4, "")</f>
        <v>9050.9849999989965</v>
      </c>
      <c r="F4" s="13">
        <f>IFERROR(E4/D4, "")</f>
        <v>1.889167941620376E-2</v>
      </c>
      <c r="G4" s="14">
        <f>SUM(Apr!G4,May!G4,Jun!G4)</f>
        <v>432000</v>
      </c>
      <c r="H4" s="14">
        <f>SUM(Apr!H4, May!H4, Jun!H4)</f>
        <v>-113430.50000000099</v>
      </c>
      <c r="I4" s="15">
        <f>IFERROR(H4/G4, "")</f>
        <v>-0.26257060185185416</v>
      </c>
    </row>
    <row r="5" spans="1:9" ht="15.6">
      <c r="A5" s="46" t="str">
        <v>Loudon - 7046 Pleasant Street</v>
      </c>
      <c r="B5" s="10" t="str">
        <v>NH</v>
      </c>
      <c r="C5" s="11">
        <f>SUM(Apr!C5, May!C5, Jun!C5)</f>
        <v>509622.999871796</v>
      </c>
      <c r="D5" s="16">
        <f>SUM(Apr!D5, May!D5, Jun!D5)</f>
        <v>491386.03</v>
      </c>
      <c r="E5" s="16">
        <f t="shared" ref="E5:E12" si="0">IF(AND(ISNUMBER(C5),ISNUMBER(D5)), C5-D5, "")</f>
        <v>18236.969871795969</v>
      </c>
      <c r="F5" s="17">
        <f>IFERROR(E5/D5, "")</f>
        <v>3.71133258953169E-2</v>
      </c>
      <c r="G5" s="18">
        <f>SUM(Apr!G5,May!G5,Jun!G5)</f>
        <v>596309.11600000004</v>
      </c>
      <c r="H5" s="18">
        <f>SUM(Apr!H5, May!H5, Jun!H5)</f>
        <v>-86686.116128204012</v>
      </c>
      <c r="I5" s="17">
        <f>IFERROR(H5/G5, "")</f>
        <v>-0.14537110669997541</v>
      </c>
    </row>
    <row r="6" spans="1:9" ht="15.6">
      <c r="A6" s="45" t="str">
        <v>Nashua - Pennichuck Water  East</v>
      </c>
      <c r="B6" s="9" t="str">
        <v>NH</v>
      </c>
      <c r="C6" s="22">
        <f>SUM(Apr!C6, May!C6, Jun!C6)</f>
        <v>484488.00001960801</v>
      </c>
      <c r="D6" s="12">
        <f>SUM(Apr!D6, May!D6, Jun!D6)</f>
        <v>531144.56499999994</v>
      </c>
      <c r="E6" s="12">
        <f t="shared" si="0"/>
        <v>-46656.564980391937</v>
      </c>
      <c r="F6" s="13">
        <f t="shared" ref="F6:F12" si="1">IFERROR(E6/D6, "")</f>
        <v>-8.784155586792447E-2</v>
      </c>
      <c r="G6" s="14">
        <f>SUM(Apr!G6,May!G6,Jun!G6)</f>
        <v>417272</v>
      </c>
      <c r="H6" s="14">
        <f>SUM(Apr!H6, May!H6, Jun!H6)</f>
        <v>67216.000019608007</v>
      </c>
      <c r="I6" s="15">
        <f t="shared" ref="I6:I12" si="2">IFERROR(H6/G6, "")</f>
        <v>0.16108437666464082</v>
      </c>
    </row>
    <row r="7" spans="1:9" ht="15.6">
      <c r="A7" s="46" t="str">
        <v>Nashua - Pennichuck Water West</v>
      </c>
      <c r="B7" s="10" t="str">
        <v>NH</v>
      </c>
      <c r="C7" s="11">
        <f>SUM(Apr!C7, May!C7, Jun!C7)</f>
        <v>373707</v>
      </c>
      <c r="D7" s="16">
        <f>SUM(Apr!D7, May!D7, Jun!D7)</f>
        <v>275557.05699999997</v>
      </c>
      <c r="E7" s="16">
        <f t="shared" si="0"/>
        <v>98149.943000000028</v>
      </c>
      <c r="F7" s="17">
        <f t="shared" si="1"/>
        <v>0.35618736848390725</v>
      </c>
      <c r="G7" s="18">
        <f>SUM(Apr!G7,May!G7,Jun!G7)</f>
        <v>0</v>
      </c>
      <c r="H7" s="18">
        <f>SUM(Apr!H7, May!H7, Jun!H7)</f>
        <v>0</v>
      </c>
      <c r="I7" s="17" t="str">
        <f t="shared" si="2"/>
        <v/>
      </c>
    </row>
    <row r="8" spans="1:9" ht="15.6">
      <c r="A8" s="45" t="str">
        <v>Boothbay - Wiscasset Road</v>
      </c>
      <c r="B8" s="9" t="str">
        <v>ME</v>
      </c>
      <c r="C8" s="22">
        <f>SUM(Apr!C8, May!C8, Jun!C8)</f>
        <v>532951.81299999997</v>
      </c>
      <c r="D8" s="12">
        <f>SUM(Apr!D8, May!D8, Jun!D8)</f>
        <v>564398.35199999996</v>
      </c>
      <c r="E8" s="12">
        <f t="shared" si="0"/>
        <v>-31446.53899999999</v>
      </c>
      <c r="F8" s="13">
        <f t="shared" si="1"/>
        <v>-5.5716922079177139E-2</v>
      </c>
      <c r="G8" s="14">
        <f>SUM(Apr!G8,May!G8,Jun!G8)</f>
        <v>611598.5</v>
      </c>
      <c r="H8" s="14">
        <f>SUM(Apr!H8, May!H8, Jun!H8)</f>
        <v>-78646.687000000005</v>
      </c>
      <c r="I8" s="15">
        <f t="shared" si="2"/>
        <v>-0.12859202074563625</v>
      </c>
    </row>
    <row r="9" spans="1:9" ht="15.6">
      <c r="A9" s="46" t="str">
        <v>Thorndike -  Leonard Road</v>
      </c>
      <c r="B9" s="10" t="str">
        <v>ME</v>
      </c>
      <c r="C9" s="11">
        <f>SUM(Apr!C9, May!C9, Jun!C9)</f>
        <v>495412.1875</v>
      </c>
      <c r="D9" s="16">
        <f>SUM(Apr!D9, May!D9, Jun!D9)</f>
        <v>557091.49399999995</v>
      </c>
      <c r="E9" s="16">
        <f t="shared" si="0"/>
        <v>-61679.306499999948</v>
      </c>
      <c r="F9" s="17">
        <f t="shared" si="1"/>
        <v>-0.11071665456087533</v>
      </c>
      <c r="G9" s="18">
        <f>SUM(Apr!G9,May!G9,Jun!G9)</f>
        <v>1251734.5499999998</v>
      </c>
      <c r="H9" s="18">
        <f>SUM(Apr!H9, May!H9, Jun!H9)</f>
        <v>-756322.36249999993</v>
      </c>
      <c r="I9" s="17">
        <f t="shared" si="2"/>
        <v>-0.60421945092112384</v>
      </c>
    </row>
    <row r="10" spans="1:9" ht="15.6">
      <c r="A10" s="45" t="str">
        <v>Topsham - Solarize LLC</v>
      </c>
      <c r="B10" s="9" t="str">
        <v>ME</v>
      </c>
      <c r="C10" s="22">
        <f>SUM(Apr!C10, May!C10, Jun!C10)</f>
        <v>420394.25025000004</v>
      </c>
      <c r="D10" s="12">
        <f>SUM(Apr!D10, May!D10, Jun!D10)</f>
        <v>419567.005</v>
      </c>
      <c r="E10" s="12">
        <f t="shared" si="0"/>
        <v>827.24525000003632</v>
      </c>
      <c r="F10" s="13">
        <f t="shared" si="1"/>
        <v>1.9716642160649317E-3</v>
      </c>
      <c r="G10" s="14">
        <f>SUM(Apr!G10,May!G10,Jun!G10)</f>
        <v>335730</v>
      </c>
      <c r="H10" s="14">
        <f>SUM(Apr!H10, May!H10, Jun!H10)</f>
        <v>84664.250250000012</v>
      </c>
      <c r="I10" s="15">
        <f t="shared" si="2"/>
        <v>0.25217957957287107</v>
      </c>
    </row>
    <row r="11" spans="1:9" ht="15.6">
      <c r="A11" s="46" t="str">
        <v>Cherryfield - 727 North Main St (IRA)</v>
      </c>
      <c r="B11" s="10" t="str">
        <v>ME</v>
      </c>
      <c r="C11" s="11">
        <f>SUM(Apr!C11, May!C11, Jun!C11)</f>
        <v>444151.3125</v>
      </c>
      <c r="D11" s="16">
        <f>SUM(Apr!D11, May!D11, Jun!D11)</f>
        <v>480778.1</v>
      </c>
      <c r="E11" s="16">
        <f t="shared" si="0"/>
        <v>-36626.787499999977</v>
      </c>
      <c r="F11" s="17">
        <f t="shared" si="1"/>
        <v>-7.6182312588697315E-2</v>
      </c>
      <c r="G11" s="18">
        <f>SUM(Apr!G11,May!G11,Jun!G11)</f>
        <v>431765.9</v>
      </c>
      <c r="H11" s="18">
        <f>SUM(Apr!H11, May!H11, Jun!H11)</f>
        <v>12385.412499999977</v>
      </c>
      <c r="I11" s="17">
        <f t="shared" si="2"/>
        <v>2.8685480951598948E-2</v>
      </c>
    </row>
    <row r="12" spans="1:9" ht="15.6">
      <c r="A12" s="45" t="str">
        <v>ME: Bucksport - 258 Route 1 (IRA)</v>
      </c>
      <c r="B12" s="9" t="str">
        <v>ME</v>
      </c>
      <c r="C12" s="22">
        <f>SUM(Apr!C12, May!C12, Jun!C12)</f>
        <v>0</v>
      </c>
      <c r="D12" s="12">
        <f>SUM(Apr!D12, May!D12, Jun!D12)</f>
        <v>0</v>
      </c>
      <c r="E12" s="12">
        <f t="shared" si="0"/>
        <v>0</v>
      </c>
      <c r="F12" s="13" t="str">
        <f t="shared" si="1"/>
        <v/>
      </c>
      <c r="G12" s="14">
        <f>SUM(Apr!G12,May!G12,Jun!G12)</f>
        <v>0</v>
      </c>
      <c r="H12" s="14">
        <f>SUM(Apr!H12, May!H12, Jun!H12)</f>
        <v>0</v>
      </c>
      <c r="I12" s="15" t="str">
        <f t="shared" si="2"/>
        <v/>
      </c>
    </row>
    <row r="13" spans="1:9" ht="15.6">
      <c r="A13" s="46" t="str">
        <v>ME: Union - Route 131 (IRA)</v>
      </c>
      <c r="B13" s="10" t="str">
        <v>ME</v>
      </c>
      <c r="C13" s="87">
        <f>SUM(Apr!C13, May!C13, Jun!C13)</f>
        <v>0</v>
      </c>
      <c r="D13" s="16">
        <f>SUM(Apr!D13, May!D13, Jun!D13)</f>
        <v>0</v>
      </c>
      <c r="E13" s="16">
        <f>IF(AND(ISNUMBER(C13),ISNUMBER(D13)), C13-D13, "")</f>
        <v>0</v>
      </c>
      <c r="F13" s="88" t="str">
        <f>IFERROR(E13/D13, "")</f>
        <v/>
      </c>
      <c r="G13" s="89">
        <f>SUM(Apr!G13,May!G13,Jun!G13)</f>
        <v>0</v>
      </c>
      <c r="H13" s="89">
        <f>SUM(Apr!H13, May!H13, Jun!H13)</f>
        <v>0</v>
      </c>
      <c r="I13" s="88" t="str">
        <f>IFERROR(H13/G13, "")</f>
        <v/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D27" sqref="D26:D27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6" t="str" cm="1">
        <f t="array" ref="A1">portfolio</f>
        <v>ALIGNED</v>
      </c>
      <c r="B1" s="116"/>
      <c r="C1" s="116"/>
      <c r="D1" s="117" t="s">
        <v>14</v>
      </c>
      <c r="E1" s="117"/>
      <c r="F1" s="117"/>
      <c r="G1" s="115" t="s">
        <v>15</v>
      </c>
      <c r="H1" s="115"/>
      <c r="I1" s="115"/>
    </row>
    <row r="2" spans="1:9" ht="19.5" customHeight="1">
      <c r="A2" s="118" t="s">
        <v>2</v>
      </c>
      <c r="B2" s="118"/>
      <c r="C2" s="5">
        <f>SUM(C4:C79)</f>
        <v>5975550.5685398001</v>
      </c>
      <c r="D2" s="5">
        <f>SUM(D4:D79)</f>
        <v>5862893.8680000007</v>
      </c>
      <c r="E2" s="5">
        <f>C2-D2</f>
        <v>112656.70053979941</v>
      </c>
      <c r="F2" s="6">
        <f>IFERROR(E2/D2, 0)</f>
        <v>1.9215203801434291E-2</v>
      </c>
      <c r="G2" s="5">
        <f>SUM(G4:G79)</f>
        <v>6436669.3000000007</v>
      </c>
      <c r="H2" s="7">
        <f>C2-G2</f>
        <v>-461118.73146020062</v>
      </c>
      <c r="I2" s="6">
        <f>IFERROR(H2/G2, 0)</f>
        <v>-7.1639338603305375E-2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SUM(Jul!C4, Aug!C4, Sep!C4)</f>
        <v>593255.07999999996</v>
      </c>
      <c r="D4" s="12">
        <f>SUM(Jul!D4, Aug!D4, Sep!D4)</f>
        <v>539017.6</v>
      </c>
      <c r="E4" s="12">
        <f>IF(AND(ISNUMBER(C4),ISNUMBER(D4)), C4-D4, "")</f>
        <v>54237.479999999981</v>
      </c>
      <c r="F4" s="13">
        <f>IFERROR(E4/D4, "")</f>
        <v>0.10062283680532877</v>
      </c>
      <c r="G4" s="14">
        <f>SUM(Jul!G4,Aug!G4,Sep!G4)</f>
        <v>614000</v>
      </c>
      <c r="H4" s="14">
        <f>SUM(Jul!H4, Aug!H4, Sep!H4)</f>
        <v>-20744.920000000013</v>
      </c>
      <c r="I4" s="15">
        <f>IFERROR(H4/G4, "")</f>
        <v>-3.3786514657980479E-2</v>
      </c>
    </row>
    <row r="5" spans="1:9" ht="15.6">
      <c r="A5" s="46" t="str">
        <v>Loudon - 7046 Pleasant Street</v>
      </c>
      <c r="B5" s="10" t="str">
        <v>NH</v>
      </c>
      <c r="C5" s="11">
        <f>SUM(Jul!C5, Aug!C5, Sep!C5)</f>
        <v>606757.5</v>
      </c>
      <c r="D5" s="16">
        <f>SUM(Jul!D5, Aug!D5, Sep!D5)</f>
        <v>574404.1</v>
      </c>
      <c r="E5" s="16">
        <f t="shared" ref="E5:E12" si="0">IF(AND(ISNUMBER(C5),ISNUMBER(D5)), C5-D5, "")</f>
        <v>32353.400000000023</v>
      </c>
      <c r="F5" s="17">
        <f>IFERROR(E5/D5, "")</f>
        <v>5.6325155060696859E-2</v>
      </c>
      <c r="G5" s="18">
        <f>SUM(Jul!G5,Aug!G5,Sep!G5)</f>
        <v>593353.39999999991</v>
      </c>
      <c r="H5" s="18">
        <f>SUM(Jul!H5, Aug!H5, Sep!H5)</f>
        <v>13404.100000000006</v>
      </c>
      <c r="I5" s="17">
        <f>IFERROR(H5/G5, "")</f>
        <v>2.2590415762343333E-2</v>
      </c>
    </row>
    <row r="6" spans="1:9" ht="15.6">
      <c r="A6" s="45" t="str">
        <v>Nashua - Pennichuck Water  East</v>
      </c>
      <c r="B6" s="9" t="str">
        <v>NH</v>
      </c>
      <c r="C6" s="22">
        <f>SUM(Jul!C6, Aug!C6, Sep!C6)</f>
        <v>547500.50003979995</v>
      </c>
      <c r="D6" s="12">
        <f>SUM(Jul!D6, Aug!D6, Sep!D6)</f>
        <v>553981.30000000005</v>
      </c>
      <c r="E6" s="12">
        <f t="shared" si="0"/>
        <v>-6480.7999602000928</v>
      </c>
      <c r="F6" s="13">
        <f t="shared" ref="F6:F12" si="1">IFERROR(E6/D6, "")</f>
        <v>-1.1698589754203062E-2</v>
      </c>
      <c r="G6" s="14">
        <f>SUM(Jul!G6,Aug!G6,Sep!G6)</f>
        <v>411544</v>
      </c>
      <c r="H6" s="14">
        <f>SUM(Jul!H6, Aug!H6, Sep!H6)</f>
        <v>135956.50003979998</v>
      </c>
      <c r="I6" s="15">
        <f t="shared" ref="I6:I12" si="2">IFERROR(H6/G6, "")</f>
        <v>0.33035714295385177</v>
      </c>
    </row>
    <row r="7" spans="1:9" ht="15.6">
      <c r="A7" s="46" t="str">
        <v>Nashua - Pennichuck Water West</v>
      </c>
      <c r="B7" s="10" t="str">
        <v>NH</v>
      </c>
      <c r="C7" s="11">
        <f>SUM(Jul!C7, Aug!C7, Sep!C7)</f>
        <v>441646.23849999998</v>
      </c>
      <c r="D7" s="16">
        <f>SUM(Jul!D7, Aug!D7, Sep!D7)</f>
        <v>322511.40000000002</v>
      </c>
      <c r="E7" s="16">
        <f t="shared" si="0"/>
        <v>119134.83849999995</v>
      </c>
      <c r="F7" s="17">
        <f t="shared" si="1"/>
        <v>0.36939729417316702</v>
      </c>
      <c r="G7" s="18">
        <f>SUM(Jul!G7,Aug!G7,Sep!G7)</f>
        <v>451700</v>
      </c>
      <c r="H7" s="18">
        <f>SUM(Jul!H7, Aug!H7, Sep!H7)</f>
        <v>-10053.761499999993</v>
      </c>
      <c r="I7" s="17">
        <f t="shared" si="2"/>
        <v>-2.225760792561433E-2</v>
      </c>
    </row>
    <row r="8" spans="1:9" ht="15.6">
      <c r="A8" s="45" t="str">
        <v>Boothbay - Wiscasset Road</v>
      </c>
      <c r="B8" s="9" t="str">
        <v>ME</v>
      </c>
      <c r="C8" s="22">
        <f>SUM(Jul!C8, Aug!C8, Sep!C8)</f>
        <v>621978</v>
      </c>
      <c r="D8" s="12">
        <f>SUM(Jul!D8, Aug!D8, Sep!D8)</f>
        <v>653090.30000000005</v>
      </c>
      <c r="E8" s="12">
        <f t="shared" si="0"/>
        <v>-31112.300000000047</v>
      </c>
      <c r="F8" s="13">
        <f t="shared" si="1"/>
        <v>-4.7638588415721446E-2</v>
      </c>
      <c r="G8" s="14">
        <f>SUM(Jul!G8,Aug!G8,Sep!G8)</f>
        <v>642676</v>
      </c>
      <c r="H8" s="14">
        <f>SUM(Jul!H8, Aug!H8, Sep!H8)</f>
        <v>-20698</v>
      </c>
      <c r="I8" s="15">
        <f t="shared" si="2"/>
        <v>-3.2205963813803536E-2</v>
      </c>
    </row>
    <row r="9" spans="1:9" ht="15.6">
      <c r="A9" s="46" t="str">
        <v>Thorndike -  Leonard Road</v>
      </c>
      <c r="B9" s="10" t="str">
        <v>ME</v>
      </c>
      <c r="C9" s="11">
        <f>SUM(Jul!C9, Aug!C9, Sep!C9)</f>
        <v>658191.8125</v>
      </c>
      <c r="D9" s="16">
        <f>SUM(Jul!D9, Aug!D9, Sep!D9)</f>
        <v>606091.69999999995</v>
      </c>
      <c r="E9" s="16">
        <f t="shared" si="0"/>
        <v>52100.112500000047</v>
      </c>
      <c r="F9" s="17">
        <f t="shared" si="1"/>
        <v>8.5960775407417811E-2</v>
      </c>
      <c r="G9" s="18">
        <f>SUM(Jul!G9,Aug!G9,Sep!G9)</f>
        <v>1280411.5</v>
      </c>
      <c r="H9" s="18">
        <f>SUM(Jul!H9, Aug!H9, Sep!H9)</f>
        <v>-622219.6875</v>
      </c>
      <c r="I9" s="17">
        <f t="shared" si="2"/>
        <v>-0.48595290459356233</v>
      </c>
    </row>
    <row r="10" spans="1:9" ht="15.6">
      <c r="A10" s="45" t="str">
        <v>Topsham - Solarize LLC</v>
      </c>
      <c r="B10" s="9" t="str">
        <v>ME</v>
      </c>
      <c r="C10" s="22">
        <f>SUM(Jul!C10, Aug!C10, Sep!C10)</f>
        <v>490844.25</v>
      </c>
      <c r="D10" s="12">
        <f>SUM(Jul!D10, Aug!D10, Sep!D10)</f>
        <v>493451.00000000006</v>
      </c>
      <c r="E10" s="12">
        <f t="shared" si="0"/>
        <v>-2606.7500000000582</v>
      </c>
      <c r="F10" s="13">
        <f t="shared" si="1"/>
        <v>-5.2826927091039599E-3</v>
      </c>
      <c r="G10" s="14">
        <f>SUM(Jul!G10,Aug!G10,Sep!G10)</f>
        <v>467119</v>
      </c>
      <c r="H10" s="14">
        <f>SUM(Jul!H10, Aug!H10, Sep!H10)</f>
        <v>23725.25</v>
      </c>
      <c r="I10" s="15">
        <f t="shared" si="2"/>
        <v>5.079059083445546E-2</v>
      </c>
    </row>
    <row r="11" spans="1:9" ht="15.6">
      <c r="A11" s="46" t="str">
        <v>Cherryfield - 727 North Main St (IRA)</v>
      </c>
      <c r="B11" s="10" t="str">
        <v>ME</v>
      </c>
      <c r="C11" s="11">
        <f>SUM(Jul!C11, Aug!C11, Sep!C11)</f>
        <v>1236861.6875</v>
      </c>
      <c r="D11" s="16">
        <f>SUM(Jul!D11, Aug!D11, Sep!D11)</f>
        <v>1322815.7000000002</v>
      </c>
      <c r="E11" s="16">
        <f t="shared" si="0"/>
        <v>-85954.012500000186</v>
      </c>
      <c r="F11" s="17">
        <f t="shared" si="1"/>
        <v>-6.4978071019266087E-2</v>
      </c>
      <c r="G11" s="18">
        <f>SUM(Jul!G11,Aug!G11,Sep!G11)</f>
        <v>1224259.3999999999</v>
      </c>
      <c r="H11" s="18">
        <f>SUM(Jul!H11, Aug!H11, Sep!H11)</f>
        <v>12602.287500000035</v>
      </c>
      <c r="I11" s="17">
        <f t="shared" si="2"/>
        <v>1.0293804973031071E-2</v>
      </c>
    </row>
    <row r="12" spans="1:9" ht="15.6">
      <c r="A12" s="45" t="str">
        <v>ME: Bucksport - 258 Route 1 (IRA)</v>
      </c>
      <c r="B12" s="9" t="str">
        <v>ME</v>
      </c>
      <c r="C12" s="22">
        <f>SUM(Jul!C12, Aug!C12, Sep!C12)</f>
        <v>388976</v>
      </c>
      <c r="D12" s="12">
        <f>SUM(Jul!D12, Aug!D12, Sep!D12)</f>
        <v>407109.4</v>
      </c>
      <c r="E12" s="12">
        <f t="shared" si="0"/>
        <v>-18133.400000000023</v>
      </c>
      <c r="F12" s="13">
        <f t="shared" si="1"/>
        <v>-4.4541835683479726E-2</v>
      </c>
      <c r="G12" s="14">
        <f>SUM(Jul!G12,Aug!G12,Sep!G12)</f>
        <v>393074.5</v>
      </c>
      <c r="H12" s="14">
        <f>SUM(Jul!H12, Aug!H12, Sep!H12)</f>
        <v>-4098.5</v>
      </c>
      <c r="I12" s="15">
        <f t="shared" si="2"/>
        <v>-1.0426776603417419E-2</v>
      </c>
    </row>
    <row r="13" spans="1:9" ht="15.6">
      <c r="A13" s="46" t="str">
        <v>ME: Union - Route 131 (IRA)</v>
      </c>
      <c r="B13" s="10" t="str">
        <v>ME</v>
      </c>
      <c r="C13" s="87">
        <f>SUM(Jul!C13, Aug!C13, Sep!C13)</f>
        <v>389539.5</v>
      </c>
      <c r="D13" s="16">
        <f>SUM(Jul!D13, Aug!D13, Sep!D13)</f>
        <v>390421.36800000002</v>
      </c>
      <c r="E13" s="16">
        <f>IF(AND(ISNUMBER(C13),ISNUMBER(D13)), C13-D13, "")</f>
        <v>-881.86800000001676</v>
      </c>
      <c r="F13" s="88">
        <f>IFERROR(E13/D13, "")</f>
        <v>-2.2587595666639249E-3</v>
      </c>
      <c r="G13" s="89">
        <f>SUM(Jul!G13,Aug!G13,Sep!G13)</f>
        <v>358531.5</v>
      </c>
      <c r="H13" s="89">
        <f>SUM(Jul!H13, Aug!H13, Sep!H13)</f>
        <v>31008</v>
      </c>
      <c r="I13" s="88">
        <f>IFERROR(H13/G13, "")</f>
        <v>8.6486124650135346E-2</v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79 I4:I79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G21" sqref="G21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6" t="str" cm="1">
        <f t="array" ref="A1">portfolio</f>
        <v>ALIGNED</v>
      </c>
      <c r="B1" s="116"/>
      <c r="C1" s="116"/>
      <c r="D1" s="117" t="s">
        <v>16</v>
      </c>
      <c r="E1" s="117"/>
      <c r="F1" s="117"/>
      <c r="G1" s="115" t="s">
        <v>17</v>
      </c>
      <c r="H1" s="115"/>
      <c r="I1" s="115"/>
    </row>
    <row r="2" spans="1:9" ht="19.5" customHeight="1">
      <c r="A2" s="118" t="s">
        <v>2</v>
      </c>
      <c r="B2" s="118"/>
      <c r="C2" s="5">
        <f>SUM(C4:C79)</f>
        <v>3737775.7019248344</v>
      </c>
      <c r="D2" s="5">
        <f>SUM(D4:D79)</f>
        <v>3718673.16</v>
      </c>
      <c r="E2" s="5">
        <f>C2-D2</f>
        <v>19102.541924834251</v>
      </c>
      <c r="F2" s="6">
        <f>IFERROR(E2/D2, 0)</f>
        <v>5.1369241401237452E-3</v>
      </c>
      <c r="G2" s="5">
        <f>SUM(G4:G79)</f>
        <v>4421516.08</v>
      </c>
      <c r="H2" s="7">
        <f>C2-G2</f>
        <v>-683740.37807516567</v>
      </c>
      <c r="I2" s="6">
        <f>IFERROR(H2/G2, 0)</f>
        <v>-0.15463935123247718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SUM(Oct!C4, Nov!C4, Dec!C4)</f>
        <v>267977.31500000053</v>
      </c>
      <c r="D4" s="12">
        <f>SUM(Oct!D4, Nov!D4, Dec!D4)</f>
        <v>221261.93</v>
      </c>
      <c r="E4" s="12">
        <f>IF(AND(ISNUMBER(C4),ISNUMBER(D4)), C4-D4, "")</f>
        <v>46715.385000000533</v>
      </c>
      <c r="F4" s="13">
        <f>IFERROR(E4/D4, "")</f>
        <v>0.21113159864419756</v>
      </c>
      <c r="G4" s="14">
        <f>SUM(Oct!G4,Nov!G4,Dec!G4)</f>
        <v>347700</v>
      </c>
      <c r="H4" s="14">
        <f>SUM(Oct!H4, Nov!H4, Dec!H4)</f>
        <v>-79722.684999999488</v>
      </c>
      <c r="I4" s="15">
        <f>IFERROR(H4/G4, "")</f>
        <v>-0.2292858354903638</v>
      </c>
    </row>
    <row r="5" spans="1:9" ht="15.6">
      <c r="A5" s="46" t="str">
        <v>Loudon - 7046 Pleasant Street</v>
      </c>
      <c r="B5" s="10" t="str">
        <v>NH</v>
      </c>
      <c r="C5" s="11">
        <f>SUM(Oct!C5, Nov!C5, Dec!C5)</f>
        <v>308297.87562189077</v>
      </c>
      <c r="D5" s="16">
        <f>SUM(Oct!D5, Nov!D5, Dec!D5)</f>
        <v>334419.24</v>
      </c>
      <c r="E5" s="16">
        <f t="shared" ref="E5:E7" si="0">IF(AND(ISNUMBER(C5),ISNUMBER(D5)), C5-D5, "")</f>
        <v>-26121.364378109225</v>
      </c>
      <c r="F5" s="17">
        <f>IFERROR(E5/D5, "")</f>
        <v>-7.8109633818045948E-2</v>
      </c>
      <c r="G5" s="16">
        <f>SUM(Oct!G5,Nov!G5,Dec!G5)</f>
        <v>331506.68</v>
      </c>
      <c r="H5" s="18">
        <f>SUM(Oct!H5, Nov!H5, Dec!H5)</f>
        <v>-23208.804378109213</v>
      </c>
      <c r="I5" s="17">
        <f>IFERROR(H5/G5, "")</f>
        <v>-7.0010065492825707E-2</v>
      </c>
    </row>
    <row r="6" spans="1:9" ht="15.6">
      <c r="A6" s="45" t="str">
        <v>Nashua - Pennichuck Water  East</v>
      </c>
      <c r="B6" s="9" t="str">
        <v>NH</v>
      </c>
      <c r="C6" s="22">
        <f>SUM(Oct!C6, Nov!C6, Dec!C6)</f>
        <v>305684.49999641057</v>
      </c>
      <c r="D6" s="12">
        <f>SUM(Oct!D6, Nov!D6, Dec!D6)</f>
        <v>206533.64</v>
      </c>
      <c r="E6" s="12">
        <f t="shared" si="0"/>
        <v>99150.859996410552</v>
      </c>
      <c r="F6" s="13">
        <f t="shared" ref="F6:F7" si="1">IFERROR(E6/D6, "")</f>
        <v>0.48007123680389568</v>
      </c>
      <c r="G6" s="14">
        <f>SUM(Oct!G6,Nov!G6,Dec!G6)</f>
        <v>218920</v>
      </c>
      <c r="H6" s="14">
        <f>SUM(Oct!H6, Nov!H6, Dec!H6)</f>
        <v>86764.49999641061</v>
      </c>
      <c r="I6" s="15">
        <f t="shared" ref="I6:I7" si="2">IFERROR(H6/G6, "")</f>
        <v>0.39632970946652024</v>
      </c>
    </row>
    <row r="7" spans="1:9" ht="15.6">
      <c r="A7" s="46" t="str">
        <v>Nashua - Pennichuck Water West</v>
      </c>
      <c r="B7" s="10" t="str">
        <v>NH</v>
      </c>
      <c r="C7" s="11">
        <f>SUM(Oct!C7, Nov!C7, Dec!C7)</f>
        <v>234597.2613065328</v>
      </c>
      <c r="D7" s="16">
        <f>SUM(Oct!D7, Nov!D7, Dec!D7)</f>
        <v>110130.03</v>
      </c>
      <c r="E7" s="16">
        <f t="shared" si="0"/>
        <v>124467.23130653281</v>
      </c>
      <c r="F7" s="17">
        <f t="shared" si="1"/>
        <v>1.130184304013472</v>
      </c>
      <c r="G7" s="16">
        <f>SUM(Oct!G7,Nov!G7,Dec!G7)</f>
        <v>253600</v>
      </c>
      <c r="H7" s="18">
        <f>SUM(Oct!H7, Nov!H7, Dec!H7)</f>
        <v>-19002.738693467203</v>
      </c>
      <c r="I7" s="17">
        <f t="shared" si="2"/>
        <v>-7.4931934911148274E-2</v>
      </c>
    </row>
    <row r="8" spans="1:9" ht="15.6">
      <c r="A8" s="45" t="str">
        <v>Boothbay - Wiscasset Road</v>
      </c>
      <c r="B8" s="9" t="str">
        <v>ME</v>
      </c>
      <c r="C8" s="82">
        <f>SUM(Oct!C8, Nov!C8, Dec!C8)</f>
        <v>304196</v>
      </c>
      <c r="D8" s="12">
        <f>SUM(Oct!D8, Nov!D8, Dec!D8)</f>
        <v>365918.95</v>
      </c>
      <c r="E8" s="12">
        <f t="shared" ref="E8:E13" si="3">IF(AND(ISNUMBER(C8),ISNUMBER(D8)), C8-D8, "")</f>
        <v>-61722.950000000012</v>
      </c>
      <c r="F8" s="83">
        <f t="shared" ref="F8:F13" si="4">IFERROR(E8/D8, "")</f>
        <v>-0.16867929359766695</v>
      </c>
      <c r="G8" s="84">
        <f>SUM(Oct!G8,Nov!G8,Dec!G8)</f>
        <v>304118</v>
      </c>
      <c r="H8" s="84">
        <f>SUM(Oct!H8, Nov!H8, Dec!H8)</f>
        <v>78</v>
      </c>
      <c r="I8" s="85">
        <f t="shared" ref="I8:I13" si="5">IFERROR(H8/G8, "")</f>
        <v>2.5647939286724231E-4</v>
      </c>
    </row>
    <row r="9" spans="1:9" ht="15.6">
      <c r="A9" s="46" t="str">
        <v>Thorndike -  Leonard Road</v>
      </c>
      <c r="B9" s="10" t="str">
        <v>ME</v>
      </c>
      <c r="C9" s="87">
        <f>SUM(Oct!C9, Nov!C9, Dec!C9)</f>
        <v>294773</v>
      </c>
      <c r="D9" s="16">
        <f>SUM(Oct!D9, Nov!D9, Dec!D9)</f>
        <v>198879.76</v>
      </c>
      <c r="E9" s="16">
        <f t="shared" si="3"/>
        <v>95893.239999999991</v>
      </c>
      <c r="F9" s="17">
        <f t="shared" si="4"/>
        <v>0.48216691331485911</v>
      </c>
      <c r="G9" s="16">
        <f>SUM(Oct!G9,Nov!G9,Dec!G9)</f>
        <v>348051.20000000001</v>
      </c>
      <c r="H9" s="18">
        <f>SUM(Oct!H9, Nov!H9, Dec!H9)</f>
        <v>-53278.200000000012</v>
      </c>
      <c r="I9" s="17">
        <f t="shared" si="5"/>
        <v>-0.15307575437177062</v>
      </c>
    </row>
    <row r="10" spans="1:9" ht="15.6">
      <c r="A10" s="45" t="str">
        <v>Topsham - Solarize LLC</v>
      </c>
      <c r="B10" s="9" t="str">
        <v>ME</v>
      </c>
      <c r="C10" s="82">
        <f>SUM(Oct!C10, Nov!C10, Dec!C10)</f>
        <v>247206</v>
      </c>
      <c r="D10" s="12">
        <f>SUM(Oct!D10, Nov!D10, Dec!D10)</f>
        <v>272779.61</v>
      </c>
      <c r="E10" s="12">
        <f t="shared" si="3"/>
        <v>-25573.609999999986</v>
      </c>
      <c r="F10" s="83">
        <f t="shared" si="4"/>
        <v>-9.3751912028908563E-2</v>
      </c>
      <c r="G10" s="84">
        <f>SUM(Oct!G10,Nov!G10,Dec!G10)</f>
        <v>811356</v>
      </c>
      <c r="H10" s="84">
        <f>SUM(Oct!H10, Nov!H10, Dec!H10)</f>
        <v>-564150</v>
      </c>
      <c r="I10" s="85">
        <f t="shared" si="5"/>
        <v>-0.69531746853415766</v>
      </c>
    </row>
    <row r="11" spans="1:9" ht="15.6">
      <c r="A11" s="46" t="str">
        <v>Cherryfield - 727 North Main St (IRA)</v>
      </c>
      <c r="B11" s="10" t="str">
        <v>ME</v>
      </c>
      <c r="C11" s="87">
        <f>SUM(Oct!C11, Nov!C11, Dec!C11)</f>
        <v>499779</v>
      </c>
      <c r="D11" s="16">
        <f>SUM(Oct!D11, Nov!D11, Dec!D11)</f>
        <v>548176.5</v>
      </c>
      <c r="E11" s="16">
        <f t="shared" si="3"/>
        <v>-48397.5</v>
      </c>
      <c r="F11" s="88">
        <f t="shared" si="4"/>
        <v>-8.8288169959857818E-2</v>
      </c>
      <c r="G11" s="16">
        <f>SUM(Oct!G11,Nov!G11,Dec!G11)</f>
        <v>466792.60000000003</v>
      </c>
      <c r="H11" s="89">
        <f>SUM(Oct!H11, Nov!H11, Dec!H11)</f>
        <v>32986.400000000009</v>
      </c>
      <c r="I11" s="88">
        <f t="shared" si="5"/>
        <v>7.066607311255578E-2</v>
      </c>
    </row>
    <row r="12" spans="1:9" ht="15.6">
      <c r="A12" s="45" t="str">
        <v>ME: Bucksport - 258 Route 1 (IRA)</v>
      </c>
      <c r="B12" s="9" t="str">
        <v>ME</v>
      </c>
      <c r="C12" s="82">
        <f>SUM(Oct!C12, Nov!C12, Dec!C12)</f>
        <v>618589</v>
      </c>
      <c r="D12" s="12">
        <f>SUM(Oct!D12, Nov!D12, Dec!D12)</f>
        <v>745056.3</v>
      </c>
      <c r="E12" s="12">
        <f t="shared" si="3"/>
        <v>-126467.30000000005</v>
      </c>
      <c r="F12" s="83">
        <f t="shared" si="4"/>
        <v>-0.16974193762270051</v>
      </c>
      <c r="G12" s="84">
        <f>SUM(Oct!G12,Nov!G12,Dec!G12)</f>
        <v>757845.6</v>
      </c>
      <c r="H12" s="84">
        <f>SUM(Oct!H12, Nov!H12, Dec!H12)</f>
        <v>-139256.6</v>
      </c>
      <c r="I12" s="85">
        <f t="shared" si="5"/>
        <v>-0.18375326055861513</v>
      </c>
    </row>
    <row r="13" spans="1:9" ht="15.6">
      <c r="A13" s="46" t="str">
        <v>ME: Union - Route 131 (IRA)</v>
      </c>
      <c r="B13" s="10" t="str">
        <v>ME</v>
      </c>
      <c r="C13" s="87">
        <f>SUM(Oct!C13, Nov!C13, Dec!C13)</f>
        <v>656675.75</v>
      </c>
      <c r="D13" s="16">
        <f>SUM(Oct!D13, Nov!D13, Dec!D13)</f>
        <v>715517.2</v>
      </c>
      <c r="E13" s="16">
        <f t="shared" si="3"/>
        <v>-58841.449999999953</v>
      </c>
      <c r="F13" s="88">
        <f t="shared" si="4"/>
        <v>-8.2236248129325132E-2</v>
      </c>
      <c r="G13" s="16">
        <f>SUM(Oct!G13,Nov!G13,Dec!G13)</f>
        <v>581626</v>
      </c>
      <c r="H13" s="89">
        <f>SUM(Oct!H13, Nov!H13, Dec!H13)</f>
        <v>75049.75</v>
      </c>
      <c r="I13" s="88">
        <f t="shared" si="5"/>
        <v>0.12903437948097232</v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80" zoomScaleNormal="80" workbookViewId="0">
      <pane xSplit="2" ySplit="3" topLeftCell="F4" activePane="bottomRight" state="frozen"/>
      <selection pane="bottomRight" activeCell="F7" sqref="F7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6" t="str" cm="1">
        <f t="array" ref="A1">portfolio</f>
        <v>ALIGNED</v>
      </c>
      <c r="B1" s="116"/>
      <c r="C1" s="116"/>
      <c r="D1" s="117" t="s">
        <v>18</v>
      </c>
      <c r="E1" s="117"/>
      <c r="F1" s="117"/>
      <c r="G1" s="115" t="s">
        <v>19</v>
      </c>
      <c r="H1" s="115"/>
      <c r="I1" s="115"/>
      <c r="J1" s="4"/>
      <c r="K1" s="4"/>
    </row>
    <row r="2" spans="1:11" ht="19.5" customHeight="1">
      <c r="A2" s="118" t="s">
        <v>2</v>
      </c>
      <c r="B2" s="118"/>
      <c r="C2" s="5">
        <f>SUM(C4:C78)</f>
        <v>346871.4781783917</v>
      </c>
      <c r="D2" s="5">
        <f>SUM(D4:D78)</f>
        <v>348784.49000000005</v>
      </c>
      <c r="E2" s="5">
        <f>C2-D2</f>
        <v>-1913.0118216083501</v>
      </c>
      <c r="F2" s="6">
        <f>IFERROR(E2/D2, 0)</f>
        <v>-5.4847961318702848E-3</v>
      </c>
      <c r="G2" s="5">
        <f>SUM(G4:G78)</f>
        <v>194816.2</v>
      </c>
      <c r="H2" s="7">
        <f>C2-G2</f>
        <v>152055.27817839169</v>
      </c>
      <c r="I2" s="6">
        <f>IFERROR(H2/G2, 0)</f>
        <v>0.78050633457788254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86.45">
      <c r="A4" s="66" t="str" cm="1">
        <f t="array" ref="A4:A13">Sites[Site]</f>
        <v>Conway -US 302 and Stirch Road</v>
      </c>
      <c r="B4" s="61" t="str" cm="1">
        <f t="array" ref="B4:B13">Sites[State]</f>
        <v>NH</v>
      </c>
      <c r="C4" s="68">
        <v>80975</v>
      </c>
      <c r="D4" s="62">
        <v>75060.55</v>
      </c>
      <c r="E4" s="62">
        <f>IF(AND(ISNUMBER(C4),ISNUMBER(D4)), C4-D4, "")</f>
        <v>5914.4499999999971</v>
      </c>
      <c r="F4" s="63">
        <f>IFERROR(E4/D4, "")</f>
        <v>7.879571892292285E-2</v>
      </c>
      <c r="G4" s="70" t="s">
        <v>22</v>
      </c>
      <c r="H4" s="64" t="str">
        <f>IF(AND(ISNUMBER(C4),ISNUMBER(G4)), C4-G4, "")</f>
        <v/>
      </c>
      <c r="I4" s="63" t="str">
        <f>IFERROR(H4/G4, "")</f>
        <v/>
      </c>
      <c r="J4" s="65" t="s">
        <v>23</v>
      </c>
      <c r="K4" s="65" t="s">
        <v>24</v>
      </c>
    </row>
    <row r="5" spans="1:11" ht="28.9">
      <c r="A5" s="55" t="str">
        <v>Loudon - 7046 Pleasant Street</v>
      </c>
      <c r="B5" s="56" t="str">
        <v>NH</v>
      </c>
      <c r="C5" s="60">
        <v>94149.5</v>
      </c>
      <c r="D5" s="16">
        <v>123337.60000000001</v>
      </c>
      <c r="E5" s="16">
        <f t="shared" ref="E5:E6" si="0">IF(AND(ISNUMBER(C5),ISNUMBER(D5)), C5-D5, "")</f>
        <v>-29188.100000000006</v>
      </c>
      <c r="F5" s="57">
        <f t="shared" ref="F5:F7" si="1">IFERROR(E5/D5, "")</f>
        <v>-0.23665208338738555</v>
      </c>
      <c r="G5" s="58">
        <v>122352.2</v>
      </c>
      <c r="H5" s="58">
        <f t="shared" ref="H5:H6" si="2">IF(AND(ISNUMBER(C5),ISNUMBER(G5)), C5-G5, "")</f>
        <v>-28202.699999999997</v>
      </c>
      <c r="I5" s="57">
        <f t="shared" ref="I5:I6" si="3">IFERROR(H5/G5, "")</f>
        <v>-0.23050423286217983</v>
      </c>
      <c r="J5" s="59" t="s">
        <v>25</v>
      </c>
      <c r="K5" s="67" t="s">
        <v>26</v>
      </c>
    </row>
    <row r="6" spans="1:11" ht="28.9">
      <c r="A6" s="66" t="str">
        <v>Nashua - Pennichuck Water  East</v>
      </c>
      <c r="B6" s="61" t="str">
        <v>NH</v>
      </c>
      <c r="C6" s="68">
        <v>97358.635678391904</v>
      </c>
      <c r="D6" s="62">
        <v>67312.38</v>
      </c>
      <c r="E6" s="62">
        <f t="shared" si="0"/>
        <v>30046.255678391899</v>
      </c>
      <c r="F6" s="63">
        <f>IFERROR(E6/D6, "")</f>
        <v>0.44637042514901265</v>
      </c>
      <c r="G6" s="64">
        <v>72464</v>
      </c>
      <c r="H6" s="64">
        <f t="shared" si="2"/>
        <v>24894.635678391904</v>
      </c>
      <c r="I6" s="63">
        <f t="shared" si="3"/>
        <v>0.34354487301821462</v>
      </c>
      <c r="J6" s="65" t="s">
        <v>27</v>
      </c>
      <c r="K6" s="65" t="s">
        <v>28</v>
      </c>
    </row>
    <row r="7" spans="1:11" ht="15.6">
      <c r="A7" s="55" t="str">
        <v>Nashua - Pennichuck Water West</v>
      </c>
      <c r="B7" s="56" t="str">
        <v>NH</v>
      </c>
      <c r="C7" s="60">
        <v>74388.342499999795</v>
      </c>
      <c r="D7" s="16">
        <v>83073.960000000006</v>
      </c>
      <c r="E7" s="16">
        <f>IF(AND(ISNUMBER(C7),ISNUMBER(D7)), C7-D7, "")</f>
        <v>-8685.6175000002113</v>
      </c>
      <c r="F7" s="57">
        <f t="shared" si="1"/>
        <v>-0.10455282858792588</v>
      </c>
      <c r="G7" s="16" t="s">
        <v>22</v>
      </c>
      <c r="H7" s="58" t="str">
        <f>IF(AND(ISNUMBER(C7),ISNUMBER(G7)), C7-G7, "")</f>
        <v/>
      </c>
      <c r="I7" s="57" t="str">
        <f t="shared" ref="I7" si="4">IFERROR(H7/G7, "")</f>
        <v/>
      </c>
      <c r="J7" s="59" t="s">
        <v>29</v>
      </c>
      <c r="K7" s="59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20"/>
      <c r="G11" s="19"/>
      <c r="H11" s="19"/>
      <c r="I11" s="20"/>
      <c r="J11" s="19"/>
      <c r="K11" s="19"/>
    </row>
    <row r="12" spans="1:11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</sheetData>
  <mergeCells count="4">
    <mergeCell ref="D1:F1"/>
    <mergeCell ref="A1:C1"/>
    <mergeCell ref="G1:I1"/>
    <mergeCell ref="A2:B2"/>
  </mergeCells>
  <conditionalFormatting sqref="F2 I2 F8:F78 I8:I7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G4" sqref="G4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6" t="str" cm="1">
        <f t="array" ref="A1">portfolio</f>
        <v>ALIGNED</v>
      </c>
      <c r="B1" s="116"/>
      <c r="C1" s="116"/>
      <c r="D1" s="117" t="s">
        <v>30</v>
      </c>
      <c r="E1" s="117"/>
      <c r="F1" s="117"/>
      <c r="G1" s="115" t="s">
        <v>31</v>
      </c>
      <c r="H1" s="115"/>
      <c r="I1" s="115"/>
      <c r="J1" s="4"/>
      <c r="K1" s="4"/>
    </row>
    <row r="2" spans="1:11" ht="19.5" customHeight="1">
      <c r="A2" s="118" t="s">
        <v>2</v>
      </c>
      <c r="B2" s="118"/>
      <c r="C2" s="5">
        <f>SUM(C4:C77)</f>
        <v>260811.3696636479</v>
      </c>
      <c r="D2" s="5">
        <f>SUM(D4:D77)</f>
        <v>383101.45</v>
      </c>
      <c r="E2" s="5">
        <f>C2-D2</f>
        <v>-122290.08033635211</v>
      </c>
      <c r="F2" s="6">
        <f>IFERROR(E2/D2, 0)</f>
        <v>-0.31921069559082094</v>
      </c>
      <c r="G2" s="5">
        <f>SUM(G4:G77)</f>
        <v>231043.9</v>
      </c>
      <c r="H2" s="7">
        <f>C2-G2</f>
        <v>29767.469663647906</v>
      </c>
      <c r="I2" s="6">
        <f>IFERROR(H2/G2, 0)</f>
        <v>0.12883902004618131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9">
      <c r="A4" s="66" t="str" cm="1">
        <f t="array" ref="A4:A13">Sites[Site]</f>
        <v>Conway -US 302 and Stirch Road</v>
      </c>
      <c r="B4" s="61" t="str" cm="1">
        <f t="array" ref="B4:B13">Sites[State]</f>
        <v>NH</v>
      </c>
      <c r="C4" s="68">
        <v>50574.1815920398</v>
      </c>
      <c r="D4" s="62">
        <v>92518.7</v>
      </c>
      <c r="E4" s="62">
        <f>IF(AND(ISNUMBER(C4),ISNUMBER(D4)), C4-D4, "")</f>
        <v>-41944.518407960197</v>
      </c>
      <c r="F4" s="57">
        <f>IFERROR(E4/D4, "")</f>
        <v>-0.45336260029550995</v>
      </c>
      <c r="G4" s="70" t="s">
        <v>22</v>
      </c>
      <c r="H4" s="64" t="str">
        <f>IF(AND(ISNUMBER(C4),ISNUMBER(G4)), C4-G4, "")</f>
        <v/>
      </c>
      <c r="I4" s="63" t="str">
        <f>IFERROR(H4/G4, "")</f>
        <v/>
      </c>
      <c r="J4" s="65" t="s">
        <v>32</v>
      </c>
      <c r="K4" s="73" t="s">
        <v>33</v>
      </c>
    </row>
    <row r="5" spans="1:11" ht="15.6">
      <c r="A5" s="55" t="str">
        <v>Loudon - 7046 Pleasant Street</v>
      </c>
      <c r="B5" s="56" t="str">
        <v>NH</v>
      </c>
      <c r="C5" s="60">
        <v>68847.5</v>
      </c>
      <c r="D5" s="16">
        <v>123029.3</v>
      </c>
      <c r="E5" s="16">
        <f t="shared" ref="E5:E7" si="0">IF(AND(ISNUMBER(C5),ISNUMBER(D5)), C5-D5, "")</f>
        <v>-54181.8</v>
      </c>
      <c r="F5" s="57">
        <f t="shared" ref="F5:F7" si="1">IFERROR(E5/D5, "")</f>
        <v>-0.44039753131977505</v>
      </c>
      <c r="G5" s="58">
        <v>139243.9</v>
      </c>
      <c r="H5" s="58">
        <f t="shared" ref="H5:H7" si="2">IF(AND(ISNUMBER(C5),ISNUMBER(G5)), C5-G5, "")</f>
        <v>-70396.399999999994</v>
      </c>
      <c r="I5" s="57">
        <f t="shared" ref="I5:I7" si="3">IFERROR(H5/G5, "")</f>
        <v>-0.50556182353410095</v>
      </c>
      <c r="J5" s="59" t="s">
        <v>29</v>
      </c>
      <c r="K5" s="59"/>
    </row>
    <row r="6" spans="1:11" ht="28.9">
      <c r="A6" s="49" t="str">
        <v>Nashua - Pennichuck Water  East</v>
      </c>
      <c r="B6" s="27" t="str">
        <v>NH</v>
      </c>
      <c r="C6" s="22">
        <v>84190.364321608096</v>
      </c>
      <c r="D6" s="12">
        <v>90026.76</v>
      </c>
      <c r="E6" s="12">
        <f t="shared" si="0"/>
        <v>-5836.3956783918984</v>
      </c>
      <c r="F6" s="17">
        <f t="shared" si="1"/>
        <v>-6.4829564880396665E-2</v>
      </c>
      <c r="G6" s="14">
        <v>91800</v>
      </c>
      <c r="H6" s="14">
        <f t="shared" si="2"/>
        <v>-7609.6356783919036</v>
      </c>
      <c r="I6" s="15">
        <f t="shared" si="3"/>
        <v>-8.2893634840870409E-2</v>
      </c>
      <c r="J6" s="39" t="s">
        <v>27</v>
      </c>
      <c r="K6" s="74" t="s">
        <v>28</v>
      </c>
    </row>
    <row r="7" spans="1:11" ht="15.6">
      <c r="A7" s="48" t="str">
        <v>Nashua - Pennichuck Water West</v>
      </c>
      <c r="B7" s="29" t="str">
        <v>NH</v>
      </c>
      <c r="C7" s="11">
        <v>57199.323750000003</v>
      </c>
      <c r="D7" s="16">
        <v>77526.69</v>
      </c>
      <c r="E7" s="16">
        <f t="shared" si="0"/>
        <v>-20327.366249999999</v>
      </c>
      <c r="F7" s="57">
        <f t="shared" si="1"/>
        <v>-0.26219829906320002</v>
      </c>
      <c r="G7" s="71" t="s">
        <v>22</v>
      </c>
      <c r="H7" s="18" t="str">
        <f t="shared" si="2"/>
        <v/>
      </c>
      <c r="I7" s="17" t="str">
        <f t="shared" si="3"/>
        <v/>
      </c>
      <c r="J7" s="40" t="s">
        <v>29</v>
      </c>
      <c r="K7" s="52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 t="s">
        <v>34</v>
      </c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20"/>
      <c r="G10" s="19"/>
      <c r="H10" s="19"/>
      <c r="I10" s="20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20"/>
      <c r="G11" s="19"/>
      <c r="H11" s="19"/>
      <c r="I11" s="20"/>
      <c r="J11" s="19"/>
      <c r="K11" s="19"/>
    </row>
    <row r="12" spans="1:11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C319" s="19"/>
      <c r="D319" s="19"/>
      <c r="E319" s="19"/>
      <c r="F319" s="20"/>
      <c r="G319" s="19"/>
      <c r="H319" s="19"/>
      <c r="I319" s="20"/>
      <c r="J319" s="19"/>
      <c r="K319" s="19"/>
    </row>
  </sheetData>
  <mergeCells count="4">
    <mergeCell ref="G1:I1"/>
    <mergeCell ref="A1:C1"/>
    <mergeCell ref="D1:F1"/>
    <mergeCell ref="A2:B2"/>
  </mergeCells>
  <conditionalFormatting sqref="F2 I2 I6:I77 F8:F77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6">
    <cfRule type="cellIs" dxfId="24" priority="1" stopIfTrue="1" operator="lessThanOrEqual">
      <formula>-0.1</formula>
    </cfRule>
    <cfRule type="expression" dxfId="23" priority="2">
      <formula>AND(ISNUMBER(F6), F6&gt;=0.1)</formula>
    </cfRule>
  </conditionalFormatting>
  <hyperlinks>
    <hyperlink ref="K4" r:id="rId1" display="https://us3.assetplanner.com/service_request?ID=093738" xr:uid="{9AE87990-0645-461B-BBA4-EA4099988AA9}"/>
    <hyperlink ref="K6" r:id="rId2" display="https://us3.assetplanner.com/service_request?ID=099647" xr:uid="{B8A94AB9-5A2A-4045-95F3-A339EB7B26B4}"/>
  </hyperlinks>
  <pageMargins left="0.4" right="0.7" top="0.25" bottom="0.25" header="0.3" footer="0.3"/>
  <pageSetup fitToHeight="99" orientation="landscape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bottomRight" activeCell="H18" sqref="H18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116" t="str" cm="1">
        <f t="array" ref="A1">portfolio</f>
        <v>ALIGNED</v>
      </c>
      <c r="B1" s="116"/>
      <c r="C1" s="116"/>
      <c r="D1" s="117" t="s">
        <v>35</v>
      </c>
      <c r="E1" s="117"/>
      <c r="F1" s="117"/>
      <c r="G1" s="115" t="s">
        <v>36</v>
      </c>
      <c r="H1" s="115"/>
      <c r="I1" s="115"/>
      <c r="J1" s="4"/>
      <c r="K1" s="4"/>
    </row>
    <row r="2" spans="1:13" ht="19.5" customHeight="1">
      <c r="A2" s="118" t="s">
        <v>2</v>
      </c>
      <c r="B2" s="118"/>
      <c r="C2" s="5">
        <f>SUM(C4:C79)</f>
        <v>540693.98340796004</v>
      </c>
      <c r="D2" s="5">
        <f>SUM(D4:D79)</f>
        <v>509807.51999999996</v>
      </c>
      <c r="E2" s="5">
        <f>C2-D2</f>
        <v>30886.46340796008</v>
      </c>
      <c r="F2" s="6">
        <f>IFERROR(E2/D2, 0)</f>
        <v>6.0584558281839548E-2</v>
      </c>
      <c r="G2" s="5">
        <f>SUM(G4:G79)</f>
        <v>294216.3</v>
      </c>
      <c r="H2" s="7">
        <f>C2-G2</f>
        <v>246477.68340796005</v>
      </c>
      <c r="I2" s="6">
        <f>IFERROR(H2/G2, 0)</f>
        <v>0.83774312778714188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15.15">
      <c r="A4" s="69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133981.81840796</v>
      </c>
      <c r="D4" s="12">
        <v>129640.9</v>
      </c>
      <c r="E4" s="12">
        <f>IF(AND(ISNUMBER(C4),ISNUMBER(D4)), C4-D4, "")</f>
        <v>4340.9184079600091</v>
      </c>
      <c r="F4" s="13">
        <f>IFERROR(E4/D4, "")</f>
        <v>3.3484173651679439E-2</v>
      </c>
      <c r="G4" s="72" t="s">
        <v>22</v>
      </c>
      <c r="H4" s="14" t="str">
        <f>IF(AND(ISNUMBER(C4),ISNUMBER(G4)), C4-G4, "")</f>
        <v/>
      </c>
      <c r="I4" s="15" t="str">
        <f>IFERROR(H4/G4, "")</f>
        <v/>
      </c>
      <c r="J4" s="51" t="s">
        <v>37</v>
      </c>
      <c r="K4" s="75" t="s">
        <v>38</v>
      </c>
      <c r="L4" s="77" t="s">
        <v>39</v>
      </c>
      <c r="M4" s="77" t="s">
        <v>40</v>
      </c>
    </row>
    <row r="5" spans="1:13" ht="28.9">
      <c r="A5" s="28" t="str">
        <v>Loudon - 7046 Pleasant Street</v>
      </c>
      <c r="B5" s="29" t="str">
        <v>NH</v>
      </c>
      <c r="C5" s="11">
        <v>141619.5</v>
      </c>
      <c r="D5" s="16">
        <v>150060.1</v>
      </c>
      <c r="E5" s="16">
        <f>IF(AND(ISNUMBER(C5),ISNUMBER(D5)), C5-D5, "")</f>
        <v>-8440.6000000000058</v>
      </c>
      <c r="F5" s="17">
        <f>IFERROR(E5/D5, "")</f>
        <v>-5.6248129915947048E-2</v>
      </c>
      <c r="G5" s="18">
        <v>168408.3</v>
      </c>
      <c r="H5" s="18">
        <f>IF(AND(ISNUMBER(C5),ISNUMBER(G5)), C5-G5, "")</f>
        <v>-26788.799999999988</v>
      </c>
      <c r="I5" s="17">
        <f t="shared" ref="I5:I7" si="0">IFERROR(H5/G5, "")</f>
        <v>-0.1590705446228006</v>
      </c>
      <c r="J5" s="40" t="s">
        <v>41</v>
      </c>
      <c r="K5" s="76" t="s">
        <v>42</v>
      </c>
      <c r="L5" s="78"/>
      <c r="M5" s="78"/>
    </row>
    <row r="6" spans="1:13" ht="28.9">
      <c r="A6" s="26" t="str">
        <v>Nashua - Pennichuck Water  East</v>
      </c>
      <c r="B6" s="27" t="str">
        <v>NH</v>
      </c>
      <c r="C6" s="22">
        <v>149613.5</v>
      </c>
      <c r="D6" s="12">
        <v>137537.60000000001</v>
      </c>
      <c r="E6" s="12">
        <f>IF(AND(ISNUMBER(C6),ISNUMBER(D6)), C6-D6, "")</f>
        <v>12075.899999999994</v>
      </c>
      <c r="F6" s="13">
        <f>IFERROR(E6/D6, "")</f>
        <v>8.7800717767359565E-2</v>
      </c>
      <c r="G6" s="14">
        <v>125808</v>
      </c>
      <c r="H6" s="14">
        <f>IF(AND(ISNUMBER(C6),ISNUMBER(G6)), C6-G6, "")</f>
        <v>23805.5</v>
      </c>
      <c r="I6" s="15">
        <f t="shared" si="0"/>
        <v>0.18922087625588199</v>
      </c>
      <c r="J6" s="39" t="s">
        <v>27</v>
      </c>
      <c r="K6" s="74" t="s">
        <v>28</v>
      </c>
      <c r="L6" s="78"/>
      <c r="M6" s="78"/>
    </row>
    <row r="7" spans="1:13" ht="15.6">
      <c r="A7" s="28" t="str">
        <v>Nashua - Pennichuck Water West</v>
      </c>
      <c r="B7" s="29" t="str">
        <v>NH</v>
      </c>
      <c r="C7" s="11">
        <v>115479.16499999999</v>
      </c>
      <c r="D7" s="16">
        <v>92568.92</v>
      </c>
      <c r="E7" s="16">
        <f>IF(AND(ISNUMBER(C7),ISNUMBER(D7)), C7-D7, "")</f>
        <v>22910.244999999995</v>
      </c>
      <c r="F7" s="17">
        <f>IFERROR(E7/D7, "")</f>
        <v>0.24749392128589159</v>
      </c>
      <c r="G7" s="71" t="s">
        <v>22</v>
      </c>
      <c r="H7" s="18" t="str">
        <f>IF(AND(ISNUMBER(C7),ISNUMBER(G7)), C7-G7, "")</f>
        <v/>
      </c>
      <c r="I7" s="17" t="str">
        <f t="shared" si="0"/>
        <v/>
      </c>
      <c r="J7" s="40"/>
      <c r="K7" s="41"/>
      <c r="L7" s="78"/>
      <c r="M7" s="78"/>
    </row>
    <row r="8" spans="1:13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3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3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3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258" xr:uid="{BFEE06F7-B673-4E4D-8095-672354897D9C}"/>
    <hyperlink ref="L4" r:id="rId2" display="https://us3.assetplanner.com/service_request?ID=098648" xr:uid="{E9C4CFDB-7310-481C-A754-7A1F0E28217F}"/>
    <hyperlink ref="M4" r:id="rId3" display="https://us3.assetplanner.com/service_request?ID=093738" xr:uid="{EE23249C-72CD-4ECE-B712-3A7813D9E219}"/>
    <hyperlink ref="K5" r:id="rId4" display="https://us3.assetplanner.com/service_request?ID=098240" xr:uid="{7C196433-B71A-400C-806F-57D1B789A534}"/>
    <hyperlink ref="K6" r:id="rId5" display="https://us3.assetplanner.com/service_request?ID=099647" xr:uid="{00B885FD-852F-4FFC-8AEA-DD7AEBCB98CF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A21" sqref="A21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6" t="str" cm="1">
        <f t="array" ref="A1">portfolio</f>
        <v>ALIGNED</v>
      </c>
      <c r="B1" s="116"/>
      <c r="C1" s="116"/>
      <c r="D1" s="117" t="s">
        <v>43</v>
      </c>
      <c r="E1" s="117"/>
      <c r="F1" s="117"/>
      <c r="G1" s="115" t="s">
        <v>44</v>
      </c>
      <c r="H1" s="115"/>
      <c r="I1" s="115"/>
      <c r="J1" s="4"/>
      <c r="K1" s="4"/>
    </row>
    <row r="2" spans="1:11" ht="19.5" customHeight="1">
      <c r="A2" s="118" t="s">
        <v>2</v>
      </c>
      <c r="B2" s="118"/>
      <c r="C2" s="5">
        <f>SUM(C4:C79)</f>
        <v>1104316.4879999999</v>
      </c>
      <c r="D2" s="5">
        <f>SUM(D4:D79)</f>
        <v>1080231.7580000001</v>
      </c>
      <c r="E2" s="5">
        <f>C2-D2</f>
        <v>24084.729999999749</v>
      </c>
      <c r="F2" s="6">
        <f>IFERROR(E2/D2, 0)</f>
        <v>2.2295891434067378E-2</v>
      </c>
      <c r="G2" s="5">
        <f>SUM(G4:G79)</f>
        <v>893850.36599999992</v>
      </c>
      <c r="H2" s="7">
        <f>C2-G2</f>
        <v>210466.12199999997</v>
      </c>
      <c r="I2" s="6">
        <f>IFERROR(H2/G2, 0)</f>
        <v>0.23546012845733957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33.7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169580.5</v>
      </c>
      <c r="D4" s="12">
        <v>161751.51500000001</v>
      </c>
      <c r="E4" s="12">
        <f>IF(AND(ISNUMBER(C4),ISNUMBER(D4)), C4-D4, "")</f>
        <v>7828.984999999986</v>
      </c>
      <c r="F4" s="13">
        <f>IFERROR(E4/D4, "")</f>
        <v>4.8401308636892737E-2</v>
      </c>
      <c r="G4" s="72" t="s">
        <v>22</v>
      </c>
      <c r="H4" s="14" t="str">
        <f>IF(AND(ISNUMBER(C4),ISNUMBER(G4)), C4-G4, "")</f>
        <v/>
      </c>
      <c r="I4" s="15" t="str">
        <f>IFERROR(H4/G4, "")</f>
        <v/>
      </c>
      <c r="J4" s="51" t="s">
        <v>45</v>
      </c>
      <c r="K4" s="75" t="s">
        <v>46</v>
      </c>
    </row>
    <row r="5" spans="1:11" ht="28.9">
      <c r="A5" s="28" t="str">
        <v>Loudon - 7046 Pleasant Street</v>
      </c>
      <c r="B5" s="29" t="str">
        <v>NH</v>
      </c>
      <c r="C5" s="11">
        <v>169913.505</v>
      </c>
      <c r="D5" s="16">
        <v>165500.23000000001</v>
      </c>
      <c r="E5" s="16">
        <f t="shared" ref="E5:E10" si="0">IF(AND(ISNUMBER(C5),ISNUMBER(D5)), C5-D5, "")</f>
        <v>4413.2749999999942</v>
      </c>
      <c r="F5" s="17">
        <f>IFERROR(E5/D5, "")</f>
        <v>2.6666277140521156E-2</v>
      </c>
      <c r="G5" s="18">
        <v>174527.016</v>
      </c>
      <c r="H5" s="18">
        <f t="shared" ref="H5:H10" si="1">IF(AND(ISNUMBER(C5),ISNUMBER(G5)), C5-G5, "")</f>
        <v>-4613.5109999999986</v>
      </c>
      <c r="I5" s="17">
        <f t="shared" ref="I5:I10" si="2">IFERROR(H5/G5, "")</f>
        <v>-2.6434365897827522E-2</v>
      </c>
      <c r="J5" s="52" t="s">
        <v>47</v>
      </c>
      <c r="K5" s="76" t="s">
        <v>48</v>
      </c>
    </row>
    <row r="6" spans="1:11" ht="28.9">
      <c r="A6" s="26" t="str">
        <v>Nashua - Pennichuck Water  East</v>
      </c>
      <c r="B6" s="27" t="str">
        <v>NH</v>
      </c>
      <c r="C6" s="22">
        <v>164578.201</v>
      </c>
      <c r="D6" s="12">
        <v>175490.065</v>
      </c>
      <c r="E6" s="12">
        <f t="shared" si="0"/>
        <v>-10911.864000000001</v>
      </c>
      <c r="F6" s="13">
        <f t="shared" ref="F6:F10" si="3">IFERROR(E6/D6, "")</f>
        <v>-6.2179383203259976E-2</v>
      </c>
      <c r="G6" s="14">
        <v>131376</v>
      </c>
      <c r="H6" s="14">
        <f t="shared" si="1"/>
        <v>33202.201000000001</v>
      </c>
      <c r="I6" s="15">
        <f t="shared" si="2"/>
        <v>0.25272653300450615</v>
      </c>
      <c r="J6" s="51" t="s">
        <v>49</v>
      </c>
      <c r="K6" s="75" t="s">
        <v>50</v>
      </c>
    </row>
    <row r="7" spans="1:11" ht="43.15">
      <c r="A7" s="28" t="str">
        <v>Nashua - Pennichuck Water West</v>
      </c>
      <c r="B7" s="29" t="str">
        <v>NH</v>
      </c>
      <c r="C7" s="11">
        <v>126556</v>
      </c>
      <c r="D7" s="16">
        <v>96930.197</v>
      </c>
      <c r="E7" s="16">
        <f t="shared" si="0"/>
        <v>29625.803</v>
      </c>
      <c r="F7" s="17">
        <f t="shared" si="3"/>
        <v>0.30564059412775152</v>
      </c>
      <c r="G7" s="71" t="s">
        <v>22</v>
      </c>
      <c r="H7" s="18" t="str">
        <f t="shared" si="1"/>
        <v/>
      </c>
      <c r="I7" s="17" t="str">
        <f t="shared" si="2"/>
        <v/>
      </c>
      <c r="J7" s="81" t="s">
        <v>51</v>
      </c>
      <c r="K7" s="76" t="s">
        <v>52</v>
      </c>
    </row>
    <row r="8" spans="1:11" ht="15.6">
      <c r="A8" s="26" t="str">
        <v>Boothbay - Wiscasset Road</v>
      </c>
      <c r="B8" s="27" t="str">
        <v>ME</v>
      </c>
      <c r="C8" s="22">
        <v>174667.81299999999</v>
      </c>
      <c r="D8" s="12">
        <v>176099.45199999999</v>
      </c>
      <c r="E8" s="12">
        <f t="shared" si="0"/>
        <v>-1431.6389999999956</v>
      </c>
      <c r="F8" s="13">
        <f t="shared" si="3"/>
        <v>-8.129718654661092E-3</v>
      </c>
      <c r="G8" s="14">
        <v>186747.5</v>
      </c>
      <c r="H8" s="14">
        <f t="shared" si="1"/>
        <v>-12079.687000000005</v>
      </c>
      <c r="I8" s="15">
        <f t="shared" si="2"/>
        <v>-6.4684598187392098E-2</v>
      </c>
      <c r="J8" s="51"/>
      <c r="K8" s="51"/>
    </row>
    <row r="9" spans="1:11" ht="15.6">
      <c r="A9" s="28" t="str">
        <v>Thorndike -  Leonard Road</v>
      </c>
      <c r="B9" s="29" t="str">
        <v>ME</v>
      </c>
      <c r="C9" s="11">
        <v>165038.875</v>
      </c>
      <c r="D9" s="16">
        <v>172328.69399999999</v>
      </c>
      <c r="E9" s="16">
        <f t="shared" si="0"/>
        <v>-7289.8189999999886</v>
      </c>
      <c r="F9" s="17">
        <f t="shared" si="3"/>
        <v>-4.2301829316944685E-2</v>
      </c>
      <c r="G9" s="71">
        <v>380764.85</v>
      </c>
      <c r="H9" s="18">
        <f t="shared" si="1"/>
        <v>-215725.97499999998</v>
      </c>
      <c r="I9" s="17">
        <f t="shared" si="2"/>
        <v>-0.56655958395319317</v>
      </c>
      <c r="J9" s="81" t="s">
        <v>53</v>
      </c>
      <c r="K9" s="76" t="s">
        <v>54</v>
      </c>
    </row>
    <row r="10" spans="1:11" ht="57.6">
      <c r="A10" s="26" t="str">
        <v>Topsham - Solarize LLC</v>
      </c>
      <c r="B10" s="27" t="str">
        <v>ME</v>
      </c>
      <c r="C10" s="22">
        <v>133981.59400000001</v>
      </c>
      <c r="D10" s="12">
        <v>132131.60500000001</v>
      </c>
      <c r="E10" s="12">
        <f t="shared" si="0"/>
        <v>1849.9890000000014</v>
      </c>
      <c r="F10" s="13">
        <f t="shared" si="3"/>
        <v>1.4001108970105989E-2</v>
      </c>
      <c r="G10" s="14">
        <v>20435</v>
      </c>
      <c r="H10" s="14">
        <f t="shared" si="1"/>
        <v>113546.59400000001</v>
      </c>
      <c r="I10" s="15">
        <f t="shared" si="2"/>
        <v>5.5564763396134094</v>
      </c>
      <c r="J10" s="51" t="s">
        <v>55</v>
      </c>
      <c r="K10" s="75" t="s">
        <v>56</v>
      </c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472" xr:uid="{BA0B0601-81E8-4523-8682-641E0D2D3023}"/>
    <hyperlink ref="K5" r:id="rId2" display="https://us3.assetplanner.com/service_request?ID=100664" xr:uid="{43CC1DCD-18EF-4977-BD30-14DA507B7709}"/>
    <hyperlink ref="K6" r:id="rId3" display="https://us3.assetplanner.com/service_request?ID=099647" xr:uid="{F4D470F7-B9B8-48D2-813B-BDF9DD83843E}"/>
    <hyperlink ref="K7" r:id="rId4" display="https://us3.assetplanner.com/service_request?ID=100020" xr:uid="{43C28D82-7697-4D81-A44A-CC57EB4D9A7B}"/>
    <hyperlink ref="K9" r:id="rId5" display="https://us3.assetplanner.com/service_request?ID=099480" xr:uid="{7E7447F8-1AB6-4160-9A13-1D8E27AB83A8}"/>
    <hyperlink ref="K10" r:id="rId6" display="https://us3.assetplanner.com/service_request?ID=100347" xr:uid="{751CB921-9E9C-4F87-9DA7-B086DACA9CBE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bottomRight" activeCell="J22" sqref="J22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78"/>
  </cols>
  <sheetData>
    <row r="1" spans="1:13" ht="19.5" customHeight="1">
      <c r="A1" s="116" t="str" cm="1">
        <f t="array" ref="A1">portfolio</f>
        <v>ALIGNED</v>
      </c>
      <c r="B1" s="116"/>
      <c r="C1" s="116"/>
      <c r="D1" s="117" t="s">
        <v>57</v>
      </c>
      <c r="E1" s="117"/>
      <c r="F1" s="117"/>
      <c r="G1" s="115" t="s">
        <v>58</v>
      </c>
      <c r="H1" s="115"/>
      <c r="I1" s="115"/>
      <c r="J1" s="4"/>
      <c r="K1" s="4"/>
    </row>
    <row r="2" spans="1:13" ht="19.5" customHeight="1">
      <c r="A2" s="118" t="s">
        <v>2</v>
      </c>
      <c r="B2" s="118"/>
      <c r="C2" s="5">
        <f>SUM(C4:C79)</f>
        <v>1018446.940141402</v>
      </c>
      <c r="D2" s="5">
        <f>SUM(D4:D79)</f>
        <v>1011175.5399999999</v>
      </c>
      <c r="E2" s="5">
        <f>C2-D2</f>
        <v>7271.4001414020313</v>
      </c>
      <c r="F2" s="6">
        <f>IFERROR(E2/D2, 0)</f>
        <v>7.1910364261798029E-3</v>
      </c>
      <c r="G2" s="5">
        <f>SUM(G4:G79)</f>
        <v>1376423.2999999998</v>
      </c>
      <c r="H2" s="7">
        <f>C2-G2</f>
        <v>-357976.35985859786</v>
      </c>
      <c r="I2" s="6">
        <f>IFERROR(H2/G2, 0)</f>
        <v>-0.26007723049922066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75" customHeight="1">
      <c r="A4" s="69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133174.99999999901</v>
      </c>
      <c r="D4" s="12">
        <v>133034.1</v>
      </c>
      <c r="E4" s="12">
        <f>IF(AND(ISNUMBER(C4),ISNUMBER(D4)), C4-D4, "")</f>
        <v>140.89999999900465</v>
      </c>
      <c r="F4" s="13">
        <f>IFERROR(E4/D4, "")</f>
        <v>1.0591269456402879E-3</v>
      </c>
      <c r="G4" s="14">
        <v>216200</v>
      </c>
      <c r="H4" s="14">
        <f>IF(AND(ISNUMBER(C4),ISNUMBER(G4)), C4-G4, "")</f>
        <v>-83025.00000000099</v>
      </c>
      <c r="I4" s="15">
        <f>IFERROR(H4/G4, "")</f>
        <v>-0.38401942645698883</v>
      </c>
      <c r="J4" s="39" t="s">
        <v>59</v>
      </c>
      <c r="K4" s="74" t="s">
        <v>60</v>
      </c>
    </row>
    <row r="5" spans="1:13" ht="15.6">
      <c r="A5" s="28" t="str">
        <v>Loudon - 7046 Pleasant Street</v>
      </c>
      <c r="B5" s="29" t="str">
        <v>NH</v>
      </c>
      <c r="C5" s="11">
        <v>157983.62237179501</v>
      </c>
      <c r="D5" s="16">
        <v>148646.9</v>
      </c>
      <c r="E5" s="16">
        <f t="shared" ref="E5:E7" si="0">IF(AND(ISNUMBER(C5),ISNUMBER(D5)), C5-D5, "")</f>
        <v>9336.722371795011</v>
      </c>
      <c r="F5" s="17">
        <f>IFERROR(E5/D5, "")</f>
        <v>6.2811416664558833E-2</v>
      </c>
      <c r="G5" s="18">
        <v>211772.2</v>
      </c>
      <c r="H5" s="18">
        <f t="shared" ref="H5:H7" si="1">IF(AND(ISNUMBER(C5),ISNUMBER(G5)), C5-G5, "")</f>
        <v>-53788.577628205006</v>
      </c>
      <c r="I5" s="17">
        <f t="shared" ref="I5:I7" si="2">IFERROR(H5/G5, "")</f>
        <v>-0.25399262806074169</v>
      </c>
      <c r="J5" s="53"/>
      <c r="K5" s="53"/>
    </row>
    <row r="6" spans="1:13" ht="57.6">
      <c r="A6" s="26" t="str">
        <v>Nashua - Pennichuck Water  East</v>
      </c>
      <c r="B6" s="27" t="str">
        <v>NH</v>
      </c>
      <c r="C6" s="22">
        <v>142766.16151960799</v>
      </c>
      <c r="D6" s="12">
        <v>162107</v>
      </c>
      <c r="E6" s="12">
        <f t="shared" si="0"/>
        <v>-19340.838480392005</v>
      </c>
      <c r="F6" s="13">
        <f t="shared" ref="F6:F7" si="3">IFERROR(E6/D6, "")</f>
        <v>-0.11930908893750428</v>
      </c>
      <c r="G6" s="14">
        <v>144688</v>
      </c>
      <c r="H6" s="14">
        <f t="shared" si="1"/>
        <v>-1921.8384803920053</v>
      </c>
      <c r="I6" s="15">
        <f t="shared" si="2"/>
        <v>-1.3282639060544103E-2</v>
      </c>
      <c r="J6" s="39" t="s">
        <v>61</v>
      </c>
      <c r="K6" s="74" t="s">
        <v>62</v>
      </c>
      <c r="L6" s="77" t="s">
        <v>63</v>
      </c>
    </row>
    <row r="7" spans="1:13" ht="115.15">
      <c r="A7" s="28" t="str">
        <v>Nashua - Pennichuck Water West</v>
      </c>
      <c r="B7" s="29" t="str">
        <v>NH</v>
      </c>
      <c r="C7" s="11">
        <v>109093</v>
      </c>
      <c r="D7" s="16">
        <v>83703.94</v>
      </c>
      <c r="E7" s="16">
        <f t="shared" si="0"/>
        <v>25389.059999999998</v>
      </c>
      <c r="F7" s="17">
        <f t="shared" si="3"/>
        <v>0.30331977204418331</v>
      </c>
      <c r="G7" s="71" t="s">
        <v>22</v>
      </c>
      <c r="H7" s="18" t="str">
        <f t="shared" si="1"/>
        <v/>
      </c>
      <c r="I7" s="17" t="str">
        <f t="shared" si="2"/>
        <v/>
      </c>
      <c r="J7" s="40" t="s">
        <v>64</v>
      </c>
      <c r="K7" s="76" t="s">
        <v>65</v>
      </c>
      <c r="L7" s="77" t="s">
        <v>66</v>
      </c>
      <c r="M7" s="77" t="s">
        <v>67</v>
      </c>
    </row>
    <row r="8" spans="1:13" ht="28.9">
      <c r="A8" s="26" t="str">
        <v>Boothbay - Wiscasset Road</v>
      </c>
      <c r="B8" s="27" t="str">
        <v>ME</v>
      </c>
      <c r="C8" s="82">
        <v>173991</v>
      </c>
      <c r="D8" s="12">
        <v>176162</v>
      </c>
      <c r="E8" s="12">
        <f>IF(AND(ISNUMBER(C8),ISNUMBER(D8)), C8-D8, "")</f>
        <v>-2171</v>
      </c>
      <c r="F8" s="83">
        <f>IFERROR(E8/D8, "")</f>
        <v>-1.2323883697959833E-2</v>
      </c>
      <c r="G8" s="84">
        <v>213942</v>
      </c>
      <c r="H8" s="84">
        <f>IF(AND(ISNUMBER(C8),ISNUMBER(G8)), C8-G8, "")</f>
        <v>-39951</v>
      </c>
      <c r="I8" s="85">
        <f>IFERROR(H8/G8, "")</f>
        <v>-0.18673752699329724</v>
      </c>
      <c r="J8" s="86" t="s">
        <v>68</v>
      </c>
      <c r="K8" s="86" t="s">
        <v>69</v>
      </c>
    </row>
    <row r="9" spans="1:13" ht="72">
      <c r="A9" s="28" t="str">
        <v>Thorndike -  Leonard Road</v>
      </c>
      <c r="B9" s="29" t="str">
        <v>ME</v>
      </c>
      <c r="C9" s="87">
        <v>172047.625</v>
      </c>
      <c r="D9" s="16">
        <v>178637.2</v>
      </c>
      <c r="E9" s="16">
        <f>IF(AND(ISNUMBER(C9),ISNUMBER(D9)), C9-D9, "")</f>
        <v>-6589.5750000000116</v>
      </c>
      <c r="F9" s="88">
        <f>IFERROR(E9/D9, "")</f>
        <v>-3.6888033399538347E-2</v>
      </c>
      <c r="G9" s="89">
        <v>432588.1</v>
      </c>
      <c r="H9" s="89">
        <f>IF(AND(ISNUMBER(C9),ISNUMBER(G9)), C9-G9, "")</f>
        <v>-260540.47499999998</v>
      </c>
      <c r="I9" s="88">
        <f>IFERROR(H9/G9, "")</f>
        <v>-0.60228303783668569</v>
      </c>
      <c r="J9" s="40" t="s">
        <v>70</v>
      </c>
      <c r="K9" s="92" t="s">
        <v>71</v>
      </c>
    </row>
    <row r="10" spans="1:13" ht="57.6">
      <c r="A10" s="26" t="str">
        <v>Topsham - Solarize LLC</v>
      </c>
      <c r="B10" s="27" t="str">
        <v>ME</v>
      </c>
      <c r="C10" s="82">
        <v>129390.53125</v>
      </c>
      <c r="D10" s="12">
        <v>128884.4</v>
      </c>
      <c r="E10" s="12">
        <f>IF(AND(ISNUMBER(C10),ISNUMBER(D10)), C10-D10, "")</f>
        <v>506.13125000000582</v>
      </c>
      <c r="F10" s="83">
        <f>IFERROR(E10/D10, "")</f>
        <v>3.9270171564596322E-3</v>
      </c>
      <c r="G10" s="84">
        <v>157233</v>
      </c>
      <c r="H10" s="84">
        <f>IF(AND(ISNUMBER(C10),ISNUMBER(G10)), C10-G10, "")</f>
        <v>-27842.46875</v>
      </c>
      <c r="I10" s="85">
        <f>IFERROR(H10/G10, "")</f>
        <v>-0.17707776834379552</v>
      </c>
      <c r="J10" s="86" t="s">
        <v>72</v>
      </c>
      <c r="K10" s="93" t="s">
        <v>73</v>
      </c>
    </row>
    <row r="11" spans="1:13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101376" xr:uid="{6A55E4E4-7200-4CBC-9123-569D2FB9C130}"/>
    <hyperlink ref="K6" r:id="rId2" display="https://us3.assetplanner.com/service_request?ID=102029" xr:uid="{B2237EC9-75F3-4A12-AB2A-E0717D105AA5}"/>
    <hyperlink ref="L6" r:id="rId3" display="https://us3.assetplanner.com/service_request?ID=099647" xr:uid="{817A699B-511F-4419-8BDC-E0C0C4760548}"/>
    <hyperlink ref="K7" r:id="rId4" display="https://us3.assetplanner.com/service_request?ID=102030" xr:uid="{F6AC746E-4859-4CDB-A325-16F7EE4066CA}"/>
    <hyperlink ref="L7" r:id="rId5" display="https://us3.assetplanner.com/service_request?ID=102218" xr:uid="{FBA84AE9-03DE-4F0F-A323-BF00B92A76AA}"/>
    <hyperlink ref="M7" r:id="rId6" display="https://us3.assetplanner.com/service_request?ID=100020" xr:uid="{E443040C-FA48-4567-AF64-6E0CE9760EFF}"/>
    <hyperlink ref="K9" r:id="rId7" display="https://us3.assetplanner.com/service_request?ID=102061" xr:uid="{2F0F0F42-946A-441B-8CBF-12A5CA61FAD5}"/>
    <hyperlink ref="K10" r:id="rId8" display="https://us3.assetplanner.com/service_request?ID=100825" xr:uid="{C6A48680-D1A1-4D6F-BB54-BEA045F041BF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bottomRight" activeCell="K6" sqref="K6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78"/>
  </cols>
  <sheetData>
    <row r="1" spans="1:13" ht="19.5" customHeight="1">
      <c r="A1" s="116" t="str" cm="1">
        <f t="array" ref="A1">portfolio</f>
        <v>ALIGNED</v>
      </c>
      <c r="B1" s="116"/>
      <c r="C1" s="116"/>
      <c r="D1" s="117" t="s">
        <v>74</v>
      </c>
      <c r="E1" s="117"/>
      <c r="F1" s="117"/>
      <c r="G1" s="115" t="s">
        <v>75</v>
      </c>
      <c r="H1" s="115"/>
      <c r="I1" s="115"/>
      <c r="J1" s="4"/>
      <c r="K1" s="4"/>
    </row>
    <row r="2" spans="1:13" ht="19.5" customHeight="1">
      <c r="A2" s="118" t="s">
        <v>2</v>
      </c>
      <c r="B2" s="118"/>
      <c r="C2" s="5">
        <f>SUM(C4:C79)</f>
        <v>1626114.1350000009</v>
      </c>
      <c r="D2" s="5">
        <f>SUM(D4:D79)</f>
        <v>1707614.3200000003</v>
      </c>
      <c r="E2" s="5">
        <f>C2-D2</f>
        <v>-81500.184999999357</v>
      </c>
      <c r="F2" s="6">
        <f>IFERROR(E2/D2, 0)</f>
        <v>-4.772751320098987E-2</v>
      </c>
      <c r="G2" s="5">
        <f>SUM(G4:G79)</f>
        <v>1806136.4</v>
      </c>
      <c r="H2" s="7">
        <f>C2-G2</f>
        <v>-180022.26499999897</v>
      </c>
      <c r="I2" s="6">
        <f>IFERROR(H2/G2, 0)</f>
        <v>-9.9672574563027999E-2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96" customHeight="1">
      <c r="A4" s="9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185394.5</v>
      </c>
      <c r="D4" s="12">
        <v>184313.4</v>
      </c>
      <c r="E4" s="12">
        <f>IF(AND(ISNUMBER(C4),ISNUMBER(D4)), C4-D4, "")</f>
        <v>1081.1000000000058</v>
      </c>
      <c r="F4" s="13">
        <f>IFERROR(E4/D4, "")</f>
        <v>5.8655529115083649E-3</v>
      </c>
      <c r="G4" s="14">
        <v>215800</v>
      </c>
      <c r="H4" s="14">
        <f>IF(AND(ISNUMBER(C4),ISNUMBER(G4)), C4-G4, "")</f>
        <v>-30405.5</v>
      </c>
      <c r="I4" s="15">
        <f>IFERROR(H4/G4, "")</f>
        <v>-0.14089666357738648</v>
      </c>
      <c r="J4" s="39" t="s">
        <v>76</v>
      </c>
      <c r="K4" s="74" t="s">
        <v>77</v>
      </c>
      <c r="L4" s="77" t="s">
        <v>78</v>
      </c>
      <c r="M4" s="77" t="s">
        <v>79</v>
      </c>
    </row>
    <row r="5" spans="1:13" ht="29.25" customHeight="1">
      <c r="A5" s="28" t="str">
        <v>Loudon - 7046 Pleasant Street</v>
      </c>
      <c r="B5" s="29" t="str">
        <v>NH</v>
      </c>
      <c r="C5" s="11">
        <v>181725.87250000099</v>
      </c>
      <c r="D5" s="16">
        <v>177238.9</v>
      </c>
      <c r="E5" s="16">
        <f t="shared" ref="E5:E11" si="0">IF(AND(ISNUMBER(C5),ISNUMBER(D5)), C5-D5, "")</f>
        <v>4486.972500000993</v>
      </c>
      <c r="F5" s="17">
        <f>IFERROR(E5/D5, "")</f>
        <v>2.5315957727118556E-2</v>
      </c>
      <c r="G5" s="18">
        <v>210009.9</v>
      </c>
      <c r="H5" s="18">
        <f t="shared" ref="H5:H11" si="1">IF(AND(ISNUMBER(C5),ISNUMBER(G5)), C5-G5, "")</f>
        <v>-28284.027499999007</v>
      </c>
      <c r="I5" s="17">
        <f t="shared" ref="I5:I11" si="2">IFERROR(H5/G5, "")</f>
        <v>-0.13467949606184759</v>
      </c>
      <c r="J5" s="91" t="s">
        <v>80</v>
      </c>
      <c r="K5" s="92" t="s">
        <v>81</v>
      </c>
    </row>
    <row r="6" spans="1:13" ht="52.5" customHeight="1">
      <c r="A6" s="26" t="str">
        <v>Nashua - Pennichuck Water  East</v>
      </c>
      <c r="B6" s="27" t="str">
        <v>NH</v>
      </c>
      <c r="C6" s="22">
        <v>177143.63750000001</v>
      </c>
      <c r="D6" s="12">
        <v>193547.5</v>
      </c>
      <c r="E6" s="12">
        <f t="shared" si="0"/>
        <v>-16403.862499999988</v>
      </c>
      <c r="F6" s="13">
        <f t="shared" ref="F6:F11" si="3">IFERROR(E6/D6, "")</f>
        <v>-8.4753678037690947E-2</v>
      </c>
      <c r="G6" s="14">
        <v>141208</v>
      </c>
      <c r="H6" s="14">
        <f t="shared" si="1"/>
        <v>35935.637500000012</v>
      </c>
      <c r="I6" s="15">
        <f t="shared" si="2"/>
        <v>0.25448726346949191</v>
      </c>
      <c r="J6" s="39" t="s">
        <v>82</v>
      </c>
      <c r="K6" s="74" t="s">
        <v>28</v>
      </c>
    </row>
    <row r="7" spans="1:13" ht="15.6">
      <c r="A7" s="28" t="str">
        <v>Nashua - Pennichuck Water West</v>
      </c>
      <c r="B7" s="29" t="str">
        <v>NH</v>
      </c>
      <c r="C7" s="11">
        <v>138058</v>
      </c>
      <c r="D7" s="16">
        <v>94922.92</v>
      </c>
      <c r="E7" s="16">
        <f t="shared" si="0"/>
        <v>43135.08</v>
      </c>
      <c r="F7" s="17">
        <f t="shared" si="3"/>
        <v>0.454422177488851</v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3" ht="105.75" customHeight="1">
      <c r="A8" s="26" t="str">
        <v>Boothbay - Wiscasset Road</v>
      </c>
      <c r="B8" s="27" t="str">
        <v>ME</v>
      </c>
      <c r="C8" s="22">
        <v>184293</v>
      </c>
      <c r="D8" s="12">
        <v>212136.9</v>
      </c>
      <c r="E8" s="12">
        <f t="shared" si="0"/>
        <v>-27843.899999999994</v>
      </c>
      <c r="F8" s="13">
        <f t="shared" si="3"/>
        <v>-0.13125439280012102</v>
      </c>
      <c r="G8" s="14">
        <v>210909</v>
      </c>
      <c r="H8" s="14">
        <f t="shared" si="1"/>
        <v>-26616</v>
      </c>
      <c r="I8" s="15">
        <f t="shared" si="2"/>
        <v>-0.12619660611922678</v>
      </c>
      <c r="J8" s="39" t="s">
        <v>83</v>
      </c>
      <c r="K8" s="74" t="s">
        <v>84</v>
      </c>
      <c r="L8" s="77" t="s">
        <v>85</v>
      </c>
      <c r="M8" s="77" t="s">
        <v>86</v>
      </c>
    </row>
    <row r="9" spans="1:13" ht="43.15">
      <c r="A9" s="28" t="str">
        <v>Thorndike -  Leonard Road</v>
      </c>
      <c r="B9" s="29" t="str">
        <v>ME</v>
      </c>
      <c r="C9" s="11">
        <v>158325.6875</v>
      </c>
      <c r="D9" s="16">
        <v>206125.6</v>
      </c>
      <c r="E9" s="16">
        <f t="shared" si="0"/>
        <v>-47799.912500000006</v>
      </c>
      <c r="F9" s="17">
        <f t="shared" si="3"/>
        <v>-0.23189702055445807</v>
      </c>
      <c r="G9" s="18">
        <v>438381.6</v>
      </c>
      <c r="H9" s="18">
        <f t="shared" si="1"/>
        <v>-280055.91249999998</v>
      </c>
      <c r="I9" s="17">
        <f t="shared" si="2"/>
        <v>-0.63884048167167595</v>
      </c>
      <c r="J9" s="40" t="s">
        <v>87</v>
      </c>
      <c r="K9" s="76" t="s">
        <v>88</v>
      </c>
      <c r="L9" s="77" t="s">
        <v>89</v>
      </c>
      <c r="M9" s="77" t="s">
        <v>90</v>
      </c>
    </row>
    <row r="10" spans="1:13" ht="72.75" customHeight="1">
      <c r="A10" s="26" t="str">
        <v>Topsham - Solarize LLC</v>
      </c>
      <c r="B10" s="27" t="str">
        <v>ME</v>
      </c>
      <c r="C10" s="22">
        <v>157022.125</v>
      </c>
      <c r="D10" s="12">
        <v>158551</v>
      </c>
      <c r="E10" s="12">
        <f t="shared" si="0"/>
        <v>-1528.875</v>
      </c>
      <c r="F10" s="13">
        <f t="shared" si="3"/>
        <v>-9.6427963242111375E-3</v>
      </c>
      <c r="G10" s="14">
        <v>158062</v>
      </c>
      <c r="H10" s="14">
        <f t="shared" si="1"/>
        <v>-1039.875</v>
      </c>
      <c r="I10" s="15">
        <f t="shared" si="2"/>
        <v>-6.5789057458465663E-3</v>
      </c>
      <c r="J10" s="39" t="s">
        <v>91</v>
      </c>
      <c r="K10" s="74" t="s">
        <v>92</v>
      </c>
      <c r="L10" s="77" t="s">
        <v>93</v>
      </c>
    </row>
    <row r="11" spans="1:13" ht="32.25" customHeight="1">
      <c r="A11" s="28" t="str">
        <v>Cherryfield - 727 North Main St (IRA)</v>
      </c>
      <c r="B11" s="29" t="str">
        <v>ME</v>
      </c>
      <c r="C11" s="11">
        <v>444151.3125</v>
      </c>
      <c r="D11" s="16">
        <v>480778.1</v>
      </c>
      <c r="E11" s="16">
        <f t="shared" si="0"/>
        <v>-36626.787499999977</v>
      </c>
      <c r="F11" s="17">
        <f t="shared" si="3"/>
        <v>-7.6182312588697315E-2</v>
      </c>
      <c r="G11" s="18">
        <v>431765.9</v>
      </c>
      <c r="H11" s="18">
        <f t="shared" si="1"/>
        <v>12385.412499999977</v>
      </c>
      <c r="I11" s="17">
        <f t="shared" si="2"/>
        <v>2.8685480951598948E-2</v>
      </c>
      <c r="J11" s="40" t="s">
        <v>94</v>
      </c>
      <c r="K11" s="92" t="s">
        <v>95</v>
      </c>
    </row>
    <row r="12" spans="1:13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2825" xr:uid="{9667ECA8-E780-4EB2-A07A-A438130F1CFB}"/>
    <hyperlink ref="L4" r:id="rId2" display="https://us3.assetplanner.com/service_request?ID=103332" xr:uid="{CD2B8180-4760-4141-80D2-330264C8BBC2}"/>
    <hyperlink ref="M4" r:id="rId3" display="https://us3.assetplanner.com/service_request?ID=102780" xr:uid="{70E3ADB4-22EB-49E0-BA5D-CE8B7113D431}"/>
    <hyperlink ref="K5" r:id="rId4" display="https://us3.assetplanner.com/service_request?ID=103230" xr:uid="{FFE01AEC-CF80-4169-919A-B67616120F93}"/>
    <hyperlink ref="K6" r:id="rId5" display="https://us3.assetplanner.com/service_request?ID=099647" xr:uid="{4B7F61D8-1FE6-48E0-8534-626FC8A107B2}"/>
    <hyperlink ref="K8" r:id="rId6" display="https://us3.assetplanner.com/service_request?ID=102549" xr:uid="{A08A3296-220D-41D6-9F02-C202EBAE3C73}"/>
    <hyperlink ref="L8" r:id="rId7" display="https://us3.assetplanner.com/service_request?ID=102549" xr:uid="{5B1875FD-E723-41AA-9CB3-E43B15726B1A}"/>
    <hyperlink ref="M8" r:id="rId8" display="https://us3.assetplanner.com/service_request?ID=102969" xr:uid="{B90D8A11-BDEF-414F-A26F-2A3C593BB5BD}"/>
    <hyperlink ref="K9" r:id="rId9" display="https://us3.assetplanner.com/service_request?ID=102971" xr:uid="{3CFB106F-1AAC-4FED-922F-E24A454758D1}"/>
    <hyperlink ref="L9" r:id="rId10" display="https://us3.assetplanner.com/service_request?ID=102367" xr:uid="{70744FBB-2AA7-40FB-A180-6C1112574DFD}"/>
    <hyperlink ref="M9" r:id="rId11" display="https://us3.assetplanner.com/service_request?ID=102061" xr:uid="{CA005B80-DC3D-4F1F-88BA-A1167BD4C94C}"/>
    <hyperlink ref="K10" r:id="rId12" display="https://us3.assetplanner.com/service_request?ID=103058" xr:uid="{E80CAA11-72D8-47FC-AE57-21677884C907}"/>
    <hyperlink ref="L10" r:id="rId13" display="https://us3.assetplanner.com/service_request?ID=103397" xr:uid="{D35E4B52-9377-4AFC-87C4-2EAB4655D16C}"/>
    <hyperlink ref="K11" r:id="rId14" display="https://us3.assetplanner.com/service_request?ID=103383" xr:uid="{BCDBFC43-1667-43B1-9A37-87F211BEFDED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1"/>
  <sheetViews>
    <sheetView zoomScale="70" zoomScaleNormal="70" workbookViewId="0">
      <pane xSplit="2" ySplit="3" topLeftCell="C4" activePane="bottomRight" state="frozen"/>
      <selection pane="bottomRight" activeCell="N6" sqref="N6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9" width="8.85546875" style="78"/>
  </cols>
  <sheetData>
    <row r="1" spans="1:13" ht="19.5" customHeight="1">
      <c r="A1" s="116" t="str" cm="1">
        <f t="array" ref="A1">portfolio</f>
        <v>ALIGNED</v>
      </c>
      <c r="B1" s="116"/>
      <c r="C1" s="116"/>
      <c r="D1" s="117" t="s">
        <v>96</v>
      </c>
      <c r="E1" s="117"/>
      <c r="F1" s="117"/>
      <c r="G1" s="115" t="s">
        <v>97</v>
      </c>
      <c r="H1" s="115"/>
      <c r="I1" s="115"/>
      <c r="J1" s="4"/>
      <c r="K1" s="4"/>
    </row>
    <row r="2" spans="1:13" ht="19.5" customHeight="1">
      <c r="A2" s="118" t="s">
        <v>2</v>
      </c>
      <c r="B2" s="118"/>
      <c r="C2" s="5">
        <f>SUM(C4:C79)</f>
        <v>1805182.9670398</v>
      </c>
      <c r="D2" s="5">
        <f>SUM(D4:D79)</f>
        <v>1776830.1</v>
      </c>
      <c r="E2" s="5">
        <f>C2-D2</f>
        <v>28352.867039799923</v>
      </c>
      <c r="F2" s="6">
        <f>IFERROR(E2/D2, 0)</f>
        <v>1.5956993884671315E-2</v>
      </c>
      <c r="G2" s="5">
        <f>SUM(G4:G79)</f>
        <v>2122246.2000000002</v>
      </c>
      <c r="H2" s="7">
        <f>C2-G2</f>
        <v>-317063.23296020017</v>
      </c>
      <c r="I2" s="6">
        <f>IFERROR(H2/G2, 0)</f>
        <v>-0.1493998354009069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47.2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201197</v>
      </c>
      <c r="D4" s="12">
        <v>191786.9</v>
      </c>
      <c r="E4" s="12">
        <f>IF(AND(ISNUMBER(C4),ISNUMBER(D4)), C4-D4, "")</f>
        <v>9410.1000000000058</v>
      </c>
      <c r="F4" s="13">
        <f>IFERROR(E4/D4, "")</f>
        <v>4.9065394977446351E-2</v>
      </c>
      <c r="G4" s="14">
        <v>224100</v>
      </c>
      <c r="H4" s="14">
        <f>IF(AND(ISNUMBER(C4),ISNUMBER(G4)), C4-G4, "")</f>
        <v>-22903</v>
      </c>
      <c r="I4" s="15">
        <f>IFERROR(H4/G4, "")</f>
        <v>-0.10219991075412763</v>
      </c>
      <c r="J4" s="39" t="s">
        <v>98</v>
      </c>
      <c r="K4" s="39"/>
    </row>
    <row r="5" spans="1:13" ht="15.6">
      <c r="A5" s="28" t="str">
        <v>Loudon - 7046 Pleasant Street</v>
      </c>
      <c r="B5" s="29" t="str">
        <v>NH</v>
      </c>
      <c r="C5" s="11">
        <v>205885.5</v>
      </c>
      <c r="D5" s="16">
        <v>193269.9</v>
      </c>
      <c r="E5" s="16">
        <f t="shared" ref="E5:E11" si="0">IF(AND(ISNUMBER(C5),ISNUMBER(D5)), C5-D5, "")</f>
        <v>12615.600000000006</v>
      </c>
      <c r="F5" s="17">
        <f>IFERROR(E5/D5, "")</f>
        <v>6.527452024345233E-2</v>
      </c>
      <c r="G5" s="18">
        <v>216609.6</v>
      </c>
      <c r="H5" s="18">
        <f t="shared" ref="H5:H11" si="1">IF(AND(ISNUMBER(C5),ISNUMBER(G5)), C5-G5, "")</f>
        <v>-10724.100000000006</v>
      </c>
      <c r="I5" s="17">
        <f t="shared" ref="I5:I11" si="2">IFERROR(H5/G5, "")</f>
        <v>-4.9508886032752039E-2</v>
      </c>
      <c r="J5" s="53"/>
      <c r="K5" s="53"/>
    </row>
    <row r="6" spans="1:13" ht="61.5" customHeight="1">
      <c r="A6" s="26" t="str">
        <v>Nashua - Pennichuck Water  East</v>
      </c>
      <c r="B6" s="27" t="str">
        <v>NH</v>
      </c>
      <c r="C6" s="22">
        <v>194384.59203979999</v>
      </c>
      <c r="D6" s="12">
        <v>210900.6</v>
      </c>
      <c r="E6" s="12">
        <f t="shared" si="0"/>
        <v>-16516.007960200019</v>
      </c>
      <c r="F6" s="13">
        <f t="shared" ref="F6:F11" si="3">IFERROR(E6/D6, "")</f>
        <v>-7.8311811157483757E-2</v>
      </c>
      <c r="G6" s="14">
        <v>151360</v>
      </c>
      <c r="H6" s="14">
        <f t="shared" si="1"/>
        <v>43024.592039799987</v>
      </c>
      <c r="I6" s="15">
        <f t="shared" si="2"/>
        <v>0.28425338292679697</v>
      </c>
      <c r="J6" s="39" t="s">
        <v>82</v>
      </c>
      <c r="K6" s="74" t="s">
        <v>28</v>
      </c>
    </row>
    <row r="7" spans="1:13" ht="51.75" customHeight="1">
      <c r="A7" s="28" t="str">
        <v>Nashua - Pennichuck Water West</v>
      </c>
      <c r="B7" s="29" t="str">
        <v>NH</v>
      </c>
      <c r="C7" s="11">
        <v>148623</v>
      </c>
      <c r="D7" s="16">
        <v>104898.5</v>
      </c>
      <c r="E7" s="16">
        <f t="shared" si="0"/>
        <v>43724.5</v>
      </c>
      <c r="F7" s="17">
        <f t="shared" si="3"/>
        <v>0.41682674204111592</v>
      </c>
      <c r="G7" s="18">
        <v>164800</v>
      </c>
      <c r="H7" s="18">
        <f t="shared" si="1"/>
        <v>-16177</v>
      </c>
      <c r="I7" s="17">
        <f t="shared" si="2"/>
        <v>-9.8161407766990297E-2</v>
      </c>
      <c r="J7" s="52" t="s">
        <v>99</v>
      </c>
      <c r="K7" s="76" t="s">
        <v>100</v>
      </c>
    </row>
    <row r="8" spans="1:13" ht="100.5" customHeight="1">
      <c r="A8" s="26" t="str">
        <v>Boothbay - Wiscasset Road</v>
      </c>
      <c r="B8" s="27" t="str">
        <v>ME</v>
      </c>
      <c r="C8" s="22">
        <v>191341</v>
      </c>
      <c r="D8" s="12">
        <v>211803.8</v>
      </c>
      <c r="E8" s="12">
        <f t="shared" si="0"/>
        <v>-20462.799999999988</v>
      </c>
      <c r="F8" s="13">
        <f t="shared" si="3"/>
        <v>-9.6612053230395248E-2</v>
      </c>
      <c r="G8" s="14">
        <v>235877</v>
      </c>
      <c r="H8" s="14">
        <f t="shared" si="1"/>
        <v>-44536</v>
      </c>
      <c r="I8" s="15">
        <f t="shared" si="2"/>
        <v>-0.18881026975923892</v>
      </c>
      <c r="J8" s="39" t="s">
        <v>101</v>
      </c>
      <c r="K8" s="74" t="s">
        <v>102</v>
      </c>
      <c r="L8" s="77" t="s">
        <v>103</v>
      </c>
      <c r="M8" s="77" t="s">
        <v>86</v>
      </c>
    </row>
    <row r="9" spans="1:13" ht="57.6">
      <c r="A9" s="28" t="str">
        <v>Thorndike -  Leonard Road</v>
      </c>
      <c r="B9" s="29" t="str">
        <v>ME</v>
      </c>
      <c r="C9" s="11">
        <v>220715.8125</v>
      </c>
      <c r="D9" s="16">
        <v>191371.6</v>
      </c>
      <c r="E9" s="16">
        <f t="shared" si="0"/>
        <v>29344.212499999994</v>
      </c>
      <c r="F9" s="17">
        <f t="shared" si="3"/>
        <v>0.15333629702630899</v>
      </c>
      <c r="G9" s="18">
        <v>486810.4</v>
      </c>
      <c r="H9" s="18">
        <f t="shared" si="1"/>
        <v>-266094.58750000002</v>
      </c>
      <c r="I9" s="17">
        <f t="shared" si="2"/>
        <v>-0.54660826371006044</v>
      </c>
      <c r="J9" s="53" t="s">
        <v>104</v>
      </c>
      <c r="K9" s="92" t="s">
        <v>105</v>
      </c>
      <c r="L9" s="77" t="s">
        <v>106</v>
      </c>
    </row>
    <row r="10" spans="1:13" ht="30" customHeight="1">
      <c r="A10" s="26" t="str">
        <v>Topsham - Solarize LLC</v>
      </c>
      <c r="B10" s="27" t="str">
        <v>ME</v>
      </c>
      <c r="C10" s="22">
        <v>161276.375</v>
      </c>
      <c r="D10" s="12">
        <v>162785.60000000001</v>
      </c>
      <c r="E10" s="12">
        <f t="shared" si="0"/>
        <v>-1509.2250000000058</v>
      </c>
      <c r="F10" s="13">
        <f t="shared" si="3"/>
        <v>-9.271243893808824E-3</v>
      </c>
      <c r="G10" s="14">
        <v>163168</v>
      </c>
      <c r="H10" s="14">
        <f t="shared" si="1"/>
        <v>-1891.625</v>
      </c>
      <c r="I10" s="15">
        <f t="shared" si="2"/>
        <v>-1.1593112620121592E-2</v>
      </c>
      <c r="J10" s="39"/>
      <c r="K10" s="39"/>
    </row>
    <row r="11" spans="1:13" ht="15.6">
      <c r="A11" s="28" t="str">
        <v>Cherryfield - 727 North Main St (IRA)</v>
      </c>
      <c r="B11" s="29" t="str">
        <v>ME</v>
      </c>
      <c r="C11" s="11">
        <v>481759.6875</v>
      </c>
      <c r="D11" s="16">
        <v>510013.2</v>
      </c>
      <c r="E11" s="16">
        <f t="shared" si="0"/>
        <v>-28253.512500000012</v>
      </c>
      <c r="F11" s="17">
        <f t="shared" si="3"/>
        <v>-5.5397610297145274E-2</v>
      </c>
      <c r="G11" s="18">
        <v>479521.2</v>
      </c>
      <c r="H11" s="18">
        <f t="shared" si="1"/>
        <v>2238.4874999999884</v>
      </c>
      <c r="I11" s="17">
        <f t="shared" si="2"/>
        <v>4.6681721266963556E-3</v>
      </c>
      <c r="J11" s="53"/>
      <c r="K11" s="53"/>
    </row>
    <row r="12" spans="1:13" ht="28.9" customHeight="1">
      <c r="A12" s="26" t="str">
        <v>ME: Bucksport - 258 Route 1 (IRA)</v>
      </c>
      <c r="B12" s="27" t="str">
        <v>ME</v>
      </c>
      <c r="C12" s="22"/>
      <c r="D12" s="12"/>
      <c r="E12" s="12"/>
      <c r="F12" s="13"/>
      <c r="G12" s="14"/>
      <c r="H12" s="14"/>
      <c r="I12" s="15"/>
      <c r="J12" s="39"/>
      <c r="K12" s="39"/>
    </row>
    <row r="13" spans="1:13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sortState xmlns:xlrd2="http://schemas.microsoft.com/office/spreadsheetml/2017/richdata2" ref="A3:K7">
    <sortCondition ref="A3:A7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7" r:id="rId1" display="https://us3.assetplanner.com/service_request?ID=105084" xr:uid="{1694B9F8-431D-480B-8EC9-3FE3E52B281B}"/>
    <hyperlink ref="K8" r:id="rId2" display="https://us3.assetplanner.com/service_request?ID=104551" xr:uid="{20E42C5D-1D40-4B16-A7C1-3D7988E332F6}"/>
    <hyperlink ref="L8" r:id="rId3" display="https://us3.assetplanner.com/service_request?ID=104369" xr:uid="{8ABB49DB-AF7D-4324-86C9-BD83058EA7E7}"/>
    <hyperlink ref="M8" r:id="rId4" display="https://us3.assetplanner.com/service_request?ID=102969" xr:uid="{3296A141-D855-4771-9D23-20FE209C9F37}"/>
    <hyperlink ref="K9" r:id="rId5" display="https://us3.assetplanner.com/service_request?ID=102971" xr:uid="{493231E8-6128-4DF3-86DA-ED411A2900DE}"/>
    <hyperlink ref="L9" r:id="rId6" display="https://us3.assetplanner.com/service_request?ID=107542" xr:uid="{57464ED6-FD61-4232-B862-24DD6CF55674}"/>
    <hyperlink ref="K6" r:id="rId7" display="https://us3.assetplanner.com/service_request?ID=099647" xr:uid="{B98110E0-FBE1-4EFA-A50B-609F590A8CB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N321"/>
  <sheetViews>
    <sheetView zoomScale="80" zoomScaleNormal="80" workbookViewId="0">
      <pane xSplit="2" ySplit="3" topLeftCell="C4" activePane="bottomRight" state="frozen"/>
      <selection pane="bottomRight" activeCell="L1" sqref="L1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78"/>
  </cols>
  <sheetData>
    <row r="1" spans="1:13" ht="19.5" customHeight="1">
      <c r="A1" s="116" t="str" cm="1">
        <f t="array" ref="A1">portfolio</f>
        <v>ALIGNED</v>
      </c>
      <c r="B1" s="116"/>
      <c r="C1" s="116"/>
      <c r="D1" s="117" t="s">
        <v>107</v>
      </c>
      <c r="E1" s="117"/>
      <c r="F1" s="117"/>
      <c r="G1" s="115" t="s">
        <v>108</v>
      </c>
      <c r="H1" s="115"/>
      <c r="I1" s="115"/>
      <c r="J1" s="4"/>
      <c r="K1" s="4"/>
    </row>
    <row r="2" spans="1:13" ht="19.5" customHeight="1">
      <c r="A2" s="118" t="s">
        <v>2</v>
      </c>
      <c r="B2" s="118"/>
      <c r="C2" s="5">
        <f>SUM(C4:C79)</f>
        <v>1961593.9375</v>
      </c>
      <c r="D2" s="5">
        <f>SUM(D4:D79)</f>
        <v>1910025.2000000002</v>
      </c>
      <c r="E2" s="5">
        <f>C2-D2</f>
        <v>51568.737499999814</v>
      </c>
      <c r="F2" s="6">
        <f>IFERROR(E2/D2, 0)</f>
        <v>2.6998982788289813E-2</v>
      </c>
      <c r="G2" s="5">
        <f>SUM(G4:G79)</f>
        <v>1944646.2999999998</v>
      </c>
      <c r="H2" s="7">
        <f>C2-G2</f>
        <v>16947.637500000186</v>
      </c>
      <c r="I2" s="6">
        <f>IFERROR(H2/G2, 0)</f>
        <v>8.7150231381409506E-3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70.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210117.5</v>
      </c>
      <c r="D4" s="12">
        <v>193427.20000000001</v>
      </c>
      <c r="E4" s="12">
        <f>IF(AND(ISNUMBER(C4),ISNUMBER(D4)), C4-D4, "")</f>
        <v>16690.299999999988</v>
      </c>
      <c r="F4" s="13">
        <f t="shared" ref="F4:F11" si="0">IFERROR(E4/D4, "")</f>
        <v>8.6287243986367931E-2</v>
      </c>
      <c r="G4" s="14">
        <v>212600</v>
      </c>
      <c r="H4" s="14">
        <f>IF(AND(ISNUMBER(C4),ISNUMBER(G4)), C4-G4, "")</f>
        <v>-2482.5</v>
      </c>
      <c r="I4" s="15">
        <f>IFERROR(H4/G4, "")</f>
        <v>-1.1676857949200377E-2</v>
      </c>
      <c r="J4" s="39"/>
      <c r="K4" s="39"/>
    </row>
    <row r="5" spans="1:13" ht="57" customHeight="1">
      <c r="A5" s="28" t="str">
        <v>Loudon - 7046 Pleasant Street</v>
      </c>
      <c r="B5" s="29" t="str">
        <v>NH</v>
      </c>
      <c r="C5" s="11">
        <v>215115</v>
      </c>
      <c r="D5" s="16">
        <v>204071.2</v>
      </c>
      <c r="E5" s="16">
        <f t="shared" ref="E5" si="1">IF(AND(ISNUMBER(C5),ISNUMBER(D5)), C5-D5, "")</f>
        <v>11043.799999999988</v>
      </c>
      <c r="F5" s="17">
        <f t="shared" si="0"/>
        <v>5.4117386480796836E-2</v>
      </c>
      <c r="G5" s="18">
        <v>204920</v>
      </c>
      <c r="H5" s="18">
        <f t="shared" ref="H5" si="2">IF(AND(ISNUMBER(C5),ISNUMBER(G5)), C5-G5, "")</f>
        <v>10195</v>
      </c>
      <c r="I5" s="17">
        <f t="shared" ref="I5" si="3">IFERROR(H5/G5, "")</f>
        <v>4.9751122389225064E-2</v>
      </c>
      <c r="J5" s="53"/>
      <c r="K5" s="53"/>
    </row>
    <row r="6" spans="1:13" ht="66" customHeight="1">
      <c r="A6" s="26" t="str">
        <v>Nashua - Pennichuck Water  East</v>
      </c>
      <c r="B6" s="27" t="str">
        <v>NH</v>
      </c>
      <c r="C6" s="22">
        <v>209315.408</v>
      </c>
      <c r="D6" s="12">
        <v>215567.7</v>
      </c>
      <c r="E6" s="12">
        <f t="shared" ref="E6:E11" si="4">IF(AND(ISNUMBER(C6),ISNUMBER(D6)), C6-D6, "")</f>
        <v>-6252.2920000000158</v>
      </c>
      <c r="F6" s="13">
        <f t="shared" si="0"/>
        <v>-2.9003844267949306E-2</v>
      </c>
      <c r="G6" s="14">
        <v>141456</v>
      </c>
      <c r="H6" s="14">
        <f t="shared" ref="H6:H11" si="5">IF(AND(ISNUMBER(C6),ISNUMBER(G6)), C6-G6, "")</f>
        <v>67859.407999999996</v>
      </c>
      <c r="I6" s="15">
        <f t="shared" ref="I6:I11" si="6">IFERROR(H6/G6, "")</f>
        <v>0.47972095916751495</v>
      </c>
      <c r="J6" s="39" t="s">
        <v>82</v>
      </c>
      <c r="K6" s="39"/>
    </row>
    <row r="7" spans="1:13" ht="35.25" customHeight="1">
      <c r="A7" s="28" t="str">
        <v>Nashua - Pennichuck Water West</v>
      </c>
      <c r="B7" s="29" t="str">
        <v>NH</v>
      </c>
      <c r="C7" s="11">
        <v>163002.1545</v>
      </c>
      <c r="D7" s="16">
        <v>116792.6</v>
      </c>
      <c r="E7" s="16">
        <f t="shared" si="4"/>
        <v>46209.554499999998</v>
      </c>
      <c r="F7" s="17">
        <f t="shared" si="0"/>
        <v>0.39565481460297997</v>
      </c>
      <c r="G7" s="18">
        <v>156000</v>
      </c>
      <c r="H7" s="18">
        <f t="shared" si="5"/>
        <v>7002.1545000000042</v>
      </c>
      <c r="I7" s="17">
        <f t="shared" si="6"/>
        <v>4.4885605769230799E-2</v>
      </c>
      <c r="J7" s="52"/>
      <c r="K7" s="52"/>
    </row>
    <row r="8" spans="1:13" ht="15.6">
      <c r="A8" s="26" t="str">
        <v>Boothbay - Wiscasset Road</v>
      </c>
      <c r="B8" s="27" t="str">
        <v>ME</v>
      </c>
      <c r="C8" s="82">
        <v>232713</v>
      </c>
      <c r="D8" s="12">
        <v>240320.3</v>
      </c>
      <c r="E8" s="12">
        <f t="shared" si="4"/>
        <v>-7607.2999999999884</v>
      </c>
      <c r="F8" s="83">
        <f t="shared" si="0"/>
        <v>-3.1654837315033262E-2</v>
      </c>
      <c r="G8" s="84">
        <v>219824</v>
      </c>
      <c r="H8" s="84">
        <f t="shared" si="5"/>
        <v>12889</v>
      </c>
      <c r="I8" s="85">
        <f t="shared" si="6"/>
        <v>5.8633270252565692E-2</v>
      </c>
      <c r="J8" s="86"/>
      <c r="K8" s="86"/>
    </row>
    <row r="9" spans="1:13" ht="57.6">
      <c r="A9" s="28" t="str">
        <v>Thorndike -  Leonard Road</v>
      </c>
      <c r="B9" s="29" t="str">
        <v>ME</v>
      </c>
      <c r="C9" s="87">
        <v>237568</v>
      </c>
      <c r="D9" s="16">
        <v>215222.1</v>
      </c>
      <c r="E9" s="16">
        <f t="shared" si="4"/>
        <v>22345.899999999994</v>
      </c>
      <c r="F9" s="88">
        <f t="shared" si="0"/>
        <v>0.10382716273096487</v>
      </c>
      <c r="G9" s="89">
        <v>445043.20000000001</v>
      </c>
      <c r="H9" s="89">
        <f t="shared" si="5"/>
        <v>-207475.20000000001</v>
      </c>
      <c r="I9" s="88">
        <f t="shared" si="6"/>
        <v>-0.46619114728637578</v>
      </c>
      <c r="J9" s="53" t="s">
        <v>109</v>
      </c>
      <c r="K9" s="92" t="s">
        <v>110</v>
      </c>
      <c r="L9" s="77" t="s">
        <v>111</v>
      </c>
      <c r="M9" s="77" t="s">
        <v>106</v>
      </c>
    </row>
    <row r="10" spans="1:13" ht="15.6">
      <c r="A10" s="26" t="str">
        <v>Topsham - Solarize LLC</v>
      </c>
      <c r="B10" s="27" t="str">
        <v>ME</v>
      </c>
      <c r="C10" s="82">
        <v>179485.875</v>
      </c>
      <c r="D10" s="12">
        <v>180255.7</v>
      </c>
      <c r="E10" s="12">
        <f t="shared" si="4"/>
        <v>-769.82500000001164</v>
      </c>
      <c r="F10" s="83">
        <f t="shared" si="0"/>
        <v>-4.2707387339208222E-3</v>
      </c>
      <c r="G10" s="84">
        <v>163234</v>
      </c>
      <c r="H10" s="84">
        <f t="shared" si="5"/>
        <v>16251.875</v>
      </c>
      <c r="I10" s="85">
        <f t="shared" si="6"/>
        <v>9.9561825355011818E-2</v>
      </c>
      <c r="J10" s="86"/>
      <c r="K10" s="86"/>
    </row>
    <row r="11" spans="1:13" ht="15.6">
      <c r="A11" s="28" t="str">
        <v>Cherryfield - 727 North Main St (IRA)</v>
      </c>
      <c r="B11" s="29" t="str">
        <v>ME</v>
      </c>
      <c r="C11" s="87">
        <v>514277</v>
      </c>
      <c r="D11" s="16">
        <v>544368.4</v>
      </c>
      <c r="E11" s="16">
        <f t="shared" si="4"/>
        <v>-30091.400000000023</v>
      </c>
      <c r="F11" s="88">
        <f t="shared" si="0"/>
        <v>-5.5277639186991794E-2</v>
      </c>
      <c r="G11" s="89">
        <v>401569.1</v>
      </c>
      <c r="H11" s="89">
        <f t="shared" si="5"/>
        <v>112707.90000000002</v>
      </c>
      <c r="I11" s="88">
        <f t="shared" si="6"/>
        <v>0.28066875663491048</v>
      </c>
      <c r="J11" s="53" t="s">
        <v>112</v>
      </c>
      <c r="K11" s="92" t="s">
        <v>113</v>
      </c>
    </row>
    <row r="12" spans="1:13" ht="35.25" customHeight="1">
      <c r="A12" s="28" t="str">
        <v>ME: Bucksport - 258 Route 1 (IRA)</v>
      </c>
      <c r="B12" s="29" t="str">
        <v>ME</v>
      </c>
      <c r="C12" s="11"/>
      <c r="D12" s="16"/>
      <c r="E12" s="16"/>
      <c r="F12" s="17"/>
      <c r="G12" s="18"/>
      <c r="H12" s="18"/>
      <c r="I12" s="17"/>
      <c r="J12" s="52"/>
      <c r="K12" s="52"/>
    </row>
    <row r="13" spans="1:13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9" r:id="rId1" display="https://us3.assetplanner.com/service_request?ID=106143" xr:uid="{0BEF8E25-C653-4B93-83DB-D018E9F60645}"/>
    <hyperlink ref="L9" r:id="rId2" display="https://us3.assetplanner.com/service_request?ID=106009" xr:uid="{41439FD9-3E6F-44FA-A653-3AF50CCA3C0C}"/>
    <hyperlink ref="M9" r:id="rId3" display="https://us3.assetplanner.com/service_request?ID=107542" xr:uid="{18C70FA7-E70E-4041-A93D-145E22D58FF9}"/>
    <hyperlink ref="K11" r:id="rId4" display="https://us3.assetplanner.com/service_request?ID=106311" xr:uid="{1467CC31-DC22-419C-9895-4A93D4A5A5E6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bottomRight" activeCell="H17" sqref="H17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78"/>
  </cols>
  <sheetData>
    <row r="1" spans="1:12" ht="19.5" customHeight="1">
      <c r="A1" s="116" t="str" cm="1">
        <f t="array" ref="A1">portfolio</f>
        <v>ALIGNED</v>
      </c>
      <c r="B1" s="116"/>
      <c r="C1" s="116"/>
      <c r="D1" s="117" t="s">
        <v>114</v>
      </c>
      <c r="E1" s="117"/>
      <c r="F1" s="117"/>
      <c r="G1" s="115" t="s">
        <v>115</v>
      </c>
      <c r="H1" s="115"/>
      <c r="I1" s="115"/>
      <c r="J1" s="4"/>
      <c r="K1" s="4"/>
    </row>
    <row r="2" spans="1:12" ht="19.5" customHeight="1">
      <c r="A2" s="118" t="s">
        <v>2</v>
      </c>
      <c r="B2" s="118"/>
      <c r="C2" s="5">
        <f>SUM(C4:C79)</f>
        <v>2208773.6639999999</v>
      </c>
      <c r="D2" s="5">
        <f>SUM(D4:D79)</f>
        <v>2176038.568</v>
      </c>
      <c r="E2" s="5">
        <f>C2-D2</f>
        <v>32735.095999999903</v>
      </c>
      <c r="F2" s="6">
        <f>IFERROR(E2/D2, 0)</f>
        <v>1.5043435572048144E-2</v>
      </c>
      <c r="G2" s="5">
        <f>SUM(G4:G79)</f>
        <v>2369776.8000000003</v>
      </c>
      <c r="H2" s="7">
        <f>C2-G2</f>
        <v>-161003.13600000041</v>
      </c>
      <c r="I2" s="6">
        <f>IFERROR(H2/G2, 0)</f>
        <v>-6.7940211078106758E-2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80.2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181940.58</v>
      </c>
      <c r="D4" s="12">
        <v>153803.5</v>
      </c>
      <c r="E4" s="12">
        <f>IF(AND(ISNUMBER(C4),ISNUMBER(D4)), C4-D4, "")</f>
        <v>28137.079999999987</v>
      </c>
      <c r="F4" s="13">
        <f>IFERROR(E4/D4, "")</f>
        <v>0.18294174059758059</v>
      </c>
      <c r="G4" s="14">
        <v>177300</v>
      </c>
      <c r="H4" s="14">
        <f>IF(AND(ISNUMBER(C4),ISNUMBER(G4)), C4-G4, "")</f>
        <v>4640.5799999999872</v>
      </c>
      <c r="I4" s="15">
        <f>IFERROR(H4/G4, "")</f>
        <v>2.6173604060913635E-2</v>
      </c>
      <c r="J4" s="51" t="s">
        <v>116</v>
      </c>
      <c r="K4" s="75" t="s">
        <v>117</v>
      </c>
      <c r="L4" s="77" t="s">
        <v>118</v>
      </c>
    </row>
    <row r="5" spans="1:12" ht="15.6">
      <c r="A5" s="28" t="str">
        <v>Loudon - 7046 Pleasant Street</v>
      </c>
      <c r="B5" s="29" t="str">
        <v>NH</v>
      </c>
      <c r="C5" s="11">
        <v>185757</v>
      </c>
      <c r="D5" s="16">
        <v>177063</v>
      </c>
      <c r="E5" s="16">
        <f t="shared" ref="E5:E12" si="0">IF(AND(ISNUMBER(C5),ISNUMBER(D5)), C5-D5, "")</f>
        <v>8694</v>
      </c>
      <c r="F5" s="17">
        <f>IFERROR(E5/D5, "")</f>
        <v>4.9101167381101644E-2</v>
      </c>
      <c r="G5" s="18">
        <v>171823.8</v>
      </c>
      <c r="H5" s="18">
        <f t="shared" ref="H5:H12" si="1">IF(AND(ISNUMBER(C5),ISNUMBER(G5)), C5-G5, "")</f>
        <v>13933.200000000012</v>
      </c>
      <c r="I5" s="17">
        <f t="shared" ref="I5:I12" si="2">IFERROR(H5/G5, "")</f>
        <v>8.109004689687932E-2</v>
      </c>
      <c r="J5" s="52"/>
      <c r="K5" s="52"/>
    </row>
    <row r="6" spans="1:12" ht="43.15">
      <c r="A6" s="26" t="str">
        <v>Nashua - Pennichuck Water  East</v>
      </c>
      <c r="B6" s="27" t="str">
        <v>NH</v>
      </c>
      <c r="C6" s="22">
        <v>143800.5</v>
      </c>
      <c r="D6" s="12">
        <v>127513</v>
      </c>
      <c r="E6" s="12">
        <f t="shared" si="0"/>
        <v>16287.5</v>
      </c>
      <c r="F6" s="13">
        <f t="shared" ref="F6:F12" si="3">IFERROR(E6/D6, "")</f>
        <v>0.1277320743767302</v>
      </c>
      <c r="G6" s="14">
        <v>118728</v>
      </c>
      <c r="H6" s="14">
        <f t="shared" si="1"/>
        <v>25072.5</v>
      </c>
      <c r="I6" s="15">
        <f t="shared" si="2"/>
        <v>0.21117596523145341</v>
      </c>
      <c r="J6" s="51" t="s">
        <v>119</v>
      </c>
      <c r="K6" s="75" t="s">
        <v>120</v>
      </c>
      <c r="L6" s="77" t="s">
        <v>121</v>
      </c>
    </row>
    <row r="7" spans="1:12" ht="15.6">
      <c r="A7" s="28" t="str">
        <v>Nashua - Pennichuck Water West</v>
      </c>
      <c r="B7" s="29" t="str">
        <v>NH</v>
      </c>
      <c r="C7" s="11">
        <v>130021.084</v>
      </c>
      <c r="D7" s="16">
        <v>100820.3</v>
      </c>
      <c r="E7" s="16">
        <f t="shared" si="0"/>
        <v>29200.784</v>
      </c>
      <c r="F7" s="17">
        <f t="shared" si="3"/>
        <v>0.28963198879590718</v>
      </c>
      <c r="G7" s="18">
        <v>130900</v>
      </c>
      <c r="H7" s="18">
        <f t="shared" si="1"/>
        <v>-878.91599999999744</v>
      </c>
      <c r="I7" s="17">
        <f t="shared" si="2"/>
        <v>-6.7144079449961607E-3</v>
      </c>
      <c r="J7" s="52" t="s">
        <v>122</v>
      </c>
      <c r="K7" s="76" t="s">
        <v>123</v>
      </c>
    </row>
    <row r="8" spans="1:12" ht="15.6">
      <c r="A8" s="26" t="str">
        <v>Boothbay - Wiscasset Road</v>
      </c>
      <c r="B8" s="27" t="str">
        <v>ME</v>
      </c>
      <c r="C8" s="22">
        <v>197924</v>
      </c>
      <c r="D8" s="12">
        <v>200966.2</v>
      </c>
      <c r="E8" s="12">
        <f t="shared" si="0"/>
        <v>-3042.2000000000116</v>
      </c>
      <c r="F8" s="13">
        <f t="shared" si="3"/>
        <v>-1.5137868955078074E-2</v>
      </c>
      <c r="G8" s="14">
        <v>186975</v>
      </c>
      <c r="H8" s="14">
        <f t="shared" si="1"/>
        <v>10949</v>
      </c>
      <c r="I8" s="15">
        <f t="shared" si="2"/>
        <v>5.8558630832999066E-2</v>
      </c>
      <c r="J8" s="51"/>
      <c r="K8" s="51"/>
    </row>
    <row r="9" spans="1:12" ht="15.6">
      <c r="A9" s="28" t="str">
        <v>Thorndike -  Leonard Road</v>
      </c>
      <c r="B9" s="29" t="str">
        <v>ME</v>
      </c>
      <c r="C9" s="11">
        <v>199908</v>
      </c>
      <c r="D9" s="16">
        <v>199498</v>
      </c>
      <c r="E9" s="16">
        <f t="shared" si="0"/>
        <v>410</v>
      </c>
      <c r="F9" s="17">
        <f t="shared" si="3"/>
        <v>2.0551584477037366E-3</v>
      </c>
      <c r="G9" s="18">
        <v>348557.9</v>
      </c>
      <c r="H9" s="18">
        <f t="shared" si="1"/>
        <v>-148649.90000000002</v>
      </c>
      <c r="I9" s="17">
        <f t="shared" si="2"/>
        <v>-0.42647118312337784</v>
      </c>
      <c r="J9" s="52" t="s">
        <v>124</v>
      </c>
      <c r="K9" s="76" t="s">
        <v>125</v>
      </c>
    </row>
    <row r="10" spans="1:12" ht="15.6">
      <c r="A10" s="26" t="str">
        <v>Topsham - Solarize LLC</v>
      </c>
      <c r="B10" s="27" t="str">
        <v>ME</v>
      </c>
      <c r="C10" s="22">
        <v>150082</v>
      </c>
      <c r="D10" s="12">
        <v>150409.70000000001</v>
      </c>
      <c r="E10" s="12">
        <f t="shared" si="0"/>
        <v>-327.70000000001164</v>
      </c>
      <c r="F10" s="13">
        <f t="shared" si="3"/>
        <v>-2.1787158673942679E-3</v>
      </c>
      <c r="G10" s="14">
        <v>140717</v>
      </c>
      <c r="H10" s="14">
        <f t="shared" si="1"/>
        <v>9365</v>
      </c>
      <c r="I10" s="15">
        <f t="shared" si="2"/>
        <v>6.655201574791958E-2</v>
      </c>
      <c r="J10" s="51"/>
      <c r="K10" s="51"/>
    </row>
    <row r="11" spans="1:12" ht="28.9">
      <c r="A11" s="28" t="str">
        <v>Cherryfield - 727 North Main St (IRA)</v>
      </c>
      <c r="B11" s="29" t="str">
        <v>ME</v>
      </c>
      <c r="C11" s="11">
        <v>240825</v>
      </c>
      <c r="D11" s="16">
        <v>268434.09999999998</v>
      </c>
      <c r="E11" s="16">
        <f t="shared" si="0"/>
        <v>-27609.099999999977</v>
      </c>
      <c r="F11" s="17">
        <f t="shared" si="3"/>
        <v>-0.10285243193767103</v>
      </c>
      <c r="G11" s="18">
        <v>343169.1</v>
      </c>
      <c r="H11" s="18">
        <f t="shared" si="1"/>
        <v>-102344.09999999998</v>
      </c>
      <c r="I11" s="17">
        <f t="shared" si="2"/>
        <v>-0.29823227091250343</v>
      </c>
      <c r="J11" s="52" t="s">
        <v>126</v>
      </c>
      <c r="K11" s="76" t="s">
        <v>127</v>
      </c>
    </row>
    <row r="12" spans="1:12" ht="15.6">
      <c r="A12" s="26" t="str">
        <v>ME: Bucksport - 258 Route 1 (IRA)</v>
      </c>
      <c r="B12" s="27" t="str">
        <v>ME</v>
      </c>
      <c r="C12" s="22">
        <v>388976</v>
      </c>
      <c r="D12" s="12">
        <v>407109.4</v>
      </c>
      <c r="E12" s="12">
        <f t="shared" si="0"/>
        <v>-18133.400000000023</v>
      </c>
      <c r="F12" s="13">
        <f t="shared" si="3"/>
        <v>-4.4541835683479726E-2</v>
      </c>
      <c r="G12" s="14">
        <v>393074.5</v>
      </c>
      <c r="H12" s="14">
        <f t="shared" si="1"/>
        <v>-4098.5</v>
      </c>
      <c r="I12" s="15">
        <f t="shared" si="2"/>
        <v>-1.0426776603417419E-2</v>
      </c>
      <c r="J12" s="51"/>
      <c r="K12" s="51"/>
    </row>
    <row r="13" spans="1:12" ht="28.9">
      <c r="A13" s="28" t="str">
        <v>ME: Union - Route 131 (IRA)</v>
      </c>
      <c r="B13" s="29" t="str">
        <v>ME</v>
      </c>
      <c r="C13" s="87">
        <v>389539.5</v>
      </c>
      <c r="D13" s="16">
        <v>390421.36800000002</v>
      </c>
      <c r="E13" s="16">
        <f>IF(AND(ISNUMBER(C13),ISNUMBER(D13)), C13-D13, "")</f>
        <v>-881.86800000001676</v>
      </c>
      <c r="F13" s="88">
        <f>IFERROR(E13/D13, "")</f>
        <v>-2.2587595666639249E-3</v>
      </c>
      <c r="G13" s="89">
        <v>358531.5</v>
      </c>
      <c r="H13" s="89">
        <f>IF(AND(ISNUMBER(C13),ISNUMBER(G13)), C13-G13, "")</f>
        <v>31008</v>
      </c>
      <c r="I13" s="88">
        <f>IFERROR(H13/G13, "")</f>
        <v>8.6486124650135346E-2</v>
      </c>
      <c r="J13" s="52" t="s">
        <v>128</v>
      </c>
      <c r="K13" s="76" t="s">
        <v>129</v>
      </c>
    </row>
    <row r="14" spans="1:12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2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2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8124" xr:uid="{EC7656A0-F1F8-4337-B2C7-29AA862791D7}"/>
    <hyperlink ref="L4" r:id="rId2" display="https://us3.assetplanner.com/service_request?ID=108542" xr:uid="{90AE786A-3C92-4238-8C74-0F4D5078DC31}"/>
    <hyperlink ref="K6" r:id="rId3" display="https://us3.assetplanner.com/service_request?ID=107541" xr:uid="{B79442FB-BB7B-4711-88FE-CB327C0943D8}"/>
    <hyperlink ref="L6" r:id="rId4" display="https://us3.assetplanner.com/service_request?ID=107568" xr:uid="{62CCDE00-A2E5-4B98-A8AC-AE8BBF53712D}"/>
    <hyperlink ref="K7" r:id="rId5" display="https://us3.assetplanner.com/service_request?ID=107916" xr:uid="{7BD09F6B-908A-4721-9A00-CEA8E1D7B986}"/>
    <hyperlink ref="K9" r:id="rId6" display="https://us3.assetplanner.com/service_request?ID=107542" xr:uid="{9B4766C4-489D-4F43-A47D-63F31C8B91C8}"/>
    <hyperlink ref="K11" r:id="rId7" display="https://us3.assetplanner.com/service_request?ID=107957" xr:uid="{BB4CE558-F112-4AA6-8882-40FE952B861B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P321"/>
  <sheetViews>
    <sheetView zoomScale="70" zoomScaleNormal="70" workbookViewId="0">
      <pane xSplit="2" ySplit="3" topLeftCell="H4" activePane="bottomRight" state="frozen"/>
      <selection pane="bottomRight" activeCell="P12" sqref="P12"/>
      <selection pane="bottomLeft" activeCell="D10" sqref="D10"/>
      <selection pane="topRight" activeCell="D10" sqref="D10"/>
    </sheetView>
  </sheetViews>
  <sheetFormatPr defaultRowHeight="14.45"/>
  <cols>
    <col min="1" max="1" width="35.85546875" style="94" bestFit="1" customWidth="1"/>
    <col min="2" max="2" width="8.42578125" style="10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100" customWidth="1"/>
    <col min="11" max="11" width="20.5703125" style="100" bestFit="1" customWidth="1"/>
    <col min="12" max="12" width="15.42578125" style="100" customWidth="1"/>
  </cols>
  <sheetData>
    <row r="1" spans="1:16" ht="19.5" customHeight="1">
      <c r="A1" s="116" t="str" cm="1">
        <f t="array" ref="A1">portfolio</f>
        <v>ALIGNED</v>
      </c>
      <c r="B1" s="116"/>
      <c r="C1" s="116"/>
      <c r="D1" s="117" t="s">
        <v>130</v>
      </c>
      <c r="E1" s="117"/>
      <c r="F1" s="117"/>
      <c r="G1" s="115" t="s">
        <v>131</v>
      </c>
      <c r="H1" s="115"/>
      <c r="I1" s="115"/>
      <c r="J1" s="98"/>
      <c r="K1" s="98"/>
    </row>
    <row r="2" spans="1:16" ht="19.5" customHeight="1">
      <c r="A2" s="118" t="s">
        <v>2</v>
      </c>
      <c r="B2" s="118"/>
      <c r="C2" s="5">
        <f>SUM(C4:C79)</f>
        <v>1818455.181306533</v>
      </c>
      <c r="D2" s="5">
        <f>SUM(D4:D79)</f>
        <v>1637164.9899999998</v>
      </c>
      <c r="E2" s="5">
        <f>C2-D2</f>
        <v>181290.19130653329</v>
      </c>
      <c r="F2" s="6">
        <f>IFERROR(E2/D2, 0)</f>
        <v>0.11073422191036061</v>
      </c>
      <c r="G2" s="5">
        <f>SUM(G4:G79)</f>
        <v>1677149.2</v>
      </c>
      <c r="H2" s="7">
        <f>C2-G2</f>
        <v>141305.9813065331</v>
      </c>
      <c r="I2" s="6">
        <f>IFERROR(H2/G2, 0)</f>
        <v>8.4253673618622058E-2</v>
      </c>
      <c r="J2" s="101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98"/>
    </row>
    <row r="3" spans="1:16" ht="14.25" customHeight="1">
      <c r="A3" s="95" t="s">
        <v>3</v>
      </c>
      <c r="B3" s="10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99" t="s">
        <v>20</v>
      </c>
      <c r="K3" s="99" t="s">
        <v>21</v>
      </c>
      <c r="L3" s="99" t="s">
        <v>132</v>
      </c>
    </row>
    <row r="4" spans="1:16" ht="43.15">
      <c r="A4" s="96" t="str" cm="1">
        <f t="array" ref="A4:A13">Sites[Site]</f>
        <v>Conway -US 302 and Stirch Road</v>
      </c>
      <c r="B4" s="109" t="str" cm="1">
        <f t="array" ref="B4:B13">Sites[State]</f>
        <v>NH</v>
      </c>
      <c r="C4" s="22">
        <v>144882.42000000001</v>
      </c>
      <c r="D4" s="12">
        <v>112577</v>
      </c>
      <c r="E4" s="12">
        <f>IF(AND(ISNUMBER(C4),ISNUMBER(D4)), C4-D4, "")</f>
        <v>32305.420000000013</v>
      </c>
      <c r="F4" s="13">
        <f>IFERROR(E4/D4, "")</f>
        <v>0.28696287874077309</v>
      </c>
      <c r="G4" s="14">
        <v>147500</v>
      </c>
      <c r="H4" s="14">
        <f>IF(AND(ISNUMBER(C4),ISNUMBER(G4)), C4-G4, "")</f>
        <v>-2617.5799999999872</v>
      </c>
      <c r="I4" s="15">
        <f>IFERROR(H4/G4, "")</f>
        <v>-1.7746305084745676E-2</v>
      </c>
      <c r="J4" s="97" t="s">
        <v>133</v>
      </c>
      <c r="K4" s="74" t="s">
        <v>134</v>
      </c>
      <c r="L4" s="97" t="s">
        <v>135</v>
      </c>
      <c r="M4" s="112" t="s">
        <v>136</v>
      </c>
    </row>
    <row r="5" spans="1:16">
      <c r="A5" s="119" t="str">
        <v>Loudon - 7046 Pleasant Street</v>
      </c>
      <c r="B5" s="110" t="str">
        <v>NH</v>
      </c>
      <c r="C5" s="11">
        <v>155678.5</v>
      </c>
      <c r="D5" s="16">
        <v>151566.5</v>
      </c>
      <c r="E5" s="16">
        <f t="shared" ref="E5:E7" si="0">IF(AND(ISNUMBER(C5),ISNUMBER(D5)), C5-D5, "")</f>
        <v>4112</v>
      </c>
      <c r="F5" s="17">
        <f>IFERROR(E5/D5, "")</f>
        <v>2.7130005641088237E-2</v>
      </c>
      <c r="G5" s="18">
        <v>141212.70000000001</v>
      </c>
      <c r="H5" s="18">
        <f t="shared" ref="H5:H7" si="1">IF(AND(ISNUMBER(C5),ISNUMBER(G5)), C5-G5, "")</f>
        <v>14465.799999999988</v>
      </c>
      <c r="I5" s="17">
        <f t="shared" ref="I5:I7" si="2">IFERROR(H5/G5, "")</f>
        <v>0.10243979472101296</v>
      </c>
      <c r="J5" s="120" t="s">
        <v>137</v>
      </c>
      <c r="K5" s="92" t="s">
        <v>138</v>
      </c>
      <c r="L5" s="120" t="s">
        <v>135</v>
      </c>
    </row>
    <row r="6" spans="1:16" ht="100.9">
      <c r="A6" s="121" t="str">
        <v>Nashua - Pennichuck Water  East</v>
      </c>
      <c r="B6" s="109" t="str">
        <v>NH</v>
      </c>
      <c r="C6" s="22">
        <v>142557</v>
      </c>
      <c r="D6" s="12">
        <v>107816.6</v>
      </c>
      <c r="E6" s="12">
        <f t="shared" si="0"/>
        <v>34740.399999999994</v>
      </c>
      <c r="F6" s="13">
        <f t="shared" ref="F6:F7" si="3">IFERROR(E6/D6, "")</f>
        <v>0.32221754349515747</v>
      </c>
      <c r="G6" s="14">
        <v>89568</v>
      </c>
      <c r="H6" s="14">
        <f>IF(AND(ISNUMBER(C6),ISNUMBER(G6)), C6-G6, "")</f>
        <v>52989</v>
      </c>
      <c r="I6" s="15">
        <f t="shared" si="2"/>
        <v>0.59160637727759913</v>
      </c>
      <c r="J6" s="97" t="s">
        <v>139</v>
      </c>
      <c r="K6" s="74" t="s">
        <v>140</v>
      </c>
      <c r="L6" s="97" t="s">
        <v>141</v>
      </c>
      <c r="M6" s="112" t="s">
        <v>142</v>
      </c>
      <c r="N6" s="112" t="s">
        <v>143</v>
      </c>
      <c r="O6" s="112" t="s">
        <v>144</v>
      </c>
      <c r="P6" s="112" t="s">
        <v>121</v>
      </c>
    </row>
    <row r="7" spans="1:16" ht="72">
      <c r="A7" s="119" t="str">
        <v>Nashua - Pennichuck Water West</v>
      </c>
      <c r="B7" s="110" t="str">
        <v>NH</v>
      </c>
      <c r="C7" s="11">
        <v>111510.76130653299</v>
      </c>
      <c r="D7" s="16">
        <v>84581.88</v>
      </c>
      <c r="E7" s="16">
        <f t="shared" si="0"/>
        <v>26928.881306532989</v>
      </c>
      <c r="F7" s="17">
        <f t="shared" si="3"/>
        <v>0.31837648094997401</v>
      </c>
      <c r="G7" s="18">
        <v>107600</v>
      </c>
      <c r="H7" s="18">
        <f t="shared" si="1"/>
        <v>3910.7613065329933</v>
      </c>
      <c r="I7" s="17">
        <f t="shared" si="2"/>
        <v>3.6345365302351239E-2</v>
      </c>
      <c r="J7" s="120" t="s">
        <v>145</v>
      </c>
      <c r="K7" s="92" t="s">
        <v>146</v>
      </c>
      <c r="L7" s="120" t="s">
        <v>147</v>
      </c>
      <c r="M7" s="112" t="s">
        <v>148</v>
      </c>
    </row>
    <row r="8" spans="1:16">
      <c r="A8" s="121" t="str">
        <v>Boothbay - Wiscasset Road</v>
      </c>
      <c r="B8" s="109" t="str">
        <v>ME</v>
      </c>
      <c r="C8" s="22">
        <v>153950</v>
      </c>
      <c r="D8" s="12">
        <v>161523</v>
      </c>
      <c r="E8" s="12">
        <f t="shared" ref="E8:E13" si="4">IF(AND(ISNUMBER(C8),ISNUMBER(D8)), C8-D8, "")</f>
        <v>-7573</v>
      </c>
      <c r="F8" s="13">
        <f t="shared" ref="F8:F13" si="5">IFERROR(E8/D8, "")</f>
        <v>-4.6884963751292384E-2</v>
      </c>
      <c r="G8" s="14">
        <v>139990</v>
      </c>
      <c r="H8" s="14">
        <f t="shared" ref="H8:H13" si="6">IF(AND(ISNUMBER(C8),ISNUMBER(G8)), C8-G8, "")</f>
        <v>13960</v>
      </c>
      <c r="I8" s="15">
        <f t="shared" ref="I8:I13" si="7">IFERROR(H8/G8, "")</f>
        <v>9.9721408672047998E-2</v>
      </c>
      <c r="J8" s="97"/>
      <c r="K8" s="97"/>
      <c r="L8" s="97"/>
    </row>
    <row r="9" spans="1:16">
      <c r="A9" s="94" t="str">
        <v>Thorndike -  Leonard Road</v>
      </c>
      <c r="B9" s="104" t="str">
        <v>ME</v>
      </c>
      <c r="C9" s="19">
        <v>151184</v>
      </c>
      <c r="D9" s="19">
        <v>35846.21</v>
      </c>
      <c r="E9" s="16">
        <f t="shared" si="4"/>
        <v>115337.79000000001</v>
      </c>
      <c r="F9" s="88">
        <f t="shared" si="5"/>
        <v>3.2175727922142956</v>
      </c>
      <c r="G9" s="19">
        <v>136674.20000000001</v>
      </c>
      <c r="H9" s="89">
        <f t="shared" si="6"/>
        <v>14509.799999999988</v>
      </c>
      <c r="I9" s="88">
        <f t="shared" si="7"/>
        <v>0.10616341635802505</v>
      </c>
      <c r="J9" s="100" t="s">
        <v>124</v>
      </c>
      <c r="K9" s="113" t="s">
        <v>149</v>
      </c>
      <c r="L9" s="120" t="s">
        <v>150</v>
      </c>
    </row>
    <row r="10" spans="1:16" ht="28.9">
      <c r="A10" s="121" t="str">
        <v>Topsham - Solarize LLC</v>
      </c>
      <c r="B10" s="109" t="str">
        <v>ME</v>
      </c>
      <c r="C10" s="22">
        <v>118666</v>
      </c>
      <c r="D10" s="12">
        <v>121926.9</v>
      </c>
      <c r="E10" s="12">
        <f t="shared" si="4"/>
        <v>-3260.8999999999942</v>
      </c>
      <c r="F10" s="13">
        <f t="shared" si="5"/>
        <v>-2.6744713430752316E-2</v>
      </c>
      <c r="G10" s="14">
        <v>108363</v>
      </c>
      <c r="H10" s="14">
        <f t="shared" si="6"/>
        <v>10303</v>
      </c>
      <c r="I10" s="15">
        <f t="shared" si="7"/>
        <v>9.5078578481585047E-2</v>
      </c>
      <c r="J10" s="97" t="s">
        <v>151</v>
      </c>
      <c r="K10" s="74" t="s">
        <v>152</v>
      </c>
      <c r="L10" s="97" t="s">
        <v>135</v>
      </c>
    </row>
    <row r="11" spans="1:16">
      <c r="A11" s="94" t="str">
        <v>Cherryfield - 727 North Main St (IRA)</v>
      </c>
      <c r="B11" s="104" t="str">
        <v>ME</v>
      </c>
      <c r="C11" s="19">
        <v>234811</v>
      </c>
      <c r="D11" s="19">
        <v>240158.3</v>
      </c>
      <c r="E11" s="16">
        <f t="shared" si="4"/>
        <v>-5347.2999999999884</v>
      </c>
      <c r="F11" s="88">
        <f t="shared" si="5"/>
        <v>-2.2265730561883509E-2</v>
      </c>
      <c r="G11" s="19">
        <v>216719.1</v>
      </c>
      <c r="H11" s="89">
        <f t="shared" si="6"/>
        <v>18091.899999999994</v>
      </c>
      <c r="I11" s="88">
        <f t="shared" si="7"/>
        <v>8.3480874551435449E-2</v>
      </c>
      <c r="L11" s="120"/>
    </row>
    <row r="12" spans="1:16" ht="28.9">
      <c r="A12" s="121" t="str">
        <v>ME: Bucksport - 258 Route 1 (IRA)</v>
      </c>
      <c r="B12" s="109" t="str">
        <v>ME</v>
      </c>
      <c r="C12" s="22">
        <v>298261</v>
      </c>
      <c r="D12" s="12">
        <v>316795.09999999998</v>
      </c>
      <c r="E12" s="12">
        <f t="shared" si="4"/>
        <v>-18534.099999999977</v>
      </c>
      <c r="F12" s="13">
        <f t="shared" si="5"/>
        <v>-5.8505008442365357E-2</v>
      </c>
      <c r="G12" s="14">
        <v>313649.2</v>
      </c>
      <c r="H12" s="14">
        <f t="shared" si="6"/>
        <v>-15388.200000000012</v>
      </c>
      <c r="I12" s="15">
        <f t="shared" si="7"/>
        <v>-4.9061818107618359E-2</v>
      </c>
      <c r="J12" s="97" t="s">
        <v>153</v>
      </c>
      <c r="K12" s="74" t="s">
        <v>154</v>
      </c>
      <c r="L12" s="97" t="s">
        <v>135</v>
      </c>
    </row>
    <row r="13" spans="1:16" s="102" customFormat="1" ht="46.5" customHeight="1">
      <c r="A13" s="103" t="str">
        <v>ME: Union - Route 131 (IRA)</v>
      </c>
      <c r="B13" s="104" t="str">
        <v>ME</v>
      </c>
      <c r="C13" s="106">
        <v>306954.5</v>
      </c>
      <c r="D13" s="106">
        <v>304373.5</v>
      </c>
      <c r="E13" s="16">
        <f t="shared" si="4"/>
        <v>2581</v>
      </c>
      <c r="F13" s="88">
        <f t="shared" si="5"/>
        <v>8.479713247046803E-3</v>
      </c>
      <c r="G13" s="106">
        <v>275873</v>
      </c>
      <c r="H13" s="107">
        <f t="shared" si="6"/>
        <v>31081.5</v>
      </c>
      <c r="I13" s="88">
        <f t="shared" si="7"/>
        <v>0.11266597311081548</v>
      </c>
      <c r="J13" s="81" t="s">
        <v>155</v>
      </c>
      <c r="K13" s="77" t="s">
        <v>156</v>
      </c>
      <c r="L13" s="120" t="s">
        <v>135</v>
      </c>
    </row>
    <row r="14" spans="1:16">
      <c r="B14" s="104"/>
      <c r="C14" s="19"/>
      <c r="D14" s="19"/>
      <c r="E14" s="19"/>
      <c r="F14" s="20"/>
      <c r="G14" s="19"/>
      <c r="H14" s="19"/>
      <c r="I14" s="20"/>
    </row>
    <row r="15" spans="1:16">
      <c r="B15" s="104"/>
      <c r="C15" s="19"/>
      <c r="D15" s="19"/>
      <c r="E15" s="19"/>
      <c r="F15" s="20"/>
      <c r="G15" s="19"/>
      <c r="H15" s="19"/>
      <c r="I15" s="20"/>
    </row>
    <row r="16" spans="1:16">
      <c r="B16" s="104"/>
      <c r="C16" s="19"/>
      <c r="D16" s="19"/>
      <c r="E16" s="19"/>
      <c r="F16" s="20"/>
      <c r="G16" s="19"/>
      <c r="H16" s="19"/>
      <c r="I16" s="20"/>
    </row>
    <row r="17" spans="2:9">
      <c r="B17" s="104"/>
      <c r="C17" s="19"/>
      <c r="D17" s="19"/>
      <c r="E17" s="19"/>
      <c r="F17" s="20"/>
      <c r="G17" s="19"/>
      <c r="H17" s="19"/>
      <c r="I17" s="20"/>
    </row>
    <row r="18" spans="2:9">
      <c r="B18" s="104"/>
      <c r="C18" s="19"/>
      <c r="D18" s="19"/>
      <c r="E18" s="19"/>
      <c r="F18" s="20"/>
      <c r="G18" s="19"/>
      <c r="H18" s="19"/>
      <c r="I18" s="20"/>
    </row>
    <row r="19" spans="2:9">
      <c r="B19" s="104"/>
      <c r="C19" s="19"/>
      <c r="D19" s="19"/>
      <c r="E19" s="19"/>
      <c r="F19" s="20"/>
      <c r="G19" s="19"/>
      <c r="H19" s="19"/>
      <c r="I19" s="20"/>
    </row>
    <row r="20" spans="2:9">
      <c r="B20" s="104"/>
      <c r="C20" s="19"/>
      <c r="D20" s="19"/>
      <c r="E20" s="19"/>
      <c r="F20" s="20"/>
      <c r="G20" s="19"/>
      <c r="H20" s="19"/>
      <c r="I20" s="20"/>
    </row>
    <row r="21" spans="2:9">
      <c r="B21" s="104"/>
      <c r="C21" s="19"/>
      <c r="D21" s="19"/>
      <c r="E21" s="19"/>
      <c r="F21" s="20"/>
      <c r="G21" s="19"/>
      <c r="H21" s="19"/>
      <c r="I21" s="20"/>
    </row>
    <row r="22" spans="2:9">
      <c r="B22" s="104"/>
      <c r="C22" s="19"/>
      <c r="D22" s="19"/>
      <c r="E22" s="19"/>
      <c r="F22" s="20"/>
      <c r="G22" s="19"/>
      <c r="H22" s="19"/>
      <c r="I22" s="20"/>
    </row>
    <row r="23" spans="2:9">
      <c r="B23" s="104"/>
      <c r="C23" s="19"/>
      <c r="D23" s="19"/>
      <c r="E23" s="19"/>
      <c r="F23" s="20"/>
      <c r="G23" s="19"/>
      <c r="H23" s="19"/>
      <c r="I23" s="20"/>
    </row>
    <row r="24" spans="2:9">
      <c r="B24" s="104"/>
      <c r="C24" s="19"/>
      <c r="D24" s="19"/>
      <c r="E24" s="19"/>
      <c r="F24" s="20"/>
      <c r="G24" s="19"/>
      <c r="H24" s="19"/>
      <c r="I24" s="20"/>
    </row>
    <row r="25" spans="2:9">
      <c r="B25" s="104"/>
      <c r="C25" s="19"/>
      <c r="D25" s="19"/>
      <c r="E25" s="19"/>
      <c r="F25" s="20"/>
      <c r="G25" s="19"/>
      <c r="H25" s="19"/>
      <c r="I25" s="20"/>
    </row>
    <row r="26" spans="2:9">
      <c r="B26" s="104"/>
      <c r="C26" s="19"/>
      <c r="D26" s="19"/>
      <c r="E26" s="19"/>
      <c r="F26" s="20"/>
      <c r="G26" s="19"/>
      <c r="H26" s="19"/>
      <c r="I26" s="20"/>
    </row>
    <row r="27" spans="2:9">
      <c r="B27" s="104"/>
      <c r="C27" s="19"/>
      <c r="D27" s="19"/>
      <c r="E27" s="19"/>
      <c r="F27" s="20"/>
      <c r="G27" s="19"/>
      <c r="H27" s="19"/>
      <c r="I27" s="20"/>
    </row>
    <row r="28" spans="2:9">
      <c r="B28" s="104"/>
      <c r="C28" s="19"/>
      <c r="D28" s="19"/>
      <c r="E28" s="19"/>
      <c r="F28" s="20"/>
      <c r="G28" s="19"/>
      <c r="H28" s="19"/>
      <c r="I28" s="20"/>
    </row>
    <row r="29" spans="2:9">
      <c r="B29" s="104"/>
      <c r="C29" s="19"/>
      <c r="D29" s="19"/>
      <c r="E29" s="19"/>
      <c r="F29" s="20"/>
      <c r="G29" s="19"/>
      <c r="H29" s="19"/>
      <c r="I29" s="20"/>
    </row>
    <row r="30" spans="2:9">
      <c r="B30" s="104"/>
      <c r="C30" s="19"/>
      <c r="D30" s="19"/>
      <c r="E30" s="19"/>
      <c r="F30" s="20"/>
      <c r="G30" s="19"/>
      <c r="H30" s="19"/>
      <c r="I30" s="20"/>
    </row>
    <row r="31" spans="2:9">
      <c r="B31" s="104"/>
      <c r="C31" s="19"/>
      <c r="D31" s="19"/>
      <c r="E31" s="19"/>
      <c r="F31" s="20"/>
      <c r="G31" s="19"/>
      <c r="H31" s="19"/>
      <c r="I31" s="20"/>
    </row>
    <row r="32" spans="2:9">
      <c r="B32" s="104"/>
      <c r="C32" s="19"/>
      <c r="D32" s="19"/>
      <c r="E32" s="19"/>
      <c r="F32" s="20"/>
      <c r="G32" s="19"/>
      <c r="H32" s="19"/>
      <c r="I32" s="20"/>
    </row>
    <row r="33" spans="2:9">
      <c r="B33" s="104"/>
      <c r="C33" s="19"/>
      <c r="D33" s="19"/>
      <c r="E33" s="19"/>
      <c r="F33" s="20"/>
      <c r="G33" s="19"/>
      <c r="H33" s="19"/>
      <c r="I33" s="20"/>
    </row>
    <row r="34" spans="2:9">
      <c r="B34" s="104"/>
      <c r="C34" s="19"/>
      <c r="D34" s="19"/>
      <c r="E34" s="19"/>
      <c r="F34" s="20"/>
      <c r="G34" s="19"/>
      <c r="H34" s="19"/>
      <c r="I34" s="20"/>
    </row>
    <row r="35" spans="2:9">
      <c r="B35" s="104"/>
      <c r="C35" s="19"/>
      <c r="D35" s="19"/>
      <c r="E35" s="19"/>
      <c r="F35" s="20"/>
      <c r="G35" s="19"/>
      <c r="H35" s="19"/>
      <c r="I35" s="20"/>
    </row>
    <row r="36" spans="2:9">
      <c r="B36" s="104"/>
      <c r="C36" s="19"/>
      <c r="D36" s="19"/>
      <c r="E36" s="19"/>
      <c r="F36" s="20"/>
      <c r="G36" s="19"/>
      <c r="H36" s="19"/>
      <c r="I36" s="20"/>
    </row>
    <row r="37" spans="2:9">
      <c r="B37" s="104"/>
      <c r="C37" s="19"/>
      <c r="D37" s="19"/>
      <c r="E37" s="19"/>
      <c r="F37" s="20"/>
      <c r="G37" s="19"/>
      <c r="H37" s="19"/>
      <c r="I37" s="20"/>
    </row>
    <row r="38" spans="2:9">
      <c r="B38" s="104"/>
      <c r="C38" s="19"/>
      <c r="D38" s="19"/>
      <c r="E38" s="19"/>
      <c r="F38" s="20"/>
      <c r="G38" s="19"/>
      <c r="H38" s="19"/>
      <c r="I38" s="20"/>
    </row>
    <row r="39" spans="2:9">
      <c r="B39" s="104"/>
      <c r="C39" s="19"/>
      <c r="D39" s="19"/>
      <c r="E39" s="19"/>
      <c r="F39" s="20"/>
      <c r="G39" s="19"/>
      <c r="H39" s="19"/>
      <c r="I39" s="20"/>
    </row>
    <row r="40" spans="2:9">
      <c r="B40" s="104"/>
      <c r="C40" s="19"/>
      <c r="D40" s="19"/>
      <c r="E40" s="19"/>
      <c r="F40" s="20"/>
      <c r="G40" s="19"/>
      <c r="H40" s="19"/>
      <c r="I40" s="20"/>
    </row>
    <row r="41" spans="2:9">
      <c r="B41" s="104"/>
      <c r="C41" s="19"/>
      <c r="D41" s="19"/>
      <c r="E41" s="19"/>
      <c r="F41" s="20"/>
      <c r="G41" s="19"/>
      <c r="H41" s="19"/>
      <c r="I41" s="20"/>
    </row>
    <row r="42" spans="2:9">
      <c r="B42" s="104"/>
      <c r="C42" s="19"/>
      <c r="D42" s="19"/>
      <c r="E42" s="19"/>
      <c r="F42" s="20"/>
      <c r="G42" s="19"/>
      <c r="H42" s="19"/>
      <c r="I42" s="20"/>
    </row>
    <row r="43" spans="2:9">
      <c r="B43" s="104"/>
      <c r="C43" s="19"/>
      <c r="D43" s="19"/>
      <c r="E43" s="19"/>
      <c r="F43" s="20"/>
      <c r="G43" s="19"/>
      <c r="H43" s="19"/>
      <c r="I43" s="20"/>
    </row>
    <row r="44" spans="2:9">
      <c r="B44" s="104"/>
      <c r="C44" s="19"/>
      <c r="D44" s="19"/>
      <c r="E44" s="19"/>
      <c r="F44" s="20"/>
      <c r="G44" s="19"/>
      <c r="H44" s="19"/>
      <c r="I44" s="20"/>
    </row>
    <row r="45" spans="2:9">
      <c r="B45" s="104"/>
      <c r="C45" s="19"/>
      <c r="D45" s="19"/>
      <c r="E45" s="19"/>
      <c r="F45" s="20"/>
      <c r="G45" s="19"/>
      <c r="H45" s="19"/>
      <c r="I45" s="20"/>
    </row>
    <row r="46" spans="2:9">
      <c r="B46" s="104"/>
      <c r="C46" s="19"/>
      <c r="D46" s="19"/>
      <c r="E46" s="19"/>
      <c r="F46" s="20"/>
      <c r="G46" s="19"/>
      <c r="H46" s="19"/>
      <c r="I46" s="20"/>
    </row>
    <row r="47" spans="2:9">
      <c r="B47" s="104"/>
      <c r="C47" s="19"/>
      <c r="D47" s="19"/>
      <c r="E47" s="19"/>
      <c r="F47" s="20"/>
      <c r="G47" s="19"/>
      <c r="H47" s="19"/>
      <c r="I47" s="20"/>
    </row>
    <row r="48" spans="2:9">
      <c r="B48" s="104"/>
      <c r="C48" s="19"/>
      <c r="D48" s="19"/>
      <c r="E48" s="19"/>
      <c r="F48" s="20"/>
      <c r="G48" s="19"/>
      <c r="H48" s="19"/>
      <c r="I48" s="20"/>
    </row>
    <row r="49" spans="2:9">
      <c r="B49" s="104"/>
      <c r="C49" s="19"/>
      <c r="D49" s="19"/>
      <c r="E49" s="19"/>
      <c r="F49" s="20"/>
      <c r="G49" s="19"/>
      <c r="H49" s="19"/>
      <c r="I49" s="20"/>
    </row>
    <row r="50" spans="2:9">
      <c r="B50" s="104"/>
      <c r="C50" s="19"/>
      <c r="D50" s="19"/>
      <c r="E50" s="19"/>
      <c r="F50" s="20"/>
      <c r="G50" s="19"/>
      <c r="H50" s="19"/>
      <c r="I50" s="20"/>
    </row>
    <row r="51" spans="2:9">
      <c r="B51" s="104"/>
      <c r="C51" s="19"/>
      <c r="D51" s="19"/>
      <c r="E51" s="19"/>
      <c r="F51" s="20"/>
      <c r="G51" s="19"/>
      <c r="H51" s="19"/>
      <c r="I51" s="20"/>
    </row>
    <row r="52" spans="2:9">
      <c r="B52" s="104"/>
      <c r="C52" s="19"/>
      <c r="D52" s="19"/>
      <c r="E52" s="19"/>
      <c r="F52" s="20"/>
      <c r="G52" s="19"/>
      <c r="H52" s="19"/>
      <c r="I52" s="20"/>
    </row>
    <row r="53" spans="2:9">
      <c r="B53" s="104"/>
      <c r="C53" s="19"/>
      <c r="D53" s="19"/>
      <c r="E53" s="19"/>
      <c r="F53" s="20"/>
      <c r="G53" s="19"/>
      <c r="H53" s="19"/>
      <c r="I53" s="20"/>
    </row>
    <row r="54" spans="2:9">
      <c r="B54" s="104"/>
      <c r="C54" s="19"/>
      <c r="D54" s="19"/>
      <c r="E54" s="19"/>
      <c r="F54" s="20"/>
      <c r="G54" s="19"/>
      <c r="H54" s="19"/>
      <c r="I54" s="20"/>
    </row>
    <row r="55" spans="2:9">
      <c r="B55" s="104"/>
      <c r="C55" s="19"/>
      <c r="D55" s="19"/>
      <c r="E55" s="19"/>
      <c r="F55" s="20"/>
      <c r="G55" s="19"/>
      <c r="H55" s="19"/>
      <c r="I55" s="20"/>
    </row>
    <row r="56" spans="2:9">
      <c r="B56" s="104"/>
      <c r="C56" s="19"/>
      <c r="D56" s="19"/>
      <c r="E56" s="19"/>
      <c r="F56" s="20"/>
      <c r="G56" s="19"/>
      <c r="H56" s="19"/>
      <c r="I56" s="20"/>
    </row>
    <row r="57" spans="2:9">
      <c r="B57" s="104"/>
      <c r="C57" s="19"/>
      <c r="D57" s="19"/>
      <c r="E57" s="19"/>
      <c r="F57" s="20"/>
      <c r="G57" s="19"/>
      <c r="H57" s="19"/>
      <c r="I57" s="20"/>
    </row>
    <row r="58" spans="2:9">
      <c r="B58" s="104"/>
      <c r="C58" s="19"/>
      <c r="D58" s="19"/>
      <c r="E58" s="19"/>
      <c r="F58" s="20"/>
      <c r="G58" s="19"/>
      <c r="H58" s="19"/>
      <c r="I58" s="20"/>
    </row>
    <row r="59" spans="2:9">
      <c r="B59" s="104"/>
      <c r="C59" s="19"/>
      <c r="D59" s="19"/>
      <c r="E59" s="19"/>
      <c r="F59" s="20"/>
      <c r="G59" s="19"/>
      <c r="H59" s="19"/>
      <c r="I59" s="20"/>
    </row>
    <row r="60" spans="2:9">
      <c r="B60" s="104"/>
      <c r="C60" s="19"/>
      <c r="D60" s="19"/>
      <c r="E60" s="19"/>
      <c r="F60" s="20"/>
      <c r="G60" s="19"/>
      <c r="H60" s="19"/>
      <c r="I60" s="20"/>
    </row>
    <row r="61" spans="2:9">
      <c r="B61" s="104"/>
      <c r="C61" s="19"/>
      <c r="D61" s="19"/>
      <c r="E61" s="19"/>
      <c r="F61" s="20"/>
      <c r="G61" s="19"/>
      <c r="H61" s="19"/>
      <c r="I61" s="20"/>
    </row>
    <row r="62" spans="2:9">
      <c r="B62" s="104"/>
      <c r="C62" s="19"/>
      <c r="D62" s="19"/>
      <c r="E62" s="19"/>
      <c r="F62" s="20"/>
      <c r="G62" s="19"/>
      <c r="H62" s="19"/>
      <c r="I62" s="20"/>
    </row>
    <row r="63" spans="2:9">
      <c r="B63" s="104"/>
      <c r="C63" s="19"/>
      <c r="D63" s="19"/>
      <c r="E63" s="19"/>
      <c r="F63" s="20"/>
      <c r="G63" s="19"/>
      <c r="H63" s="19"/>
      <c r="I63" s="20"/>
    </row>
    <row r="64" spans="2:9">
      <c r="B64" s="104"/>
      <c r="C64" s="19"/>
      <c r="D64" s="19"/>
      <c r="E64" s="19"/>
      <c r="F64" s="20"/>
      <c r="G64" s="19"/>
      <c r="H64" s="19"/>
      <c r="I64" s="20"/>
    </row>
    <row r="65" spans="2:9">
      <c r="B65" s="104"/>
      <c r="C65" s="19"/>
      <c r="D65" s="19"/>
      <c r="E65" s="19"/>
      <c r="F65" s="20"/>
      <c r="G65" s="19"/>
      <c r="H65" s="19"/>
      <c r="I65" s="20"/>
    </row>
    <row r="66" spans="2:9">
      <c r="B66" s="104"/>
      <c r="C66" s="19"/>
      <c r="D66" s="19"/>
      <c r="E66" s="19"/>
      <c r="F66" s="20"/>
      <c r="G66" s="19"/>
      <c r="H66" s="19"/>
      <c r="I66" s="20"/>
    </row>
    <row r="67" spans="2:9">
      <c r="B67" s="104"/>
      <c r="C67" s="19"/>
      <c r="D67" s="19"/>
      <c r="E67" s="19"/>
      <c r="F67" s="20"/>
      <c r="G67" s="19"/>
      <c r="H67" s="19"/>
      <c r="I67" s="20"/>
    </row>
    <row r="68" spans="2:9">
      <c r="B68" s="104"/>
      <c r="C68" s="19"/>
      <c r="D68" s="19"/>
      <c r="E68" s="19"/>
      <c r="F68" s="20"/>
      <c r="G68" s="19"/>
      <c r="H68" s="19"/>
      <c r="I68" s="20"/>
    </row>
    <row r="69" spans="2:9">
      <c r="B69" s="104"/>
      <c r="C69" s="19"/>
      <c r="D69" s="19"/>
      <c r="E69" s="19"/>
      <c r="F69" s="20"/>
      <c r="G69" s="19"/>
      <c r="H69" s="19"/>
      <c r="I69" s="20"/>
    </row>
    <row r="70" spans="2:9">
      <c r="B70" s="104"/>
      <c r="C70" s="19"/>
      <c r="D70" s="19"/>
      <c r="E70" s="19"/>
      <c r="F70" s="20"/>
      <c r="G70" s="19"/>
      <c r="H70" s="19"/>
      <c r="I70" s="20"/>
    </row>
    <row r="71" spans="2:9">
      <c r="B71" s="104"/>
      <c r="C71" s="19"/>
      <c r="D71" s="19"/>
      <c r="E71" s="19"/>
      <c r="F71" s="20"/>
      <c r="G71" s="19"/>
      <c r="H71" s="19"/>
      <c r="I71" s="20"/>
    </row>
    <row r="72" spans="2:9">
      <c r="B72" s="104"/>
      <c r="C72" s="19"/>
      <c r="D72" s="19"/>
      <c r="E72" s="19"/>
      <c r="F72" s="20"/>
      <c r="G72" s="19"/>
      <c r="H72" s="19"/>
      <c r="I72" s="20"/>
    </row>
    <row r="73" spans="2:9">
      <c r="B73" s="104"/>
      <c r="C73" s="19"/>
      <c r="D73" s="19"/>
      <c r="E73" s="19"/>
      <c r="F73" s="20"/>
      <c r="G73" s="19"/>
      <c r="H73" s="19"/>
      <c r="I73" s="20"/>
    </row>
    <row r="74" spans="2:9">
      <c r="B74" s="104"/>
      <c r="C74" s="19"/>
      <c r="D74" s="19"/>
      <c r="E74" s="19"/>
      <c r="F74" s="20"/>
      <c r="G74" s="19"/>
      <c r="H74" s="19"/>
      <c r="I74" s="20"/>
    </row>
    <row r="75" spans="2:9">
      <c r="B75" s="104"/>
      <c r="C75" s="19"/>
      <c r="D75" s="19"/>
      <c r="E75" s="19"/>
      <c r="F75" s="20"/>
      <c r="G75" s="19"/>
      <c r="H75" s="19"/>
      <c r="I75" s="20"/>
    </row>
    <row r="76" spans="2:9">
      <c r="B76" s="104"/>
      <c r="C76" s="19"/>
      <c r="D76" s="19"/>
      <c r="E76" s="19"/>
      <c r="F76" s="20"/>
      <c r="G76" s="19"/>
      <c r="H76" s="19"/>
      <c r="I76" s="20"/>
    </row>
    <row r="77" spans="2:9">
      <c r="B77" s="104"/>
      <c r="C77" s="19"/>
      <c r="D77" s="19"/>
      <c r="E77" s="19"/>
      <c r="F77" s="20"/>
      <c r="G77" s="19"/>
      <c r="H77" s="19"/>
      <c r="I77" s="20"/>
    </row>
    <row r="78" spans="2:9">
      <c r="B78" s="104"/>
      <c r="C78" s="19"/>
      <c r="D78" s="19"/>
      <c r="E78" s="19"/>
      <c r="F78" s="20"/>
      <c r="G78" s="19"/>
      <c r="H78" s="19"/>
      <c r="I78" s="20"/>
    </row>
    <row r="79" spans="2:9">
      <c r="B79" s="104"/>
      <c r="C79" s="19"/>
      <c r="D79" s="19"/>
      <c r="E79" s="19"/>
      <c r="F79" s="20"/>
      <c r="G79" s="19"/>
      <c r="H79" s="19"/>
      <c r="I79" s="20"/>
    </row>
    <row r="80" spans="2:9">
      <c r="B80" s="104"/>
      <c r="C80" s="19"/>
      <c r="D80" s="19"/>
      <c r="E80" s="19"/>
      <c r="F80" s="20"/>
      <c r="G80" s="19"/>
      <c r="H80" s="19"/>
      <c r="I80" s="20"/>
    </row>
    <row r="81" spans="2:9">
      <c r="B81" s="104"/>
      <c r="C81" s="19"/>
      <c r="D81" s="19"/>
      <c r="E81" s="19"/>
      <c r="F81" s="20"/>
      <c r="G81" s="19"/>
      <c r="H81" s="19"/>
      <c r="I81" s="20"/>
    </row>
    <row r="82" spans="2:9">
      <c r="B82" s="104"/>
      <c r="C82" s="19"/>
      <c r="D82" s="19"/>
      <c r="E82" s="19"/>
      <c r="F82" s="20"/>
      <c r="G82" s="19"/>
      <c r="H82" s="19"/>
      <c r="I82" s="20"/>
    </row>
    <row r="83" spans="2:9">
      <c r="B83" s="104"/>
      <c r="C83" s="19"/>
      <c r="D83" s="19"/>
      <c r="E83" s="19"/>
      <c r="F83" s="20"/>
      <c r="G83" s="19"/>
      <c r="H83" s="19"/>
      <c r="I83" s="20"/>
    </row>
    <row r="84" spans="2:9">
      <c r="B84" s="104"/>
      <c r="C84" s="19"/>
      <c r="D84" s="19"/>
      <c r="E84" s="19"/>
      <c r="F84" s="20"/>
      <c r="G84" s="19"/>
      <c r="H84" s="19"/>
      <c r="I84" s="20"/>
    </row>
    <row r="85" spans="2:9">
      <c r="B85" s="104"/>
      <c r="C85" s="19"/>
      <c r="D85" s="19"/>
      <c r="E85" s="19"/>
      <c r="F85" s="20"/>
      <c r="G85" s="19"/>
      <c r="H85" s="19"/>
      <c r="I85" s="20"/>
    </row>
    <row r="86" spans="2:9">
      <c r="B86" s="104"/>
      <c r="C86" s="19"/>
      <c r="D86" s="19"/>
      <c r="E86" s="19"/>
      <c r="F86" s="20"/>
      <c r="G86" s="19"/>
      <c r="H86" s="19"/>
      <c r="I86" s="20"/>
    </row>
    <row r="87" spans="2:9">
      <c r="B87" s="104"/>
      <c r="C87" s="19"/>
      <c r="D87" s="19"/>
      <c r="E87" s="19"/>
      <c r="F87" s="20"/>
      <c r="G87" s="19"/>
      <c r="H87" s="19"/>
      <c r="I87" s="20"/>
    </row>
    <row r="88" spans="2:9">
      <c r="B88" s="104"/>
      <c r="C88" s="19"/>
      <c r="D88" s="19"/>
      <c r="E88" s="19"/>
      <c r="F88" s="20"/>
      <c r="G88" s="19"/>
      <c r="H88" s="19"/>
      <c r="I88" s="20"/>
    </row>
    <row r="89" spans="2:9">
      <c r="B89" s="104"/>
      <c r="C89" s="19"/>
      <c r="D89" s="19"/>
      <c r="E89" s="19"/>
      <c r="F89" s="20"/>
      <c r="G89" s="19"/>
      <c r="H89" s="19"/>
      <c r="I89" s="20"/>
    </row>
    <row r="90" spans="2:9">
      <c r="B90" s="104"/>
      <c r="C90" s="19"/>
      <c r="D90" s="19"/>
      <c r="E90" s="19"/>
      <c r="F90" s="20"/>
      <c r="G90" s="19"/>
      <c r="H90" s="19"/>
      <c r="I90" s="20"/>
    </row>
    <row r="91" spans="2:9">
      <c r="B91" s="104"/>
      <c r="C91" s="19"/>
      <c r="D91" s="19"/>
      <c r="E91" s="19"/>
      <c r="F91" s="20"/>
      <c r="G91" s="19"/>
      <c r="H91" s="19"/>
      <c r="I91" s="20"/>
    </row>
    <row r="92" spans="2:9">
      <c r="B92" s="104"/>
      <c r="C92" s="19"/>
      <c r="D92" s="19"/>
      <c r="E92" s="19"/>
      <c r="F92" s="20"/>
      <c r="G92" s="19"/>
      <c r="H92" s="19"/>
      <c r="I92" s="20"/>
    </row>
    <row r="93" spans="2:9">
      <c r="B93" s="104"/>
      <c r="C93" s="19"/>
      <c r="D93" s="19"/>
      <c r="E93" s="19"/>
      <c r="F93" s="20"/>
      <c r="G93" s="19"/>
      <c r="H93" s="19"/>
      <c r="I93" s="20"/>
    </row>
    <row r="94" spans="2:9">
      <c r="B94" s="104"/>
      <c r="C94" s="19"/>
      <c r="D94" s="19"/>
      <c r="E94" s="19"/>
      <c r="F94" s="20"/>
      <c r="G94" s="19"/>
      <c r="H94" s="19"/>
      <c r="I94" s="20"/>
    </row>
    <row r="95" spans="2:9">
      <c r="B95" s="104"/>
      <c r="C95" s="19"/>
      <c r="D95" s="19"/>
      <c r="E95" s="19"/>
      <c r="F95" s="20"/>
      <c r="G95" s="19"/>
      <c r="H95" s="19"/>
      <c r="I95" s="20"/>
    </row>
    <row r="96" spans="2:9">
      <c r="B96" s="104"/>
      <c r="C96" s="19"/>
      <c r="D96" s="19"/>
      <c r="E96" s="19"/>
      <c r="F96" s="20"/>
      <c r="G96" s="19"/>
      <c r="H96" s="19"/>
      <c r="I96" s="20"/>
    </row>
    <row r="97" spans="2:9">
      <c r="B97" s="104"/>
      <c r="C97" s="19"/>
      <c r="D97" s="19"/>
      <c r="E97" s="19"/>
      <c r="F97" s="20"/>
      <c r="G97" s="19"/>
      <c r="H97" s="19"/>
      <c r="I97" s="20"/>
    </row>
    <row r="98" spans="2:9">
      <c r="B98" s="104"/>
      <c r="C98" s="19"/>
      <c r="D98" s="19"/>
      <c r="E98" s="19"/>
      <c r="F98" s="20"/>
      <c r="G98" s="19"/>
      <c r="H98" s="19"/>
      <c r="I98" s="20"/>
    </row>
    <row r="99" spans="2:9">
      <c r="B99" s="104"/>
      <c r="C99" s="19"/>
      <c r="D99" s="19"/>
      <c r="E99" s="19"/>
      <c r="F99" s="20"/>
      <c r="G99" s="19"/>
      <c r="H99" s="19"/>
      <c r="I99" s="20"/>
    </row>
    <row r="100" spans="2:9">
      <c r="B100" s="104"/>
      <c r="C100" s="19"/>
      <c r="D100" s="19"/>
      <c r="E100" s="19"/>
      <c r="F100" s="20"/>
      <c r="G100" s="19"/>
      <c r="H100" s="19"/>
      <c r="I100" s="20"/>
    </row>
    <row r="101" spans="2:9">
      <c r="B101" s="104"/>
      <c r="C101" s="19"/>
      <c r="D101" s="19"/>
      <c r="E101" s="19"/>
      <c r="F101" s="20"/>
      <c r="G101" s="19"/>
      <c r="H101" s="19"/>
      <c r="I101" s="20"/>
    </row>
    <row r="102" spans="2:9">
      <c r="B102" s="104"/>
      <c r="C102" s="19"/>
      <c r="D102" s="19"/>
      <c r="E102" s="19"/>
      <c r="F102" s="20"/>
      <c r="G102" s="19"/>
      <c r="H102" s="19"/>
      <c r="I102" s="20"/>
    </row>
    <row r="103" spans="2:9">
      <c r="B103" s="104"/>
      <c r="C103" s="19"/>
      <c r="D103" s="19"/>
      <c r="E103" s="19"/>
      <c r="F103" s="20"/>
      <c r="G103" s="19"/>
      <c r="H103" s="19"/>
      <c r="I103" s="20"/>
    </row>
    <row r="104" spans="2:9">
      <c r="B104" s="104"/>
      <c r="C104" s="19"/>
      <c r="D104" s="19"/>
      <c r="E104" s="19"/>
      <c r="F104" s="20"/>
      <c r="G104" s="19"/>
      <c r="H104" s="19"/>
      <c r="I104" s="20"/>
    </row>
    <row r="105" spans="2:9">
      <c r="B105" s="104"/>
      <c r="C105" s="19"/>
      <c r="D105" s="19"/>
      <c r="E105" s="19"/>
      <c r="F105" s="20"/>
      <c r="G105" s="19"/>
      <c r="H105" s="19"/>
      <c r="I105" s="20"/>
    </row>
    <row r="106" spans="2:9">
      <c r="B106" s="104"/>
      <c r="C106" s="19"/>
      <c r="D106" s="19"/>
      <c r="E106" s="19"/>
      <c r="F106" s="20"/>
      <c r="G106" s="19"/>
      <c r="H106" s="19"/>
      <c r="I106" s="20"/>
    </row>
    <row r="107" spans="2:9">
      <c r="B107" s="104"/>
      <c r="C107" s="19"/>
      <c r="D107" s="19"/>
      <c r="E107" s="19"/>
      <c r="F107" s="20"/>
      <c r="G107" s="19"/>
      <c r="H107" s="19"/>
      <c r="I107" s="20"/>
    </row>
    <row r="108" spans="2:9">
      <c r="B108" s="104"/>
      <c r="C108" s="19"/>
      <c r="D108" s="19"/>
      <c r="E108" s="19"/>
      <c r="F108" s="20"/>
      <c r="G108" s="19"/>
      <c r="H108" s="19"/>
      <c r="I108" s="20"/>
    </row>
    <row r="109" spans="2:9">
      <c r="B109" s="104"/>
      <c r="C109" s="19"/>
      <c r="D109" s="19"/>
      <c r="E109" s="19"/>
      <c r="F109" s="20"/>
      <c r="G109" s="19"/>
      <c r="H109" s="19"/>
      <c r="I109" s="20"/>
    </row>
    <row r="110" spans="2:9">
      <c r="B110" s="104"/>
      <c r="C110" s="19"/>
      <c r="D110" s="19"/>
      <c r="E110" s="19"/>
      <c r="F110" s="20"/>
      <c r="G110" s="19"/>
      <c r="H110" s="19"/>
      <c r="I110" s="20"/>
    </row>
    <row r="111" spans="2:9">
      <c r="B111" s="104"/>
      <c r="C111" s="19"/>
      <c r="D111" s="19"/>
      <c r="E111" s="19"/>
      <c r="F111" s="20"/>
      <c r="G111" s="19"/>
      <c r="H111" s="19"/>
      <c r="I111" s="20"/>
    </row>
    <row r="112" spans="2:9">
      <c r="B112" s="104"/>
      <c r="C112" s="19"/>
      <c r="D112" s="19"/>
      <c r="E112" s="19"/>
      <c r="F112" s="20"/>
      <c r="G112" s="19"/>
      <c r="H112" s="19"/>
      <c r="I112" s="20"/>
    </row>
    <row r="113" spans="2:9">
      <c r="B113" s="104"/>
      <c r="C113" s="19"/>
      <c r="D113" s="19"/>
      <c r="E113" s="19"/>
      <c r="F113" s="20"/>
      <c r="G113" s="19"/>
      <c r="H113" s="19"/>
      <c r="I113" s="20"/>
    </row>
    <row r="114" spans="2:9">
      <c r="B114" s="104"/>
      <c r="C114" s="19"/>
      <c r="D114" s="19"/>
      <c r="E114" s="19"/>
      <c r="F114" s="20"/>
      <c r="G114" s="19"/>
      <c r="H114" s="19"/>
      <c r="I114" s="20"/>
    </row>
    <row r="115" spans="2:9">
      <c r="B115" s="104"/>
      <c r="C115" s="19"/>
      <c r="D115" s="19"/>
      <c r="E115" s="19"/>
      <c r="F115" s="20"/>
      <c r="G115" s="19"/>
      <c r="H115" s="19"/>
      <c r="I115" s="20"/>
    </row>
    <row r="116" spans="2:9">
      <c r="B116" s="104"/>
      <c r="C116" s="19"/>
      <c r="D116" s="19"/>
      <c r="E116" s="19"/>
      <c r="F116" s="20"/>
      <c r="G116" s="19"/>
      <c r="H116" s="19"/>
      <c r="I116" s="20"/>
    </row>
    <row r="117" spans="2:9">
      <c r="B117" s="104"/>
      <c r="C117" s="19"/>
      <c r="D117" s="19"/>
      <c r="E117" s="19"/>
      <c r="F117" s="20"/>
      <c r="G117" s="19"/>
      <c r="H117" s="19"/>
      <c r="I117" s="20"/>
    </row>
    <row r="118" spans="2:9">
      <c r="B118" s="104"/>
      <c r="C118" s="19"/>
      <c r="D118" s="19"/>
      <c r="E118" s="19"/>
      <c r="F118" s="20"/>
      <c r="G118" s="19"/>
      <c r="H118" s="19"/>
      <c r="I118" s="20"/>
    </row>
    <row r="119" spans="2:9">
      <c r="B119" s="104"/>
      <c r="C119" s="19"/>
      <c r="D119" s="19"/>
      <c r="E119" s="19"/>
      <c r="F119" s="20"/>
      <c r="G119" s="19"/>
      <c r="H119" s="19"/>
      <c r="I119" s="20"/>
    </row>
    <row r="120" spans="2:9">
      <c r="B120" s="104"/>
      <c r="C120" s="19"/>
      <c r="D120" s="19"/>
      <c r="E120" s="19"/>
      <c r="F120" s="20"/>
      <c r="G120" s="19"/>
      <c r="H120" s="19"/>
      <c r="I120" s="20"/>
    </row>
    <row r="121" spans="2:9">
      <c r="B121" s="104"/>
      <c r="C121" s="19"/>
      <c r="D121" s="19"/>
      <c r="E121" s="19"/>
      <c r="F121" s="20"/>
      <c r="G121" s="19"/>
      <c r="H121" s="19"/>
      <c r="I121" s="20"/>
    </row>
    <row r="122" spans="2:9">
      <c r="B122" s="104"/>
      <c r="C122" s="19"/>
      <c r="D122" s="19"/>
      <c r="E122" s="19"/>
      <c r="F122" s="20"/>
      <c r="G122" s="19"/>
      <c r="H122" s="19"/>
      <c r="I122" s="20"/>
    </row>
    <row r="123" spans="2:9">
      <c r="B123" s="104"/>
      <c r="C123" s="19"/>
      <c r="D123" s="19"/>
      <c r="E123" s="19"/>
      <c r="F123" s="20"/>
      <c r="G123" s="19"/>
      <c r="H123" s="19"/>
      <c r="I123" s="20"/>
    </row>
    <row r="124" spans="2:9">
      <c r="B124" s="104"/>
      <c r="C124" s="19"/>
      <c r="D124" s="19"/>
      <c r="E124" s="19"/>
      <c r="F124" s="20"/>
      <c r="G124" s="19"/>
      <c r="H124" s="19"/>
      <c r="I124" s="20"/>
    </row>
    <row r="125" spans="2:9">
      <c r="B125" s="104"/>
      <c r="C125" s="19"/>
      <c r="D125" s="19"/>
      <c r="E125" s="19"/>
      <c r="F125" s="20"/>
      <c r="G125" s="19"/>
      <c r="H125" s="19"/>
      <c r="I125" s="20"/>
    </row>
    <row r="126" spans="2:9">
      <c r="B126" s="104"/>
      <c r="C126" s="19"/>
      <c r="D126" s="19"/>
      <c r="E126" s="19"/>
      <c r="F126" s="20"/>
      <c r="G126" s="19"/>
      <c r="H126" s="19"/>
      <c r="I126" s="20"/>
    </row>
    <row r="127" spans="2:9">
      <c r="B127" s="104"/>
      <c r="C127" s="19"/>
      <c r="D127" s="19"/>
      <c r="E127" s="19"/>
      <c r="F127" s="20"/>
      <c r="G127" s="19"/>
      <c r="H127" s="19"/>
      <c r="I127" s="20"/>
    </row>
    <row r="128" spans="2:9">
      <c r="B128" s="104"/>
      <c r="C128" s="19"/>
      <c r="D128" s="19"/>
      <c r="E128" s="19"/>
      <c r="F128" s="20"/>
      <c r="G128" s="19"/>
      <c r="H128" s="19"/>
      <c r="I128" s="20"/>
    </row>
    <row r="129" spans="2:9">
      <c r="B129" s="104"/>
      <c r="C129" s="19"/>
      <c r="D129" s="19"/>
      <c r="E129" s="19"/>
      <c r="F129" s="20"/>
      <c r="G129" s="19"/>
      <c r="H129" s="19"/>
      <c r="I129" s="20"/>
    </row>
    <row r="130" spans="2:9">
      <c r="B130" s="104"/>
      <c r="C130" s="19"/>
      <c r="D130" s="19"/>
      <c r="E130" s="19"/>
      <c r="F130" s="20"/>
      <c r="G130" s="19"/>
      <c r="H130" s="19"/>
      <c r="I130" s="20"/>
    </row>
    <row r="131" spans="2:9">
      <c r="B131" s="104"/>
      <c r="C131" s="19"/>
      <c r="D131" s="19"/>
      <c r="E131" s="19"/>
      <c r="F131" s="20"/>
      <c r="G131" s="19"/>
      <c r="H131" s="19"/>
      <c r="I131" s="20"/>
    </row>
    <row r="132" spans="2:9">
      <c r="B132" s="104"/>
      <c r="C132" s="19"/>
      <c r="D132" s="19"/>
      <c r="E132" s="19"/>
      <c r="F132" s="20"/>
      <c r="G132" s="19"/>
      <c r="H132" s="19"/>
      <c r="I132" s="20"/>
    </row>
    <row r="133" spans="2:9">
      <c r="B133" s="104"/>
      <c r="C133" s="19"/>
      <c r="D133" s="19"/>
      <c r="E133" s="19"/>
      <c r="F133" s="20"/>
      <c r="G133" s="19"/>
      <c r="H133" s="19"/>
      <c r="I133" s="20"/>
    </row>
    <row r="134" spans="2:9">
      <c r="B134" s="104"/>
      <c r="C134" s="19"/>
      <c r="D134" s="19"/>
      <c r="E134" s="19"/>
      <c r="F134" s="20"/>
      <c r="G134" s="19"/>
      <c r="H134" s="19"/>
      <c r="I134" s="20"/>
    </row>
    <row r="135" spans="2:9">
      <c r="B135" s="104"/>
      <c r="C135" s="19"/>
      <c r="D135" s="19"/>
      <c r="E135" s="19"/>
      <c r="F135" s="20"/>
      <c r="G135" s="19"/>
      <c r="H135" s="19"/>
      <c r="I135" s="20"/>
    </row>
    <row r="136" spans="2:9">
      <c r="B136" s="104"/>
      <c r="C136" s="19"/>
      <c r="D136" s="19"/>
      <c r="E136" s="19"/>
      <c r="F136" s="20"/>
      <c r="G136" s="19"/>
      <c r="H136" s="19"/>
      <c r="I136" s="20"/>
    </row>
    <row r="137" spans="2:9">
      <c r="B137" s="104"/>
      <c r="C137" s="19"/>
      <c r="D137" s="19"/>
      <c r="E137" s="19"/>
      <c r="F137" s="20"/>
      <c r="G137" s="19"/>
      <c r="H137" s="19"/>
      <c r="I137" s="20"/>
    </row>
    <row r="138" spans="2:9">
      <c r="B138" s="104"/>
      <c r="C138" s="19"/>
      <c r="D138" s="19"/>
      <c r="E138" s="19"/>
      <c r="F138" s="20"/>
      <c r="G138" s="19"/>
      <c r="H138" s="19"/>
      <c r="I138" s="20"/>
    </row>
    <row r="139" spans="2:9">
      <c r="B139" s="104"/>
      <c r="C139" s="19"/>
      <c r="D139" s="19"/>
      <c r="E139" s="19"/>
      <c r="F139" s="20"/>
      <c r="G139" s="19"/>
      <c r="H139" s="19"/>
      <c r="I139" s="20"/>
    </row>
    <row r="140" spans="2:9">
      <c r="B140" s="104"/>
      <c r="C140" s="19"/>
      <c r="D140" s="19"/>
      <c r="E140" s="19"/>
      <c r="F140" s="20"/>
      <c r="G140" s="19"/>
      <c r="H140" s="19"/>
      <c r="I140" s="20"/>
    </row>
    <row r="141" spans="2:9">
      <c r="B141" s="104"/>
      <c r="C141" s="19"/>
      <c r="D141" s="19"/>
      <c r="E141" s="19"/>
      <c r="F141" s="20"/>
      <c r="G141" s="19"/>
      <c r="H141" s="19"/>
      <c r="I141" s="20"/>
    </row>
    <row r="142" spans="2:9">
      <c r="B142" s="104"/>
      <c r="C142" s="19"/>
      <c r="D142" s="19"/>
      <c r="E142" s="19"/>
      <c r="F142" s="20"/>
      <c r="G142" s="19"/>
      <c r="H142" s="19"/>
      <c r="I142" s="20"/>
    </row>
    <row r="143" spans="2:9">
      <c r="B143" s="104"/>
      <c r="C143" s="19"/>
      <c r="D143" s="19"/>
      <c r="E143" s="19"/>
      <c r="F143" s="20"/>
      <c r="G143" s="19"/>
      <c r="H143" s="19"/>
      <c r="I143" s="20"/>
    </row>
    <row r="144" spans="2:9">
      <c r="B144" s="104"/>
      <c r="C144" s="19"/>
      <c r="D144" s="19"/>
      <c r="E144" s="19"/>
      <c r="F144" s="20"/>
      <c r="G144" s="19"/>
      <c r="H144" s="19"/>
      <c r="I144" s="20"/>
    </row>
    <row r="145" spans="2:9">
      <c r="B145" s="104"/>
      <c r="C145" s="19"/>
      <c r="D145" s="19"/>
      <c r="E145" s="19"/>
      <c r="F145" s="20"/>
      <c r="G145" s="19"/>
      <c r="H145" s="19"/>
      <c r="I145" s="20"/>
    </row>
    <row r="146" spans="2:9">
      <c r="B146" s="104"/>
      <c r="C146" s="19"/>
      <c r="D146" s="19"/>
      <c r="E146" s="19"/>
      <c r="F146" s="20"/>
      <c r="G146" s="19"/>
      <c r="H146" s="19"/>
      <c r="I146" s="20"/>
    </row>
    <row r="147" spans="2:9">
      <c r="B147" s="104"/>
      <c r="C147" s="19"/>
      <c r="D147" s="19"/>
      <c r="E147" s="19"/>
      <c r="F147" s="20"/>
      <c r="G147" s="19"/>
      <c r="H147" s="19"/>
      <c r="I147" s="20"/>
    </row>
    <row r="148" spans="2:9">
      <c r="B148" s="104"/>
      <c r="C148" s="19"/>
      <c r="D148" s="19"/>
      <c r="E148" s="19"/>
      <c r="F148" s="20"/>
      <c r="G148" s="19"/>
      <c r="H148" s="19"/>
      <c r="I148" s="20"/>
    </row>
    <row r="149" spans="2:9">
      <c r="B149" s="104"/>
      <c r="C149" s="19"/>
      <c r="D149" s="19"/>
      <c r="E149" s="19"/>
      <c r="F149" s="20"/>
      <c r="G149" s="19"/>
      <c r="H149" s="19"/>
      <c r="I149" s="20"/>
    </row>
    <row r="150" spans="2:9">
      <c r="B150" s="104"/>
      <c r="C150" s="19"/>
      <c r="D150" s="19"/>
      <c r="E150" s="19"/>
      <c r="F150" s="20"/>
      <c r="G150" s="19"/>
      <c r="H150" s="19"/>
      <c r="I150" s="20"/>
    </row>
    <row r="151" spans="2:9">
      <c r="B151" s="104"/>
      <c r="C151" s="19"/>
      <c r="D151" s="19"/>
      <c r="E151" s="19"/>
      <c r="F151" s="20"/>
      <c r="G151" s="19"/>
      <c r="H151" s="19"/>
      <c r="I151" s="20"/>
    </row>
    <row r="152" spans="2:9">
      <c r="B152" s="104"/>
      <c r="C152" s="19"/>
      <c r="D152" s="19"/>
      <c r="E152" s="19"/>
      <c r="F152" s="20"/>
      <c r="G152" s="19"/>
      <c r="H152" s="19"/>
      <c r="I152" s="20"/>
    </row>
    <row r="153" spans="2:9">
      <c r="B153" s="104"/>
      <c r="C153" s="19"/>
      <c r="D153" s="19"/>
      <c r="E153" s="19"/>
      <c r="F153" s="20"/>
      <c r="G153" s="19"/>
      <c r="H153" s="19"/>
      <c r="I153" s="20"/>
    </row>
    <row r="154" spans="2:9">
      <c r="B154" s="104"/>
      <c r="C154" s="19"/>
      <c r="D154" s="19"/>
      <c r="E154" s="19"/>
      <c r="F154" s="20"/>
      <c r="G154" s="19"/>
      <c r="H154" s="19"/>
      <c r="I154" s="20"/>
    </row>
    <row r="155" spans="2:9">
      <c r="B155" s="104"/>
      <c r="C155" s="19"/>
      <c r="D155" s="19"/>
      <c r="E155" s="19"/>
      <c r="F155" s="20"/>
      <c r="G155" s="19"/>
      <c r="H155" s="19"/>
      <c r="I155" s="20"/>
    </row>
    <row r="156" spans="2:9">
      <c r="B156" s="104"/>
      <c r="C156" s="19"/>
      <c r="D156" s="19"/>
      <c r="E156" s="19"/>
      <c r="F156" s="20"/>
      <c r="G156" s="19"/>
      <c r="H156" s="19"/>
      <c r="I156" s="20"/>
    </row>
    <row r="157" spans="2:9">
      <c r="B157" s="104"/>
      <c r="C157" s="19"/>
      <c r="D157" s="19"/>
      <c r="E157" s="19"/>
      <c r="F157" s="20"/>
      <c r="G157" s="19"/>
      <c r="H157" s="19"/>
      <c r="I157" s="20"/>
    </row>
    <row r="158" spans="2:9">
      <c r="B158" s="104"/>
      <c r="C158" s="19"/>
      <c r="D158" s="19"/>
      <c r="E158" s="19"/>
      <c r="F158" s="20"/>
      <c r="G158" s="19"/>
      <c r="H158" s="19"/>
      <c r="I158" s="20"/>
    </row>
    <row r="159" spans="2:9">
      <c r="B159" s="104"/>
      <c r="C159" s="19"/>
      <c r="D159" s="19"/>
      <c r="E159" s="19"/>
      <c r="F159" s="20"/>
      <c r="G159" s="19"/>
      <c r="H159" s="19"/>
      <c r="I159" s="20"/>
    </row>
    <row r="160" spans="2:9">
      <c r="B160" s="104"/>
      <c r="C160" s="19"/>
      <c r="D160" s="19"/>
      <c r="E160" s="19"/>
      <c r="F160" s="20"/>
      <c r="G160" s="19"/>
      <c r="H160" s="19"/>
      <c r="I160" s="20"/>
    </row>
    <row r="161" spans="2:9">
      <c r="B161" s="104"/>
      <c r="C161" s="19"/>
      <c r="D161" s="19"/>
      <c r="E161" s="19"/>
      <c r="F161" s="20"/>
      <c r="G161" s="19"/>
      <c r="H161" s="19"/>
      <c r="I161" s="20"/>
    </row>
    <row r="162" spans="2:9">
      <c r="B162" s="104"/>
      <c r="C162" s="19"/>
      <c r="D162" s="19"/>
      <c r="E162" s="19"/>
      <c r="F162" s="20"/>
      <c r="G162" s="19"/>
      <c r="H162" s="19"/>
      <c r="I162" s="20"/>
    </row>
    <row r="163" spans="2:9">
      <c r="B163" s="104"/>
      <c r="C163" s="19"/>
      <c r="D163" s="19"/>
      <c r="E163" s="19"/>
      <c r="F163" s="20"/>
      <c r="G163" s="19"/>
      <c r="H163" s="19"/>
      <c r="I163" s="20"/>
    </row>
    <row r="164" spans="2:9">
      <c r="B164" s="104"/>
      <c r="C164" s="19"/>
      <c r="D164" s="19"/>
      <c r="E164" s="19"/>
      <c r="F164" s="20"/>
      <c r="G164" s="19"/>
      <c r="H164" s="19"/>
      <c r="I164" s="20"/>
    </row>
    <row r="165" spans="2:9">
      <c r="B165" s="104"/>
      <c r="C165" s="19"/>
      <c r="D165" s="19"/>
      <c r="E165" s="19"/>
      <c r="F165" s="20"/>
      <c r="G165" s="19"/>
      <c r="H165" s="19"/>
      <c r="I165" s="20"/>
    </row>
    <row r="166" spans="2:9">
      <c r="B166" s="104"/>
      <c r="C166" s="19"/>
      <c r="D166" s="19"/>
      <c r="E166" s="19"/>
      <c r="F166" s="20"/>
      <c r="G166" s="19"/>
      <c r="H166" s="19"/>
      <c r="I166" s="20"/>
    </row>
    <row r="167" spans="2:9">
      <c r="B167" s="104"/>
      <c r="C167" s="19"/>
      <c r="D167" s="19"/>
      <c r="E167" s="19"/>
      <c r="F167" s="20"/>
      <c r="G167" s="19"/>
      <c r="H167" s="19"/>
      <c r="I167" s="20"/>
    </row>
    <row r="168" spans="2:9">
      <c r="B168" s="104"/>
      <c r="C168" s="19"/>
      <c r="D168" s="19"/>
      <c r="E168" s="19"/>
      <c r="F168" s="20"/>
      <c r="G168" s="19"/>
      <c r="H168" s="19"/>
      <c r="I168" s="20"/>
    </row>
    <row r="169" spans="2:9">
      <c r="B169" s="104"/>
      <c r="C169" s="19"/>
      <c r="D169" s="19"/>
      <c r="E169" s="19"/>
      <c r="F169" s="20"/>
      <c r="G169" s="19"/>
      <c r="H169" s="19"/>
      <c r="I169" s="20"/>
    </row>
    <row r="170" spans="2:9">
      <c r="B170" s="104"/>
      <c r="C170" s="19"/>
      <c r="D170" s="19"/>
      <c r="E170" s="19"/>
      <c r="F170" s="20"/>
      <c r="G170" s="19"/>
      <c r="H170" s="19"/>
      <c r="I170" s="20"/>
    </row>
    <row r="171" spans="2:9">
      <c r="B171" s="104"/>
      <c r="C171" s="19"/>
      <c r="D171" s="19"/>
      <c r="E171" s="19"/>
      <c r="F171" s="20"/>
      <c r="G171" s="19"/>
      <c r="H171" s="19"/>
      <c r="I171" s="20"/>
    </row>
    <row r="172" spans="2:9">
      <c r="B172" s="104"/>
      <c r="C172" s="19"/>
      <c r="D172" s="19"/>
      <c r="E172" s="19"/>
      <c r="F172" s="20"/>
      <c r="G172" s="19"/>
      <c r="H172" s="19"/>
      <c r="I172" s="20"/>
    </row>
    <row r="173" spans="2:9">
      <c r="B173" s="104"/>
      <c r="C173" s="19"/>
      <c r="D173" s="19"/>
      <c r="E173" s="19"/>
      <c r="F173" s="20"/>
      <c r="G173" s="19"/>
      <c r="H173" s="19"/>
      <c r="I173" s="20"/>
    </row>
    <row r="174" spans="2:9">
      <c r="B174" s="104"/>
      <c r="C174" s="19"/>
      <c r="D174" s="19"/>
      <c r="E174" s="19"/>
      <c r="F174" s="20"/>
      <c r="G174" s="19"/>
      <c r="H174" s="19"/>
      <c r="I174" s="20"/>
    </row>
    <row r="175" spans="2:9">
      <c r="B175" s="104"/>
      <c r="C175" s="19"/>
      <c r="D175" s="19"/>
      <c r="E175" s="19"/>
      <c r="F175" s="20"/>
      <c r="G175" s="19"/>
      <c r="H175" s="19"/>
      <c r="I175" s="20"/>
    </row>
    <row r="176" spans="2:9">
      <c r="B176" s="104"/>
      <c r="C176" s="19"/>
      <c r="D176" s="19"/>
      <c r="E176" s="19"/>
      <c r="F176" s="20"/>
      <c r="G176" s="19"/>
      <c r="H176" s="19"/>
      <c r="I176" s="20"/>
    </row>
    <row r="177" spans="2:9">
      <c r="B177" s="104"/>
      <c r="C177" s="19"/>
      <c r="D177" s="19"/>
      <c r="E177" s="19"/>
      <c r="F177" s="20"/>
      <c r="G177" s="19"/>
      <c r="H177" s="19"/>
      <c r="I177" s="20"/>
    </row>
    <row r="178" spans="2:9">
      <c r="B178" s="104"/>
      <c r="C178" s="19"/>
      <c r="D178" s="19"/>
      <c r="E178" s="19"/>
      <c r="F178" s="20"/>
      <c r="G178" s="19"/>
      <c r="H178" s="19"/>
      <c r="I178" s="20"/>
    </row>
    <row r="179" spans="2:9">
      <c r="B179" s="104"/>
      <c r="C179" s="19"/>
      <c r="D179" s="19"/>
      <c r="E179" s="19"/>
      <c r="F179" s="20"/>
      <c r="G179" s="19"/>
      <c r="H179" s="19"/>
      <c r="I179" s="20"/>
    </row>
    <row r="180" spans="2:9">
      <c r="B180" s="104"/>
      <c r="C180" s="19"/>
      <c r="D180" s="19"/>
      <c r="E180" s="19"/>
      <c r="F180" s="20"/>
      <c r="G180" s="19"/>
      <c r="H180" s="19"/>
      <c r="I180" s="20"/>
    </row>
    <row r="181" spans="2:9">
      <c r="B181" s="104"/>
      <c r="C181" s="19"/>
      <c r="D181" s="19"/>
      <c r="E181" s="19"/>
      <c r="F181" s="20"/>
      <c r="G181" s="19"/>
      <c r="H181" s="19"/>
      <c r="I181" s="20"/>
    </row>
    <row r="182" spans="2:9">
      <c r="B182" s="104"/>
      <c r="C182" s="19"/>
      <c r="D182" s="19"/>
      <c r="E182" s="19"/>
      <c r="F182" s="20"/>
      <c r="G182" s="19"/>
      <c r="H182" s="19"/>
      <c r="I182" s="20"/>
    </row>
    <row r="183" spans="2:9">
      <c r="B183" s="104"/>
      <c r="C183" s="19"/>
      <c r="D183" s="19"/>
      <c r="E183" s="19"/>
      <c r="F183" s="20"/>
      <c r="G183" s="19"/>
      <c r="H183" s="19"/>
      <c r="I183" s="20"/>
    </row>
    <row r="184" spans="2:9">
      <c r="B184" s="104"/>
      <c r="C184" s="19"/>
      <c r="D184" s="19"/>
      <c r="E184" s="19"/>
      <c r="F184" s="20"/>
      <c r="G184" s="19"/>
      <c r="H184" s="19"/>
      <c r="I184" s="20"/>
    </row>
    <row r="185" spans="2:9">
      <c r="B185" s="104"/>
      <c r="C185" s="19"/>
      <c r="D185" s="19"/>
      <c r="E185" s="19"/>
      <c r="F185" s="20"/>
      <c r="G185" s="19"/>
      <c r="H185" s="19"/>
      <c r="I185" s="20"/>
    </row>
    <row r="186" spans="2:9">
      <c r="B186" s="104"/>
      <c r="C186" s="19"/>
      <c r="D186" s="19"/>
      <c r="E186" s="19"/>
      <c r="F186" s="20"/>
      <c r="G186" s="19"/>
      <c r="H186" s="19"/>
      <c r="I186" s="20"/>
    </row>
    <row r="187" spans="2:9">
      <c r="B187" s="104"/>
      <c r="C187" s="19"/>
      <c r="D187" s="19"/>
      <c r="E187" s="19"/>
      <c r="F187" s="20"/>
      <c r="G187" s="19"/>
      <c r="H187" s="19"/>
      <c r="I187" s="20"/>
    </row>
    <row r="188" spans="2:9">
      <c r="B188" s="104"/>
      <c r="C188" s="19"/>
      <c r="D188" s="19"/>
      <c r="E188" s="19"/>
      <c r="F188" s="20"/>
      <c r="G188" s="19"/>
      <c r="H188" s="19"/>
      <c r="I188" s="20"/>
    </row>
    <row r="189" spans="2:9">
      <c r="B189" s="104"/>
      <c r="C189" s="19"/>
      <c r="D189" s="19"/>
      <c r="E189" s="19"/>
      <c r="F189" s="20"/>
      <c r="G189" s="19"/>
      <c r="H189" s="19"/>
      <c r="I189" s="20"/>
    </row>
    <row r="190" spans="2:9">
      <c r="B190" s="104"/>
      <c r="C190" s="19"/>
      <c r="D190" s="19"/>
      <c r="E190" s="19"/>
      <c r="F190" s="20"/>
      <c r="G190" s="19"/>
      <c r="H190" s="19"/>
      <c r="I190" s="20"/>
    </row>
    <row r="191" spans="2:9">
      <c r="B191" s="104"/>
      <c r="C191" s="19"/>
      <c r="D191" s="19"/>
      <c r="E191" s="19"/>
      <c r="F191" s="20"/>
      <c r="G191" s="19"/>
      <c r="H191" s="19"/>
      <c r="I191" s="20"/>
    </row>
    <row r="192" spans="2:9">
      <c r="B192" s="104"/>
      <c r="C192" s="19"/>
      <c r="D192" s="19"/>
      <c r="E192" s="19"/>
      <c r="F192" s="20"/>
      <c r="G192" s="19"/>
      <c r="H192" s="19"/>
      <c r="I192" s="20"/>
    </row>
    <row r="193" spans="2:9">
      <c r="B193" s="104"/>
      <c r="C193" s="19"/>
      <c r="D193" s="19"/>
      <c r="E193" s="19"/>
      <c r="F193" s="20"/>
      <c r="G193" s="19"/>
      <c r="H193" s="19"/>
      <c r="I193" s="20"/>
    </row>
    <row r="194" spans="2:9">
      <c r="B194" s="104"/>
      <c r="C194" s="19"/>
      <c r="D194" s="19"/>
      <c r="E194" s="19"/>
      <c r="F194" s="20"/>
      <c r="G194" s="19"/>
      <c r="H194" s="19"/>
      <c r="I194" s="20"/>
    </row>
    <row r="195" spans="2:9">
      <c r="B195" s="104"/>
      <c r="C195" s="19"/>
      <c r="D195" s="19"/>
      <c r="E195" s="19"/>
      <c r="F195" s="20"/>
      <c r="G195" s="19"/>
      <c r="H195" s="19"/>
      <c r="I195" s="20"/>
    </row>
    <row r="196" spans="2:9">
      <c r="B196" s="104"/>
      <c r="C196" s="19"/>
      <c r="D196" s="19"/>
      <c r="E196" s="19"/>
      <c r="F196" s="20"/>
      <c r="G196" s="19"/>
      <c r="H196" s="19"/>
      <c r="I196" s="20"/>
    </row>
    <row r="197" spans="2:9">
      <c r="B197" s="104"/>
      <c r="C197" s="19"/>
      <c r="D197" s="19"/>
      <c r="E197" s="19"/>
      <c r="F197" s="20"/>
      <c r="G197" s="19"/>
      <c r="H197" s="19"/>
      <c r="I197" s="20"/>
    </row>
    <row r="198" spans="2:9">
      <c r="B198" s="104"/>
      <c r="C198" s="19"/>
      <c r="D198" s="19"/>
      <c r="E198" s="19"/>
      <c r="F198" s="20"/>
      <c r="G198" s="19"/>
      <c r="H198" s="19"/>
      <c r="I198" s="20"/>
    </row>
    <row r="199" spans="2:9">
      <c r="B199" s="104"/>
      <c r="C199" s="19"/>
      <c r="D199" s="19"/>
      <c r="E199" s="19"/>
      <c r="F199" s="20"/>
      <c r="G199" s="19"/>
      <c r="H199" s="19"/>
      <c r="I199" s="20"/>
    </row>
    <row r="200" spans="2:9">
      <c r="B200" s="104"/>
      <c r="C200" s="19"/>
      <c r="D200" s="19"/>
      <c r="E200" s="19"/>
      <c r="F200" s="20"/>
      <c r="G200" s="19"/>
      <c r="H200" s="19"/>
      <c r="I200" s="20"/>
    </row>
    <row r="201" spans="2:9">
      <c r="B201" s="104"/>
      <c r="C201" s="19"/>
      <c r="D201" s="19"/>
      <c r="E201" s="19"/>
      <c r="F201" s="20"/>
      <c r="G201" s="19"/>
      <c r="H201" s="19"/>
      <c r="I201" s="20"/>
    </row>
    <row r="202" spans="2:9">
      <c r="B202" s="104"/>
      <c r="C202" s="19"/>
      <c r="D202" s="19"/>
      <c r="E202" s="19"/>
      <c r="F202" s="20"/>
      <c r="G202" s="19"/>
      <c r="H202" s="19"/>
      <c r="I202" s="20"/>
    </row>
    <row r="203" spans="2:9">
      <c r="B203" s="104"/>
      <c r="C203" s="19"/>
      <c r="D203" s="19"/>
      <c r="E203" s="19"/>
      <c r="F203" s="20"/>
      <c r="G203" s="19"/>
      <c r="H203" s="19"/>
      <c r="I203" s="20"/>
    </row>
    <row r="204" spans="2:9">
      <c r="B204" s="104"/>
      <c r="C204" s="19"/>
      <c r="D204" s="19"/>
      <c r="E204" s="19"/>
      <c r="F204" s="20"/>
      <c r="G204" s="19"/>
      <c r="H204" s="19"/>
      <c r="I204" s="20"/>
    </row>
    <row r="205" spans="2:9">
      <c r="B205" s="104"/>
      <c r="C205" s="19"/>
      <c r="D205" s="19"/>
      <c r="E205" s="19"/>
      <c r="F205" s="20"/>
      <c r="G205" s="19"/>
      <c r="H205" s="19"/>
      <c r="I205" s="20"/>
    </row>
    <row r="206" spans="2:9">
      <c r="B206" s="104"/>
      <c r="C206" s="19"/>
      <c r="D206" s="19"/>
      <c r="E206" s="19"/>
      <c r="F206" s="20"/>
      <c r="G206" s="19"/>
      <c r="H206" s="19"/>
      <c r="I206" s="20"/>
    </row>
    <row r="207" spans="2:9">
      <c r="B207" s="104"/>
      <c r="C207" s="19"/>
      <c r="D207" s="19"/>
      <c r="E207" s="19"/>
      <c r="F207" s="20"/>
      <c r="G207" s="19"/>
      <c r="H207" s="19"/>
      <c r="I207" s="20"/>
    </row>
    <row r="208" spans="2:9">
      <c r="B208" s="104"/>
      <c r="C208" s="19"/>
      <c r="D208" s="19"/>
      <c r="E208" s="19"/>
      <c r="F208" s="20"/>
      <c r="G208" s="19"/>
      <c r="H208" s="19"/>
      <c r="I208" s="20"/>
    </row>
    <row r="209" spans="2:9">
      <c r="B209" s="104"/>
      <c r="C209" s="19"/>
      <c r="D209" s="19"/>
      <c r="E209" s="19"/>
      <c r="F209" s="20"/>
      <c r="G209" s="19"/>
      <c r="H209" s="19"/>
      <c r="I209" s="20"/>
    </row>
    <row r="210" spans="2:9">
      <c r="B210" s="104"/>
      <c r="C210" s="19"/>
      <c r="D210" s="19"/>
      <c r="E210" s="19"/>
      <c r="F210" s="20"/>
      <c r="G210" s="19"/>
      <c r="H210" s="19"/>
      <c r="I210" s="20"/>
    </row>
    <row r="211" spans="2:9">
      <c r="B211" s="104"/>
      <c r="C211" s="19"/>
      <c r="D211" s="19"/>
      <c r="E211" s="19"/>
      <c r="F211" s="20"/>
      <c r="G211" s="19"/>
      <c r="H211" s="19"/>
      <c r="I211" s="20"/>
    </row>
    <row r="212" spans="2:9">
      <c r="B212" s="104"/>
      <c r="C212" s="19"/>
      <c r="D212" s="19"/>
      <c r="E212" s="19"/>
      <c r="F212" s="20"/>
      <c r="G212" s="19"/>
      <c r="H212" s="19"/>
      <c r="I212" s="20"/>
    </row>
    <row r="213" spans="2:9">
      <c r="B213" s="104"/>
      <c r="C213" s="19"/>
      <c r="D213" s="19"/>
      <c r="E213" s="19"/>
      <c r="F213" s="20"/>
      <c r="G213" s="19"/>
      <c r="H213" s="19"/>
      <c r="I213" s="20"/>
    </row>
    <row r="214" spans="2:9">
      <c r="B214" s="104"/>
      <c r="C214" s="19"/>
      <c r="D214" s="19"/>
      <c r="E214" s="19"/>
      <c r="F214" s="20"/>
      <c r="G214" s="19"/>
      <c r="H214" s="19"/>
      <c r="I214" s="20"/>
    </row>
    <row r="215" spans="2:9">
      <c r="B215" s="104"/>
      <c r="C215" s="19"/>
      <c r="D215" s="19"/>
      <c r="E215" s="19"/>
      <c r="F215" s="20"/>
      <c r="G215" s="19"/>
      <c r="H215" s="19"/>
      <c r="I215" s="20"/>
    </row>
    <row r="216" spans="2:9">
      <c r="B216" s="104"/>
      <c r="C216" s="19"/>
      <c r="D216" s="19"/>
      <c r="E216" s="19"/>
      <c r="F216" s="20"/>
      <c r="G216" s="19"/>
      <c r="H216" s="19"/>
      <c r="I216" s="20"/>
    </row>
    <row r="217" spans="2:9">
      <c r="B217" s="104"/>
      <c r="C217" s="19"/>
      <c r="D217" s="19"/>
      <c r="E217" s="19"/>
      <c r="F217" s="20"/>
      <c r="G217" s="19"/>
      <c r="H217" s="19"/>
      <c r="I217" s="20"/>
    </row>
    <row r="218" spans="2:9">
      <c r="B218" s="104"/>
      <c r="C218" s="19"/>
      <c r="D218" s="19"/>
      <c r="E218" s="19"/>
      <c r="F218" s="20"/>
      <c r="G218" s="19"/>
      <c r="H218" s="19"/>
      <c r="I218" s="20"/>
    </row>
    <row r="219" spans="2:9">
      <c r="B219" s="104"/>
      <c r="C219" s="19"/>
      <c r="D219" s="19"/>
      <c r="E219" s="19"/>
      <c r="F219" s="20"/>
      <c r="G219" s="19"/>
      <c r="H219" s="19"/>
      <c r="I219" s="20"/>
    </row>
    <row r="220" spans="2:9">
      <c r="B220" s="104"/>
      <c r="C220" s="19"/>
      <c r="D220" s="19"/>
      <c r="E220" s="19"/>
      <c r="F220" s="20"/>
      <c r="G220" s="19"/>
      <c r="H220" s="19"/>
      <c r="I220" s="20"/>
    </row>
    <row r="221" spans="2:9">
      <c r="B221" s="104"/>
      <c r="C221" s="19"/>
      <c r="D221" s="19"/>
      <c r="E221" s="19"/>
      <c r="F221" s="20"/>
      <c r="G221" s="19"/>
      <c r="H221" s="19"/>
      <c r="I221" s="20"/>
    </row>
    <row r="222" spans="2:9">
      <c r="B222" s="104"/>
      <c r="C222" s="19"/>
      <c r="D222" s="19"/>
      <c r="E222" s="19"/>
      <c r="F222" s="20"/>
      <c r="G222" s="19"/>
      <c r="H222" s="19"/>
      <c r="I222" s="20"/>
    </row>
    <row r="223" spans="2:9">
      <c r="B223" s="104"/>
      <c r="C223" s="19"/>
      <c r="D223" s="19"/>
      <c r="E223" s="19"/>
      <c r="F223" s="20"/>
      <c r="G223" s="19"/>
      <c r="H223" s="19"/>
      <c r="I223" s="20"/>
    </row>
    <row r="224" spans="2:9">
      <c r="B224" s="104"/>
      <c r="C224" s="19"/>
      <c r="D224" s="19"/>
      <c r="E224" s="19"/>
      <c r="F224" s="20"/>
      <c r="G224" s="19"/>
      <c r="H224" s="19"/>
      <c r="I224" s="20"/>
    </row>
    <row r="225" spans="2:9">
      <c r="B225" s="104"/>
      <c r="C225" s="19"/>
      <c r="D225" s="19"/>
      <c r="E225" s="19"/>
      <c r="F225" s="20"/>
      <c r="G225" s="19"/>
      <c r="H225" s="19"/>
      <c r="I225" s="20"/>
    </row>
    <row r="226" spans="2:9">
      <c r="B226" s="104"/>
      <c r="C226" s="19"/>
      <c r="D226" s="19"/>
      <c r="E226" s="19"/>
      <c r="F226" s="20"/>
      <c r="G226" s="19"/>
      <c r="H226" s="19"/>
      <c r="I226" s="20"/>
    </row>
    <row r="227" spans="2:9">
      <c r="B227" s="104"/>
      <c r="C227" s="19"/>
      <c r="D227" s="19"/>
      <c r="E227" s="19"/>
      <c r="F227" s="20"/>
      <c r="G227" s="19"/>
      <c r="H227" s="19"/>
      <c r="I227" s="20"/>
    </row>
    <row r="228" spans="2:9">
      <c r="B228" s="104"/>
      <c r="C228" s="19"/>
      <c r="D228" s="19"/>
      <c r="E228" s="19"/>
      <c r="F228" s="20"/>
      <c r="G228" s="19"/>
      <c r="H228" s="19"/>
      <c r="I228" s="20"/>
    </row>
    <row r="229" spans="2:9">
      <c r="B229" s="104"/>
      <c r="C229" s="19"/>
      <c r="D229" s="19"/>
      <c r="E229" s="19"/>
      <c r="F229" s="20"/>
      <c r="G229" s="19"/>
      <c r="H229" s="19"/>
      <c r="I229" s="20"/>
    </row>
    <row r="230" spans="2:9">
      <c r="B230" s="104"/>
      <c r="C230" s="19"/>
      <c r="D230" s="19"/>
      <c r="E230" s="19"/>
      <c r="F230" s="20"/>
      <c r="G230" s="19"/>
      <c r="H230" s="19"/>
      <c r="I230" s="20"/>
    </row>
    <row r="231" spans="2:9">
      <c r="B231" s="104"/>
      <c r="C231" s="19"/>
      <c r="D231" s="19"/>
      <c r="E231" s="19"/>
      <c r="F231" s="20"/>
      <c r="G231" s="19"/>
      <c r="H231" s="19"/>
      <c r="I231" s="20"/>
    </row>
    <row r="232" spans="2:9">
      <c r="B232" s="104"/>
      <c r="C232" s="19"/>
      <c r="D232" s="19"/>
      <c r="E232" s="19"/>
      <c r="F232" s="20"/>
      <c r="G232" s="19"/>
      <c r="H232" s="19"/>
      <c r="I232" s="20"/>
    </row>
    <row r="233" spans="2:9">
      <c r="B233" s="104"/>
      <c r="C233" s="19"/>
      <c r="D233" s="19"/>
      <c r="E233" s="19"/>
      <c r="F233" s="20"/>
      <c r="G233" s="19"/>
      <c r="H233" s="19"/>
      <c r="I233" s="20"/>
    </row>
    <row r="234" spans="2:9">
      <c r="B234" s="104"/>
      <c r="C234" s="19"/>
      <c r="D234" s="19"/>
      <c r="E234" s="19"/>
      <c r="F234" s="20"/>
      <c r="G234" s="19"/>
      <c r="H234" s="19"/>
      <c r="I234" s="20"/>
    </row>
    <row r="235" spans="2:9">
      <c r="B235" s="104"/>
      <c r="C235" s="19"/>
      <c r="D235" s="19"/>
      <c r="E235" s="19"/>
      <c r="F235" s="20"/>
      <c r="G235" s="19"/>
      <c r="H235" s="19"/>
      <c r="I235" s="20"/>
    </row>
    <row r="236" spans="2:9">
      <c r="B236" s="104"/>
      <c r="C236" s="19"/>
      <c r="D236" s="19"/>
      <c r="E236" s="19"/>
      <c r="F236" s="20"/>
      <c r="G236" s="19"/>
      <c r="H236" s="19"/>
      <c r="I236" s="20"/>
    </row>
    <row r="237" spans="2:9">
      <c r="B237" s="104"/>
      <c r="C237" s="19"/>
      <c r="D237" s="19"/>
      <c r="E237" s="19"/>
      <c r="F237" s="20"/>
      <c r="G237" s="19"/>
      <c r="H237" s="19"/>
      <c r="I237" s="20"/>
    </row>
    <row r="238" spans="2:9">
      <c r="B238" s="104"/>
      <c r="C238" s="19"/>
      <c r="D238" s="19"/>
      <c r="E238" s="19"/>
      <c r="F238" s="20"/>
      <c r="G238" s="19"/>
      <c r="H238" s="19"/>
      <c r="I238" s="20"/>
    </row>
    <row r="239" spans="2:9">
      <c r="B239" s="104"/>
      <c r="C239" s="19"/>
      <c r="D239" s="19"/>
      <c r="E239" s="19"/>
      <c r="F239" s="20"/>
      <c r="G239" s="19"/>
      <c r="H239" s="19"/>
      <c r="I239" s="20"/>
    </row>
    <row r="240" spans="2:9">
      <c r="B240" s="104"/>
      <c r="C240" s="19"/>
      <c r="D240" s="19"/>
      <c r="E240" s="19"/>
      <c r="F240" s="20"/>
      <c r="G240" s="19"/>
      <c r="H240" s="19"/>
      <c r="I240" s="20"/>
    </row>
    <row r="241" spans="2:9">
      <c r="B241" s="104"/>
      <c r="C241" s="19"/>
      <c r="D241" s="19"/>
      <c r="E241" s="19"/>
      <c r="F241" s="20"/>
      <c r="G241" s="19"/>
      <c r="H241" s="19"/>
      <c r="I241" s="20"/>
    </row>
    <row r="242" spans="2:9">
      <c r="B242" s="104"/>
      <c r="C242" s="19"/>
      <c r="D242" s="19"/>
      <c r="E242" s="19"/>
      <c r="F242" s="20"/>
      <c r="G242" s="19"/>
      <c r="H242" s="19"/>
      <c r="I242" s="20"/>
    </row>
    <row r="243" spans="2:9">
      <c r="B243" s="104"/>
      <c r="C243" s="19"/>
      <c r="D243" s="19"/>
      <c r="E243" s="19"/>
      <c r="F243" s="20"/>
      <c r="G243" s="19"/>
      <c r="H243" s="19"/>
      <c r="I243" s="20"/>
    </row>
    <row r="244" spans="2:9">
      <c r="B244" s="104"/>
      <c r="C244" s="19"/>
      <c r="D244" s="19"/>
      <c r="E244" s="19"/>
      <c r="F244" s="20"/>
      <c r="G244" s="19"/>
      <c r="H244" s="19"/>
      <c r="I244" s="20"/>
    </row>
    <row r="245" spans="2:9">
      <c r="B245" s="104"/>
      <c r="C245" s="19"/>
      <c r="D245" s="19"/>
      <c r="E245" s="19"/>
      <c r="F245" s="20"/>
      <c r="G245" s="19"/>
      <c r="H245" s="19"/>
      <c r="I245" s="20"/>
    </row>
    <row r="246" spans="2:9">
      <c r="B246" s="104"/>
      <c r="C246" s="19"/>
      <c r="D246" s="19"/>
      <c r="E246" s="19"/>
      <c r="F246" s="20"/>
      <c r="G246" s="19"/>
      <c r="H246" s="19"/>
      <c r="I246" s="20"/>
    </row>
    <row r="247" spans="2:9">
      <c r="B247" s="104"/>
      <c r="C247" s="19"/>
      <c r="D247" s="19"/>
      <c r="E247" s="19"/>
      <c r="F247" s="20"/>
      <c r="G247" s="19"/>
      <c r="H247" s="19"/>
      <c r="I247" s="20"/>
    </row>
    <row r="248" spans="2:9">
      <c r="B248" s="104"/>
      <c r="C248" s="19"/>
      <c r="D248" s="19"/>
      <c r="E248" s="19"/>
      <c r="F248" s="20"/>
      <c r="G248" s="19"/>
      <c r="H248" s="19"/>
      <c r="I248" s="20"/>
    </row>
    <row r="249" spans="2:9">
      <c r="B249" s="104"/>
      <c r="C249" s="19"/>
      <c r="D249" s="19"/>
      <c r="E249" s="19"/>
      <c r="F249" s="20"/>
      <c r="G249" s="19"/>
      <c r="H249" s="19"/>
      <c r="I249" s="20"/>
    </row>
    <row r="250" spans="2:9">
      <c r="B250" s="104"/>
      <c r="C250" s="19"/>
      <c r="D250" s="19"/>
      <c r="E250" s="19"/>
      <c r="F250" s="20"/>
      <c r="G250" s="19"/>
      <c r="H250" s="19"/>
      <c r="I250" s="20"/>
    </row>
    <row r="251" spans="2:9">
      <c r="B251" s="104"/>
      <c r="C251" s="19"/>
      <c r="D251" s="19"/>
      <c r="E251" s="19"/>
      <c r="F251" s="20"/>
      <c r="G251" s="19"/>
      <c r="H251" s="19"/>
      <c r="I251" s="20"/>
    </row>
    <row r="252" spans="2:9">
      <c r="B252" s="104"/>
      <c r="C252" s="19"/>
      <c r="D252" s="19"/>
      <c r="E252" s="19"/>
      <c r="F252" s="20"/>
      <c r="G252" s="19"/>
      <c r="H252" s="19"/>
      <c r="I252" s="20"/>
    </row>
    <row r="253" spans="2:9">
      <c r="B253" s="104"/>
      <c r="C253" s="19"/>
      <c r="D253" s="19"/>
      <c r="E253" s="19"/>
      <c r="F253" s="20"/>
      <c r="G253" s="19"/>
      <c r="H253" s="19"/>
      <c r="I253" s="20"/>
    </row>
    <row r="254" spans="2:9">
      <c r="B254" s="104"/>
      <c r="C254" s="19"/>
      <c r="D254" s="19"/>
      <c r="E254" s="19"/>
      <c r="F254" s="20"/>
      <c r="G254" s="19"/>
      <c r="H254" s="19"/>
      <c r="I254" s="20"/>
    </row>
    <row r="255" spans="2:9">
      <c r="B255" s="104"/>
      <c r="C255" s="19"/>
      <c r="D255" s="19"/>
      <c r="E255" s="19"/>
      <c r="F255" s="20"/>
      <c r="G255" s="19"/>
      <c r="H255" s="19"/>
      <c r="I255" s="20"/>
    </row>
    <row r="256" spans="2:9">
      <c r="B256" s="104"/>
      <c r="C256" s="19"/>
      <c r="D256" s="19"/>
      <c r="E256" s="19"/>
      <c r="F256" s="20"/>
      <c r="G256" s="19"/>
      <c r="H256" s="19"/>
      <c r="I256" s="20"/>
    </row>
    <row r="257" spans="2:9">
      <c r="B257" s="104"/>
      <c r="C257" s="19"/>
      <c r="D257" s="19"/>
      <c r="E257" s="19"/>
      <c r="F257" s="20"/>
      <c r="G257" s="19"/>
      <c r="H257" s="19"/>
      <c r="I257" s="20"/>
    </row>
    <row r="258" spans="2:9">
      <c r="B258" s="104"/>
      <c r="C258" s="19"/>
      <c r="D258" s="19"/>
      <c r="E258" s="19"/>
      <c r="F258" s="20"/>
      <c r="G258" s="19"/>
      <c r="H258" s="19"/>
      <c r="I258" s="20"/>
    </row>
    <row r="259" spans="2:9">
      <c r="B259" s="104"/>
      <c r="C259" s="19"/>
      <c r="D259" s="19"/>
      <c r="E259" s="19"/>
      <c r="F259" s="20"/>
      <c r="G259" s="19"/>
      <c r="H259" s="19"/>
      <c r="I259" s="20"/>
    </row>
    <row r="260" spans="2:9">
      <c r="B260" s="104"/>
      <c r="C260" s="19"/>
      <c r="D260" s="19"/>
      <c r="E260" s="19"/>
      <c r="F260" s="20"/>
      <c r="G260" s="19"/>
      <c r="H260" s="19"/>
      <c r="I260" s="20"/>
    </row>
    <row r="261" spans="2:9">
      <c r="B261" s="104"/>
      <c r="C261" s="19"/>
      <c r="D261" s="19"/>
      <c r="E261" s="19"/>
      <c r="F261" s="20"/>
      <c r="G261" s="19"/>
      <c r="H261" s="19"/>
      <c r="I261" s="20"/>
    </row>
    <row r="262" spans="2:9">
      <c r="B262" s="104"/>
      <c r="C262" s="19"/>
      <c r="D262" s="19"/>
      <c r="E262" s="19"/>
      <c r="F262" s="20"/>
      <c r="G262" s="19"/>
      <c r="H262" s="19"/>
      <c r="I262" s="20"/>
    </row>
    <row r="263" spans="2:9">
      <c r="B263" s="104"/>
      <c r="C263" s="19"/>
      <c r="D263" s="19"/>
      <c r="E263" s="19"/>
      <c r="F263" s="20"/>
      <c r="G263" s="19"/>
      <c r="H263" s="19"/>
      <c r="I263" s="20"/>
    </row>
    <row r="264" spans="2:9">
      <c r="B264" s="104"/>
      <c r="C264" s="19"/>
      <c r="D264" s="19"/>
      <c r="E264" s="19"/>
      <c r="F264" s="20"/>
      <c r="G264" s="19"/>
      <c r="H264" s="19"/>
      <c r="I264" s="20"/>
    </row>
    <row r="265" spans="2:9">
      <c r="B265" s="104"/>
      <c r="C265" s="19"/>
      <c r="D265" s="19"/>
      <c r="E265" s="19"/>
      <c r="F265" s="20"/>
      <c r="G265" s="19"/>
      <c r="H265" s="19"/>
      <c r="I265" s="20"/>
    </row>
    <row r="266" spans="2:9">
      <c r="B266" s="104"/>
      <c r="C266" s="19"/>
      <c r="D266" s="19"/>
      <c r="E266" s="19"/>
      <c r="F266" s="20"/>
      <c r="G266" s="19"/>
      <c r="H266" s="19"/>
      <c r="I266" s="20"/>
    </row>
    <row r="267" spans="2:9">
      <c r="B267" s="104"/>
      <c r="C267" s="19"/>
      <c r="D267" s="19"/>
      <c r="E267" s="19"/>
      <c r="F267" s="20"/>
      <c r="G267" s="19"/>
      <c r="H267" s="19"/>
      <c r="I267" s="20"/>
    </row>
    <row r="268" spans="2:9">
      <c r="B268" s="104"/>
      <c r="C268" s="19"/>
      <c r="D268" s="19"/>
      <c r="E268" s="19"/>
      <c r="F268" s="20"/>
      <c r="G268" s="19"/>
      <c r="H268" s="19"/>
      <c r="I268" s="20"/>
    </row>
    <row r="269" spans="2:9">
      <c r="B269" s="104"/>
      <c r="C269" s="19"/>
      <c r="D269" s="19"/>
      <c r="E269" s="19"/>
      <c r="F269" s="20"/>
      <c r="G269" s="19"/>
      <c r="H269" s="19"/>
      <c r="I269" s="20"/>
    </row>
    <row r="270" spans="2:9">
      <c r="B270" s="104"/>
      <c r="C270" s="19"/>
      <c r="D270" s="19"/>
      <c r="E270" s="19"/>
      <c r="F270" s="20"/>
      <c r="G270" s="19"/>
      <c r="H270" s="19"/>
      <c r="I270" s="20"/>
    </row>
    <row r="271" spans="2:9">
      <c r="B271" s="104"/>
      <c r="C271" s="19"/>
      <c r="D271" s="19"/>
      <c r="E271" s="19"/>
      <c r="F271" s="20"/>
      <c r="G271" s="19"/>
      <c r="H271" s="19"/>
      <c r="I271" s="20"/>
    </row>
    <row r="272" spans="2:9">
      <c r="B272" s="104"/>
      <c r="C272" s="19"/>
      <c r="D272" s="19"/>
      <c r="E272" s="19"/>
      <c r="F272" s="20"/>
      <c r="G272" s="19"/>
      <c r="H272" s="19"/>
      <c r="I272" s="20"/>
    </row>
    <row r="273" spans="2:9">
      <c r="B273" s="104"/>
      <c r="C273" s="19"/>
      <c r="D273" s="19"/>
      <c r="E273" s="19"/>
      <c r="F273" s="20"/>
      <c r="G273" s="19"/>
      <c r="H273" s="19"/>
      <c r="I273" s="20"/>
    </row>
    <row r="274" spans="2:9">
      <c r="B274" s="104"/>
      <c r="C274" s="19"/>
      <c r="D274" s="19"/>
      <c r="E274" s="19"/>
      <c r="F274" s="20"/>
      <c r="G274" s="19"/>
      <c r="H274" s="19"/>
      <c r="I274" s="20"/>
    </row>
    <row r="275" spans="2:9">
      <c r="B275" s="104"/>
      <c r="C275" s="19"/>
      <c r="D275" s="19"/>
      <c r="E275" s="19"/>
      <c r="F275" s="20"/>
      <c r="G275" s="19"/>
      <c r="H275" s="19"/>
      <c r="I275" s="20"/>
    </row>
    <row r="276" spans="2:9">
      <c r="B276" s="104"/>
      <c r="C276" s="19"/>
      <c r="D276" s="19"/>
      <c r="E276" s="19"/>
      <c r="F276" s="20"/>
      <c r="G276" s="19"/>
      <c r="H276" s="19"/>
      <c r="I276" s="20"/>
    </row>
    <row r="277" spans="2:9">
      <c r="B277" s="104"/>
      <c r="C277" s="19"/>
      <c r="D277" s="19"/>
      <c r="E277" s="19"/>
      <c r="F277" s="20"/>
      <c r="G277" s="19"/>
      <c r="H277" s="19"/>
      <c r="I277" s="20"/>
    </row>
    <row r="278" spans="2:9">
      <c r="B278" s="104"/>
      <c r="C278" s="19"/>
      <c r="D278" s="19"/>
      <c r="E278" s="19"/>
      <c r="F278" s="20"/>
      <c r="G278" s="19"/>
      <c r="H278" s="19"/>
      <c r="I278" s="20"/>
    </row>
    <row r="279" spans="2:9">
      <c r="B279" s="104"/>
      <c r="C279" s="19"/>
      <c r="D279" s="19"/>
      <c r="E279" s="19"/>
      <c r="F279" s="20"/>
      <c r="G279" s="19"/>
      <c r="H279" s="19"/>
      <c r="I279" s="20"/>
    </row>
    <row r="280" spans="2:9">
      <c r="B280" s="104"/>
      <c r="C280" s="19"/>
      <c r="D280" s="19"/>
      <c r="E280" s="19"/>
      <c r="F280" s="20"/>
      <c r="G280" s="19"/>
      <c r="H280" s="19"/>
      <c r="I280" s="20"/>
    </row>
    <row r="281" spans="2:9">
      <c r="B281" s="104"/>
      <c r="C281" s="19"/>
      <c r="D281" s="19"/>
      <c r="E281" s="19"/>
      <c r="F281" s="20"/>
      <c r="G281" s="19"/>
      <c r="H281" s="19"/>
      <c r="I281" s="20"/>
    </row>
    <row r="282" spans="2:9">
      <c r="B282" s="104"/>
      <c r="C282" s="19"/>
      <c r="D282" s="19"/>
      <c r="E282" s="19"/>
      <c r="F282" s="20"/>
      <c r="G282" s="19"/>
      <c r="H282" s="19"/>
      <c r="I282" s="20"/>
    </row>
    <row r="283" spans="2:9">
      <c r="B283" s="104"/>
      <c r="C283" s="19"/>
      <c r="D283" s="19"/>
      <c r="E283" s="19"/>
      <c r="F283" s="20"/>
      <c r="G283" s="19"/>
      <c r="H283" s="19"/>
      <c r="I283" s="20"/>
    </row>
    <row r="284" spans="2:9">
      <c r="B284" s="104"/>
      <c r="C284" s="19"/>
      <c r="D284" s="19"/>
      <c r="E284" s="19"/>
      <c r="F284" s="20"/>
      <c r="G284" s="19"/>
      <c r="H284" s="19"/>
      <c r="I284" s="20"/>
    </row>
    <row r="285" spans="2:9">
      <c r="B285" s="104"/>
      <c r="C285" s="19"/>
      <c r="D285" s="19"/>
      <c r="E285" s="19"/>
      <c r="F285" s="20"/>
      <c r="G285" s="19"/>
      <c r="H285" s="19"/>
      <c r="I285" s="20"/>
    </row>
    <row r="286" spans="2:9">
      <c r="B286" s="104"/>
      <c r="C286" s="19"/>
      <c r="D286" s="19"/>
      <c r="E286" s="19"/>
      <c r="F286" s="20"/>
      <c r="G286" s="19"/>
      <c r="H286" s="19"/>
      <c r="I286" s="20"/>
    </row>
    <row r="287" spans="2:9">
      <c r="B287" s="104"/>
      <c r="C287" s="19"/>
      <c r="D287" s="19"/>
      <c r="E287" s="19"/>
      <c r="F287" s="20"/>
      <c r="G287" s="19"/>
      <c r="H287" s="19"/>
      <c r="I287" s="20"/>
    </row>
    <row r="288" spans="2:9">
      <c r="B288" s="104"/>
      <c r="C288" s="19"/>
      <c r="D288" s="19"/>
      <c r="E288" s="19"/>
      <c r="F288" s="20"/>
      <c r="G288" s="19"/>
      <c r="H288" s="19"/>
      <c r="I288" s="20"/>
    </row>
    <row r="289" spans="2:9">
      <c r="B289" s="104"/>
      <c r="C289" s="19"/>
      <c r="D289" s="19"/>
      <c r="E289" s="19"/>
      <c r="F289" s="20"/>
      <c r="G289" s="19"/>
      <c r="H289" s="19"/>
      <c r="I289" s="20"/>
    </row>
    <row r="290" spans="2:9">
      <c r="B290" s="104"/>
      <c r="C290" s="19"/>
      <c r="D290" s="19"/>
      <c r="E290" s="19"/>
      <c r="F290" s="20"/>
      <c r="G290" s="19"/>
      <c r="H290" s="19"/>
      <c r="I290" s="20"/>
    </row>
    <row r="291" spans="2:9">
      <c r="B291" s="104"/>
      <c r="C291" s="19"/>
      <c r="D291" s="19"/>
      <c r="E291" s="19"/>
      <c r="F291" s="20"/>
      <c r="G291" s="19"/>
      <c r="H291" s="19"/>
      <c r="I291" s="20"/>
    </row>
    <row r="292" spans="2:9">
      <c r="B292" s="104"/>
      <c r="C292" s="19"/>
      <c r="D292" s="19"/>
      <c r="E292" s="19"/>
      <c r="F292" s="20"/>
      <c r="G292" s="19"/>
      <c r="H292" s="19"/>
      <c r="I292" s="20"/>
    </row>
    <row r="293" spans="2:9">
      <c r="B293" s="104"/>
      <c r="C293" s="19"/>
      <c r="D293" s="19"/>
      <c r="E293" s="19"/>
      <c r="F293" s="20"/>
      <c r="G293" s="19"/>
      <c r="H293" s="19"/>
      <c r="I293" s="20"/>
    </row>
    <row r="294" spans="2:9">
      <c r="B294" s="104"/>
      <c r="C294" s="19"/>
      <c r="D294" s="19"/>
      <c r="E294" s="19"/>
      <c r="F294" s="20"/>
      <c r="G294" s="19"/>
      <c r="H294" s="19"/>
      <c r="I294" s="20"/>
    </row>
    <row r="295" spans="2:9">
      <c r="B295" s="104"/>
      <c r="C295" s="19"/>
      <c r="D295" s="19"/>
      <c r="E295" s="19"/>
      <c r="F295" s="20"/>
      <c r="G295" s="19"/>
      <c r="H295" s="19"/>
      <c r="I295" s="20"/>
    </row>
    <row r="296" spans="2:9">
      <c r="B296" s="104"/>
      <c r="C296" s="19"/>
      <c r="D296" s="19"/>
      <c r="E296" s="19"/>
      <c r="F296" s="20"/>
      <c r="G296" s="19"/>
      <c r="H296" s="19"/>
      <c r="I296" s="20"/>
    </row>
    <row r="297" spans="2:9">
      <c r="B297" s="104"/>
      <c r="C297" s="19"/>
      <c r="D297" s="19"/>
      <c r="E297" s="19"/>
      <c r="F297" s="20"/>
      <c r="G297" s="19"/>
      <c r="H297" s="19"/>
      <c r="I297" s="20"/>
    </row>
    <row r="298" spans="2:9">
      <c r="B298" s="104"/>
      <c r="C298" s="19"/>
      <c r="D298" s="19"/>
      <c r="E298" s="19"/>
      <c r="F298" s="20"/>
      <c r="G298" s="19"/>
      <c r="H298" s="19"/>
      <c r="I298" s="20"/>
    </row>
    <row r="299" spans="2:9">
      <c r="B299" s="104"/>
      <c r="C299" s="19"/>
      <c r="D299" s="19"/>
      <c r="E299" s="19"/>
      <c r="F299" s="20"/>
      <c r="G299" s="19"/>
      <c r="H299" s="19"/>
      <c r="I299" s="20"/>
    </row>
    <row r="300" spans="2:9">
      <c r="B300" s="104"/>
      <c r="C300" s="19"/>
      <c r="D300" s="19"/>
      <c r="E300" s="19"/>
      <c r="F300" s="20"/>
      <c r="G300" s="19"/>
      <c r="H300" s="19"/>
      <c r="I300" s="20"/>
    </row>
    <row r="301" spans="2:9">
      <c r="B301" s="104"/>
      <c r="C301" s="19"/>
      <c r="D301" s="19"/>
      <c r="E301" s="19"/>
      <c r="F301" s="20"/>
      <c r="G301" s="19"/>
      <c r="H301" s="19"/>
      <c r="I301" s="20"/>
    </row>
    <row r="302" spans="2:9">
      <c r="B302" s="104"/>
      <c r="C302" s="19"/>
      <c r="D302" s="19"/>
      <c r="E302" s="19"/>
      <c r="F302" s="20"/>
      <c r="G302" s="19"/>
      <c r="H302" s="19"/>
      <c r="I302" s="20"/>
    </row>
    <row r="303" spans="2:9">
      <c r="B303" s="104"/>
      <c r="C303" s="19"/>
      <c r="D303" s="19"/>
      <c r="E303" s="19"/>
      <c r="F303" s="20"/>
      <c r="G303" s="19"/>
      <c r="H303" s="19"/>
      <c r="I303" s="20"/>
    </row>
    <row r="304" spans="2:9">
      <c r="B304" s="104"/>
      <c r="C304" s="19"/>
      <c r="D304" s="19"/>
      <c r="E304" s="19"/>
      <c r="F304" s="20"/>
      <c r="G304" s="19"/>
      <c r="H304" s="19"/>
      <c r="I304" s="20"/>
    </row>
    <row r="305" spans="2:9">
      <c r="B305" s="104"/>
      <c r="C305" s="19"/>
      <c r="D305" s="19"/>
      <c r="E305" s="19"/>
      <c r="F305" s="20"/>
      <c r="G305" s="19"/>
      <c r="H305" s="19"/>
      <c r="I305" s="20"/>
    </row>
    <row r="306" spans="2:9">
      <c r="B306" s="104"/>
      <c r="C306" s="19"/>
      <c r="D306" s="19"/>
      <c r="E306" s="19"/>
      <c r="F306" s="20"/>
      <c r="G306" s="19"/>
      <c r="H306" s="19"/>
      <c r="I306" s="20"/>
    </row>
    <row r="307" spans="2:9">
      <c r="B307" s="104"/>
      <c r="C307" s="19"/>
      <c r="D307" s="19"/>
      <c r="E307" s="19"/>
      <c r="F307" s="20"/>
      <c r="G307" s="19"/>
      <c r="H307" s="19"/>
      <c r="I307" s="20"/>
    </row>
    <row r="308" spans="2:9">
      <c r="B308" s="104"/>
      <c r="C308" s="19"/>
      <c r="D308" s="19"/>
      <c r="E308" s="19"/>
      <c r="F308" s="20"/>
      <c r="G308" s="19"/>
      <c r="H308" s="19"/>
      <c r="I308" s="20"/>
    </row>
    <row r="309" spans="2:9">
      <c r="B309" s="104"/>
      <c r="C309" s="19"/>
      <c r="D309" s="19"/>
      <c r="E309" s="19"/>
      <c r="F309" s="20"/>
      <c r="G309" s="19"/>
      <c r="H309" s="19"/>
      <c r="I309" s="20"/>
    </row>
    <row r="310" spans="2:9">
      <c r="B310" s="104"/>
      <c r="C310" s="19"/>
      <c r="D310" s="19"/>
      <c r="E310" s="19"/>
      <c r="F310" s="20"/>
      <c r="G310" s="19"/>
      <c r="H310" s="19"/>
      <c r="I310" s="20"/>
    </row>
    <row r="311" spans="2:9">
      <c r="B311" s="104"/>
      <c r="C311" s="19"/>
      <c r="D311" s="19"/>
      <c r="E311" s="19"/>
      <c r="F311" s="20"/>
      <c r="G311" s="19"/>
      <c r="H311" s="19"/>
      <c r="I311" s="20"/>
    </row>
    <row r="312" spans="2:9">
      <c r="B312" s="104"/>
      <c r="C312" s="19"/>
      <c r="D312" s="19"/>
      <c r="E312" s="19"/>
      <c r="F312" s="20"/>
      <c r="G312" s="19"/>
      <c r="H312" s="19"/>
      <c r="I312" s="20"/>
    </row>
    <row r="313" spans="2:9">
      <c r="B313" s="104"/>
      <c r="C313" s="19"/>
      <c r="D313" s="19"/>
      <c r="E313" s="19"/>
      <c r="F313" s="20"/>
      <c r="G313" s="19"/>
      <c r="H313" s="19"/>
      <c r="I313" s="20"/>
    </row>
    <row r="314" spans="2:9">
      <c r="B314" s="104"/>
      <c r="C314" s="19"/>
      <c r="D314" s="19"/>
      <c r="E314" s="19"/>
      <c r="F314" s="20"/>
      <c r="G314" s="19"/>
      <c r="H314" s="19"/>
      <c r="I314" s="20"/>
    </row>
    <row r="315" spans="2:9">
      <c r="B315" s="104"/>
      <c r="C315" s="19"/>
      <c r="D315" s="19"/>
      <c r="E315" s="19"/>
      <c r="F315" s="20"/>
      <c r="G315" s="19"/>
      <c r="H315" s="19"/>
      <c r="I315" s="20"/>
    </row>
    <row r="316" spans="2:9">
      <c r="B316" s="104"/>
      <c r="C316" s="19"/>
      <c r="D316" s="19"/>
      <c r="E316" s="19"/>
      <c r="F316" s="20"/>
      <c r="G316" s="19"/>
      <c r="H316" s="19"/>
      <c r="I316" s="20"/>
    </row>
    <row r="317" spans="2:9">
      <c r="B317" s="104"/>
      <c r="C317" s="19"/>
      <c r="D317" s="19"/>
      <c r="E317" s="19"/>
      <c r="F317" s="20"/>
      <c r="G317" s="19"/>
      <c r="H317" s="19"/>
      <c r="I317" s="20"/>
    </row>
    <row r="318" spans="2:9">
      <c r="B318" s="104"/>
      <c r="C318" s="19"/>
      <c r="D318" s="19"/>
      <c r="E318" s="19"/>
      <c r="F318" s="20"/>
      <c r="G318" s="19"/>
      <c r="H318" s="19"/>
      <c r="I318" s="20"/>
    </row>
    <row r="319" spans="2:9">
      <c r="B319" s="104"/>
      <c r="C319" s="19"/>
      <c r="D319" s="19"/>
      <c r="E319" s="19"/>
      <c r="F319" s="20"/>
      <c r="G319" s="19"/>
      <c r="H319" s="19"/>
      <c r="I319" s="20"/>
    </row>
    <row r="320" spans="2:9">
      <c r="B320" s="104"/>
      <c r="C320" s="19"/>
      <c r="D320" s="19"/>
      <c r="E320" s="19"/>
      <c r="F320" s="20"/>
      <c r="G320" s="19"/>
      <c r="H320" s="19"/>
      <c r="I320" s="20"/>
    </row>
    <row r="321" spans="3:9"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109964" xr:uid="{DE8DF741-9186-4395-AEA7-B9EFE539EFBB}"/>
    <hyperlink ref="K5" r:id="rId2" display="https://us3.assetplanner.com/service_request?ID=110392" xr:uid="{46E0B3D0-5A39-41B2-9FD2-67FDD000444A}"/>
    <hyperlink ref="K6" r:id="rId3" display="https://us3.assetplanner.com/service_request?ID=107541" xr:uid="{A0D14251-71DE-4D01-AD13-A7416D3B45A3}"/>
    <hyperlink ref="N6" r:id="rId4" display="https://us3.assetplanner.com/service_request?ID=109162" xr:uid="{847DA1F3-3C6A-412B-8095-F4F6F84BDB84}"/>
    <hyperlink ref="O6" r:id="rId5" display="https://us3.assetplanner.com/service_request?ID=109853" xr:uid="{23FFD5BE-210C-4F07-B79B-4B5C3347442E}"/>
    <hyperlink ref="P6" r:id="rId6" display="https://us3.assetplanner.com/service_request?ID=107568" xr:uid="{7334126E-335D-4C37-81E5-4AFC76242AF0}"/>
    <hyperlink ref="K7" r:id="rId7" display="https://us3.assetplanner.com/service_request?ID=109150" xr:uid="{9AA99225-8BD1-4D54-9A82-956B80E61A6A}"/>
    <hyperlink ref="K9" r:id="rId8" display="https://us3.assetplanner.com/service_request?ID=107542" xr:uid="{73B32DA5-3D6F-4026-BDE0-806DC8D17F53}"/>
    <hyperlink ref="K10" r:id="rId9" display="https://us3.assetplanner.com/service_request?ID=109959" xr:uid="{7422120D-1FB8-4EB7-95E0-7E61B176D5DD}"/>
    <hyperlink ref="K12" r:id="rId10" display="https://us3.assetplanner.com/service_request?ID=108135" xr:uid="{AAF576C6-6548-46BF-9E46-5A852B1B30F6}"/>
    <hyperlink ref="K13" r:id="rId11" display="https://us3.assetplanner.com/service_request?ID=109657" xr:uid="{774D956D-DE6C-4321-B00A-54F13E9B1139}"/>
    <hyperlink ref="M7" r:id="rId12" display="https://us3.assetplanner.com/service_request?ID=110034" xr:uid="{F5CF3E1C-6AFB-40B9-8D17-7E71B22413D4}"/>
    <hyperlink ref="M6" r:id="rId13" display="https://us3.assetplanner.com/service_request?ID=109149" xr:uid="{0337F196-BAFD-4550-B1C7-1AA93C5D84F7}"/>
    <hyperlink ref="M4" r:id="rId14" display="https://us3.assetplanner.com/service_request?ID=109979" xr:uid="{2D5EE2FB-9621-4423-B80D-AA4F3B023ECC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O321"/>
  <sheetViews>
    <sheetView zoomScale="70" zoomScaleNormal="70" workbookViewId="0">
      <pane xSplit="2" ySplit="3" topLeftCell="H4" activePane="bottomRight" state="frozen"/>
      <selection pane="bottomRight" activeCell="J18" sqref="J18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140625" customWidth="1"/>
  </cols>
  <sheetData>
    <row r="1" spans="1:15" ht="19.5" customHeight="1">
      <c r="A1" s="116" t="str" cm="1">
        <f t="array" ref="A1">portfolio</f>
        <v>ALIGNED</v>
      </c>
      <c r="B1" s="116"/>
      <c r="C1" s="116"/>
      <c r="D1" s="117" t="s">
        <v>157</v>
      </c>
      <c r="E1" s="117"/>
      <c r="F1" s="117"/>
      <c r="G1" s="115" t="s">
        <v>158</v>
      </c>
      <c r="H1" s="115"/>
      <c r="I1" s="115"/>
      <c r="J1" s="4"/>
      <c r="K1" s="4"/>
      <c r="L1" s="4"/>
    </row>
    <row r="2" spans="1:15" ht="19.5" customHeight="1">
      <c r="A2" s="118" t="s">
        <v>2</v>
      </c>
      <c r="B2" s="118"/>
      <c r="C2" s="5">
        <f>SUM(C4:C79)</f>
        <v>1118205.9784900001</v>
      </c>
      <c r="D2" s="5">
        <f>SUM(D4:D79)</f>
        <v>1056266.98</v>
      </c>
      <c r="E2" s="5">
        <f>C2-D2</f>
        <v>61938.998490000144</v>
      </c>
      <c r="F2" s="6">
        <f>IFERROR(E2/D2, 0)</f>
        <v>5.8639529269389964E-2</v>
      </c>
      <c r="G2" s="5">
        <f>SUM(G4:G79)</f>
        <v>1195505.3999999999</v>
      </c>
      <c r="H2" s="7">
        <f>C2-G2</f>
        <v>-77299.421509999782</v>
      </c>
      <c r="I2" s="6">
        <f>IFERROR(H2/G2, 0)</f>
        <v>-6.4658362488366664E-2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5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132</v>
      </c>
    </row>
    <row r="4" spans="1:15" ht="81.7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73130.5</v>
      </c>
      <c r="D4" s="12">
        <v>60397.32</v>
      </c>
      <c r="E4" s="12">
        <f>IF(AND(ISNUMBER(C4),ISNUMBER(D4)), C4-D4, "")</f>
        <v>12733.18</v>
      </c>
      <c r="F4" s="13">
        <f>IFERROR(E4/D4, "")</f>
        <v>0.21082359283491386</v>
      </c>
      <c r="G4" s="14">
        <v>108300</v>
      </c>
      <c r="H4" s="14">
        <f>IF(AND(ISNUMBER(C4),ISNUMBER(G4)), C4-G4, "")</f>
        <v>-35169.5</v>
      </c>
      <c r="I4" s="15">
        <f>IFERROR(H4/G4, "")</f>
        <v>-0.32474145891043399</v>
      </c>
      <c r="J4" s="39" t="s">
        <v>159</v>
      </c>
      <c r="K4" s="74" t="s">
        <v>160</v>
      </c>
      <c r="L4" s="39" t="s">
        <v>161</v>
      </c>
      <c r="M4" s="112" t="s">
        <v>162</v>
      </c>
      <c r="N4" s="112" t="s">
        <v>163</v>
      </c>
      <c r="O4" s="112" t="s">
        <v>164</v>
      </c>
    </row>
    <row r="5" spans="1:15" ht="28.9">
      <c r="A5" s="28" t="str">
        <v>Loudon - 7046 Pleasant Street</v>
      </c>
      <c r="B5" s="29" t="str">
        <v>NH</v>
      </c>
      <c r="C5" s="11">
        <v>88401.027499999997</v>
      </c>
      <c r="D5" s="16">
        <v>88469.77</v>
      </c>
      <c r="E5" s="16">
        <f t="shared" ref="E5:E7" si="0">IF(AND(ISNUMBER(C5),ISNUMBER(D5)), C5-D5, "")</f>
        <v>-68.742500000007567</v>
      </c>
      <c r="F5" s="17">
        <f>IFERROR(E5/D5, "")</f>
        <v>-7.7701682732991806E-4</v>
      </c>
      <c r="G5" s="18">
        <v>102183.5</v>
      </c>
      <c r="H5" s="18">
        <f t="shared" ref="H5:H7" si="1">IF(AND(ISNUMBER(C5),ISNUMBER(G5)), C5-G5, "")</f>
        <v>-13782.472500000003</v>
      </c>
      <c r="I5" s="17">
        <f t="shared" ref="I5:I7" si="2">IFERROR(H5/G5, "")</f>
        <v>-0.13487962831572614</v>
      </c>
      <c r="J5" s="53" t="s">
        <v>165</v>
      </c>
      <c r="K5" s="114" t="s">
        <v>138</v>
      </c>
      <c r="L5" s="40" t="s">
        <v>135</v>
      </c>
    </row>
    <row r="6" spans="1:15" ht="72">
      <c r="A6" s="26" t="str">
        <v>Nashua - Pennichuck Water  East</v>
      </c>
      <c r="B6" s="27" t="str">
        <v>NH</v>
      </c>
      <c r="C6" s="22">
        <v>82698.489740000005</v>
      </c>
      <c r="D6" s="12">
        <v>56006.04</v>
      </c>
      <c r="E6" s="12">
        <f t="shared" si="0"/>
        <v>26692.449740000004</v>
      </c>
      <c r="F6" s="13">
        <f t="shared" ref="F6:F7" si="3">IFERROR(E6/D6, "")</f>
        <v>0.47659948355570225</v>
      </c>
      <c r="G6" s="14">
        <v>68416</v>
      </c>
      <c r="H6" s="14">
        <f t="shared" si="1"/>
        <v>14282.489740000005</v>
      </c>
      <c r="I6" s="15">
        <f t="shared" si="2"/>
        <v>0.20875949690130971</v>
      </c>
      <c r="J6" s="39" t="s">
        <v>166</v>
      </c>
      <c r="K6" s="74" t="s">
        <v>167</v>
      </c>
      <c r="L6" s="39" t="s">
        <v>168</v>
      </c>
      <c r="M6" s="112" t="s">
        <v>169</v>
      </c>
      <c r="N6" s="112" t="s">
        <v>170</v>
      </c>
    </row>
    <row r="7" spans="1:15" ht="57.6">
      <c r="A7" s="28" t="str">
        <v>Nashua - Pennichuck Water West</v>
      </c>
      <c r="B7" s="29" t="str">
        <v>NH</v>
      </c>
      <c r="C7" s="11">
        <v>61727.71125</v>
      </c>
      <c r="D7" s="16">
        <v>25548.15</v>
      </c>
      <c r="E7" s="16">
        <f t="shared" si="0"/>
        <v>36179.561249999999</v>
      </c>
      <c r="F7" s="17">
        <f t="shared" si="3"/>
        <v>1.4161323324780855</v>
      </c>
      <c r="G7" s="18">
        <v>78700</v>
      </c>
      <c r="H7" s="18">
        <f t="shared" si="1"/>
        <v>-16972.28875</v>
      </c>
      <c r="I7" s="17">
        <f t="shared" si="2"/>
        <v>-0.21565805273189326</v>
      </c>
      <c r="J7" s="40" t="s">
        <v>171</v>
      </c>
      <c r="K7" s="92" t="s">
        <v>172</v>
      </c>
      <c r="L7" s="111" t="s">
        <v>173</v>
      </c>
      <c r="M7" s="112" t="s">
        <v>174</v>
      </c>
      <c r="N7" s="112" t="s">
        <v>175</v>
      </c>
    </row>
    <row r="8" spans="1:15" ht="15.6">
      <c r="A8" s="26" t="str">
        <v>Boothbay - Wiscasset Road</v>
      </c>
      <c r="B8" s="27" t="str">
        <v>ME</v>
      </c>
      <c r="C8" s="22">
        <v>90484</v>
      </c>
      <c r="D8" s="12">
        <v>106830.5</v>
      </c>
      <c r="E8" s="12">
        <f t="shared" ref="E8:E13" si="4">IF(AND(ISNUMBER(C8),ISNUMBER(D8)), C8-D8, "")</f>
        <v>-16346.5</v>
      </c>
      <c r="F8" s="13">
        <f t="shared" ref="F8:F13" si="5">IFERROR(E8/D8, "")</f>
        <v>-0.15301341845259547</v>
      </c>
      <c r="G8" s="14">
        <v>96312</v>
      </c>
      <c r="H8" s="14">
        <f t="shared" ref="H8:H13" si="6">IF(AND(ISNUMBER(C8),ISNUMBER(G8)), C8-G8, "")</f>
        <v>-5828</v>
      </c>
      <c r="I8" s="15">
        <f t="shared" ref="I8:I13" si="7">IFERROR(H8/G8, "")</f>
        <v>-6.0511670404518644E-2</v>
      </c>
      <c r="J8" s="39" t="s">
        <v>176</v>
      </c>
      <c r="K8" s="39"/>
      <c r="L8" s="39"/>
    </row>
    <row r="9" spans="1:15" ht="28.9">
      <c r="A9" s="28" t="str">
        <v>Thorndike -  Leonard Road</v>
      </c>
      <c r="B9" s="29" t="str">
        <v>ME</v>
      </c>
      <c r="C9" s="11">
        <v>89550</v>
      </c>
      <c r="D9" s="16">
        <v>58534.35</v>
      </c>
      <c r="E9" s="16">
        <f t="shared" si="4"/>
        <v>31015.65</v>
      </c>
      <c r="F9" s="17">
        <f t="shared" si="5"/>
        <v>0.52987092194583185</v>
      </c>
      <c r="G9" s="18">
        <v>111189.2</v>
      </c>
      <c r="H9" s="18">
        <f t="shared" si="6"/>
        <v>-21639.199999999997</v>
      </c>
      <c r="I9" s="17">
        <f t="shared" si="7"/>
        <v>-0.19461602385843227</v>
      </c>
      <c r="J9" s="40" t="s">
        <v>177</v>
      </c>
      <c r="K9" s="114" t="s">
        <v>125</v>
      </c>
      <c r="L9" s="54" t="s">
        <v>135</v>
      </c>
    </row>
    <row r="10" spans="1:15" ht="15.6">
      <c r="A10" s="26" t="str">
        <v>Topsham - Solarize LLC</v>
      </c>
      <c r="B10" s="27" t="str">
        <v>ME</v>
      </c>
      <c r="C10" s="22">
        <v>77378</v>
      </c>
      <c r="D10" s="12">
        <v>77246.55</v>
      </c>
      <c r="E10" s="12">
        <f t="shared" si="4"/>
        <v>131.44999999999709</v>
      </c>
      <c r="F10" s="13">
        <f t="shared" si="5"/>
        <v>1.7016941209671769E-3</v>
      </c>
      <c r="G10" s="14">
        <v>80744</v>
      </c>
      <c r="H10" s="14">
        <f t="shared" si="6"/>
        <v>-3366</v>
      </c>
      <c r="I10" s="15">
        <f t="shared" si="7"/>
        <v>-4.1687308035271972E-2</v>
      </c>
      <c r="J10" s="39"/>
      <c r="K10" s="39"/>
      <c r="L10" s="39"/>
    </row>
    <row r="11" spans="1:15" ht="15.6">
      <c r="A11" s="28" t="str">
        <v>Cherryfield - 727 North Main St (IRA)</v>
      </c>
      <c r="B11" s="29" t="str">
        <v>ME</v>
      </c>
      <c r="C11" s="11">
        <v>158781</v>
      </c>
      <c r="D11" s="16">
        <v>161641.60000000001</v>
      </c>
      <c r="E11" s="16">
        <f t="shared" si="4"/>
        <v>-2860.6000000000058</v>
      </c>
      <c r="F11" s="17">
        <f t="shared" si="5"/>
        <v>-1.7697176964345848E-2</v>
      </c>
      <c r="G11" s="18">
        <v>139781.79999999999</v>
      </c>
      <c r="H11" s="18">
        <f t="shared" si="6"/>
        <v>18999.200000000012</v>
      </c>
      <c r="I11" s="17">
        <f t="shared" si="7"/>
        <v>0.13592041310099034</v>
      </c>
      <c r="J11" s="40"/>
      <c r="K11" s="54"/>
      <c r="L11" s="54"/>
    </row>
    <row r="12" spans="1:15" ht="15.6">
      <c r="A12" s="26" t="str">
        <v>ME: Bucksport - 258 Route 1 (IRA)</v>
      </c>
      <c r="B12" s="27" t="str">
        <v>ME</v>
      </c>
      <c r="C12" s="22">
        <v>197940</v>
      </c>
      <c r="D12" s="12">
        <v>217643</v>
      </c>
      <c r="E12" s="12">
        <f t="shared" si="4"/>
        <v>-19703</v>
      </c>
      <c r="F12" s="13">
        <f t="shared" si="5"/>
        <v>-9.052898554054116E-2</v>
      </c>
      <c r="G12" s="14">
        <v>221948.9</v>
      </c>
      <c r="H12" s="14">
        <f t="shared" si="6"/>
        <v>-24008.899999999994</v>
      </c>
      <c r="I12" s="15">
        <f t="shared" si="7"/>
        <v>-0.10817309750127166</v>
      </c>
      <c r="J12" s="39" t="s">
        <v>178</v>
      </c>
      <c r="K12" s="39"/>
      <c r="L12" s="39"/>
    </row>
    <row r="13" spans="1:15" ht="15.6">
      <c r="A13" s="28" t="str">
        <v>ME: Union - Route 131 (IRA)</v>
      </c>
      <c r="B13" s="29" t="str">
        <v>ME</v>
      </c>
      <c r="C13" s="11">
        <v>198115.25</v>
      </c>
      <c r="D13" s="16">
        <v>203949.7</v>
      </c>
      <c r="E13" s="16">
        <f t="shared" si="4"/>
        <v>-5834.4500000000116</v>
      </c>
      <c r="F13" s="17">
        <f t="shared" si="5"/>
        <v>-2.8607298760429712E-2</v>
      </c>
      <c r="G13" s="18">
        <v>187930</v>
      </c>
      <c r="H13" s="18">
        <f t="shared" si="6"/>
        <v>10185.25</v>
      </c>
      <c r="I13" s="17">
        <f t="shared" si="7"/>
        <v>5.4197041451604318E-2</v>
      </c>
      <c r="J13" s="40"/>
      <c r="K13" s="54"/>
      <c r="L13" s="54"/>
    </row>
    <row r="14" spans="1:15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  <c r="L14" s="19"/>
    </row>
    <row r="15" spans="1:15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  <c r="L15" s="19"/>
    </row>
    <row r="16" spans="1:15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3:12" ht="14.45"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10599" xr:uid="{AA41974D-DE1E-4F1E-91CC-16D87F2EFD16}"/>
    <hyperlink ref="M4" r:id="rId2" display="https://us3.assetplanner.com/service_request?ID=110802" xr:uid="{967C544A-6A10-4D59-BBBF-6CF15F4FB27E}"/>
    <hyperlink ref="N4" r:id="rId3" display="https://us3.assetplanner.com/service_request?ID=111312" xr:uid="{846949A0-E5CB-481A-8265-0FEFC8D0D2E6}"/>
    <hyperlink ref="O4" r:id="rId4" display="https://us3.assetplanner.com/service_request?ID=111816" xr:uid="{764AB186-4EBF-4A47-B16C-0893550689C3}"/>
    <hyperlink ref="K5" r:id="rId5" display="https://us3.assetplanner.com/service_request?ID=110392" xr:uid="{B4A76ADE-A0AD-48A0-B169-F8AE92D7635B}"/>
    <hyperlink ref="K6" r:id="rId6" display="https://us3.assetplanner.com/service_request?ID=110617" xr:uid="{B9227BC1-460E-4FF4-BE14-CBA076B9D354}"/>
    <hyperlink ref="M6" r:id="rId7" display="https://us3.assetplanner.com/service_request?ID=111815" xr:uid="{89F3EF87-E0BC-4930-97C9-8462920C87DD}"/>
    <hyperlink ref="N6" r:id="rId8" display="https://us3.assetplanner.com/service_request?ID=107541" xr:uid="{DBF52732-E451-41DD-A87F-CCA8239C1993}"/>
    <hyperlink ref="K7" r:id="rId9" display="https://us3.assetplanner.com/service_request?ID=110034" xr:uid="{F738DD37-49A3-4720-B439-78EB53440E1B}"/>
    <hyperlink ref="M7" r:id="rId10" display="https://us3.assetplanner.com/service_request?ID=110618" xr:uid="{B5D9D4A7-C9BA-4E06-BA79-0904A5CA89C5}"/>
    <hyperlink ref="N7" r:id="rId11" display="https://us3.assetplanner.com/service_request?ID=111164" xr:uid="{ABB51BFE-7BE8-4511-9F76-FB02EEE89981}"/>
    <hyperlink ref="K9" r:id="rId12" display="https://us3.assetplanner.com/service_request?ID=107542" xr:uid="{BB5E1EBF-1411-4B8A-BDE2-249AA9299473}"/>
  </hyperlinks>
  <pageMargins left="0.4" right="0.7" top="0.25" bottom="0.25" header="0.3" footer="0.3"/>
  <pageSetup fitToHeight="99" orientation="landscape" r:id="rId1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21"/>
  <sheetViews>
    <sheetView tabSelected="1" zoomScale="70" zoomScaleNormal="70" workbookViewId="0">
      <pane xSplit="2" ySplit="3" topLeftCell="C4" activePane="bottomRight" state="frozen"/>
      <selection pane="bottomRight" activeCell="J6" sqref="J6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3.5703125" customWidth="1"/>
  </cols>
  <sheetData>
    <row r="1" spans="1:14" ht="19.5" customHeight="1">
      <c r="A1" s="116" t="str" cm="1">
        <f t="array" ref="A1">portfolio</f>
        <v>ALIGNED</v>
      </c>
      <c r="B1" s="116"/>
      <c r="C1" s="116"/>
      <c r="D1" s="117" t="s">
        <v>179</v>
      </c>
      <c r="E1" s="117"/>
      <c r="F1" s="117"/>
      <c r="G1" s="115" t="s">
        <v>180</v>
      </c>
      <c r="H1" s="115"/>
      <c r="I1" s="115"/>
      <c r="J1" s="4"/>
      <c r="K1" s="4"/>
      <c r="L1" s="4"/>
    </row>
    <row r="2" spans="1:14" ht="19.5" customHeight="1">
      <c r="A2" s="118" t="s">
        <v>2</v>
      </c>
      <c r="B2" s="118"/>
      <c r="C2" s="5">
        <f>SUM(C4:C79)</f>
        <v>801114.54212830169</v>
      </c>
      <c r="D2" s="5">
        <f>SUM(D4:D79)</f>
        <v>1025241.19</v>
      </c>
      <c r="E2" s="5">
        <f>C2-D2</f>
        <v>-224126.64787169825</v>
      </c>
      <c r="F2" s="6">
        <f>IFERROR(E2/D2, 0)</f>
        <v>-0.2186087040374356</v>
      </c>
      <c r="G2" s="5">
        <f>SUM(G4:G79)</f>
        <v>1548861.48</v>
      </c>
      <c r="H2" s="7">
        <f>C2-G2</f>
        <v>-747746.93787169829</v>
      </c>
      <c r="I2" s="6">
        <f>IFERROR(H2/G2, 0)</f>
        <v>-0.48277198931417564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132</v>
      </c>
    </row>
    <row r="4" spans="1:14" ht="57.6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49964.395000000499</v>
      </c>
      <c r="D4" s="12">
        <v>48287.61</v>
      </c>
      <c r="E4" s="12">
        <f>IF(AND(ISNUMBER(C4),ISNUMBER(D4)), C4-D4, "")</f>
        <v>1676.7850000004983</v>
      </c>
      <c r="F4" s="13">
        <f>IFERROR(E4/D4, "")</f>
        <v>3.4724953254064515E-2</v>
      </c>
      <c r="G4" s="14">
        <v>91900</v>
      </c>
      <c r="H4" s="14">
        <f>IF(AND(ISNUMBER(C4),ISNUMBER(G4)), C4-G4, "")</f>
        <v>-41935.604999999501</v>
      </c>
      <c r="I4" s="15">
        <f>IFERROR(H4/G4, "")</f>
        <v>-0.45631779107725245</v>
      </c>
      <c r="J4" s="39" t="s">
        <v>181</v>
      </c>
      <c r="K4" s="74" t="s">
        <v>182</v>
      </c>
      <c r="L4" s="39" t="s">
        <v>183</v>
      </c>
      <c r="M4" s="112" t="s">
        <v>184</v>
      </c>
      <c r="N4" s="112" t="s">
        <v>185</v>
      </c>
    </row>
    <row r="5" spans="1:14" ht="15.6">
      <c r="A5" s="28" t="str">
        <v>Loudon - 7046 Pleasant Street</v>
      </c>
      <c r="B5" s="29" t="str">
        <v>NH</v>
      </c>
      <c r="C5" s="11">
        <v>64218.348121890798</v>
      </c>
      <c r="D5" s="16">
        <v>94382.97</v>
      </c>
      <c r="E5" s="16">
        <f t="shared" ref="E5:E6" si="0">IF(AND(ISNUMBER(C5),ISNUMBER(D5)), C5-D5, "")</f>
        <v>-30164.621878109203</v>
      </c>
      <c r="F5" s="17">
        <f>IFERROR(E5/D5, "")</f>
        <v>-0.31959814231433065</v>
      </c>
      <c r="G5" s="18">
        <v>88110.48</v>
      </c>
      <c r="H5" s="18">
        <f t="shared" ref="H5:H6" si="1">IF(AND(ISNUMBER(C5),ISNUMBER(G5)), C5-G5, "")</f>
        <v>-23892.131878109198</v>
      </c>
      <c r="I5" s="17">
        <f t="shared" ref="I5:I6" si="2">IFERROR(H5/G5, "")</f>
        <v>-0.27116106821923114</v>
      </c>
      <c r="J5" s="40" t="s">
        <v>186</v>
      </c>
      <c r="K5" s="114" t="s">
        <v>187</v>
      </c>
      <c r="L5" s="40" t="s">
        <v>188</v>
      </c>
    </row>
    <row r="6" spans="1:14" ht="60.75">
      <c r="A6" s="26" t="str">
        <v>Nashua - Pennichuck Water  East</v>
      </c>
      <c r="B6" s="27" t="str">
        <v>NH</v>
      </c>
      <c r="C6" s="22">
        <v>80429.010256410606</v>
      </c>
      <c r="D6" s="12">
        <v>42711</v>
      </c>
      <c r="E6" s="12">
        <f t="shared" si="0"/>
        <v>37718.010256410606</v>
      </c>
      <c r="F6" s="13">
        <f t="shared" ref="F6:F7" si="3">IFERROR(E6/D6, "")</f>
        <v>0.88309827108732186</v>
      </c>
      <c r="G6" s="14">
        <v>60936</v>
      </c>
      <c r="H6" s="14">
        <f t="shared" si="1"/>
        <v>19493.010256410606</v>
      </c>
      <c r="I6" s="15">
        <f t="shared" si="2"/>
        <v>0.3198931708088914</v>
      </c>
      <c r="J6" s="39" t="s">
        <v>189</v>
      </c>
      <c r="K6" s="74" t="s">
        <v>190</v>
      </c>
      <c r="L6" s="39" t="s">
        <v>191</v>
      </c>
      <c r="M6" s="112" t="s">
        <v>170</v>
      </c>
    </row>
    <row r="7" spans="1:14" ht="45.75">
      <c r="A7" s="28" t="str">
        <v>Nashua - Pennichuck Water West</v>
      </c>
      <c r="B7" s="29" t="str">
        <v>NH</v>
      </c>
      <c r="C7" s="11">
        <v>61358.788749999803</v>
      </c>
      <c r="D7" s="16">
        <v>0</v>
      </c>
      <c r="E7" s="16">
        <f t="shared" ref="E7:E13" si="4">IF(AND(ISNUMBER(C7),ISNUMBER(D7)), C7-D7, "")</f>
        <v>61358.788749999803</v>
      </c>
      <c r="F7" s="17" t="str">
        <f t="shared" si="3"/>
        <v/>
      </c>
      <c r="G7" s="18">
        <v>67300</v>
      </c>
      <c r="H7" s="18">
        <f t="shared" ref="H7:H13" si="5">IF(AND(ISNUMBER(C7),ISNUMBER(G7)), C7-G7, "")</f>
        <v>-5941.2112500001967</v>
      </c>
      <c r="I7" s="17">
        <f t="shared" ref="I7:I13" si="6">IFERROR(H7/G7, "")</f>
        <v>-8.8279513372959834E-2</v>
      </c>
      <c r="J7" s="40" t="s">
        <v>192</v>
      </c>
      <c r="K7" s="76" t="s">
        <v>193</v>
      </c>
      <c r="L7" s="52" t="s">
        <v>194</v>
      </c>
      <c r="M7" s="112" t="s">
        <v>195</v>
      </c>
    </row>
    <row r="8" spans="1:14" ht="15.6">
      <c r="A8" s="26" t="str">
        <v>Boothbay - Wiscasset Road</v>
      </c>
      <c r="B8" s="27" t="str">
        <v>ME</v>
      </c>
      <c r="C8" s="22">
        <v>59762</v>
      </c>
      <c r="D8" s="12">
        <v>97565.45</v>
      </c>
      <c r="E8" s="12">
        <f t="shared" si="4"/>
        <v>-37803.449999999997</v>
      </c>
      <c r="F8" s="13">
        <f t="shared" ref="F8:F13" si="7">IFERROR(E8/D8, "")</f>
        <v>-0.38746759226754962</v>
      </c>
      <c r="G8" s="14">
        <v>67816</v>
      </c>
      <c r="H8" s="14">
        <f t="shared" si="5"/>
        <v>-8054</v>
      </c>
      <c r="I8" s="15">
        <f t="shared" si="6"/>
        <v>-0.11876253391530023</v>
      </c>
      <c r="J8" s="39" t="s">
        <v>196</v>
      </c>
      <c r="K8" s="39"/>
      <c r="L8" s="39"/>
    </row>
    <row r="9" spans="1:14" ht="15.6">
      <c r="A9" s="28" t="str">
        <v>Thorndike -  Leonard Road</v>
      </c>
      <c r="B9" s="29" t="str">
        <v>ME</v>
      </c>
      <c r="C9" s="11">
        <v>54039</v>
      </c>
      <c r="D9" s="16">
        <v>104499.2</v>
      </c>
      <c r="E9" s="16">
        <f t="shared" si="4"/>
        <v>-50460.2</v>
      </c>
      <c r="F9" s="17">
        <f t="shared" si="7"/>
        <v>-0.48287642393434588</v>
      </c>
      <c r="G9" s="18">
        <v>100187.8</v>
      </c>
      <c r="H9" s="18">
        <f t="shared" si="5"/>
        <v>-46148.800000000003</v>
      </c>
      <c r="I9" s="17">
        <f t="shared" si="6"/>
        <v>-0.46062295009971277</v>
      </c>
      <c r="J9" s="40" t="s">
        <v>196</v>
      </c>
      <c r="K9" s="40"/>
      <c r="L9" s="40"/>
    </row>
    <row r="10" spans="1:14" ht="28.9">
      <c r="A10" s="26" t="str">
        <v>Topsham - Solarize LLC</v>
      </c>
      <c r="B10" s="27" t="str">
        <v>ME</v>
      </c>
      <c r="C10" s="22">
        <v>51162</v>
      </c>
      <c r="D10" s="12">
        <v>73606.16</v>
      </c>
      <c r="E10" s="12">
        <f t="shared" si="4"/>
        <v>-22444.160000000003</v>
      </c>
      <c r="F10" s="13">
        <f t="shared" si="7"/>
        <v>-0.30492230541574239</v>
      </c>
      <c r="G10" s="14">
        <v>622249</v>
      </c>
      <c r="H10" s="14">
        <f t="shared" si="5"/>
        <v>-571087</v>
      </c>
      <c r="I10" s="15">
        <f t="shared" si="6"/>
        <v>-0.91777889558681491</v>
      </c>
      <c r="J10" s="39" t="s">
        <v>197</v>
      </c>
      <c r="K10" s="74" t="s">
        <v>198</v>
      </c>
      <c r="L10" s="39" t="s">
        <v>199</v>
      </c>
      <c r="M10" s="112" t="s">
        <v>200</v>
      </c>
    </row>
    <row r="11" spans="1:14" ht="15.6">
      <c r="A11" s="28" t="str">
        <v>Cherryfield - 727 North Main St (IRA)</v>
      </c>
      <c r="B11" s="29" t="str">
        <v>ME</v>
      </c>
      <c r="C11" s="11">
        <v>106187</v>
      </c>
      <c r="D11" s="16">
        <v>146376.6</v>
      </c>
      <c r="E11" s="16">
        <f t="shared" si="4"/>
        <v>-40189.600000000006</v>
      </c>
      <c r="F11" s="17">
        <f t="shared" si="7"/>
        <v>-0.27456301075445122</v>
      </c>
      <c r="G11" s="18">
        <v>110291.7</v>
      </c>
      <c r="H11" s="18">
        <f t="shared" si="5"/>
        <v>-4104.6999999999971</v>
      </c>
      <c r="I11" s="17">
        <f t="shared" si="6"/>
        <v>-3.7216762458099725E-2</v>
      </c>
      <c r="J11" s="40" t="s">
        <v>201</v>
      </c>
      <c r="K11" s="114" t="s">
        <v>202</v>
      </c>
      <c r="L11" s="40" t="s">
        <v>135</v>
      </c>
    </row>
    <row r="12" spans="1:14" ht="28.9">
      <c r="A12" s="26" t="str">
        <v>ME: Bucksport - 258 Route 1 (IRA)</v>
      </c>
      <c r="B12" s="27" t="str">
        <v>ME</v>
      </c>
      <c r="C12" s="22">
        <v>122388</v>
      </c>
      <c r="D12" s="12">
        <v>210618.2</v>
      </c>
      <c r="E12" s="12">
        <f t="shared" si="4"/>
        <v>-88230.200000000012</v>
      </c>
      <c r="F12" s="13">
        <f t="shared" si="7"/>
        <v>-0.41891061646144545</v>
      </c>
      <c r="G12" s="14">
        <v>222247.5</v>
      </c>
      <c r="H12" s="14">
        <f t="shared" si="5"/>
        <v>-99859.5</v>
      </c>
      <c r="I12" s="15">
        <f t="shared" si="6"/>
        <v>-0.4493166402321736</v>
      </c>
      <c r="J12" s="39" t="s">
        <v>203</v>
      </c>
      <c r="K12" s="74" t="s">
        <v>204</v>
      </c>
      <c r="L12" s="39" t="s">
        <v>135</v>
      </c>
    </row>
    <row r="13" spans="1:14" ht="15.6">
      <c r="A13" s="28" t="str">
        <v>ME: Union - Route 131 (IRA)</v>
      </c>
      <c r="B13" s="29" t="str">
        <v>ME</v>
      </c>
      <c r="C13" s="11">
        <v>151606</v>
      </c>
      <c r="D13" s="16">
        <v>207194</v>
      </c>
      <c r="E13" s="16">
        <f t="shared" si="4"/>
        <v>-55588</v>
      </c>
      <c r="F13" s="17">
        <f t="shared" si="7"/>
        <v>-0.26828962228635966</v>
      </c>
      <c r="G13" s="18">
        <v>117823</v>
      </c>
      <c r="H13" s="18">
        <f t="shared" si="5"/>
        <v>33783</v>
      </c>
      <c r="I13" s="17">
        <f t="shared" si="6"/>
        <v>0.28672670021982127</v>
      </c>
      <c r="J13" s="40" t="s">
        <v>205</v>
      </c>
      <c r="K13" s="40"/>
      <c r="L13" s="40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  <c r="L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  <c r="L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3:12" ht="14.45"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4" r:id="rId1" display="https://us3.assetplanner.com/service_request?ID=111885" xr:uid="{E50A3BB5-2905-41AA-85A2-53B0D6202C3A}"/>
    <hyperlink ref="M4" r:id="rId2" display="https://us3.assetplanner.com/service_request?ID=112241" xr:uid="{296046F0-4DE6-4876-90DA-152A734E8FC4}"/>
    <hyperlink ref="N4" r:id="rId3" display="https://us3.assetplanner.com/service_request?ID=113714" xr:uid="{72B3EF71-1940-486E-B9EE-2B65B3B205FD}"/>
    <hyperlink ref="K5" r:id="rId4" display="https://us3.assetplanner.com/service_request?ID=113704" xr:uid="{9329F41A-59BD-4C35-9392-47E312E7F593}"/>
    <hyperlink ref="K6" r:id="rId5" display="https://us3.assetplanner.com/service_request?ID=113205" xr:uid="{65564CB9-FC69-46D6-8654-00052979D755}"/>
    <hyperlink ref="M6" r:id="rId6" display="https://us3.assetplanner.com/service_request?ID=107541" xr:uid="{FC5DE63A-FC0F-4B35-9AC2-041FE7D39579}"/>
    <hyperlink ref="K7" r:id="rId7" display="https://us3.assetplanner.com/service_request?ID=110034" xr:uid="{5E1CD43B-562A-409F-A748-F6B2057664DE}"/>
    <hyperlink ref="M7" r:id="rId8" display="https://us3.assetplanner.com/service_request?ID=113207" xr:uid="{0C6871A2-6E1D-45F2-A25F-9CF21A637E3F}"/>
    <hyperlink ref="K10" r:id="rId9" display="https://us3.assetplanner.com/service_request?ID=113321" xr:uid="{00EBC834-153C-4D08-8E9A-59BB1243D0E7}"/>
    <hyperlink ref="M10" r:id="rId10" display="https://us3.assetplanner.com/service_request?ID=113570" xr:uid="{A9FDB719-19F6-4A5D-854E-C570239C0591}"/>
    <hyperlink ref="K11" r:id="rId11" display="https://us3.assetplanner.com/service_request?ID=113263" xr:uid="{4FF8FFD0-87A2-4D21-8EF6-79AD14FCCD6D}"/>
    <hyperlink ref="K12" r:id="rId12" display="https://us3.assetplanner.com/service_request?ID=113896" xr:uid="{FC25B92B-0018-406C-9E47-6C2083974F7B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24" sqref="B2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206</v>
      </c>
      <c r="B1" t="s">
        <v>207</v>
      </c>
    </row>
    <row r="3" spans="1:12" ht="13.15">
      <c r="A3" t="s">
        <v>208</v>
      </c>
      <c r="B3" t="s">
        <v>3</v>
      </c>
      <c r="C3" t="s">
        <v>4</v>
      </c>
      <c r="D3" t="s">
        <v>209</v>
      </c>
      <c r="E3" s="2" t="s">
        <v>210</v>
      </c>
    </row>
    <row r="4" spans="1:12" ht="14.45">
      <c r="A4" s="47" t="s">
        <v>211</v>
      </c>
      <c r="B4" t="s">
        <v>212</v>
      </c>
      <c r="C4" s="44" t="s">
        <v>213</v>
      </c>
      <c r="D4" s="43" t="s">
        <v>214</v>
      </c>
      <c r="E4" s="50" t="s">
        <v>215</v>
      </c>
      <c r="G4" s="3"/>
    </row>
    <row r="5" spans="1:12" ht="14.45">
      <c r="A5" s="47" t="s">
        <v>216</v>
      </c>
      <c r="B5" t="s">
        <v>217</v>
      </c>
      <c r="C5" s="44" t="s">
        <v>213</v>
      </c>
      <c r="D5" s="43" t="s">
        <v>214</v>
      </c>
      <c r="E5" s="47" t="s">
        <v>215</v>
      </c>
      <c r="G5" s="3"/>
    </row>
    <row r="6" spans="1:12" ht="14.45">
      <c r="A6" s="47" t="s">
        <v>218</v>
      </c>
      <c r="B6" t="s">
        <v>219</v>
      </c>
      <c r="C6" s="44" t="s">
        <v>213</v>
      </c>
      <c r="D6" s="43" t="s">
        <v>214</v>
      </c>
      <c r="E6" s="50" t="s">
        <v>215</v>
      </c>
      <c r="G6" s="3"/>
    </row>
    <row r="7" spans="1:12" ht="12.75" customHeight="1">
      <c r="A7" s="47" t="s">
        <v>220</v>
      </c>
      <c r="B7" t="s">
        <v>221</v>
      </c>
      <c r="C7" s="44" t="s">
        <v>213</v>
      </c>
      <c r="D7" s="43" t="s">
        <v>214</v>
      </c>
      <c r="E7" s="47" t="s">
        <v>215</v>
      </c>
    </row>
    <row r="8" spans="1:12" ht="12.75" customHeight="1">
      <c r="A8" s="79" t="s">
        <v>222</v>
      </c>
      <c r="B8" s="80" t="s">
        <v>223</v>
      </c>
      <c r="C8" s="44" t="s">
        <v>224</v>
      </c>
      <c r="E8" s="47" t="s">
        <v>215</v>
      </c>
      <c r="K8" s="42"/>
      <c r="L8" s="42"/>
    </row>
    <row r="9" spans="1:12" ht="12.75" customHeight="1">
      <c r="A9" s="79" t="s">
        <v>225</v>
      </c>
      <c r="B9" s="80" t="s">
        <v>226</v>
      </c>
      <c r="C9" s="44" t="s">
        <v>224</v>
      </c>
      <c r="E9" s="47" t="s">
        <v>215</v>
      </c>
      <c r="K9" s="42"/>
      <c r="L9" s="42"/>
    </row>
    <row r="10" spans="1:12" ht="12.75" customHeight="1">
      <c r="A10" s="79" t="s">
        <v>227</v>
      </c>
      <c r="B10" s="80" t="s">
        <v>228</v>
      </c>
      <c r="C10" s="44" t="s">
        <v>224</v>
      </c>
      <c r="E10" s="47" t="s">
        <v>215</v>
      </c>
      <c r="K10" s="42"/>
      <c r="L10" s="42"/>
    </row>
    <row r="11" spans="1:12" ht="12.75" customHeight="1">
      <c r="A11" s="79" t="s">
        <v>229</v>
      </c>
      <c r="B11" s="80" t="s">
        <v>230</v>
      </c>
      <c r="C11" s="44" t="s">
        <v>224</v>
      </c>
      <c r="E11" s="47" t="s">
        <v>215</v>
      </c>
      <c r="K11" s="42"/>
      <c r="L11" s="42"/>
    </row>
    <row r="12" spans="1:12" ht="12.75" customHeight="1">
      <c r="A12" s="79" t="s">
        <v>231</v>
      </c>
      <c r="B12" s="80" t="s">
        <v>232</v>
      </c>
      <c r="C12" s="44" t="s">
        <v>224</v>
      </c>
      <c r="E12" s="47" t="s">
        <v>215</v>
      </c>
      <c r="K12" s="42"/>
      <c r="L12" s="42"/>
    </row>
    <row r="13" spans="1:12" ht="12.75" customHeight="1">
      <c r="A13" s="79" t="s">
        <v>233</v>
      </c>
      <c r="B13" s="80" t="s">
        <v>234</v>
      </c>
      <c r="C13" s="44" t="s">
        <v>224</v>
      </c>
      <c r="E13" s="47" t="s">
        <v>215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174515D7-1F03-415F-B495-8D6E51418919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2026-01-15T16:15:35Z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a9fa62fc-975e-4e05-9d86-cf5ebe42981e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