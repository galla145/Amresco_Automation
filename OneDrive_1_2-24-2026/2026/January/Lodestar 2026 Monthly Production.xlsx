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 documentId="13_ncr:1_{78149547-47BA-42C4-81D1-AA9DA0DEEB26}" xr6:coauthVersionLast="47" xr6:coauthVersionMax="47" xr10:uidLastSave="{1661EEF1-77E0-4DF7-A8AA-DEBE3D70917A}"/>
  <bookViews>
    <workbookView xWindow="-108" yWindow="-108" windowWidth="23256" windowHeight="1245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3" l="1" a="1"/>
  <c r="A4" i="73"/>
  <c r="H29" i="73"/>
  <c r="I29" i="73" s="1"/>
  <c r="H30" i="73"/>
  <c r="I30" i="73" s="1"/>
  <c r="H31" i="73"/>
  <c r="I31" i="73" s="1"/>
  <c r="H32" i="73"/>
  <c r="I32" i="73" s="1"/>
  <c r="H33" i="73"/>
  <c r="I33" i="73" s="1"/>
  <c r="H34" i="73"/>
  <c r="I34" i="73" s="1"/>
  <c r="H35" i="73"/>
  <c r="I35" i="73" s="1"/>
  <c r="H29" i="33"/>
  <c r="I29" i="33" s="1"/>
  <c r="H30" i="33"/>
  <c r="I30" i="33" s="1"/>
  <c r="H31" i="33"/>
  <c r="I31" i="33" s="1"/>
  <c r="H32" i="33"/>
  <c r="I32" i="33" s="1"/>
  <c r="H33" i="33"/>
  <c r="I33" i="33" s="1"/>
  <c r="H34" i="33"/>
  <c r="I34" i="33" s="1"/>
  <c r="H35" i="33"/>
  <c r="I35" i="33" s="1"/>
  <c r="H29" i="32"/>
  <c r="H30" i="32"/>
  <c r="H31" i="32"/>
  <c r="H32" i="32"/>
  <c r="H33" i="32"/>
  <c r="I33" i="32" s="1"/>
  <c r="H34" i="32"/>
  <c r="I34" i="32" s="1"/>
  <c r="H35" i="32"/>
  <c r="I30" i="32"/>
  <c r="I31" i="32"/>
  <c r="I32" i="32"/>
  <c r="E29" i="32"/>
  <c r="F29" i="32" s="1"/>
  <c r="E30" i="32"/>
  <c r="F30" i="32" s="1"/>
  <c r="E31" i="32"/>
  <c r="F31" i="32" s="1"/>
  <c r="E32" i="32"/>
  <c r="F32" i="32" s="1"/>
  <c r="E33" i="32"/>
  <c r="F33" i="32" s="1"/>
  <c r="E34" i="32"/>
  <c r="F34" i="32" s="1"/>
  <c r="E35" i="32"/>
  <c r="F35" i="32" s="1"/>
  <c r="H29" i="31"/>
  <c r="I29" i="31" s="1"/>
  <c r="H30" i="31"/>
  <c r="I30" i="31" s="1"/>
  <c r="H31" i="31"/>
  <c r="I31" i="31" s="1"/>
  <c r="H32" i="31"/>
  <c r="I32" i="31" s="1"/>
  <c r="H33" i="31"/>
  <c r="I33" i="31" s="1"/>
  <c r="H34" i="31"/>
  <c r="I34" i="31" s="1"/>
  <c r="H35" i="31"/>
  <c r="I35" i="31" s="1"/>
  <c r="E29" i="31"/>
  <c r="F29" i="31" s="1"/>
  <c r="E30" i="31"/>
  <c r="F30" i="31" s="1"/>
  <c r="E31" i="31"/>
  <c r="F31" i="31" s="1"/>
  <c r="E32" i="31"/>
  <c r="F32" i="31" s="1"/>
  <c r="E33" i="31"/>
  <c r="F33" i="31" s="1"/>
  <c r="E34" i="31"/>
  <c r="F34" i="31" s="1"/>
  <c r="E35" i="31"/>
  <c r="F35" i="31" s="1"/>
  <c r="H30" i="30"/>
  <c r="G29" i="30"/>
  <c r="G30" i="30"/>
  <c r="G31" i="30"/>
  <c r="G32" i="30"/>
  <c r="G33" i="30"/>
  <c r="G34" i="30"/>
  <c r="G35" i="30"/>
  <c r="D29" i="30"/>
  <c r="D30" i="30"/>
  <c r="D31" i="30"/>
  <c r="D32" i="30"/>
  <c r="D33" i="30"/>
  <c r="D34" i="30"/>
  <c r="D35" i="30"/>
  <c r="C29" i="30"/>
  <c r="C30" i="30"/>
  <c r="E30" i="30" s="1"/>
  <c r="F30" i="30" s="1"/>
  <c r="C31" i="30"/>
  <c r="C32" i="30"/>
  <c r="C33" i="30"/>
  <c r="C34" i="30"/>
  <c r="C35" i="30"/>
  <c r="G35" i="18"/>
  <c r="D35" i="18"/>
  <c r="C35" i="18"/>
  <c r="H35" i="1"/>
  <c r="G35" i="1"/>
  <c r="D35" i="1"/>
  <c r="C35" i="1"/>
  <c r="G35" i="29"/>
  <c r="D35" i="29"/>
  <c r="C35" i="29"/>
  <c r="H29" i="28"/>
  <c r="I29" i="28" s="1"/>
  <c r="H30" i="28"/>
  <c r="I30" i="28" s="1"/>
  <c r="H31" i="28"/>
  <c r="I31" i="28" s="1"/>
  <c r="H32" i="28"/>
  <c r="I32" i="28" s="1"/>
  <c r="H33" i="28"/>
  <c r="I33" i="28" s="1"/>
  <c r="H34" i="28"/>
  <c r="I34" i="28" s="1"/>
  <c r="H35" i="28"/>
  <c r="I35" i="28" s="1"/>
  <c r="F35" i="28"/>
  <c r="E29" i="28"/>
  <c r="F29" i="28" s="1"/>
  <c r="E30" i="28"/>
  <c r="F30" i="28" s="1"/>
  <c r="E31" i="28"/>
  <c r="F31" i="28" s="1"/>
  <c r="E32" i="28"/>
  <c r="F32" i="28" s="1"/>
  <c r="E33" i="28"/>
  <c r="F33" i="28" s="1"/>
  <c r="E34" i="28"/>
  <c r="F34" i="28" s="1"/>
  <c r="E35" i="28"/>
  <c r="I33" i="27"/>
  <c r="I35" i="27"/>
  <c r="H29" i="27"/>
  <c r="I29" i="27" s="1"/>
  <c r="H30" i="27"/>
  <c r="H31" i="27"/>
  <c r="I31" i="27" s="1"/>
  <c r="H32" i="27"/>
  <c r="I32" i="27" s="1"/>
  <c r="H33" i="27"/>
  <c r="H34" i="27"/>
  <c r="I34" i="27" s="1"/>
  <c r="H35" i="27"/>
  <c r="F30" i="27"/>
  <c r="F31" i="27"/>
  <c r="F32" i="27"/>
  <c r="F35" i="27"/>
  <c r="E29" i="27"/>
  <c r="F29" i="27" s="1"/>
  <c r="E30" i="27"/>
  <c r="E31" i="27"/>
  <c r="E32" i="27"/>
  <c r="E33" i="27"/>
  <c r="F33" i="27" s="1"/>
  <c r="E34" i="27"/>
  <c r="F34" i="27" s="1"/>
  <c r="E35" i="27"/>
  <c r="I29" i="26"/>
  <c r="I34" i="26"/>
  <c r="I35" i="26"/>
  <c r="H29" i="26"/>
  <c r="H30" i="26"/>
  <c r="I30" i="26" s="1"/>
  <c r="H31" i="26"/>
  <c r="I31" i="26" s="1"/>
  <c r="H32" i="26"/>
  <c r="I32" i="26" s="1"/>
  <c r="H33" i="26"/>
  <c r="I33" i="26" s="1"/>
  <c r="H34" i="26"/>
  <c r="H35" i="26"/>
  <c r="F29" i="26"/>
  <c r="F31" i="26"/>
  <c r="F32" i="26"/>
  <c r="F34" i="26"/>
  <c r="F35" i="26"/>
  <c r="E29" i="26"/>
  <c r="E30" i="26"/>
  <c r="F30" i="26" s="1"/>
  <c r="E31" i="26"/>
  <c r="E32" i="26"/>
  <c r="E33" i="26"/>
  <c r="F33" i="26" s="1"/>
  <c r="E34" i="26"/>
  <c r="E35" i="26"/>
  <c r="F29" i="19"/>
  <c r="F30" i="19"/>
  <c r="F31" i="19"/>
  <c r="F33" i="19"/>
  <c r="F34" i="19"/>
  <c r="E29" i="19"/>
  <c r="E30" i="19"/>
  <c r="E31" i="19"/>
  <c r="E32" i="19"/>
  <c r="F32" i="19" s="1"/>
  <c r="E33" i="19"/>
  <c r="E34" i="19"/>
  <c r="E35" i="19"/>
  <c r="F35" i="19" s="1"/>
  <c r="I30" i="19"/>
  <c r="I31" i="19"/>
  <c r="I32" i="19"/>
  <c r="I33" i="19"/>
  <c r="H29" i="19"/>
  <c r="H29" i="18" s="1"/>
  <c r="H30" i="19"/>
  <c r="H31" i="19"/>
  <c r="H31" i="18" s="1"/>
  <c r="H32" i="19"/>
  <c r="H32" i="18" s="1"/>
  <c r="H33" i="19"/>
  <c r="H33" i="18" s="1"/>
  <c r="H34" i="19"/>
  <c r="I34" i="19" s="1"/>
  <c r="H35" i="19"/>
  <c r="I35" i="19" s="1"/>
  <c r="C29" i="29"/>
  <c r="D29" i="29"/>
  <c r="G29" i="29"/>
  <c r="C30" i="29"/>
  <c r="D30" i="29"/>
  <c r="G30" i="29"/>
  <c r="C31" i="29"/>
  <c r="D31" i="29"/>
  <c r="G31" i="29"/>
  <c r="C32" i="29"/>
  <c r="D32" i="29"/>
  <c r="G32" i="29"/>
  <c r="C33" i="29"/>
  <c r="D33" i="29"/>
  <c r="G33" i="29"/>
  <c r="H33" i="29"/>
  <c r="C34" i="29"/>
  <c r="D34" i="29"/>
  <c r="E34" i="29" s="1"/>
  <c r="F34" i="29" s="1"/>
  <c r="G34" i="29"/>
  <c r="H30" i="18"/>
  <c r="G29" i="18"/>
  <c r="G30" i="18"/>
  <c r="G31" i="18"/>
  <c r="G32" i="18"/>
  <c r="G33" i="18"/>
  <c r="G34" i="18"/>
  <c r="D29" i="18"/>
  <c r="D30" i="18"/>
  <c r="D31" i="18"/>
  <c r="D32" i="18"/>
  <c r="D33" i="18"/>
  <c r="D34" i="18"/>
  <c r="C29" i="18"/>
  <c r="C30" i="18"/>
  <c r="C31" i="18"/>
  <c r="C32" i="18"/>
  <c r="C33" i="18"/>
  <c r="C34" i="18"/>
  <c r="G30" i="1"/>
  <c r="G31" i="1"/>
  <c r="G32" i="1"/>
  <c r="G33" i="1"/>
  <c r="G34" i="1"/>
  <c r="D30" i="1"/>
  <c r="D31" i="1"/>
  <c r="D32" i="1"/>
  <c r="D33" i="1"/>
  <c r="D34" i="1"/>
  <c r="C30" i="1"/>
  <c r="E30" i="1" s="1"/>
  <c r="F30" i="1" s="1"/>
  <c r="C31" i="1"/>
  <c r="E31" i="1" s="1"/>
  <c r="F31" i="1" s="1"/>
  <c r="C32" i="1"/>
  <c r="C33" i="1"/>
  <c r="E33" i="1" s="1"/>
  <c r="F33" i="1" s="1"/>
  <c r="C34" i="1"/>
  <c r="E30" i="73"/>
  <c r="F30" i="73" s="1"/>
  <c r="E31" i="73"/>
  <c r="F31" i="73" s="1"/>
  <c r="E32" i="73"/>
  <c r="F32" i="73" s="1"/>
  <c r="E33" i="73"/>
  <c r="F33" i="73" s="1"/>
  <c r="E34" i="73"/>
  <c r="F34" i="73" s="1"/>
  <c r="E35" i="73"/>
  <c r="F35" i="73" s="1"/>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6" i="1"/>
  <c r="C17" i="1"/>
  <c r="C18" i="1"/>
  <c r="C19" i="1"/>
  <c r="C20" i="1"/>
  <c r="C21" i="1"/>
  <c r="C22" i="1"/>
  <c r="C23" i="1"/>
  <c r="C24" i="1"/>
  <c r="C25" i="1"/>
  <c r="C26" i="1"/>
  <c r="C27" i="1"/>
  <c r="C28" i="1"/>
  <c r="C29" i="1"/>
  <c r="E15" i="3"/>
  <c r="E16" i="3"/>
  <c r="E17" i="3"/>
  <c r="G29" i="1"/>
  <c r="D29" i="1"/>
  <c r="E29" i="73"/>
  <c r="F29" i="73" s="1"/>
  <c r="H29" i="3"/>
  <c r="E29" i="3"/>
  <c r="F29" i="3" s="1"/>
  <c r="D20" i="29"/>
  <c r="D21" i="29"/>
  <c r="D22" i="29"/>
  <c r="C20" i="29"/>
  <c r="C21" i="29"/>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E5" i="33"/>
  <c r="F5" i="33" s="1"/>
  <c r="E6" i="33"/>
  <c r="F6" i="33" s="1"/>
  <c r="E7" i="33"/>
  <c r="F7" i="33" s="1"/>
  <c r="E8" i="33"/>
  <c r="F8" i="33" s="1"/>
  <c r="E9" i="33"/>
  <c r="F9" i="33" s="1"/>
  <c r="E10" i="33"/>
  <c r="F10" i="33" s="1"/>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F24" i="33" s="1"/>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C21" i="30"/>
  <c r="C22" i="30"/>
  <c r="G6" i="30"/>
  <c r="G7" i="30"/>
  <c r="G8" i="30"/>
  <c r="G9" i="30"/>
  <c r="G10" i="30"/>
  <c r="G11" i="30"/>
  <c r="G12" i="30"/>
  <c r="G13" i="30"/>
  <c r="G14" i="30"/>
  <c r="G15" i="30"/>
  <c r="G16" i="30"/>
  <c r="G17" i="30"/>
  <c r="G18" i="30"/>
  <c r="G19" i="30"/>
  <c r="G20" i="30"/>
  <c r="G21" i="30"/>
  <c r="G22" i="30"/>
  <c r="G23" i="30"/>
  <c r="G24" i="30"/>
  <c r="G25" i="30"/>
  <c r="G26" i="30"/>
  <c r="G27" i="30"/>
  <c r="G28" i="30"/>
  <c r="G5" i="30"/>
  <c r="G4" i="30"/>
  <c r="H16" i="32"/>
  <c r="I16" i="32" s="1"/>
  <c r="H17" i="32"/>
  <c r="I17" i="32" s="1"/>
  <c r="H18" i="32"/>
  <c r="I18" i="32" s="1"/>
  <c r="H19" i="32"/>
  <c r="I19" i="32" s="1"/>
  <c r="H20" i="32"/>
  <c r="I20" i="32" s="1"/>
  <c r="H21" i="32"/>
  <c r="I21" i="32" s="1"/>
  <c r="H22" i="32"/>
  <c r="I22" i="32" s="1"/>
  <c r="H23" i="32"/>
  <c r="I23" i="32" s="1"/>
  <c r="H24" i="32"/>
  <c r="I24" i="32" s="1"/>
  <c r="H25" i="32"/>
  <c r="I25" i="32" s="1"/>
  <c r="H26" i="32"/>
  <c r="I26" i="32" s="1"/>
  <c r="H27" i="32"/>
  <c r="I27" i="32" s="1"/>
  <c r="E16" i="32"/>
  <c r="F16" i="32" s="1"/>
  <c r="E17" i="32"/>
  <c r="F17" i="32" s="1"/>
  <c r="E18" i="32"/>
  <c r="F18" i="32" s="1"/>
  <c r="E19" i="32"/>
  <c r="F19" i="32" s="1"/>
  <c r="E20" i="32"/>
  <c r="F20" i="32" s="1"/>
  <c r="E21" i="32"/>
  <c r="F21" i="32" s="1"/>
  <c r="E22" i="32"/>
  <c r="F22" i="32" s="1"/>
  <c r="E23" i="32"/>
  <c r="F23" i="32" s="1"/>
  <c r="E24" i="32"/>
  <c r="F24" i="32" s="1"/>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H15" i="26"/>
  <c r="I15" i="26" s="1"/>
  <c r="H16" i="26"/>
  <c r="I16" i="26" s="1"/>
  <c r="H17" i="26"/>
  <c r="I17" i="26" s="1"/>
  <c r="H18" i="26"/>
  <c r="I18" i="26" s="1"/>
  <c r="H19" i="26"/>
  <c r="H20" i="26"/>
  <c r="I20" i="26" s="1"/>
  <c r="H21" i="26"/>
  <c r="I21" i="26" s="1"/>
  <c r="H22" i="26"/>
  <c r="I22" i="26" s="1"/>
  <c r="H23" i="26"/>
  <c r="I23" i="26" s="1"/>
  <c r="H24" i="26"/>
  <c r="I24" i="26" s="1"/>
  <c r="H25" i="26"/>
  <c r="I25" i="26" s="1"/>
  <c r="H26" i="26"/>
  <c r="I26" i="26" s="1"/>
  <c r="H27" i="26"/>
  <c r="I27" i="26" s="1"/>
  <c r="H28" i="26"/>
  <c r="I28"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H15" i="27"/>
  <c r="I15" i="27" s="1"/>
  <c r="H16" i="27"/>
  <c r="I16" i="27" s="1"/>
  <c r="H17" i="27"/>
  <c r="I17" i="27" s="1"/>
  <c r="H18" i="27"/>
  <c r="I18" i="27" s="1"/>
  <c r="H19" i="27"/>
  <c r="I19" i="27" s="1"/>
  <c r="H20" i="27"/>
  <c r="I20" i="27" s="1"/>
  <c r="H21" i="27"/>
  <c r="I21" i="27" s="1"/>
  <c r="H22" i="27"/>
  <c r="I22" i="27" s="1"/>
  <c r="H23" i="27"/>
  <c r="I23" i="27" s="1"/>
  <c r="H24" i="27"/>
  <c r="I24" i="27" s="1"/>
  <c r="H25" i="27"/>
  <c r="I25" i="27" s="1"/>
  <c r="H26" i="27"/>
  <c r="I26" i="27" s="1"/>
  <c r="H27" i="27"/>
  <c r="I27" i="27" s="1"/>
  <c r="H28" i="27"/>
  <c r="I28" i="27" s="1"/>
  <c r="F25" i="27"/>
  <c r="F26" i="27"/>
  <c r="F28" i="27"/>
  <c r="E15" i="27"/>
  <c r="F15" i="27" s="1"/>
  <c r="E16" i="27"/>
  <c r="F16" i="27" s="1"/>
  <c r="E17" i="27"/>
  <c r="F17" i="27" s="1"/>
  <c r="E18" i="27"/>
  <c r="F18" i="27" s="1"/>
  <c r="E19" i="27"/>
  <c r="F19" i="27" s="1"/>
  <c r="E20" i="27"/>
  <c r="F20" i="27" s="1"/>
  <c r="E21" i="27"/>
  <c r="F21" i="27" s="1"/>
  <c r="E22" i="27"/>
  <c r="F22" i="27" s="1"/>
  <c r="E23" i="27"/>
  <c r="F23" i="27" s="1"/>
  <c r="E24" i="27"/>
  <c r="F24" i="27" s="1"/>
  <c r="E25" i="27"/>
  <c r="E26" i="27"/>
  <c r="E27" i="27"/>
  <c r="F27" i="27" s="1"/>
  <c r="E28" i="27"/>
  <c r="H15" i="28"/>
  <c r="I15" i="28" s="1"/>
  <c r="H16" i="28"/>
  <c r="I16" i="28" s="1"/>
  <c r="H17" i="28"/>
  <c r="I17" i="28" s="1"/>
  <c r="H18" i="28"/>
  <c r="I18" i="28" s="1"/>
  <c r="H19" i="28"/>
  <c r="I19" i="28" s="1"/>
  <c r="H20" i="28"/>
  <c r="I20" i="28" s="1"/>
  <c r="H21" i="28"/>
  <c r="I21" i="28" s="1"/>
  <c r="H22" i="28"/>
  <c r="I22" i="28" s="1"/>
  <c r="H23" i="28"/>
  <c r="I23" i="28" s="1"/>
  <c r="H24" i="28"/>
  <c r="I24" i="28" s="1"/>
  <c r="H25" i="28"/>
  <c r="I25" i="28" s="1"/>
  <c r="H26" i="28"/>
  <c r="I26" i="28" s="1"/>
  <c r="H27" i="28"/>
  <c r="I27" i="28" s="1"/>
  <c r="H28" i="28"/>
  <c r="I28" i="28" s="1"/>
  <c r="F26" i="28"/>
  <c r="E15" i="28"/>
  <c r="F15" i="28" s="1"/>
  <c r="E16" i="28"/>
  <c r="F16" i="28" s="1"/>
  <c r="E17" i="28"/>
  <c r="F17" i="28" s="1"/>
  <c r="E18" i="28"/>
  <c r="F18" i="28" s="1"/>
  <c r="E19" i="28"/>
  <c r="F19" i="28" s="1"/>
  <c r="E20" i="28"/>
  <c r="F20" i="28" s="1"/>
  <c r="E21" i="28"/>
  <c r="F21" i="28" s="1"/>
  <c r="E22" i="28"/>
  <c r="F22" i="28" s="1"/>
  <c r="E23" i="28"/>
  <c r="F23" i="28" s="1"/>
  <c r="E24" i="28"/>
  <c r="F24" i="28" s="1"/>
  <c r="E25" i="28"/>
  <c r="F25" i="28" s="1"/>
  <c r="E26" i="28"/>
  <c r="E27" i="28"/>
  <c r="F27" i="28" s="1"/>
  <c r="E28" i="28"/>
  <c r="F28" i="28" s="1"/>
  <c r="H15" i="19"/>
  <c r="I15" i="19" s="1"/>
  <c r="H16" i="19"/>
  <c r="I16" i="19" s="1"/>
  <c r="H17" i="19"/>
  <c r="I17" i="19" s="1"/>
  <c r="H18" i="19"/>
  <c r="I18" i="19" s="1"/>
  <c r="H19" i="19"/>
  <c r="I19" i="19" s="1"/>
  <c r="H20" i="19"/>
  <c r="I20" i="19" s="1"/>
  <c r="H21" i="19"/>
  <c r="I21" i="19" s="1"/>
  <c r="H22" i="19"/>
  <c r="I22" i="19" s="1"/>
  <c r="H23" i="19"/>
  <c r="I23" i="19" s="1"/>
  <c r="H24" i="19"/>
  <c r="I24" i="19" s="1"/>
  <c r="H25" i="19"/>
  <c r="I25" i="19" s="1"/>
  <c r="H26" i="19"/>
  <c r="I26" i="19" s="1"/>
  <c r="H27" i="19"/>
  <c r="I27" i="19" s="1"/>
  <c r="H28" i="19"/>
  <c r="I28"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D20" i="18"/>
  <c r="D21" i="18"/>
  <c r="D22" i="18"/>
  <c r="D23" i="18"/>
  <c r="C20" i="18"/>
  <c r="C21" i="18"/>
  <c r="C22" i="18"/>
  <c r="C23" i="18"/>
  <c r="E23" i="18" s="1"/>
  <c r="F23" i="18" s="1"/>
  <c r="G5" i="18"/>
  <c r="G6" i="18"/>
  <c r="G7" i="18"/>
  <c r="G8" i="18"/>
  <c r="G9" i="18"/>
  <c r="G10" i="18"/>
  <c r="G11" i="18"/>
  <c r="G12" i="18"/>
  <c r="G13" i="18"/>
  <c r="G14" i="18"/>
  <c r="G15" i="18"/>
  <c r="G16" i="18"/>
  <c r="G17" i="18"/>
  <c r="G18" i="18"/>
  <c r="G19" i="18"/>
  <c r="G20" i="18"/>
  <c r="G21" i="18"/>
  <c r="G22" i="18"/>
  <c r="G23" i="18"/>
  <c r="G24" i="18"/>
  <c r="G25" i="18"/>
  <c r="G26" i="18"/>
  <c r="G27" i="18"/>
  <c r="G28" i="18"/>
  <c r="G4" i="18"/>
  <c r="H15" i="20"/>
  <c r="I15" i="20" s="1"/>
  <c r="H16" i="20"/>
  <c r="I16" i="20" s="1"/>
  <c r="H17" i="20"/>
  <c r="I17" i="20" s="1"/>
  <c r="H18" i="20"/>
  <c r="H19" i="20"/>
  <c r="I19" i="20" s="1"/>
  <c r="H20" i="20"/>
  <c r="I20" i="20" s="1"/>
  <c r="H21" i="20"/>
  <c r="I21" i="20" s="1"/>
  <c r="H22" i="20"/>
  <c r="I22" i="20" s="1"/>
  <c r="H23" i="20"/>
  <c r="I23" i="20" s="1"/>
  <c r="H24" i="20"/>
  <c r="I24" i="20" s="1"/>
  <c r="H25" i="20"/>
  <c r="I25" i="20" s="1"/>
  <c r="H26" i="20"/>
  <c r="I26" i="20" s="1"/>
  <c r="H27" i="20"/>
  <c r="H28" i="20"/>
  <c r="I28"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E15" i="21"/>
  <c r="F15" i="21" s="1"/>
  <c r="E16" i="21"/>
  <c r="F16" i="21" s="1"/>
  <c r="E17" i="21"/>
  <c r="F17" i="21" s="1"/>
  <c r="E18" i="21"/>
  <c r="F18" i="21" s="1"/>
  <c r="E19" i="21"/>
  <c r="F19" i="21" s="1"/>
  <c r="E20" i="21"/>
  <c r="F20" i="21" s="1"/>
  <c r="E21" i="21"/>
  <c r="F21" i="21" s="1"/>
  <c r="E22" i="21"/>
  <c r="F22" i="21" s="1"/>
  <c r="E23" i="21"/>
  <c r="F23" i="21" s="1"/>
  <c r="E24" i="21"/>
  <c r="F24" i="21" s="1"/>
  <c r="E25" i="21"/>
  <c r="F25" i="21" s="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1" i="1"/>
  <c r="D22" i="1"/>
  <c r="E22" i="1" s="1"/>
  <c r="F22" i="1" s="1"/>
  <c r="D23" i="1"/>
  <c r="D24" i="1"/>
  <c r="D25" i="1"/>
  <c r="D26" i="1"/>
  <c r="D27" i="1"/>
  <c r="D28" i="1"/>
  <c r="D4" i="1"/>
  <c r="C5" i="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G2" i="73"/>
  <c r="D2" i="73"/>
  <c r="C2" i="73"/>
  <c r="J2" i="73" s="1"/>
  <c r="A1" i="73" a="1"/>
  <c r="A1" i="73" s="1"/>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C19" i="29"/>
  <c r="D19" i="29"/>
  <c r="C23" i="29"/>
  <c r="D23" i="29"/>
  <c r="H23" i="29"/>
  <c r="I23" i="29" s="1"/>
  <c r="C24" i="29"/>
  <c r="D24" i="29"/>
  <c r="C25" i="29"/>
  <c r="D25" i="29"/>
  <c r="C26" i="29"/>
  <c r="D26" i="29"/>
  <c r="C27" i="29"/>
  <c r="D27" i="29"/>
  <c r="C28" i="29"/>
  <c r="D28" i="29"/>
  <c r="C17" i="18"/>
  <c r="D17" i="18"/>
  <c r="C18" i="18"/>
  <c r="D18" i="18"/>
  <c r="C19" i="18"/>
  <c r="D19" i="18"/>
  <c r="C24" i="18"/>
  <c r="D24" i="18"/>
  <c r="C25" i="18"/>
  <c r="D25" i="18"/>
  <c r="C26" i="18"/>
  <c r="D26" i="18"/>
  <c r="C27" i="18"/>
  <c r="D27" i="18"/>
  <c r="C28" i="18"/>
  <c r="D28" i="18"/>
  <c r="E32" i="1" l="1"/>
  <c r="F32" i="1" s="1"/>
  <c r="E29" i="1"/>
  <c r="F29" i="1" s="1"/>
  <c r="H31" i="1"/>
  <c r="I31" i="1" s="1"/>
  <c r="E34" i="1"/>
  <c r="F34" i="1" s="1"/>
  <c r="D33" i="34"/>
  <c r="C34" i="34"/>
  <c r="H30" i="1"/>
  <c r="I30" i="1" s="1"/>
  <c r="H30" i="29"/>
  <c r="H34" i="29"/>
  <c r="H35" i="18"/>
  <c r="I35" i="18" s="1"/>
  <c r="H35" i="29"/>
  <c r="I30" i="27"/>
  <c r="H32" i="29"/>
  <c r="I32" i="29" s="1"/>
  <c r="I29" i="18"/>
  <c r="E35" i="1"/>
  <c r="F35" i="1" s="1"/>
  <c r="H34" i="18"/>
  <c r="D30" i="34"/>
  <c r="I34" i="18"/>
  <c r="H31" i="29"/>
  <c r="H29" i="29"/>
  <c r="I29" i="29" s="1"/>
  <c r="H27" i="29"/>
  <c r="I27" i="29" s="1"/>
  <c r="E22" i="18"/>
  <c r="F22" i="18" s="1"/>
  <c r="I33" i="18"/>
  <c r="I29" i="19"/>
  <c r="H33" i="1"/>
  <c r="I33" i="1" s="1"/>
  <c r="I31" i="18"/>
  <c r="D32" i="34"/>
  <c r="H34" i="1"/>
  <c r="I34" i="1" s="1"/>
  <c r="I32" i="18"/>
  <c r="D31" i="34"/>
  <c r="E20" i="29"/>
  <c r="F20" i="29" s="1"/>
  <c r="H32" i="1"/>
  <c r="I32" i="1" s="1"/>
  <c r="I30" i="18"/>
  <c r="E35" i="18"/>
  <c r="F35" i="18" s="1"/>
  <c r="G33" i="34"/>
  <c r="H34" i="30"/>
  <c r="I34" i="30" s="1"/>
  <c r="H33" i="30"/>
  <c r="I33" i="30" s="1"/>
  <c r="H35" i="30"/>
  <c r="H35" i="34" s="1"/>
  <c r="E33" i="30"/>
  <c r="F33" i="30" s="1"/>
  <c r="G32" i="34"/>
  <c r="C32" i="34"/>
  <c r="E32" i="34" s="1"/>
  <c r="F32" i="34" s="1"/>
  <c r="G31" i="34"/>
  <c r="C30" i="34"/>
  <c r="E30" i="34" s="1"/>
  <c r="F30" i="34" s="1"/>
  <c r="H32" i="30"/>
  <c r="I32" i="30" s="1"/>
  <c r="G23" i="34"/>
  <c r="H31" i="30"/>
  <c r="I31" i="30" s="1"/>
  <c r="E32" i="30"/>
  <c r="F32" i="30" s="1"/>
  <c r="H29" i="30"/>
  <c r="I29" i="30" s="1"/>
  <c r="E34" i="30"/>
  <c r="F34" i="30" s="1"/>
  <c r="I30" i="30"/>
  <c r="I35" i="32"/>
  <c r="E31" i="30"/>
  <c r="F31" i="30" s="1"/>
  <c r="D35" i="34"/>
  <c r="E29" i="30"/>
  <c r="F29" i="30" s="1"/>
  <c r="I29" i="32"/>
  <c r="E22" i="30"/>
  <c r="F22" i="30" s="1"/>
  <c r="E21" i="30"/>
  <c r="F21" i="30" s="1"/>
  <c r="G35" i="34"/>
  <c r="E35" i="30"/>
  <c r="F35" i="30" s="1"/>
  <c r="E20" i="30"/>
  <c r="F20" i="30" s="1"/>
  <c r="I35" i="1"/>
  <c r="C35" i="34"/>
  <c r="E35" i="29"/>
  <c r="F35" i="29" s="1"/>
  <c r="I35" i="29"/>
  <c r="H25" i="29"/>
  <c r="I25" i="29" s="1"/>
  <c r="E21" i="29"/>
  <c r="F21" i="29" s="1"/>
  <c r="H26" i="29"/>
  <c r="I26" i="29" s="1"/>
  <c r="G29" i="34"/>
  <c r="D29" i="34"/>
  <c r="D34" i="34"/>
  <c r="E34" i="34" s="1"/>
  <c r="F34" i="34" s="1"/>
  <c r="E31" i="29"/>
  <c r="F31" i="29" s="1"/>
  <c r="E32" i="29"/>
  <c r="F32" i="29" s="1"/>
  <c r="I30" i="29"/>
  <c r="C29" i="34"/>
  <c r="E29" i="29"/>
  <c r="F29" i="29" s="1"/>
  <c r="E30" i="29"/>
  <c r="F30" i="29" s="1"/>
  <c r="G30" i="34"/>
  <c r="I33" i="29"/>
  <c r="I31" i="29"/>
  <c r="E33" i="29"/>
  <c r="F33" i="29" s="1"/>
  <c r="I34" i="29"/>
  <c r="C33" i="34"/>
  <c r="E33" i="34" s="1"/>
  <c r="F33" i="34" s="1"/>
  <c r="G34" i="34"/>
  <c r="C31" i="34"/>
  <c r="E31" i="34" s="1"/>
  <c r="F31" i="34" s="1"/>
  <c r="H24" i="29"/>
  <c r="I24" i="29" s="1"/>
  <c r="E22" i="29"/>
  <c r="F22" i="29" s="1"/>
  <c r="H18" i="29"/>
  <c r="I18" i="29" s="1"/>
  <c r="H27" i="18"/>
  <c r="I27" i="18" s="1"/>
  <c r="E34" i="18"/>
  <c r="F34" i="18" s="1"/>
  <c r="E33" i="18"/>
  <c r="F33" i="18" s="1"/>
  <c r="E32" i="18"/>
  <c r="F32" i="18" s="1"/>
  <c r="E31" i="18"/>
  <c r="F31" i="18" s="1"/>
  <c r="E30" i="18"/>
  <c r="F30" i="18" s="1"/>
  <c r="E29" i="18"/>
  <c r="F29" i="18" s="1"/>
  <c r="D22" i="34"/>
  <c r="C22" i="34"/>
  <c r="E21" i="18"/>
  <c r="F21" i="18" s="1"/>
  <c r="E20" i="18"/>
  <c r="F20" i="18" s="1"/>
  <c r="C21" i="34"/>
  <c r="D20" i="34"/>
  <c r="C20" i="34"/>
  <c r="H18" i="18"/>
  <c r="I18" i="18" s="1"/>
  <c r="I29" i="3"/>
  <c r="H29" i="1"/>
  <c r="I29" i="1" s="1"/>
  <c r="G22" i="34"/>
  <c r="E21" i="1"/>
  <c r="F21" i="1" s="1"/>
  <c r="H21" i="1"/>
  <c r="I21" i="1" s="1"/>
  <c r="H20" i="1"/>
  <c r="I20" i="1" s="1"/>
  <c r="H19" i="1"/>
  <c r="H28" i="29"/>
  <c r="I28" i="29" s="1"/>
  <c r="H19" i="29"/>
  <c r="I19" i="29" s="1"/>
  <c r="G20" i="34"/>
  <c r="I19" i="26"/>
  <c r="G21" i="34"/>
  <c r="H20" i="18"/>
  <c r="I20" i="18" s="1"/>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H23" i="1"/>
  <c r="I23" i="1" s="1"/>
  <c r="H24" i="18"/>
  <c r="I24" i="18" s="1"/>
  <c r="I27" i="20"/>
  <c r="I18" i="20"/>
  <c r="I22" i="33"/>
  <c r="H20" i="29"/>
  <c r="I20" i="29" s="1"/>
  <c r="H18" i="1"/>
  <c r="H22" i="1"/>
  <c r="I22" i="1" s="1"/>
  <c r="H28" i="18"/>
  <c r="I28" i="18" s="1"/>
  <c r="H21" i="30"/>
  <c r="H20" i="30"/>
  <c r="I20" i="30" s="1"/>
  <c r="H23" i="18"/>
  <c r="I23" i="18" s="1"/>
  <c r="I23" i="21"/>
  <c r="E17" i="18"/>
  <c r="F17" i="18" s="1"/>
  <c r="I16" i="4"/>
  <c r="H16" i="1"/>
  <c r="I17" i="4"/>
  <c r="H17" i="1"/>
  <c r="E20" i="1"/>
  <c r="F20" i="1"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C28" i="34" s="1"/>
  <c r="D28" i="30"/>
  <c r="D28" i="34" s="1"/>
  <c r="H28" i="30"/>
  <c r="C18" i="30"/>
  <c r="C18" i="34" s="1"/>
  <c r="D18" i="30"/>
  <c r="D18" i="34" s="1"/>
  <c r="H18" i="30"/>
  <c r="C19" i="30"/>
  <c r="C19" i="34" s="1"/>
  <c r="D19" i="30"/>
  <c r="D19" i="34" s="1"/>
  <c r="H19" i="30"/>
  <c r="C23" i="30"/>
  <c r="C23" i="34" s="1"/>
  <c r="D23" i="34"/>
  <c r="H23" i="30"/>
  <c r="I23" i="30" s="1"/>
  <c r="C24" i="30"/>
  <c r="C24" i="34" s="1"/>
  <c r="D24" i="30"/>
  <c r="D24" i="34" s="1"/>
  <c r="H24" i="30"/>
  <c r="C25" i="30"/>
  <c r="C25" i="34" s="1"/>
  <c r="D25" i="30"/>
  <c r="D25" i="34" s="1"/>
  <c r="H25" i="30"/>
  <c r="C26" i="30"/>
  <c r="C26" i="34" s="1"/>
  <c r="D26" i="30"/>
  <c r="D26" i="34" s="1"/>
  <c r="H26" i="30"/>
  <c r="C27" i="30"/>
  <c r="C27" i="34" s="1"/>
  <c r="D27" i="30"/>
  <c r="D27" i="34" s="1"/>
  <c r="H27" i="30"/>
  <c r="C16" i="30"/>
  <c r="D16" i="30"/>
  <c r="C17" i="30"/>
  <c r="D17" i="30"/>
  <c r="C16" i="29"/>
  <c r="D16" i="29"/>
  <c r="C17" i="29"/>
  <c r="D17" i="29"/>
  <c r="C16" i="18"/>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D15" i="34" s="1"/>
  <c r="C15" i="18"/>
  <c r="C15" i="34" s="1"/>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30" i="34" l="1"/>
  <c r="I35" i="30"/>
  <c r="C16" i="34"/>
  <c r="H33" i="34"/>
  <c r="I33" i="34" s="1"/>
  <c r="H34" i="34"/>
  <c r="I34" i="34" s="1"/>
  <c r="D17" i="34"/>
  <c r="E8" i="29"/>
  <c r="F8" i="29" s="1"/>
  <c r="I35" i="34"/>
  <c r="H32" i="34"/>
  <c r="I32" i="34" s="1"/>
  <c r="H29" i="34"/>
  <c r="I29" i="34" s="1"/>
  <c r="H31" i="34"/>
  <c r="I31" i="34" s="1"/>
  <c r="E35" i="34"/>
  <c r="F35" i="34" s="1"/>
  <c r="C17" i="34"/>
  <c r="I30" i="34"/>
  <c r="E16" i="30"/>
  <c r="F16" i="30" s="1"/>
  <c r="E22" i="34"/>
  <c r="F22" i="34" s="1"/>
  <c r="C7" i="34"/>
  <c r="E29" i="34"/>
  <c r="F29" i="34" s="1"/>
  <c r="C6" i="34"/>
  <c r="C14" i="34"/>
  <c r="C13" i="34"/>
  <c r="C12" i="34"/>
  <c r="C11" i="34"/>
  <c r="C10" i="34"/>
  <c r="C9" i="34"/>
  <c r="C8" i="34"/>
  <c r="E21" i="34"/>
  <c r="F21" i="34" s="1"/>
  <c r="E20" i="34"/>
  <c r="F20" i="34" s="1"/>
  <c r="H21" i="34"/>
  <c r="I21" i="34" s="1"/>
  <c r="H22" i="34"/>
  <c r="I22" i="34" s="1"/>
  <c r="H7" i="1"/>
  <c r="I7" i="1" s="1"/>
  <c r="I9" i="3"/>
  <c r="H9" i="1"/>
  <c r="I9" i="1" s="1"/>
  <c r="H12" i="1"/>
  <c r="I12" i="1" s="1"/>
  <c r="I11" i="3"/>
  <c r="H11" i="1"/>
  <c r="I11" i="1" s="1"/>
  <c r="H20" i="34"/>
  <c r="I20" i="34" s="1"/>
  <c r="H5" i="1"/>
  <c r="I5" i="1" s="1"/>
  <c r="H6" i="1"/>
  <c r="I6" i="1" s="1"/>
  <c r="E14" i="29"/>
  <c r="F14" i="29" s="1"/>
  <c r="I8" i="3"/>
  <c r="H8" i="1"/>
  <c r="I8" i="1" s="1"/>
  <c r="I4" i="3"/>
  <c r="H4" i="1"/>
  <c r="D16" i="34"/>
  <c r="H13" i="1"/>
  <c r="I13" i="1" s="1"/>
  <c r="H14" i="1"/>
  <c r="I14" i="1" s="1"/>
  <c r="I22" i="30"/>
  <c r="H10" i="1"/>
  <c r="I10" i="1" s="1"/>
  <c r="D10" i="34"/>
  <c r="D7" i="34"/>
  <c r="I21" i="30"/>
  <c r="C5" i="34"/>
  <c r="E13" i="30"/>
  <c r="F13" i="30" s="1"/>
  <c r="D11" i="34"/>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C2" i="1"/>
  <c r="E2" i="3"/>
  <c r="F2" i="3" s="1"/>
  <c r="E4" i="1"/>
  <c r="F4" i="1" s="1"/>
  <c r="D2" i="1"/>
  <c r="E2" i="33"/>
  <c r="F2" i="33" s="1"/>
  <c r="E2" i="32"/>
  <c r="F2" i="32" s="1"/>
  <c r="E2" i="31"/>
  <c r="F2" i="31" s="1"/>
  <c r="E2" i="27"/>
  <c r="F2" i="27" s="1"/>
  <c r="E2" i="26"/>
  <c r="F2" i="26" s="1"/>
  <c r="E2" i="19"/>
  <c r="F2" i="19" s="1"/>
  <c r="E2" i="21"/>
  <c r="F2" i="21" s="1"/>
  <c r="E2" i="4"/>
  <c r="F2" i="4" s="1"/>
  <c r="E17" i="34" l="1"/>
  <c r="F17" i="34" s="1"/>
  <c r="E12" i="34"/>
  <c r="F12" i="34" s="1"/>
  <c r="E11" i="34"/>
  <c r="F11" i="34" s="1"/>
  <c r="E7" i="34"/>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<sst xmlns="http://schemas.openxmlformats.org/spreadsheetml/2006/main" count="539" uniqueCount="242">
  <si>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</si>
  <si>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</si>
  <si>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</si>
  <si>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</si>
  <si>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</si>
  <si>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</si>
  <si>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</si>
  <si>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</si>
  <si>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</si>
  <si>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</si>
  <si>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</si>
  <si>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</si>
  <si>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</si>
  <si>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</si>
  <si>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</si>
  <si>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</si>
  <si>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</si>
  <si>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</si>
  <si>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</si>
  <si>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</si>
  <si>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</si>
  <si>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</si>
  <si>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Stauts</t>
  </si>
  <si>
    <t>1. The site production was low on 01/07,01/10.01/14,01/17,01/18,01/22,01/25 to 01/31 due to snow.</t>
  </si>
  <si>
    <t>1. The site production was low on 01/07,01/08,01/10,01/14,01/17,01/18 to 01/21,01/25 to 01/27 due to snow.
2. Meter phase C current was reported zero from  11:00 on 01/09 to 10: 00 on 01/11.</t>
  </si>
  <si>
    <t>2. SR114368</t>
  </si>
  <si>
    <t>2. Closed</t>
  </si>
  <si>
    <t>1.  Inverter 17 was derating by approximately 20 kW for the whole month. The inverter powerhead is being RMA’d.
2. Inverter 5 went offline at 07:00 on 12/19 and reported a “Bus hardware overvoltage fault – Fault0020” after technician replaced the inverter is back online at 07:00 on 01/04.
3. Inverter 31 was offline at 07:00 on 01/17 and is reporting "bus hardware overvoltage fault - Fault0020". The inverter powerhead is being RMA’d.
4. Inverter 24 was offline at 07:00 on 01/30 and is reporting "bus hardware overvoltage fault - Fault0020". The inverter powerhead is being RMA’d.
5. Inverter 1 was underproducing by 30kW and Inverter 2 was underproducing by 20kW and inverter 3 was underproducing by 13kW compared to peers for whole month due to seasonal shading</t>
  </si>
  <si>
    <t>1. SR104730, SR114162
2. SR113187
3. SR114778
4. SR115644</t>
  </si>
  <si>
    <t xml:space="preserve">1.Pending
2. Closed
3. Work in progress
4. Work in progress
</t>
  </si>
  <si>
    <t>SR114162</t>
  </si>
  <si>
    <t>SR113187</t>
  </si>
  <si>
    <t>SR114778</t>
  </si>
  <si>
    <t>SR115644</t>
  </si>
  <si>
    <t>1. Inverter 36 has tripped offline from 01/18 and reporting "sampling offset of output current error" after technician replaced the inverter powerhead is back online at 09:30 on 01/30.
2. Inverter 66 was offline at 12:45 on 01/25 and reporting "Bus differential high fault - Fault0110" and back online at 08:30 on 01/27.
3. Site production was low from 01/17 to 01/22 and 01/25 to 01/31 due to snow</t>
  </si>
  <si>
    <t>1. SR114779
2. SR115352</t>
  </si>
  <si>
    <t>1. Closed
2. Closed</t>
  </si>
  <si>
    <t>SR115352</t>
  </si>
  <si>
    <t>1. The site went offline at 11:15 on 01/15 due to an open recloser. After the technician closed the recloser, the site was back online at 12:00 on 01/17.</t>
  </si>
  <si>
    <t>1. SR114607</t>
  </si>
  <si>
    <t>1. Completed</t>
  </si>
  <si>
    <t>1. Inverter 11 has been offline since 07:45 on 11/06 and remained offline for the whole month. Parts replacement is pending.
2. Inverter 8 has been offline since 11/24 and remained offline for the entire month. Parts replacement is pending.
3. Inverter 4 was derated to 4kW from 12/13.
4. Inverter 6 tripped offline at 07:00 on 01/19 and came back online at 12:15 on 01/20. It tripped offline again at 11:45 on 01/27, reporting ‘Excessive Leakage Current Inverter Faults Detected,’ and returned online at 07:00 on 01/28. Additionally, the inverter experienced intermittent tripping throughout the month.</t>
  </si>
  <si>
    <t>1. SR108955
2. SR111324
3. SR113395
4. SR115390</t>
  </si>
  <si>
    <t>1. Closed
2. Closed
3. Closed
4. Closed</t>
  </si>
  <si>
    <t>SR111324</t>
  </si>
  <si>
    <t>SR113395</t>
  </si>
  <si>
    <t>SR115390</t>
  </si>
  <si>
    <t>1. The site production was low on 01/01,01/02,01/07,01/08,01/14,01/17,01/18 to 01/22,01/25 to 01/27 due to snow.</t>
  </si>
  <si>
    <t>1. The site production was low on 01/01,01/02,01/05,01/07,01/10,01/14,01/17 to 01/19, 01/22,01/25 to 01/31 due to snow.</t>
  </si>
  <si>
    <t>1. Inverters 8,9,11,12,13,14,15 and 16 are tripped offline at 11:00 on 01/11 and reporting "Waiting for grid voltage &gt; Grid failure" after technician reset the breaker inverter is back online at 14:30 on 01/12.
2. String 39-5 and 6 were offline for whole month.
3. All inverters have morning and evening shading issue.
4. Weather station reporting erroneous values since 12/03.</t>
  </si>
  <si>
    <t>1. SR114389
2. SR099765</t>
  </si>
  <si>
    <t>1. Closed</t>
  </si>
  <si>
    <t>SR099765</t>
  </si>
  <si>
    <t>1. Inverter 12 parts being RMA'd.
2. Inverter 16 being RMA'd
3. Inverter 66 was offline at 07:00 on 01/07 and reporting "Insulation Resistance Low - Isolation Err" and back online at 07:00 on 01/08.
4. All inverters have seasonal shading.
5. Site production was low from 01/17 to 01/22 and 01/25 to 01/31 due to snow</t>
  </si>
  <si>
    <t>1. SR097799
2. SR095816, SR107405
3. SR114257</t>
  </si>
  <si>
    <t>1. Pending
2. Pending
3. Closed</t>
  </si>
  <si>
    <t>SR095816</t>
  </si>
  <si>
    <t>SR107405</t>
  </si>
  <si>
    <t>SR114257</t>
  </si>
  <si>
    <t>1. Site was offline at 22:15 on 01/02 after technician resetting the GFCI breaker is back online at 14:30 on 01/03.
2. The inverter had a delayed start most of the days in a month.
3. Site production was low from 01/17 to 01/22 and 01/25 to 01/31 due to snow</t>
  </si>
  <si>
    <t>1. SR114054
2. SR112266</t>
  </si>
  <si>
    <t>SR112266</t>
  </si>
  <si>
    <t>N/A</t>
  </si>
  <si>
    <t>1. Inverter 6 parts being RMA'd
2. Inverter 2 and 5 were down a string  for whole month.
3. Site was barely producing from 01/17 to 01/31 due to snow.</t>
  </si>
  <si>
    <t>1. SR109200
2. SR103770</t>
  </si>
  <si>
    <t xml:space="preserve">1. Pending
2. Pending
</t>
  </si>
  <si>
    <t>SR103770</t>
  </si>
  <si>
    <t>1. Inverters have seasonal shading.
2. Site was barely producing from 01/17 to 01/31 due to snow.</t>
  </si>
  <si>
    <t>1. Inverter 4 was offline at 07:00 on 01/15 and later self resolved and back online at 07:00 on 01/17.
2. Site was barely producing from 01/17 to 01/31 due to snow.</t>
  </si>
  <si>
    <t>1. SR114583</t>
  </si>
  <si>
    <t>1. Inverter 1 being RMA'd.
2. Inverters have seasonal shading
3.  Site was barely producing from 01/17 to 01/31 due to snow.</t>
  </si>
  <si>
    <t>1. SR105297, SR109203</t>
  </si>
  <si>
    <t>1. Pending</t>
  </si>
  <si>
    <t>SR109203</t>
  </si>
  <si>
    <t>1. Inverter 61 remained offline throughout the month.
2. Inverter 69 tripped offline at 13:30 on 10/03 and reporting "Inverter open-loop self-test fault" and it's under RMA'd.
3.No communication to DAS from 17:30 on 10/09 and resumed it's communication 11:30 on 01/02 the total data from 10/09 was backfilled on 01/02 due to that the total actual energy was high. 
4.  Site was barely producing from 01/17 to 01/31 due to snow.</t>
  </si>
  <si>
    <t>1. SR097795
2. SR109010, SR109201
3. SR109391</t>
  </si>
  <si>
    <t>1. Denied
2. pending
3. Pending</t>
  </si>
  <si>
    <t>SR109010</t>
  </si>
  <si>
    <t>SR109201</t>
  </si>
  <si>
    <t>SR109391</t>
  </si>
  <si>
    <t>1. Inverters 5 to 8 was offline on 01/04 later self resolved and back online at 07:00 on 01/05.
2. Site production was low from 01/17 to 01/22 and 01/25 to 01/31 due to snow</t>
  </si>
  <si>
    <t>1. Inverter 1 has been underperforming by 13 kW since 09/08/25, possibly due to a string being down.
2. Pad 2 Phase B voltage reading was zero, which appeared to be affecting production by approximately 20% since 07/16. After the technician replaced a blown fuse, the site is producing as expected.
3. The site was offline at 02:45 on 01/11 due to maintenance work. After the technician reset the site, it was back online at 12:00 on 01/22.</t>
  </si>
  <si>
    <t>1. SR107644
2. SR111056, SR112075
3. SR114387</t>
  </si>
  <si>
    <t>1. Pending
2. Closed
3. Closed</t>
  </si>
  <si>
    <t>SR111056</t>
  </si>
  <si>
    <t>SR112075</t>
  </si>
  <si>
    <t>SR114387</t>
  </si>
  <si>
    <t>1. Inverter 12 was offline at 07:00 on 01/02 and reporting "Bus differential high fault - Fault0110" and back online at 07:00 on 01/03. additionally inverter is offline on 01/04,01/07,01/08,01/11,01/15,01/21,01/22 and 01/28.
2. Inverters 56 and 74 are offline on 01/04, reporting "Bus Imbalance - Protect0070" &amp; "Bus differential high fault - Fault0110" and back online at 07:00 01/05. and agin tripped offline at 07:00 on 01/17 with smae faulit and tripping on and off most of the days through out the month. this inverters are currently under RMA'd.
3. Site production was low from 01/17 to 01/22 and 01/25 to 01/31 due to snow</t>
  </si>
  <si>
    <t>1. SR114040
2. SR114715</t>
  </si>
  <si>
    <t>1. Closed
2. Pending</t>
  </si>
  <si>
    <t>SR114715</t>
  </si>
  <si>
    <t>1. Pad 2 inverters (2.1 to 2.3) are offline at 07:00 on 01/07 and reporting "AC disconnect" later after remote reset inverter is back online at 13:05 on 01/07.
2. Site production was low from 01/17 to 01/22 and 01/25 to 01/31 due to snow</t>
  </si>
  <si>
    <t>1. SR114235</t>
  </si>
  <si>
    <t>1.  Inverter 15 was offline at 07:00 on 01/06 and reporting "Insulation resistance low". inverter is under RMA'd.
2. Site production was low from 01/17 to 01/22 and 01/25 to 01/31 due to snow</t>
  </si>
  <si>
    <t>1. SR114314</t>
  </si>
  <si>
    <t>1. Inverter 9 went offline at 07:00 on 11/19, reporting 'Bus sum high fault - Fault 0130,' and it is currently under RMA.
2.  Inverter 14 went offline at 07:00 on 10/22, reporting 'Relay fault - Fault0100 Grid Relay Error - Protect0020,' and it is currently under RMA.
3.  Inverter 2 went offline at 07:00 on 05/25, reporting 'Bus(sum) over voltage fault,' and it is currently under RMA.
4. Site production was low from 01/17 to 01/22 and 01/25 to 01/31 due to snow</t>
  </si>
  <si>
    <t>1. SR111328
2. SR109835, SR110016
3. SR101916, SR109206</t>
  </si>
  <si>
    <t>1. Pending
2. Pending
3. Pending</t>
  </si>
  <si>
    <t>SR109835</t>
  </si>
  <si>
    <t>SR110016</t>
  </si>
  <si>
    <t>SR101916</t>
  </si>
  <si>
    <t>SR109206</t>
  </si>
  <si>
    <t>1. Inverter 29 tripped offline at 07:00 on 01/09 and reported the fault: “Bus transient voltage is high.” It remained offline for the rest of the month.
2. Site production was low on 01/14, 01/17 to 01/22 and 01/25 to 01/31 due to snow</t>
  </si>
  <si>
    <t>1. SR115516</t>
  </si>
  <si>
    <t>1. Inverter 2 tripping on and off throughout the month. The inverter is currently under RMA'd.
2. All inverters tripped offline at 09:15 on 01/03 and reported “Grid voltage unbalance.” Later, self resolved and all inverters back online at 14:15 on 01/03.
3. Site production was low from 01/01 to 01/10, 01/17 to 01/22 and 01/25 to 01/31 due to snow</t>
  </si>
  <si>
    <t>1. SR113313
2. SR114055</t>
  </si>
  <si>
    <t>SR114055</t>
  </si>
  <si>
    <t>1. The site production was low on 01/02,01/07,01/09,01/10,01/14,01/18,01/25 to 01/26 due to snow.</t>
  </si>
  <si>
    <t>1. SR115243</t>
  </si>
  <si>
    <t>1. Work in progress.</t>
  </si>
  <si>
    <t>1. Inverter 21 was LOTO'd and is currently under RMA.
2. Site production was low on 01/14, 01/17 to 01/22 and 01/25 to 01/31 due to snow</t>
  </si>
  <si>
    <t>2. SR107959, SR108028</t>
  </si>
  <si>
    <r>
      <rPr>
        <sz val="10"/>
        <color rgb="FF000000"/>
        <rFont val="Calibri"/>
      </rPr>
      <t>1</t>
    </r>
    <r>
      <rPr>
        <sz val="11"/>
        <color rgb="FF000000"/>
        <rFont val="Calibri"/>
      </rPr>
      <t>. pending</t>
    </r>
  </si>
  <si>
    <t>SR108028</t>
  </si>
  <si>
    <t>1. inverter 12 was offline at 07:00 on 01/01, later self resolved and back online at 11:00 on 01/03.
2. Site production was low on 01/14, 01/17 to 01/22 and 01/25 to 01/31 due to snow</t>
  </si>
  <si>
    <t>1. SR114042</t>
  </si>
  <si>
    <t>1. All inverters were offline at 07:00 on 01/12 and reported “Grid Line Voltage Out of Range (GridV.OutLim).” Additionally, the meter stopped communicating at 22:00 on 01/11. Later, the technician closed the recloser, and the site was back online at 07:00 on 01/13.
2. Site production was low on 01/14, 01/17 to 01/22 and 01/25 to 01/31 due to snow</t>
  </si>
  <si>
    <t>1. SR114468</t>
  </si>
  <si>
    <t>1. The inverter 3 was tripping on and off throughout the month and has been placed under RMA.
2. Site production was low on 01/14, 01/17 to 01/22 and 01/25 to 01/31 due to snow</t>
  </si>
  <si>
    <t xml:space="preserve">1. SR112900, SR113085
</t>
  </si>
  <si>
    <t>1. pending</t>
  </si>
  <si>
    <t>SR113085</t>
  </si>
  <si>
    <t>1. Inverter 18 has been offline since 04/09/25 and is currently under RMA.
2. Inverter 5 has been offline since 12:00 on 06/29 and is currently under RMA.
3. Inverter 27 has been offline since 15:00 on 07/04 and is currently under RMA.
4. Inverter 16 has been offline since 14:00 on 08/05 and is currently under RMA.
5. Inverter 11 tripped offline at 09:00 on 09/01 and reporting Bus(sum) over voltage fault (Fault0130) and is currently under RMA.
6. The 24 inverter has been tripping on and off throughout the month and is currently under RMA.
7. Inverter 7 has been tripping on and off for the whole month. Currently under RMA.
8. Inverter 4 has been tripping on and off for the whole month.</t>
  </si>
  <si>
    <t>1. SR099815, SR099920
2. SR103531, SR109204
3. SR104024,SR111353
4. SR105724, SR105808
5. SR107262, SR109205
6. SR099298
7. SR109610
8. SR111511,  SR112408, SR110794</t>
  </si>
  <si>
    <t>1. Pending
2. Pending
3. pending
4. pending
5. pending
6. pending
7. Closed
8. Closed</t>
  </si>
  <si>
    <t>SR099920</t>
  </si>
  <si>
    <t>SR103531</t>
  </si>
  <si>
    <t>SR109204</t>
  </si>
  <si>
    <t>SR104024</t>
  </si>
  <si>
    <t>SR111353</t>
  </si>
  <si>
    <t>SR105724</t>
  </si>
  <si>
    <t>SR105808</t>
  </si>
  <si>
    <t>SR107262</t>
  </si>
  <si>
    <t>SR109205</t>
  </si>
  <si>
    <t>SR099298</t>
  </si>
  <si>
    <t>SR109610</t>
  </si>
  <si>
    <t>SR111511</t>
  </si>
  <si>
    <t>SR112408</t>
  </si>
  <si>
    <t>SR110794</t>
  </si>
  <si>
    <t>1. Inverter 40 went offline at 07:00 on 01/02, reporting an arc fault. After the technician reset the fault, the inverter was back online at 13:45 on 01/06.
2. All inverters tripped offline at 10:00 on 01/11 and reported “Grid Line Voltage Out of Range (GridV.OutLim).” Additionally, the meter stopped communicating at 01:00 on 01/12. Later, the technician closed the recloser, and the site was back online at 09:00 on 01/13.
3. Inverter 7 was offline at 07:00 on 01/13, reporting arc protection. After the technician reset the fault, the inverter was back online at 09:15 on 01/14.
4. All inverters tripped offline at 12:00 on 01/15, reporting “Grid Line Voltage Out of Range (GridV.OutLim).” Later, the technician closed the recloser, and the site was back online at 14:00 on 01/15.</t>
  </si>
  <si>
    <t>1. SR114043
2. SR114467
3. SR114515
4. SR114610</t>
  </si>
  <si>
    <t>SR114467</t>
  </si>
  <si>
    <t>SR114515</t>
  </si>
  <si>
    <t>SR114610</t>
  </si>
  <si>
    <t>1. The meter and weather station stopped communicating at 07:00 on 11/23, and later resumed its communication at 12:45 on 01/09. The actual value was taken from inverters.</t>
  </si>
  <si>
    <t>1. SR111499</t>
  </si>
  <si>
    <t>February Actual v. Expected</t>
  </si>
  <si>
    <t>February Actual v. Forecasted</t>
  </si>
  <si>
    <t>March Actual v. Expected</t>
  </si>
  <si>
    <t>March Actual v. Forecasted</t>
  </si>
  <si>
    <t>SR098679</t>
  </si>
  <si>
    <t>SR098821</t>
  </si>
  <si>
    <t>April Actual v. Expected</t>
  </si>
  <si>
    <t>April Actual v. Forecasted</t>
  </si>
  <si>
    <t>SR100159</t>
  </si>
  <si>
    <t>May Actual v. Expected</t>
  </si>
  <si>
    <t>May Actual v. Forecasted</t>
  </si>
  <si>
    <t>SR100982</t>
  </si>
  <si>
    <t>SR101104</t>
  </si>
  <si>
    <t>June Actual v. Expected</t>
  </si>
  <si>
    <t>June Actual v. Forecasted</t>
  </si>
  <si>
    <t xml:space="preserve"> </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</si>
  <si>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</si>
  <si>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</si>
  <si>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</si>
  <si>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</si>
  <si>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</si>
  <si>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</si>
  <si>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</si>
  <si>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</si>
  <si>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Status</t>
  </si>
  <si>
    <t>November Actual v. Expected</t>
  </si>
  <si>
    <t>November Actual v. Forecasted</t>
  </si>
  <si>
    <t>December Actual v. Expected</t>
  </si>
  <si>
    <t>December Actual v. Forecasted</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</si>
  <si>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</si>
  <si>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</si>
  <si>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</si>
  <si>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</si>
  <si>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</si>
  <si>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</si>
  <si>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</si>
  <si>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</si>
  <si>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</si>
  <si>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</si>
  <si>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</si>
  <si>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</si>
  <si>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</si>
  <si>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</si>
  <si>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</si>
  <si>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</si>
  <si>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</si>
  <si>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</si>
  <si>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</si>
  <si>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</si>
  <si>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</si>
  <si>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</si>
  <si>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</si>
  <si>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</si>
  <si>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</si>
  <si>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</si>
  <si>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</si>
  <si>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</si>
  <si>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</si>
  <si>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</si>
  <si>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</si>
  <si>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</si>
  <si>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</si>
  <si>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</si>
  <si>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</si>
  <si>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</si>
  <si>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</si>
  <si>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</si>
  <si>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</si>
  <si>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</si>
  <si>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</si>
  <si>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</si>
  <si>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</si>
  <si>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</si>
  <si>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</si>
  <si>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</si>
  <si>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</si>
  <si>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</si>
  <si>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</si>
  <si>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</si>
  <si>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</si>
  <si>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</si>
  <si>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</si>
  <si>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</si>
  <si>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</si>
  <si>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</si>
  <si>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</si>
  <si>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</si>
  <si>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</si>
  <si>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</si>
  <si>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</si>
  <si>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</si>
  <si>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</si>
  <si>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</si>
  <si>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</si>
  <si>
    <t>Moores Hill</t>
  </si>
  <si>
    <t>NY: New Windsor - Moores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</si>
</sst>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242424"/>
      <name val="Aptos Narrow"/>
      <family val="2"/>
    </font>
    <font>
      <u val="double"/>
      <sz val="10"/>
      <name val="Calibri"/>
      <family val="2"/>
    </font>
    <font>
      <u/>
      <sz val="10"/>
      <color theme="10"/>
      <name val="Arial"/>
      <family val="2"/>
    </font>
    <font>
      <b/>
      <sz val="11"/>
      <color rgb="FFFFFFFF"/>
      <name val="Calibri"/>
      <family val="2"/>
      <scheme val="minor"/>
    </font>
    <font>
      <sz val="11"/>
      <color rgb="FF000000"/>
      <name val="Calibri"/>
      <family val="2"/>
      <scheme val="minor"/>
    </font>
    <font>
      <sz val="11"/>
      <name val="Calibri"/>
      <family val="2"/>
      <scheme val="minor"/>
    </font>
    <font>
      <b/>
      <sz val="12"/>
      <name val="Calibri"/>
      <family val="2"/>
      <scheme val="minor"/>
    </font>
    <font>
      <b/>
      <sz val="12"/>
      <color rgb="FFFF0000"/>
      <name val="Calibri"/>
      <family val="2"/>
      <scheme val="minor"/>
    </font>
    <font>
      <sz val="10"/>
      <name val="Calibri"/>
      <family val="2"/>
      <scheme val="minor"/>
    </font>
    <font>
      <sz val="11"/>
      <color rgb="FF242424"/>
      <name val="Calibri"/>
      <family val="2"/>
      <scheme val="minor"/>
    </font>
    <font>
      <b/>
      <sz val="11"/>
      <name val="Calibri"/>
      <family val="2"/>
      <scheme val="minor"/>
    </font>
    <font>
      <u/>
      <sz val="11"/>
      <color theme="10"/>
      <name val="Calibri"/>
      <family val="2"/>
      <scheme val="minor"/>
    </font>
    <font>
      <sz val="10"/>
      <color rgb="FF000000"/>
      <name val="Calibri"/>
      <family val="2"/>
    </font>
    <font>
      <sz val="11"/>
      <color rgb="FF000000"/>
      <name val="Calibri"/>
    </font>
    <font>
      <sz val="10"/>
      <color rgb="FF000000"/>
      <name val="Calibri"/>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2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0" fillId="0" borderId="0" xfId="0" applyAlignment="1">
      <alignment horizontal="center" wrapText="1"/>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35" fillId="40" borderId="0" xfId="0" applyFont="1" applyFill="1" applyAlignment="1">
      <alignment horizontal="left"/>
    </xf>
    <xf numFmtId="0" fontId="28" fillId="0" borderId="0" xfId="0" applyFont="1" applyAlignment="1">
      <alignment horizontal="left" vertical="center"/>
    </xf>
    <xf numFmtId="0" fontId="3" fillId="0" borderId="0" xfId="0" applyFont="1"/>
    <xf numFmtId="0" fontId="23" fillId="0" borderId="0" xfId="43" applyFont="1"/>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3" fontId="31" fillId="4" borderId="0" xfId="1" applyNumberFormat="1" applyFont="1" applyFill="1" applyAlignment="1">
      <alignment vertical="center"/>
    </xf>
    <xf numFmtId="3" fontId="31" fillId="0" borderId="0" xfId="1" applyNumberFormat="1" applyFont="1" applyAlignment="1">
      <alignment vertical="center"/>
    </xf>
    <xf numFmtId="164" fontId="29" fillId="44" borderId="0" xfId="1" applyNumberFormat="1" applyFont="1" applyFill="1" applyAlignment="1">
      <alignment horizontal="center" vertical="center"/>
    </xf>
    <xf numFmtId="9" fontId="31" fillId="0" borderId="0" xfId="2" applyFont="1" applyAlignment="1">
      <alignment horizontal="center" vertical="center"/>
    </xf>
    <xf numFmtId="9" fontId="31" fillId="3" borderId="0" xfId="2" applyFont="1" applyFill="1" applyAlignment="1">
      <alignment horizontal="center" vertical="center"/>
    </xf>
    <xf numFmtId="9" fontId="31" fillId="37" borderId="0" xfId="2" applyFont="1" applyFill="1" applyAlignment="1">
      <alignment horizontal="center" vertical="center"/>
    </xf>
    <xf numFmtId="0" fontId="35" fillId="40" borderId="0" xfId="0" applyFont="1" applyFill="1" applyAlignment="1">
      <alignment horizontal="center" vertical="center"/>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top"/>
    </xf>
    <xf numFmtId="164" fontId="29" fillId="0" borderId="0" xfId="1" applyNumberFormat="1" applyFont="1" applyAlignment="1">
      <alignment horizontal="center" vertical="center"/>
    </xf>
    <xf numFmtId="49" fontId="36" fillId="38" borderId="0" xfId="2" applyNumberFormat="1" applyFont="1" applyFill="1" applyBorder="1" applyAlignment="1">
      <alignment vertical="top" wrapText="1"/>
    </xf>
    <xf numFmtId="0" fontId="37" fillId="0" borderId="0" xfId="0" applyFont="1"/>
    <xf numFmtId="0" fontId="35" fillId="40" borderId="0" xfId="0" applyFont="1" applyFill="1" applyAlignment="1">
      <alignment horizontal="left" vertical="center"/>
    </xf>
    <xf numFmtId="0" fontId="23" fillId="0" borderId="0" xfId="43" applyFont="1" applyAlignment="1">
      <alignment horizontal="left" wrapText="1"/>
    </xf>
    <xf numFmtId="0" fontId="23" fillId="0" borderId="0" xfId="43" applyFont="1" applyAlignment="1">
      <alignment horizontal="left" vertical="center"/>
    </xf>
    <xf numFmtId="9" fontId="31" fillId="0" borderId="0" xfId="2" applyFont="1" applyBorder="1" applyAlignment="1">
      <alignment horizontal="center" vertical="center"/>
    </xf>
    <xf numFmtId="0" fontId="38" fillId="0" borderId="0" xfId="0" applyFont="1"/>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49" fontId="36" fillId="38" borderId="0" xfId="2" applyNumberFormat="1" applyFont="1" applyFill="1" applyBorder="1" applyAlignment="1">
      <alignment horizontal="left" vertical="top" wrapText="1"/>
    </xf>
    <xf numFmtId="49" fontId="39" fillId="38" borderId="0" xfId="45" applyNumberFormat="1" applyFill="1" applyBorder="1" applyAlignment="1">
      <alignment vertical="top" wrapText="1"/>
    </xf>
    <xf numFmtId="49" fontId="39" fillId="0" borderId="0" xfId="45" applyNumberFormat="1" applyAlignment="1">
      <alignment horizontal="left" vertical="top" wrapText="1"/>
    </xf>
    <xf numFmtId="49" fontId="39" fillId="0" borderId="0" xfId="45" applyNumberFormat="1" applyAlignment="1">
      <alignment vertical="top" wrapText="1"/>
    </xf>
    <xf numFmtId="49" fontId="39" fillId="0" borderId="0" xfId="45" applyNumberFormat="1" applyAlignment="1">
      <alignment vertical="center" wrapText="1"/>
    </xf>
    <xf numFmtId="0" fontId="0" fillId="0" borderId="0" xfId="0" applyAlignment="1">
      <alignment horizontal="left" vertical="top"/>
    </xf>
    <xf numFmtId="0" fontId="39" fillId="0" borderId="0" xfId="45" applyAlignment="1">
      <alignment horizontal="left" vertical="top"/>
    </xf>
    <xf numFmtId="49" fontId="39" fillId="46" borderId="0" xfId="45" applyNumberFormat="1" applyFill="1" applyAlignment="1">
      <alignment vertical="center" wrapText="1"/>
    </xf>
    <xf numFmtId="49" fontId="39" fillId="46" borderId="0" xfId="45" applyNumberFormat="1" applyFill="1" applyAlignment="1">
      <alignment horizontal="left" vertical="top" wrapText="1"/>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49" fontId="39" fillId="38" borderId="0" xfId="45" applyNumberFormat="1" applyFill="1" applyAlignment="1">
      <alignment vertical="top" wrapText="1"/>
    </xf>
    <xf numFmtId="0" fontId="39" fillId="0" borderId="0" xfId="45"/>
    <xf numFmtId="0" fontId="39" fillId="46" borderId="0" xfId="45" applyFill="1" applyAlignment="1">
      <alignment horizontal="left" vertical="top"/>
    </xf>
    <xf numFmtId="0" fontId="23" fillId="0" borderId="0" xfId="43" applyFont="1" applyAlignment="1">
      <alignment horizontal="center" vertical="center"/>
    </xf>
    <xf numFmtId="0" fontId="24" fillId="0" borderId="0" xfId="0" applyFont="1" applyAlignment="1">
      <alignment horizontal="right"/>
    </xf>
    <xf numFmtId="0" fontId="23" fillId="0" borderId="11" xfId="0" applyFont="1" applyBorder="1"/>
    <xf numFmtId="0" fontId="40" fillId="2" borderId="1" xfId="0" applyFont="1" applyFill="1" applyBorder="1" applyAlignment="1">
      <alignment horizontal="center" vertical="center" wrapText="1"/>
    </xf>
    <xf numFmtId="0" fontId="41" fillId="40" borderId="0" xfId="0" applyFont="1" applyFill="1" applyAlignment="1">
      <alignment horizontal="center" vertical="center"/>
    </xf>
    <xf numFmtId="0" fontId="42" fillId="0" borderId="0" xfId="0" applyFont="1"/>
    <xf numFmtId="0" fontId="43" fillId="0" borderId="0" xfId="0" applyFont="1" applyAlignment="1">
      <alignment vertical="center"/>
    </xf>
    <xf numFmtId="0" fontId="44" fillId="0" borderId="0" xfId="0" applyFont="1" applyAlignment="1">
      <alignment vertical="center"/>
    </xf>
    <xf numFmtId="0" fontId="43" fillId="45" borderId="1" xfId="0" applyFont="1" applyFill="1" applyBorder="1" applyAlignment="1">
      <alignment horizontal="center" vertical="center"/>
    </xf>
    <xf numFmtId="0" fontId="45" fillId="0" borderId="0" xfId="0" applyFont="1"/>
    <xf numFmtId="0" fontId="46" fillId="0" borderId="0" xfId="0" applyFont="1"/>
    <xf numFmtId="0" fontId="46" fillId="47" borderId="0" xfId="0" applyFont="1" applyFill="1"/>
    <xf numFmtId="0" fontId="47" fillId="0" borderId="0" xfId="0" applyFont="1" applyAlignment="1">
      <alignment vertical="top"/>
    </xf>
    <xf numFmtId="0" fontId="47" fillId="45" borderId="1" xfId="0" applyFont="1" applyFill="1" applyBorder="1" applyAlignment="1">
      <alignment horizontal="center" vertical="top"/>
    </xf>
    <xf numFmtId="49" fontId="48" fillId="38" borderId="0" xfId="45" applyNumberFormat="1" applyFont="1" applyFill="1" applyBorder="1" applyAlignment="1">
      <alignment vertical="top" wrapText="1"/>
    </xf>
    <xf numFmtId="0" fontId="42" fillId="0" borderId="0" xfId="0" applyFont="1" applyAlignment="1">
      <alignment vertical="top"/>
    </xf>
    <xf numFmtId="0" fontId="6" fillId="0" borderId="0" xfId="0" applyFont="1" applyAlignment="1">
      <alignment vertical="top"/>
    </xf>
    <xf numFmtId="0" fontId="6" fillId="45" borderId="1" xfId="0" applyFont="1" applyFill="1" applyBorder="1" applyAlignment="1">
      <alignment horizontal="center" vertical="top"/>
    </xf>
    <xf numFmtId="0" fontId="33" fillId="0" borderId="0" xfId="0" applyFont="1" applyAlignment="1">
      <alignment vertical="top"/>
    </xf>
    <xf numFmtId="0" fontId="0" fillId="0" borderId="0" xfId="0" applyAlignment="1">
      <alignment vertical="top"/>
    </xf>
    <xf numFmtId="0" fontId="34" fillId="0" borderId="0" xfId="0" applyFont="1" applyAlignment="1">
      <alignment vertical="top"/>
    </xf>
    <xf numFmtId="0" fontId="49" fillId="0" borderId="0" xfId="0" applyFont="1"/>
    <xf numFmtId="0" fontId="33" fillId="0" borderId="0" xfId="0" applyFont="1" applyAlignment="1">
      <alignment wrapText="1"/>
    </xf>
    <xf numFmtId="0" fontId="33" fillId="0" borderId="0" xfId="0" applyFont="1" applyAlignment="1">
      <alignment vertical="top" wrapText="1"/>
    </xf>
    <xf numFmtId="49" fontId="39" fillId="38" borderId="0" xfId="45" applyNumberFormat="1" applyFill="1" applyBorder="1" applyAlignment="1">
      <alignment horizontal="left" vertical="top" wrapText="1"/>
    </xf>
    <xf numFmtId="0" fontId="39" fillId="0" borderId="0" xfId="45" applyAlignment="1">
      <alignment vertical="top" wrapText="1"/>
    </xf>
    <xf numFmtId="0" fontId="39" fillId="0" borderId="0" xfId="45" applyAlignment="1">
      <alignment vertical="top"/>
    </xf>
    <xf numFmtId="0" fontId="1" fillId="0" borderId="0" xfId="0" applyFont="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vertical="top" wrapText="1"/>
    </xf>
    <xf numFmtId="49" fontId="1" fillId="0" borderId="0" xfId="0" applyNumberFormat="1" applyFont="1" applyAlignment="1">
      <alignment horizontal="left" vertical="top" wrapText="1"/>
    </xf>
    <xf numFmtId="0" fontId="36" fillId="0" borderId="0" xfId="0" applyFont="1" applyAlignment="1">
      <alignment vertical="top"/>
    </xf>
    <xf numFmtId="0" fontId="36" fillId="0" borderId="0" xfId="0" applyFont="1" applyAlignment="1">
      <alignment vertical="top" wrapText="1"/>
    </xf>
    <xf numFmtId="0" fontId="36" fillId="0" borderId="0" xfId="0" applyFont="1"/>
    <xf numFmtId="0" fontId="24" fillId="0" borderId="0" xfId="0" applyFont="1"/>
    <xf numFmtId="0" fontId="24" fillId="0" borderId="0" xfId="0" applyFont="1" applyAlignment="1">
      <alignment wrapText="1"/>
    </xf>
    <xf numFmtId="0" fontId="24" fillId="0" borderId="0" xfId="0" applyFont="1" applyAlignment="1">
      <alignment vertical="top"/>
    </xf>
    <xf numFmtId="0" fontId="51" fillId="0" borderId="0" xfId="0" applyFont="1"/>
    <xf numFmtId="0" fontId="50" fillId="0" borderId="0" xfId="0" applyFont="1" applyAlignment="1">
      <alignment wrapText="1"/>
    </xf>
    <xf numFmtId="0" fontId="50" fillId="0" borderId="0" xfId="0" applyFont="1" applyAlignment="1">
      <alignmen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5" totalsRowShown="0">
  <autoFilter ref="A3:E35"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109203" TargetMode="External"/><Relationship Id="rId21" Type="http://schemas.openxmlformats.org/officeDocument/2006/relationships/hyperlink" Target="https://us3.assetplanner.com/service_request?ID=112266" TargetMode="External"/><Relationship Id="rId42" Type="http://schemas.openxmlformats.org/officeDocument/2006/relationships/hyperlink" Target="https://us3.assetplanner.com/service_request?ID=101916" TargetMode="External"/><Relationship Id="rId47" Type="http://schemas.openxmlformats.org/officeDocument/2006/relationships/hyperlink" Target="https://us3.assetplanner.com/service_request?ID=115243" TargetMode="External"/><Relationship Id="rId63" Type="http://schemas.openxmlformats.org/officeDocument/2006/relationships/hyperlink" Target="https://us3.assetplanner.com/service_request?ID=109205" TargetMode="External"/><Relationship Id="rId68" Type="http://schemas.openxmlformats.org/officeDocument/2006/relationships/hyperlink" Target="https://us3.assetplanner.com/service_request?ID=110794" TargetMode="External"/><Relationship Id="rId2" Type="http://schemas.openxmlformats.org/officeDocument/2006/relationships/hyperlink" Target="https://us3.assetplanner.com/service_request?ID=104730" TargetMode="External"/><Relationship Id="rId16" Type="http://schemas.openxmlformats.org/officeDocument/2006/relationships/hyperlink" Target="https://us3.assetplanner.com/service_request?ID=097799" TargetMode="External"/><Relationship Id="rId29" Type="http://schemas.openxmlformats.org/officeDocument/2006/relationships/hyperlink" Target="https://us3.assetplanner.com/service_request?ID=109201" TargetMode="External"/><Relationship Id="rId11" Type="http://schemas.openxmlformats.org/officeDocument/2006/relationships/hyperlink" Target="https://us3.assetplanner.com/service_request?ID=111324" TargetMode="External"/><Relationship Id="rId24" Type="http://schemas.openxmlformats.org/officeDocument/2006/relationships/hyperlink" Target="https://us3.assetplanner.com/service_request?ID=114583" TargetMode="External"/><Relationship Id="rId32" Type="http://schemas.openxmlformats.org/officeDocument/2006/relationships/hyperlink" Target="https://us3.assetplanner.com/service_request?ID=111056" TargetMode="External"/><Relationship Id="rId37" Type="http://schemas.openxmlformats.org/officeDocument/2006/relationships/hyperlink" Target="https://us3.assetplanner.com/service_request?ID=114235" TargetMode="External"/><Relationship Id="rId40" Type="http://schemas.openxmlformats.org/officeDocument/2006/relationships/hyperlink" Target="https://us3.assetplanner.com/service_request?ID=109835" TargetMode="External"/><Relationship Id="rId45" Type="http://schemas.openxmlformats.org/officeDocument/2006/relationships/hyperlink" Target="https://us3.assetplanner.com/service_request?ID=113313" TargetMode="External"/><Relationship Id="rId53" Type="http://schemas.openxmlformats.org/officeDocument/2006/relationships/hyperlink" Target="https://us3.assetplanner.com/service_request?ID=113085" TargetMode="External"/><Relationship Id="rId58" Type="http://schemas.openxmlformats.org/officeDocument/2006/relationships/hyperlink" Target="https://us3.assetplanner.com/service_request?ID=104024" TargetMode="External"/><Relationship Id="rId66" Type="http://schemas.openxmlformats.org/officeDocument/2006/relationships/hyperlink" Target="https://us3.assetplanner.com/service_request?ID=111511" TargetMode="External"/><Relationship Id="rId5" Type="http://schemas.openxmlformats.org/officeDocument/2006/relationships/hyperlink" Target="https://us3.assetplanner.com/service_request?ID=114778" TargetMode="External"/><Relationship Id="rId61" Type="http://schemas.openxmlformats.org/officeDocument/2006/relationships/hyperlink" Target="https://us3.assetplanner.com/service_request?ID=105808" TargetMode="External"/><Relationship Id="rId19" Type="http://schemas.openxmlformats.org/officeDocument/2006/relationships/hyperlink" Target="https://us3.assetplanner.com/service_request?ID=114257" TargetMode="External"/><Relationship Id="rId14" Type="http://schemas.openxmlformats.org/officeDocument/2006/relationships/hyperlink" Target="https://us3.assetplanner.com/service_request?ID=114389" TargetMode="External"/><Relationship Id="rId22" Type="http://schemas.openxmlformats.org/officeDocument/2006/relationships/hyperlink" Target="https://us3.assetplanner.com/service_request?ID=109200" TargetMode="External"/><Relationship Id="rId27" Type="http://schemas.openxmlformats.org/officeDocument/2006/relationships/hyperlink" Target="https://us3.assetplanner.com/service_request?ID=097795" TargetMode="External"/><Relationship Id="rId30" Type="http://schemas.openxmlformats.org/officeDocument/2006/relationships/hyperlink" Target="https://us3.assetplanner.com/service_request?ID=109391" TargetMode="External"/><Relationship Id="rId35" Type="http://schemas.openxmlformats.org/officeDocument/2006/relationships/hyperlink" Target="https://us3.assetplanner.com/service_request?ID=114040" TargetMode="External"/><Relationship Id="rId43" Type="http://schemas.openxmlformats.org/officeDocument/2006/relationships/hyperlink" Target="https://us3.assetplanner.com/service_request?ID=109206" TargetMode="External"/><Relationship Id="rId48" Type="http://schemas.openxmlformats.org/officeDocument/2006/relationships/hyperlink" Target="https://us3.assetplanner.com/service_request?ID=107959" TargetMode="External"/><Relationship Id="rId56" Type="http://schemas.openxmlformats.org/officeDocument/2006/relationships/hyperlink" Target="https://us3.assetplanner.com/service_request?ID=103531" TargetMode="External"/><Relationship Id="rId64" Type="http://schemas.openxmlformats.org/officeDocument/2006/relationships/hyperlink" Target="https://us3.assetplanner.com/service_request?ID=099298" TargetMode="External"/><Relationship Id="rId69" Type="http://schemas.openxmlformats.org/officeDocument/2006/relationships/hyperlink" Target="https://us3.assetplanner.com/service_request?ID=114043" TargetMode="External"/><Relationship Id="rId8" Type="http://schemas.openxmlformats.org/officeDocument/2006/relationships/hyperlink" Target="https://us3.assetplanner.com/service_request?ID=115352" TargetMode="External"/><Relationship Id="rId51" Type="http://schemas.openxmlformats.org/officeDocument/2006/relationships/hyperlink" Target="https://us3.assetplanner.com/service_request?ID=114468" TargetMode="External"/><Relationship Id="rId72" Type="http://schemas.openxmlformats.org/officeDocument/2006/relationships/hyperlink" Target="https://us3.assetplanner.com/service_request?ID=114610" TargetMode="External"/><Relationship Id="rId3" Type="http://schemas.openxmlformats.org/officeDocument/2006/relationships/hyperlink" Target="https://us3.assetplanner.com/service_request?ID=114162" TargetMode="External"/><Relationship Id="rId12" Type="http://schemas.openxmlformats.org/officeDocument/2006/relationships/hyperlink" Target="https://us3.assetplanner.com/service_request?ID=113395" TargetMode="External"/><Relationship Id="rId17" Type="http://schemas.openxmlformats.org/officeDocument/2006/relationships/hyperlink" Target="https://us3.assetplanner.com/service_request?ID=095816" TargetMode="External"/><Relationship Id="rId25" Type="http://schemas.openxmlformats.org/officeDocument/2006/relationships/hyperlink" Target="https://us3.assetplanner.com/service_request?ID=105297" TargetMode="External"/><Relationship Id="rId33" Type="http://schemas.openxmlformats.org/officeDocument/2006/relationships/hyperlink" Target="https://us3.assetplanner.com/service_request?ID=112075" TargetMode="External"/><Relationship Id="rId38" Type="http://schemas.openxmlformats.org/officeDocument/2006/relationships/hyperlink" Target="https://us3.assetplanner.com/service_request?ID=114314" TargetMode="External"/><Relationship Id="rId46" Type="http://schemas.openxmlformats.org/officeDocument/2006/relationships/hyperlink" Target="https://us3.assetplanner.com/service_request?ID=114055" TargetMode="External"/><Relationship Id="rId59" Type="http://schemas.openxmlformats.org/officeDocument/2006/relationships/hyperlink" Target="https://us3.assetplanner.com/service_request?ID=111353" TargetMode="External"/><Relationship Id="rId67" Type="http://schemas.openxmlformats.org/officeDocument/2006/relationships/hyperlink" Target="https://us3.assetplanner.com/service_request?ID=112408" TargetMode="External"/><Relationship Id="rId20" Type="http://schemas.openxmlformats.org/officeDocument/2006/relationships/hyperlink" Target="https://us3.assetplanner.com/service_request?ID=114054" TargetMode="External"/><Relationship Id="rId41" Type="http://schemas.openxmlformats.org/officeDocument/2006/relationships/hyperlink" Target="https://us3.assetplanner.com/service_request?ID=110016" TargetMode="External"/><Relationship Id="rId54" Type="http://schemas.openxmlformats.org/officeDocument/2006/relationships/hyperlink" Target="https://us3.assetplanner.com/service_request?ID=099815" TargetMode="External"/><Relationship Id="rId62" Type="http://schemas.openxmlformats.org/officeDocument/2006/relationships/hyperlink" Target="https://us3.assetplanner.com/service_request?ID=107262" TargetMode="External"/><Relationship Id="rId70" Type="http://schemas.openxmlformats.org/officeDocument/2006/relationships/hyperlink" Target="https://us3.assetplanner.com/service_request?ID=114467" TargetMode="External"/><Relationship Id="rId1" Type="http://schemas.openxmlformats.org/officeDocument/2006/relationships/hyperlink" Target="https://us3.assetplanner.com/service_request?ID=114368" TargetMode="External"/><Relationship Id="rId6" Type="http://schemas.openxmlformats.org/officeDocument/2006/relationships/hyperlink" Target="https://us3.assetplanner.com/service_request?ID=115644" TargetMode="External"/><Relationship Id="rId15" Type="http://schemas.openxmlformats.org/officeDocument/2006/relationships/hyperlink" Target="https://us3.assetplanner.com/service_request?ID=099765" TargetMode="External"/><Relationship Id="rId23" Type="http://schemas.openxmlformats.org/officeDocument/2006/relationships/hyperlink" Target="https://us3.assetplanner.com/service_request?ID=103770" TargetMode="External"/><Relationship Id="rId28" Type="http://schemas.openxmlformats.org/officeDocument/2006/relationships/hyperlink" Target="https://us3.assetplanner.com/service_request?ID=109010" TargetMode="External"/><Relationship Id="rId36" Type="http://schemas.openxmlformats.org/officeDocument/2006/relationships/hyperlink" Target="https://us3.assetplanner.com/service_request?ID=114715" TargetMode="External"/><Relationship Id="rId49" Type="http://schemas.openxmlformats.org/officeDocument/2006/relationships/hyperlink" Target="https://us3.assetplanner.com/service_request?ID=108028" TargetMode="External"/><Relationship Id="rId57" Type="http://schemas.openxmlformats.org/officeDocument/2006/relationships/hyperlink" Target="https://us3.assetplanner.com/service_request?ID=109204" TargetMode="External"/><Relationship Id="rId10" Type="http://schemas.openxmlformats.org/officeDocument/2006/relationships/hyperlink" Target="https://us3.assetplanner.com/service_request?ID=108955" TargetMode="External"/><Relationship Id="rId31" Type="http://schemas.openxmlformats.org/officeDocument/2006/relationships/hyperlink" Target="https://us3.assetplanner.com/service_request?ID=107644" TargetMode="External"/><Relationship Id="rId44" Type="http://schemas.openxmlformats.org/officeDocument/2006/relationships/hyperlink" Target="https://us3.assetplanner.com/service_request?ID=115516" TargetMode="External"/><Relationship Id="rId52" Type="http://schemas.openxmlformats.org/officeDocument/2006/relationships/hyperlink" Target="https://us3.assetplanner.com/service_request?ID=112900" TargetMode="External"/><Relationship Id="rId60" Type="http://schemas.openxmlformats.org/officeDocument/2006/relationships/hyperlink" Target="https://us3.assetplanner.com/service_request?ID=105724" TargetMode="External"/><Relationship Id="rId65" Type="http://schemas.openxmlformats.org/officeDocument/2006/relationships/hyperlink" Target="https://us3.assetplanner.com/service_request?ID=109610" TargetMode="External"/><Relationship Id="rId73" Type="http://schemas.openxmlformats.org/officeDocument/2006/relationships/hyperlink" Target="https://us3.assetplanner.com/service_request?ID=111499" TargetMode="External"/><Relationship Id="rId4" Type="http://schemas.openxmlformats.org/officeDocument/2006/relationships/hyperlink" Target="https://us3.assetplanner.com/service_request?ID=113187" TargetMode="External"/><Relationship Id="rId9" Type="http://schemas.openxmlformats.org/officeDocument/2006/relationships/hyperlink" Target="https://us3.assetplanner.com/service_request?ID=114607" TargetMode="External"/><Relationship Id="rId13" Type="http://schemas.openxmlformats.org/officeDocument/2006/relationships/hyperlink" Target="https://us3.assetplanner.com/service_request?ID=115390" TargetMode="External"/><Relationship Id="rId18" Type="http://schemas.openxmlformats.org/officeDocument/2006/relationships/hyperlink" Target="https://us3.assetplanner.com/service_request?ID=107405" TargetMode="External"/><Relationship Id="rId39" Type="http://schemas.openxmlformats.org/officeDocument/2006/relationships/hyperlink" Target="https://us3.assetplanner.com/service_request?ID=111328" TargetMode="External"/><Relationship Id="rId34" Type="http://schemas.openxmlformats.org/officeDocument/2006/relationships/hyperlink" Target="https://us3.assetplanner.com/service_request?ID=114387" TargetMode="External"/><Relationship Id="rId50" Type="http://schemas.openxmlformats.org/officeDocument/2006/relationships/hyperlink" Target="https://us3.assetplanner.com/service_request?ID=114042" TargetMode="External"/><Relationship Id="rId55" Type="http://schemas.openxmlformats.org/officeDocument/2006/relationships/hyperlink" Target="https://us3.assetplanner.com/service_request?ID=099920" TargetMode="External"/><Relationship Id="rId7" Type="http://schemas.openxmlformats.org/officeDocument/2006/relationships/hyperlink" Target="https://us3.assetplanner.com/service_request?ID=114779" TargetMode="External"/><Relationship Id="rId71" Type="http://schemas.openxmlformats.org/officeDocument/2006/relationships/hyperlink" Target="https://us3.assetplanner.com/service_request?ID=114515"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98821" TargetMode="External"/><Relationship Id="rId1" Type="http://schemas.openxmlformats.org/officeDocument/2006/relationships/hyperlink" Target="https://us3.assetplanner.com/service_request?ID=09867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s3.assetplanner.com/service_request?ID=100159"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1104" TargetMode="External"/><Relationship Id="rId1" Type="http://schemas.openxmlformats.org/officeDocument/2006/relationships/hyperlink" Target="https://us3.assetplanner.com/service_request?ID=10098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hyperlink" Target="https://us3.assetplanner.com/service_request?ID=110794"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D28" activePane="bottomRight" state="frozen"/>
      <selection pane="bottomRight" activeCell="H41" sqref="H4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Lodestar</v>
      </c>
      <c r="B1" s="124"/>
      <c r="C1" s="124"/>
      <c r="D1" s="125" t="s">
        <v>0</v>
      </c>
      <c r="E1" s="125"/>
      <c r="F1" s="125"/>
      <c r="G1" s="123" t="s">
        <v>1</v>
      </c>
      <c r="H1" s="123"/>
      <c r="I1" s="123"/>
    </row>
    <row r="2" spans="1:9" ht="19.5" customHeight="1">
      <c r="A2" s="126" t="s">
        <v>2</v>
      </c>
      <c r="B2" s="126"/>
      <c r="C2" s="5">
        <f>SUM(C4:C103)</f>
        <v>2905198.3954556142</v>
      </c>
      <c r="D2" s="5">
        <f>SUM(D4:D103)</f>
        <v>4671467.2</v>
      </c>
      <c r="E2" s="5">
        <f>C2-D2</f>
        <v>-1766268.804544386</v>
      </c>
      <c r="F2" s="6">
        <f>IFERROR(E2/D2, 0)</f>
        <v>-0.37809722918409572</v>
      </c>
      <c r="G2" s="5">
        <f>SUM(G4:G103)</f>
        <v>4744949.58</v>
      </c>
      <c r="H2" s="7">
        <f>C2-G2</f>
        <v>-1839751.1845443859</v>
      </c>
      <c r="I2" s="6">
        <f>IFERROR(H2/G2, 0)</f>
        <v>-0.38772828952681637</v>
      </c>
    </row>
    <row r="3" spans="1:9" ht="14.25" customHeight="1">
      <c r="A3" s="8" t="s">
        <v>3</v>
      </c>
      <c r="B3" s="8" t="s">
        <v>4</v>
      </c>
      <c r="C3" s="23" t="s">
        <v>5</v>
      </c>
      <c r="D3" s="33" t="s">
        <v>6</v>
      </c>
      <c r="E3" s="33" t="s">
        <v>7</v>
      </c>
      <c r="F3" s="34" t="s">
        <v>8</v>
      </c>
      <c r="G3" s="35" t="s">
        <v>9</v>
      </c>
      <c r="H3" s="36" t="s">
        <v>7</v>
      </c>
      <c r="I3" s="37" t="s">
        <v>8</v>
      </c>
    </row>
    <row r="4" spans="1:9" ht="15.6">
      <c r="A4" s="12" t="str" cm="1">
        <f t="array" ref="A4:A35">Sites[Site]</f>
        <v>Barkhamsted</v>
      </c>
      <c r="B4" s="9" t="str" cm="1">
        <f t="array" ref="B4:B35">Sites[State]</f>
        <v>CT</v>
      </c>
      <c r="C4" s="24">
        <f>SUM('1st Qtr'!C4, '2nd Qtr'!C4, '3rd Qtr'!C4, '4th Qtr'!C4)</f>
        <v>40304</v>
      </c>
      <c r="D4" s="13">
        <f>SUM('1st Qtr'!D4, '2nd Qtr'!D4, '3rd Qtr'!D4, '4th Qtr'!D4)</f>
        <v>116413.5</v>
      </c>
      <c r="E4" s="13">
        <f>IF(AND(ISNUMBER(C4),ISNUMBER(D4)), C4-D4, "")</f>
        <v>-76109.5</v>
      </c>
      <c r="F4" s="14">
        <f>IFERROR(E4/D4, "")</f>
        <v>-0.6537858581693704</v>
      </c>
      <c r="G4" s="15">
        <f>SUM('1st Qtr'!G4, '2nd Qtr'!G4, '3rd Qtr'!G4, '4th Qtr'!G4)</f>
        <v>95570.47</v>
      </c>
      <c r="H4" s="15">
        <f>SUM('1st Qtr'!H4, '2nd Qtr'!H4, '3rd Qtr'!H4, '4th Qtr'!H4)</f>
        <v>-55266.47</v>
      </c>
      <c r="I4" s="16">
        <f>IFERROR(H4/G4, "")</f>
        <v>-0.57827977616935444</v>
      </c>
    </row>
    <row r="5" spans="1:9" ht="15.6">
      <c r="A5" s="17" t="str">
        <v>Bunce</v>
      </c>
      <c r="B5" s="10" t="str">
        <v>CT</v>
      </c>
      <c r="C5" s="11">
        <f>SUM('1st Qtr'!C5, '2nd Qtr'!C5, '3rd Qtr'!C5, '4th Qtr'!C5)</f>
        <v>106213</v>
      </c>
      <c r="D5" s="18">
        <f>SUM('1st Qtr'!D5, '2nd Qtr'!D5, '3rd Qtr'!D5, '4th Qtr'!D5)</f>
        <v>201662.9</v>
      </c>
      <c r="E5" s="18">
        <f t="shared" ref="E5:E15" si="0">IF(AND(ISNUMBER(C5),ISNUMBER(D5)), C5-D5, "")</f>
        <v>-95449.9</v>
      </c>
      <c r="F5" s="19">
        <f>IFERROR(E5/D5, "")</f>
        <v>-0.47331412966886816</v>
      </c>
      <c r="G5" s="20">
        <f>SUM('1st Qtr'!G5, '2nd Qtr'!G5, '3rd Qtr'!G5, '4th Qtr'!G5)</f>
        <v>0</v>
      </c>
      <c r="H5" s="20">
        <f>SUM('1st Qtr'!H5, '2nd Qtr'!H5, '3rd Qtr'!H5, '4th Qtr'!H5)</f>
        <v>106213</v>
      </c>
      <c r="I5" s="19" t="str">
        <f>IFERROR(H5/G5, "")</f>
        <v/>
      </c>
    </row>
    <row r="6" spans="1:9" ht="15.6">
      <c r="A6" s="12" t="str">
        <v>Norcap North</v>
      </c>
      <c r="B6" s="9" t="str">
        <v>CT</v>
      </c>
      <c r="C6" s="24">
        <f>SUM('1st Qtr'!C6, '2nd Qtr'!C6, '3rd Qtr'!C6, '4th Qtr'!C6)</f>
        <v>107826.5</v>
      </c>
      <c r="D6" s="13">
        <f>SUM('1st Qtr'!D6, '2nd Qtr'!D6, '3rd Qtr'!D6, '4th Qtr'!D6)</f>
        <v>263521.7</v>
      </c>
      <c r="E6" s="13">
        <f t="shared" si="0"/>
        <v>-155695.20000000001</v>
      </c>
      <c r="F6" s="14">
        <f t="shared" ref="F6:F15" si="1">IFERROR(E6/D6, "")</f>
        <v>-0.5908249681145803</v>
      </c>
      <c r="G6" s="15">
        <f>SUM('1st Qtr'!G6, '2nd Qtr'!G6, '3rd Qtr'!G6, '4th Qtr'!G6)</f>
        <v>178051.4</v>
      </c>
      <c r="H6" s="15">
        <f>SUM('1st Qtr'!H6, '2nd Qtr'!H6, '3rd Qtr'!H6, '4th Qtr'!H6)</f>
        <v>-70224.899999999994</v>
      </c>
      <c r="I6" s="16">
        <f t="shared" ref="I6:I15" si="2">IFERROR(H6/G6, "")</f>
        <v>-0.39440801925736052</v>
      </c>
    </row>
    <row r="7" spans="1:9" ht="15.6">
      <c r="A7" s="17" t="str">
        <v>Norcap South</v>
      </c>
      <c r="B7" s="10" t="str">
        <v>CT</v>
      </c>
      <c r="C7" s="11">
        <f>SUM('1st Qtr'!C7, '2nd Qtr'!C7, '3rd Qtr'!C7, '4th Qtr'!C7)</f>
        <v>133552.5</v>
      </c>
      <c r="D7" s="18">
        <f>SUM('1st Qtr'!D7, '2nd Qtr'!D7, '3rd Qtr'!D7, '4th Qtr'!D7)</f>
        <v>291285.59999999998</v>
      </c>
      <c r="E7" s="18">
        <f t="shared" si="0"/>
        <v>-157733.09999999998</v>
      </c>
      <c r="F7" s="19">
        <f t="shared" si="1"/>
        <v>-0.541506686221358</v>
      </c>
      <c r="G7" s="20">
        <f>SUM('1st Qtr'!G7, '2nd Qtr'!G7, '3rd Qtr'!G7, '4th Qtr'!G7)</f>
        <v>155002.70000000001</v>
      </c>
      <c r="H7" s="20">
        <f>SUM('1st Qtr'!H7, '2nd Qtr'!H7, '3rd Qtr'!H7, '4th Qtr'!H7)</f>
        <v>-21450.200000000012</v>
      </c>
      <c r="I7" s="19">
        <f t="shared" si="2"/>
        <v>-0.13838597650234485</v>
      </c>
    </row>
    <row r="8" spans="1:9" ht="15.6">
      <c r="A8" s="12" t="str">
        <v>Platt Hill</v>
      </c>
      <c r="B8" s="9" t="str">
        <v>CT</v>
      </c>
      <c r="C8" s="24">
        <f>SUM('1st Qtr'!C8, '2nd Qtr'!C8, '3rd Qtr'!C8, '4th Qtr'!C8)</f>
        <v>157751</v>
      </c>
      <c r="D8" s="13">
        <f>SUM('1st Qtr'!D8, '2nd Qtr'!D8, '3rd Qtr'!D8, '4th Qtr'!D8)</f>
        <v>227183.8</v>
      </c>
      <c r="E8" s="13">
        <f t="shared" si="0"/>
        <v>-69432.799999999988</v>
      </c>
      <c r="F8" s="14">
        <f t="shared" si="1"/>
        <v>-0.30562390452136107</v>
      </c>
      <c r="G8" s="15">
        <f>SUM('1st Qtr'!G8, '2nd Qtr'!G8, '3rd Qtr'!G8, '4th Qtr'!G8)</f>
        <v>230183.3</v>
      </c>
      <c r="H8" s="15">
        <f>SUM('1st Qtr'!H8, '2nd Qtr'!H8, '3rd Qtr'!H8, '4th Qtr'!H8)</f>
        <v>-72432.299999999988</v>
      </c>
      <c r="I8" s="16">
        <f t="shared" si="2"/>
        <v>-0.3146722633657611</v>
      </c>
    </row>
    <row r="9" spans="1:9" ht="15.6">
      <c r="A9" s="17" t="str">
        <v>Powder Hill</v>
      </c>
      <c r="B9" s="10" t="str">
        <v>CT</v>
      </c>
      <c r="C9" s="11">
        <f>SUM('1st Qtr'!C9, '2nd Qtr'!C9, '3rd Qtr'!C9, '4th Qtr'!C9)</f>
        <v>76810</v>
      </c>
      <c r="D9" s="18">
        <f>SUM('1st Qtr'!D9, '2nd Qtr'!D9, '3rd Qtr'!D9, '4th Qtr'!D9)</f>
        <v>211374.5</v>
      </c>
      <c r="E9" s="18">
        <f t="shared" si="0"/>
        <v>-134564.5</v>
      </c>
      <c r="F9" s="19">
        <f t="shared" si="1"/>
        <v>-0.63661652659142898</v>
      </c>
      <c r="G9" s="20">
        <f>SUM('1st Qtr'!G9, '2nd Qtr'!G9, '3rd Qtr'!G9, '4th Qtr'!G9)</f>
        <v>155676</v>
      </c>
      <c r="H9" s="20">
        <f>SUM('1st Qtr'!H9, '2nd Qtr'!H9, '3rd Qtr'!H9, '4th Qtr'!H9)</f>
        <v>-78866</v>
      </c>
      <c r="I9" s="19">
        <f t="shared" si="2"/>
        <v>-0.50660345846501709</v>
      </c>
    </row>
    <row r="10" spans="1:9" ht="15.6">
      <c r="A10" s="12" t="str">
        <v>Sand Road</v>
      </c>
      <c r="B10" s="9" t="str">
        <v>CT</v>
      </c>
      <c r="C10" s="24">
        <f>SUM('1st Qtr'!C10, '2nd Qtr'!C10, '3rd Qtr'!C10, '4th Qtr'!C10)</f>
        <v>91637</v>
      </c>
      <c r="D10" s="13">
        <f>SUM('1st Qtr'!D10, '2nd Qtr'!D10, '3rd Qtr'!D10, '4th Qtr'!D10)</f>
        <v>165412.20000000001</v>
      </c>
      <c r="E10" s="13">
        <f t="shared" si="0"/>
        <v>-73775.200000000012</v>
      </c>
      <c r="F10" s="14">
        <f t="shared" si="1"/>
        <v>-0.44600821462987617</v>
      </c>
      <c r="G10" s="15">
        <f>SUM('1st Qtr'!G10, '2nd Qtr'!G10, '3rd Qtr'!G10, '4th Qtr'!G10)</f>
        <v>145302</v>
      </c>
      <c r="H10" s="15">
        <f>SUM('1st Qtr'!H10, '2nd Qtr'!H10, '3rd Qtr'!H10, '4th Qtr'!H10)</f>
        <v>-53665</v>
      </c>
      <c r="I10" s="16">
        <f t="shared" si="2"/>
        <v>-0.36933421425720225</v>
      </c>
    </row>
    <row r="11" spans="1:9" ht="15.6">
      <c r="A11" s="17" t="str">
        <v>Suffield</v>
      </c>
      <c r="B11" s="10" t="str">
        <v>CT</v>
      </c>
      <c r="C11" s="11">
        <f>SUM('1st Qtr'!C11, '2nd Qtr'!C11, '3rd Qtr'!C11, '4th Qtr'!C11)</f>
        <v>99470</v>
      </c>
      <c r="D11" s="18">
        <f>SUM('1st Qtr'!D11, '2nd Qtr'!D11, '3rd Qtr'!D11, '4th Qtr'!D11)</f>
        <v>204426.3</v>
      </c>
      <c r="E11" s="18">
        <f t="shared" si="0"/>
        <v>-104956.29999999999</v>
      </c>
      <c r="F11" s="19">
        <f t="shared" si="1"/>
        <v>-0.51341877243779299</v>
      </c>
      <c r="G11" s="20">
        <f>SUM('1st Qtr'!G11, '2nd Qtr'!G11, '3rd Qtr'!G11, '4th Qtr'!G11)</f>
        <v>190039.3</v>
      </c>
      <c r="H11" s="20">
        <f>SUM('1st Qtr'!H11, '2nd Qtr'!H11, '3rd Qtr'!H11, '4th Qtr'!H11)</f>
        <v>-90569.299999999988</v>
      </c>
      <c r="I11" s="19">
        <f t="shared" si="2"/>
        <v>-0.47658194910210672</v>
      </c>
    </row>
    <row r="12" spans="1:9" ht="15.6">
      <c r="A12" s="12" t="str">
        <v>Ashby-Duffy</v>
      </c>
      <c r="B12" s="9" t="str">
        <v>MA</v>
      </c>
      <c r="C12" s="24">
        <f>SUM('1st Qtr'!C12, '2nd Qtr'!C12, '3rd Qtr'!C12, '4th Qtr'!C12)</f>
        <v>89125</v>
      </c>
      <c r="D12" s="13">
        <f>SUM('1st Qtr'!D12, '2nd Qtr'!D12, '3rd Qtr'!D12, '4th Qtr'!D12)</f>
        <v>349088.9</v>
      </c>
      <c r="E12" s="13">
        <f t="shared" si="0"/>
        <v>-259963.90000000002</v>
      </c>
      <c r="F12" s="14">
        <f t="shared" si="1"/>
        <v>-0.74469254106905147</v>
      </c>
      <c r="G12" s="15">
        <f>SUM('1st Qtr'!G12, '2nd Qtr'!G12, '3rd Qtr'!G12, '4th Qtr'!G12)</f>
        <v>156689.70000000001</v>
      </c>
      <c r="H12" s="15">
        <f>SUM('1st Qtr'!H12, '2nd Qtr'!H12, '3rd Qtr'!H12, '4th Qtr'!H12)</f>
        <v>-67564.700000000012</v>
      </c>
      <c r="I12" s="16">
        <f t="shared" si="2"/>
        <v>-0.43120064688361781</v>
      </c>
    </row>
    <row r="13" spans="1:9" ht="15.6">
      <c r="A13" s="17" t="str">
        <v>Ashland</v>
      </c>
      <c r="B13" s="10" t="str">
        <v>MA</v>
      </c>
      <c r="C13" s="11">
        <f>SUM('1st Qtr'!C13, '2nd Qtr'!C13, '3rd Qtr'!C13, '4th Qtr'!C13)</f>
        <v>68832.921875</v>
      </c>
      <c r="D13" s="18">
        <f>SUM('1st Qtr'!D13, '2nd Qtr'!D13, '3rd Qtr'!D13, '4th Qtr'!D13)</f>
        <v>206882.1</v>
      </c>
      <c r="E13" s="18">
        <f t="shared" si="0"/>
        <v>-138049.17812500001</v>
      </c>
      <c r="F13" s="19">
        <f t="shared" si="1"/>
        <v>-0.66728430407947326</v>
      </c>
      <c r="G13" s="20">
        <f>SUM('1st Qtr'!G13, '2nd Qtr'!G13, '3rd Qtr'!G13, '4th Qtr'!G13)</f>
        <v>132952.6</v>
      </c>
      <c r="H13" s="20">
        <f>SUM('1st Qtr'!H13, '2nd Qtr'!H13, '3rd Qtr'!H13, '4th Qtr'!H13)</f>
        <v>-64119.678125000006</v>
      </c>
      <c r="I13" s="19">
        <f t="shared" si="2"/>
        <v>-0.48227472140447047</v>
      </c>
    </row>
    <row r="14" spans="1:9" ht="15.6">
      <c r="A14" s="12" t="str">
        <v>Barrington</v>
      </c>
      <c r="B14" s="9" t="str">
        <v>MA</v>
      </c>
      <c r="C14" s="24">
        <f>SUM('1st Qtr'!C14, '2nd Qtr'!C14, '3rd Qtr'!C14, '4th Qtr'!C14)</f>
        <v>15350</v>
      </c>
      <c r="D14" s="13">
        <f>SUM('1st Qtr'!D14, '2nd Qtr'!D14, '3rd Qtr'!D14, '4th Qtr'!D14)</f>
        <v>33298.480000000003</v>
      </c>
      <c r="E14" s="13">
        <f t="shared" si="0"/>
        <v>-17948.480000000003</v>
      </c>
      <c r="F14" s="14">
        <f t="shared" si="1"/>
        <v>-0.53901799721789112</v>
      </c>
      <c r="G14" s="15">
        <f>SUM('1st Qtr'!G14, '2nd Qtr'!G14, '3rd Qtr'!G14, '4th Qtr'!G14)</f>
        <v>35820</v>
      </c>
      <c r="H14" s="15">
        <f>SUM('1st Qtr'!H14, '2nd Qtr'!H14, '3rd Qtr'!H14, '4th Qtr'!H14)</f>
        <v>-20470</v>
      </c>
      <c r="I14" s="16">
        <f t="shared" si="2"/>
        <v>-0.57146845337800112</v>
      </c>
    </row>
    <row r="15" spans="1:9" ht="15.6">
      <c r="A15" s="17" t="str">
        <v>Bedford - 205 Burlington Rd</v>
      </c>
      <c r="B15" s="10" t="str">
        <v>MA</v>
      </c>
      <c r="C15" s="11">
        <f>SUM('1st Qtr'!C15, '2nd Qtr'!C15, '3rd Qtr'!C15, '4th Qtr'!C15)</f>
        <v>6578</v>
      </c>
      <c r="D15" s="18">
        <f>SUM('1st Qtr'!D15, '2nd Qtr'!D15, '3rd Qtr'!D15, '4th Qtr'!D15)</f>
        <v>0</v>
      </c>
      <c r="E15" s="18">
        <f t="shared" si="0"/>
        <v>6578</v>
      </c>
      <c r="F15" s="19" t="str">
        <f t="shared" si="1"/>
        <v/>
      </c>
      <c r="G15" s="20">
        <f>SUM('1st Qtr'!G15, '2nd Qtr'!G15, '3rd Qtr'!G15, '4th Qtr'!G15)</f>
        <v>0</v>
      </c>
      <c r="H15" s="20">
        <f>SUM('1st Qtr'!H15, '2nd Qtr'!H15, '3rd Qtr'!H15, '4th Qtr'!H15)</f>
        <v>0</v>
      </c>
      <c r="I15" s="19" t="str">
        <f t="shared" si="2"/>
        <v/>
      </c>
    </row>
    <row r="16" spans="1:9" ht="15.6">
      <c r="A16" s="12" t="str">
        <v>Billerica - 6 Cook Street</v>
      </c>
      <c r="B16" s="9" t="str">
        <v>MA</v>
      </c>
      <c r="C16" s="24">
        <f>SUM('1st Qtr'!C16, '2nd Qtr'!C16, '3rd Qtr'!C16, '4th Qtr'!C16)</f>
        <v>5685</v>
      </c>
      <c r="D16" s="13">
        <f>SUM('1st Qtr'!D16, '2nd Qtr'!D16, '3rd Qtr'!D16, '4th Qtr'!D16)</f>
        <v>0</v>
      </c>
      <c r="E16" s="13">
        <f t="shared" ref="E16:E19" si="3">IF(AND(ISNUMBER(C16),ISNUMBER(D16)), C16-D16, "")</f>
        <v>5685</v>
      </c>
      <c r="F16" s="14" t="str">
        <f t="shared" ref="F16:F19" si="4">IFERROR(E16/D16, "")</f>
        <v/>
      </c>
      <c r="G16" s="15">
        <f>SUM('1st Qtr'!G16, '2nd Qtr'!G16, '3rd Qtr'!G16, '4th Qtr'!G16)</f>
        <v>0</v>
      </c>
      <c r="H16" s="15">
        <f>SUM('1st Qtr'!H16, '2nd Qtr'!H16, '3rd Qtr'!H16, '4th Qtr'!H16)</f>
        <v>0</v>
      </c>
      <c r="I16" s="16" t="str">
        <f t="shared" ref="I16:I19" si="5">IFERROR(H16/G16, "")</f>
        <v/>
      </c>
    </row>
    <row r="17" spans="1:9" ht="15.6">
      <c r="A17" s="17" t="str">
        <v>Billerica - 780 Boston Road</v>
      </c>
      <c r="B17" s="10" t="str">
        <v>MA</v>
      </c>
      <c r="C17" s="11">
        <f>SUM('1st Qtr'!C17, '2nd Qtr'!C17, '3rd Qtr'!C17, '4th Qtr'!C17)</f>
        <v>6344</v>
      </c>
      <c r="D17" s="18">
        <f>SUM('1st Qtr'!D17, '2nd Qtr'!D17, '3rd Qtr'!D17, '4th Qtr'!D17)</f>
        <v>0</v>
      </c>
      <c r="E17" s="18">
        <f t="shared" si="3"/>
        <v>6344</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14132.127376426</v>
      </c>
      <c r="D18" s="13">
        <f>SUM('1st Qtr'!D18, '2nd Qtr'!D18, '3rd Qtr'!D18, '4th Qtr'!D18)</f>
        <v>37168.14</v>
      </c>
      <c r="E18" s="13">
        <f t="shared" si="3"/>
        <v>-23036.012623573999</v>
      </c>
      <c r="F18" s="14">
        <f t="shared" si="4"/>
        <v>-0.61977846143428217</v>
      </c>
      <c r="G18" s="15">
        <f>SUM('1st Qtr'!G18, '2nd Qtr'!G18, '3rd Qtr'!G18, '4th Qtr'!G18)</f>
        <v>24071.68</v>
      </c>
      <c r="H18" s="15">
        <f>SUM('1st Qtr'!H18, '2nd Qtr'!H18, '3rd Qtr'!H18, '4th Qtr'!H18)</f>
        <v>-9939.5526235739999</v>
      </c>
      <c r="I18" s="16">
        <f t="shared" si="5"/>
        <v>-0.41291478715129148</v>
      </c>
    </row>
    <row r="19" spans="1:9" ht="15.6">
      <c r="A19" s="17" t="str">
        <v>Lilly Lane</v>
      </c>
      <c r="B19" s="10" t="str">
        <v>MA</v>
      </c>
      <c r="C19" s="11">
        <f>SUM('1st Qtr'!C19, '2nd Qtr'!C19, '3rd Qtr'!C19, '4th Qtr'!C19)</f>
        <v>247328</v>
      </c>
      <c r="D19" s="18">
        <f>SUM('1st Qtr'!D19, '2nd Qtr'!D19, '3rd Qtr'!D19, '4th Qtr'!D19)</f>
        <v>73814.69</v>
      </c>
      <c r="E19" s="18">
        <f t="shared" si="3"/>
        <v>173513.31</v>
      </c>
      <c r="F19" s="19">
        <f t="shared" si="4"/>
        <v>2.3506609592209897</v>
      </c>
      <c r="G19" s="20">
        <f>SUM('1st Qtr'!G19, '2nd Qtr'!G19, '3rd Qtr'!G19, '4th Qtr'!G19)</f>
        <v>112006.2</v>
      </c>
      <c r="H19" s="20">
        <f>SUM('1st Qtr'!H19, '2nd Qtr'!H19, '3rd Qtr'!H19, '4th Qtr'!H19)</f>
        <v>135321.79999999999</v>
      </c>
      <c r="I19" s="19">
        <f t="shared" si="5"/>
        <v>1.2081634766646845</v>
      </c>
    </row>
    <row r="20" spans="1:9" ht="15.6">
      <c r="A20" s="12" t="str">
        <v>Monument Valley</v>
      </c>
      <c r="B20" s="9" t="str">
        <v>MA</v>
      </c>
      <c r="C20" s="24">
        <f>SUM('1st Qtr'!C20, '2nd Qtr'!C20, '3rd Qtr'!C20, '4th Qtr'!C20)</f>
        <v>86949.625</v>
      </c>
      <c r="D20" s="13">
        <f>SUM('1st Qtr'!D20, '2nd Qtr'!D20, '3rd Qtr'!D20, '4th Qtr'!D20)</f>
        <v>137232</v>
      </c>
      <c r="E20" s="13">
        <f t="shared" ref="E20:E22" si="6">IF(AND(ISNUMBER(C20),ISNUMBER(D20)), C20-D20, "")</f>
        <v>-50282.375</v>
      </c>
      <c r="F20" s="14">
        <f t="shared" ref="F20:F23" si="7">IFERROR(E20/D20, "")</f>
        <v>-0.36640415500757839</v>
      </c>
      <c r="G20" s="15">
        <f>SUM('1st Qtr'!G20, '2nd Qtr'!G20, '3rd Qtr'!G20, '4th Qtr'!G20)</f>
        <v>173008</v>
      </c>
      <c r="H20" s="15">
        <f>SUM('1st Qtr'!H20, '2nd Qtr'!H20, '3rd Qtr'!H20, '4th Qtr'!H20)</f>
        <v>-86058.375</v>
      </c>
      <c r="I20" s="16">
        <f t="shared" ref="I20:I23" si="8">IFERROR(H20/G20, "")</f>
        <v>-0.49742425205770829</v>
      </c>
    </row>
    <row r="21" spans="1:9" ht="15.6">
      <c r="A21" s="17" t="str">
        <v>Nationwide</v>
      </c>
      <c r="B21" s="10" t="str">
        <v>MA</v>
      </c>
      <c r="C21" s="11">
        <f>SUM('1st Qtr'!C21, '2nd Qtr'!C21, '3rd Qtr'!C21, '4th Qtr'!C21)</f>
        <v>13320</v>
      </c>
      <c r="D21" s="18">
        <f>SUM('1st Qtr'!D21, '2nd Qtr'!D21, '3rd Qtr'!D21, '4th Qtr'!D21)</f>
        <v>196927.4</v>
      </c>
      <c r="E21" s="18">
        <f t="shared" si="6"/>
        <v>-183607.4</v>
      </c>
      <c r="F21" s="19">
        <f t="shared" si="7"/>
        <v>-0.93236085989049766</v>
      </c>
      <c r="G21" s="20">
        <f>SUM('1st Qtr'!G21, '2nd Qtr'!G21, '3rd Qtr'!G21, '4th Qtr'!G21)</f>
        <v>295993.2</v>
      </c>
      <c r="H21" s="20">
        <f>SUM('1st Qtr'!H21, '2nd Qtr'!H21, '3rd Qtr'!H21, '4th Qtr'!H21)</f>
        <v>-282673.2</v>
      </c>
      <c r="I21" s="19">
        <f t="shared" si="8"/>
        <v>-0.9549989661924666</v>
      </c>
    </row>
    <row r="22" spans="1:9" ht="15.6">
      <c r="A22" s="12" t="str">
        <v>Pulpit Hill</v>
      </c>
      <c r="B22" s="9" t="str">
        <v>MA</v>
      </c>
      <c r="C22" s="24">
        <f>SUM('1st Qtr'!C22, '2nd Qtr'!C22, '3rd Qtr'!C22, '4th Qtr'!C22)</f>
        <v>185084.75</v>
      </c>
      <c r="D22" s="13">
        <f>SUM('1st Qtr'!D22, '2nd Qtr'!D22, '3rd Qtr'!D22, '4th Qtr'!D22)</f>
        <v>415273.8</v>
      </c>
      <c r="E22" s="13">
        <f t="shared" si="6"/>
        <v>-230189.05</v>
      </c>
      <c r="F22" s="14">
        <f t="shared" si="7"/>
        <v>-0.55430670078391653</v>
      </c>
      <c r="G22" s="15">
        <f>SUM('1st Qtr'!G22, '2nd Qtr'!G22, '3rd Qtr'!G22, '4th Qtr'!G22)</f>
        <v>353402.4</v>
      </c>
      <c r="H22" s="15">
        <f>SUM('1st Qtr'!H22, '2nd Qtr'!H22, '3rd Qtr'!H22, '4th Qtr'!H22)</f>
        <v>-168317.65000000002</v>
      </c>
      <c r="I22" s="16">
        <f t="shared" si="8"/>
        <v>-0.47627760875421338</v>
      </c>
    </row>
    <row r="23" spans="1:9" ht="15.6">
      <c r="A23" s="17" t="str">
        <v>Sandwich</v>
      </c>
      <c r="B23" s="10" t="str">
        <v>MA</v>
      </c>
      <c r="C23" s="11">
        <f>SUM('1st Qtr'!C23, '2nd Qtr'!C23, '3rd Qtr'!C23, '4th Qtr'!C23)</f>
        <v>178116</v>
      </c>
      <c r="D23" s="18">
        <f>SUM('1st Qtr'!D23, '2nd Qtr'!D23, '3rd Qtr'!D23, '4th Qtr'!D23)</f>
        <v>207909.2</v>
      </c>
      <c r="E23" s="18">
        <f t="shared" ref="E23:E34" si="9">IF(AND(ISNUMBER(C23),ISNUMBER(D23)), C23-D23, "")</f>
        <v>-29793.200000000012</v>
      </c>
      <c r="F23" s="19">
        <f t="shared" si="7"/>
        <v>-0.14329909402758517</v>
      </c>
      <c r="G23" s="20">
        <f>SUM('1st Qtr'!G23, '2nd Qtr'!G23, '3rd Qtr'!G23, '4th Qtr'!G23)</f>
        <v>302777.09999999998</v>
      </c>
      <c r="H23" s="20">
        <f>SUM('1st Qtr'!H23, '2nd Qtr'!H23, '3rd Qtr'!H23, '4th Qtr'!H23)</f>
        <v>-124661.09999999998</v>
      </c>
      <c r="I23" s="19">
        <f t="shared" si="8"/>
        <v>-0.41172565560605473</v>
      </c>
    </row>
    <row r="24" spans="1:9" ht="15.6">
      <c r="A24" s="12" t="str">
        <v>Sturbridge Barn</v>
      </c>
      <c r="B24" s="9" t="str">
        <v>MA</v>
      </c>
      <c r="C24" s="24">
        <f>SUM('1st Qtr'!C24, '2nd Qtr'!C24, '3rd Qtr'!C24, '4th Qtr'!C24)</f>
        <v>36189.5</v>
      </c>
      <c r="D24" s="13">
        <f>SUM('1st Qtr'!D24, '2nd Qtr'!D24, '3rd Qtr'!D24, '4th Qtr'!D24)</f>
        <v>109881</v>
      </c>
      <c r="E24" s="13">
        <f t="shared" si="9"/>
        <v>-73691.5</v>
      </c>
      <c r="F24" s="14">
        <f t="shared" ref="F24:F34" si="10">IFERROR(E24/D24, "")</f>
        <v>-0.67064824673965473</v>
      </c>
      <c r="G24" s="15">
        <f>SUM('1st Qtr'!G24, '2nd Qtr'!G24, '3rd Qtr'!G24, '4th Qtr'!G24)</f>
        <v>109508.5</v>
      </c>
      <c r="H24" s="15">
        <f>SUM('1st Qtr'!H24, '2nd Qtr'!H24, '3rd Qtr'!H24, '4th Qtr'!H24)</f>
        <v>-73319</v>
      </c>
      <c r="I24" s="16">
        <f t="shared" ref="I24:I34" si="11">IFERROR(H24/G24, "")</f>
        <v>-0.66952793618760187</v>
      </c>
    </row>
    <row r="25" spans="1:9" ht="15.6">
      <c r="A25" s="17" t="str">
        <v>Sturbridge Garage</v>
      </c>
      <c r="B25" s="10" t="str">
        <v>MA</v>
      </c>
      <c r="C25" s="11">
        <f>SUM('1st Qtr'!C25, '2nd Qtr'!C25, '3rd Qtr'!C25, '4th Qtr'!C25)</f>
        <v>11304</v>
      </c>
      <c r="D25" s="18">
        <f>SUM('1st Qtr'!D25, '2nd Qtr'!D25, '3rd Qtr'!D25, '4th Qtr'!D25)</f>
        <v>51741.89</v>
      </c>
      <c r="E25" s="18">
        <f t="shared" si="9"/>
        <v>-40437.89</v>
      </c>
      <c r="F25" s="19">
        <f t="shared" si="10"/>
        <v>-0.78153098002411581</v>
      </c>
      <c r="G25" s="20">
        <f>SUM('1st Qtr'!G25, '2nd Qtr'!G25, '3rd Qtr'!G25, '4th Qtr'!G25)</f>
        <v>55328.23</v>
      </c>
      <c r="H25" s="20">
        <f>SUM('1st Qtr'!H25, '2nd Qtr'!H25, '3rd Qtr'!H25, '4th Qtr'!H25)</f>
        <v>-44024.23</v>
      </c>
      <c r="I25" s="19">
        <f t="shared" si="11"/>
        <v>-0.79569200026821751</v>
      </c>
    </row>
    <row r="26" spans="1:9" ht="15.6">
      <c r="A26" s="12" t="str">
        <v>Halsey Valley</v>
      </c>
      <c r="B26" s="9" t="str">
        <v>NY</v>
      </c>
      <c r="C26" s="24">
        <f>SUM('1st Qtr'!C26, '2nd Qtr'!C26, '3rd Qtr'!C26, '4th Qtr'!C26)</f>
        <v>227114</v>
      </c>
      <c r="D26" s="13">
        <f>SUM('1st Qtr'!D26, '2nd Qtr'!D26, '3rd Qtr'!D26, '4th Qtr'!D26)</f>
        <v>419380</v>
      </c>
      <c r="E26" s="13">
        <f t="shared" si="9"/>
        <v>-192266</v>
      </c>
      <c r="F26" s="14">
        <f t="shared" si="10"/>
        <v>-0.45845295436119987</v>
      </c>
      <c r="G26" s="15">
        <f>SUM('1st Qtr'!G26, '2nd Qtr'!G26, '3rd Qtr'!G26, '4th Qtr'!G26)</f>
        <v>384000</v>
      </c>
      <c r="H26" s="15">
        <f>SUM('1st Qtr'!H26, '2nd Qtr'!H26, '3rd Qtr'!H26, '4th Qtr'!H26)</f>
        <v>-156886</v>
      </c>
      <c r="I26" s="16">
        <f t="shared" si="11"/>
        <v>-0.40855729166666666</v>
      </c>
    </row>
    <row r="27" spans="1:9" ht="15.6">
      <c r="A27" s="17" t="str">
        <v>Hunt Creek</v>
      </c>
      <c r="B27" s="10" t="str">
        <v>NY</v>
      </c>
      <c r="C27" s="11">
        <f>SUM('1st Qtr'!C27, '2nd Qtr'!C27, '3rd Qtr'!C27, '4th Qtr'!C27)</f>
        <v>105282.471204188</v>
      </c>
      <c r="D27" s="18">
        <f>SUM('1st Qtr'!D27, '2nd Qtr'!D27, '3rd Qtr'!D27, '4th Qtr'!D27)</f>
        <v>291366.8</v>
      </c>
      <c r="E27" s="18">
        <f t="shared" si="9"/>
        <v>-186084.32879581198</v>
      </c>
      <c r="F27" s="19">
        <f t="shared" si="10"/>
        <v>-0.63866002851324166</v>
      </c>
      <c r="G27" s="20">
        <f>SUM('1st Qtr'!G27, '2nd Qtr'!G27, '3rd Qtr'!G27, '4th Qtr'!G27)</f>
        <v>228700</v>
      </c>
      <c r="H27" s="20">
        <f>SUM('1st Qtr'!H27, '2nd Qtr'!H27, '3rd Qtr'!H27, '4th Qtr'!H27)</f>
        <v>-123417.528795812</v>
      </c>
      <c r="I27" s="19">
        <f t="shared" si="11"/>
        <v>-0.53964813640494969</v>
      </c>
    </row>
    <row r="28" spans="1:9" ht="15.6">
      <c r="A28" s="12" t="str">
        <v>Smith Creek</v>
      </c>
      <c r="B28" s="9" t="str">
        <v>NY</v>
      </c>
      <c r="C28" s="24">
        <f>SUM('1st Qtr'!C28, '2nd Qtr'!C28, '3rd Qtr'!C28, '4th Qtr'!C28)</f>
        <v>230880</v>
      </c>
      <c r="D28" s="13">
        <f>SUM('1st Qtr'!D28, '2nd Qtr'!D28, '3rd Qtr'!D28, '4th Qtr'!D28)</f>
        <v>335858</v>
      </c>
      <c r="E28" s="13">
        <f t="shared" si="9"/>
        <v>-104978</v>
      </c>
      <c r="F28" s="14">
        <f t="shared" si="10"/>
        <v>-0.31256662041696193</v>
      </c>
      <c r="G28" s="15">
        <f>SUM('1st Qtr'!G28, '2nd Qtr'!G28, '3rd Qtr'!G28, '4th Qtr'!G28)</f>
        <v>396606.8</v>
      </c>
      <c r="H28" s="15">
        <f>SUM('1st Qtr'!H28, '2nd Qtr'!H28, '3rd Qtr'!H28, '4th Qtr'!H28)</f>
        <v>-165726.79999999999</v>
      </c>
      <c r="I28" s="16">
        <f t="shared" si="11"/>
        <v>-0.41786172097906538</v>
      </c>
    </row>
    <row r="29" spans="1:9" ht="15.6">
      <c r="A29" s="17" t="str">
        <v>Bradford - 256 Presidential Dr</v>
      </c>
      <c r="B29" s="10" t="str">
        <v>MA</v>
      </c>
      <c r="C29" s="11">
        <f>SUM('1st Qtr'!C29, '2nd Qtr'!C29, '3rd Qtr'!C29, '4th Qtr'!C29)</f>
        <v>241701</v>
      </c>
      <c r="D29" s="18">
        <f>SUM('1st Qtr'!D29, '2nd Qtr'!D29, '3rd Qtr'!D29, '4th Qtr'!D29)</f>
        <v>0</v>
      </c>
      <c r="E29" s="18">
        <f>IF(AND(ISNUMBER(C29),ISNUMBER(D29)), C29-D29, "")</f>
        <v>241701</v>
      </c>
      <c r="F29" s="19" t="str">
        <f>IFERROR(E29/D29, "")</f>
        <v/>
      </c>
      <c r="G29" s="20">
        <f>SUM('1st Qtr'!G29, '2nd Qtr'!G29, '3rd Qtr'!G29, '4th Qtr'!G29)</f>
        <v>305035</v>
      </c>
      <c r="H29" s="20">
        <f>SUM('1st Qtr'!H29, '2nd Qtr'!H29, '3rd Qtr'!H29, '4th Qtr'!H29)</f>
        <v>-63334</v>
      </c>
      <c r="I29" s="19">
        <f>IFERROR(H29/G29, "")</f>
        <v>-0.20762863277984495</v>
      </c>
    </row>
    <row r="30" spans="1:9" ht="15.6">
      <c r="A30" s="12" t="str">
        <v>Charlton – 111 Brookfield Road - Bus Lot</v>
      </c>
      <c r="B30" s="9" t="str">
        <v>MA</v>
      </c>
      <c r="C30" s="24">
        <f>SUM('1st Qtr'!C30, '2nd Qtr'!C30, '3rd Qtr'!C30, '4th Qtr'!C30)</f>
        <v>33385</v>
      </c>
      <c r="D30" s="13">
        <f>SUM('1st Qtr'!D30, '2nd Qtr'!D30, '3rd Qtr'!D30, '4th Qtr'!D30)</f>
        <v>0</v>
      </c>
      <c r="E30" s="13">
        <f t="shared" si="9"/>
        <v>33385</v>
      </c>
      <c r="F30" s="14" t="str">
        <f t="shared" si="10"/>
        <v/>
      </c>
      <c r="G30" s="15">
        <f>SUM('1st Qtr'!G30, '2nd Qtr'!G30, '3rd Qtr'!G30, '4th Qtr'!G30)</f>
        <v>44600</v>
      </c>
      <c r="H30" s="15">
        <f>SUM('1st Qtr'!H30, '2nd Qtr'!H30, '3rd Qtr'!H30, '4th Qtr'!H30)</f>
        <v>-11215</v>
      </c>
      <c r="I30" s="16">
        <f t="shared" si="11"/>
        <v>-0.25145739910313902</v>
      </c>
    </row>
    <row r="31" spans="1:9" ht="15.6">
      <c r="A31" s="17" t="str">
        <v>Charlton – 154 Center Depot Road KMARD</v>
      </c>
      <c r="B31" s="10" t="str">
        <v>MA</v>
      </c>
      <c r="C31" s="11">
        <f>SUM('1st Qtr'!C31, '2nd Qtr'!C31, '3rd Qtr'!C31, '4th Qtr'!C31)</f>
        <v>31014</v>
      </c>
      <c r="D31" s="18">
        <f>SUM('1st Qtr'!D31, '2nd Qtr'!D31, '3rd Qtr'!D31, '4th Qtr'!D31)</f>
        <v>0</v>
      </c>
      <c r="E31" s="18">
        <f t="shared" si="9"/>
        <v>31014</v>
      </c>
      <c r="F31" s="19" t="str">
        <f t="shared" si="10"/>
        <v/>
      </c>
      <c r="G31" s="20">
        <f>SUM('1st Qtr'!G31, '2nd Qtr'!G31, '3rd Qtr'!G31, '4th Qtr'!G31)</f>
        <v>51900</v>
      </c>
      <c r="H31" s="20">
        <f>SUM('1st Qtr'!H31, '2nd Qtr'!H31, '3rd Qtr'!H31, '4th Qtr'!H31)</f>
        <v>-20886</v>
      </c>
      <c r="I31" s="19">
        <f t="shared" si="11"/>
        <v>-0.40242774566473988</v>
      </c>
    </row>
    <row r="32" spans="1:9" ht="15.6">
      <c r="A32" s="12" t="str">
        <v>Charlton – 142A Brookfield Rd (Mitchell)</v>
      </c>
      <c r="B32" s="9" t="str">
        <v>MA</v>
      </c>
      <c r="C32" s="24">
        <f>SUM('1st Qtr'!C32, '2nd Qtr'!C32, '3rd Qtr'!C32, '4th Qtr'!C32)</f>
        <v>31324</v>
      </c>
      <c r="D32" s="13">
        <f>SUM('1st Qtr'!D32, '2nd Qtr'!D32, '3rd Qtr'!D32, '4th Qtr'!D32)</f>
        <v>0</v>
      </c>
      <c r="E32" s="13">
        <f t="shared" si="9"/>
        <v>31324</v>
      </c>
      <c r="F32" s="14" t="str">
        <f t="shared" si="10"/>
        <v/>
      </c>
      <c r="G32" s="15">
        <f>SUM('1st Qtr'!G32, '2nd Qtr'!G32, '3rd Qtr'!G32, '4th Qtr'!G32)</f>
        <v>45625</v>
      </c>
      <c r="H32" s="15">
        <f>SUM('1st Qtr'!H32, '2nd Qtr'!H32, '3rd Qtr'!H32, '4th Qtr'!H32)</f>
        <v>-14301</v>
      </c>
      <c r="I32" s="16">
        <f t="shared" si="11"/>
        <v>-0.31344657534246573</v>
      </c>
    </row>
    <row r="33" spans="1:9" ht="15.6">
      <c r="A33" s="17" t="str">
        <v>Great Barrington – 3 Nolan  Drive</v>
      </c>
      <c r="B33" s="10" t="str">
        <v>MA</v>
      </c>
      <c r="C33" s="11">
        <f>SUM('1st Qtr'!C33, '2nd Qtr'!C33, '3rd Qtr'!C33, '4th Qtr'!C33)</f>
        <v>22674</v>
      </c>
      <c r="D33" s="18">
        <f>SUM('1st Qtr'!D33, '2nd Qtr'!D33, '3rd Qtr'!D33, '4th Qtr'!D33)</f>
        <v>0</v>
      </c>
      <c r="E33" s="18">
        <f t="shared" si="9"/>
        <v>22674</v>
      </c>
      <c r="F33" s="19" t="str">
        <f t="shared" si="10"/>
        <v/>
      </c>
      <c r="G33" s="20">
        <f>SUM('1st Qtr'!G33, '2nd Qtr'!G33, '3rd Qtr'!G33, '4th Qtr'!G33)</f>
        <v>84700</v>
      </c>
      <c r="H33" s="20">
        <f>SUM('1st Qtr'!H33, '2nd Qtr'!H33, '3rd Qtr'!H33, '4th Qtr'!H33)</f>
        <v>-62026</v>
      </c>
      <c r="I33" s="19">
        <f t="shared" si="11"/>
        <v>-0.73230224321133408</v>
      </c>
    </row>
    <row r="34" spans="1:9" ht="15.6">
      <c r="A34" s="12" t="str">
        <v>Stockbridge – 92 State Line Road Truck Stop</v>
      </c>
      <c r="B34" s="9" t="str">
        <v>MA</v>
      </c>
      <c r="C34" s="24">
        <f>SUM('1st Qtr'!C34, '2nd Qtr'!C34, '3rd Qtr'!C34, '4th Qtr'!C34)</f>
        <v>61262</v>
      </c>
      <c r="D34" s="13">
        <f>SUM('1st Qtr'!D34, '2nd Qtr'!D34, '3rd Qtr'!D34, '4th Qtr'!D34)</f>
        <v>0</v>
      </c>
      <c r="E34" s="13">
        <f t="shared" si="9"/>
        <v>61262</v>
      </c>
      <c r="F34" s="14" t="str">
        <f t="shared" si="10"/>
        <v/>
      </c>
      <c r="G34" s="15">
        <f>SUM('1st Qtr'!G34, '2nd Qtr'!G34, '3rd Qtr'!G34, '4th Qtr'!G34)</f>
        <v>145700</v>
      </c>
      <c r="H34" s="15">
        <f>SUM('1st Qtr'!H34, '2nd Qtr'!H34, '3rd Qtr'!H34, '4th Qtr'!H34)</f>
        <v>-84438</v>
      </c>
      <c r="I34" s="16">
        <f t="shared" si="11"/>
        <v>-0.57953328757721345</v>
      </c>
    </row>
    <row r="35" spans="1:9" ht="15.6">
      <c r="A35" s="17" t="str">
        <v>NY: New Windsor - Moores Hill</v>
      </c>
      <c r="B35" s="10" t="str">
        <v>NY</v>
      </c>
      <c r="C35" s="58">
        <f>SUM('1st Qtr'!C35, '2nd Qtr'!C35, '3rd Qtr'!C35, '4th Qtr'!C35)</f>
        <v>142659</v>
      </c>
      <c r="D35" s="18">
        <f>SUM('1st Qtr'!D35, '2nd Qtr'!D35, '3rd Qtr'!D35, '4th Qtr'!D35)</f>
        <v>124364.3</v>
      </c>
      <c r="E35" s="18">
        <f>IF(AND(ISNUMBER(C35),ISNUMBER(D35)), C35-D35, "")</f>
        <v>18294.699999999997</v>
      </c>
      <c r="F35" s="52">
        <f>IFERROR(E35/D35, "")</f>
        <v>0.14710572085397494</v>
      </c>
      <c r="G35" s="50">
        <f>SUM('1st Qtr'!G35, '2nd Qtr'!G35, '3rd Qtr'!G35, '4th Qtr'!G35)</f>
        <v>156700</v>
      </c>
      <c r="H35" s="50">
        <f>SUM('1st Qtr'!H35, '2nd Qtr'!H35, '3rd Qtr'!H35, '4th Qtr'!H35)</f>
        <v>-14041</v>
      </c>
      <c r="I35" s="52">
        <f>IFERROR(H35/G35, "")</f>
        <v>-8.9604339502233565E-2</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C26" activePane="bottomRight" state="frozen"/>
      <selection pane="bottomRight" activeCell="K12" sqref="K12"/>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Lodestar</v>
      </c>
      <c r="B1" s="124"/>
      <c r="C1" s="124"/>
      <c r="D1" s="125" t="s">
        <v>10</v>
      </c>
      <c r="E1" s="125"/>
      <c r="F1" s="125"/>
      <c r="G1" s="123" t="s">
        <v>11</v>
      </c>
      <c r="H1" s="123"/>
      <c r="I1" s="123"/>
    </row>
    <row r="2" spans="1:9" ht="19.5" customHeight="1">
      <c r="A2" s="126" t="s">
        <v>2</v>
      </c>
      <c r="B2" s="126"/>
      <c r="C2" s="5">
        <f>SUM(C4:C103)</f>
        <v>2905198.3954556142</v>
      </c>
      <c r="D2" s="5">
        <f>SUM(D4:D103)</f>
        <v>4671467.2</v>
      </c>
      <c r="E2" s="5">
        <f>C2-D2</f>
        <v>-1766268.804544386</v>
      </c>
      <c r="F2" s="6">
        <f>IFERROR(E2/D2, 0)</f>
        <v>-0.37809722918409572</v>
      </c>
      <c r="G2" s="5">
        <f>SUM(G4:G103)</f>
        <v>4744949.58</v>
      </c>
      <c r="H2" s="7">
        <f>C2-G2</f>
        <v>-1839751.1845443859</v>
      </c>
      <c r="I2" s="6">
        <f>IFERROR(H2/G2, 0)</f>
        <v>-0.38772828952681637</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SUM(Jan!C4, Feb!C4, Mar!C4)</f>
        <v>40304</v>
      </c>
      <c r="D4" s="13">
        <f>SUM(Jan!D4, Feb!D4, Mar!D4)</f>
        <v>116413.5</v>
      </c>
      <c r="E4" s="13">
        <f>IF(AND(ISNUMBER(C4),ISNUMBER(D4)), C4-D4, "")</f>
        <v>-76109.5</v>
      </c>
      <c r="F4" s="14">
        <f>IFERROR(E4/D4, "")</f>
        <v>-0.6537858581693704</v>
      </c>
      <c r="G4" s="15">
        <f>SUM(Jan!G4, Feb!G4, Mar!G4)</f>
        <v>95570.47</v>
      </c>
      <c r="H4" s="15">
        <f>SUM(Jan!H4, Feb!H4, Mar!H4)</f>
        <v>-55266.47</v>
      </c>
      <c r="I4" s="16">
        <f>IFERROR(H4/G4, "")</f>
        <v>-0.57827977616935444</v>
      </c>
    </row>
    <row r="5" spans="1:9" ht="15.6">
      <c r="A5" s="42" t="str">
        <v>Bunce</v>
      </c>
      <c r="B5" s="10" t="str">
        <v>CT</v>
      </c>
      <c r="C5" s="11">
        <f>SUM(Jan!C5, Feb!C5, Mar!C5)</f>
        <v>106213</v>
      </c>
      <c r="D5" s="18">
        <f>SUM(Jan!D5, Feb!D5, Mar!D5)</f>
        <v>201662.9</v>
      </c>
      <c r="E5" s="18">
        <f t="shared" ref="E5:E15" si="0">IF(AND(ISNUMBER(C5),ISNUMBER(D5)), C5-D5, "")</f>
        <v>-95449.9</v>
      </c>
      <c r="F5" s="19">
        <f>IFERROR(E5/D5, "")</f>
        <v>-0.47331412966886816</v>
      </c>
      <c r="G5" s="20">
        <f>SUM(Jan!G5, Feb!G5, Mar!G5)</f>
        <v>0</v>
      </c>
      <c r="H5" s="20">
        <f>SUM(Jan!H5, Feb!H5, Mar!H5)</f>
        <v>106213</v>
      </c>
      <c r="I5" s="19" t="str">
        <f>IFERROR(H5/G5, "")</f>
        <v/>
      </c>
    </row>
    <row r="6" spans="1:9" ht="15.6">
      <c r="A6" s="41" t="str">
        <v>Norcap North</v>
      </c>
      <c r="B6" s="9" t="str">
        <v>CT</v>
      </c>
      <c r="C6" s="24">
        <f>SUM(Jan!C6, Feb!C6, Mar!C6)</f>
        <v>107826.5</v>
      </c>
      <c r="D6" s="13">
        <f>SUM(Jan!D6, Feb!D6, Mar!D6)</f>
        <v>263521.7</v>
      </c>
      <c r="E6" s="13">
        <f t="shared" si="0"/>
        <v>-155695.20000000001</v>
      </c>
      <c r="F6" s="14">
        <f t="shared" ref="F6:F15" si="1">IFERROR(E6/D6, "")</f>
        <v>-0.5908249681145803</v>
      </c>
      <c r="G6" s="15">
        <f>SUM(Jan!G6, Feb!G6, Mar!G6)</f>
        <v>178051.4</v>
      </c>
      <c r="H6" s="15">
        <f>SUM(Jan!H6, Feb!H6, Mar!H6)</f>
        <v>-70224.899999999994</v>
      </c>
      <c r="I6" s="16">
        <f t="shared" ref="I6:I15" si="2">IFERROR(H6/G6, "")</f>
        <v>-0.39440801925736052</v>
      </c>
    </row>
    <row r="7" spans="1:9" ht="15.6">
      <c r="A7" s="42" t="str">
        <v>Norcap South</v>
      </c>
      <c r="B7" s="10" t="str">
        <v>CT</v>
      </c>
      <c r="C7" s="11">
        <f>SUM(Jan!C7, Feb!C7, Mar!C7)</f>
        <v>133552.5</v>
      </c>
      <c r="D7" s="18">
        <f>SUM(Jan!D7, Feb!D7, Mar!D7)</f>
        <v>291285.59999999998</v>
      </c>
      <c r="E7" s="18">
        <f t="shared" si="0"/>
        <v>-157733.09999999998</v>
      </c>
      <c r="F7" s="19">
        <f t="shared" si="1"/>
        <v>-0.541506686221358</v>
      </c>
      <c r="G7" s="20">
        <f>SUM(Jan!G7, Feb!G7, Mar!G7)</f>
        <v>155002.70000000001</v>
      </c>
      <c r="H7" s="20">
        <f>SUM(Jan!H7, Feb!H7, Mar!H7)</f>
        <v>-21450.200000000012</v>
      </c>
      <c r="I7" s="19">
        <f t="shared" si="2"/>
        <v>-0.13838597650234485</v>
      </c>
    </row>
    <row r="8" spans="1:9" ht="15.6">
      <c r="A8" s="41" t="str">
        <v>Platt Hill</v>
      </c>
      <c r="B8" s="9" t="str">
        <v>CT</v>
      </c>
      <c r="C8" s="24">
        <f>SUM(Jan!C8, Feb!C8, Mar!C8)</f>
        <v>157751</v>
      </c>
      <c r="D8" s="13">
        <f>SUM(Jan!D8, Feb!D8, Mar!D8)</f>
        <v>227183.8</v>
      </c>
      <c r="E8" s="13">
        <f t="shared" si="0"/>
        <v>-69432.799999999988</v>
      </c>
      <c r="F8" s="14">
        <f t="shared" si="1"/>
        <v>-0.30562390452136107</v>
      </c>
      <c r="G8" s="15">
        <f>SUM(Jan!G8, Feb!G8, Mar!G8)</f>
        <v>230183.3</v>
      </c>
      <c r="H8" s="15">
        <f>SUM(Jan!H8, Feb!H8, Mar!H8)</f>
        <v>-72432.299999999988</v>
      </c>
      <c r="I8" s="16">
        <f t="shared" si="2"/>
        <v>-0.3146722633657611</v>
      </c>
    </row>
    <row r="9" spans="1:9" ht="15.6">
      <c r="A9" s="42" t="str">
        <v>Powder Hill</v>
      </c>
      <c r="B9" s="10" t="str">
        <v>CT</v>
      </c>
      <c r="C9" s="11">
        <f>SUM(Jan!C9, Feb!C9, Mar!C9)</f>
        <v>76810</v>
      </c>
      <c r="D9" s="18">
        <f>SUM(Jan!D9, Feb!D9, Mar!D9)</f>
        <v>211374.5</v>
      </c>
      <c r="E9" s="18">
        <f t="shared" si="0"/>
        <v>-134564.5</v>
      </c>
      <c r="F9" s="19">
        <f t="shared" si="1"/>
        <v>-0.63661652659142898</v>
      </c>
      <c r="G9" s="20">
        <f>SUM(Jan!G9, Feb!G9, Mar!G9)</f>
        <v>155676</v>
      </c>
      <c r="H9" s="20">
        <f>SUM(Jan!H9, Feb!H9, Mar!H9)</f>
        <v>-78866</v>
      </c>
      <c r="I9" s="19">
        <f t="shared" si="2"/>
        <v>-0.50660345846501709</v>
      </c>
    </row>
    <row r="10" spans="1:9" ht="15.6">
      <c r="A10" s="41" t="str">
        <v>Sand Road</v>
      </c>
      <c r="B10" s="9" t="str">
        <v>CT</v>
      </c>
      <c r="C10" s="24">
        <f>SUM(Jan!C10, Feb!C10, Mar!C10)</f>
        <v>91637</v>
      </c>
      <c r="D10" s="13">
        <f>SUM(Jan!D10, Feb!D10, Mar!D10)</f>
        <v>165412.20000000001</v>
      </c>
      <c r="E10" s="13">
        <f t="shared" si="0"/>
        <v>-73775.200000000012</v>
      </c>
      <c r="F10" s="14">
        <f t="shared" si="1"/>
        <v>-0.44600821462987617</v>
      </c>
      <c r="G10" s="15">
        <f>SUM(Jan!G10, Feb!G10, Mar!G10)</f>
        <v>145302</v>
      </c>
      <c r="H10" s="15">
        <f>SUM(Jan!H10, Feb!H10, Mar!H10)</f>
        <v>-53665</v>
      </c>
      <c r="I10" s="16">
        <f t="shared" si="2"/>
        <v>-0.36933421425720225</v>
      </c>
    </row>
    <row r="11" spans="1:9" ht="15.6">
      <c r="A11" s="42" t="str">
        <v>Suffield</v>
      </c>
      <c r="B11" s="10" t="str">
        <v>CT</v>
      </c>
      <c r="C11" s="11">
        <f>SUM(Jan!C11, Feb!C11, Mar!C11)</f>
        <v>99470</v>
      </c>
      <c r="D11" s="18">
        <f>SUM(Jan!D11, Feb!D11, Mar!D11)</f>
        <v>204426.3</v>
      </c>
      <c r="E11" s="18">
        <f t="shared" si="0"/>
        <v>-104956.29999999999</v>
      </c>
      <c r="F11" s="19">
        <f t="shared" si="1"/>
        <v>-0.51341877243779299</v>
      </c>
      <c r="G11" s="20">
        <f>SUM(Jan!G11, Feb!G11, Mar!G11)</f>
        <v>190039.3</v>
      </c>
      <c r="H11" s="20">
        <f>SUM(Jan!H11, Feb!H11, Mar!H11)</f>
        <v>-90569.299999999988</v>
      </c>
      <c r="I11" s="19">
        <f t="shared" si="2"/>
        <v>-0.47658194910210672</v>
      </c>
    </row>
    <row r="12" spans="1:9" ht="15.6">
      <c r="A12" s="41" t="str">
        <v>Ashby-Duffy</v>
      </c>
      <c r="B12" s="9" t="str">
        <v>MA</v>
      </c>
      <c r="C12" s="24">
        <f>SUM(Jan!C12, Feb!C12, Mar!C12)</f>
        <v>89125</v>
      </c>
      <c r="D12" s="13">
        <f>SUM(Jan!D12, Feb!D12, Mar!D12)</f>
        <v>349088.9</v>
      </c>
      <c r="E12" s="13">
        <f t="shared" si="0"/>
        <v>-259963.90000000002</v>
      </c>
      <c r="F12" s="14">
        <f t="shared" si="1"/>
        <v>-0.74469254106905147</v>
      </c>
      <c r="G12" s="15">
        <f>SUM(Jan!G12, Feb!G12, Mar!G12)</f>
        <v>156689.70000000001</v>
      </c>
      <c r="H12" s="15">
        <f>SUM(Jan!H12, Feb!H12, Mar!H12)</f>
        <v>-67564.700000000012</v>
      </c>
      <c r="I12" s="16">
        <f t="shared" si="2"/>
        <v>-0.43120064688361781</v>
      </c>
    </row>
    <row r="13" spans="1:9" ht="15.6">
      <c r="A13" s="42" t="str">
        <v>Ashland</v>
      </c>
      <c r="B13" s="10" t="str">
        <v>MA</v>
      </c>
      <c r="C13" s="11">
        <f>SUM(Jan!C13, Feb!C13, Mar!C13)</f>
        <v>68832.921875</v>
      </c>
      <c r="D13" s="18">
        <f>SUM(Jan!D13, Feb!D13, Mar!D13)</f>
        <v>206882.1</v>
      </c>
      <c r="E13" s="18">
        <f t="shared" si="0"/>
        <v>-138049.17812500001</v>
      </c>
      <c r="F13" s="19">
        <f t="shared" si="1"/>
        <v>-0.66728430407947326</v>
      </c>
      <c r="G13" s="20">
        <f>SUM(Jan!G13, Feb!G13, Mar!G13)</f>
        <v>132952.6</v>
      </c>
      <c r="H13" s="20">
        <f>SUM(Jan!H13, Feb!H13, Mar!H13)</f>
        <v>-64119.678125000006</v>
      </c>
      <c r="I13" s="19">
        <f t="shared" si="2"/>
        <v>-0.48227472140447047</v>
      </c>
    </row>
    <row r="14" spans="1:9" ht="15.6">
      <c r="A14" s="41" t="str">
        <v>Barrington</v>
      </c>
      <c r="B14" s="9" t="str">
        <v>MA</v>
      </c>
      <c r="C14" s="24">
        <f>SUM(Jan!C14, Feb!C14, Mar!C14)</f>
        <v>15350</v>
      </c>
      <c r="D14" s="13">
        <f>SUM(Jan!D14, Feb!D14, Mar!D14)</f>
        <v>33298.480000000003</v>
      </c>
      <c r="E14" s="13">
        <f t="shared" si="0"/>
        <v>-17948.480000000003</v>
      </c>
      <c r="F14" s="14">
        <f t="shared" si="1"/>
        <v>-0.53901799721789112</v>
      </c>
      <c r="G14" s="15">
        <f>SUM(Jan!G14, Feb!G14, Mar!G14)</f>
        <v>35820</v>
      </c>
      <c r="H14" s="15">
        <f>SUM(Jan!H14, Feb!H14, Mar!H14)</f>
        <v>-20470</v>
      </c>
      <c r="I14" s="16">
        <f t="shared" si="2"/>
        <v>-0.57146845337800112</v>
      </c>
    </row>
    <row r="15" spans="1:9" ht="15.6">
      <c r="A15" s="42" t="str">
        <v>Bedford - 205 Burlington Rd</v>
      </c>
      <c r="B15" s="10" t="str">
        <v>MA</v>
      </c>
      <c r="C15" s="11">
        <f>SUM(Jan!C15, Feb!C15, Mar!C15)</f>
        <v>6578</v>
      </c>
      <c r="D15" s="18">
        <f>SUM(Jan!D15, Feb!D15, Mar!D15)</f>
        <v>0</v>
      </c>
      <c r="E15" s="18">
        <f t="shared" si="0"/>
        <v>6578</v>
      </c>
      <c r="F15" s="19" t="str">
        <f t="shared" si="1"/>
        <v/>
      </c>
      <c r="G15" s="20">
        <f>SUM(Jan!G15, Feb!G15, Mar!G15)</f>
        <v>0</v>
      </c>
      <c r="H15" s="20">
        <f>SUM(Jan!H15, Feb!H15, Mar!H15)</f>
        <v>0</v>
      </c>
      <c r="I15" s="19" t="str">
        <f t="shared" si="2"/>
        <v/>
      </c>
    </row>
    <row r="16" spans="1:9" ht="15.6">
      <c r="A16" s="41" t="str">
        <v>Billerica - 6 Cook Street</v>
      </c>
      <c r="B16" s="9" t="str">
        <v>MA</v>
      </c>
      <c r="C16" s="24">
        <f>SUM(Jan!C16, Feb!C16, Mar!C16)</f>
        <v>5685</v>
      </c>
      <c r="D16" s="13">
        <f>SUM(Jan!D16, Feb!D16, Mar!D16)</f>
        <v>0</v>
      </c>
      <c r="E16" s="13">
        <f t="shared" ref="E16:E18" si="3">IF(AND(ISNUMBER(C16),ISNUMBER(D16)), C16-D16, "")</f>
        <v>5685</v>
      </c>
      <c r="F16" s="14" t="str">
        <f t="shared" ref="F16:F22" si="4">IFERROR(E16/D16, "")</f>
        <v/>
      </c>
      <c r="G16" s="15">
        <f>SUM(Jan!G16, Feb!G16, Mar!G16)</f>
        <v>0</v>
      </c>
      <c r="H16" s="15">
        <f>SUM(Jan!H16, Feb!H16, Mar!H16)</f>
        <v>0</v>
      </c>
      <c r="I16" s="16" t="str">
        <f t="shared" ref="I16:I22" si="5">IFERROR(H16/G16, "")</f>
        <v/>
      </c>
    </row>
    <row r="17" spans="1:9" ht="15.6">
      <c r="A17" s="42" t="str">
        <v>Billerica - 780 Boston Road</v>
      </c>
      <c r="B17" s="10" t="str">
        <v>MA</v>
      </c>
      <c r="C17" s="11">
        <f>SUM(Jan!C17, Feb!C17, Mar!C17)</f>
        <v>6344</v>
      </c>
      <c r="D17" s="18">
        <f>SUM(Jan!D17, Feb!D17, Mar!D17)</f>
        <v>0</v>
      </c>
      <c r="E17" s="18">
        <f t="shared" si="3"/>
        <v>6344</v>
      </c>
      <c r="F17" s="19" t="str">
        <f t="shared" si="4"/>
        <v/>
      </c>
      <c r="G17" s="20">
        <f>SUM(Jan!G17, Feb!G17, Mar!G17)</f>
        <v>0</v>
      </c>
      <c r="H17" s="20">
        <f>SUM(Jan!H17, Feb!H17, Mar!H17)</f>
        <v>0</v>
      </c>
      <c r="I17" s="19" t="str">
        <f t="shared" si="5"/>
        <v/>
      </c>
    </row>
    <row r="18" spans="1:9" ht="12.75" customHeight="1">
      <c r="A18" s="41" t="str">
        <v>Cheshire</v>
      </c>
      <c r="B18" s="9" t="str">
        <v>MA</v>
      </c>
      <c r="C18" s="24">
        <f>SUM(Jan!C18, Feb!C18, Mar!C18)</f>
        <v>14132.127376426</v>
      </c>
      <c r="D18" s="13">
        <f>SUM(Jan!D18, Feb!D18, Mar!D18)</f>
        <v>37168.14</v>
      </c>
      <c r="E18" s="13">
        <f t="shared" si="3"/>
        <v>-23036.012623573999</v>
      </c>
      <c r="F18" s="14">
        <f t="shared" si="4"/>
        <v>-0.61977846143428217</v>
      </c>
      <c r="G18" s="15">
        <f>SUM(Jan!G18, Feb!G18, Mar!G18)</f>
        <v>24071.68</v>
      </c>
      <c r="H18" s="15">
        <f>SUM(Jan!H18, Feb!H18, Mar!H18)</f>
        <v>-9939.5526235739999</v>
      </c>
      <c r="I18" s="16">
        <f t="shared" si="5"/>
        <v>-0.41291478715129148</v>
      </c>
    </row>
    <row r="19" spans="1:9" ht="15.6">
      <c r="A19" s="42" t="str">
        <v>Lilly Lane</v>
      </c>
      <c r="B19" s="10" t="str">
        <v>MA</v>
      </c>
      <c r="C19" s="11">
        <f>SUM(Jan!C19, Feb!C19, Mar!C19)</f>
        <v>247328</v>
      </c>
      <c r="D19" s="18">
        <f>SUM(Jan!D19, Feb!D19, Mar!D19)</f>
        <v>73814.69</v>
      </c>
      <c r="E19" s="18">
        <f t="shared" ref="E19:E32" si="6">IF(AND(ISNUMBER(C19),ISNUMBER(D19)), C19-D19, "")</f>
        <v>173513.31</v>
      </c>
      <c r="F19" s="19">
        <f t="shared" ref="F19:F34" si="7">IFERROR(E19/D19, "")</f>
        <v>2.3506609592209897</v>
      </c>
      <c r="G19" s="20">
        <f>SUM(Jan!G19, Feb!G19, Mar!G19)</f>
        <v>112006.2</v>
      </c>
      <c r="H19" s="20">
        <f>SUM(Jan!H19, Feb!H19, Mar!H19)</f>
        <v>135321.79999999999</v>
      </c>
      <c r="I19" s="19">
        <f t="shared" ref="I19:I34" si="8">IFERROR(H19/G19, "")</f>
        <v>1.2081634766646845</v>
      </c>
    </row>
    <row r="20" spans="1:9" ht="15.6">
      <c r="A20" s="41" t="str">
        <v>Monument Valley</v>
      </c>
      <c r="B20" s="9" t="str">
        <v>MA</v>
      </c>
      <c r="C20" s="24">
        <f>SUM(Jan!C20, Feb!C20, Mar!C20)</f>
        <v>86949.625</v>
      </c>
      <c r="D20" s="13">
        <f>SUM(Jan!D20, Feb!D20, Mar!D20)</f>
        <v>137232</v>
      </c>
      <c r="E20" s="13">
        <f t="shared" si="6"/>
        <v>-50282.375</v>
      </c>
      <c r="F20" s="14">
        <f t="shared" si="4"/>
        <v>-0.36640415500757839</v>
      </c>
      <c r="G20" s="15">
        <f>SUM(Jan!G20, Feb!G20, Mar!G20)</f>
        <v>173008</v>
      </c>
      <c r="H20" s="15">
        <f>SUM(Jan!H20, Feb!H20, Mar!H20)</f>
        <v>-86058.375</v>
      </c>
      <c r="I20" s="16">
        <f t="shared" si="5"/>
        <v>-0.49742425205770829</v>
      </c>
    </row>
    <row r="21" spans="1:9" ht="15.6">
      <c r="A21" s="42" t="str">
        <v>Nationwide</v>
      </c>
      <c r="B21" s="10" t="str">
        <v>MA</v>
      </c>
      <c r="C21" s="11">
        <f>SUM(Jan!C21, Feb!C21, Mar!C21)</f>
        <v>13320</v>
      </c>
      <c r="D21" s="18">
        <f>SUM(Jan!D21, Feb!D21, Mar!D21)</f>
        <v>196927.4</v>
      </c>
      <c r="E21" s="18">
        <f t="shared" si="6"/>
        <v>-183607.4</v>
      </c>
      <c r="F21" s="19">
        <f t="shared" si="7"/>
        <v>-0.93236085989049766</v>
      </c>
      <c r="G21" s="20">
        <f>SUM(Jan!G21, Feb!G21, Mar!G21)</f>
        <v>295993.2</v>
      </c>
      <c r="H21" s="20">
        <f>SUM(Jan!H21, Feb!H21, Mar!H21)</f>
        <v>-282673.2</v>
      </c>
      <c r="I21" s="19">
        <f t="shared" si="8"/>
        <v>-0.9549989661924666</v>
      </c>
    </row>
    <row r="22" spans="1:9" ht="15.6">
      <c r="A22" s="41" t="str">
        <v>Pulpit Hill</v>
      </c>
      <c r="B22" s="9" t="str">
        <v>MA</v>
      </c>
      <c r="C22" s="24">
        <f>SUM(Jan!C22, Feb!C22, Mar!C22)</f>
        <v>185084.75</v>
      </c>
      <c r="D22" s="13">
        <f>SUM(Jan!D22, Feb!D22, Mar!D22)</f>
        <v>415273.8</v>
      </c>
      <c r="E22" s="13">
        <f t="shared" si="6"/>
        <v>-230189.05</v>
      </c>
      <c r="F22" s="14">
        <f t="shared" si="4"/>
        <v>-0.55430670078391653</v>
      </c>
      <c r="G22" s="15">
        <f>SUM(Jan!G22, Feb!G22, Mar!G22)</f>
        <v>353402.4</v>
      </c>
      <c r="H22" s="15">
        <f>SUM(Jan!H22, Feb!H22, Mar!H22)</f>
        <v>-168317.65000000002</v>
      </c>
      <c r="I22" s="16">
        <f t="shared" si="5"/>
        <v>-0.47627760875421338</v>
      </c>
    </row>
    <row r="23" spans="1:9" ht="15.6">
      <c r="A23" s="42" t="str">
        <v>Sandwich</v>
      </c>
      <c r="B23" s="10" t="str">
        <v>MA</v>
      </c>
      <c r="C23" s="11">
        <f>SUM(Jan!C23, Feb!C23, Mar!C23)</f>
        <v>178116</v>
      </c>
      <c r="D23" s="18">
        <f>SUM(Jan!D23, Feb!D23, Mar!D23)</f>
        <v>207909.2</v>
      </c>
      <c r="E23" s="18">
        <f t="shared" si="6"/>
        <v>-29793.200000000012</v>
      </c>
      <c r="F23" s="19">
        <f t="shared" si="7"/>
        <v>-0.14329909402758517</v>
      </c>
      <c r="G23" s="20">
        <f>SUM(Jan!G23, Feb!G23, Mar!G23)</f>
        <v>302777.09999999998</v>
      </c>
      <c r="H23" s="20">
        <f>SUM(Jan!H23, Feb!H23, Mar!H23)</f>
        <v>-124661.09999999998</v>
      </c>
      <c r="I23" s="19">
        <f t="shared" si="8"/>
        <v>-0.41172565560605473</v>
      </c>
    </row>
    <row r="24" spans="1:9" ht="15.6">
      <c r="A24" s="41" t="str">
        <v>Sturbridge Barn</v>
      </c>
      <c r="B24" s="9" t="str">
        <v>MA</v>
      </c>
      <c r="C24" s="24">
        <f>SUM(Jan!C24, Feb!C24, Mar!C24)</f>
        <v>36189.5</v>
      </c>
      <c r="D24" s="13">
        <f>SUM(Jan!D24, Feb!D24, Mar!D24)</f>
        <v>109881</v>
      </c>
      <c r="E24" s="13">
        <f t="shared" si="6"/>
        <v>-73691.5</v>
      </c>
      <c r="F24" s="14">
        <f t="shared" si="7"/>
        <v>-0.67064824673965473</v>
      </c>
      <c r="G24" s="15">
        <f>SUM(Jan!G24, Feb!G24, Mar!G24)</f>
        <v>109508.5</v>
      </c>
      <c r="H24" s="15">
        <f>SUM(Jan!H24, Feb!H24, Mar!H24)</f>
        <v>-73319</v>
      </c>
      <c r="I24" s="16">
        <f t="shared" si="8"/>
        <v>-0.66952793618760187</v>
      </c>
    </row>
    <row r="25" spans="1:9" ht="15.6">
      <c r="A25" s="42" t="str">
        <v>Sturbridge Garage</v>
      </c>
      <c r="B25" s="10" t="str">
        <v>MA</v>
      </c>
      <c r="C25" s="11">
        <f>SUM(Jan!C25, Feb!C25, Mar!C25)</f>
        <v>11304</v>
      </c>
      <c r="D25" s="18">
        <f>SUM(Jan!D25, Feb!D25, Mar!D25)</f>
        <v>51741.89</v>
      </c>
      <c r="E25" s="18">
        <f t="shared" si="6"/>
        <v>-40437.89</v>
      </c>
      <c r="F25" s="19">
        <f t="shared" si="7"/>
        <v>-0.78153098002411581</v>
      </c>
      <c r="G25" s="20">
        <f>SUM(Jan!G25, Feb!G25, Mar!G25)</f>
        <v>55328.23</v>
      </c>
      <c r="H25" s="20">
        <f>SUM(Jan!H25, Feb!H25, Mar!H25)</f>
        <v>-44024.23</v>
      </c>
      <c r="I25" s="19">
        <f t="shared" si="8"/>
        <v>-0.79569200026821751</v>
      </c>
    </row>
    <row r="26" spans="1:9" ht="15.6">
      <c r="A26" s="41" t="str">
        <v>Halsey Valley</v>
      </c>
      <c r="B26" s="9" t="str">
        <v>NY</v>
      </c>
      <c r="C26" s="24">
        <f>SUM(Jan!C26, Feb!C26, Mar!C26)</f>
        <v>227114</v>
      </c>
      <c r="D26" s="13">
        <f>SUM(Jan!D26, Feb!D26, Mar!D26)</f>
        <v>419380</v>
      </c>
      <c r="E26" s="13">
        <f t="shared" si="6"/>
        <v>-192266</v>
      </c>
      <c r="F26" s="14">
        <f t="shared" si="7"/>
        <v>-0.45845295436119987</v>
      </c>
      <c r="G26" s="15">
        <f>SUM(Jan!G26, Feb!G26, Mar!G26)</f>
        <v>384000</v>
      </c>
      <c r="H26" s="15">
        <f>SUM(Jan!H26, Feb!H26, Mar!H26)</f>
        <v>-156886</v>
      </c>
      <c r="I26" s="16">
        <f t="shared" si="8"/>
        <v>-0.40855729166666666</v>
      </c>
    </row>
    <row r="27" spans="1:9" ht="15.6">
      <c r="A27" s="42" t="str">
        <v>Hunt Creek</v>
      </c>
      <c r="B27" s="10" t="str">
        <v>NY</v>
      </c>
      <c r="C27" s="11">
        <f>SUM(Jan!C27, Feb!C27, Mar!C27)</f>
        <v>105282.471204188</v>
      </c>
      <c r="D27" s="18">
        <f>SUM(Jan!D27, Feb!D27, Mar!D27)</f>
        <v>291366.8</v>
      </c>
      <c r="E27" s="18">
        <f t="shared" si="6"/>
        <v>-186084.32879581198</v>
      </c>
      <c r="F27" s="19">
        <f t="shared" si="7"/>
        <v>-0.63866002851324166</v>
      </c>
      <c r="G27" s="20">
        <f>SUM(Jan!G27, Feb!G27, Mar!G27)</f>
        <v>228700</v>
      </c>
      <c r="H27" s="20">
        <f>SUM(Jan!H27, Feb!H27, Mar!H27)</f>
        <v>-123417.528795812</v>
      </c>
      <c r="I27" s="19">
        <f t="shared" si="8"/>
        <v>-0.53964813640494969</v>
      </c>
    </row>
    <row r="28" spans="1:9" ht="15.6">
      <c r="A28" s="41" t="str">
        <v>Smith Creek</v>
      </c>
      <c r="B28" s="9" t="str">
        <v>NY</v>
      </c>
      <c r="C28" s="24">
        <f>SUM(Jan!C28, Feb!C28, Mar!C28)</f>
        <v>230880</v>
      </c>
      <c r="D28" s="13">
        <f>SUM(Jan!D28, Feb!D28, Mar!D28)</f>
        <v>335858</v>
      </c>
      <c r="E28" s="13">
        <f t="shared" si="6"/>
        <v>-104978</v>
      </c>
      <c r="F28" s="14">
        <f t="shared" si="7"/>
        <v>-0.31256662041696193</v>
      </c>
      <c r="G28" s="15">
        <f>SUM(Jan!G28, Feb!G28, Mar!G28)</f>
        <v>396606.8</v>
      </c>
      <c r="H28" s="15">
        <f>SUM(Jan!H28, Feb!H28, Mar!H28)</f>
        <v>-165726.79999999999</v>
      </c>
      <c r="I28" s="16">
        <f t="shared" si="8"/>
        <v>-0.41786172097906538</v>
      </c>
    </row>
    <row r="29" spans="1:9" ht="15.6">
      <c r="A29" s="42" t="str">
        <v>Bradford - 256 Presidential Dr</v>
      </c>
      <c r="B29" s="10" t="str">
        <v>MA</v>
      </c>
      <c r="C29" s="11">
        <f>SUM(Jan!C29, Feb!C29, Mar!C29)</f>
        <v>241701</v>
      </c>
      <c r="D29" s="18">
        <f>SUM(Jan!D29, Feb!D29, Mar!D29)</f>
        <v>0</v>
      </c>
      <c r="E29" s="18">
        <f>IF(AND(ISNUMBER(C29),ISNUMBER(D29)), C29-D29, "")</f>
        <v>241701</v>
      </c>
      <c r="F29" s="19" t="str">
        <f>IFERROR(E29/D29, "")</f>
        <v/>
      </c>
      <c r="G29" s="20">
        <f>SUM(Jan!G29, Feb!G29, Mar!G29)</f>
        <v>305035</v>
      </c>
      <c r="H29" s="20">
        <f>SUM(Jan!H29, Feb!H29, Mar!H29)</f>
        <v>-63334</v>
      </c>
      <c r="I29" s="19">
        <f>IFERROR(H29/G29, "")</f>
        <v>-0.20762863277984495</v>
      </c>
    </row>
    <row r="30" spans="1:9" ht="15.6">
      <c r="A30" s="41" t="str">
        <v>Charlton – 111 Brookfield Road - Bus Lot</v>
      </c>
      <c r="B30" s="9" t="str">
        <v>MA</v>
      </c>
      <c r="C30" s="24">
        <f>SUM(Jan!C30, Feb!C30, Mar!C30)</f>
        <v>33385</v>
      </c>
      <c r="D30" s="13">
        <f>SUM(Jan!D30, Feb!D30, Mar!D30)</f>
        <v>0</v>
      </c>
      <c r="E30" s="13">
        <f t="shared" si="6"/>
        <v>33385</v>
      </c>
      <c r="F30" s="14" t="str">
        <f t="shared" si="7"/>
        <v/>
      </c>
      <c r="G30" s="15">
        <f>SUM(Jan!G30, Feb!G30, Mar!G30)</f>
        <v>44600</v>
      </c>
      <c r="H30" s="15">
        <f>SUM(Jan!H30, Feb!H30, Mar!H30)</f>
        <v>-11215</v>
      </c>
      <c r="I30" s="16">
        <f t="shared" si="8"/>
        <v>-0.25145739910313902</v>
      </c>
    </row>
    <row r="31" spans="1:9" ht="15.6">
      <c r="A31" s="42" t="str">
        <v>Charlton – 154 Center Depot Road KMARD</v>
      </c>
      <c r="B31" s="10" t="str">
        <v>MA</v>
      </c>
      <c r="C31" s="11">
        <f>SUM(Jan!C31, Feb!C31, Mar!C31)</f>
        <v>31014</v>
      </c>
      <c r="D31" s="18">
        <f>SUM(Jan!D31, Feb!D31, Mar!D31)</f>
        <v>0</v>
      </c>
      <c r="E31" s="18">
        <f t="shared" si="6"/>
        <v>31014</v>
      </c>
      <c r="F31" s="19" t="str">
        <f t="shared" si="7"/>
        <v/>
      </c>
      <c r="G31" s="20">
        <f>SUM(Jan!G31, Feb!G31, Mar!G31)</f>
        <v>51900</v>
      </c>
      <c r="H31" s="20">
        <f>SUM(Jan!H31, Feb!H31, Mar!H31)</f>
        <v>-20886</v>
      </c>
      <c r="I31" s="19">
        <f t="shared" si="8"/>
        <v>-0.40242774566473988</v>
      </c>
    </row>
    <row r="32" spans="1:9" ht="15.6">
      <c r="A32" s="41" t="str">
        <v>Charlton – 142A Brookfield Rd (Mitchell)</v>
      </c>
      <c r="B32" s="9" t="str">
        <v>MA</v>
      </c>
      <c r="C32" s="24">
        <f>SUM(Jan!C32, Feb!C32, Mar!C32)</f>
        <v>31324</v>
      </c>
      <c r="D32" s="13">
        <f>SUM(Jan!D32, Feb!D32, Mar!D32)</f>
        <v>0</v>
      </c>
      <c r="E32" s="13">
        <f t="shared" si="6"/>
        <v>31324</v>
      </c>
      <c r="F32" s="14" t="str">
        <f t="shared" si="7"/>
        <v/>
      </c>
      <c r="G32" s="15">
        <f>SUM(Jan!G32, Feb!G32, Mar!G32)</f>
        <v>45625</v>
      </c>
      <c r="H32" s="15">
        <f>SUM(Jan!H32, Feb!H32, Mar!H32)</f>
        <v>-14301</v>
      </c>
      <c r="I32" s="16">
        <f t="shared" si="8"/>
        <v>-0.31344657534246573</v>
      </c>
    </row>
    <row r="33" spans="1:9" ht="15.6">
      <c r="A33" s="42" t="str">
        <v>Great Barrington – 3 Nolan  Drive</v>
      </c>
      <c r="B33" s="10" t="str">
        <v>MA</v>
      </c>
      <c r="C33" s="11">
        <f>SUM(Jan!C33, Feb!C33, Mar!C33)</f>
        <v>22674</v>
      </c>
      <c r="D33" s="18">
        <f>SUM(Jan!D33, Feb!D33, Mar!D33)</f>
        <v>0</v>
      </c>
      <c r="E33" s="18">
        <f>IF(AND(ISNUMBER(C33),ISNUMBER(D33)), C33-D33, "")</f>
        <v>22674</v>
      </c>
      <c r="F33" s="19" t="str">
        <f t="shared" si="7"/>
        <v/>
      </c>
      <c r="G33" s="20">
        <f>SUM(Jan!G33, Feb!G33, Mar!G33)</f>
        <v>84700</v>
      </c>
      <c r="H33" s="20">
        <f>SUM(Jan!H33, Feb!H33, Mar!H33)</f>
        <v>-62026</v>
      </c>
      <c r="I33" s="19">
        <f t="shared" si="8"/>
        <v>-0.73230224321133408</v>
      </c>
    </row>
    <row r="34" spans="1:9" ht="15.6">
      <c r="A34" s="41" t="str">
        <v>Stockbridge – 92 State Line Road Truck Stop</v>
      </c>
      <c r="B34" s="9" t="str">
        <v>MA</v>
      </c>
      <c r="C34" s="24">
        <f>SUM(Jan!C34, Feb!C34, Mar!C34)</f>
        <v>61262</v>
      </c>
      <c r="D34" s="13">
        <f>SUM(Jan!D34, Feb!D34, Mar!D34)</f>
        <v>0</v>
      </c>
      <c r="E34" s="13">
        <f>IF(AND(ISNUMBER(C34),ISNUMBER(D34)), C34-D34, "")</f>
        <v>61262</v>
      </c>
      <c r="F34" s="14" t="str">
        <f t="shared" si="7"/>
        <v/>
      </c>
      <c r="G34" s="15">
        <f>SUM(Jan!G34, Feb!G34, Mar!G34)</f>
        <v>145700</v>
      </c>
      <c r="H34" s="15">
        <f>SUM(Jan!H34, Feb!H34, Mar!H34)</f>
        <v>-84438</v>
      </c>
      <c r="I34" s="16">
        <f t="shared" si="8"/>
        <v>-0.57953328757721345</v>
      </c>
    </row>
    <row r="35" spans="1:9" ht="15.6">
      <c r="A35" s="42" t="str">
        <v>NY: New Windsor - Moores Hill</v>
      </c>
      <c r="B35" s="10" t="str">
        <v>NY</v>
      </c>
      <c r="C35" s="58">
        <f>SUM(Jan!C35, Feb!C35, Mar!C35)</f>
        <v>142659</v>
      </c>
      <c r="D35" s="18">
        <f>SUM(Jan!D35, Feb!D35, Mar!D35)</f>
        <v>124364.3</v>
      </c>
      <c r="E35" s="18">
        <f>IF(AND(ISNUMBER(C35),ISNUMBER(D35)), C35-D35, "")</f>
        <v>18294.699999999997</v>
      </c>
      <c r="F35" s="52">
        <f>IFERROR(E35/D35, "")</f>
        <v>0.14710572085397494</v>
      </c>
      <c r="G35" s="50">
        <f>SUM(Jan!G35, Feb!G35, Mar!G35)</f>
        <v>156700</v>
      </c>
      <c r="H35" s="50">
        <f>SUM(Jan!H35, Feb!H35, Mar!H35)</f>
        <v>-14041</v>
      </c>
      <c r="I35" s="52">
        <f>IFERROR(H35/G35, "")</f>
        <v>-8.9604339502233565E-2</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21" activePane="bottomRight" state="frozen"/>
      <selection pane="bottomRight" activeCell="F38" sqref="F38"/>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Lodestar</v>
      </c>
      <c r="B1" s="124"/>
      <c r="C1" s="124"/>
      <c r="D1" s="125" t="s">
        <v>12</v>
      </c>
      <c r="E1" s="125"/>
      <c r="F1" s="125"/>
      <c r="G1" s="123" t="s">
        <v>13</v>
      </c>
      <c r="H1" s="123"/>
      <c r="I1" s="123"/>
    </row>
    <row r="2" spans="1:9" ht="19.5" customHeight="1">
      <c r="A2" s="126" t="s">
        <v>2</v>
      </c>
      <c r="B2" s="126"/>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SUM(Apr!C4, May!C4, Jun!C4)</f>
        <v>0</v>
      </c>
      <c r="D4" s="13">
        <f>SUM(Apr!D4, May!D4, Jun!D4)</f>
        <v>0</v>
      </c>
      <c r="E4" s="13">
        <f>IF(AND(ISNUMBER(C4),ISNUMBER(D4)), C4-D4, "")</f>
        <v>0</v>
      </c>
      <c r="F4" s="14" t="str">
        <f>IFERROR(E4/D4, "")</f>
        <v/>
      </c>
      <c r="G4" s="15">
        <f>SUM(Apr!G4,May!G4,Jun!G4)</f>
        <v>0</v>
      </c>
      <c r="H4" s="15">
        <f>SUM(Apr!H4, May!H4, Jun!H4)</f>
        <v>0</v>
      </c>
      <c r="I4" s="16" t="str">
        <f>IFERROR(H4/G4, "")</f>
        <v/>
      </c>
    </row>
    <row r="5" spans="1:9" ht="15.6">
      <c r="A5" s="42" t="str">
        <v>Bunce</v>
      </c>
      <c r="B5" s="10" t="str">
        <v>CT</v>
      </c>
      <c r="C5" s="11">
        <f>SUM(Apr!C5, May!C5, Jun!C5)</f>
        <v>0</v>
      </c>
      <c r="D5" s="18">
        <f>SUM(Apr!D5, May!D5, Jun!D5)</f>
        <v>0</v>
      </c>
      <c r="E5" s="18">
        <f t="shared" ref="E5:E15" si="0">IF(AND(ISNUMBER(C5),ISNUMBER(D5)), C5-D5, "")</f>
        <v>0</v>
      </c>
      <c r="F5" s="19" t="str">
        <f>IFERROR(E5/D5, "")</f>
        <v/>
      </c>
      <c r="G5" s="50">
        <f>SUM(Apr!G5,May!G5,Jun!G5)</f>
        <v>0</v>
      </c>
      <c r="H5" s="20">
        <f>SUM(Apr!H5, May!H5, Jun!H5)</f>
        <v>0</v>
      </c>
      <c r="I5" s="19" t="str">
        <f>IFERROR(H5/G5, "")</f>
        <v/>
      </c>
    </row>
    <row r="6" spans="1:9" ht="15.6">
      <c r="A6" s="41" t="str">
        <v>Norcap North</v>
      </c>
      <c r="B6" s="9" t="str">
        <v>CT</v>
      </c>
      <c r="C6" s="24">
        <f>SUM(Apr!C6, May!C6, Jun!C6)</f>
        <v>0</v>
      </c>
      <c r="D6" s="13">
        <f>SUM(Apr!D6, May!D6, Jun!D6)</f>
        <v>0</v>
      </c>
      <c r="E6" s="13">
        <f t="shared" si="0"/>
        <v>0</v>
      </c>
      <c r="F6" s="14" t="str">
        <f t="shared" ref="F6:F15" si="1">IFERROR(E6/D6, "")</f>
        <v/>
      </c>
      <c r="G6" s="15">
        <f>SUM(Apr!G6,May!G6,Jun!G6)</f>
        <v>0</v>
      </c>
      <c r="H6" s="15">
        <f>SUM(Apr!H6, May!H6, Jun!H6)</f>
        <v>0</v>
      </c>
      <c r="I6" s="16" t="str">
        <f t="shared" ref="I6:I15" si="2">IFERROR(H6/G6, "")</f>
        <v/>
      </c>
    </row>
    <row r="7" spans="1:9" ht="15.6">
      <c r="A7" s="42" t="str">
        <v>Norcap South</v>
      </c>
      <c r="B7" s="10" t="str">
        <v>CT</v>
      </c>
      <c r="C7" s="11">
        <f>SUM(Apr!C7, May!C7, Jun!C7)</f>
        <v>0</v>
      </c>
      <c r="D7" s="18">
        <f>SUM(Apr!D7, May!D7, Jun!D7)</f>
        <v>0</v>
      </c>
      <c r="E7" s="18">
        <f t="shared" si="0"/>
        <v>0</v>
      </c>
      <c r="F7" s="19" t="str">
        <f t="shared" si="1"/>
        <v/>
      </c>
      <c r="G7" s="50">
        <f>SUM(Apr!G7,May!G7,Jun!G7)</f>
        <v>0</v>
      </c>
      <c r="H7" s="20">
        <f>SUM(Apr!H7, May!H7, Jun!H7)</f>
        <v>0</v>
      </c>
      <c r="I7" s="19" t="str">
        <f t="shared" si="2"/>
        <v/>
      </c>
    </row>
    <row r="8" spans="1:9" ht="15.6">
      <c r="A8" s="41" t="str">
        <v>Platt Hill</v>
      </c>
      <c r="B8" s="9" t="str">
        <v>CT</v>
      </c>
      <c r="C8" s="24">
        <f>SUM(Apr!C8, May!C8, Jun!C8)</f>
        <v>0</v>
      </c>
      <c r="D8" s="13">
        <f>SUM(Apr!D8, May!D8, Jun!D8)</f>
        <v>0</v>
      </c>
      <c r="E8" s="13">
        <f t="shared" si="0"/>
        <v>0</v>
      </c>
      <c r="F8" s="14" t="str">
        <f t="shared" si="1"/>
        <v/>
      </c>
      <c r="G8" s="15">
        <f>SUM(Apr!G8,May!G8,Jun!G8)</f>
        <v>0</v>
      </c>
      <c r="H8" s="15">
        <f>SUM(Apr!H8, May!H8, Jun!H8)</f>
        <v>0</v>
      </c>
      <c r="I8" s="16" t="str">
        <f t="shared" si="2"/>
        <v/>
      </c>
    </row>
    <row r="9" spans="1:9" ht="15.6">
      <c r="A9" s="42" t="str">
        <v>Powder Hill</v>
      </c>
      <c r="B9" s="10" t="str">
        <v>CT</v>
      </c>
      <c r="C9" s="11">
        <f>SUM(Apr!C9, May!C9, Jun!C9)</f>
        <v>0</v>
      </c>
      <c r="D9" s="18">
        <f>SUM(Apr!D9, May!D9, Jun!D9)</f>
        <v>0</v>
      </c>
      <c r="E9" s="18">
        <f t="shared" si="0"/>
        <v>0</v>
      </c>
      <c r="F9" s="19" t="str">
        <f t="shared" si="1"/>
        <v/>
      </c>
      <c r="G9" s="50">
        <f>SUM(Apr!G9,May!G9,Jun!G9)</f>
        <v>0</v>
      </c>
      <c r="H9" s="20">
        <f>SUM(Apr!H9, May!H9, Jun!H9)</f>
        <v>0</v>
      </c>
      <c r="I9" s="19" t="str">
        <f t="shared" si="2"/>
        <v/>
      </c>
    </row>
    <row r="10" spans="1:9" ht="15.6">
      <c r="A10" s="41" t="str">
        <v>Sand Road</v>
      </c>
      <c r="B10" s="9" t="str">
        <v>CT</v>
      </c>
      <c r="C10" s="24">
        <f>SUM(Apr!C10, May!C10, Jun!C10)</f>
        <v>0</v>
      </c>
      <c r="D10" s="13">
        <f>SUM(Apr!D10, May!D10, Jun!D10)</f>
        <v>0</v>
      </c>
      <c r="E10" s="13">
        <f t="shared" si="0"/>
        <v>0</v>
      </c>
      <c r="F10" s="14" t="str">
        <f t="shared" si="1"/>
        <v/>
      </c>
      <c r="G10" s="15">
        <f>SUM(Apr!G10,May!G10,Jun!G10)</f>
        <v>0</v>
      </c>
      <c r="H10" s="15">
        <f>SUM(Apr!H10, May!H10, Jun!H10)</f>
        <v>0</v>
      </c>
      <c r="I10" s="16" t="str">
        <f t="shared" si="2"/>
        <v/>
      </c>
    </row>
    <row r="11" spans="1:9" ht="15.6">
      <c r="A11" s="42" t="str">
        <v>Suffield</v>
      </c>
      <c r="B11" s="10" t="str">
        <v>CT</v>
      </c>
      <c r="C11" s="11">
        <f>SUM(Apr!C11, May!C11, Jun!C11)</f>
        <v>0</v>
      </c>
      <c r="D11" s="18">
        <f>SUM(Apr!D11, May!D11, Jun!D11)</f>
        <v>0</v>
      </c>
      <c r="E11" s="18">
        <f t="shared" si="0"/>
        <v>0</v>
      </c>
      <c r="F11" s="19" t="str">
        <f t="shared" si="1"/>
        <v/>
      </c>
      <c r="G11" s="50">
        <f>SUM(Apr!G11,May!G11,Jun!G11)</f>
        <v>0</v>
      </c>
      <c r="H11" s="20">
        <f>SUM(Apr!H11, May!H11, Jun!H11)</f>
        <v>0</v>
      </c>
      <c r="I11" s="19" t="str">
        <f t="shared" si="2"/>
        <v/>
      </c>
    </row>
    <row r="12" spans="1:9" ht="15.6">
      <c r="A12" s="41" t="str">
        <v>Ashby-Duffy</v>
      </c>
      <c r="B12" s="9" t="str">
        <v>MA</v>
      </c>
      <c r="C12" s="24">
        <f>SUM(Apr!C12, May!C12, Jun!C12)</f>
        <v>0</v>
      </c>
      <c r="D12" s="13">
        <f>SUM(Apr!D12, May!D12, Jun!D12)</f>
        <v>0</v>
      </c>
      <c r="E12" s="13">
        <f t="shared" si="0"/>
        <v>0</v>
      </c>
      <c r="F12" s="14" t="str">
        <f t="shared" si="1"/>
        <v/>
      </c>
      <c r="G12" s="15">
        <f>SUM(Apr!G12,May!G12,Jun!G12)</f>
        <v>0</v>
      </c>
      <c r="H12" s="15">
        <f>SUM(Apr!H12, May!H12, Jun!H12)</f>
        <v>0</v>
      </c>
      <c r="I12" s="16" t="str">
        <f t="shared" si="2"/>
        <v/>
      </c>
    </row>
    <row r="13" spans="1:9" ht="15.6">
      <c r="A13" s="42" t="str">
        <v>Ashland</v>
      </c>
      <c r="B13" s="10" t="str">
        <v>MA</v>
      </c>
      <c r="C13" s="11">
        <f>SUM(Apr!C13, May!C13, Jun!C13)</f>
        <v>0</v>
      </c>
      <c r="D13" s="18">
        <f>SUM(Apr!D13, May!D13, Jun!D13)</f>
        <v>0</v>
      </c>
      <c r="E13" s="18">
        <f t="shared" si="0"/>
        <v>0</v>
      </c>
      <c r="F13" s="19" t="str">
        <f t="shared" si="1"/>
        <v/>
      </c>
      <c r="G13" s="50">
        <f>SUM(Apr!G13,May!G13,Jun!G13)</f>
        <v>0</v>
      </c>
      <c r="H13" s="20">
        <f>SUM(Apr!H13, May!H13, Jun!H13)</f>
        <v>0</v>
      </c>
      <c r="I13" s="19" t="str">
        <f t="shared" si="2"/>
        <v/>
      </c>
    </row>
    <row r="14" spans="1:9" ht="15.6">
      <c r="A14" s="41" t="str">
        <v>Barrington</v>
      </c>
      <c r="B14" s="9" t="str">
        <v>MA</v>
      </c>
      <c r="C14" s="24">
        <f>SUM(Apr!C14, May!C14, Jun!C14)</f>
        <v>0</v>
      </c>
      <c r="D14" s="13">
        <f>SUM(Apr!D14, May!D14, Jun!D14)</f>
        <v>0</v>
      </c>
      <c r="E14" s="13">
        <f t="shared" si="0"/>
        <v>0</v>
      </c>
      <c r="F14" s="14" t="str">
        <f t="shared" si="1"/>
        <v/>
      </c>
      <c r="G14" s="15">
        <f>SUM(Apr!G14,May!G14,Jun!G14)</f>
        <v>0</v>
      </c>
      <c r="H14" s="15">
        <f>SUM(Apr!H14, May!H14, Jun!H14)</f>
        <v>0</v>
      </c>
      <c r="I14" s="16" t="str">
        <f t="shared" si="2"/>
        <v/>
      </c>
    </row>
    <row r="15" spans="1:9" ht="15.6">
      <c r="A15" s="42" t="str">
        <v>Bedford - 205 Burlington Rd</v>
      </c>
      <c r="B15" s="10" t="str">
        <v>MA</v>
      </c>
      <c r="C15" s="11">
        <f>SUM(Apr!C15, May!C15, Jun!C15)</f>
        <v>0</v>
      </c>
      <c r="D15" s="18">
        <f>SUM(Apr!D15, May!D15, Jun!D15)</f>
        <v>0</v>
      </c>
      <c r="E15" s="18">
        <f t="shared" si="0"/>
        <v>0</v>
      </c>
      <c r="F15" s="19" t="str">
        <f t="shared" si="1"/>
        <v/>
      </c>
      <c r="G15" s="50">
        <f>SUM(Apr!G15,May!G15,Jun!G15)</f>
        <v>0</v>
      </c>
      <c r="H15" s="20">
        <f>SUM(Apr!H15, May!H15, Jun!H15)</f>
        <v>0</v>
      </c>
      <c r="I15" s="19" t="str">
        <f t="shared" si="2"/>
        <v/>
      </c>
    </row>
    <row r="16" spans="1:9" ht="15.6">
      <c r="A16" s="41" t="str">
        <v>Billerica - 6 Cook Street</v>
      </c>
      <c r="B16" s="9" t="str">
        <v>MA</v>
      </c>
      <c r="C16" s="24">
        <f>SUM(Apr!C16, May!C16, Jun!C16)</f>
        <v>0</v>
      </c>
      <c r="D16" s="13">
        <f>SUM(Apr!D16, May!D16, Jun!D16)</f>
        <v>0</v>
      </c>
      <c r="E16" s="13">
        <f t="shared" ref="E16:E18" si="3">IF(AND(ISNUMBER(C16),ISNUMBER(D16)), C16-D16, "")</f>
        <v>0</v>
      </c>
      <c r="F16" s="14" t="str">
        <f t="shared" ref="F16:F18" si="4">IFERROR(E16/D16, "")</f>
        <v/>
      </c>
      <c r="G16" s="15">
        <f>SUM(Apr!G16,May!G16,Jun!G16)</f>
        <v>0</v>
      </c>
      <c r="H16" s="15">
        <f>SUM(Apr!H16, May!H16, Jun!H16)</f>
        <v>0</v>
      </c>
      <c r="I16" s="16" t="str">
        <f t="shared" ref="I16:I18" si="5">IFERROR(H16/G16, "")</f>
        <v/>
      </c>
    </row>
    <row r="17" spans="1:9" ht="15.6">
      <c r="A17" s="42" t="str">
        <v>Billerica - 780 Boston Road</v>
      </c>
      <c r="B17" s="10" t="str">
        <v>MA</v>
      </c>
      <c r="C17" s="11">
        <f>SUM(Apr!C17, May!C17, Jun!C17)</f>
        <v>0</v>
      </c>
      <c r="D17" s="18">
        <f>SUM(Apr!D17, May!D17, Jun!D17)</f>
        <v>0</v>
      </c>
      <c r="E17" s="18">
        <f t="shared" si="3"/>
        <v>0</v>
      </c>
      <c r="F17" s="19" t="str">
        <f t="shared" si="4"/>
        <v/>
      </c>
      <c r="G17" s="50">
        <f>SUM(Apr!G17,May!G17,Jun!G17)</f>
        <v>0</v>
      </c>
      <c r="H17" s="20">
        <f>SUM(Apr!H17, May!H17, Jun!H17)</f>
        <v>0</v>
      </c>
      <c r="I17" s="19" t="str">
        <f t="shared" si="5"/>
        <v/>
      </c>
    </row>
    <row r="18" spans="1:9" ht="12.75" customHeight="1">
      <c r="A18" s="41" t="str">
        <v>Cheshire</v>
      </c>
      <c r="B18" s="9" t="str">
        <v>MA</v>
      </c>
      <c r="C18" s="24">
        <f>SUM(Apr!C18, May!C18, Jun!C18)</f>
        <v>0</v>
      </c>
      <c r="D18" s="13">
        <f>SUM(Apr!D18, May!D18, Jun!D18)</f>
        <v>0</v>
      </c>
      <c r="E18" s="13">
        <f t="shared" si="3"/>
        <v>0</v>
      </c>
      <c r="F18" s="14" t="str">
        <f t="shared" si="4"/>
        <v/>
      </c>
      <c r="G18" s="15">
        <f>SUM(Apr!G18,May!G18,Jun!G18)</f>
        <v>0</v>
      </c>
      <c r="H18" s="15">
        <f>SUM(Apr!H18, May!H18, Jun!H18)</f>
        <v>0</v>
      </c>
      <c r="I18" s="16" t="str">
        <f t="shared" si="5"/>
        <v/>
      </c>
    </row>
    <row r="19" spans="1:9" ht="15.6">
      <c r="A19" s="42" t="str">
        <v>Lilly Lane</v>
      </c>
      <c r="B19" s="10" t="str">
        <v>MA</v>
      </c>
      <c r="C19" s="11">
        <f>SUM(Apr!C19, May!C19, Jun!C19)</f>
        <v>0</v>
      </c>
      <c r="D19" s="18">
        <f>SUM(Apr!D19, May!D19, Jun!D19)</f>
        <v>0</v>
      </c>
      <c r="E19" s="18">
        <f t="shared" ref="E19:E34" si="6">IF(AND(ISNUMBER(C19),ISNUMBER(D19)), C19-D19, "")</f>
        <v>0</v>
      </c>
      <c r="F19" s="19" t="str">
        <f t="shared" ref="F19:F34" si="7">IFERROR(E19/D19, "")</f>
        <v/>
      </c>
      <c r="G19" s="50">
        <f>SUM(Apr!G19,May!G19,Jun!G19)</f>
        <v>0</v>
      </c>
      <c r="H19" s="20">
        <f>SUM(Apr!H19, May!H19, Jun!H19)</f>
        <v>0</v>
      </c>
      <c r="I19" s="19" t="str">
        <f t="shared" ref="I19:I34" si="8">IFERROR(H19/G19, "")</f>
        <v/>
      </c>
    </row>
    <row r="20" spans="1:9" ht="15.6">
      <c r="A20" s="41" t="str">
        <v>Monument Valley</v>
      </c>
      <c r="B20" s="9" t="str">
        <v>MA</v>
      </c>
      <c r="C20" s="51">
        <f>SUM(Apr!C20, May!C20, Jun!C20)</f>
        <v>0</v>
      </c>
      <c r="D20" s="13">
        <f>SUM(Apr!D20, May!D20, Jun!D20)</f>
        <v>0</v>
      </c>
      <c r="E20" s="13">
        <f>IF(AND(ISNUMBER(C20),ISNUMBER(D20)), C20-D20, "")</f>
        <v>0</v>
      </c>
      <c r="F20" s="53" t="str">
        <f>IFERROR(E20/D20, "")</f>
        <v/>
      </c>
      <c r="G20" s="15">
        <f>SUM(Apr!G20,May!G20,Jun!G20)</f>
        <v>0</v>
      </c>
      <c r="H20" s="49">
        <f>SUM(Apr!H20, May!H20, Jun!H20)</f>
        <v>0</v>
      </c>
      <c r="I20" s="54" t="str">
        <f>IFERROR(H20/G20, "")</f>
        <v/>
      </c>
    </row>
    <row r="21" spans="1:9" ht="15.6">
      <c r="A21" s="42" t="str">
        <v>Nationwide</v>
      </c>
      <c r="B21" s="10" t="str">
        <v>MA</v>
      </c>
      <c r="C21" s="11">
        <f>SUM(Apr!C21, May!C21, Jun!C21)</f>
        <v>0</v>
      </c>
      <c r="D21" s="18">
        <f>SUM(Apr!D21, May!D21, Jun!D21)</f>
        <v>0</v>
      </c>
      <c r="E21" s="18">
        <f>IF(AND(ISNUMBER(C21),ISNUMBER(D21)), C21-D21, "")</f>
        <v>0</v>
      </c>
      <c r="F21" s="19" t="str">
        <f>IFERROR(E21/D21, "")</f>
        <v/>
      </c>
      <c r="G21" s="50">
        <f>SUM(Apr!G21,May!G21,Jun!G21)</f>
        <v>0</v>
      </c>
      <c r="H21" s="20">
        <f>SUM(Apr!H21, May!H21, Jun!H21)</f>
        <v>0</v>
      </c>
      <c r="I21" s="19" t="str">
        <f>IFERROR(H21/G21, "")</f>
        <v/>
      </c>
    </row>
    <row r="22" spans="1:9" ht="15.6">
      <c r="A22" s="41" t="str">
        <v>Pulpit Hill</v>
      </c>
      <c r="B22" s="9" t="str">
        <v>MA</v>
      </c>
      <c r="C22" s="51">
        <f>SUM(Apr!C22, May!C22, Jun!C22)</f>
        <v>0</v>
      </c>
      <c r="D22" s="13">
        <f>SUM(Apr!D22, May!D22, Jun!D22)</f>
        <v>0</v>
      </c>
      <c r="E22" s="13">
        <f>IF(AND(ISNUMBER(C22),ISNUMBER(D22)), C22-D22, "")</f>
        <v>0</v>
      </c>
      <c r="F22" s="53" t="str">
        <f>IFERROR(E22/D22, "")</f>
        <v/>
      </c>
      <c r="G22" s="15">
        <f>SUM(Apr!G22,May!G22,Jun!G22)</f>
        <v>0</v>
      </c>
      <c r="H22" s="49">
        <f>SUM(Apr!H22, May!H22, Jun!H22)</f>
        <v>0</v>
      </c>
      <c r="I22" s="54" t="str">
        <f>IFERROR(H22/G22, "")</f>
        <v/>
      </c>
    </row>
    <row r="23" spans="1:9" ht="15.6">
      <c r="A23" s="42" t="str">
        <v>Sandwich</v>
      </c>
      <c r="B23" s="10" t="str">
        <v>MA</v>
      </c>
      <c r="C23" s="11">
        <f>SUM(Apr!C23, May!C23, Jun!C23)</f>
        <v>0</v>
      </c>
      <c r="D23" s="18">
        <f>SUM(Apr!D23, May!D23, Jun!D23)</f>
        <v>0</v>
      </c>
      <c r="E23" s="18">
        <f>IF(AND(ISNUMBER(C23),ISNUMBER(D23)), C23-D23, "")</f>
        <v>0</v>
      </c>
      <c r="F23" s="19" t="str">
        <f>IFERROR(E23/D23, "")</f>
        <v/>
      </c>
      <c r="G23" s="50">
        <f>SUM(Apr!G23,May!G23,Jun!G23)</f>
        <v>0</v>
      </c>
      <c r="H23" s="20">
        <f>SUM(Apr!H23, May!H23, Jun!H23)</f>
        <v>0</v>
      </c>
      <c r="I23" s="19" t="str">
        <f>IFERROR(H23/G23, "")</f>
        <v/>
      </c>
    </row>
    <row r="24" spans="1:9" ht="15.6">
      <c r="A24" s="41" t="str">
        <v>Sturbridge Barn</v>
      </c>
      <c r="B24" s="9" t="str">
        <v>MA</v>
      </c>
      <c r="C24" s="24">
        <f>SUM(Apr!C24, May!C24, Jun!C24)</f>
        <v>0</v>
      </c>
      <c r="D24" s="13">
        <f>SUM(Apr!D24, May!D24, Jun!D24)</f>
        <v>0</v>
      </c>
      <c r="E24" s="13">
        <f t="shared" si="6"/>
        <v>0</v>
      </c>
      <c r="F24" s="14" t="str">
        <f t="shared" si="7"/>
        <v/>
      </c>
      <c r="G24" s="15">
        <f>SUM(Apr!G24,May!G24,Jun!G24)</f>
        <v>0</v>
      </c>
      <c r="H24" s="15">
        <f>SUM(Apr!H24, May!H24, Jun!H24)</f>
        <v>0</v>
      </c>
      <c r="I24" s="16" t="str">
        <f t="shared" si="8"/>
        <v/>
      </c>
    </row>
    <row r="25" spans="1:9" ht="15.6">
      <c r="A25" s="42" t="str">
        <v>Sturbridge Garage</v>
      </c>
      <c r="B25" s="10" t="str">
        <v>MA</v>
      </c>
      <c r="C25" s="11">
        <f>SUM(Apr!C25, May!C25, Jun!C25)</f>
        <v>0</v>
      </c>
      <c r="D25" s="18">
        <f>SUM(Apr!D25, May!D25, Jun!D25)</f>
        <v>0</v>
      </c>
      <c r="E25" s="18">
        <f t="shared" si="6"/>
        <v>0</v>
      </c>
      <c r="F25" s="19" t="str">
        <f t="shared" si="7"/>
        <v/>
      </c>
      <c r="G25" s="50">
        <f>SUM(Apr!G25,May!G25,Jun!G25)</f>
        <v>0</v>
      </c>
      <c r="H25" s="20">
        <f>SUM(Apr!H25, May!H25, Jun!H25)</f>
        <v>0</v>
      </c>
      <c r="I25" s="19" t="str">
        <f t="shared" si="8"/>
        <v/>
      </c>
    </row>
    <row r="26" spans="1:9" ht="15.6">
      <c r="A26" s="41" t="str">
        <v>Halsey Valley</v>
      </c>
      <c r="B26" s="9" t="str">
        <v>NY</v>
      </c>
      <c r="C26" s="24">
        <f>SUM(Apr!C26, May!C26, Jun!C26)</f>
        <v>0</v>
      </c>
      <c r="D26" s="13">
        <f>SUM(Apr!D26, May!D26, Jun!D26)</f>
        <v>0</v>
      </c>
      <c r="E26" s="13">
        <f t="shared" si="6"/>
        <v>0</v>
      </c>
      <c r="F26" s="14" t="str">
        <f t="shared" si="7"/>
        <v/>
      </c>
      <c r="G26" s="15">
        <f>SUM(Apr!G26,May!G26,Jun!G26)</f>
        <v>0</v>
      </c>
      <c r="H26" s="15">
        <f>SUM(Apr!H26, May!H26, Jun!H26)</f>
        <v>0</v>
      </c>
      <c r="I26" s="16" t="str">
        <f t="shared" si="8"/>
        <v/>
      </c>
    </row>
    <row r="27" spans="1:9" ht="15.6">
      <c r="A27" s="42" t="str">
        <v>Hunt Creek</v>
      </c>
      <c r="B27" s="10" t="str">
        <v>NY</v>
      </c>
      <c r="C27" s="11">
        <f>SUM(Apr!C27, May!C27, Jun!C27)</f>
        <v>0</v>
      </c>
      <c r="D27" s="18">
        <f>SUM(Apr!D27, May!D27, Jun!D27)</f>
        <v>0</v>
      </c>
      <c r="E27" s="18">
        <f t="shared" si="6"/>
        <v>0</v>
      </c>
      <c r="F27" s="19" t="str">
        <f t="shared" si="7"/>
        <v/>
      </c>
      <c r="G27" s="50">
        <f>SUM(Apr!G27,May!G27,Jun!G27)</f>
        <v>0</v>
      </c>
      <c r="H27" s="20">
        <f>SUM(Apr!H27, May!H27, Jun!H27)</f>
        <v>0</v>
      </c>
      <c r="I27" s="19" t="str">
        <f t="shared" si="8"/>
        <v/>
      </c>
    </row>
    <row r="28" spans="1:9" ht="15.6">
      <c r="A28" s="41" t="str">
        <v>Smith Creek</v>
      </c>
      <c r="B28" s="9" t="str">
        <v>NY</v>
      </c>
      <c r="C28" s="24">
        <f>SUM(Apr!C28, May!C28, Jun!C28)</f>
        <v>0</v>
      </c>
      <c r="D28" s="13">
        <f>SUM(Apr!D28, May!D28, Jun!D28)</f>
        <v>0</v>
      </c>
      <c r="E28" s="13">
        <f t="shared" si="6"/>
        <v>0</v>
      </c>
      <c r="F28" s="14" t="str">
        <f t="shared" si="7"/>
        <v/>
      </c>
      <c r="G28" s="15">
        <f>SUM(Apr!G28,May!G28,Jun!G28)</f>
        <v>0</v>
      </c>
      <c r="H28" s="15">
        <f>SUM(Apr!H28, May!H28, Jun!H28)</f>
        <v>0</v>
      </c>
      <c r="I28" s="16" t="str">
        <f t="shared" si="8"/>
        <v/>
      </c>
    </row>
    <row r="29" spans="1:9" ht="15.6">
      <c r="A29" s="42" t="str">
        <v>Bradford - 256 Presidential Dr</v>
      </c>
      <c r="B29" s="10" t="str">
        <v>MA</v>
      </c>
      <c r="C29" s="11">
        <f>SUM(Apr!C29, May!C29, Jun!C29)</f>
        <v>0</v>
      </c>
      <c r="D29" s="18">
        <f>SUM(Apr!D29, May!D29, Jun!D29)</f>
        <v>0</v>
      </c>
      <c r="E29" s="18">
        <f t="shared" si="6"/>
        <v>0</v>
      </c>
      <c r="F29" s="19" t="str">
        <f t="shared" si="7"/>
        <v/>
      </c>
      <c r="G29" s="50">
        <f>SUM(Apr!G29,May!G29,Jun!G29)</f>
        <v>0</v>
      </c>
      <c r="H29" s="20">
        <f>SUM(Apr!H29, May!H29, Jun!H29)</f>
        <v>0</v>
      </c>
      <c r="I29" s="19" t="str">
        <f t="shared" si="8"/>
        <v/>
      </c>
    </row>
    <row r="30" spans="1:9" ht="15.6">
      <c r="A30" s="41" t="str">
        <v>Charlton – 111 Brookfield Road - Bus Lot</v>
      </c>
      <c r="B30" s="9" t="str">
        <v>MA</v>
      </c>
      <c r="C30" s="24">
        <f>SUM(Apr!C30, May!C30, Jun!C30)</f>
        <v>0</v>
      </c>
      <c r="D30" s="13">
        <f>SUM(Apr!D30, May!D30, Jun!D30)</f>
        <v>0</v>
      </c>
      <c r="E30" s="13">
        <f t="shared" si="6"/>
        <v>0</v>
      </c>
      <c r="F30" s="14" t="str">
        <f t="shared" si="7"/>
        <v/>
      </c>
      <c r="G30" s="15">
        <f>SUM(Apr!G30,May!G30,Jun!G30)</f>
        <v>0</v>
      </c>
      <c r="H30" s="15">
        <f>SUM(Apr!H30, May!H30, Jun!H30)</f>
        <v>0</v>
      </c>
      <c r="I30" s="16" t="str">
        <f t="shared" si="8"/>
        <v/>
      </c>
    </row>
    <row r="31" spans="1:9" ht="15.6">
      <c r="A31" s="42" t="str">
        <v>Charlton – 154 Center Depot Road KMARD</v>
      </c>
      <c r="B31" s="10" t="str">
        <v>MA</v>
      </c>
      <c r="C31" s="11">
        <f>SUM(Apr!C31, May!C31, Jun!C31)</f>
        <v>0</v>
      </c>
      <c r="D31" s="18">
        <f>SUM(Apr!D31, May!D31, Jun!D31)</f>
        <v>0</v>
      </c>
      <c r="E31" s="18">
        <f t="shared" si="6"/>
        <v>0</v>
      </c>
      <c r="F31" s="19" t="str">
        <f t="shared" si="7"/>
        <v/>
      </c>
      <c r="G31" s="50">
        <f>SUM(Apr!G31,May!G31,Jun!G31)</f>
        <v>0</v>
      </c>
      <c r="H31" s="20">
        <f>SUM(Apr!H31, May!H31, Jun!H31)</f>
        <v>0</v>
      </c>
      <c r="I31" s="19" t="str">
        <f t="shared" si="8"/>
        <v/>
      </c>
    </row>
    <row r="32" spans="1:9" ht="15.6">
      <c r="A32" s="41" t="str">
        <v>Charlton – 142A Brookfield Rd (Mitchell)</v>
      </c>
      <c r="B32" s="9" t="str">
        <v>MA</v>
      </c>
      <c r="C32" s="24">
        <f>SUM(Apr!C32, May!C32, Jun!C32)</f>
        <v>0</v>
      </c>
      <c r="D32" s="13">
        <f>SUM(Apr!D32, May!D32, Jun!D32)</f>
        <v>0</v>
      </c>
      <c r="E32" s="13">
        <f t="shared" si="6"/>
        <v>0</v>
      </c>
      <c r="F32" s="14" t="str">
        <f t="shared" si="7"/>
        <v/>
      </c>
      <c r="G32" s="15">
        <f>SUM(Apr!G32,May!G32,Jun!G32)</f>
        <v>0</v>
      </c>
      <c r="H32" s="15">
        <f>SUM(Apr!H32, May!H32, Jun!H32)</f>
        <v>0</v>
      </c>
      <c r="I32" s="16" t="str">
        <f t="shared" si="8"/>
        <v/>
      </c>
    </row>
    <row r="33" spans="1:9" ht="15.6">
      <c r="A33" s="42" t="str">
        <v>Great Barrington – 3 Nolan  Drive</v>
      </c>
      <c r="B33" s="10" t="str">
        <v>MA</v>
      </c>
      <c r="C33" s="11">
        <f>SUM(Apr!C33, May!C33, Jun!C33)</f>
        <v>0</v>
      </c>
      <c r="D33" s="18">
        <f>SUM(Apr!D33, May!D33, Jun!D33)</f>
        <v>0</v>
      </c>
      <c r="E33" s="18">
        <f t="shared" si="6"/>
        <v>0</v>
      </c>
      <c r="F33" s="19" t="str">
        <f t="shared" si="7"/>
        <v/>
      </c>
      <c r="G33" s="50">
        <f>SUM(Apr!G33,May!G33,Jun!G33)</f>
        <v>0</v>
      </c>
      <c r="H33" s="20">
        <f>SUM(Apr!H33, May!H33, Jun!H33)</f>
        <v>0</v>
      </c>
      <c r="I33" s="19" t="str">
        <f t="shared" si="8"/>
        <v/>
      </c>
    </row>
    <row r="34" spans="1:9" ht="15.6">
      <c r="A34" s="41" t="str">
        <v>Stockbridge – 92 State Line Road Truck Stop</v>
      </c>
      <c r="B34" s="9" t="str">
        <v>MA</v>
      </c>
      <c r="C34" s="24">
        <f>SUM(Apr!C34, May!C34, Jun!C34)</f>
        <v>0</v>
      </c>
      <c r="D34" s="13">
        <f>SUM(Apr!D34, May!D34, Jun!D34)</f>
        <v>0</v>
      </c>
      <c r="E34" s="13">
        <f t="shared" si="6"/>
        <v>0</v>
      </c>
      <c r="F34" s="14" t="str">
        <f t="shared" si="7"/>
        <v/>
      </c>
      <c r="G34" s="15">
        <f>SUM(Apr!G34,May!G34,Jun!G34)</f>
        <v>0</v>
      </c>
      <c r="H34" s="15">
        <f>SUM(Apr!H34, May!H34, Jun!H34)</f>
        <v>0</v>
      </c>
      <c r="I34" s="16" t="str">
        <f t="shared" si="8"/>
        <v/>
      </c>
    </row>
    <row r="35" spans="1:9" ht="15.6">
      <c r="A35" s="42" t="str">
        <v>NY: New Windsor - Moores Hill</v>
      </c>
      <c r="B35" s="10" t="str">
        <v>NY</v>
      </c>
      <c r="C35" s="58">
        <f>SUM(Apr!C35, May!C35, Jun!C35)</f>
        <v>0</v>
      </c>
      <c r="D35" s="18">
        <f>SUM(Apr!D35, May!D35, Jun!D35)</f>
        <v>0</v>
      </c>
      <c r="E35" s="18">
        <f>IF(AND(ISNUMBER(C35),ISNUMBER(D35)), C35-D35, "")</f>
        <v>0</v>
      </c>
      <c r="F35" s="52" t="str">
        <f>IFERROR(E35/D35, "")</f>
        <v/>
      </c>
      <c r="G35" s="50">
        <f>SUM(Apr!G35,May!G35,Jun!G35)</f>
        <v>0</v>
      </c>
      <c r="H35" s="50">
        <f>SUM(Apr!H35, May!H35, Jun!H35)</f>
        <v>0</v>
      </c>
      <c r="I35" s="52" t="str">
        <f>IFERROR(H35/G35, "")</f>
        <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3" activePane="bottomRight" state="frozen"/>
      <selection pane="bottomRight" activeCell="H41" sqref="H41"/>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Lodestar</v>
      </c>
      <c r="B1" s="124"/>
      <c r="C1" s="124"/>
      <c r="D1" s="125" t="s">
        <v>14</v>
      </c>
      <c r="E1" s="125"/>
      <c r="F1" s="125"/>
      <c r="G1" s="123" t="s">
        <v>15</v>
      </c>
      <c r="H1" s="123"/>
      <c r="I1" s="123"/>
    </row>
    <row r="2" spans="1:9" ht="19.5" customHeight="1">
      <c r="A2" s="126" t="s">
        <v>2</v>
      </c>
      <c r="B2" s="126"/>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SUM(Jul!C4, Aug!C4, Sep!C4)</f>
        <v>0</v>
      </c>
      <c r="D4" s="13">
        <f>SUM(Jul!D4, Aug!D4, Sep!D4)</f>
        <v>0</v>
      </c>
      <c r="E4" s="13">
        <f>IF(AND(ISNUMBER(C4),ISNUMBER(D4)), C4-D4, "")</f>
        <v>0</v>
      </c>
      <c r="F4" s="14" t="str">
        <f>IFERROR(E4/D4, "")</f>
        <v/>
      </c>
      <c r="G4" s="15">
        <f xml:space="preserve"> SUM(Jul!G4,Aug!G4,Sep!G4)</f>
        <v>0</v>
      </c>
      <c r="H4" s="15">
        <f>SUM(Jul!H4, Aug!H4, Sep!H4)</f>
        <v>0</v>
      </c>
      <c r="I4" s="16" t="str">
        <f>IFERROR(H4/G4, "")</f>
        <v/>
      </c>
    </row>
    <row r="5" spans="1:9" ht="15.6">
      <c r="A5" s="42" t="str">
        <v>Bunce</v>
      </c>
      <c r="B5" s="10" t="str">
        <v>CT</v>
      </c>
      <c r="C5" s="11">
        <f>SUM(Jul!C5, Aug!C5, Sep!C5)</f>
        <v>0</v>
      </c>
      <c r="D5" s="18">
        <f>SUM(Jul!D5, Aug!D5, Sep!D5)</f>
        <v>0</v>
      </c>
      <c r="E5" s="18">
        <f t="shared" ref="E5:E15" si="0">IF(AND(ISNUMBER(C5),ISNUMBER(D5)), C5-D5, "")</f>
        <v>0</v>
      </c>
      <c r="F5" s="19" t="str">
        <f>IFERROR(E5/D5, "")</f>
        <v/>
      </c>
      <c r="G5" s="18">
        <f xml:space="preserve"> SUM(Jul!G5,Aug!G5,Sep!G5)</f>
        <v>0</v>
      </c>
      <c r="H5" s="20">
        <f>SUM(Jul!H5, Aug!H5, Sep!H5)</f>
        <v>0</v>
      </c>
      <c r="I5" s="19" t="str">
        <f>IFERROR(H5/G5, "")</f>
        <v/>
      </c>
    </row>
    <row r="6" spans="1:9" ht="15.6">
      <c r="A6" s="41" t="str">
        <v>Norcap North</v>
      </c>
      <c r="B6" s="9" t="str">
        <v>CT</v>
      </c>
      <c r="C6" s="24">
        <f>SUM(Jul!C6, Aug!C6, Sep!C6)</f>
        <v>0</v>
      </c>
      <c r="D6" s="13">
        <f>SUM(Jul!D6, Aug!D6, Sep!D6)</f>
        <v>0</v>
      </c>
      <c r="E6" s="13">
        <f t="shared" si="0"/>
        <v>0</v>
      </c>
      <c r="F6" s="14" t="str">
        <f t="shared" ref="F6:F15" si="1">IFERROR(E6/D6, "")</f>
        <v/>
      </c>
      <c r="G6" s="15">
        <f xml:space="preserve"> SUM(Jul!G6,Aug!G6,Sep!G6)</f>
        <v>0</v>
      </c>
      <c r="H6" s="15">
        <f>SUM(Jul!H6, Aug!H6, Sep!H6)</f>
        <v>0</v>
      </c>
      <c r="I6" s="16" t="str">
        <f t="shared" ref="I6:I15" si="2">IFERROR(H6/G6, "")</f>
        <v/>
      </c>
    </row>
    <row r="7" spans="1:9" ht="15.6">
      <c r="A7" s="42" t="str">
        <v>Norcap South</v>
      </c>
      <c r="B7" s="10" t="str">
        <v>CT</v>
      </c>
      <c r="C7" s="11">
        <f>SUM(Jul!C7, Aug!C7, Sep!C7)</f>
        <v>0</v>
      </c>
      <c r="D7" s="18">
        <f>SUM(Jul!D7, Aug!D7, Sep!D7)</f>
        <v>0</v>
      </c>
      <c r="E7" s="18">
        <f t="shared" si="0"/>
        <v>0</v>
      </c>
      <c r="F7" s="19" t="str">
        <f t="shared" si="1"/>
        <v/>
      </c>
      <c r="G7" s="18">
        <f xml:space="preserve"> SUM(Jul!G7,Aug!G7,Sep!G7)</f>
        <v>0</v>
      </c>
      <c r="H7" s="20">
        <f>SUM(Jul!H7, Aug!H7, Sep!H7)</f>
        <v>0</v>
      </c>
      <c r="I7" s="19" t="str">
        <f t="shared" si="2"/>
        <v/>
      </c>
    </row>
    <row r="8" spans="1:9" ht="15.6">
      <c r="A8" s="41" t="str">
        <v>Platt Hill</v>
      </c>
      <c r="B8" s="9" t="str">
        <v>CT</v>
      </c>
      <c r="C8" s="24">
        <f>SUM(Jul!C8, Aug!C8, Sep!C8)</f>
        <v>0</v>
      </c>
      <c r="D8" s="13">
        <f>SUM(Jul!D8, Aug!D8, Sep!D8)</f>
        <v>0</v>
      </c>
      <c r="E8" s="13">
        <f t="shared" si="0"/>
        <v>0</v>
      </c>
      <c r="F8" s="14" t="str">
        <f t="shared" si="1"/>
        <v/>
      </c>
      <c r="G8" s="15">
        <f xml:space="preserve"> SUM(Jul!G8,Aug!G8,Sep!G8)</f>
        <v>0</v>
      </c>
      <c r="H8" s="15">
        <f>SUM(Jul!H8, Aug!H8, Sep!H8)</f>
        <v>0</v>
      </c>
      <c r="I8" s="16" t="str">
        <f t="shared" si="2"/>
        <v/>
      </c>
    </row>
    <row r="9" spans="1:9" ht="15.6">
      <c r="A9" s="42" t="str">
        <v>Powder Hill</v>
      </c>
      <c r="B9" s="10" t="str">
        <v>CT</v>
      </c>
      <c r="C9" s="11">
        <f>SUM(Jul!C9, Aug!C9, Sep!C9)</f>
        <v>0</v>
      </c>
      <c r="D9" s="18">
        <f>SUM(Jul!D9, Aug!D9, Sep!D9)</f>
        <v>0</v>
      </c>
      <c r="E9" s="18">
        <f t="shared" si="0"/>
        <v>0</v>
      </c>
      <c r="F9" s="19" t="str">
        <f t="shared" si="1"/>
        <v/>
      </c>
      <c r="G9" s="18">
        <f xml:space="preserve"> SUM(Jul!G9,Aug!G9,Sep!G9)</f>
        <v>0</v>
      </c>
      <c r="H9" s="20">
        <f>SUM(Jul!H9, Aug!H9, Sep!H9)</f>
        <v>0</v>
      </c>
      <c r="I9" s="19" t="str">
        <f t="shared" si="2"/>
        <v/>
      </c>
    </row>
    <row r="10" spans="1:9" ht="15.6">
      <c r="A10" s="41" t="str">
        <v>Sand Road</v>
      </c>
      <c r="B10" s="9" t="str">
        <v>CT</v>
      </c>
      <c r="C10" s="24">
        <f>SUM(Jul!C10, Aug!C10, Sep!C10)</f>
        <v>0</v>
      </c>
      <c r="D10" s="13">
        <f>SUM(Jul!D10, Aug!D10, Sep!D10)</f>
        <v>0</v>
      </c>
      <c r="E10" s="13">
        <f t="shared" si="0"/>
        <v>0</v>
      </c>
      <c r="F10" s="14" t="str">
        <f t="shared" si="1"/>
        <v/>
      </c>
      <c r="G10" s="15">
        <f xml:space="preserve"> SUM(Jul!G10,Aug!G10,Sep!G10)</f>
        <v>0</v>
      </c>
      <c r="H10" s="15">
        <f>SUM(Jul!H10, Aug!H10, Sep!H10)</f>
        <v>0</v>
      </c>
      <c r="I10" s="16" t="str">
        <f t="shared" si="2"/>
        <v/>
      </c>
    </row>
    <row r="11" spans="1:9" ht="15.6">
      <c r="A11" s="42" t="str">
        <v>Suffield</v>
      </c>
      <c r="B11" s="10" t="str">
        <v>CT</v>
      </c>
      <c r="C11" s="11">
        <f>SUM(Jul!C11, Aug!C11, Sep!C11)</f>
        <v>0</v>
      </c>
      <c r="D11" s="18">
        <f>SUM(Jul!D11, Aug!D11, Sep!D11)</f>
        <v>0</v>
      </c>
      <c r="E11" s="18">
        <f t="shared" si="0"/>
        <v>0</v>
      </c>
      <c r="F11" s="19" t="str">
        <f t="shared" si="1"/>
        <v/>
      </c>
      <c r="G11" s="18">
        <f xml:space="preserve"> SUM(Jul!G11,Aug!G11,Sep!G11)</f>
        <v>0</v>
      </c>
      <c r="H11" s="20">
        <f>SUM(Jul!H11, Aug!H11, Sep!H11)</f>
        <v>0</v>
      </c>
      <c r="I11" s="19" t="str">
        <f t="shared" si="2"/>
        <v/>
      </c>
    </row>
    <row r="12" spans="1:9" ht="15.6">
      <c r="A12" s="41" t="str">
        <v>Ashby-Duffy</v>
      </c>
      <c r="B12" s="9" t="str">
        <v>MA</v>
      </c>
      <c r="C12" s="24">
        <f>SUM(Jul!C12, Aug!C12, Sep!C12)</f>
        <v>0</v>
      </c>
      <c r="D12" s="13">
        <f>SUM(Jul!D12, Aug!D12, Sep!D12)</f>
        <v>0</v>
      </c>
      <c r="E12" s="13">
        <f t="shared" si="0"/>
        <v>0</v>
      </c>
      <c r="F12" s="14" t="str">
        <f t="shared" si="1"/>
        <v/>
      </c>
      <c r="G12" s="15">
        <f xml:space="preserve"> SUM(Jul!G12,Aug!G12,Sep!G12)</f>
        <v>0</v>
      </c>
      <c r="H12" s="15">
        <f>SUM(Jul!H12, Aug!H12, Sep!H12)</f>
        <v>0</v>
      </c>
      <c r="I12" s="16" t="str">
        <f t="shared" si="2"/>
        <v/>
      </c>
    </row>
    <row r="13" spans="1:9" ht="15.6">
      <c r="A13" s="42" t="str">
        <v>Ashland</v>
      </c>
      <c r="B13" s="10" t="str">
        <v>MA</v>
      </c>
      <c r="C13" s="11">
        <f>SUM(Jul!C13, Aug!C13, Sep!C13)</f>
        <v>0</v>
      </c>
      <c r="D13" s="18">
        <f>SUM(Jul!D13, Aug!D13, Sep!D13)</f>
        <v>0</v>
      </c>
      <c r="E13" s="18">
        <f t="shared" si="0"/>
        <v>0</v>
      </c>
      <c r="F13" s="19" t="str">
        <f t="shared" si="1"/>
        <v/>
      </c>
      <c r="G13" s="18">
        <f xml:space="preserve"> SUM(Jul!G13,Aug!G13,Sep!G13)</f>
        <v>0</v>
      </c>
      <c r="H13" s="20">
        <f>SUM(Jul!H13, Aug!H13, Sep!H13)</f>
        <v>0</v>
      </c>
      <c r="I13" s="19" t="str">
        <f t="shared" si="2"/>
        <v/>
      </c>
    </row>
    <row r="14" spans="1:9" ht="15.6">
      <c r="A14" s="41" t="str">
        <v>Barrington</v>
      </c>
      <c r="B14" s="9" t="str">
        <v>MA</v>
      </c>
      <c r="C14" s="24">
        <f>SUM(Jul!C14, Aug!C14, Sep!C14)</f>
        <v>0</v>
      </c>
      <c r="D14" s="13">
        <f>SUM(Jul!D14, Aug!D14, Sep!D14)</f>
        <v>0</v>
      </c>
      <c r="E14" s="13">
        <f t="shared" si="0"/>
        <v>0</v>
      </c>
      <c r="F14" s="14" t="str">
        <f t="shared" si="1"/>
        <v/>
      </c>
      <c r="G14" s="15">
        <f xml:space="preserve"> SUM(Jul!G14,Aug!G14,Sep!G14)</f>
        <v>0</v>
      </c>
      <c r="H14" s="15">
        <f>SUM(Jul!H14, Aug!H14, Sep!H14)</f>
        <v>0</v>
      </c>
      <c r="I14" s="16" t="str">
        <f t="shared" si="2"/>
        <v/>
      </c>
    </row>
    <row r="15" spans="1:9" ht="15.6">
      <c r="A15" s="42" t="str">
        <v>Bedford - 205 Burlington Rd</v>
      </c>
      <c r="B15" s="10" t="str">
        <v>MA</v>
      </c>
      <c r="C15" s="11">
        <f>SUM(Jul!C15, Aug!C15, Sep!C15)</f>
        <v>0</v>
      </c>
      <c r="D15" s="18">
        <f>SUM(Jul!D15, Aug!D15, Sep!D15)</f>
        <v>0</v>
      </c>
      <c r="E15" s="18">
        <f t="shared" si="0"/>
        <v>0</v>
      </c>
      <c r="F15" s="19" t="str">
        <f t="shared" si="1"/>
        <v/>
      </c>
      <c r="G15" s="18">
        <f xml:space="preserve"> SUM(Jul!G15,Aug!G15,Sep!G15)</f>
        <v>0</v>
      </c>
      <c r="H15" s="20">
        <f>SUM(Jul!H15, Aug!H15, Sep!H15)</f>
        <v>0</v>
      </c>
      <c r="I15" s="19" t="str">
        <f t="shared" si="2"/>
        <v/>
      </c>
    </row>
    <row r="16" spans="1:9" ht="15.6">
      <c r="A16" s="41" t="str">
        <v>Billerica - 6 Cook Street</v>
      </c>
      <c r="B16" s="9" t="str">
        <v>MA</v>
      </c>
      <c r="C16" s="24">
        <f>SUM(Jul!C16, Aug!C16, Sep!C16)</f>
        <v>0</v>
      </c>
      <c r="D16" s="13">
        <f>SUM(Jul!D16, Aug!D16, Sep!D16)</f>
        <v>0</v>
      </c>
      <c r="E16" s="13">
        <f t="shared" ref="E16:E22" si="3">IF(AND(ISNUMBER(C16),ISNUMBER(D16)), C16-D16, "")</f>
        <v>0</v>
      </c>
      <c r="F16" s="14" t="str">
        <f t="shared" ref="F16:F23" si="4">IFERROR(E16/D16, "")</f>
        <v/>
      </c>
      <c r="G16" s="15">
        <f xml:space="preserve"> SUM(Jul!G16,Aug!G16,Sep!G16)</f>
        <v>0</v>
      </c>
      <c r="H16" s="15">
        <f>SUM(Jul!H16, Aug!H16, Sep!H16)</f>
        <v>0</v>
      </c>
      <c r="I16" s="16" t="str">
        <f t="shared" ref="I16:I23" si="5">IFERROR(H16/G16, "")</f>
        <v/>
      </c>
    </row>
    <row r="17" spans="1:9" ht="15.6">
      <c r="A17" s="42" t="str">
        <v>Billerica - 780 Boston Road</v>
      </c>
      <c r="B17" s="10" t="str">
        <v>MA</v>
      </c>
      <c r="C17" s="11">
        <f>SUM(Jul!C17, Aug!C17, Sep!C17)</f>
        <v>0</v>
      </c>
      <c r="D17" s="18">
        <f>SUM(Jul!D17, Aug!D17, Sep!D17)</f>
        <v>0</v>
      </c>
      <c r="E17" s="18">
        <f t="shared" si="3"/>
        <v>0</v>
      </c>
      <c r="F17" s="19" t="str">
        <f t="shared" si="4"/>
        <v/>
      </c>
      <c r="G17" s="18">
        <f xml:space="preserve"> SUM(Jul!G17,Aug!G17,Sep!G17)</f>
        <v>0</v>
      </c>
      <c r="H17" s="20">
        <f>SUM(Jul!H17, Aug!H17, Sep!H17)</f>
        <v>0</v>
      </c>
      <c r="I17" s="19" t="str">
        <f t="shared" si="5"/>
        <v/>
      </c>
    </row>
    <row r="18" spans="1:9" ht="12.75" customHeight="1">
      <c r="A18" s="41" t="str">
        <v>Cheshire</v>
      </c>
      <c r="B18" s="9" t="str">
        <v>MA</v>
      </c>
      <c r="C18" s="24">
        <f>SUM(Jul!C18, Aug!C18, Sep!C18)</f>
        <v>0</v>
      </c>
      <c r="D18" s="13">
        <f>SUM(Jul!D18, Aug!D18, Sep!D18)</f>
        <v>0</v>
      </c>
      <c r="E18" s="13">
        <f t="shared" si="3"/>
        <v>0</v>
      </c>
      <c r="F18" s="14" t="str">
        <f t="shared" si="4"/>
        <v/>
      </c>
      <c r="G18" s="15">
        <f xml:space="preserve"> SUM(Jul!G18,Aug!G18,Sep!G18)</f>
        <v>0</v>
      </c>
      <c r="H18" s="15">
        <f>SUM(Jul!H18, Aug!H18, Sep!H18)</f>
        <v>0</v>
      </c>
      <c r="I18" s="16" t="str">
        <f t="shared" si="5"/>
        <v/>
      </c>
    </row>
    <row r="19" spans="1:9" ht="15.6">
      <c r="A19" s="42" t="str">
        <v>Lilly Lane</v>
      </c>
      <c r="B19" s="10" t="str">
        <v>MA</v>
      </c>
      <c r="C19" s="11">
        <f>SUM(Jul!C19, Aug!C19, Sep!C19)</f>
        <v>0</v>
      </c>
      <c r="D19" s="18">
        <f>SUM(Jul!D19, Aug!D19, Sep!D19)</f>
        <v>0</v>
      </c>
      <c r="E19" s="18">
        <f t="shared" si="3"/>
        <v>0</v>
      </c>
      <c r="F19" s="19" t="str">
        <f t="shared" si="4"/>
        <v/>
      </c>
      <c r="G19" s="18">
        <f xml:space="preserve"> SUM(Jul!G19,Aug!G19,Sep!G19)</f>
        <v>0</v>
      </c>
      <c r="H19" s="20">
        <f>SUM(Jul!H19, Aug!H19, Sep!H19)</f>
        <v>0</v>
      </c>
      <c r="I19" s="19" t="str">
        <f t="shared" si="5"/>
        <v/>
      </c>
    </row>
    <row r="20" spans="1:9" ht="15.6">
      <c r="A20" s="41" t="str">
        <v>Monument Valley</v>
      </c>
      <c r="B20" s="9" t="str">
        <v>MA</v>
      </c>
      <c r="C20" s="24">
        <f>SUM(Jul!C20, Aug!C20, Sep!C20)</f>
        <v>0</v>
      </c>
      <c r="D20" s="13">
        <f>SUM(Jul!D20, Aug!D20, Sep!D20)</f>
        <v>0</v>
      </c>
      <c r="E20" s="13">
        <f t="shared" si="3"/>
        <v>0</v>
      </c>
      <c r="F20" s="14" t="str">
        <f t="shared" si="4"/>
        <v/>
      </c>
      <c r="G20" s="15">
        <f xml:space="preserve"> SUM(Jul!G20,Aug!G20,Sep!G20)</f>
        <v>0</v>
      </c>
      <c r="H20" s="15">
        <f>SUM(Jul!H20, Aug!H20, Sep!H20)</f>
        <v>0</v>
      </c>
      <c r="I20" s="16" t="str">
        <f t="shared" si="5"/>
        <v/>
      </c>
    </row>
    <row r="21" spans="1:9" ht="15.6">
      <c r="A21" s="42" t="str">
        <v>Nationwide</v>
      </c>
      <c r="B21" s="10" t="str">
        <v>MA</v>
      </c>
      <c r="C21" s="11">
        <f>SUM(Jul!C21, Aug!C21, Sep!C21)</f>
        <v>0</v>
      </c>
      <c r="D21" s="18">
        <f>SUM(Jul!D21, Aug!D21, Sep!D21)</f>
        <v>0</v>
      </c>
      <c r="E21" s="18">
        <f t="shared" si="3"/>
        <v>0</v>
      </c>
      <c r="F21" s="19" t="str">
        <f t="shared" si="4"/>
        <v/>
      </c>
      <c r="G21" s="18">
        <f xml:space="preserve"> SUM(Jul!G21,Aug!G21,Sep!G21)</f>
        <v>0</v>
      </c>
      <c r="H21" s="20">
        <f>SUM(Jul!H21, Aug!H21, Sep!H21)</f>
        <v>0</v>
      </c>
      <c r="I21" s="19" t="str">
        <f t="shared" si="5"/>
        <v/>
      </c>
    </row>
    <row r="22" spans="1:9" ht="15.6">
      <c r="A22" s="41" t="str">
        <v>Pulpit Hill</v>
      </c>
      <c r="B22" s="9" t="str">
        <v>MA</v>
      </c>
      <c r="C22" s="24">
        <f>SUM(Jul!C22, Aug!C22, Sep!C22)</f>
        <v>0</v>
      </c>
      <c r="D22" s="13">
        <f>SUM(Jul!D22, Aug!D22, Sep!D22)</f>
        <v>0</v>
      </c>
      <c r="E22" s="13">
        <f t="shared" si="3"/>
        <v>0</v>
      </c>
      <c r="F22" s="14" t="str">
        <f t="shared" si="4"/>
        <v/>
      </c>
      <c r="G22" s="15">
        <f xml:space="preserve"> SUM(Jul!G22,Aug!G22,Sep!G22)</f>
        <v>0</v>
      </c>
      <c r="H22" s="15">
        <f>SUM(Jul!H22, Aug!H22, Sep!H22)</f>
        <v>0</v>
      </c>
      <c r="I22" s="16" t="str">
        <f t="shared" si="5"/>
        <v/>
      </c>
    </row>
    <row r="23" spans="1:9" ht="15.6">
      <c r="A23" s="42" t="str">
        <v>Sandwich</v>
      </c>
      <c r="B23" s="10" t="str">
        <v>MA</v>
      </c>
      <c r="C23" s="11">
        <f>SUM(Jul!C23, Aug!C23, Sep!C23)</f>
        <v>0</v>
      </c>
      <c r="D23" s="18">
        <f>SUM(Jul!D23, Aug!D23, Sep!D23)</f>
        <v>0</v>
      </c>
      <c r="E23" s="18">
        <f t="shared" ref="E23:E28" si="6">IF(AND(ISNUMBER(C23),ISNUMBER(D23)), C23-D23, "")</f>
        <v>0</v>
      </c>
      <c r="F23" s="19" t="str">
        <f t="shared" si="4"/>
        <v/>
      </c>
      <c r="G23" s="18">
        <f xml:space="preserve"> SUM(Jul!G23,Aug!G23,Sep!G23)</f>
        <v>0</v>
      </c>
      <c r="H23" s="20">
        <f>SUM(Jul!H23, Aug!H23, Sep!H23)</f>
        <v>0</v>
      </c>
      <c r="I23" s="19" t="str">
        <f t="shared" si="5"/>
        <v/>
      </c>
    </row>
    <row r="24" spans="1:9" ht="15.6">
      <c r="A24" s="41" t="str">
        <v>Sturbridge Barn</v>
      </c>
      <c r="B24" s="9" t="str">
        <v>MA</v>
      </c>
      <c r="C24" s="24">
        <f>SUM(Jul!C24, Aug!C24, Sep!C24)</f>
        <v>0</v>
      </c>
      <c r="D24" s="13">
        <f>SUM(Jul!D24, Aug!D24, Sep!D24)</f>
        <v>0</v>
      </c>
      <c r="E24" s="13">
        <f t="shared" si="6"/>
        <v>0</v>
      </c>
      <c r="F24" s="14" t="str">
        <f t="shared" ref="F24:F28" si="7">IFERROR(E24/D24, "")</f>
        <v/>
      </c>
      <c r="G24" s="15">
        <f xml:space="preserve"> SUM(Jul!G24,Aug!G24,Sep!G24)</f>
        <v>0</v>
      </c>
      <c r="H24" s="15">
        <f>SUM(Jul!H24, Aug!H24, Sep!H24)</f>
        <v>0</v>
      </c>
      <c r="I24" s="16" t="str">
        <f t="shared" ref="I24:I28" si="8">IFERROR(H24/G24, "")</f>
        <v/>
      </c>
    </row>
    <row r="25" spans="1:9" ht="15.6">
      <c r="A25" s="42" t="str">
        <v>Sturbridge Garage</v>
      </c>
      <c r="B25" s="10" t="str">
        <v>MA</v>
      </c>
      <c r="C25" s="11">
        <f>SUM(Jul!C25, Aug!C25, Sep!C25)</f>
        <v>0</v>
      </c>
      <c r="D25" s="18">
        <f>SUM(Jul!D25, Aug!D25, Sep!D25)</f>
        <v>0</v>
      </c>
      <c r="E25" s="18">
        <f t="shared" si="6"/>
        <v>0</v>
      </c>
      <c r="F25" s="19" t="str">
        <f t="shared" si="7"/>
        <v/>
      </c>
      <c r="G25" s="18">
        <f xml:space="preserve"> SUM(Jul!G25,Aug!G25,Sep!G25)</f>
        <v>0</v>
      </c>
      <c r="H25" s="20">
        <f>SUM(Jul!H25, Aug!H25, Sep!H25)</f>
        <v>0</v>
      </c>
      <c r="I25" s="19" t="str">
        <f t="shared" si="8"/>
        <v/>
      </c>
    </row>
    <row r="26" spans="1:9" ht="15.6">
      <c r="A26" s="41" t="str">
        <v>Halsey Valley</v>
      </c>
      <c r="B26" s="9" t="str">
        <v>NY</v>
      </c>
      <c r="C26" s="24">
        <f>SUM(Jul!C26, Aug!C26, Sep!C26)</f>
        <v>0</v>
      </c>
      <c r="D26" s="13">
        <f>SUM(Jul!D26, Aug!D26, Sep!D26)</f>
        <v>0</v>
      </c>
      <c r="E26" s="13">
        <f t="shared" si="6"/>
        <v>0</v>
      </c>
      <c r="F26" s="14" t="str">
        <f t="shared" si="7"/>
        <v/>
      </c>
      <c r="G26" s="15">
        <f xml:space="preserve"> SUM(Jul!G26,Aug!G26,Sep!G26)</f>
        <v>0</v>
      </c>
      <c r="H26" s="15">
        <f>SUM(Jul!H26, Aug!H26, Sep!H26)</f>
        <v>0</v>
      </c>
      <c r="I26" s="16" t="str">
        <f t="shared" si="8"/>
        <v/>
      </c>
    </row>
    <row r="27" spans="1:9" ht="15.6">
      <c r="A27" s="42" t="str">
        <v>Hunt Creek</v>
      </c>
      <c r="B27" s="10" t="str">
        <v>NY</v>
      </c>
      <c r="C27" s="11">
        <f>SUM(Jul!C27, Aug!C27, Sep!C27)</f>
        <v>0</v>
      </c>
      <c r="D27" s="18">
        <f>SUM(Jul!D27, Aug!D27, Sep!D27)</f>
        <v>0</v>
      </c>
      <c r="E27" s="18">
        <f t="shared" si="6"/>
        <v>0</v>
      </c>
      <c r="F27" s="19" t="str">
        <f t="shared" si="7"/>
        <v/>
      </c>
      <c r="G27" s="18">
        <f xml:space="preserve"> SUM(Jul!G27,Aug!G27,Sep!G27)</f>
        <v>0</v>
      </c>
      <c r="H27" s="20">
        <f>SUM(Jul!H27, Aug!H27, Sep!H27)</f>
        <v>0</v>
      </c>
      <c r="I27" s="19" t="str">
        <f t="shared" si="8"/>
        <v/>
      </c>
    </row>
    <row r="28" spans="1:9" ht="15.6">
      <c r="A28" s="41" t="str">
        <v>Smith Creek</v>
      </c>
      <c r="B28" s="9" t="str">
        <v>NY</v>
      </c>
      <c r="C28" s="24">
        <f>SUM(Jul!C28, Aug!C28, Sep!C28)</f>
        <v>0</v>
      </c>
      <c r="D28" s="13">
        <f>SUM(Jul!D28, Aug!D28, Sep!D28)</f>
        <v>0</v>
      </c>
      <c r="E28" s="13">
        <f t="shared" si="6"/>
        <v>0</v>
      </c>
      <c r="F28" s="14" t="str">
        <f t="shared" si="7"/>
        <v/>
      </c>
      <c r="G28" s="15">
        <f xml:space="preserve"> SUM(Jul!G28,Aug!G28,Sep!G28)</f>
        <v>0</v>
      </c>
      <c r="H28" s="15">
        <f>SUM(Jul!H28, Aug!H28, Sep!H28)</f>
        <v>0</v>
      </c>
      <c r="I28" s="16" t="str">
        <f t="shared" si="8"/>
        <v/>
      </c>
    </row>
    <row r="29" spans="1:9" ht="15.6">
      <c r="A29" s="42" t="str">
        <v>Bradford - 256 Presidential Dr</v>
      </c>
      <c r="B29" s="10" t="str">
        <v>MA</v>
      </c>
      <c r="C29" s="11">
        <f>SUM(Jul!C29, Aug!C29, Sep!C29)</f>
        <v>0</v>
      </c>
      <c r="D29" s="18">
        <f>SUM(Jul!D29, Aug!D29, Sep!D29)</f>
        <v>0</v>
      </c>
      <c r="E29" s="18">
        <f t="shared" ref="E29:E34" si="9">IF(AND(ISNUMBER(C29),ISNUMBER(D29)), C29-D29, "")</f>
        <v>0</v>
      </c>
      <c r="F29" s="19" t="str">
        <f t="shared" ref="F29:F35" si="10">IFERROR(E29/D29, "")</f>
        <v/>
      </c>
      <c r="G29" s="18">
        <f xml:space="preserve"> SUM(Jul!G29,Aug!G29,Sep!G29)</f>
        <v>0</v>
      </c>
      <c r="H29" s="20">
        <f>SUM(Jul!H29, Aug!H29, Sep!H29)</f>
        <v>0</v>
      </c>
      <c r="I29" s="19" t="str">
        <f t="shared" ref="I29:I34" si="11">IFERROR(H29/G29, "")</f>
        <v/>
      </c>
    </row>
    <row r="30" spans="1:9" ht="15.6">
      <c r="A30" s="41" t="str">
        <v>Charlton – 111 Brookfield Road - Bus Lot</v>
      </c>
      <c r="B30" s="9" t="str">
        <v>MA</v>
      </c>
      <c r="C30" s="24">
        <f>SUM(Jul!C30, Aug!C30, Sep!C30)</f>
        <v>0</v>
      </c>
      <c r="D30" s="13">
        <f>SUM(Jul!D30, Aug!D30, Sep!D30)</f>
        <v>0</v>
      </c>
      <c r="E30" s="13">
        <f t="shared" si="9"/>
        <v>0</v>
      </c>
      <c r="F30" s="14" t="str">
        <f t="shared" si="10"/>
        <v/>
      </c>
      <c r="G30" s="15">
        <f xml:space="preserve"> SUM(Jul!G30,Aug!G30,Sep!G30)</f>
        <v>0</v>
      </c>
      <c r="H30" s="15">
        <f>SUM(Jul!H30, Aug!H30, Sep!H30)</f>
        <v>0</v>
      </c>
      <c r="I30" s="16" t="str">
        <f t="shared" si="11"/>
        <v/>
      </c>
    </row>
    <row r="31" spans="1:9" ht="15.6">
      <c r="A31" s="42" t="str">
        <v>Charlton – 154 Center Depot Road KMARD</v>
      </c>
      <c r="B31" s="10" t="str">
        <v>MA</v>
      </c>
      <c r="C31" s="11">
        <f>SUM(Jul!C31, Aug!C31, Sep!C31)</f>
        <v>0</v>
      </c>
      <c r="D31" s="18">
        <f>SUM(Jul!D31, Aug!D31, Sep!D31)</f>
        <v>0</v>
      </c>
      <c r="E31" s="18">
        <f t="shared" si="9"/>
        <v>0</v>
      </c>
      <c r="F31" s="19" t="str">
        <f t="shared" si="10"/>
        <v/>
      </c>
      <c r="G31" s="18">
        <f xml:space="preserve"> SUM(Jul!G31,Aug!G31,Sep!G31)</f>
        <v>0</v>
      </c>
      <c r="H31" s="20">
        <f>SUM(Jul!H31, Aug!H31, Sep!H31)</f>
        <v>0</v>
      </c>
      <c r="I31" s="19" t="str">
        <f t="shared" si="11"/>
        <v/>
      </c>
    </row>
    <row r="32" spans="1:9" ht="15.6">
      <c r="A32" s="41" t="str">
        <v>Charlton – 142A Brookfield Rd (Mitchell)</v>
      </c>
      <c r="B32" s="9" t="str">
        <v>MA</v>
      </c>
      <c r="C32" s="24">
        <f>SUM(Jul!C32, Aug!C32, Sep!C32)</f>
        <v>0</v>
      </c>
      <c r="D32" s="13">
        <f>SUM(Jul!D32, Aug!D32, Sep!D32)</f>
        <v>0</v>
      </c>
      <c r="E32" s="13">
        <f t="shared" si="9"/>
        <v>0</v>
      </c>
      <c r="F32" s="14" t="str">
        <f t="shared" si="10"/>
        <v/>
      </c>
      <c r="G32" s="15">
        <f xml:space="preserve"> SUM(Jul!G32,Aug!G32,Sep!G32)</f>
        <v>0</v>
      </c>
      <c r="H32" s="15">
        <f>SUM(Jul!H32, Aug!H32, Sep!H32)</f>
        <v>0</v>
      </c>
      <c r="I32" s="16" t="str">
        <f t="shared" si="11"/>
        <v/>
      </c>
    </row>
    <row r="33" spans="1:9" ht="15.6">
      <c r="A33" s="42" t="str">
        <v>Great Barrington – 3 Nolan  Drive</v>
      </c>
      <c r="B33" s="10" t="str">
        <v>MA</v>
      </c>
      <c r="C33" s="11">
        <f>SUM(Jul!C33, Aug!C33, Sep!C33)</f>
        <v>0</v>
      </c>
      <c r="D33" s="18">
        <f>SUM(Jul!D33, Aug!D33, Sep!D33)</f>
        <v>0</v>
      </c>
      <c r="E33" s="18">
        <f t="shared" si="9"/>
        <v>0</v>
      </c>
      <c r="F33" s="19" t="str">
        <f t="shared" si="10"/>
        <v/>
      </c>
      <c r="G33" s="18">
        <f xml:space="preserve"> SUM(Jul!G33,Aug!G33,Sep!G33)</f>
        <v>0</v>
      </c>
      <c r="H33" s="20">
        <f>SUM(Jul!H33, Aug!H33, Sep!H33)</f>
        <v>0</v>
      </c>
      <c r="I33" s="19" t="str">
        <f t="shared" si="11"/>
        <v/>
      </c>
    </row>
    <row r="34" spans="1:9" ht="15.6">
      <c r="A34" s="41" t="str">
        <v>Stockbridge – 92 State Line Road Truck Stop</v>
      </c>
      <c r="B34" s="9" t="str">
        <v>MA</v>
      </c>
      <c r="C34" s="24">
        <f>SUM(Jul!C34, Aug!C34, Sep!C34)</f>
        <v>0</v>
      </c>
      <c r="D34" s="13">
        <f>SUM(Jul!D34, Aug!D34, Sep!D34)</f>
        <v>0</v>
      </c>
      <c r="E34" s="13">
        <f t="shared" si="9"/>
        <v>0</v>
      </c>
      <c r="F34" s="14" t="str">
        <f t="shared" si="10"/>
        <v/>
      </c>
      <c r="G34" s="15">
        <f xml:space="preserve"> SUM(Jul!G34,Aug!G34,Sep!G34)</f>
        <v>0</v>
      </c>
      <c r="H34" s="15">
        <f>SUM(Jul!H34, Aug!H34, Sep!H34)</f>
        <v>0</v>
      </c>
      <c r="I34" s="16" t="str">
        <f t="shared" si="11"/>
        <v/>
      </c>
    </row>
    <row r="35" spans="1:9" ht="15.6">
      <c r="A35" s="42" t="str">
        <v>NY: New Windsor - Moores Hill</v>
      </c>
      <c r="B35" s="10" t="str">
        <v>NY</v>
      </c>
      <c r="C35" s="58">
        <f>SUM(Jul!C35, Aug!C35, Sep!C35)</f>
        <v>0</v>
      </c>
      <c r="D35" s="18">
        <f>SUM(Jul!D35, Aug!D35, Sep!D35)</f>
        <v>0</v>
      </c>
      <c r="E35" s="18">
        <f>IF(AND(ISNUMBER(C35),ISNUMBER(D35)), C35-D35, "")</f>
        <v>0</v>
      </c>
      <c r="F35" s="52" t="str">
        <f t="shared" si="10"/>
        <v/>
      </c>
      <c r="G35" s="18">
        <f xml:space="preserve"> SUM(Jul!G35,Aug!G35,Sep!G35)</f>
        <v>0</v>
      </c>
      <c r="H35" s="50">
        <f>SUM(Jul!H35, Aug!H35, Sep!H35)</f>
        <v>0</v>
      </c>
      <c r="I35" s="52" t="str">
        <f>IFERROR(H35/G35, "")</f>
        <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C11" activePane="bottomRight" state="frozen"/>
      <selection pane="bottomRight" activeCell="F37" sqref="F37"/>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Lodestar</v>
      </c>
      <c r="B1" s="124"/>
      <c r="C1" s="124"/>
      <c r="D1" s="125" t="s">
        <v>16</v>
      </c>
      <c r="E1" s="125"/>
      <c r="F1" s="125"/>
      <c r="G1" s="123" t="s">
        <v>17</v>
      </c>
      <c r="H1" s="123"/>
      <c r="I1" s="123"/>
    </row>
    <row r="2" spans="1:9" ht="19.5" customHeight="1">
      <c r="A2" s="126" t="s">
        <v>2</v>
      </c>
      <c r="B2" s="126"/>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2" t="str">
        <v>Bunce</v>
      </c>
      <c r="B5" s="10" t="str">
        <v>CT</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6">
      <c r="A6" s="41" t="str">
        <v>Norcap North</v>
      </c>
      <c r="B6" s="9" t="str">
        <v>CT</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2" t="str">
        <v>Norcap South</v>
      </c>
      <c r="B7" s="10" t="str">
        <v>CT</v>
      </c>
      <c r="C7" s="11">
        <f>SUM(Oct!C7, Nov!C7, Dec!C7)</f>
        <v>0</v>
      </c>
      <c r="D7" s="18">
        <f>SUM(Oct!D7, Nov!D7, Dec!D7)</f>
        <v>0</v>
      </c>
      <c r="E7" s="18">
        <f t="shared" si="0"/>
        <v>0</v>
      </c>
      <c r="F7" s="19" t="str">
        <f t="shared" si="1"/>
        <v/>
      </c>
      <c r="G7" s="18">
        <f>SUM(Oct!G7,Nov!G7,Dec!G7)</f>
        <v>0</v>
      </c>
      <c r="H7" s="20">
        <f>SUM(Oct!H7, Nov!H7, Dec!H7)</f>
        <v>0</v>
      </c>
      <c r="I7" s="19" t="str">
        <f t="shared" si="2"/>
        <v/>
      </c>
    </row>
    <row r="8" spans="1:9" ht="15.6">
      <c r="A8" s="41" t="str">
        <v>Platt Hill</v>
      </c>
      <c r="B8" s="9" t="str">
        <v>CT</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2" t="str">
        <v>Powder Hill</v>
      </c>
      <c r="B9" s="10" t="str">
        <v>CT</v>
      </c>
      <c r="C9" s="11">
        <f>SUM(Oct!C9, Nov!C9, Dec!C9)</f>
        <v>0</v>
      </c>
      <c r="D9" s="18">
        <f>SUM(Oct!D9, Nov!D9, Dec!D9)</f>
        <v>0</v>
      </c>
      <c r="E9" s="18">
        <f t="shared" si="0"/>
        <v>0</v>
      </c>
      <c r="F9" s="19" t="str">
        <f t="shared" si="1"/>
        <v/>
      </c>
      <c r="G9" s="18">
        <f>SUM(Oct!G9,Nov!G9,Dec!G9)</f>
        <v>0</v>
      </c>
      <c r="H9" s="20">
        <f>SUM(Oct!H9, Nov!H9, Dec!H9)</f>
        <v>0</v>
      </c>
      <c r="I9" s="19" t="str">
        <f t="shared" si="2"/>
        <v/>
      </c>
    </row>
    <row r="10" spans="1:9" ht="15.6">
      <c r="A10" s="41" t="str">
        <v>Sand Road</v>
      </c>
      <c r="B10" s="9" t="str">
        <v>CT</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2" t="str">
        <v>Suffield</v>
      </c>
      <c r="B11" s="10" t="str">
        <v>CT</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6">
      <c r="A12" s="41" t="str">
        <v>Ashby-Duffy</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2" t="str">
        <v>Ashland</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6">
      <c r="A14" s="41" t="str">
        <v>Barrington</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2" t="str">
        <v>Bedford - 205 Burlington Rd</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6">
      <c r="A16" s="41" t="str">
        <v>Billerica - 6 Cook Street</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6">
      <c r="A17" s="42" t="str">
        <v>Billerica - 780 Boston Road</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1" t="str">
        <v>Cheshire</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6">
      <c r="A19" s="42" t="str">
        <v>Lilly Lane</v>
      </c>
      <c r="B19" s="10" t="str">
        <v>MA</v>
      </c>
      <c r="C19" s="11">
        <f>SUM(Oct!C19, Nov!C19, Dec!C19)</f>
        <v>0</v>
      </c>
      <c r="D19" s="18">
        <f>SUM(Oct!D19, Nov!D19, Dec!D19)</f>
        <v>0</v>
      </c>
      <c r="E19" s="18">
        <f t="shared" ref="E19:E28" si="6">IF(AND(ISNUMBER(C19),ISNUMBER(D19)), C19-D19, "")</f>
        <v>0</v>
      </c>
      <c r="F19" s="19" t="str">
        <f t="shared" ref="F19:F35" si="7">IFERROR(E19/D19, "")</f>
        <v/>
      </c>
      <c r="G19" s="18">
        <f>SUM(Oct!G19,Nov!G19,Dec!G19)</f>
        <v>0</v>
      </c>
      <c r="H19" s="20">
        <f>SUM(Oct!H19, Nov!H19, Dec!H19)</f>
        <v>0</v>
      </c>
      <c r="I19" s="19" t="str">
        <f t="shared" ref="I19:I35" si="8">IFERROR(H19/G19, "")</f>
        <v/>
      </c>
    </row>
    <row r="20" spans="1:9" ht="15.6">
      <c r="A20" s="41" t="str">
        <v>Monument Valley</v>
      </c>
      <c r="B20" s="9" t="str">
        <v>MA</v>
      </c>
      <c r="C20" s="24">
        <f>SUM(Oct!C20, Nov!C20, Dec!C20)</f>
        <v>0</v>
      </c>
      <c r="D20" s="13">
        <f>SUM(Oct!D20, Nov!D20, Dec!D20)</f>
        <v>0</v>
      </c>
      <c r="E20" s="13">
        <f>IF(AND(ISNUMBER(C20),ISNUMBER(D20)), C20-D20, "")</f>
        <v>0</v>
      </c>
      <c r="F20" s="14" t="str">
        <f>IFERROR(E20/D20, "")</f>
        <v/>
      </c>
      <c r="G20" s="15">
        <f>SUM(Oct!G20,Nov!G20,Dec!G20)</f>
        <v>0</v>
      </c>
      <c r="H20" s="15">
        <f>SUM(Oct!H20, Nov!H20, Dec!H20)</f>
        <v>0</v>
      </c>
      <c r="I20" s="16" t="str">
        <f>IFERROR(H20/G20, "")</f>
        <v/>
      </c>
    </row>
    <row r="21" spans="1:9" ht="15.6">
      <c r="A21" s="42" t="str">
        <v>Nationwide</v>
      </c>
      <c r="B21" s="10" t="str">
        <v>MA</v>
      </c>
      <c r="C21" s="11">
        <f>SUM(Oct!C21, Nov!C21, Dec!C21)</f>
        <v>0</v>
      </c>
      <c r="D21" s="18">
        <f>SUM(Oct!D21, Nov!D21, Dec!D21)</f>
        <v>0</v>
      </c>
      <c r="E21" s="18">
        <f>IF(AND(ISNUMBER(C21),ISNUMBER(D21)), C21-D21, "")</f>
        <v>0</v>
      </c>
      <c r="F21" s="19" t="str">
        <f>IFERROR(E21/D21, "")</f>
        <v/>
      </c>
      <c r="G21" s="18">
        <f>SUM(Oct!G21,Nov!G21,Dec!G21)</f>
        <v>0</v>
      </c>
      <c r="H21" s="20">
        <f>SUM(Oct!H21, Nov!H21, Dec!H21)</f>
        <v>0</v>
      </c>
      <c r="I21" s="19" t="str">
        <f>IFERROR(H21/G21, "")</f>
        <v/>
      </c>
    </row>
    <row r="22" spans="1:9" ht="15.6">
      <c r="A22" s="41" t="str">
        <v>Pulpit Hill</v>
      </c>
      <c r="B22" s="9" t="str">
        <v>MA</v>
      </c>
      <c r="C22" s="24">
        <f>SUM(Oct!C22, Nov!C22, Dec!C22)</f>
        <v>0</v>
      </c>
      <c r="D22" s="13">
        <f>SUM(Oct!D22, Nov!D22, Dec!D22)</f>
        <v>0</v>
      </c>
      <c r="E22" s="13">
        <f>IF(AND(ISNUMBER(C22),ISNUMBER(D22)), C22-D22, "")</f>
        <v>0</v>
      </c>
      <c r="F22" s="14" t="str">
        <f>IFERROR(E22/D22, "")</f>
        <v/>
      </c>
      <c r="G22" s="15">
        <f>SUM(Oct!G22,Nov!G22,Dec!G22)</f>
        <v>0</v>
      </c>
      <c r="H22" s="15">
        <f>SUM(Oct!H22, Nov!H22, Dec!H22)</f>
        <v>0</v>
      </c>
      <c r="I22" s="16" t="str">
        <f>IFERROR(H22/G22, "")</f>
        <v/>
      </c>
    </row>
    <row r="23" spans="1:9" ht="15.6">
      <c r="A23" s="42" t="str">
        <v>Sandwich</v>
      </c>
      <c r="B23" s="10" t="str">
        <v>MA</v>
      </c>
      <c r="C23" s="11">
        <f>SUM(Oct!C23, Nov!C23, Dec!C23)</f>
        <v>0</v>
      </c>
      <c r="D23" s="18">
        <f>SUM(Oct!D23, Nov!D23, Dec!D23)</f>
        <v>0</v>
      </c>
      <c r="E23" s="18">
        <f t="shared" si="6"/>
        <v>0</v>
      </c>
      <c r="F23" s="19" t="str">
        <f>IFERROR(E23/D23, "")</f>
        <v/>
      </c>
      <c r="G23" s="18">
        <f>SUM(Oct!G23,Nov!G23,Dec!G23)</f>
        <v>0</v>
      </c>
      <c r="H23" s="20">
        <f>SUM(Oct!H23, Nov!H23, Dec!H23)</f>
        <v>0</v>
      </c>
      <c r="I23" s="19" t="str">
        <f>IFERROR(H23/G23, "")</f>
        <v/>
      </c>
    </row>
    <row r="24" spans="1:9" ht="15.6">
      <c r="A24" s="41" t="str">
        <v>Sturbridge Barn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2" t="str">
        <v>Sturbridge Garage</v>
      </c>
      <c r="B25" s="10" t="str">
        <v>MA</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6">
      <c r="A26" s="41" t="str">
        <v>Halsey Valley</v>
      </c>
      <c r="B26" s="9" t="str">
        <v>NY</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2" t="str">
        <v>Hunt Creek</v>
      </c>
      <c r="B27" s="10" t="str">
        <v>NY</v>
      </c>
      <c r="C27" s="11">
        <f>SUM(Oct!C27, Nov!C27, Dec!C27)</f>
        <v>0</v>
      </c>
      <c r="D27" s="18">
        <f>SUM(Oct!D27, Nov!D27, Dec!D27)</f>
        <v>0</v>
      </c>
      <c r="E27" s="18">
        <f t="shared" si="6"/>
        <v>0</v>
      </c>
      <c r="F27" s="19" t="str">
        <f t="shared" si="7"/>
        <v/>
      </c>
      <c r="G27" s="18">
        <f>SUM(Oct!G27,Nov!G27,Dec!G27)</f>
        <v>0</v>
      </c>
      <c r="H27" s="20">
        <f>SUM(Oct!H27, Nov!H27, Dec!H27)</f>
        <v>0</v>
      </c>
      <c r="I27" s="19" t="str">
        <f t="shared" si="8"/>
        <v/>
      </c>
    </row>
    <row r="28" spans="1:9" ht="15.6">
      <c r="A28" s="41" t="str">
        <v>Smith Creek</v>
      </c>
      <c r="B28" s="9" t="str">
        <v>NY</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17" t="str">
        <v>Bradford - 256 Presidential Dr</v>
      </c>
      <c r="B29" s="10" t="str">
        <v>MA</v>
      </c>
      <c r="C29" s="58">
        <f>SUM(Oct!C29, Nov!C29, Dec!C29)</f>
        <v>0</v>
      </c>
      <c r="D29" s="18">
        <f>SUM(Oct!D29, Nov!D29, Dec!D29)</f>
        <v>0</v>
      </c>
      <c r="E29" s="18">
        <f t="shared" ref="E29:E35" si="9">IF(AND(ISNUMBER(C29),ISNUMBER(D29)), C29-D29, "")</f>
        <v>0</v>
      </c>
      <c r="F29" s="19" t="str">
        <f t="shared" si="7"/>
        <v/>
      </c>
      <c r="G29" s="18">
        <f>SUM(Oct!G29,Nov!G29,Dec!G29)</f>
        <v>0</v>
      </c>
      <c r="H29" s="20">
        <f>SUM(Oct!H29, Nov!H29, Dec!H29)</f>
        <v>0</v>
      </c>
      <c r="I29" s="19" t="str">
        <f t="shared" si="8"/>
        <v/>
      </c>
    </row>
    <row r="30" spans="1:9" ht="15.6">
      <c r="A30" s="41" t="str">
        <v>Charlton – 111 Brookfield Road - Bus Lot</v>
      </c>
      <c r="B30" s="9" t="str">
        <v>MA</v>
      </c>
      <c r="C30" s="51">
        <f>SUM(Oct!C30, Nov!C30, Dec!C30)</f>
        <v>0</v>
      </c>
      <c r="D30" s="13">
        <f>SUM(Oct!D30, Nov!D30, Dec!D30)</f>
        <v>0</v>
      </c>
      <c r="E30" s="13">
        <f t="shared" si="9"/>
        <v>0</v>
      </c>
      <c r="F30" s="14" t="str">
        <f t="shared" si="7"/>
        <v/>
      </c>
      <c r="G30" s="49">
        <f>SUM(Oct!G30,Nov!G30,Dec!G30)</f>
        <v>0</v>
      </c>
      <c r="H30" s="49">
        <f>SUM(Oct!H30, Nov!H30, Dec!H30)</f>
        <v>0</v>
      </c>
      <c r="I30" s="16" t="str">
        <f t="shared" si="8"/>
        <v/>
      </c>
    </row>
    <row r="31" spans="1:9" ht="15.6">
      <c r="A31" s="17" t="str">
        <v>Charlton – 154 Center Depot Road KMARD</v>
      </c>
      <c r="B31" s="10" t="str">
        <v>MA</v>
      </c>
      <c r="C31" s="58">
        <f>SUM(Oct!C31, Nov!C31, Dec!C31)</f>
        <v>0</v>
      </c>
      <c r="D31" s="18">
        <f>SUM(Oct!D31, Nov!D31, Dec!D31)</f>
        <v>0</v>
      </c>
      <c r="E31" s="18">
        <f t="shared" si="9"/>
        <v>0</v>
      </c>
      <c r="F31" s="19" t="str">
        <f t="shared" si="7"/>
        <v/>
      </c>
      <c r="G31" s="18">
        <f>SUM(Oct!G31,Nov!G31,Dec!G31)</f>
        <v>0</v>
      </c>
      <c r="H31" s="20">
        <f>SUM(Oct!H31, Nov!H31, Dec!H31)</f>
        <v>0</v>
      </c>
      <c r="I31" s="19" t="str">
        <f t="shared" si="8"/>
        <v/>
      </c>
    </row>
    <row r="32" spans="1:9" ht="15.6">
      <c r="A32" s="41" t="str">
        <v>Charlton – 142A Brookfield Rd (Mitchell)</v>
      </c>
      <c r="B32" s="9" t="str">
        <v>MA</v>
      </c>
      <c r="C32" s="51">
        <f>SUM(Oct!C32, Nov!C32, Dec!C32)</f>
        <v>0</v>
      </c>
      <c r="D32" s="13">
        <f>SUM(Oct!D32, Nov!D32, Dec!D32)</f>
        <v>0</v>
      </c>
      <c r="E32" s="13">
        <f t="shared" si="9"/>
        <v>0</v>
      </c>
      <c r="F32" s="14" t="str">
        <f t="shared" si="7"/>
        <v/>
      </c>
      <c r="G32" s="49">
        <f>SUM(Oct!G32,Nov!G32,Dec!G32)</f>
        <v>0</v>
      </c>
      <c r="H32" s="49">
        <f>SUM(Oct!H32, Nov!H32, Dec!H32)</f>
        <v>0</v>
      </c>
      <c r="I32" s="16" t="str">
        <f t="shared" si="8"/>
        <v/>
      </c>
    </row>
    <row r="33" spans="1:9" ht="15.6">
      <c r="A33" s="17" t="str">
        <v>Great Barrington – 3 Nolan  Drive</v>
      </c>
      <c r="B33" s="10" t="str">
        <v>MA</v>
      </c>
      <c r="C33" s="58">
        <f>SUM(Oct!C33, Nov!C33, Dec!C33)</f>
        <v>0</v>
      </c>
      <c r="D33" s="18">
        <f>SUM(Oct!D33, Nov!D33, Dec!D33)</f>
        <v>0</v>
      </c>
      <c r="E33" s="18">
        <f t="shared" si="9"/>
        <v>0</v>
      </c>
      <c r="F33" s="19" t="str">
        <f t="shared" si="7"/>
        <v/>
      </c>
      <c r="G33" s="18">
        <f>SUM(Oct!G33,Nov!G33,Dec!G33)</f>
        <v>0</v>
      </c>
      <c r="H33" s="20">
        <f>SUM(Oct!H33, Nov!H33, Dec!H33)</f>
        <v>0</v>
      </c>
      <c r="I33" s="19" t="str">
        <f t="shared" si="8"/>
        <v/>
      </c>
    </row>
    <row r="34" spans="1:9" ht="15.6">
      <c r="A34" s="41" t="str">
        <v>Stockbridge – 92 State Line Road Truck Stop</v>
      </c>
      <c r="B34" s="9" t="str">
        <v>MA</v>
      </c>
      <c r="C34" s="51">
        <f>SUM(Oct!C34, Nov!C34, Dec!C34)</f>
        <v>0</v>
      </c>
      <c r="D34" s="13">
        <f>SUM(Oct!D34, Nov!D34, Dec!D34)</f>
        <v>0</v>
      </c>
      <c r="E34" s="13">
        <f t="shared" si="9"/>
        <v>0</v>
      </c>
      <c r="F34" s="14" t="str">
        <f t="shared" si="7"/>
        <v/>
      </c>
      <c r="G34" s="49">
        <f>SUM(Oct!G34,Nov!G34,Dec!G34)</f>
        <v>0</v>
      </c>
      <c r="H34" s="49">
        <f>SUM(Oct!H34, Nov!H34, Dec!H34)</f>
        <v>0</v>
      </c>
      <c r="I34" s="16" t="str">
        <f t="shared" si="8"/>
        <v/>
      </c>
    </row>
    <row r="35" spans="1:9" ht="15.6">
      <c r="A35" s="17" t="str">
        <v>NY: New Windsor - Moores Hill</v>
      </c>
      <c r="B35" s="10" t="str">
        <v>NY</v>
      </c>
      <c r="C35" s="58">
        <f>SUM(Oct!C35, Nov!C35, Dec!C35)</f>
        <v>0</v>
      </c>
      <c r="D35" s="18">
        <f>SUM(Oct!D35, Nov!D35, Dec!D35)</f>
        <v>0</v>
      </c>
      <c r="E35" s="18">
        <f t="shared" si="9"/>
        <v>0</v>
      </c>
      <c r="F35" s="19" t="str">
        <f t="shared" si="7"/>
        <v/>
      </c>
      <c r="G35" s="18">
        <f>SUM(Oct!G35,Nov!G35,Dec!G35)</f>
        <v>0</v>
      </c>
      <c r="H35" s="50">
        <f>SUM(Oct!H35, Nov!H35, Dec!H35)</f>
        <v>0</v>
      </c>
      <c r="I35" s="19" t="str">
        <f t="shared" si="8"/>
        <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AB344"/>
  <sheetViews>
    <sheetView tabSelected="1" zoomScale="60" zoomScaleNormal="60" workbookViewId="0">
      <pane xSplit="2" ySplit="3" topLeftCell="C4" activePane="bottomRight" state="frozen"/>
      <selection pane="bottomRight" activeCell="A4" sqref="A4:A35"/>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5.28515625" customWidth="1"/>
    <col min="13" max="28" width="8.85546875" style="73"/>
  </cols>
  <sheetData>
    <row r="1" spans="1:16" ht="19.5" customHeight="1">
      <c r="A1" s="124" t="str" cm="1">
        <f t="array" ref="A1">portfolio</f>
        <v>Lodestar</v>
      </c>
      <c r="B1" s="124"/>
      <c r="C1" s="124"/>
      <c r="D1" s="125" t="s">
        <v>18</v>
      </c>
      <c r="E1" s="125"/>
      <c r="F1" s="125"/>
      <c r="G1" s="123" t="s">
        <v>19</v>
      </c>
      <c r="H1" s="123"/>
      <c r="I1" s="123"/>
      <c r="J1" s="4"/>
      <c r="K1" s="4"/>
      <c r="L1" s="4"/>
    </row>
    <row r="2" spans="1:16" ht="19.5" customHeight="1">
      <c r="A2" s="126" t="s">
        <v>2</v>
      </c>
      <c r="B2" s="126"/>
      <c r="C2" s="5">
        <f>SUM(C4:C102)</f>
        <v>2905198.3954556142</v>
      </c>
      <c r="D2" s="5">
        <f>SUM(D4:D102)</f>
        <v>4671467.2</v>
      </c>
      <c r="E2" s="5">
        <f>C2-D2</f>
        <v>-1766268.804544386</v>
      </c>
      <c r="F2" s="6">
        <f>IFERROR(E2/D2, 0)</f>
        <v>-0.37809722918409572</v>
      </c>
      <c r="G2" s="5">
        <f>SUM(G4:G102)</f>
        <v>4744949.58</v>
      </c>
      <c r="H2" s="7">
        <f>C2-G2</f>
        <v>-1839751.1845443859</v>
      </c>
      <c r="I2" s="6">
        <f>IFERROR(H2/G2, 0)</f>
        <v>-0.38772828952681637</v>
      </c>
      <c r="J2" s="26" t="str">
        <f ca="1">IF(AND(TODAY()&gt;DATE(2024, 1, 1), COUNTA(Sites[Site])&lt;&gt;(COUNT(C:C)-1)), "Some sites are missing actual data; if new sites were added, make sure they are aligned correctly (including prior months!)", "")</f>
        <v/>
      </c>
      <c r="K2" s="4"/>
      <c r="L2" s="4"/>
    </row>
    <row r="3" spans="1:16" ht="14.25" customHeight="1">
      <c r="A3" s="8" t="s">
        <v>3</v>
      </c>
      <c r="B3" s="8" t="s">
        <v>4</v>
      </c>
      <c r="C3" s="23" t="s">
        <v>5</v>
      </c>
      <c r="D3" s="33" t="s">
        <v>6</v>
      </c>
      <c r="E3" s="33" t="s">
        <v>7</v>
      </c>
      <c r="F3" s="34" t="s">
        <v>8</v>
      </c>
      <c r="G3" s="35" t="s">
        <v>9</v>
      </c>
      <c r="H3" s="36" t="s">
        <v>7</v>
      </c>
      <c r="I3" s="37" t="s">
        <v>8</v>
      </c>
      <c r="J3" s="25" t="s">
        <v>20</v>
      </c>
      <c r="K3" s="25" t="s">
        <v>21</v>
      </c>
      <c r="L3" s="25" t="s">
        <v>22</v>
      </c>
    </row>
    <row r="4" spans="1:16" ht="28.9">
      <c r="A4" s="30" t="str" cm="1">
        <f t="array" ref="A4:A35">Sites[Site]</f>
        <v>Barkhamsted</v>
      </c>
      <c r="B4" s="27" t="str" cm="1">
        <f t="array" ref="B4:B35">Sites[State]</f>
        <v>CT</v>
      </c>
      <c r="C4" s="24">
        <v>40304</v>
      </c>
      <c r="D4" s="13">
        <v>116413.5</v>
      </c>
      <c r="E4" s="13">
        <f>IF(AND(ISNUMBER(C4),ISNUMBER(D4)), C4-D4, "")</f>
        <v>-76109.5</v>
      </c>
      <c r="F4" s="14">
        <f>IFERROR(E4/D4, "")</f>
        <v>-0.6537858581693704</v>
      </c>
      <c r="G4" s="15">
        <v>95570.47</v>
      </c>
      <c r="H4" s="15">
        <f>IF(AND(ISNUMBER(C4),ISNUMBER(G4)), C4-G4, "")</f>
        <v>-55266.47</v>
      </c>
      <c r="I4" s="16">
        <f>IFERROR(H4/G4, "")</f>
        <v>-0.57827977616935444</v>
      </c>
      <c r="J4" s="59" t="s">
        <v>23</v>
      </c>
      <c r="K4" s="59"/>
      <c r="L4" s="59"/>
    </row>
    <row r="5" spans="1:16" ht="57.6">
      <c r="A5" s="28" t="str">
        <v>Bunce</v>
      </c>
      <c r="B5" s="29" t="str">
        <v>CT</v>
      </c>
      <c r="C5" s="11">
        <v>106213</v>
      </c>
      <c r="D5" s="18">
        <v>201662.9</v>
      </c>
      <c r="E5" s="18">
        <f t="shared" ref="E5:E35" si="0">IF(AND(ISNUMBER(C5),ISNUMBER(D5)), C5-D5, "")</f>
        <v>-95449.9</v>
      </c>
      <c r="F5" s="19">
        <f>IFERROR(E5/D5, "")</f>
        <v>-0.47331412966886816</v>
      </c>
      <c r="G5" s="66">
        <v>0</v>
      </c>
      <c r="H5" s="20">
        <f t="shared" ref="H5:H35" si="1">IF(AND(ISNUMBER(C5),ISNUMBER(G5)), C5-G5, "")</f>
        <v>106213</v>
      </c>
      <c r="I5" s="19" t="str">
        <f t="shared" ref="I5:I35" si="2">IFERROR(H5/G5, "")</f>
        <v/>
      </c>
      <c r="J5" s="111" t="s">
        <v>24</v>
      </c>
      <c r="K5" s="70" t="s">
        <v>25</v>
      </c>
      <c r="L5" s="113" t="s">
        <v>26</v>
      </c>
    </row>
    <row r="6" spans="1:16" ht="172.9">
      <c r="A6" s="30" t="str">
        <v>Norcap North</v>
      </c>
      <c r="B6" s="27" t="str">
        <v>CT</v>
      </c>
      <c r="C6" s="24">
        <v>107826.5</v>
      </c>
      <c r="D6" s="13">
        <v>263521.7</v>
      </c>
      <c r="E6" s="13">
        <f t="shared" si="0"/>
        <v>-155695.20000000001</v>
      </c>
      <c r="F6" s="14">
        <f t="shared" ref="F6:F35" si="3">IFERROR(E6/D6, "")</f>
        <v>-0.5908249681145803</v>
      </c>
      <c r="G6" s="15">
        <v>178051.4</v>
      </c>
      <c r="H6" s="15">
        <f t="shared" si="1"/>
        <v>-70224.899999999994</v>
      </c>
      <c r="I6" s="16">
        <f t="shared" si="2"/>
        <v>-0.39440801925736052</v>
      </c>
      <c r="J6" s="38" t="s">
        <v>27</v>
      </c>
      <c r="K6" s="69" t="s">
        <v>28</v>
      </c>
      <c r="L6" s="38" t="s">
        <v>29</v>
      </c>
      <c r="M6" s="74" t="s">
        <v>30</v>
      </c>
      <c r="N6" s="74" t="s">
        <v>31</v>
      </c>
      <c r="O6" s="74" t="s">
        <v>32</v>
      </c>
      <c r="P6" s="74" t="s">
        <v>33</v>
      </c>
    </row>
    <row r="7" spans="1:16" ht="88.5" customHeight="1">
      <c r="A7" s="28" t="str">
        <v>Norcap South</v>
      </c>
      <c r="B7" s="29" t="str">
        <v>CT</v>
      </c>
      <c r="C7" s="58">
        <v>133552.5</v>
      </c>
      <c r="D7" s="18">
        <v>291285.59999999998</v>
      </c>
      <c r="E7" s="18">
        <f t="shared" si="0"/>
        <v>-157733.09999999998</v>
      </c>
      <c r="F7" s="52">
        <f t="shared" si="3"/>
        <v>-0.541506686221358</v>
      </c>
      <c r="G7" s="50">
        <v>155002.70000000001</v>
      </c>
      <c r="H7" s="50">
        <f t="shared" si="1"/>
        <v>-21450.200000000012</v>
      </c>
      <c r="I7" s="52">
        <f t="shared" si="2"/>
        <v>-0.13838597650234485</v>
      </c>
      <c r="J7" s="113" t="s">
        <v>34</v>
      </c>
      <c r="K7" s="70" t="s">
        <v>35</v>
      </c>
      <c r="L7" s="113" t="s">
        <v>36</v>
      </c>
      <c r="M7" s="74" t="s">
        <v>37</v>
      </c>
    </row>
    <row r="8" spans="1:16" ht="28.9">
      <c r="A8" s="30" t="str">
        <v>Platt Hill</v>
      </c>
      <c r="B8" s="27" t="str">
        <v>CT</v>
      </c>
      <c r="C8" s="24">
        <v>157751</v>
      </c>
      <c r="D8" s="13">
        <v>227183.8</v>
      </c>
      <c r="E8" s="13">
        <f t="shared" si="0"/>
        <v>-69432.799999999988</v>
      </c>
      <c r="F8" s="14">
        <f t="shared" si="3"/>
        <v>-0.30562390452136107</v>
      </c>
      <c r="G8" s="15">
        <v>230183.3</v>
      </c>
      <c r="H8" s="15">
        <f t="shared" si="1"/>
        <v>-72432.299999999988</v>
      </c>
      <c r="I8" s="16">
        <f t="shared" si="2"/>
        <v>-0.3146722633657611</v>
      </c>
      <c r="J8" s="59" t="s">
        <v>38</v>
      </c>
      <c r="K8" s="69" t="s">
        <v>39</v>
      </c>
      <c r="L8" s="59" t="s">
        <v>40</v>
      </c>
    </row>
    <row r="9" spans="1:16" ht="129.6">
      <c r="A9" s="28" t="str">
        <v>Powder Hill</v>
      </c>
      <c r="B9" s="29" t="str">
        <v>CT</v>
      </c>
      <c r="C9" s="11">
        <v>76810</v>
      </c>
      <c r="D9" s="18">
        <v>211374.5</v>
      </c>
      <c r="E9" s="18">
        <f t="shared" si="0"/>
        <v>-134564.5</v>
      </c>
      <c r="F9" s="19">
        <f t="shared" si="3"/>
        <v>-0.63661652659142898</v>
      </c>
      <c r="G9" s="20">
        <v>155676</v>
      </c>
      <c r="H9" s="20">
        <f t="shared" si="1"/>
        <v>-78866</v>
      </c>
      <c r="I9" s="19">
        <f t="shared" si="2"/>
        <v>-0.50660345846501709</v>
      </c>
      <c r="J9" s="47" t="s">
        <v>41</v>
      </c>
      <c r="K9" s="71" t="s">
        <v>42</v>
      </c>
      <c r="L9" s="47" t="s">
        <v>43</v>
      </c>
      <c r="M9" s="74" t="s">
        <v>44</v>
      </c>
      <c r="N9" s="74" t="s">
        <v>45</v>
      </c>
      <c r="O9" s="74" t="s">
        <v>46</v>
      </c>
    </row>
    <row r="10" spans="1:16" ht="28.9">
      <c r="A10" s="30" t="str">
        <v>Sand Road</v>
      </c>
      <c r="B10" s="27" t="str">
        <v>CT</v>
      </c>
      <c r="C10" s="24">
        <v>91637</v>
      </c>
      <c r="D10" s="13">
        <v>165412.20000000001</v>
      </c>
      <c r="E10" s="13">
        <f t="shared" si="0"/>
        <v>-73775.200000000012</v>
      </c>
      <c r="F10" s="14">
        <f t="shared" si="3"/>
        <v>-0.44600821462987617</v>
      </c>
      <c r="G10" s="15">
        <v>145302</v>
      </c>
      <c r="H10" s="15">
        <f t="shared" si="1"/>
        <v>-53665</v>
      </c>
      <c r="I10" s="16">
        <f>IFERROR(H10/G10, "")</f>
        <v>-0.36933421425720225</v>
      </c>
      <c r="J10" s="59" t="s">
        <v>47</v>
      </c>
      <c r="K10" s="59"/>
      <c r="L10" s="59"/>
    </row>
    <row r="11" spans="1:16" ht="28.9">
      <c r="A11" s="28" t="str">
        <v>Suffield</v>
      </c>
      <c r="B11" s="29" t="str">
        <v>CT</v>
      </c>
      <c r="C11" s="11">
        <v>99470</v>
      </c>
      <c r="D11" s="18">
        <v>204426.3</v>
      </c>
      <c r="E11" s="18">
        <f t="shared" si="0"/>
        <v>-104956.29999999999</v>
      </c>
      <c r="F11" s="19">
        <f t="shared" si="3"/>
        <v>-0.51341877243779299</v>
      </c>
      <c r="G11" s="20">
        <v>190039.3</v>
      </c>
      <c r="H11" s="20">
        <f t="shared" si="1"/>
        <v>-90569.299999999988</v>
      </c>
      <c r="I11" s="19">
        <f t="shared" si="2"/>
        <v>-0.47658194910210672</v>
      </c>
      <c r="J11" s="111" t="s">
        <v>48</v>
      </c>
      <c r="K11" s="111"/>
      <c r="L11" s="111"/>
    </row>
    <row r="12" spans="1:16" ht="86.45">
      <c r="A12" s="30" t="str">
        <v>Ashby-Duffy</v>
      </c>
      <c r="B12" s="27" t="str">
        <v>MA</v>
      </c>
      <c r="C12" s="24">
        <v>89125</v>
      </c>
      <c r="D12" s="13">
        <v>349088.9</v>
      </c>
      <c r="E12" s="13">
        <f t="shared" si="0"/>
        <v>-259963.90000000002</v>
      </c>
      <c r="F12" s="14">
        <f t="shared" si="3"/>
        <v>-0.74469254106905147</v>
      </c>
      <c r="G12" s="15">
        <v>156689.70000000001</v>
      </c>
      <c r="H12" s="15">
        <f t="shared" si="1"/>
        <v>-67564.700000000012</v>
      </c>
      <c r="I12" s="16">
        <f t="shared" si="2"/>
        <v>-0.43120064688361781</v>
      </c>
      <c r="J12" s="59" t="s">
        <v>49</v>
      </c>
      <c r="K12" s="69" t="s">
        <v>50</v>
      </c>
      <c r="L12" s="59" t="s">
        <v>51</v>
      </c>
      <c r="M12" s="74" t="s">
        <v>52</v>
      </c>
    </row>
    <row r="13" spans="1:16" ht="86.45">
      <c r="A13" s="28" t="str">
        <v>Ashland</v>
      </c>
      <c r="B13" s="29" t="str">
        <v>MA</v>
      </c>
      <c r="C13" s="11">
        <v>68832.921875</v>
      </c>
      <c r="D13" s="18">
        <v>206882.1</v>
      </c>
      <c r="E13" s="18">
        <f t="shared" si="0"/>
        <v>-138049.17812500001</v>
      </c>
      <c r="F13" s="19">
        <f t="shared" si="3"/>
        <v>-0.66728430407947326</v>
      </c>
      <c r="G13" s="20">
        <v>132952.6</v>
      </c>
      <c r="H13" s="20">
        <f t="shared" si="1"/>
        <v>-64119.678125000006</v>
      </c>
      <c r="I13" s="19">
        <f t="shared" si="2"/>
        <v>-0.48227472140447047</v>
      </c>
      <c r="J13" s="48" t="s">
        <v>53</v>
      </c>
      <c r="K13" s="70" t="s">
        <v>54</v>
      </c>
      <c r="L13" s="48" t="s">
        <v>55</v>
      </c>
      <c r="M13" s="74" t="s">
        <v>56</v>
      </c>
      <c r="N13" s="74" t="s">
        <v>57</v>
      </c>
      <c r="O13" s="74" t="s">
        <v>58</v>
      </c>
    </row>
    <row r="14" spans="1:16" ht="48" customHeight="1">
      <c r="A14" s="30" t="str">
        <v>Barrington</v>
      </c>
      <c r="B14" s="27" t="str">
        <v>MA</v>
      </c>
      <c r="C14" s="24">
        <v>15350</v>
      </c>
      <c r="D14" s="13">
        <v>33298.480000000003</v>
      </c>
      <c r="E14" s="13">
        <f t="shared" si="0"/>
        <v>-17948.480000000003</v>
      </c>
      <c r="F14" s="14">
        <f t="shared" si="3"/>
        <v>-0.53901799721789112</v>
      </c>
      <c r="G14" s="15">
        <v>35820</v>
      </c>
      <c r="H14" s="15">
        <f t="shared" si="1"/>
        <v>-20470</v>
      </c>
      <c r="I14" s="16">
        <f t="shared" si="2"/>
        <v>-0.57146845337800112</v>
      </c>
      <c r="J14" s="68" t="s">
        <v>59</v>
      </c>
      <c r="K14" s="69" t="s">
        <v>60</v>
      </c>
      <c r="L14" s="59" t="s">
        <v>36</v>
      </c>
      <c r="M14" s="74" t="s">
        <v>61</v>
      </c>
    </row>
    <row r="15" spans="1:16" ht="43.15">
      <c r="A15" s="28" t="str">
        <v>Bedford - 205 Burlington Rd</v>
      </c>
      <c r="B15" s="29" t="str">
        <v>MA</v>
      </c>
      <c r="C15" s="58">
        <v>6578</v>
      </c>
      <c r="D15" s="18" t="s">
        <v>62</v>
      </c>
      <c r="E15" s="18" t="str">
        <f t="shared" si="0"/>
        <v/>
      </c>
      <c r="F15" s="19" t="str">
        <f t="shared" si="3"/>
        <v/>
      </c>
      <c r="G15" s="84" t="s">
        <v>62</v>
      </c>
      <c r="H15" s="20" t="str">
        <f t="shared" si="1"/>
        <v/>
      </c>
      <c r="I15" s="19" t="str">
        <f t="shared" si="2"/>
        <v/>
      </c>
      <c r="J15" s="47" t="s">
        <v>63</v>
      </c>
      <c r="K15" s="71" t="s">
        <v>64</v>
      </c>
      <c r="L15" s="39" t="s">
        <v>65</v>
      </c>
      <c r="M15" s="74" t="s">
        <v>66</v>
      </c>
    </row>
    <row r="16" spans="1:16" ht="28.9">
      <c r="A16" s="30" t="str">
        <v>Billerica - 6 Cook Street</v>
      </c>
      <c r="B16" s="27" t="str">
        <v>MA</v>
      </c>
      <c r="C16" s="24">
        <v>5685</v>
      </c>
      <c r="D16" s="13" t="s">
        <v>62</v>
      </c>
      <c r="E16" s="13" t="str">
        <f t="shared" si="0"/>
        <v/>
      </c>
      <c r="F16" s="14" t="str">
        <f t="shared" si="3"/>
        <v/>
      </c>
      <c r="G16" s="67" t="s">
        <v>62</v>
      </c>
      <c r="H16" s="15" t="str">
        <f t="shared" si="1"/>
        <v/>
      </c>
      <c r="I16" s="16" t="str">
        <f t="shared" si="2"/>
        <v/>
      </c>
      <c r="J16" s="59" t="s">
        <v>67</v>
      </c>
      <c r="K16" s="59"/>
      <c r="L16" s="59"/>
    </row>
    <row r="17" spans="1:16" ht="43.15">
      <c r="A17" s="28" t="str">
        <v>Billerica - 780 Boston Road</v>
      </c>
      <c r="B17" s="29" t="str">
        <v>MA</v>
      </c>
      <c r="C17" s="11">
        <v>6344</v>
      </c>
      <c r="D17" s="18" t="s">
        <v>62</v>
      </c>
      <c r="E17" s="18" t="str">
        <f t="shared" si="0"/>
        <v/>
      </c>
      <c r="F17" s="19" t="str">
        <f t="shared" si="3"/>
        <v/>
      </c>
      <c r="G17" s="66" t="s">
        <v>62</v>
      </c>
      <c r="H17" s="20" t="str">
        <f t="shared" si="1"/>
        <v/>
      </c>
      <c r="I17" s="19" t="str">
        <f t="shared" si="2"/>
        <v/>
      </c>
      <c r="J17" s="111" t="s">
        <v>68</v>
      </c>
      <c r="K17" s="72" t="s">
        <v>69</v>
      </c>
      <c r="L17" s="111"/>
    </row>
    <row r="18" spans="1:16" ht="43.15">
      <c r="A18" s="30" t="str">
        <v>Cheshire</v>
      </c>
      <c r="B18" s="27" t="str">
        <v>MA</v>
      </c>
      <c r="C18" s="24">
        <v>14132.127376426</v>
      </c>
      <c r="D18" s="13">
        <v>37168.14</v>
      </c>
      <c r="E18" s="13">
        <f t="shared" si="0"/>
        <v>-23036.012623573999</v>
      </c>
      <c r="F18" s="14">
        <f t="shared" si="3"/>
        <v>-0.61977846143428217</v>
      </c>
      <c r="G18" s="15">
        <v>24071.68</v>
      </c>
      <c r="H18" s="15">
        <f t="shared" si="1"/>
        <v>-9939.5526235739999</v>
      </c>
      <c r="I18" s="16">
        <f t="shared" si="2"/>
        <v>-0.41291478715129148</v>
      </c>
      <c r="J18" s="38" t="s">
        <v>70</v>
      </c>
      <c r="K18" s="69" t="s">
        <v>71</v>
      </c>
      <c r="L18" s="38" t="s">
        <v>72</v>
      </c>
      <c r="M18" s="74" t="s">
        <v>73</v>
      </c>
    </row>
    <row r="19" spans="1:16" ht="75.75" customHeight="1">
      <c r="A19" s="28" t="str">
        <v>Lilly Lane</v>
      </c>
      <c r="B19" s="29" t="str">
        <v>MA</v>
      </c>
      <c r="C19" s="11">
        <v>247328</v>
      </c>
      <c r="D19" s="18">
        <v>73814.69</v>
      </c>
      <c r="E19" s="18">
        <f t="shared" si="0"/>
        <v>173513.31</v>
      </c>
      <c r="F19" s="19">
        <f t="shared" si="3"/>
        <v>2.3506609592209897</v>
      </c>
      <c r="G19" s="20">
        <v>112006.2</v>
      </c>
      <c r="H19" s="20">
        <f t="shared" si="1"/>
        <v>135321.79999999999</v>
      </c>
      <c r="I19" s="19">
        <f t="shared" si="2"/>
        <v>1.2081634766646845</v>
      </c>
      <c r="J19" s="48" t="s">
        <v>74</v>
      </c>
      <c r="K19" s="71" t="s">
        <v>75</v>
      </c>
      <c r="L19" s="47" t="s">
        <v>76</v>
      </c>
      <c r="M19" s="74" t="s">
        <v>77</v>
      </c>
      <c r="N19" s="74" t="s">
        <v>78</v>
      </c>
      <c r="O19" s="74" t="s">
        <v>79</v>
      </c>
    </row>
    <row r="20" spans="1:16" ht="43.15">
      <c r="A20" s="55" t="str">
        <v>Monument Valley</v>
      </c>
      <c r="B20" s="27" t="str">
        <v>MA</v>
      </c>
      <c r="C20" s="24">
        <v>86949.625</v>
      </c>
      <c r="D20" s="13">
        <v>137232</v>
      </c>
      <c r="E20" s="13">
        <f t="shared" si="0"/>
        <v>-50282.375</v>
      </c>
      <c r="F20" s="14">
        <f t="shared" si="3"/>
        <v>-0.36640415500757839</v>
      </c>
      <c r="G20" s="67">
        <v>173008</v>
      </c>
      <c r="H20" s="15">
        <f t="shared" si="1"/>
        <v>-86058.375</v>
      </c>
      <c r="I20" s="16">
        <f t="shared" si="2"/>
        <v>-0.49742425205770829</v>
      </c>
      <c r="J20" s="59" t="s">
        <v>80</v>
      </c>
      <c r="K20" s="59"/>
      <c r="L20" s="59"/>
    </row>
    <row r="21" spans="1:16" ht="100.9">
      <c r="A21" s="28" t="str">
        <v>Nationwide</v>
      </c>
      <c r="B21" s="29" t="str">
        <v>MA</v>
      </c>
      <c r="C21" s="11">
        <v>13320</v>
      </c>
      <c r="D21" s="18">
        <v>196927.4</v>
      </c>
      <c r="E21" s="18">
        <f t="shared" si="0"/>
        <v>-183607.4</v>
      </c>
      <c r="F21" s="19">
        <f t="shared" si="3"/>
        <v>-0.93236085989049766</v>
      </c>
      <c r="G21" s="20">
        <v>295993.2</v>
      </c>
      <c r="H21" s="20">
        <f t="shared" si="1"/>
        <v>-282673.2</v>
      </c>
      <c r="I21" s="19">
        <f t="shared" si="2"/>
        <v>-0.9549989661924666</v>
      </c>
      <c r="J21" s="39" t="s">
        <v>81</v>
      </c>
      <c r="K21" s="71" t="s">
        <v>82</v>
      </c>
      <c r="L21" s="47" t="s">
        <v>83</v>
      </c>
      <c r="M21" s="74" t="s">
        <v>84</v>
      </c>
      <c r="N21" s="74" t="s">
        <v>85</v>
      </c>
      <c r="O21" s="74" t="s">
        <v>86</v>
      </c>
    </row>
    <row r="22" spans="1:16" ht="115.15">
      <c r="A22" s="55" t="str">
        <v>Pulpit Hill</v>
      </c>
      <c r="B22" s="27" t="str">
        <v>MA</v>
      </c>
      <c r="C22" s="24">
        <v>185084.75</v>
      </c>
      <c r="D22" s="13">
        <v>415273.8</v>
      </c>
      <c r="E22" s="13">
        <f t="shared" si="0"/>
        <v>-230189.05</v>
      </c>
      <c r="F22" s="14">
        <f t="shared" si="3"/>
        <v>-0.55430670078391653</v>
      </c>
      <c r="G22" s="15">
        <v>353402.4</v>
      </c>
      <c r="H22" s="15">
        <f t="shared" si="1"/>
        <v>-168317.65000000002</v>
      </c>
      <c r="I22" s="16">
        <f t="shared" si="2"/>
        <v>-0.47627760875421338</v>
      </c>
      <c r="J22" s="59" t="s">
        <v>87</v>
      </c>
      <c r="K22" s="69" t="s">
        <v>88</v>
      </c>
      <c r="L22" s="59" t="s">
        <v>89</v>
      </c>
      <c r="M22" s="74" t="s">
        <v>90</v>
      </c>
    </row>
    <row r="23" spans="1:16" ht="43.15">
      <c r="A23" s="28" t="str">
        <v>Sandwich</v>
      </c>
      <c r="B23" s="29" t="str">
        <v>MA</v>
      </c>
      <c r="C23" s="11">
        <v>178116</v>
      </c>
      <c r="D23" s="18">
        <v>207909.2</v>
      </c>
      <c r="E23" s="18">
        <f t="shared" si="0"/>
        <v>-29793.200000000012</v>
      </c>
      <c r="F23" s="19">
        <f t="shared" si="3"/>
        <v>-0.14329909402758517</v>
      </c>
      <c r="G23" s="20">
        <v>302777.09999999998</v>
      </c>
      <c r="H23" s="20">
        <f t="shared" si="1"/>
        <v>-124661.09999999998</v>
      </c>
      <c r="I23" s="19">
        <f t="shared" si="2"/>
        <v>-0.41172565560605473</v>
      </c>
      <c r="J23" s="111" t="s">
        <v>91</v>
      </c>
      <c r="K23" s="71" t="s">
        <v>92</v>
      </c>
      <c r="L23" s="112" t="s">
        <v>51</v>
      </c>
    </row>
    <row r="24" spans="1:16" ht="43.15">
      <c r="A24" s="55" t="str">
        <v>Sturbridge Barn</v>
      </c>
      <c r="B24" s="27" t="str">
        <v>MA</v>
      </c>
      <c r="C24" s="24">
        <v>36189.5</v>
      </c>
      <c r="D24" s="13">
        <v>109881</v>
      </c>
      <c r="E24" s="13">
        <f t="shared" si="0"/>
        <v>-73691.5</v>
      </c>
      <c r="F24" s="14">
        <f t="shared" si="3"/>
        <v>-0.67064824673965473</v>
      </c>
      <c r="G24" s="15">
        <v>109508.5</v>
      </c>
      <c r="H24" s="15">
        <f t="shared" si="1"/>
        <v>-73319</v>
      </c>
      <c r="I24" s="16">
        <f t="shared" si="2"/>
        <v>-0.66952793618760187</v>
      </c>
      <c r="J24" s="59" t="s">
        <v>93</v>
      </c>
      <c r="K24" s="69" t="s">
        <v>94</v>
      </c>
      <c r="L24" s="59" t="s">
        <v>72</v>
      </c>
    </row>
    <row r="25" spans="1:16" ht="100.9">
      <c r="A25" s="28" t="str">
        <v>Sturbridge Garage</v>
      </c>
      <c r="B25" s="29" t="str">
        <v>MA</v>
      </c>
      <c r="C25" s="11">
        <v>11304</v>
      </c>
      <c r="D25" s="18">
        <v>51741.89</v>
      </c>
      <c r="E25" s="18">
        <f t="shared" si="0"/>
        <v>-40437.89</v>
      </c>
      <c r="F25" s="19">
        <f t="shared" si="3"/>
        <v>-0.78153098002411581</v>
      </c>
      <c r="G25" s="20">
        <v>55328.23</v>
      </c>
      <c r="H25" s="20">
        <f t="shared" si="1"/>
        <v>-44024.23</v>
      </c>
      <c r="I25" s="19">
        <f t="shared" si="2"/>
        <v>-0.79569200026821751</v>
      </c>
      <c r="J25" s="39" t="s">
        <v>95</v>
      </c>
      <c r="K25" s="71" t="s">
        <v>96</v>
      </c>
      <c r="L25" s="47" t="s">
        <v>97</v>
      </c>
      <c r="M25" s="74" t="s">
        <v>98</v>
      </c>
      <c r="N25" s="74" t="s">
        <v>99</v>
      </c>
      <c r="O25" s="74" t="s">
        <v>100</v>
      </c>
      <c r="P25" s="74" t="s">
        <v>101</v>
      </c>
    </row>
    <row r="26" spans="1:16" ht="57.6">
      <c r="A26" s="55" t="str">
        <v>Halsey Valley</v>
      </c>
      <c r="B26" s="27" t="str">
        <v>NY</v>
      </c>
      <c r="C26" s="24">
        <v>227114</v>
      </c>
      <c r="D26" s="13">
        <v>419380</v>
      </c>
      <c r="E26" s="13">
        <f t="shared" si="0"/>
        <v>-192266</v>
      </c>
      <c r="F26" s="14">
        <f t="shared" si="3"/>
        <v>-0.45845295436119987</v>
      </c>
      <c r="G26" s="15">
        <v>384000</v>
      </c>
      <c r="H26" s="15">
        <f t="shared" si="1"/>
        <v>-156886</v>
      </c>
      <c r="I26" s="16">
        <f t="shared" si="2"/>
        <v>-0.40855729166666666</v>
      </c>
      <c r="J26" s="59" t="s">
        <v>102</v>
      </c>
      <c r="K26" s="69" t="s">
        <v>103</v>
      </c>
      <c r="L26" s="59" t="s">
        <v>40</v>
      </c>
    </row>
    <row r="27" spans="1:16" ht="86.45">
      <c r="A27" s="28" t="str">
        <v>Hunt Creek</v>
      </c>
      <c r="B27" s="29" t="str">
        <v>NY</v>
      </c>
      <c r="C27" s="11">
        <v>105282.471204188</v>
      </c>
      <c r="D27" s="18">
        <v>291366.8</v>
      </c>
      <c r="E27" s="18">
        <f t="shared" si="0"/>
        <v>-186084.32879581198</v>
      </c>
      <c r="F27" s="19">
        <f t="shared" si="3"/>
        <v>-0.63866002851324166</v>
      </c>
      <c r="G27" s="20">
        <v>228700</v>
      </c>
      <c r="H27" s="20">
        <f t="shared" si="1"/>
        <v>-123417.528795812</v>
      </c>
      <c r="I27" s="19">
        <f t="shared" si="2"/>
        <v>-0.53964813640494969</v>
      </c>
      <c r="J27" s="111" t="s">
        <v>104</v>
      </c>
      <c r="K27" s="71" t="s">
        <v>105</v>
      </c>
      <c r="L27" s="112" t="s">
        <v>36</v>
      </c>
      <c r="M27" s="74" t="s">
        <v>106</v>
      </c>
    </row>
    <row r="28" spans="1:16" ht="28.9">
      <c r="A28" s="55" t="str">
        <v>Smith Creek</v>
      </c>
      <c r="B28" s="27" t="str">
        <v>NY</v>
      </c>
      <c r="C28" s="24">
        <v>230880</v>
      </c>
      <c r="D28" s="13">
        <v>335858</v>
      </c>
      <c r="E28" s="13">
        <f t="shared" si="0"/>
        <v>-104978</v>
      </c>
      <c r="F28" s="14">
        <f t="shared" si="3"/>
        <v>-0.31256662041696193</v>
      </c>
      <c r="G28" s="15">
        <v>396606.8</v>
      </c>
      <c r="H28" s="15">
        <f t="shared" si="1"/>
        <v>-165726.79999999999</v>
      </c>
      <c r="I28" s="16">
        <f t="shared" si="2"/>
        <v>-0.41786172097906538</v>
      </c>
      <c r="J28" s="59" t="s">
        <v>107</v>
      </c>
      <c r="K28" s="69" t="s">
        <v>108</v>
      </c>
      <c r="L28" s="59" t="s">
        <v>109</v>
      </c>
    </row>
    <row r="29" spans="1:16" ht="43.15">
      <c r="A29" s="28" t="str">
        <v>Bradford - 256 Presidential Dr</v>
      </c>
      <c r="B29" s="29" t="str">
        <v>MA</v>
      </c>
      <c r="C29" s="58">
        <v>241701</v>
      </c>
      <c r="D29" s="18" t="s">
        <v>62</v>
      </c>
      <c r="E29" s="18" t="str">
        <f>IF(AND(ISNUMBER(C29),ISNUMBER(D29)), C29-D29, "")</f>
        <v/>
      </c>
      <c r="F29" s="19" t="str">
        <f t="shared" si="3"/>
        <v/>
      </c>
      <c r="G29" s="50">
        <v>305035</v>
      </c>
      <c r="H29" s="20">
        <f t="shared" si="1"/>
        <v>-63334</v>
      </c>
      <c r="I29" s="19">
        <f t="shared" si="2"/>
        <v>-0.20762863277984495</v>
      </c>
      <c r="J29" s="121" t="s">
        <v>110</v>
      </c>
      <c r="K29" s="81" t="s">
        <v>111</v>
      </c>
      <c r="L29" s="120" t="s">
        <v>112</v>
      </c>
      <c r="M29" s="74" t="s">
        <v>113</v>
      </c>
    </row>
    <row r="30" spans="1:16" ht="53.25" customHeight="1">
      <c r="A30" s="30" t="str">
        <v>Charlton – 111 Brookfield Road - Bus Lot</v>
      </c>
      <c r="B30" s="27" t="str">
        <v>MA</v>
      </c>
      <c r="C30" s="24">
        <v>33385</v>
      </c>
      <c r="D30" s="13" t="s">
        <v>62</v>
      </c>
      <c r="E30" s="13" t="str">
        <f t="shared" si="0"/>
        <v/>
      </c>
      <c r="F30" s="14" t="str">
        <f t="shared" si="3"/>
        <v/>
      </c>
      <c r="G30" s="15">
        <v>44600</v>
      </c>
      <c r="H30" s="15">
        <f t="shared" si="1"/>
        <v>-11215</v>
      </c>
      <c r="I30" s="16">
        <f t="shared" si="2"/>
        <v>-0.25145739910313902</v>
      </c>
      <c r="J30" s="68" t="s">
        <v>114</v>
      </c>
      <c r="K30" s="69" t="s">
        <v>115</v>
      </c>
      <c r="L30" s="59" t="s">
        <v>51</v>
      </c>
    </row>
    <row r="31" spans="1:16" ht="66" customHeight="1">
      <c r="A31" s="28" t="str">
        <v>Charlton – 154 Center Depot Road KMARD</v>
      </c>
      <c r="B31" s="29" t="str">
        <v>MA</v>
      </c>
      <c r="C31" s="58">
        <v>31014</v>
      </c>
      <c r="D31" s="18" t="s">
        <v>62</v>
      </c>
      <c r="E31" s="18" t="str">
        <f t="shared" si="0"/>
        <v/>
      </c>
      <c r="F31" s="19" t="str">
        <f t="shared" si="3"/>
        <v/>
      </c>
      <c r="G31" s="50">
        <v>51900</v>
      </c>
      <c r="H31" s="20">
        <f t="shared" si="1"/>
        <v>-20886</v>
      </c>
      <c r="I31" s="19">
        <f t="shared" si="2"/>
        <v>-0.40242774566473988</v>
      </c>
      <c r="J31" s="111" t="s">
        <v>116</v>
      </c>
      <c r="K31" s="70" t="s">
        <v>117</v>
      </c>
      <c r="L31" s="113" t="s">
        <v>51</v>
      </c>
    </row>
    <row r="32" spans="1:16" ht="45" customHeight="1">
      <c r="A32" s="30" t="str">
        <v>Charlton – 142A Brookfield Rd (Mitchell)</v>
      </c>
      <c r="B32" s="27" t="str">
        <v>MA</v>
      </c>
      <c r="C32" s="24">
        <v>31324</v>
      </c>
      <c r="D32" s="13" t="s">
        <v>62</v>
      </c>
      <c r="E32" s="13" t="str">
        <f t="shared" si="0"/>
        <v/>
      </c>
      <c r="F32" s="14" t="str">
        <f t="shared" si="3"/>
        <v/>
      </c>
      <c r="G32" s="15">
        <v>45625</v>
      </c>
      <c r="H32" s="15">
        <f t="shared" si="1"/>
        <v>-14301</v>
      </c>
      <c r="I32" s="16">
        <f t="shared" si="2"/>
        <v>-0.31344657534246573</v>
      </c>
      <c r="J32" s="59" t="s">
        <v>118</v>
      </c>
      <c r="K32" s="69" t="s">
        <v>119</v>
      </c>
      <c r="L32" s="59" t="s">
        <v>120</v>
      </c>
      <c r="M32" s="74" t="s">
        <v>121</v>
      </c>
    </row>
    <row r="33" spans="1:26" ht="155.25" customHeight="1">
      <c r="A33" s="28" t="str">
        <v>Great Barrington – 3 Nolan  Drive</v>
      </c>
      <c r="B33" s="29" t="str">
        <v>MA</v>
      </c>
      <c r="C33" s="58">
        <v>22674</v>
      </c>
      <c r="D33" s="18" t="s">
        <v>62</v>
      </c>
      <c r="E33" s="18" t="str">
        <f t="shared" si="0"/>
        <v/>
      </c>
      <c r="F33" s="19" t="str">
        <f t="shared" si="3"/>
        <v/>
      </c>
      <c r="G33" s="50">
        <v>84700</v>
      </c>
      <c r="H33" s="20">
        <f t="shared" si="1"/>
        <v>-62026</v>
      </c>
      <c r="I33" s="19">
        <f t="shared" si="2"/>
        <v>-0.73230224321133408</v>
      </c>
      <c r="J33" s="106" t="s">
        <v>122</v>
      </c>
      <c r="K33" s="108" t="s">
        <v>123</v>
      </c>
      <c r="L33" s="106" t="s">
        <v>124</v>
      </c>
      <c r="M33" s="74" t="s">
        <v>125</v>
      </c>
      <c r="N33" s="74" t="s">
        <v>126</v>
      </c>
      <c r="O33" s="74" t="s">
        <v>127</v>
      </c>
      <c r="P33" s="74" t="s">
        <v>128</v>
      </c>
      <c r="Q33" s="74" t="s">
        <v>129</v>
      </c>
      <c r="R33" s="74" t="s">
        <v>130</v>
      </c>
      <c r="S33" s="74" t="s">
        <v>131</v>
      </c>
      <c r="T33" s="74" t="s">
        <v>132</v>
      </c>
      <c r="U33" s="74" t="s">
        <v>133</v>
      </c>
      <c r="V33" s="74" t="s">
        <v>134</v>
      </c>
      <c r="W33" s="74" t="s">
        <v>135</v>
      </c>
      <c r="X33" s="74" t="s">
        <v>136</v>
      </c>
      <c r="Y33" s="74" t="s">
        <v>137</v>
      </c>
      <c r="Z33" s="74" t="s">
        <v>138</v>
      </c>
    </row>
    <row r="34" spans="1:26" ht="170.25" customHeight="1">
      <c r="A34" s="30" t="str">
        <v>Stockbridge – 92 State Line Road Truck Stop</v>
      </c>
      <c r="B34" s="27" t="str">
        <v>MA</v>
      </c>
      <c r="C34" s="24">
        <v>61262</v>
      </c>
      <c r="D34" s="13" t="s">
        <v>62</v>
      </c>
      <c r="E34" s="13" t="str">
        <f t="shared" si="0"/>
        <v/>
      </c>
      <c r="F34" s="14" t="str">
        <f t="shared" si="3"/>
        <v/>
      </c>
      <c r="G34" s="15">
        <v>145700</v>
      </c>
      <c r="H34" s="15">
        <f t="shared" si="1"/>
        <v>-84438</v>
      </c>
      <c r="I34" s="16">
        <f t="shared" si="2"/>
        <v>-0.57953328757721345</v>
      </c>
      <c r="J34" s="59" t="s">
        <v>139</v>
      </c>
      <c r="K34" s="69" t="s">
        <v>140</v>
      </c>
      <c r="L34" s="59" t="s">
        <v>43</v>
      </c>
      <c r="M34" s="74" t="s">
        <v>141</v>
      </c>
      <c r="N34" s="74" t="s">
        <v>142</v>
      </c>
      <c r="O34" s="74" t="s">
        <v>143</v>
      </c>
    </row>
    <row r="35" spans="1:26" ht="43.15">
      <c r="A35" s="28" t="str">
        <v>NY: New Windsor - Moores Hill</v>
      </c>
      <c r="B35" s="29" t="str">
        <v>NY</v>
      </c>
      <c r="C35" s="58">
        <v>142659</v>
      </c>
      <c r="D35" s="18">
        <v>124364.3</v>
      </c>
      <c r="E35" s="18">
        <f t="shared" si="0"/>
        <v>18294.699999999997</v>
      </c>
      <c r="F35" s="19">
        <f t="shared" si="3"/>
        <v>0.14710572085397494</v>
      </c>
      <c r="G35" s="50">
        <v>156700</v>
      </c>
      <c r="H35" s="20">
        <f t="shared" si="1"/>
        <v>-14041</v>
      </c>
      <c r="I35" s="19">
        <f t="shared" si="2"/>
        <v>-8.9604339502233565E-2</v>
      </c>
      <c r="J35" s="121" t="s">
        <v>144</v>
      </c>
      <c r="K35" s="109" t="s">
        <v>145</v>
      </c>
      <c r="L35" s="122" t="s">
        <v>120</v>
      </c>
    </row>
    <row r="36" spans="1:26" ht="14.45">
      <c r="A36" s="21"/>
      <c r="B36" s="31"/>
      <c r="C36" s="21"/>
      <c r="D36" s="21"/>
      <c r="E36" s="21"/>
      <c r="F36" s="22"/>
      <c r="G36" s="21"/>
      <c r="H36" s="21"/>
      <c r="I36" s="22"/>
      <c r="J36" s="21"/>
      <c r="K36" s="21"/>
      <c r="L36" s="21"/>
    </row>
    <row r="37" spans="1:26" ht="14.45">
      <c r="A37" s="21"/>
      <c r="B37" s="31"/>
      <c r="C37" s="21"/>
      <c r="D37" s="21"/>
      <c r="E37" s="21"/>
      <c r="F37" s="22"/>
      <c r="G37" s="21"/>
      <c r="H37" s="21"/>
      <c r="I37" s="22"/>
      <c r="J37" s="21"/>
      <c r="K37" s="21"/>
      <c r="L37" s="21"/>
    </row>
    <row r="38" spans="1:26" ht="14.45">
      <c r="A38" s="21"/>
      <c r="B38" s="31"/>
      <c r="C38" s="21"/>
      <c r="D38" s="21"/>
      <c r="E38" s="21"/>
      <c r="F38" s="22"/>
      <c r="G38" s="21"/>
      <c r="H38" s="21"/>
      <c r="I38" s="22"/>
      <c r="J38" s="21"/>
      <c r="K38" s="21"/>
      <c r="L38" s="21"/>
    </row>
    <row r="39" spans="1:26" ht="14.45">
      <c r="A39" s="21"/>
      <c r="B39" s="31"/>
      <c r="C39" s="21"/>
      <c r="D39" s="21"/>
      <c r="E39" s="21"/>
      <c r="F39" s="22"/>
      <c r="G39" s="21"/>
      <c r="H39" s="21"/>
      <c r="I39" s="22"/>
      <c r="J39" s="21"/>
      <c r="K39" s="21"/>
      <c r="L39" s="21"/>
    </row>
    <row r="40" spans="1:26" ht="14.45">
      <c r="A40" s="21"/>
      <c r="B40" s="31"/>
      <c r="C40" s="21"/>
      <c r="D40" s="21"/>
      <c r="E40" s="21"/>
      <c r="F40" s="22"/>
      <c r="G40" s="21"/>
      <c r="H40" s="21"/>
      <c r="I40" s="22"/>
      <c r="J40" s="21"/>
      <c r="K40" s="21"/>
      <c r="L40" s="21"/>
    </row>
    <row r="41" spans="1:26" ht="14.45">
      <c r="A41" s="21"/>
      <c r="B41" s="31"/>
      <c r="C41" s="21"/>
      <c r="D41" s="21"/>
      <c r="E41" s="21"/>
      <c r="F41" s="22"/>
      <c r="G41" s="21"/>
      <c r="H41" s="21"/>
      <c r="I41" s="22"/>
      <c r="J41" s="21"/>
      <c r="K41" s="21"/>
      <c r="L41" s="21"/>
    </row>
    <row r="42" spans="1:26" ht="14.45">
      <c r="A42" s="21"/>
      <c r="B42" s="31"/>
      <c r="C42" s="21"/>
      <c r="D42" s="21"/>
      <c r="E42" s="21"/>
      <c r="F42" s="22"/>
      <c r="G42" s="21"/>
      <c r="H42" s="21"/>
      <c r="I42" s="22"/>
      <c r="J42" s="21"/>
      <c r="K42" s="21"/>
      <c r="L42" s="21"/>
    </row>
    <row r="43" spans="1:26" ht="14.45">
      <c r="A43" s="21"/>
      <c r="B43" s="31"/>
      <c r="C43" s="21"/>
      <c r="D43" s="21"/>
      <c r="E43" s="21"/>
      <c r="F43" s="22"/>
      <c r="G43" s="21"/>
      <c r="H43" s="21"/>
      <c r="I43" s="22"/>
      <c r="J43" s="21"/>
      <c r="K43" s="21"/>
      <c r="L43" s="21"/>
    </row>
    <row r="44" spans="1:26" ht="14.45">
      <c r="A44" s="21"/>
      <c r="B44" s="31"/>
      <c r="C44" s="21"/>
      <c r="D44" s="21"/>
      <c r="E44" s="21"/>
      <c r="F44" s="22"/>
      <c r="G44" s="21"/>
      <c r="H44" s="21"/>
      <c r="I44" s="22"/>
      <c r="J44" s="21"/>
      <c r="K44" s="21"/>
      <c r="L44" s="21"/>
    </row>
    <row r="45" spans="1:26" ht="14.45">
      <c r="A45" s="21"/>
      <c r="B45" s="31"/>
      <c r="C45" s="21"/>
      <c r="D45" s="21"/>
      <c r="E45" s="21"/>
      <c r="F45" s="22"/>
      <c r="G45" s="21"/>
      <c r="H45" s="21"/>
      <c r="I45" s="22"/>
      <c r="J45" s="21"/>
      <c r="K45" s="21"/>
      <c r="L45" s="21"/>
    </row>
    <row r="46" spans="1:26" ht="14.45">
      <c r="A46" s="21"/>
      <c r="B46" s="31"/>
      <c r="C46" s="21"/>
      <c r="D46" s="21"/>
      <c r="E46" s="21"/>
      <c r="F46" s="22"/>
      <c r="G46" s="21"/>
      <c r="H46" s="21"/>
      <c r="I46" s="22"/>
      <c r="J46" s="21"/>
      <c r="K46" s="21"/>
      <c r="L46" s="21"/>
    </row>
    <row r="47" spans="1:26" ht="14.45">
      <c r="A47" s="21"/>
      <c r="B47" s="31"/>
      <c r="C47" s="21"/>
      <c r="D47" s="21"/>
      <c r="E47" s="21"/>
      <c r="F47" s="22"/>
      <c r="G47" s="21"/>
      <c r="H47" s="21"/>
      <c r="I47" s="22"/>
      <c r="J47" s="21"/>
      <c r="K47" s="21"/>
      <c r="L47" s="21"/>
    </row>
    <row r="48" spans="1:26" ht="14.45">
      <c r="A48" s="21"/>
      <c r="B48" s="31"/>
      <c r="C48" s="21"/>
      <c r="D48" s="21"/>
      <c r="E48" s="21"/>
      <c r="F48" s="22"/>
      <c r="G48" s="21"/>
      <c r="H48" s="21"/>
      <c r="I48" s="22"/>
      <c r="J48" s="21"/>
      <c r="K48" s="21"/>
      <c r="L48" s="21"/>
    </row>
    <row r="49" spans="1:12" ht="14.45">
      <c r="A49" s="21"/>
      <c r="B49" s="31"/>
      <c r="C49" s="21"/>
      <c r="D49" s="21"/>
      <c r="E49" s="21"/>
      <c r="F49" s="22"/>
      <c r="G49" s="21"/>
      <c r="H49" s="21"/>
      <c r="I49" s="22"/>
      <c r="J49" s="21"/>
      <c r="K49" s="21"/>
      <c r="L49" s="21"/>
    </row>
    <row r="50" spans="1:12" ht="14.45">
      <c r="A50" s="21"/>
      <c r="B50" s="31"/>
      <c r="C50" s="21"/>
      <c r="D50" s="21"/>
      <c r="E50" s="21"/>
      <c r="F50" s="22"/>
      <c r="G50" s="21"/>
      <c r="H50" s="21"/>
      <c r="I50" s="22"/>
      <c r="J50" s="21"/>
      <c r="K50" s="21"/>
      <c r="L50" s="21"/>
    </row>
    <row r="51" spans="1:12" ht="14.45">
      <c r="A51" s="21"/>
      <c r="B51" s="31"/>
      <c r="C51" s="21"/>
      <c r="D51" s="21"/>
      <c r="E51" s="21"/>
      <c r="F51" s="22"/>
      <c r="G51" s="21"/>
      <c r="H51" s="21"/>
      <c r="I51" s="22"/>
      <c r="J51" s="21"/>
      <c r="K51" s="21"/>
      <c r="L51" s="21"/>
    </row>
    <row r="52" spans="1:12" ht="14.45">
      <c r="A52" s="21"/>
      <c r="B52" s="31"/>
      <c r="C52" s="21"/>
      <c r="D52" s="21"/>
      <c r="E52" s="21"/>
      <c r="F52" s="22"/>
      <c r="G52" s="21"/>
      <c r="H52" s="21"/>
      <c r="I52" s="22"/>
      <c r="J52" s="21"/>
      <c r="K52" s="21"/>
      <c r="L52" s="21"/>
    </row>
    <row r="53" spans="1:12" ht="14.45">
      <c r="A53" s="21"/>
      <c r="B53" s="31"/>
      <c r="C53" s="21"/>
      <c r="D53" s="21"/>
      <c r="E53" s="21"/>
      <c r="F53" s="22"/>
      <c r="G53" s="21"/>
      <c r="H53" s="21"/>
      <c r="I53" s="22"/>
      <c r="J53" s="21"/>
      <c r="K53" s="21"/>
      <c r="L53" s="21"/>
    </row>
    <row r="54" spans="1:12" ht="14.45">
      <c r="A54" s="21"/>
      <c r="B54" s="31"/>
      <c r="C54" s="21"/>
      <c r="D54" s="21"/>
      <c r="E54" s="21"/>
      <c r="F54" s="22"/>
      <c r="G54" s="21"/>
      <c r="H54" s="21"/>
      <c r="I54" s="22"/>
      <c r="J54" s="21"/>
      <c r="K54" s="21"/>
      <c r="L54" s="21"/>
    </row>
    <row r="55" spans="1:12" ht="14.45">
      <c r="A55" s="21"/>
      <c r="B55" s="31"/>
      <c r="C55" s="21"/>
      <c r="D55" s="21"/>
      <c r="E55" s="21"/>
      <c r="F55" s="22"/>
      <c r="G55" s="21"/>
      <c r="H55" s="21"/>
      <c r="I55" s="22"/>
      <c r="J55" s="21"/>
      <c r="K55" s="21"/>
      <c r="L55" s="21"/>
    </row>
    <row r="56" spans="1:12" ht="14.45">
      <c r="A56" s="21"/>
      <c r="B56" s="31"/>
      <c r="C56" s="21"/>
      <c r="D56" s="21"/>
      <c r="E56" s="21"/>
      <c r="F56" s="22"/>
      <c r="G56" s="21"/>
      <c r="H56" s="21"/>
      <c r="I56" s="22"/>
      <c r="J56" s="21"/>
      <c r="K56" s="21"/>
      <c r="L56" s="21"/>
    </row>
    <row r="57" spans="1:12" ht="14.45">
      <c r="A57" s="21"/>
      <c r="B57" s="31"/>
      <c r="C57" s="21"/>
      <c r="D57" s="21"/>
      <c r="E57" s="21"/>
      <c r="F57" s="22"/>
      <c r="G57" s="21"/>
      <c r="H57" s="21"/>
      <c r="I57" s="22"/>
      <c r="J57" s="21"/>
      <c r="K57" s="21"/>
      <c r="L57" s="21"/>
    </row>
    <row r="58" spans="1:12" ht="14.45">
      <c r="A58" s="21"/>
      <c r="B58" s="31"/>
      <c r="C58" s="21"/>
      <c r="D58" s="21"/>
      <c r="E58" s="21"/>
      <c r="F58" s="22"/>
      <c r="G58" s="21"/>
      <c r="H58" s="21"/>
      <c r="I58" s="22"/>
      <c r="J58" s="21"/>
      <c r="K58" s="21"/>
      <c r="L58" s="21"/>
    </row>
    <row r="59" spans="1:12" ht="14.45">
      <c r="A59" s="21"/>
      <c r="B59" s="31"/>
      <c r="C59" s="21"/>
      <c r="D59" s="21"/>
      <c r="E59" s="21"/>
      <c r="F59" s="22"/>
      <c r="G59" s="21"/>
      <c r="H59" s="21"/>
      <c r="I59" s="22"/>
      <c r="J59" s="21"/>
      <c r="K59" s="21"/>
      <c r="L59" s="21"/>
    </row>
    <row r="60" spans="1:12" ht="14.45">
      <c r="A60" s="21"/>
      <c r="B60" s="31"/>
      <c r="C60" s="21"/>
      <c r="D60" s="21"/>
      <c r="E60" s="21"/>
      <c r="F60" s="22"/>
      <c r="G60" s="21"/>
      <c r="H60" s="21"/>
      <c r="I60" s="22"/>
      <c r="J60" s="21"/>
      <c r="K60" s="21"/>
      <c r="L60" s="21"/>
    </row>
    <row r="61" spans="1:12" ht="14.45">
      <c r="A61" s="21"/>
      <c r="B61" s="31"/>
      <c r="C61" s="21"/>
      <c r="D61" s="21"/>
      <c r="E61" s="21"/>
      <c r="F61" s="22"/>
      <c r="G61" s="21"/>
      <c r="H61" s="21"/>
      <c r="I61" s="22"/>
      <c r="J61" s="21"/>
      <c r="K61" s="21"/>
      <c r="L61" s="21"/>
    </row>
    <row r="62" spans="1:12" ht="14.45">
      <c r="A62" s="21"/>
      <c r="B62" s="31"/>
      <c r="C62" s="21"/>
      <c r="D62" s="21"/>
      <c r="E62" s="21"/>
      <c r="F62" s="22"/>
      <c r="G62" s="21"/>
      <c r="H62" s="21"/>
      <c r="I62" s="22"/>
      <c r="J62" s="21"/>
      <c r="K62" s="21"/>
      <c r="L62" s="21"/>
    </row>
    <row r="63" spans="1:12" ht="14.45">
      <c r="A63" s="21"/>
      <c r="B63" s="31"/>
      <c r="C63" s="21"/>
      <c r="D63" s="21"/>
      <c r="E63" s="21"/>
      <c r="F63" s="22"/>
      <c r="G63" s="21"/>
      <c r="H63" s="21"/>
      <c r="I63" s="22"/>
      <c r="J63" s="21"/>
      <c r="K63" s="21"/>
      <c r="L63" s="21"/>
    </row>
    <row r="64" spans="1:12" ht="14.45">
      <c r="A64" s="21"/>
      <c r="B64" s="31"/>
      <c r="C64" s="21"/>
      <c r="D64" s="21"/>
      <c r="E64" s="21"/>
      <c r="F64" s="22"/>
      <c r="G64" s="21"/>
      <c r="H64" s="21"/>
      <c r="I64" s="22"/>
      <c r="J64" s="21"/>
      <c r="K64" s="21"/>
      <c r="L64" s="21"/>
    </row>
    <row r="65" spans="1:12" ht="14.45">
      <c r="A65" s="21"/>
      <c r="B65" s="31"/>
      <c r="C65" s="21"/>
      <c r="D65" s="21"/>
      <c r="E65" s="21"/>
      <c r="F65" s="22"/>
      <c r="G65" s="21"/>
      <c r="H65" s="21"/>
      <c r="I65" s="22"/>
      <c r="J65" s="21"/>
      <c r="K65" s="21"/>
      <c r="L65" s="21"/>
    </row>
    <row r="66" spans="1:12" ht="14.45">
      <c r="A66" s="21"/>
      <c r="B66" s="31"/>
      <c r="C66" s="21"/>
      <c r="D66" s="21"/>
      <c r="E66" s="21"/>
      <c r="F66" s="22"/>
      <c r="G66" s="21"/>
      <c r="H66" s="21"/>
      <c r="I66" s="22"/>
      <c r="J66" s="21"/>
      <c r="K66" s="21"/>
      <c r="L66" s="21"/>
    </row>
    <row r="67" spans="1:12" ht="14.45">
      <c r="A67" s="21"/>
      <c r="B67" s="31"/>
      <c r="C67" s="21"/>
      <c r="D67" s="21"/>
      <c r="E67" s="21"/>
      <c r="F67" s="22"/>
      <c r="G67" s="21"/>
      <c r="H67" s="21"/>
      <c r="I67" s="22"/>
      <c r="J67" s="21"/>
      <c r="K67" s="21"/>
      <c r="L67" s="21"/>
    </row>
    <row r="68" spans="1:12" ht="14.45">
      <c r="A68" s="21"/>
      <c r="B68" s="31"/>
      <c r="C68" s="21"/>
      <c r="D68" s="21"/>
      <c r="E68" s="21"/>
      <c r="F68" s="22"/>
      <c r="G68" s="21"/>
      <c r="H68" s="21"/>
      <c r="I68" s="22"/>
      <c r="J68" s="21"/>
      <c r="K68" s="21"/>
      <c r="L68" s="21"/>
    </row>
    <row r="69" spans="1:12" ht="14.45">
      <c r="A69" s="21"/>
      <c r="B69" s="31"/>
      <c r="C69" s="21"/>
      <c r="D69" s="21"/>
      <c r="E69" s="21"/>
      <c r="F69" s="22"/>
      <c r="G69" s="21"/>
      <c r="H69" s="21"/>
      <c r="I69" s="22"/>
      <c r="J69" s="21"/>
      <c r="K69" s="21"/>
      <c r="L69" s="21"/>
    </row>
    <row r="70" spans="1:12" ht="14.45">
      <c r="A70" s="21"/>
      <c r="B70" s="31"/>
      <c r="C70" s="21"/>
      <c r="D70" s="21"/>
      <c r="E70" s="21"/>
      <c r="F70" s="22"/>
      <c r="G70" s="21"/>
      <c r="H70" s="21"/>
      <c r="I70" s="22"/>
      <c r="J70" s="21"/>
      <c r="K70" s="21"/>
      <c r="L70" s="21"/>
    </row>
    <row r="71" spans="1:12" ht="14.45">
      <c r="A71" s="21"/>
      <c r="B71" s="31"/>
      <c r="C71" s="21"/>
      <c r="D71" s="21"/>
      <c r="E71" s="21"/>
      <c r="F71" s="22"/>
      <c r="G71" s="21"/>
      <c r="H71" s="21"/>
      <c r="I71" s="22"/>
      <c r="J71" s="21"/>
      <c r="K71" s="21"/>
      <c r="L71" s="21"/>
    </row>
    <row r="72" spans="1:12" ht="14.45">
      <c r="A72" s="21"/>
      <c r="B72" s="31"/>
      <c r="C72" s="21"/>
      <c r="D72" s="21"/>
      <c r="E72" s="21"/>
      <c r="F72" s="22"/>
      <c r="G72" s="21"/>
      <c r="H72" s="21"/>
      <c r="I72" s="22"/>
      <c r="J72" s="21"/>
      <c r="K72" s="21"/>
      <c r="L72" s="21"/>
    </row>
    <row r="73" spans="1:12" ht="14.45">
      <c r="A73" s="21"/>
      <c r="B73" s="31"/>
      <c r="C73" s="21"/>
      <c r="D73" s="21"/>
      <c r="E73" s="21"/>
      <c r="F73" s="22"/>
      <c r="G73" s="21"/>
      <c r="H73" s="21"/>
      <c r="I73" s="22"/>
      <c r="J73" s="21"/>
      <c r="K73" s="21"/>
      <c r="L73" s="21"/>
    </row>
    <row r="74" spans="1:12" ht="14.45">
      <c r="A74" s="21"/>
      <c r="B74" s="31"/>
      <c r="C74" s="21"/>
      <c r="D74" s="21"/>
      <c r="E74" s="21"/>
      <c r="F74" s="22"/>
      <c r="G74" s="21"/>
      <c r="H74" s="21"/>
      <c r="I74" s="22"/>
      <c r="J74" s="21"/>
      <c r="K74" s="21"/>
      <c r="L74" s="21"/>
    </row>
    <row r="75" spans="1:12" ht="14.45">
      <c r="A75" s="21"/>
      <c r="B75" s="31"/>
      <c r="C75" s="21"/>
      <c r="D75" s="21"/>
      <c r="E75" s="21"/>
      <c r="F75" s="22"/>
      <c r="G75" s="21"/>
      <c r="H75" s="21"/>
      <c r="I75" s="22"/>
      <c r="J75" s="21"/>
      <c r="K75" s="21"/>
      <c r="L75" s="21"/>
    </row>
    <row r="76" spans="1:12" ht="14.45">
      <c r="A76" s="21"/>
      <c r="B76" s="31"/>
      <c r="C76" s="21"/>
      <c r="D76" s="21"/>
      <c r="E76" s="21"/>
      <c r="F76" s="22"/>
      <c r="G76" s="21"/>
      <c r="H76" s="21"/>
      <c r="I76" s="22"/>
      <c r="J76" s="21"/>
      <c r="K76" s="21"/>
      <c r="L76" s="21"/>
    </row>
    <row r="77" spans="1:12" ht="14.45">
      <c r="A77" s="21"/>
      <c r="B77" s="31"/>
      <c r="C77" s="21"/>
      <c r="D77" s="21"/>
      <c r="E77" s="21"/>
      <c r="F77" s="22"/>
      <c r="G77" s="21"/>
      <c r="H77" s="21"/>
      <c r="I77" s="22"/>
      <c r="J77" s="21"/>
      <c r="K77" s="21"/>
      <c r="L77" s="21"/>
    </row>
    <row r="78" spans="1:12" ht="14.45">
      <c r="A78" s="21"/>
      <c r="B78" s="31"/>
      <c r="C78" s="21"/>
      <c r="D78" s="21"/>
      <c r="E78" s="21"/>
      <c r="F78" s="22"/>
      <c r="G78" s="21"/>
      <c r="H78" s="21"/>
      <c r="I78" s="22"/>
      <c r="J78" s="21"/>
      <c r="K78" s="21"/>
      <c r="L78" s="21"/>
    </row>
    <row r="79" spans="1:12" ht="14.45">
      <c r="A79" s="21"/>
      <c r="B79" s="31"/>
      <c r="C79" s="21"/>
      <c r="D79" s="21"/>
      <c r="E79" s="21"/>
      <c r="F79" s="22"/>
      <c r="G79" s="21"/>
      <c r="H79" s="21"/>
      <c r="I79" s="22"/>
      <c r="J79" s="21"/>
      <c r="K79" s="21"/>
      <c r="L79" s="21"/>
    </row>
    <row r="80" spans="1:12" ht="14.45">
      <c r="A80" s="21"/>
      <c r="B80" s="31"/>
      <c r="C80" s="21"/>
      <c r="D80" s="21"/>
      <c r="E80" s="21"/>
      <c r="F80" s="22"/>
      <c r="G80" s="21"/>
      <c r="H80" s="21"/>
      <c r="I80" s="22"/>
      <c r="J80" s="21"/>
      <c r="K80" s="21"/>
      <c r="L80" s="21"/>
    </row>
    <row r="81" spans="1:12" ht="14.45">
      <c r="A81" s="21"/>
      <c r="B81" s="31"/>
      <c r="C81" s="21"/>
      <c r="D81" s="21"/>
      <c r="E81" s="21"/>
      <c r="F81" s="22"/>
      <c r="G81" s="21"/>
      <c r="H81" s="21"/>
      <c r="I81" s="22"/>
      <c r="J81" s="21"/>
      <c r="K81" s="21"/>
      <c r="L81" s="21"/>
    </row>
    <row r="82" spans="1:12" ht="14.45">
      <c r="A82" s="21"/>
      <c r="B82" s="31"/>
      <c r="C82" s="21"/>
      <c r="D82" s="21"/>
      <c r="E82" s="21"/>
      <c r="F82" s="22"/>
      <c r="G82" s="21"/>
      <c r="H82" s="21"/>
      <c r="I82" s="22"/>
      <c r="J82" s="21"/>
      <c r="K82" s="21"/>
      <c r="L82" s="21"/>
    </row>
    <row r="83" spans="1:12" ht="14.45">
      <c r="A83" s="21"/>
      <c r="B83" s="31"/>
      <c r="C83" s="21"/>
      <c r="D83" s="21"/>
      <c r="E83" s="21"/>
      <c r="F83" s="22"/>
      <c r="G83" s="21"/>
      <c r="H83" s="21"/>
      <c r="I83" s="22"/>
      <c r="J83" s="21"/>
      <c r="K83" s="21"/>
      <c r="L83" s="21"/>
    </row>
    <row r="84" spans="1:12" ht="14.45">
      <c r="A84" s="21"/>
      <c r="B84" s="31"/>
      <c r="C84" s="21"/>
      <c r="D84" s="21"/>
      <c r="E84" s="21"/>
      <c r="F84" s="22"/>
      <c r="G84" s="21"/>
      <c r="H84" s="21"/>
      <c r="I84" s="22"/>
      <c r="J84" s="21"/>
      <c r="K84" s="21"/>
      <c r="L84" s="21"/>
    </row>
    <row r="85" spans="1:12" ht="14.45">
      <c r="A85" s="21"/>
      <c r="B85" s="31"/>
      <c r="C85" s="21"/>
      <c r="D85" s="21"/>
      <c r="E85" s="21"/>
      <c r="F85" s="22"/>
      <c r="G85" s="21"/>
      <c r="H85" s="21"/>
      <c r="I85" s="22"/>
      <c r="J85" s="21"/>
      <c r="K85" s="21"/>
      <c r="L85" s="21"/>
    </row>
    <row r="86" spans="1:12" ht="14.45">
      <c r="A86" s="21"/>
      <c r="B86" s="31"/>
      <c r="C86" s="21"/>
      <c r="D86" s="21"/>
      <c r="E86" s="21"/>
      <c r="F86" s="22"/>
      <c r="G86" s="21"/>
      <c r="H86" s="21"/>
      <c r="I86" s="22"/>
      <c r="J86" s="21"/>
      <c r="K86" s="21"/>
      <c r="L86" s="21"/>
    </row>
    <row r="87" spans="1:12" ht="14.45">
      <c r="A87" s="21"/>
      <c r="B87" s="31"/>
      <c r="C87" s="21"/>
      <c r="D87" s="21"/>
      <c r="E87" s="21"/>
      <c r="F87" s="22"/>
      <c r="G87" s="21"/>
      <c r="H87" s="21"/>
      <c r="I87" s="22"/>
      <c r="J87" s="21"/>
      <c r="K87" s="21"/>
      <c r="L87" s="21"/>
    </row>
    <row r="88" spans="1:12" ht="14.45">
      <c r="A88" s="21"/>
      <c r="B88" s="31"/>
      <c r="C88" s="21"/>
      <c r="D88" s="21"/>
      <c r="E88" s="21"/>
      <c r="F88" s="22"/>
      <c r="G88" s="21"/>
      <c r="H88" s="21"/>
      <c r="I88" s="22"/>
      <c r="J88" s="21"/>
      <c r="K88" s="21"/>
      <c r="L88" s="21"/>
    </row>
    <row r="89" spans="1:12" ht="14.45">
      <c r="A89" s="21"/>
      <c r="B89" s="31"/>
      <c r="C89" s="21"/>
      <c r="D89" s="21"/>
      <c r="E89" s="21"/>
      <c r="F89" s="22"/>
      <c r="G89" s="21"/>
      <c r="H89" s="21"/>
      <c r="I89" s="22"/>
      <c r="J89" s="21"/>
      <c r="K89" s="21"/>
      <c r="L89" s="21"/>
    </row>
    <row r="90" spans="1:12" ht="14.45">
      <c r="A90" s="21"/>
      <c r="B90" s="31"/>
      <c r="C90" s="21"/>
      <c r="D90" s="21"/>
      <c r="E90" s="21"/>
      <c r="F90" s="22"/>
      <c r="G90" s="21"/>
      <c r="H90" s="21"/>
      <c r="I90" s="22"/>
      <c r="J90" s="21"/>
      <c r="K90" s="21"/>
      <c r="L90" s="21"/>
    </row>
    <row r="91" spans="1:12" ht="14.45">
      <c r="A91" s="21"/>
      <c r="B91" s="31"/>
      <c r="C91" s="21"/>
      <c r="D91" s="21"/>
      <c r="E91" s="21"/>
      <c r="F91" s="22"/>
      <c r="G91" s="21"/>
      <c r="H91" s="21"/>
      <c r="I91" s="22"/>
      <c r="J91" s="21"/>
      <c r="K91" s="21"/>
      <c r="L91" s="21"/>
    </row>
    <row r="92" spans="1:12" ht="14.45">
      <c r="A92" s="21"/>
      <c r="B92" s="31"/>
      <c r="C92" s="21"/>
      <c r="D92" s="21"/>
      <c r="E92" s="21"/>
      <c r="F92" s="22"/>
      <c r="G92" s="21"/>
      <c r="H92" s="21"/>
      <c r="I92" s="22"/>
      <c r="J92" s="21"/>
      <c r="K92" s="21"/>
      <c r="L92" s="21"/>
    </row>
    <row r="93" spans="1:12" ht="14.45">
      <c r="A93" s="21"/>
      <c r="B93" s="31"/>
      <c r="C93" s="21"/>
      <c r="D93" s="21"/>
      <c r="E93" s="21"/>
      <c r="F93" s="22"/>
      <c r="G93" s="21"/>
      <c r="H93" s="21"/>
      <c r="I93" s="22"/>
      <c r="J93" s="21"/>
      <c r="K93" s="21"/>
      <c r="L93" s="21"/>
    </row>
    <row r="94" spans="1:12" ht="14.45">
      <c r="A94" s="21"/>
      <c r="B94" s="31"/>
      <c r="C94" s="21"/>
      <c r="D94" s="21"/>
      <c r="E94" s="21"/>
      <c r="F94" s="22"/>
      <c r="G94" s="21"/>
      <c r="H94" s="21"/>
      <c r="I94" s="22"/>
      <c r="J94" s="21"/>
      <c r="K94" s="21"/>
      <c r="L94" s="21"/>
    </row>
    <row r="95" spans="1:12" ht="14.45">
      <c r="A95" s="21"/>
      <c r="B95" s="31"/>
      <c r="C95" s="21"/>
      <c r="D95" s="21"/>
      <c r="E95" s="21"/>
      <c r="F95" s="22"/>
      <c r="G95" s="21"/>
      <c r="H95" s="21"/>
      <c r="I95" s="22"/>
      <c r="J95" s="21"/>
      <c r="K95" s="21"/>
      <c r="L95" s="21"/>
    </row>
    <row r="96" spans="1:12" ht="14.45">
      <c r="A96" s="21"/>
      <c r="B96" s="31"/>
      <c r="C96" s="21"/>
      <c r="D96" s="21"/>
      <c r="E96" s="21"/>
      <c r="F96" s="22"/>
      <c r="G96" s="21"/>
      <c r="H96" s="21"/>
      <c r="I96" s="22"/>
      <c r="J96" s="21"/>
      <c r="K96" s="21"/>
      <c r="L96" s="21"/>
    </row>
    <row r="97" spans="1:12" ht="14.45">
      <c r="A97" s="21"/>
      <c r="B97" s="31"/>
      <c r="C97" s="21"/>
      <c r="D97" s="21"/>
      <c r="E97" s="21"/>
      <c r="F97" s="22"/>
      <c r="G97" s="21"/>
      <c r="H97" s="21"/>
      <c r="I97" s="22"/>
      <c r="J97" s="21"/>
      <c r="K97" s="21"/>
      <c r="L97" s="21"/>
    </row>
    <row r="98" spans="1:12" ht="14.45">
      <c r="A98" s="21"/>
      <c r="B98" s="31"/>
      <c r="C98" s="21"/>
      <c r="D98" s="21"/>
      <c r="E98" s="21"/>
      <c r="F98" s="22"/>
      <c r="G98" s="21"/>
      <c r="H98" s="21"/>
      <c r="I98" s="22"/>
      <c r="J98" s="21"/>
      <c r="K98" s="21"/>
      <c r="L98" s="21"/>
    </row>
    <row r="99" spans="1:12" ht="14.45">
      <c r="A99" s="21"/>
      <c r="B99" s="31"/>
      <c r="C99" s="21"/>
      <c r="D99" s="21"/>
      <c r="E99" s="21"/>
      <c r="F99" s="22"/>
      <c r="G99" s="21"/>
      <c r="H99" s="21"/>
      <c r="I99" s="22"/>
      <c r="J99" s="21"/>
      <c r="K99" s="21"/>
      <c r="L99" s="21"/>
    </row>
    <row r="100" spans="1:12" ht="14.45">
      <c r="A100" s="21"/>
      <c r="B100" s="31"/>
      <c r="C100" s="21"/>
      <c r="D100" s="21"/>
      <c r="E100" s="21"/>
      <c r="F100" s="22"/>
      <c r="G100" s="21"/>
      <c r="H100" s="21"/>
      <c r="I100" s="22"/>
      <c r="J100" s="21"/>
      <c r="K100" s="21"/>
      <c r="L100" s="21"/>
    </row>
    <row r="101" spans="1:12" ht="14.45">
      <c r="A101" s="21"/>
      <c r="B101" s="31"/>
      <c r="C101" s="21"/>
      <c r="D101" s="21"/>
      <c r="E101" s="21"/>
      <c r="F101" s="22"/>
      <c r="G101" s="21"/>
      <c r="H101" s="21"/>
      <c r="I101" s="22"/>
      <c r="J101" s="21"/>
      <c r="K101" s="21"/>
      <c r="L101" s="21"/>
    </row>
    <row r="102" spans="1:12" ht="14.45">
      <c r="A102" s="21"/>
      <c r="B102" s="31"/>
      <c r="C102" s="21"/>
      <c r="D102" s="21"/>
      <c r="E102" s="21"/>
      <c r="F102" s="22"/>
      <c r="G102" s="21"/>
      <c r="H102" s="21"/>
      <c r="I102" s="22"/>
      <c r="J102" s="21"/>
      <c r="K102" s="21"/>
      <c r="L102" s="21"/>
    </row>
    <row r="103" spans="1:12" ht="14.45">
      <c r="A103" s="21"/>
      <c r="B103" s="31"/>
      <c r="C103" s="21"/>
      <c r="D103" s="21"/>
      <c r="E103" s="21"/>
      <c r="F103" s="22"/>
      <c r="G103" s="21"/>
      <c r="H103" s="21"/>
      <c r="I103" s="22"/>
      <c r="J103" s="21"/>
      <c r="K103" s="21"/>
      <c r="L103" s="21"/>
    </row>
    <row r="104" spans="1:12" ht="14.45">
      <c r="A104" s="21"/>
      <c r="B104" s="31"/>
      <c r="C104" s="21"/>
      <c r="D104" s="21"/>
      <c r="E104" s="21"/>
      <c r="F104" s="22"/>
      <c r="G104" s="21"/>
      <c r="H104" s="21"/>
      <c r="I104" s="22"/>
      <c r="J104" s="21"/>
      <c r="K104" s="21"/>
      <c r="L104" s="21"/>
    </row>
    <row r="105" spans="1:12" ht="14.45">
      <c r="A105" s="21"/>
      <c r="B105" s="31"/>
      <c r="C105" s="21"/>
      <c r="D105" s="21"/>
      <c r="E105" s="21"/>
      <c r="F105" s="22"/>
      <c r="G105" s="21"/>
      <c r="H105" s="21"/>
      <c r="I105" s="22"/>
      <c r="J105" s="21"/>
      <c r="K105" s="21"/>
      <c r="L105" s="21"/>
    </row>
    <row r="106" spans="1:12" ht="14.45">
      <c r="A106" s="21"/>
      <c r="B106" s="31"/>
      <c r="C106" s="21"/>
      <c r="D106" s="21"/>
      <c r="E106" s="21"/>
      <c r="F106" s="22"/>
      <c r="G106" s="21"/>
      <c r="H106" s="21"/>
      <c r="I106" s="22"/>
      <c r="J106" s="21"/>
      <c r="K106" s="21"/>
      <c r="L106" s="21"/>
    </row>
    <row r="107" spans="1:12" ht="14.45">
      <c r="A107" s="21"/>
      <c r="B107" s="31"/>
      <c r="C107" s="21"/>
      <c r="D107" s="21"/>
      <c r="E107" s="21"/>
      <c r="F107" s="22"/>
      <c r="G107" s="21"/>
      <c r="H107" s="21"/>
      <c r="I107" s="22"/>
      <c r="J107" s="21"/>
      <c r="K107" s="21"/>
      <c r="L107" s="21"/>
    </row>
    <row r="108" spans="1:12" ht="14.45">
      <c r="A108" s="21"/>
      <c r="B108" s="31"/>
      <c r="C108" s="21"/>
      <c r="D108" s="21"/>
      <c r="E108" s="21"/>
      <c r="F108" s="22"/>
      <c r="G108" s="21"/>
      <c r="H108" s="21"/>
      <c r="I108" s="22"/>
      <c r="J108" s="21"/>
      <c r="K108" s="21"/>
      <c r="L108" s="21"/>
    </row>
    <row r="109" spans="1:12" ht="14.45">
      <c r="A109" s="21"/>
      <c r="B109" s="31"/>
      <c r="C109" s="21"/>
      <c r="D109" s="21"/>
      <c r="E109" s="21"/>
      <c r="F109" s="22"/>
      <c r="G109" s="21"/>
      <c r="H109" s="21"/>
      <c r="I109" s="22"/>
      <c r="J109" s="21"/>
      <c r="K109" s="21"/>
      <c r="L109" s="21"/>
    </row>
    <row r="110" spans="1:12" ht="14.45">
      <c r="A110" s="21"/>
      <c r="B110" s="31"/>
      <c r="C110" s="21"/>
      <c r="D110" s="21"/>
      <c r="E110" s="21"/>
      <c r="F110" s="22"/>
      <c r="G110" s="21"/>
      <c r="H110" s="21"/>
      <c r="I110" s="22"/>
      <c r="J110" s="21"/>
      <c r="K110" s="21"/>
      <c r="L110" s="21"/>
    </row>
    <row r="111" spans="1:12" ht="14.45">
      <c r="A111" s="21"/>
      <c r="B111" s="31"/>
      <c r="C111" s="21"/>
      <c r="D111" s="21"/>
      <c r="E111" s="21"/>
      <c r="F111" s="22"/>
      <c r="G111" s="21"/>
      <c r="H111" s="21"/>
      <c r="I111" s="22"/>
      <c r="J111" s="21"/>
      <c r="K111" s="21"/>
      <c r="L111" s="21"/>
    </row>
    <row r="112" spans="1:12" ht="14.45">
      <c r="A112" s="21"/>
      <c r="B112" s="31"/>
      <c r="C112" s="21"/>
      <c r="D112" s="21"/>
      <c r="E112" s="21"/>
      <c r="F112" s="22"/>
      <c r="G112" s="21"/>
      <c r="H112" s="21"/>
      <c r="I112" s="22"/>
      <c r="J112" s="21"/>
      <c r="K112" s="21"/>
      <c r="L112" s="21"/>
    </row>
    <row r="113" spans="1:12" ht="14.45">
      <c r="A113" s="21"/>
      <c r="B113" s="31"/>
      <c r="C113" s="21"/>
      <c r="D113" s="21"/>
      <c r="E113" s="21"/>
      <c r="F113" s="22"/>
      <c r="G113" s="21"/>
      <c r="H113" s="21"/>
      <c r="I113" s="22"/>
      <c r="J113" s="21"/>
      <c r="K113" s="21"/>
      <c r="L113" s="21"/>
    </row>
    <row r="114" spans="1:12" ht="14.45">
      <c r="A114" s="21"/>
      <c r="B114" s="31"/>
      <c r="C114" s="21"/>
      <c r="D114" s="21"/>
      <c r="E114" s="21"/>
      <c r="F114" s="22"/>
      <c r="G114" s="21"/>
      <c r="H114" s="21"/>
      <c r="I114" s="22"/>
      <c r="J114" s="21"/>
      <c r="K114" s="21"/>
      <c r="L114" s="21"/>
    </row>
    <row r="115" spans="1:12" ht="14.45">
      <c r="A115" s="21"/>
      <c r="B115" s="31"/>
      <c r="C115" s="21"/>
      <c r="D115" s="21"/>
      <c r="E115" s="21"/>
      <c r="F115" s="22"/>
      <c r="G115" s="21"/>
      <c r="H115" s="21"/>
      <c r="I115" s="22"/>
      <c r="J115" s="21"/>
      <c r="K115" s="21"/>
      <c r="L115" s="21"/>
    </row>
    <row r="116" spans="1:12" ht="14.45">
      <c r="A116" s="21"/>
      <c r="B116" s="31"/>
      <c r="C116" s="21"/>
      <c r="D116" s="21"/>
      <c r="E116" s="21"/>
      <c r="F116" s="22"/>
      <c r="G116" s="21"/>
      <c r="H116" s="21"/>
      <c r="I116" s="22"/>
      <c r="J116" s="21"/>
      <c r="K116" s="21"/>
      <c r="L116" s="21"/>
    </row>
    <row r="117" spans="1:12" ht="14.45">
      <c r="A117" s="21"/>
      <c r="B117" s="31"/>
      <c r="C117" s="21"/>
      <c r="D117" s="21"/>
      <c r="E117" s="21"/>
      <c r="F117" s="22"/>
      <c r="G117" s="21"/>
      <c r="H117" s="21"/>
      <c r="I117" s="22"/>
      <c r="J117" s="21"/>
      <c r="K117" s="21"/>
      <c r="L117" s="21"/>
    </row>
    <row r="118" spans="1:12" ht="14.45">
      <c r="A118" s="21"/>
      <c r="B118" s="31"/>
      <c r="C118" s="21"/>
      <c r="D118" s="21"/>
      <c r="E118" s="21"/>
      <c r="F118" s="22"/>
      <c r="G118" s="21"/>
      <c r="H118" s="21"/>
      <c r="I118" s="22"/>
      <c r="J118" s="21"/>
      <c r="K118" s="21"/>
      <c r="L118" s="21"/>
    </row>
    <row r="119" spans="1:12" ht="14.45">
      <c r="A119" s="21"/>
      <c r="B119" s="31"/>
      <c r="C119" s="21"/>
      <c r="D119" s="21"/>
      <c r="E119" s="21"/>
      <c r="F119" s="22"/>
      <c r="G119" s="21"/>
      <c r="H119" s="21"/>
      <c r="I119" s="22"/>
      <c r="J119" s="21"/>
      <c r="K119" s="21"/>
      <c r="L119" s="21"/>
    </row>
    <row r="120" spans="1:12" ht="14.45">
      <c r="A120" s="21"/>
      <c r="B120" s="31"/>
      <c r="C120" s="21"/>
      <c r="D120" s="21"/>
      <c r="E120" s="21"/>
      <c r="F120" s="22"/>
      <c r="G120" s="21"/>
      <c r="H120" s="21"/>
      <c r="I120" s="22"/>
      <c r="J120" s="21"/>
      <c r="K120" s="21"/>
      <c r="L120" s="21"/>
    </row>
    <row r="121" spans="1:12" ht="14.45">
      <c r="A121" s="21"/>
      <c r="B121" s="31"/>
      <c r="C121" s="21"/>
      <c r="D121" s="21"/>
      <c r="E121" s="21"/>
      <c r="F121" s="22"/>
      <c r="G121" s="21"/>
      <c r="H121" s="21"/>
      <c r="I121" s="22"/>
      <c r="J121" s="21"/>
      <c r="K121" s="21"/>
      <c r="L121" s="21"/>
    </row>
    <row r="122" spans="1:12" ht="14.45">
      <c r="A122" s="21"/>
      <c r="B122" s="31"/>
      <c r="C122" s="21"/>
      <c r="D122" s="21"/>
      <c r="E122" s="21"/>
      <c r="F122" s="22"/>
      <c r="G122" s="21"/>
      <c r="H122" s="21"/>
      <c r="I122" s="22"/>
      <c r="J122" s="21"/>
      <c r="K122" s="21"/>
      <c r="L122" s="21"/>
    </row>
    <row r="123" spans="1:12" ht="14.45">
      <c r="A123" s="21"/>
      <c r="B123" s="31"/>
      <c r="C123" s="21"/>
      <c r="D123" s="21"/>
      <c r="E123" s="21"/>
      <c r="F123" s="22"/>
      <c r="G123" s="21"/>
      <c r="H123" s="21"/>
      <c r="I123" s="22"/>
      <c r="J123" s="21"/>
      <c r="K123" s="21"/>
      <c r="L123" s="21"/>
    </row>
    <row r="124" spans="1:12" ht="14.45">
      <c r="A124" s="21"/>
      <c r="B124" s="31"/>
      <c r="C124" s="21"/>
      <c r="D124" s="21"/>
      <c r="E124" s="21"/>
      <c r="F124" s="22"/>
      <c r="G124" s="21"/>
      <c r="H124" s="21"/>
      <c r="I124" s="22"/>
      <c r="J124" s="21"/>
      <c r="K124" s="21"/>
      <c r="L124" s="21"/>
    </row>
    <row r="125" spans="1:12" ht="14.45">
      <c r="A125" s="21"/>
      <c r="B125" s="31"/>
      <c r="C125" s="21"/>
      <c r="D125" s="21"/>
      <c r="E125" s="21"/>
      <c r="F125" s="22"/>
      <c r="G125" s="21"/>
      <c r="H125" s="21"/>
      <c r="I125" s="22"/>
      <c r="J125" s="21"/>
      <c r="K125" s="21"/>
      <c r="L125" s="21"/>
    </row>
    <row r="126" spans="1:12" ht="14.45">
      <c r="A126" s="21"/>
      <c r="B126" s="31"/>
      <c r="C126" s="21"/>
      <c r="D126" s="21"/>
      <c r="E126" s="21"/>
      <c r="F126" s="22"/>
      <c r="G126" s="21"/>
      <c r="H126" s="21"/>
      <c r="I126" s="22"/>
      <c r="J126" s="21"/>
      <c r="K126" s="21"/>
      <c r="L126" s="21"/>
    </row>
    <row r="127" spans="1:12" ht="14.45">
      <c r="A127" s="21"/>
      <c r="B127" s="31"/>
      <c r="C127" s="21"/>
      <c r="D127" s="21"/>
      <c r="E127" s="21"/>
      <c r="F127" s="22"/>
      <c r="G127" s="21"/>
      <c r="H127" s="21"/>
      <c r="I127" s="22"/>
      <c r="J127" s="21"/>
      <c r="K127" s="21"/>
      <c r="L127" s="21"/>
    </row>
    <row r="128" spans="1:12" ht="14.45">
      <c r="A128" s="21"/>
      <c r="B128" s="31"/>
      <c r="C128" s="21"/>
      <c r="D128" s="21"/>
      <c r="E128" s="21"/>
      <c r="F128" s="22"/>
      <c r="G128" s="21"/>
      <c r="H128" s="21"/>
      <c r="I128" s="22"/>
      <c r="J128" s="21"/>
      <c r="K128" s="21"/>
      <c r="L128" s="21"/>
    </row>
    <row r="129" spans="1:12" ht="14.45">
      <c r="A129" s="21"/>
      <c r="B129" s="31"/>
      <c r="C129" s="21"/>
      <c r="D129" s="21"/>
      <c r="E129" s="21"/>
      <c r="F129" s="22"/>
      <c r="G129" s="21"/>
      <c r="H129" s="21"/>
      <c r="I129" s="22"/>
      <c r="J129" s="21"/>
      <c r="K129" s="21"/>
      <c r="L129" s="21"/>
    </row>
    <row r="130" spans="1:12" ht="14.45">
      <c r="A130" s="21"/>
      <c r="B130" s="31"/>
      <c r="C130" s="21"/>
      <c r="D130" s="21"/>
      <c r="E130" s="21"/>
      <c r="F130" s="22"/>
      <c r="G130" s="21"/>
      <c r="H130" s="21"/>
      <c r="I130" s="22"/>
      <c r="J130" s="21"/>
      <c r="K130" s="21"/>
      <c r="L130" s="21"/>
    </row>
    <row r="131" spans="1:12" ht="14.45">
      <c r="A131" s="21"/>
      <c r="B131" s="31"/>
      <c r="C131" s="21"/>
      <c r="D131" s="21"/>
      <c r="E131" s="21"/>
      <c r="F131" s="22"/>
      <c r="G131" s="21"/>
      <c r="H131" s="21"/>
      <c r="I131" s="22"/>
      <c r="J131" s="21"/>
      <c r="K131" s="21"/>
      <c r="L131" s="21"/>
    </row>
    <row r="132" spans="1:12" ht="14.45">
      <c r="A132" s="21"/>
      <c r="B132" s="31"/>
      <c r="C132" s="21"/>
      <c r="D132" s="21"/>
      <c r="E132" s="21"/>
      <c r="F132" s="22"/>
      <c r="G132" s="21"/>
      <c r="H132" s="21"/>
      <c r="I132" s="22"/>
      <c r="J132" s="21"/>
      <c r="K132" s="21"/>
      <c r="L132" s="21"/>
    </row>
    <row r="133" spans="1:12" ht="14.45">
      <c r="A133" s="21"/>
      <c r="B133" s="31"/>
      <c r="C133" s="21"/>
      <c r="D133" s="21"/>
      <c r="E133" s="21"/>
      <c r="F133" s="22"/>
      <c r="G133" s="21"/>
      <c r="H133" s="21"/>
      <c r="I133" s="22"/>
      <c r="J133" s="21"/>
      <c r="K133" s="21"/>
      <c r="L133" s="21"/>
    </row>
    <row r="134" spans="1:12" ht="14.45">
      <c r="A134" s="21"/>
      <c r="B134" s="31"/>
      <c r="C134" s="21"/>
      <c r="D134" s="21"/>
      <c r="E134" s="21"/>
      <c r="F134" s="22"/>
      <c r="G134" s="21"/>
      <c r="H134" s="21"/>
      <c r="I134" s="22"/>
      <c r="J134" s="21"/>
      <c r="K134" s="21"/>
      <c r="L134" s="21"/>
    </row>
    <row r="135" spans="1:12" ht="14.45">
      <c r="A135" s="21"/>
      <c r="B135" s="31"/>
      <c r="C135" s="21"/>
      <c r="D135" s="21"/>
      <c r="E135" s="21"/>
      <c r="F135" s="22"/>
      <c r="G135" s="21"/>
      <c r="H135" s="21"/>
      <c r="I135" s="22"/>
      <c r="J135" s="21"/>
      <c r="K135" s="21"/>
      <c r="L135" s="21"/>
    </row>
    <row r="136" spans="1:12" ht="14.45">
      <c r="A136" s="21"/>
      <c r="B136" s="31"/>
      <c r="C136" s="21"/>
      <c r="D136" s="21"/>
      <c r="E136" s="21"/>
      <c r="F136" s="22"/>
      <c r="G136" s="21"/>
      <c r="H136" s="21"/>
      <c r="I136" s="22"/>
      <c r="J136" s="21"/>
      <c r="K136" s="21"/>
      <c r="L136" s="21"/>
    </row>
    <row r="137" spans="1:12" ht="14.45">
      <c r="A137" s="21"/>
      <c r="B137" s="31"/>
      <c r="C137" s="21"/>
      <c r="D137" s="21"/>
      <c r="E137" s="21"/>
      <c r="F137" s="22"/>
      <c r="G137" s="21"/>
      <c r="H137" s="21"/>
      <c r="I137" s="22"/>
      <c r="J137" s="21"/>
      <c r="K137" s="21"/>
      <c r="L137" s="21"/>
    </row>
    <row r="138" spans="1:12" ht="14.45">
      <c r="A138" s="21"/>
      <c r="B138" s="31"/>
      <c r="C138" s="21"/>
      <c r="D138" s="21"/>
      <c r="E138" s="21"/>
      <c r="F138" s="22"/>
      <c r="G138" s="21"/>
      <c r="H138" s="21"/>
      <c r="I138" s="22"/>
      <c r="J138" s="21"/>
      <c r="K138" s="21"/>
      <c r="L138" s="21"/>
    </row>
    <row r="139" spans="1:12" ht="14.45">
      <c r="A139" s="21"/>
      <c r="B139" s="31"/>
      <c r="C139" s="21"/>
      <c r="D139" s="21"/>
      <c r="E139" s="21"/>
      <c r="F139" s="22"/>
      <c r="G139" s="21"/>
      <c r="H139" s="21"/>
      <c r="I139" s="22"/>
      <c r="J139" s="21"/>
      <c r="K139" s="21"/>
      <c r="L139" s="21"/>
    </row>
    <row r="140" spans="1:12" ht="14.45">
      <c r="A140" s="21"/>
      <c r="B140" s="31"/>
      <c r="C140" s="21"/>
      <c r="D140" s="21"/>
      <c r="E140" s="21"/>
      <c r="F140" s="22"/>
      <c r="G140" s="21"/>
      <c r="H140" s="21"/>
      <c r="I140" s="22"/>
      <c r="J140" s="21"/>
      <c r="K140" s="21"/>
      <c r="L140" s="21"/>
    </row>
    <row r="141" spans="1:12" ht="14.45">
      <c r="A141" s="21"/>
      <c r="B141" s="31"/>
      <c r="C141" s="21"/>
      <c r="D141" s="21"/>
      <c r="E141" s="21"/>
      <c r="F141" s="22"/>
      <c r="G141" s="21"/>
      <c r="H141" s="21"/>
      <c r="I141" s="22"/>
      <c r="J141" s="21"/>
      <c r="K141" s="21"/>
      <c r="L141" s="21"/>
    </row>
    <row r="142" spans="1:12" ht="14.45">
      <c r="A142" s="21"/>
      <c r="B142" s="31"/>
      <c r="C142" s="21"/>
      <c r="D142" s="21"/>
      <c r="E142" s="21"/>
      <c r="F142" s="22"/>
      <c r="G142" s="21"/>
      <c r="H142" s="21"/>
      <c r="I142" s="22"/>
      <c r="J142" s="21"/>
      <c r="K142" s="21"/>
      <c r="L142" s="21"/>
    </row>
    <row r="143" spans="1:12" ht="14.45">
      <c r="A143" s="21"/>
      <c r="B143" s="31"/>
      <c r="C143" s="21"/>
      <c r="D143" s="21"/>
      <c r="E143" s="21"/>
      <c r="F143" s="22"/>
      <c r="G143" s="21"/>
      <c r="H143" s="21"/>
      <c r="I143" s="22"/>
      <c r="J143" s="21"/>
      <c r="K143" s="21"/>
      <c r="L143" s="21"/>
    </row>
    <row r="144" spans="1:12" ht="14.45">
      <c r="A144" s="21"/>
      <c r="B144" s="31"/>
      <c r="C144" s="21"/>
      <c r="D144" s="21"/>
      <c r="E144" s="21"/>
      <c r="F144" s="22"/>
      <c r="G144" s="21"/>
      <c r="H144" s="21"/>
      <c r="I144" s="22"/>
      <c r="J144" s="21"/>
      <c r="K144" s="21"/>
      <c r="L144" s="21"/>
    </row>
    <row r="145" spans="1:12" ht="14.45">
      <c r="A145" s="21"/>
      <c r="B145" s="31"/>
      <c r="C145" s="21"/>
      <c r="D145" s="21"/>
      <c r="E145" s="21"/>
      <c r="F145" s="22"/>
      <c r="G145" s="21"/>
      <c r="H145" s="21"/>
      <c r="I145" s="22"/>
      <c r="J145" s="21"/>
      <c r="K145" s="21"/>
      <c r="L145" s="21"/>
    </row>
    <row r="146" spans="1:12" ht="14.45">
      <c r="A146" s="21"/>
      <c r="B146" s="31"/>
      <c r="C146" s="21"/>
      <c r="D146" s="21"/>
      <c r="E146" s="21"/>
      <c r="F146" s="22"/>
      <c r="G146" s="21"/>
      <c r="H146" s="21"/>
      <c r="I146" s="22"/>
      <c r="J146" s="21"/>
      <c r="K146" s="21"/>
      <c r="L146" s="21"/>
    </row>
    <row r="147" spans="1:12" ht="14.45">
      <c r="A147" s="21"/>
      <c r="B147" s="31"/>
      <c r="C147" s="21"/>
      <c r="D147" s="21"/>
      <c r="E147" s="21"/>
      <c r="F147" s="22"/>
      <c r="G147" s="21"/>
      <c r="H147" s="21"/>
      <c r="I147" s="22"/>
      <c r="J147" s="21"/>
      <c r="K147" s="21"/>
      <c r="L147" s="21"/>
    </row>
    <row r="148" spans="1:12" ht="14.45">
      <c r="A148" s="21"/>
      <c r="B148" s="31"/>
      <c r="C148" s="21"/>
      <c r="D148" s="21"/>
      <c r="E148" s="21"/>
      <c r="F148" s="22"/>
      <c r="G148" s="21"/>
      <c r="H148" s="21"/>
      <c r="I148" s="22"/>
      <c r="J148" s="21"/>
      <c r="K148" s="21"/>
      <c r="L148" s="21"/>
    </row>
    <row r="149" spans="1:12" ht="14.45">
      <c r="A149" s="21"/>
      <c r="B149" s="31"/>
      <c r="C149" s="21"/>
      <c r="D149" s="21"/>
      <c r="E149" s="21"/>
      <c r="F149" s="22"/>
      <c r="G149" s="21"/>
      <c r="H149" s="21"/>
      <c r="I149" s="22"/>
      <c r="J149" s="21"/>
      <c r="K149" s="21"/>
      <c r="L149" s="21"/>
    </row>
    <row r="150" spans="1:12" ht="14.45">
      <c r="A150" s="21"/>
      <c r="B150" s="31"/>
      <c r="C150" s="21"/>
      <c r="D150" s="21"/>
      <c r="E150" s="21"/>
      <c r="F150" s="22"/>
      <c r="G150" s="21"/>
      <c r="H150" s="21"/>
      <c r="I150" s="22"/>
      <c r="J150" s="21"/>
      <c r="K150" s="21"/>
      <c r="L150" s="21"/>
    </row>
    <row r="151" spans="1:12" ht="14.45">
      <c r="A151" s="21"/>
      <c r="B151" s="31"/>
      <c r="C151" s="21"/>
      <c r="D151" s="21"/>
      <c r="E151" s="21"/>
      <c r="F151" s="22"/>
      <c r="G151" s="21"/>
      <c r="H151" s="21"/>
      <c r="I151" s="22"/>
      <c r="J151" s="21"/>
      <c r="K151" s="21"/>
      <c r="L151" s="21"/>
    </row>
    <row r="152" spans="1:12" ht="14.45">
      <c r="A152" s="21"/>
      <c r="B152" s="31"/>
      <c r="C152" s="21"/>
      <c r="D152" s="21"/>
      <c r="E152" s="21"/>
      <c r="F152" s="22"/>
      <c r="G152" s="21"/>
      <c r="H152" s="21"/>
      <c r="I152" s="22"/>
      <c r="J152" s="21"/>
      <c r="K152" s="21"/>
      <c r="L152" s="21"/>
    </row>
    <row r="153" spans="1:12" ht="14.45">
      <c r="A153" s="21"/>
      <c r="B153" s="31"/>
      <c r="C153" s="21"/>
      <c r="D153" s="21"/>
      <c r="E153" s="21"/>
      <c r="F153" s="22"/>
      <c r="G153" s="21"/>
      <c r="H153" s="21"/>
      <c r="I153" s="22"/>
      <c r="J153" s="21"/>
      <c r="K153" s="21"/>
      <c r="L153" s="21"/>
    </row>
    <row r="154" spans="1:12" ht="14.45">
      <c r="A154" s="21"/>
      <c r="B154" s="31"/>
      <c r="C154" s="21"/>
      <c r="D154" s="21"/>
      <c r="E154" s="21"/>
      <c r="F154" s="22"/>
      <c r="G154" s="21"/>
      <c r="H154" s="21"/>
      <c r="I154" s="22"/>
      <c r="J154" s="21"/>
      <c r="K154" s="21"/>
      <c r="L154" s="21"/>
    </row>
    <row r="155" spans="1:12" ht="14.45">
      <c r="A155" s="21"/>
      <c r="B155" s="31"/>
      <c r="C155" s="21"/>
      <c r="D155" s="21"/>
      <c r="E155" s="21"/>
      <c r="F155" s="22"/>
      <c r="G155" s="21"/>
      <c r="H155" s="21"/>
      <c r="I155" s="22"/>
      <c r="J155" s="21"/>
      <c r="K155" s="21"/>
      <c r="L155" s="21"/>
    </row>
    <row r="156" spans="1:12" ht="14.45">
      <c r="A156" s="21"/>
      <c r="B156" s="31"/>
      <c r="C156" s="21"/>
      <c r="D156" s="21"/>
      <c r="E156" s="21"/>
      <c r="F156" s="22"/>
      <c r="G156" s="21"/>
      <c r="H156" s="21"/>
      <c r="I156" s="22"/>
      <c r="J156" s="21"/>
      <c r="K156" s="21"/>
      <c r="L156" s="21"/>
    </row>
    <row r="157" spans="1:12" ht="14.45">
      <c r="A157" s="21"/>
      <c r="B157" s="31"/>
      <c r="C157" s="21"/>
      <c r="D157" s="21"/>
      <c r="E157" s="21"/>
      <c r="F157" s="22"/>
      <c r="G157" s="21"/>
      <c r="H157" s="21"/>
      <c r="I157" s="22"/>
      <c r="J157" s="21"/>
      <c r="K157" s="21"/>
      <c r="L157" s="21"/>
    </row>
    <row r="158" spans="1:12" ht="14.45">
      <c r="A158" s="21"/>
      <c r="B158" s="31"/>
      <c r="C158" s="21"/>
      <c r="D158" s="21"/>
      <c r="E158" s="21"/>
      <c r="F158" s="22"/>
      <c r="G158" s="21"/>
      <c r="H158" s="21"/>
      <c r="I158" s="22"/>
      <c r="J158" s="21"/>
      <c r="K158" s="21"/>
      <c r="L158" s="21"/>
    </row>
    <row r="159" spans="1:12" ht="14.45">
      <c r="A159" s="21"/>
      <c r="B159" s="31"/>
      <c r="C159" s="21"/>
      <c r="D159" s="21"/>
      <c r="E159" s="21"/>
      <c r="F159" s="22"/>
      <c r="G159" s="21"/>
      <c r="H159" s="21"/>
      <c r="I159" s="22"/>
      <c r="J159" s="21"/>
      <c r="K159" s="21"/>
      <c r="L159" s="21"/>
    </row>
    <row r="160" spans="1:12" ht="14.45">
      <c r="A160" s="21"/>
      <c r="B160" s="31"/>
      <c r="C160" s="21"/>
      <c r="D160" s="21"/>
      <c r="E160" s="21"/>
      <c r="F160" s="22"/>
      <c r="G160" s="21"/>
      <c r="H160" s="21"/>
      <c r="I160" s="22"/>
      <c r="J160" s="21"/>
      <c r="K160" s="21"/>
      <c r="L160" s="21"/>
    </row>
    <row r="161" spans="1:12" ht="14.45">
      <c r="A161" s="21"/>
      <c r="B161" s="31"/>
      <c r="C161" s="21"/>
      <c r="D161" s="21"/>
      <c r="E161" s="21"/>
      <c r="F161" s="22"/>
      <c r="G161" s="21"/>
      <c r="H161" s="21"/>
      <c r="I161" s="22"/>
      <c r="J161" s="21"/>
      <c r="K161" s="21"/>
      <c r="L161" s="21"/>
    </row>
    <row r="162" spans="1:12" ht="14.45">
      <c r="A162" s="21"/>
      <c r="B162" s="31"/>
      <c r="C162" s="21"/>
      <c r="D162" s="21"/>
      <c r="E162" s="21"/>
      <c r="F162" s="22"/>
      <c r="G162" s="21"/>
      <c r="H162" s="21"/>
      <c r="I162" s="22"/>
      <c r="J162" s="21"/>
      <c r="K162" s="21"/>
      <c r="L162" s="21"/>
    </row>
    <row r="163" spans="1:12" ht="14.45">
      <c r="A163" s="21"/>
      <c r="B163" s="31"/>
      <c r="C163" s="21"/>
      <c r="D163" s="21"/>
      <c r="E163" s="21"/>
      <c r="F163" s="22"/>
      <c r="G163" s="21"/>
      <c r="H163" s="21"/>
      <c r="I163" s="22"/>
      <c r="J163" s="21"/>
      <c r="K163" s="21"/>
      <c r="L163" s="21"/>
    </row>
    <row r="164" spans="1:12" ht="14.45">
      <c r="A164" s="21"/>
      <c r="B164" s="31"/>
      <c r="C164" s="21"/>
      <c r="D164" s="21"/>
      <c r="E164" s="21"/>
      <c r="F164" s="22"/>
      <c r="G164" s="21"/>
      <c r="H164" s="21"/>
      <c r="I164" s="22"/>
      <c r="J164" s="21"/>
      <c r="K164" s="21"/>
      <c r="L164" s="21"/>
    </row>
    <row r="165" spans="1:12" ht="14.45">
      <c r="A165" s="21"/>
      <c r="B165" s="31"/>
      <c r="C165" s="21"/>
      <c r="D165" s="21"/>
      <c r="E165" s="21"/>
      <c r="F165" s="22"/>
      <c r="G165" s="21"/>
      <c r="H165" s="21"/>
      <c r="I165" s="22"/>
      <c r="J165" s="21"/>
      <c r="K165" s="21"/>
      <c r="L165" s="21"/>
    </row>
    <row r="166" spans="1:12" ht="14.45">
      <c r="A166" s="21"/>
      <c r="B166" s="31"/>
      <c r="C166" s="21"/>
      <c r="D166" s="21"/>
      <c r="E166" s="21"/>
      <c r="F166" s="22"/>
      <c r="G166" s="21"/>
      <c r="H166" s="21"/>
      <c r="I166" s="22"/>
      <c r="J166" s="21"/>
      <c r="K166" s="21"/>
      <c r="L166" s="21"/>
    </row>
    <row r="167" spans="1:12" ht="14.45">
      <c r="A167" s="21"/>
      <c r="B167" s="31"/>
      <c r="C167" s="21"/>
      <c r="D167" s="21"/>
      <c r="E167" s="21"/>
      <c r="F167" s="22"/>
      <c r="G167" s="21"/>
      <c r="H167" s="21"/>
      <c r="I167" s="22"/>
      <c r="J167" s="21"/>
      <c r="K167" s="21"/>
      <c r="L167" s="21"/>
    </row>
    <row r="168" spans="1:12" ht="14.45">
      <c r="A168" s="21"/>
      <c r="B168" s="31"/>
      <c r="C168" s="21"/>
      <c r="D168" s="21"/>
      <c r="E168" s="21"/>
      <c r="F168" s="22"/>
      <c r="G168" s="21"/>
      <c r="H168" s="21"/>
      <c r="I168" s="22"/>
      <c r="J168" s="21"/>
      <c r="K168" s="21"/>
      <c r="L168" s="21"/>
    </row>
    <row r="169" spans="1:12" ht="14.45">
      <c r="A169" s="21"/>
      <c r="B169" s="31"/>
      <c r="C169" s="21"/>
      <c r="D169" s="21"/>
      <c r="E169" s="21"/>
      <c r="F169" s="22"/>
      <c r="G169" s="21"/>
      <c r="H169" s="21"/>
      <c r="I169" s="22"/>
      <c r="J169" s="21"/>
      <c r="K169" s="21"/>
      <c r="L169" s="21"/>
    </row>
    <row r="170" spans="1:12" ht="14.45">
      <c r="A170" s="21"/>
      <c r="B170" s="31"/>
      <c r="C170" s="21"/>
      <c r="D170" s="21"/>
      <c r="E170" s="21"/>
      <c r="F170" s="22"/>
      <c r="G170" s="21"/>
      <c r="H170" s="21"/>
      <c r="I170" s="22"/>
      <c r="J170" s="21"/>
      <c r="K170" s="21"/>
      <c r="L170" s="21"/>
    </row>
    <row r="171" spans="1:12" ht="14.45">
      <c r="A171" s="21"/>
      <c r="B171" s="31"/>
      <c r="C171" s="21"/>
      <c r="D171" s="21"/>
      <c r="E171" s="21"/>
      <c r="F171" s="22"/>
      <c r="G171" s="21"/>
      <c r="H171" s="21"/>
      <c r="I171" s="22"/>
      <c r="J171" s="21"/>
      <c r="K171" s="21"/>
      <c r="L171" s="21"/>
    </row>
    <row r="172" spans="1:12" ht="14.45">
      <c r="A172" s="21"/>
      <c r="B172" s="31"/>
      <c r="C172" s="21"/>
      <c r="D172" s="21"/>
      <c r="E172" s="21"/>
      <c r="F172" s="22"/>
      <c r="G172" s="21"/>
      <c r="H172" s="21"/>
      <c r="I172" s="22"/>
      <c r="J172" s="21"/>
      <c r="K172" s="21"/>
      <c r="L172" s="21"/>
    </row>
    <row r="173" spans="1:12" ht="14.45">
      <c r="A173" s="21"/>
      <c r="B173" s="31"/>
      <c r="C173" s="21"/>
      <c r="D173" s="21"/>
      <c r="E173" s="21"/>
      <c r="F173" s="22"/>
      <c r="G173" s="21"/>
      <c r="H173" s="21"/>
      <c r="I173" s="22"/>
      <c r="J173" s="21"/>
      <c r="K173" s="21"/>
      <c r="L173" s="21"/>
    </row>
    <row r="174" spans="1:12" ht="14.45">
      <c r="A174" s="21"/>
      <c r="B174" s="31"/>
      <c r="C174" s="21"/>
      <c r="D174" s="21"/>
      <c r="E174" s="21"/>
      <c r="F174" s="22"/>
      <c r="G174" s="21"/>
      <c r="H174" s="21"/>
      <c r="I174" s="22"/>
      <c r="J174" s="21"/>
      <c r="K174" s="21"/>
      <c r="L174" s="21"/>
    </row>
    <row r="175" spans="1:12" ht="14.45">
      <c r="A175" s="21"/>
      <c r="B175" s="31"/>
      <c r="C175" s="21"/>
      <c r="D175" s="21"/>
      <c r="E175" s="21"/>
      <c r="F175" s="22"/>
      <c r="G175" s="21"/>
      <c r="H175" s="21"/>
      <c r="I175" s="22"/>
      <c r="J175" s="21"/>
      <c r="K175" s="21"/>
      <c r="L175" s="21"/>
    </row>
    <row r="176" spans="1:12" ht="14.45">
      <c r="A176" s="21"/>
      <c r="B176" s="31"/>
      <c r="C176" s="21"/>
      <c r="D176" s="21"/>
      <c r="E176" s="21"/>
      <c r="F176" s="22"/>
      <c r="G176" s="21"/>
      <c r="H176" s="21"/>
      <c r="I176" s="22"/>
      <c r="J176" s="21"/>
      <c r="K176" s="21"/>
      <c r="L176" s="21"/>
    </row>
    <row r="177" spans="1:12" ht="14.45">
      <c r="A177" s="21"/>
      <c r="B177" s="31"/>
      <c r="C177" s="21"/>
      <c r="D177" s="21"/>
      <c r="E177" s="21"/>
      <c r="F177" s="22"/>
      <c r="G177" s="21"/>
      <c r="H177" s="21"/>
      <c r="I177" s="22"/>
      <c r="J177" s="21"/>
      <c r="K177" s="21"/>
      <c r="L177" s="21"/>
    </row>
    <row r="178" spans="1:12" ht="14.45">
      <c r="A178" s="21"/>
      <c r="B178" s="31"/>
      <c r="C178" s="21"/>
      <c r="D178" s="21"/>
      <c r="E178" s="21"/>
      <c r="F178" s="22"/>
      <c r="G178" s="21"/>
      <c r="H178" s="21"/>
      <c r="I178" s="22"/>
      <c r="J178" s="21"/>
      <c r="K178" s="21"/>
      <c r="L178" s="21"/>
    </row>
    <row r="179" spans="1:12" ht="14.45">
      <c r="A179" s="21"/>
      <c r="B179" s="31"/>
      <c r="C179" s="21"/>
      <c r="D179" s="21"/>
      <c r="E179" s="21"/>
      <c r="F179" s="22"/>
      <c r="G179" s="21"/>
      <c r="H179" s="21"/>
      <c r="I179" s="22"/>
      <c r="J179" s="21"/>
      <c r="K179" s="21"/>
      <c r="L179" s="21"/>
    </row>
    <row r="180" spans="1:12" ht="14.45">
      <c r="A180" s="21"/>
      <c r="B180" s="31"/>
      <c r="C180" s="21"/>
      <c r="D180" s="21"/>
      <c r="E180" s="21"/>
      <c r="F180" s="22"/>
      <c r="G180" s="21"/>
      <c r="H180" s="21"/>
      <c r="I180" s="22"/>
      <c r="J180" s="21"/>
      <c r="K180" s="21"/>
      <c r="L180" s="21"/>
    </row>
    <row r="181" spans="1:12" ht="14.45">
      <c r="A181" s="21"/>
      <c r="B181" s="31"/>
      <c r="C181" s="21"/>
      <c r="D181" s="21"/>
      <c r="E181" s="21"/>
      <c r="F181" s="22"/>
      <c r="G181" s="21"/>
      <c r="H181" s="21"/>
      <c r="I181" s="22"/>
      <c r="J181" s="21"/>
      <c r="K181" s="21"/>
      <c r="L181" s="21"/>
    </row>
    <row r="182" spans="1:12" ht="14.45">
      <c r="A182" s="21"/>
      <c r="B182" s="31"/>
      <c r="C182" s="21"/>
      <c r="D182" s="21"/>
      <c r="E182" s="21"/>
      <c r="F182" s="22"/>
      <c r="G182" s="21"/>
      <c r="H182" s="21"/>
      <c r="I182" s="22"/>
      <c r="J182" s="21"/>
      <c r="K182" s="21"/>
      <c r="L182" s="21"/>
    </row>
    <row r="183" spans="1:12" ht="14.45">
      <c r="A183" s="21"/>
      <c r="B183" s="31"/>
      <c r="C183" s="21"/>
      <c r="D183" s="21"/>
      <c r="E183" s="21"/>
      <c r="F183" s="22"/>
      <c r="G183" s="21"/>
      <c r="H183" s="21"/>
      <c r="I183" s="22"/>
      <c r="J183" s="21"/>
      <c r="K183" s="21"/>
      <c r="L183" s="21"/>
    </row>
    <row r="184" spans="1:12" ht="14.45">
      <c r="A184" s="21"/>
      <c r="B184" s="31"/>
      <c r="C184" s="21"/>
      <c r="D184" s="21"/>
      <c r="E184" s="21"/>
      <c r="F184" s="22"/>
      <c r="G184" s="21"/>
      <c r="H184" s="21"/>
      <c r="I184" s="22"/>
      <c r="J184" s="21"/>
      <c r="K184" s="21"/>
      <c r="L184" s="21"/>
    </row>
    <row r="185" spans="1:12" ht="14.45">
      <c r="A185" s="21"/>
      <c r="B185" s="31"/>
      <c r="C185" s="21"/>
      <c r="D185" s="21"/>
      <c r="E185" s="21"/>
      <c r="F185" s="22"/>
      <c r="G185" s="21"/>
      <c r="H185" s="21"/>
      <c r="I185" s="22"/>
      <c r="J185" s="21"/>
      <c r="K185" s="21"/>
      <c r="L185" s="21"/>
    </row>
    <row r="186" spans="1:12" ht="14.45">
      <c r="A186" s="21"/>
      <c r="B186" s="31"/>
      <c r="C186" s="21"/>
      <c r="D186" s="21"/>
      <c r="E186" s="21"/>
      <c r="F186" s="22"/>
      <c r="G186" s="21"/>
      <c r="H186" s="21"/>
      <c r="I186" s="22"/>
      <c r="J186" s="21"/>
      <c r="K186" s="21"/>
      <c r="L186" s="21"/>
    </row>
    <row r="187" spans="1:12" ht="14.45">
      <c r="A187" s="21"/>
      <c r="B187" s="31"/>
      <c r="C187" s="21"/>
      <c r="D187" s="21"/>
      <c r="E187" s="21"/>
      <c r="F187" s="22"/>
      <c r="G187" s="21"/>
      <c r="H187" s="21"/>
      <c r="I187" s="22"/>
      <c r="J187" s="21"/>
      <c r="K187" s="21"/>
      <c r="L187" s="21"/>
    </row>
    <row r="188" spans="1:12" ht="14.45">
      <c r="A188" s="21"/>
      <c r="B188" s="31"/>
      <c r="C188" s="21"/>
      <c r="D188" s="21"/>
      <c r="E188" s="21"/>
      <c r="F188" s="22"/>
      <c r="G188" s="21"/>
      <c r="H188" s="21"/>
      <c r="I188" s="22"/>
      <c r="J188" s="21"/>
      <c r="K188" s="21"/>
      <c r="L188" s="21"/>
    </row>
    <row r="189" spans="1:12" ht="14.45">
      <c r="A189" s="21"/>
      <c r="B189" s="31"/>
      <c r="C189" s="21"/>
      <c r="D189" s="21"/>
      <c r="E189" s="21"/>
      <c r="F189" s="22"/>
      <c r="G189" s="21"/>
      <c r="H189" s="21"/>
      <c r="I189" s="22"/>
      <c r="J189" s="21"/>
      <c r="K189" s="21"/>
      <c r="L189" s="21"/>
    </row>
    <row r="190" spans="1:12" ht="14.45">
      <c r="A190" s="21"/>
      <c r="B190" s="31"/>
      <c r="C190" s="21"/>
      <c r="D190" s="21"/>
      <c r="E190" s="21"/>
      <c r="F190" s="22"/>
      <c r="G190" s="21"/>
      <c r="H190" s="21"/>
      <c r="I190" s="22"/>
      <c r="J190" s="21"/>
      <c r="K190" s="21"/>
      <c r="L190" s="21"/>
    </row>
    <row r="191" spans="1:12" ht="14.45">
      <c r="A191" s="21"/>
      <c r="B191" s="31"/>
      <c r="C191" s="21"/>
      <c r="D191" s="21"/>
      <c r="E191" s="21"/>
      <c r="F191" s="22"/>
      <c r="G191" s="21"/>
      <c r="H191" s="21"/>
      <c r="I191" s="22"/>
      <c r="J191" s="21"/>
      <c r="K191" s="21"/>
      <c r="L191" s="21"/>
    </row>
    <row r="192" spans="1:12" ht="14.45">
      <c r="A192" s="21"/>
      <c r="B192" s="31"/>
      <c r="C192" s="21"/>
      <c r="D192" s="21"/>
      <c r="E192" s="21"/>
      <c r="F192" s="22"/>
      <c r="G192" s="21"/>
      <c r="H192" s="21"/>
      <c r="I192" s="22"/>
      <c r="J192" s="21"/>
      <c r="K192" s="21"/>
      <c r="L192" s="21"/>
    </row>
    <row r="193" spans="1:12" ht="14.45">
      <c r="A193" s="21"/>
      <c r="B193" s="31"/>
      <c r="C193" s="21"/>
      <c r="D193" s="21"/>
      <c r="E193" s="21"/>
      <c r="F193" s="22"/>
      <c r="G193" s="21"/>
      <c r="H193" s="21"/>
      <c r="I193" s="22"/>
      <c r="J193" s="21"/>
      <c r="K193" s="21"/>
      <c r="L193" s="21"/>
    </row>
    <row r="194" spans="1:12" ht="14.45">
      <c r="A194" s="21"/>
      <c r="B194" s="31"/>
      <c r="C194" s="21"/>
      <c r="D194" s="21"/>
      <c r="E194" s="21"/>
      <c r="F194" s="22"/>
      <c r="G194" s="21"/>
      <c r="H194" s="21"/>
      <c r="I194" s="22"/>
      <c r="J194" s="21"/>
      <c r="K194" s="21"/>
      <c r="L194" s="21"/>
    </row>
    <row r="195" spans="1:12" ht="14.45">
      <c r="A195" s="21"/>
      <c r="B195" s="31"/>
      <c r="C195" s="21"/>
      <c r="D195" s="21"/>
      <c r="E195" s="21"/>
      <c r="F195" s="22"/>
      <c r="G195" s="21"/>
      <c r="H195" s="21"/>
      <c r="I195" s="22"/>
      <c r="J195" s="21"/>
      <c r="K195" s="21"/>
      <c r="L195" s="21"/>
    </row>
    <row r="196" spans="1:12" ht="14.45">
      <c r="A196" s="21"/>
      <c r="B196" s="31"/>
      <c r="C196" s="21"/>
      <c r="D196" s="21"/>
      <c r="E196" s="21"/>
      <c r="F196" s="22"/>
      <c r="G196" s="21"/>
      <c r="H196" s="21"/>
      <c r="I196" s="22"/>
      <c r="J196" s="21"/>
      <c r="K196" s="21"/>
      <c r="L196" s="21"/>
    </row>
    <row r="197" spans="1:12" ht="14.45">
      <c r="A197" s="21"/>
      <c r="B197" s="31"/>
      <c r="C197" s="21"/>
      <c r="D197" s="21"/>
      <c r="E197" s="21"/>
      <c r="F197" s="22"/>
      <c r="G197" s="21"/>
      <c r="H197" s="21"/>
      <c r="I197" s="22"/>
      <c r="J197" s="21"/>
      <c r="K197" s="21"/>
      <c r="L197" s="21"/>
    </row>
    <row r="198" spans="1:12" ht="14.45">
      <c r="A198" s="21"/>
      <c r="B198" s="31"/>
      <c r="C198" s="21"/>
      <c r="D198" s="21"/>
      <c r="E198" s="21"/>
      <c r="F198" s="22"/>
      <c r="G198" s="21"/>
      <c r="H198" s="21"/>
      <c r="I198" s="22"/>
      <c r="J198" s="21"/>
      <c r="K198" s="21"/>
      <c r="L198" s="21"/>
    </row>
    <row r="199" spans="1:12" ht="14.45">
      <c r="A199" s="21"/>
      <c r="B199" s="31"/>
      <c r="C199" s="21"/>
      <c r="D199" s="21"/>
      <c r="E199" s="21"/>
      <c r="F199" s="22"/>
      <c r="G199" s="21"/>
      <c r="H199" s="21"/>
      <c r="I199" s="22"/>
      <c r="J199" s="21"/>
      <c r="K199" s="21"/>
      <c r="L199" s="21"/>
    </row>
    <row r="200" spans="1:12" ht="14.45">
      <c r="A200" s="21"/>
      <c r="B200" s="31"/>
      <c r="C200" s="21"/>
      <c r="D200" s="21"/>
      <c r="E200" s="21"/>
      <c r="F200" s="22"/>
      <c r="G200" s="21"/>
      <c r="H200" s="21"/>
      <c r="I200" s="22"/>
      <c r="J200" s="21"/>
      <c r="K200" s="21"/>
      <c r="L200" s="21"/>
    </row>
    <row r="201" spans="1:12" ht="14.45">
      <c r="A201" s="21"/>
      <c r="B201" s="31"/>
      <c r="C201" s="21"/>
      <c r="D201" s="21"/>
      <c r="E201" s="21"/>
      <c r="F201" s="22"/>
      <c r="G201" s="21"/>
      <c r="H201" s="21"/>
      <c r="I201" s="22"/>
      <c r="J201" s="21"/>
      <c r="K201" s="21"/>
      <c r="L201" s="21"/>
    </row>
    <row r="202" spans="1:12" ht="14.45">
      <c r="A202" s="21"/>
      <c r="B202" s="31"/>
      <c r="C202" s="21"/>
      <c r="D202" s="21"/>
      <c r="E202" s="21"/>
      <c r="F202" s="22"/>
      <c r="G202" s="21"/>
      <c r="H202" s="21"/>
      <c r="I202" s="22"/>
      <c r="J202" s="21"/>
      <c r="K202" s="21"/>
      <c r="L202" s="21"/>
    </row>
    <row r="203" spans="1:12" ht="14.45">
      <c r="A203" s="21"/>
      <c r="B203" s="31"/>
      <c r="C203" s="21"/>
      <c r="D203" s="21"/>
      <c r="E203" s="21"/>
      <c r="F203" s="22"/>
      <c r="G203" s="21"/>
      <c r="H203" s="21"/>
      <c r="I203" s="22"/>
      <c r="J203" s="21"/>
      <c r="K203" s="21"/>
      <c r="L203" s="21"/>
    </row>
    <row r="204" spans="1:12" ht="14.45">
      <c r="A204" s="21"/>
      <c r="B204" s="31"/>
      <c r="C204" s="21"/>
      <c r="D204" s="21"/>
      <c r="E204" s="21"/>
      <c r="F204" s="22"/>
      <c r="G204" s="21"/>
      <c r="H204" s="21"/>
      <c r="I204" s="22"/>
      <c r="J204" s="21"/>
      <c r="K204" s="21"/>
      <c r="L204" s="21"/>
    </row>
    <row r="205" spans="1:12" ht="14.45">
      <c r="A205" s="21"/>
      <c r="B205" s="31"/>
      <c r="C205" s="21"/>
      <c r="D205" s="21"/>
      <c r="E205" s="21"/>
      <c r="F205" s="22"/>
      <c r="G205" s="21"/>
      <c r="H205" s="21"/>
      <c r="I205" s="22"/>
      <c r="J205" s="21"/>
      <c r="K205" s="21"/>
      <c r="L205" s="21"/>
    </row>
    <row r="206" spans="1:12" ht="14.45">
      <c r="A206" s="21"/>
      <c r="B206" s="31"/>
      <c r="C206" s="21"/>
      <c r="D206" s="21"/>
      <c r="E206" s="21"/>
      <c r="F206" s="22"/>
      <c r="G206" s="21"/>
      <c r="H206" s="21"/>
      <c r="I206" s="22"/>
      <c r="J206" s="21"/>
      <c r="K206" s="21"/>
      <c r="L206" s="21"/>
    </row>
    <row r="207" spans="1:12" ht="14.45">
      <c r="A207" s="21"/>
      <c r="B207" s="31"/>
      <c r="C207" s="21"/>
      <c r="D207" s="21"/>
      <c r="E207" s="21"/>
      <c r="F207" s="22"/>
      <c r="G207" s="21"/>
      <c r="H207" s="21"/>
      <c r="I207" s="22"/>
      <c r="J207" s="21"/>
      <c r="K207" s="21"/>
      <c r="L207" s="21"/>
    </row>
    <row r="208" spans="1:12" ht="14.45">
      <c r="A208" s="21"/>
      <c r="B208" s="31"/>
      <c r="C208" s="21"/>
      <c r="D208" s="21"/>
      <c r="E208" s="21"/>
      <c r="F208" s="22"/>
      <c r="G208" s="21"/>
      <c r="H208" s="21"/>
      <c r="I208" s="22"/>
      <c r="J208" s="21"/>
      <c r="K208" s="21"/>
      <c r="L208" s="21"/>
    </row>
    <row r="209" spans="1:12" ht="14.45">
      <c r="A209" s="21"/>
      <c r="B209" s="31"/>
      <c r="C209" s="21"/>
      <c r="D209" s="21"/>
      <c r="E209" s="21"/>
      <c r="F209" s="22"/>
      <c r="G209" s="21"/>
      <c r="H209" s="21"/>
      <c r="I209" s="22"/>
      <c r="J209" s="21"/>
      <c r="K209" s="21"/>
      <c r="L209" s="21"/>
    </row>
    <row r="210" spans="1:12" ht="14.45">
      <c r="A210" s="21"/>
      <c r="B210" s="31"/>
      <c r="C210" s="21"/>
      <c r="D210" s="21"/>
      <c r="E210" s="21"/>
      <c r="F210" s="22"/>
      <c r="G210" s="21"/>
      <c r="H210" s="21"/>
      <c r="I210" s="22"/>
      <c r="J210" s="21"/>
      <c r="K210" s="21"/>
      <c r="L210" s="21"/>
    </row>
    <row r="211" spans="1:12" ht="14.45">
      <c r="A211" s="21"/>
      <c r="B211" s="31"/>
      <c r="C211" s="21"/>
      <c r="D211" s="21"/>
      <c r="E211" s="21"/>
      <c r="F211" s="22"/>
      <c r="G211" s="21"/>
      <c r="H211" s="21"/>
      <c r="I211" s="22"/>
      <c r="J211" s="21"/>
      <c r="K211" s="21"/>
      <c r="L211" s="21"/>
    </row>
    <row r="212" spans="1:12" ht="14.45">
      <c r="A212" s="21"/>
      <c r="B212" s="31"/>
      <c r="C212" s="21"/>
      <c r="D212" s="21"/>
      <c r="E212" s="21"/>
      <c r="F212" s="22"/>
      <c r="G212" s="21"/>
      <c r="H212" s="21"/>
      <c r="I212" s="22"/>
      <c r="J212" s="21"/>
      <c r="K212" s="21"/>
      <c r="L212" s="21"/>
    </row>
    <row r="213" spans="1:12" ht="14.45">
      <c r="A213" s="21"/>
      <c r="B213" s="31"/>
      <c r="C213" s="21"/>
      <c r="D213" s="21"/>
      <c r="E213" s="21"/>
      <c r="F213" s="22"/>
      <c r="G213" s="21"/>
      <c r="H213" s="21"/>
      <c r="I213" s="22"/>
      <c r="J213" s="21"/>
      <c r="K213" s="21"/>
      <c r="L213" s="21"/>
    </row>
    <row r="214" spans="1:12" ht="14.45">
      <c r="A214" s="21"/>
      <c r="B214" s="31"/>
      <c r="C214" s="21"/>
      <c r="D214" s="21"/>
      <c r="E214" s="21"/>
      <c r="F214" s="22"/>
      <c r="G214" s="21"/>
      <c r="H214" s="21"/>
      <c r="I214" s="22"/>
      <c r="J214" s="21"/>
      <c r="K214" s="21"/>
      <c r="L214" s="21"/>
    </row>
    <row r="215" spans="1:12" ht="14.45">
      <c r="A215" s="21"/>
      <c r="B215" s="31"/>
      <c r="C215" s="21"/>
      <c r="D215" s="21"/>
      <c r="E215" s="21"/>
      <c r="F215" s="22"/>
      <c r="G215" s="21"/>
      <c r="H215" s="21"/>
      <c r="I215" s="22"/>
      <c r="J215" s="21"/>
      <c r="K215" s="21"/>
      <c r="L215" s="21"/>
    </row>
    <row r="216" spans="1:12" ht="14.45">
      <c r="A216" s="21"/>
      <c r="B216" s="31"/>
      <c r="C216" s="21"/>
      <c r="D216" s="21"/>
      <c r="E216" s="21"/>
      <c r="F216" s="22"/>
      <c r="G216" s="21"/>
      <c r="H216" s="21"/>
      <c r="I216" s="22"/>
      <c r="J216" s="21"/>
      <c r="K216" s="21"/>
      <c r="L216" s="21"/>
    </row>
    <row r="217" spans="1:12" ht="14.45">
      <c r="A217" s="21"/>
      <c r="B217" s="31"/>
      <c r="C217" s="21"/>
      <c r="D217" s="21"/>
      <c r="E217" s="21"/>
      <c r="F217" s="22"/>
      <c r="G217" s="21"/>
      <c r="H217" s="21"/>
      <c r="I217" s="22"/>
      <c r="J217" s="21"/>
      <c r="K217" s="21"/>
      <c r="L217" s="21"/>
    </row>
    <row r="218" spans="1:12" ht="14.45">
      <c r="A218" s="21"/>
      <c r="B218" s="31"/>
      <c r="C218" s="21"/>
      <c r="D218" s="21"/>
      <c r="E218" s="21"/>
      <c r="F218" s="22"/>
      <c r="G218" s="21"/>
      <c r="H218" s="21"/>
      <c r="I218" s="22"/>
      <c r="J218" s="21"/>
      <c r="K218" s="21"/>
      <c r="L218" s="21"/>
    </row>
    <row r="219" spans="1:12" ht="14.45">
      <c r="A219" s="21"/>
      <c r="B219" s="31"/>
      <c r="C219" s="21"/>
      <c r="D219" s="21"/>
      <c r="E219" s="21"/>
      <c r="F219" s="22"/>
      <c r="G219" s="21"/>
      <c r="H219" s="21"/>
      <c r="I219" s="22"/>
      <c r="J219" s="21"/>
      <c r="K219" s="21"/>
      <c r="L219" s="21"/>
    </row>
    <row r="220" spans="1:12" ht="14.45">
      <c r="A220" s="21"/>
      <c r="B220" s="31"/>
      <c r="C220" s="21"/>
      <c r="D220" s="21"/>
      <c r="E220" s="21"/>
      <c r="F220" s="22"/>
      <c r="G220" s="21"/>
      <c r="H220" s="21"/>
      <c r="I220" s="22"/>
      <c r="J220" s="21"/>
      <c r="K220" s="21"/>
      <c r="L220" s="21"/>
    </row>
    <row r="221" spans="1:12" ht="14.45">
      <c r="A221" s="21"/>
      <c r="B221" s="31"/>
      <c r="C221" s="21"/>
      <c r="D221" s="21"/>
      <c r="E221" s="21"/>
      <c r="F221" s="22"/>
      <c r="G221" s="21"/>
      <c r="H221" s="21"/>
      <c r="I221" s="22"/>
      <c r="J221" s="21"/>
      <c r="K221" s="21"/>
      <c r="L221" s="21"/>
    </row>
    <row r="222" spans="1:12" ht="14.45">
      <c r="A222" s="21"/>
      <c r="B222" s="31"/>
      <c r="C222" s="21"/>
      <c r="D222" s="21"/>
      <c r="E222" s="21"/>
      <c r="F222" s="22"/>
      <c r="G222" s="21"/>
      <c r="H222" s="21"/>
      <c r="I222" s="22"/>
      <c r="J222" s="21"/>
      <c r="K222" s="21"/>
      <c r="L222" s="21"/>
    </row>
    <row r="223" spans="1:12" ht="14.45">
      <c r="A223" s="21"/>
      <c r="B223" s="31"/>
      <c r="C223" s="21"/>
      <c r="D223" s="21"/>
      <c r="E223" s="21"/>
      <c r="F223" s="22"/>
      <c r="G223" s="21"/>
      <c r="H223" s="21"/>
      <c r="I223" s="22"/>
      <c r="J223" s="21"/>
      <c r="K223" s="21"/>
      <c r="L223" s="21"/>
    </row>
    <row r="224" spans="1:12" ht="14.45">
      <c r="A224" s="21"/>
      <c r="B224" s="31"/>
      <c r="C224" s="21"/>
      <c r="D224" s="21"/>
      <c r="E224" s="21"/>
      <c r="F224" s="22"/>
      <c r="G224" s="21"/>
      <c r="H224" s="21"/>
      <c r="I224" s="22"/>
      <c r="J224" s="21"/>
      <c r="K224" s="21"/>
      <c r="L224" s="21"/>
    </row>
    <row r="225" spans="1:12" ht="14.45">
      <c r="A225" s="21"/>
      <c r="B225" s="31"/>
      <c r="C225" s="21"/>
      <c r="D225" s="21"/>
      <c r="E225" s="21"/>
      <c r="F225" s="22"/>
      <c r="G225" s="21"/>
      <c r="H225" s="21"/>
      <c r="I225" s="22"/>
      <c r="J225" s="21"/>
      <c r="K225" s="21"/>
      <c r="L225" s="21"/>
    </row>
    <row r="226" spans="1:12" ht="14.45">
      <c r="A226" s="21"/>
      <c r="B226" s="31"/>
      <c r="C226" s="21"/>
      <c r="D226" s="21"/>
      <c r="E226" s="21"/>
      <c r="F226" s="22"/>
      <c r="G226" s="21"/>
      <c r="H226" s="21"/>
      <c r="I226" s="22"/>
      <c r="J226" s="21"/>
      <c r="K226" s="21"/>
      <c r="L226" s="21"/>
    </row>
    <row r="227" spans="1:12" ht="14.45">
      <c r="A227" s="21"/>
      <c r="B227" s="31"/>
      <c r="C227" s="21"/>
      <c r="D227" s="21"/>
      <c r="E227" s="21"/>
      <c r="F227" s="22"/>
      <c r="G227" s="21"/>
      <c r="H227" s="21"/>
      <c r="I227" s="22"/>
      <c r="J227" s="21"/>
      <c r="K227" s="21"/>
      <c r="L227" s="21"/>
    </row>
    <row r="228" spans="1:12" ht="14.45">
      <c r="A228" s="21"/>
      <c r="B228" s="31"/>
      <c r="C228" s="21"/>
      <c r="D228" s="21"/>
      <c r="E228" s="21"/>
      <c r="F228" s="22"/>
      <c r="G228" s="21"/>
      <c r="H228" s="21"/>
      <c r="I228" s="22"/>
      <c r="J228" s="21"/>
      <c r="K228" s="21"/>
      <c r="L228" s="21"/>
    </row>
    <row r="229" spans="1:12" ht="14.45">
      <c r="A229" s="21"/>
      <c r="B229" s="31"/>
      <c r="C229" s="21"/>
      <c r="D229" s="21"/>
      <c r="E229" s="21"/>
      <c r="F229" s="22"/>
      <c r="G229" s="21"/>
      <c r="H229" s="21"/>
      <c r="I229" s="22"/>
      <c r="J229" s="21"/>
      <c r="K229" s="21"/>
      <c r="L229" s="21"/>
    </row>
    <row r="230" spans="1:12" ht="14.45">
      <c r="A230" s="21"/>
      <c r="B230" s="31"/>
      <c r="C230" s="21"/>
      <c r="D230" s="21"/>
      <c r="E230" s="21"/>
      <c r="F230" s="22"/>
      <c r="G230" s="21"/>
      <c r="H230" s="21"/>
      <c r="I230" s="22"/>
      <c r="J230" s="21"/>
      <c r="K230" s="21"/>
      <c r="L230" s="21"/>
    </row>
    <row r="231" spans="1:12" ht="14.45">
      <c r="A231" s="21"/>
      <c r="B231" s="31"/>
      <c r="C231" s="21"/>
      <c r="D231" s="21"/>
      <c r="E231" s="21"/>
      <c r="F231" s="22"/>
      <c r="G231" s="21"/>
      <c r="H231" s="21"/>
      <c r="I231" s="22"/>
      <c r="J231" s="21"/>
      <c r="K231" s="21"/>
      <c r="L231" s="21"/>
    </row>
    <row r="232" spans="1:12" ht="14.45">
      <c r="A232" s="21"/>
      <c r="B232" s="31"/>
      <c r="C232" s="21"/>
      <c r="D232" s="21"/>
      <c r="E232" s="21"/>
      <c r="F232" s="22"/>
      <c r="G232" s="21"/>
      <c r="H232" s="21"/>
      <c r="I232" s="22"/>
      <c r="J232" s="21"/>
      <c r="K232" s="21"/>
      <c r="L232" s="21"/>
    </row>
    <row r="233" spans="1:12" ht="14.45">
      <c r="A233" s="21"/>
      <c r="B233" s="31"/>
      <c r="C233" s="21"/>
      <c r="D233" s="21"/>
      <c r="E233" s="21"/>
      <c r="F233" s="22"/>
      <c r="G233" s="21"/>
      <c r="H233" s="21"/>
      <c r="I233" s="22"/>
      <c r="J233" s="21"/>
      <c r="K233" s="21"/>
      <c r="L233" s="21"/>
    </row>
    <row r="234" spans="1:12" ht="14.45">
      <c r="A234" s="21"/>
      <c r="B234" s="31"/>
      <c r="C234" s="21"/>
      <c r="D234" s="21"/>
      <c r="E234" s="21"/>
      <c r="F234" s="22"/>
      <c r="G234" s="21"/>
      <c r="H234" s="21"/>
      <c r="I234" s="22"/>
      <c r="J234" s="21"/>
      <c r="K234" s="21"/>
      <c r="L234" s="21"/>
    </row>
    <row r="235" spans="1:12" ht="14.45">
      <c r="A235" s="21"/>
      <c r="B235" s="31"/>
      <c r="C235" s="21"/>
      <c r="D235" s="21"/>
      <c r="E235" s="21"/>
      <c r="F235" s="22"/>
      <c r="G235" s="21"/>
      <c r="H235" s="21"/>
      <c r="I235" s="22"/>
      <c r="J235" s="21"/>
      <c r="K235" s="21"/>
      <c r="L235" s="21"/>
    </row>
    <row r="236" spans="1:12" ht="14.45">
      <c r="A236" s="21"/>
      <c r="B236" s="31"/>
      <c r="C236" s="21"/>
      <c r="D236" s="21"/>
      <c r="E236" s="21"/>
      <c r="F236" s="22"/>
      <c r="G236" s="21"/>
      <c r="H236" s="21"/>
      <c r="I236" s="22"/>
      <c r="J236" s="21"/>
      <c r="K236" s="21"/>
      <c r="L236" s="21"/>
    </row>
    <row r="237" spans="1:12" ht="14.45">
      <c r="A237" s="21"/>
      <c r="B237" s="31"/>
      <c r="C237" s="21"/>
      <c r="D237" s="21"/>
      <c r="E237" s="21"/>
      <c r="F237" s="22"/>
      <c r="G237" s="21"/>
      <c r="H237" s="21"/>
      <c r="I237" s="22"/>
      <c r="J237" s="21"/>
      <c r="K237" s="21"/>
      <c r="L237" s="21"/>
    </row>
    <row r="238" spans="1:12" ht="14.45">
      <c r="A238" s="21"/>
      <c r="B238" s="31"/>
      <c r="C238" s="21"/>
      <c r="D238" s="21"/>
      <c r="E238" s="21"/>
      <c r="F238" s="22"/>
      <c r="G238" s="21"/>
      <c r="H238" s="21"/>
      <c r="I238" s="22"/>
      <c r="J238" s="21"/>
      <c r="K238" s="21"/>
      <c r="L238" s="21"/>
    </row>
    <row r="239" spans="1:12" ht="14.45">
      <c r="A239" s="21"/>
      <c r="B239" s="31"/>
      <c r="C239" s="21"/>
      <c r="D239" s="21"/>
      <c r="E239" s="21"/>
      <c r="F239" s="22"/>
      <c r="G239" s="21"/>
      <c r="H239" s="21"/>
      <c r="I239" s="22"/>
      <c r="J239" s="21"/>
      <c r="K239" s="21"/>
      <c r="L239" s="21"/>
    </row>
    <row r="240" spans="1:12" ht="14.45">
      <c r="A240" s="21"/>
      <c r="B240" s="31"/>
      <c r="C240" s="21"/>
      <c r="D240" s="21"/>
      <c r="E240" s="21"/>
      <c r="F240" s="22"/>
      <c r="G240" s="21"/>
      <c r="H240" s="21"/>
      <c r="I240" s="22"/>
      <c r="J240" s="21"/>
      <c r="K240" s="21"/>
      <c r="L240" s="21"/>
    </row>
    <row r="241" spans="1:12" ht="14.45">
      <c r="A241" s="21"/>
      <c r="B241" s="31"/>
      <c r="C241" s="21"/>
      <c r="D241" s="21"/>
      <c r="E241" s="21"/>
      <c r="F241" s="22"/>
      <c r="G241" s="21"/>
      <c r="H241" s="21"/>
      <c r="I241" s="22"/>
      <c r="J241" s="21"/>
      <c r="K241" s="21"/>
      <c r="L241" s="21"/>
    </row>
    <row r="242" spans="1:12" ht="14.45">
      <c r="A242" s="21"/>
      <c r="B242" s="31"/>
      <c r="C242" s="21"/>
      <c r="D242" s="21"/>
      <c r="E242" s="21"/>
      <c r="F242" s="22"/>
      <c r="G242" s="21"/>
      <c r="H242" s="21"/>
      <c r="I242" s="22"/>
      <c r="J242" s="21"/>
      <c r="K242" s="21"/>
      <c r="L242" s="21"/>
    </row>
    <row r="243" spans="1:12" ht="14.45">
      <c r="A243" s="21"/>
      <c r="B243" s="31"/>
      <c r="C243" s="21"/>
      <c r="D243" s="21"/>
      <c r="E243" s="21"/>
      <c r="F243" s="22"/>
      <c r="G243" s="21"/>
      <c r="H243" s="21"/>
      <c r="I243" s="22"/>
      <c r="J243" s="21"/>
      <c r="K243" s="21"/>
      <c r="L243" s="21"/>
    </row>
    <row r="244" spans="1:12" ht="14.45">
      <c r="A244" s="21"/>
      <c r="B244" s="31"/>
      <c r="C244" s="21"/>
      <c r="D244" s="21"/>
      <c r="E244" s="21"/>
      <c r="F244" s="22"/>
      <c r="G244" s="21"/>
      <c r="H244" s="21"/>
      <c r="I244" s="22"/>
      <c r="J244" s="21"/>
      <c r="K244" s="21"/>
      <c r="L244" s="21"/>
    </row>
    <row r="245" spans="1:12" ht="14.45">
      <c r="A245" s="21"/>
      <c r="B245" s="31"/>
      <c r="C245" s="21"/>
      <c r="D245" s="21"/>
      <c r="E245" s="21"/>
      <c r="F245" s="22"/>
      <c r="G245" s="21"/>
      <c r="H245" s="21"/>
      <c r="I245" s="22"/>
      <c r="J245" s="21"/>
      <c r="K245" s="21"/>
      <c r="L245" s="21"/>
    </row>
    <row r="246" spans="1:12" ht="14.45">
      <c r="A246" s="21"/>
      <c r="B246" s="31"/>
      <c r="C246" s="21"/>
      <c r="D246" s="21"/>
      <c r="E246" s="21"/>
      <c r="F246" s="22"/>
      <c r="G246" s="21"/>
      <c r="H246" s="21"/>
      <c r="I246" s="22"/>
      <c r="J246" s="21"/>
      <c r="K246" s="21"/>
      <c r="L246" s="21"/>
    </row>
    <row r="247" spans="1:12" ht="14.45">
      <c r="A247" s="21"/>
      <c r="B247" s="31"/>
      <c r="C247" s="21"/>
      <c r="D247" s="21"/>
      <c r="E247" s="21"/>
      <c r="F247" s="22"/>
      <c r="G247" s="21"/>
      <c r="H247" s="21"/>
      <c r="I247" s="22"/>
      <c r="J247" s="21"/>
      <c r="K247" s="21"/>
      <c r="L247" s="21"/>
    </row>
    <row r="248" spans="1:12" ht="14.45">
      <c r="A248" s="21"/>
      <c r="B248" s="31"/>
      <c r="C248" s="21"/>
      <c r="D248" s="21"/>
      <c r="E248" s="21"/>
      <c r="F248" s="22"/>
      <c r="G248" s="21"/>
      <c r="H248" s="21"/>
      <c r="I248" s="22"/>
      <c r="J248" s="21"/>
      <c r="K248" s="21"/>
      <c r="L248" s="21"/>
    </row>
    <row r="249" spans="1:12" ht="14.45">
      <c r="A249" s="21"/>
      <c r="B249" s="31"/>
      <c r="C249" s="21"/>
      <c r="D249" s="21"/>
      <c r="E249" s="21"/>
      <c r="F249" s="22"/>
      <c r="G249" s="21"/>
      <c r="H249" s="21"/>
      <c r="I249" s="22"/>
      <c r="J249" s="21"/>
      <c r="K249" s="21"/>
      <c r="L249" s="21"/>
    </row>
    <row r="250" spans="1:12" ht="14.45">
      <c r="A250" s="21"/>
      <c r="B250" s="31"/>
      <c r="C250" s="21"/>
      <c r="D250" s="21"/>
      <c r="E250" s="21"/>
      <c r="F250" s="22"/>
      <c r="G250" s="21"/>
      <c r="H250" s="21"/>
      <c r="I250" s="22"/>
      <c r="J250" s="21"/>
      <c r="K250" s="21"/>
      <c r="L250" s="21"/>
    </row>
    <row r="251" spans="1:12" ht="14.45">
      <c r="A251" s="21"/>
      <c r="B251" s="31"/>
      <c r="C251" s="21"/>
      <c r="D251" s="21"/>
      <c r="E251" s="21"/>
      <c r="F251" s="22"/>
      <c r="G251" s="21"/>
      <c r="H251" s="21"/>
      <c r="I251" s="22"/>
      <c r="J251" s="21"/>
      <c r="K251" s="21"/>
      <c r="L251" s="21"/>
    </row>
    <row r="252" spans="1:12" ht="14.45">
      <c r="A252" s="21"/>
      <c r="B252" s="31"/>
      <c r="C252" s="21"/>
      <c r="D252" s="21"/>
      <c r="E252" s="21"/>
      <c r="F252" s="22"/>
      <c r="G252" s="21"/>
      <c r="H252" s="21"/>
      <c r="I252" s="22"/>
      <c r="J252" s="21"/>
      <c r="K252" s="21"/>
      <c r="L252" s="21"/>
    </row>
    <row r="253" spans="1:12" ht="14.45">
      <c r="A253" s="21"/>
      <c r="B253" s="31"/>
      <c r="C253" s="21"/>
      <c r="D253" s="21"/>
      <c r="E253" s="21"/>
      <c r="F253" s="22"/>
      <c r="G253" s="21"/>
      <c r="H253" s="21"/>
      <c r="I253" s="22"/>
      <c r="J253" s="21"/>
      <c r="K253" s="21"/>
      <c r="L253" s="21"/>
    </row>
    <row r="254" spans="1:12" ht="14.45">
      <c r="A254" s="21"/>
      <c r="B254" s="31"/>
      <c r="C254" s="21"/>
      <c r="D254" s="21"/>
      <c r="E254" s="21"/>
      <c r="F254" s="22"/>
      <c r="G254" s="21"/>
      <c r="H254" s="21"/>
      <c r="I254" s="22"/>
      <c r="J254" s="21"/>
      <c r="K254" s="21"/>
      <c r="L254" s="21"/>
    </row>
    <row r="255" spans="1:12" ht="14.45">
      <c r="A255" s="21"/>
      <c r="B255" s="31"/>
      <c r="C255" s="21"/>
      <c r="D255" s="21"/>
      <c r="E255" s="21"/>
      <c r="F255" s="22"/>
      <c r="G255" s="21"/>
      <c r="H255" s="21"/>
      <c r="I255" s="22"/>
      <c r="J255" s="21"/>
      <c r="K255" s="21"/>
      <c r="L255" s="21"/>
    </row>
    <row r="256" spans="1:12" ht="14.45">
      <c r="A256" s="21"/>
      <c r="B256" s="31"/>
      <c r="C256" s="21"/>
      <c r="D256" s="21"/>
      <c r="E256" s="21"/>
      <c r="F256" s="22"/>
      <c r="G256" s="21"/>
      <c r="H256" s="21"/>
      <c r="I256" s="22"/>
      <c r="J256" s="21"/>
      <c r="K256" s="21"/>
      <c r="L256" s="21"/>
    </row>
    <row r="257" spans="1:12" ht="14.45">
      <c r="A257" s="21"/>
      <c r="B257" s="31"/>
      <c r="C257" s="21"/>
      <c r="D257" s="21"/>
      <c r="E257" s="21"/>
      <c r="F257" s="22"/>
      <c r="G257" s="21"/>
      <c r="H257" s="21"/>
      <c r="I257" s="22"/>
      <c r="J257" s="21"/>
      <c r="K257" s="21"/>
      <c r="L257" s="21"/>
    </row>
    <row r="258" spans="1:12" ht="14.45">
      <c r="A258" s="21"/>
      <c r="B258" s="31"/>
      <c r="C258" s="21"/>
      <c r="D258" s="21"/>
      <c r="E258" s="21"/>
      <c r="F258" s="22"/>
      <c r="G258" s="21"/>
      <c r="H258" s="21"/>
      <c r="I258" s="22"/>
      <c r="J258" s="21"/>
      <c r="K258" s="21"/>
      <c r="L258" s="21"/>
    </row>
    <row r="259" spans="1:12" ht="14.45">
      <c r="A259" s="21"/>
      <c r="B259" s="31"/>
      <c r="C259" s="21"/>
      <c r="D259" s="21"/>
      <c r="E259" s="21"/>
      <c r="F259" s="22"/>
      <c r="G259" s="21"/>
      <c r="H259" s="21"/>
      <c r="I259" s="22"/>
      <c r="J259" s="21"/>
      <c r="K259" s="21"/>
      <c r="L259" s="21"/>
    </row>
    <row r="260" spans="1:12" ht="14.45">
      <c r="A260" s="21"/>
      <c r="B260" s="31"/>
      <c r="C260" s="21"/>
      <c r="D260" s="21"/>
      <c r="E260" s="21"/>
      <c r="F260" s="22"/>
      <c r="G260" s="21"/>
      <c r="H260" s="21"/>
      <c r="I260" s="22"/>
      <c r="J260" s="21"/>
      <c r="K260" s="21"/>
      <c r="L260" s="21"/>
    </row>
    <row r="261" spans="1:12" ht="14.45">
      <c r="A261" s="21"/>
      <c r="B261" s="31"/>
      <c r="C261" s="21"/>
      <c r="D261" s="21"/>
      <c r="E261" s="21"/>
      <c r="F261" s="22"/>
      <c r="G261" s="21"/>
      <c r="H261" s="21"/>
      <c r="I261" s="22"/>
      <c r="J261" s="21"/>
      <c r="K261" s="21"/>
      <c r="L261" s="21"/>
    </row>
    <row r="262" spans="1:12" ht="14.45">
      <c r="A262" s="21"/>
      <c r="B262" s="31"/>
      <c r="C262" s="21"/>
      <c r="D262" s="21"/>
      <c r="E262" s="21"/>
      <c r="F262" s="22"/>
      <c r="G262" s="21"/>
      <c r="H262" s="21"/>
      <c r="I262" s="22"/>
      <c r="J262" s="21"/>
      <c r="K262" s="21"/>
      <c r="L262" s="21"/>
    </row>
    <row r="263" spans="1:12" ht="14.45">
      <c r="A263" s="21"/>
      <c r="B263" s="31"/>
      <c r="C263" s="21"/>
      <c r="D263" s="21"/>
      <c r="E263" s="21"/>
      <c r="F263" s="22"/>
      <c r="G263" s="21"/>
      <c r="H263" s="21"/>
      <c r="I263" s="22"/>
      <c r="J263" s="21"/>
      <c r="K263" s="21"/>
      <c r="L263" s="21"/>
    </row>
    <row r="264" spans="1:12" ht="14.45">
      <c r="A264" s="21"/>
      <c r="B264" s="31"/>
      <c r="C264" s="21"/>
      <c r="D264" s="21"/>
      <c r="E264" s="21"/>
      <c r="F264" s="22"/>
      <c r="G264" s="21"/>
      <c r="H264" s="21"/>
      <c r="I264" s="22"/>
      <c r="J264" s="21"/>
      <c r="K264" s="21"/>
      <c r="L264" s="21"/>
    </row>
    <row r="265" spans="1:12" ht="14.45">
      <c r="A265" s="21"/>
      <c r="B265" s="31"/>
      <c r="C265" s="21"/>
      <c r="D265" s="21"/>
      <c r="E265" s="21"/>
      <c r="F265" s="22"/>
      <c r="G265" s="21"/>
      <c r="H265" s="21"/>
      <c r="I265" s="22"/>
      <c r="J265" s="21"/>
      <c r="K265" s="21"/>
      <c r="L265" s="21"/>
    </row>
    <row r="266" spans="1:12" ht="14.45">
      <c r="A266" s="21"/>
      <c r="B266" s="31"/>
      <c r="C266" s="21"/>
      <c r="D266" s="21"/>
      <c r="E266" s="21"/>
      <c r="F266" s="22"/>
      <c r="G266" s="21"/>
      <c r="H266" s="21"/>
      <c r="I266" s="22"/>
      <c r="J266" s="21"/>
      <c r="K266" s="21"/>
      <c r="L266" s="21"/>
    </row>
    <row r="267" spans="1:12" ht="14.45">
      <c r="A267" s="21"/>
      <c r="B267" s="31"/>
      <c r="C267" s="21"/>
      <c r="D267" s="21"/>
      <c r="E267" s="21"/>
      <c r="F267" s="22"/>
      <c r="G267" s="21"/>
      <c r="H267" s="21"/>
      <c r="I267" s="22"/>
      <c r="J267" s="21"/>
      <c r="K267" s="21"/>
      <c r="L267" s="21"/>
    </row>
    <row r="268" spans="1:12" ht="14.45">
      <c r="A268" s="21"/>
      <c r="B268" s="31"/>
      <c r="C268" s="21"/>
      <c r="D268" s="21"/>
      <c r="E268" s="21"/>
      <c r="F268" s="22"/>
      <c r="G268" s="21"/>
      <c r="H268" s="21"/>
      <c r="I268" s="22"/>
      <c r="J268" s="21"/>
      <c r="K268" s="21"/>
      <c r="L268" s="21"/>
    </row>
    <row r="269" spans="1:12" ht="14.45">
      <c r="A269" s="21"/>
      <c r="B269" s="31"/>
      <c r="C269" s="21"/>
      <c r="D269" s="21"/>
      <c r="E269" s="21"/>
      <c r="F269" s="22"/>
      <c r="G269" s="21"/>
      <c r="H269" s="21"/>
      <c r="I269" s="22"/>
      <c r="J269" s="21"/>
      <c r="K269" s="21"/>
      <c r="L269" s="21"/>
    </row>
    <row r="270" spans="1:12" ht="14.45">
      <c r="A270" s="21"/>
      <c r="B270" s="31"/>
      <c r="C270" s="21"/>
      <c r="D270" s="21"/>
      <c r="E270" s="21"/>
      <c r="F270" s="22"/>
      <c r="G270" s="21"/>
      <c r="H270" s="21"/>
      <c r="I270" s="22"/>
      <c r="J270" s="21"/>
      <c r="K270" s="21"/>
      <c r="L270" s="21"/>
    </row>
    <row r="271" spans="1:12" ht="14.45">
      <c r="A271" s="21"/>
      <c r="B271" s="31"/>
      <c r="C271" s="21"/>
      <c r="D271" s="21"/>
      <c r="E271" s="21"/>
      <c r="F271" s="22"/>
      <c r="G271" s="21"/>
      <c r="H271" s="21"/>
      <c r="I271" s="22"/>
      <c r="J271" s="21"/>
      <c r="K271" s="21"/>
      <c r="L271" s="21"/>
    </row>
    <row r="272" spans="1:12" ht="14.45">
      <c r="A272" s="21"/>
      <c r="B272" s="31"/>
      <c r="C272" s="21"/>
      <c r="D272" s="21"/>
      <c r="E272" s="21"/>
      <c r="F272" s="22"/>
      <c r="G272" s="21"/>
      <c r="H272" s="21"/>
      <c r="I272" s="22"/>
      <c r="J272" s="21"/>
      <c r="K272" s="21"/>
      <c r="L272" s="21"/>
    </row>
    <row r="273" spans="1:12" ht="14.45">
      <c r="A273" s="21"/>
      <c r="B273" s="31"/>
      <c r="C273" s="21"/>
      <c r="D273" s="21"/>
      <c r="E273" s="21"/>
      <c r="F273" s="22"/>
      <c r="G273" s="21"/>
      <c r="H273" s="21"/>
      <c r="I273" s="22"/>
      <c r="J273" s="21"/>
      <c r="K273" s="21"/>
      <c r="L273" s="21"/>
    </row>
    <row r="274" spans="1:12" ht="14.45">
      <c r="A274" s="21"/>
      <c r="B274" s="31"/>
      <c r="C274" s="21"/>
      <c r="D274" s="21"/>
      <c r="E274" s="21"/>
      <c r="F274" s="22"/>
      <c r="G274" s="21"/>
      <c r="H274" s="21"/>
      <c r="I274" s="22"/>
      <c r="J274" s="21"/>
      <c r="K274" s="21"/>
      <c r="L274" s="21"/>
    </row>
    <row r="275" spans="1:12" ht="14.45">
      <c r="A275" s="21"/>
      <c r="B275" s="31"/>
      <c r="C275" s="21"/>
      <c r="D275" s="21"/>
      <c r="E275" s="21"/>
      <c r="F275" s="22"/>
      <c r="G275" s="21"/>
      <c r="H275" s="21"/>
      <c r="I275" s="22"/>
      <c r="J275" s="21"/>
      <c r="K275" s="21"/>
      <c r="L275" s="21"/>
    </row>
    <row r="276" spans="1:12" ht="14.45">
      <c r="A276" s="21"/>
      <c r="B276" s="31"/>
      <c r="C276" s="21"/>
      <c r="D276" s="21"/>
      <c r="E276" s="21"/>
      <c r="F276" s="22"/>
      <c r="G276" s="21"/>
      <c r="H276" s="21"/>
      <c r="I276" s="22"/>
      <c r="J276" s="21"/>
      <c r="K276" s="21"/>
      <c r="L276" s="21"/>
    </row>
    <row r="277" spans="1:12" ht="14.45">
      <c r="A277" s="21"/>
      <c r="B277" s="31"/>
      <c r="C277" s="21"/>
      <c r="D277" s="21"/>
      <c r="E277" s="21"/>
      <c r="F277" s="22"/>
      <c r="G277" s="21"/>
      <c r="H277" s="21"/>
      <c r="I277" s="22"/>
      <c r="J277" s="21"/>
      <c r="K277" s="21"/>
      <c r="L277" s="21"/>
    </row>
    <row r="278" spans="1:12" ht="14.45">
      <c r="A278" s="21"/>
      <c r="B278" s="31"/>
      <c r="C278" s="21"/>
      <c r="D278" s="21"/>
      <c r="E278" s="21"/>
      <c r="F278" s="22"/>
      <c r="G278" s="21"/>
      <c r="H278" s="21"/>
      <c r="I278" s="22"/>
      <c r="J278" s="21"/>
      <c r="K278" s="21"/>
      <c r="L278" s="21"/>
    </row>
    <row r="279" spans="1:12" ht="14.45">
      <c r="A279" s="21"/>
      <c r="B279" s="31"/>
      <c r="C279" s="21"/>
      <c r="D279" s="21"/>
      <c r="E279" s="21"/>
      <c r="F279" s="22"/>
      <c r="G279" s="21"/>
      <c r="H279" s="21"/>
      <c r="I279" s="22"/>
      <c r="J279" s="21"/>
      <c r="K279" s="21"/>
      <c r="L279" s="21"/>
    </row>
    <row r="280" spans="1:12" ht="14.45">
      <c r="A280" s="21"/>
      <c r="B280" s="31"/>
      <c r="C280" s="21"/>
      <c r="D280" s="21"/>
      <c r="E280" s="21"/>
      <c r="F280" s="22"/>
      <c r="G280" s="21"/>
      <c r="H280" s="21"/>
      <c r="I280" s="22"/>
      <c r="J280" s="21"/>
      <c r="K280" s="21"/>
      <c r="L280" s="21"/>
    </row>
    <row r="281" spans="1:12" ht="14.45">
      <c r="A281" s="21"/>
      <c r="B281" s="31"/>
      <c r="C281" s="21"/>
      <c r="D281" s="21"/>
      <c r="E281" s="21"/>
      <c r="F281" s="22"/>
      <c r="G281" s="21"/>
      <c r="H281" s="21"/>
      <c r="I281" s="22"/>
      <c r="J281" s="21"/>
      <c r="K281" s="21"/>
      <c r="L281" s="21"/>
    </row>
    <row r="282" spans="1:12" ht="14.45">
      <c r="A282" s="21"/>
      <c r="B282" s="31"/>
      <c r="C282" s="21"/>
      <c r="D282" s="21"/>
      <c r="E282" s="21"/>
      <c r="F282" s="22"/>
      <c r="G282" s="21"/>
      <c r="H282" s="21"/>
      <c r="I282" s="22"/>
      <c r="J282" s="21"/>
      <c r="K282" s="21"/>
      <c r="L282" s="21"/>
    </row>
    <row r="283" spans="1:12" ht="14.45">
      <c r="A283" s="21"/>
      <c r="B283" s="31"/>
      <c r="C283" s="21"/>
      <c r="D283" s="21"/>
      <c r="E283" s="21"/>
      <c r="F283" s="22"/>
      <c r="G283" s="21"/>
      <c r="H283" s="21"/>
      <c r="I283" s="22"/>
      <c r="J283" s="21"/>
      <c r="K283" s="21"/>
      <c r="L283" s="21"/>
    </row>
    <row r="284" spans="1:12" ht="14.45">
      <c r="A284" s="21"/>
      <c r="B284" s="31"/>
      <c r="C284" s="21"/>
      <c r="D284" s="21"/>
      <c r="E284" s="21"/>
      <c r="F284" s="22"/>
      <c r="G284" s="21"/>
      <c r="H284" s="21"/>
      <c r="I284" s="22"/>
      <c r="J284" s="21"/>
      <c r="K284" s="21"/>
      <c r="L284" s="21"/>
    </row>
    <row r="285" spans="1:12" ht="14.45">
      <c r="A285" s="21"/>
      <c r="B285" s="31"/>
      <c r="C285" s="21"/>
      <c r="D285" s="21"/>
      <c r="E285" s="21"/>
      <c r="F285" s="22"/>
      <c r="G285" s="21"/>
      <c r="H285" s="21"/>
      <c r="I285" s="22"/>
      <c r="J285" s="21"/>
      <c r="K285" s="21"/>
      <c r="L285" s="21"/>
    </row>
    <row r="286" spans="1:12" ht="14.45">
      <c r="A286" s="21"/>
      <c r="B286" s="31"/>
      <c r="C286" s="21"/>
      <c r="D286" s="21"/>
      <c r="E286" s="21"/>
      <c r="F286" s="22"/>
      <c r="G286" s="21"/>
      <c r="H286" s="21"/>
      <c r="I286" s="22"/>
      <c r="J286" s="21"/>
      <c r="K286" s="21"/>
      <c r="L286" s="21"/>
    </row>
    <row r="287" spans="1:12" ht="14.45">
      <c r="A287" s="21"/>
      <c r="B287" s="31"/>
      <c r="C287" s="21"/>
      <c r="D287" s="21"/>
      <c r="E287" s="21"/>
      <c r="F287" s="22"/>
      <c r="G287" s="21"/>
      <c r="H287" s="21"/>
      <c r="I287" s="22"/>
      <c r="J287" s="21"/>
      <c r="K287" s="21"/>
      <c r="L287" s="21"/>
    </row>
    <row r="288" spans="1:12" ht="14.45">
      <c r="A288" s="21"/>
      <c r="B288" s="31"/>
      <c r="C288" s="21"/>
      <c r="D288" s="21"/>
      <c r="E288" s="21"/>
      <c r="F288" s="22"/>
      <c r="G288" s="21"/>
      <c r="H288" s="21"/>
      <c r="I288" s="22"/>
      <c r="J288" s="21"/>
      <c r="K288" s="21"/>
      <c r="L288" s="21"/>
    </row>
    <row r="289" spans="1:12" ht="14.45">
      <c r="A289" s="21"/>
      <c r="B289" s="31"/>
      <c r="C289" s="21"/>
      <c r="D289" s="21"/>
      <c r="E289" s="21"/>
      <c r="F289" s="22"/>
      <c r="G289" s="21"/>
      <c r="H289" s="21"/>
      <c r="I289" s="22"/>
      <c r="J289" s="21"/>
      <c r="K289" s="21"/>
      <c r="L289" s="21"/>
    </row>
    <row r="290" spans="1:12" ht="14.45">
      <c r="A290" s="21"/>
      <c r="B290" s="31"/>
      <c r="C290" s="21"/>
      <c r="D290" s="21"/>
      <c r="E290" s="21"/>
      <c r="F290" s="22"/>
      <c r="G290" s="21"/>
      <c r="H290" s="21"/>
      <c r="I290" s="22"/>
      <c r="J290" s="21"/>
      <c r="K290" s="21"/>
      <c r="L290" s="21"/>
    </row>
    <row r="291" spans="1:12" ht="14.45">
      <c r="A291" s="21"/>
      <c r="B291" s="31"/>
      <c r="C291" s="21"/>
      <c r="D291" s="21"/>
      <c r="E291" s="21"/>
      <c r="F291" s="22"/>
      <c r="G291" s="21"/>
      <c r="H291" s="21"/>
      <c r="I291" s="22"/>
      <c r="J291" s="21"/>
      <c r="K291" s="21"/>
      <c r="L291" s="21"/>
    </row>
    <row r="292" spans="1:12" ht="14.45">
      <c r="A292" s="21"/>
      <c r="B292" s="31"/>
      <c r="C292" s="21"/>
      <c r="D292" s="21"/>
      <c r="E292" s="21"/>
      <c r="F292" s="22"/>
      <c r="G292" s="21"/>
      <c r="H292" s="21"/>
      <c r="I292" s="22"/>
      <c r="J292" s="21"/>
      <c r="K292" s="21"/>
      <c r="L292" s="21"/>
    </row>
    <row r="293" spans="1:12" ht="14.45">
      <c r="A293" s="21"/>
      <c r="B293" s="31"/>
      <c r="C293" s="21"/>
      <c r="D293" s="21"/>
      <c r="E293" s="21"/>
      <c r="F293" s="22"/>
      <c r="G293" s="21"/>
      <c r="H293" s="21"/>
      <c r="I293" s="22"/>
      <c r="J293" s="21"/>
      <c r="K293" s="21"/>
      <c r="L293" s="21"/>
    </row>
    <row r="294" spans="1:12" ht="14.45">
      <c r="A294" s="21"/>
      <c r="B294" s="31"/>
      <c r="C294" s="21"/>
      <c r="D294" s="21"/>
      <c r="E294" s="21"/>
      <c r="F294" s="22"/>
      <c r="G294" s="21"/>
      <c r="H294" s="21"/>
      <c r="I294" s="22"/>
      <c r="J294" s="21"/>
      <c r="K294" s="21"/>
      <c r="L294" s="21"/>
    </row>
    <row r="295" spans="1:12" ht="14.45">
      <c r="A295" s="21"/>
      <c r="B295" s="31"/>
      <c r="C295" s="21"/>
      <c r="D295" s="21"/>
      <c r="E295" s="21"/>
      <c r="F295" s="22"/>
      <c r="G295" s="21"/>
      <c r="H295" s="21"/>
      <c r="I295" s="22"/>
      <c r="J295" s="21"/>
      <c r="K295" s="21"/>
      <c r="L295" s="21"/>
    </row>
    <row r="296" spans="1:12" ht="14.45">
      <c r="A296" s="21"/>
      <c r="B296" s="31"/>
      <c r="C296" s="21"/>
      <c r="D296" s="21"/>
      <c r="E296" s="21"/>
      <c r="F296" s="22"/>
      <c r="G296" s="21"/>
      <c r="H296" s="21"/>
      <c r="I296" s="22"/>
      <c r="J296" s="21"/>
      <c r="K296" s="21"/>
      <c r="L296" s="21"/>
    </row>
    <row r="297" spans="1:12" ht="14.45">
      <c r="A297" s="21"/>
      <c r="B297" s="31"/>
      <c r="C297" s="21"/>
      <c r="D297" s="21"/>
      <c r="E297" s="21"/>
      <c r="F297" s="22"/>
      <c r="G297" s="21"/>
      <c r="H297" s="21"/>
      <c r="I297" s="22"/>
      <c r="J297" s="21"/>
      <c r="K297" s="21"/>
      <c r="L297" s="21"/>
    </row>
    <row r="298" spans="1:12" ht="14.45">
      <c r="A298" s="21"/>
      <c r="B298" s="31"/>
      <c r="C298" s="21"/>
      <c r="D298" s="21"/>
      <c r="E298" s="21"/>
      <c r="F298" s="22"/>
      <c r="G298" s="21"/>
      <c r="H298" s="21"/>
      <c r="I298" s="22"/>
      <c r="J298" s="21"/>
      <c r="K298" s="21"/>
      <c r="L298" s="21"/>
    </row>
    <row r="299" spans="1:12" ht="14.45">
      <c r="A299" s="21"/>
      <c r="B299" s="31"/>
      <c r="C299" s="21"/>
      <c r="D299" s="21"/>
      <c r="E299" s="21"/>
      <c r="F299" s="22"/>
      <c r="G299" s="21"/>
      <c r="H299" s="21"/>
      <c r="I299" s="22"/>
      <c r="J299" s="21"/>
      <c r="K299" s="21"/>
      <c r="L299" s="21"/>
    </row>
    <row r="300" spans="1:12" ht="14.45">
      <c r="A300" s="21"/>
      <c r="B300" s="31"/>
      <c r="C300" s="21"/>
      <c r="D300" s="21"/>
      <c r="E300" s="21"/>
      <c r="F300" s="22"/>
      <c r="G300" s="21"/>
      <c r="H300" s="21"/>
      <c r="I300" s="22"/>
      <c r="J300" s="21"/>
      <c r="K300" s="21"/>
      <c r="L300" s="21"/>
    </row>
    <row r="301" spans="1:12" ht="14.45">
      <c r="A301" s="21"/>
      <c r="B301" s="31"/>
      <c r="C301" s="21"/>
      <c r="D301" s="21"/>
      <c r="E301" s="21"/>
      <c r="F301" s="22"/>
      <c r="G301" s="21"/>
      <c r="H301" s="21"/>
      <c r="I301" s="22"/>
      <c r="J301" s="21"/>
      <c r="K301" s="21"/>
      <c r="L301" s="21"/>
    </row>
    <row r="302" spans="1:12" ht="14.45">
      <c r="A302" s="21"/>
      <c r="B302" s="31"/>
      <c r="C302" s="21"/>
      <c r="D302" s="21"/>
      <c r="E302" s="21"/>
      <c r="F302" s="22"/>
      <c r="G302" s="21"/>
      <c r="H302" s="21"/>
      <c r="I302" s="22"/>
      <c r="J302" s="21"/>
      <c r="K302" s="21"/>
      <c r="L302" s="21"/>
    </row>
    <row r="303" spans="1:12" ht="14.45">
      <c r="A303" s="21"/>
      <c r="B303" s="31"/>
      <c r="C303" s="21"/>
      <c r="D303" s="21"/>
      <c r="E303" s="21"/>
      <c r="F303" s="22"/>
      <c r="G303" s="21"/>
      <c r="H303" s="21"/>
      <c r="I303" s="22"/>
      <c r="J303" s="21"/>
      <c r="K303" s="21"/>
      <c r="L303" s="21"/>
    </row>
    <row r="304" spans="1:12" ht="14.45">
      <c r="A304" s="21"/>
      <c r="B304" s="31"/>
      <c r="C304" s="21"/>
      <c r="D304" s="21"/>
      <c r="E304" s="21"/>
      <c r="F304" s="22"/>
      <c r="G304" s="21"/>
      <c r="H304" s="21"/>
      <c r="I304" s="22"/>
      <c r="J304" s="21"/>
      <c r="K304" s="21"/>
      <c r="L304" s="21"/>
    </row>
    <row r="305" spans="1:12" ht="14.45">
      <c r="A305" s="21"/>
      <c r="B305" s="31"/>
      <c r="C305" s="21"/>
      <c r="D305" s="21"/>
      <c r="E305" s="21"/>
      <c r="F305" s="22"/>
      <c r="G305" s="21"/>
      <c r="H305" s="21"/>
      <c r="I305" s="22"/>
      <c r="J305" s="21"/>
      <c r="K305" s="21"/>
      <c r="L305" s="21"/>
    </row>
    <row r="306" spans="1:12" ht="14.45">
      <c r="A306" s="21"/>
      <c r="B306" s="31"/>
      <c r="C306" s="21"/>
      <c r="D306" s="21"/>
      <c r="E306" s="21"/>
      <c r="F306" s="22"/>
      <c r="G306" s="21"/>
      <c r="H306" s="21"/>
      <c r="I306" s="22"/>
      <c r="J306" s="21"/>
      <c r="K306" s="21"/>
      <c r="L306" s="21"/>
    </row>
    <row r="307" spans="1:12" ht="14.45">
      <c r="A307" s="21"/>
      <c r="B307" s="31"/>
      <c r="C307" s="21"/>
      <c r="D307" s="21"/>
      <c r="E307" s="21"/>
      <c r="F307" s="22"/>
      <c r="G307" s="21"/>
      <c r="H307" s="21"/>
      <c r="I307" s="22"/>
      <c r="J307" s="21"/>
      <c r="K307" s="21"/>
      <c r="L307" s="21"/>
    </row>
    <row r="308" spans="1:12" ht="14.45">
      <c r="A308" s="21"/>
      <c r="B308" s="31"/>
      <c r="C308" s="21"/>
      <c r="D308" s="21"/>
      <c r="E308" s="21"/>
      <c r="F308" s="22"/>
      <c r="G308" s="21"/>
      <c r="H308" s="21"/>
      <c r="I308" s="22"/>
      <c r="J308" s="21"/>
      <c r="K308" s="21"/>
      <c r="L308" s="21"/>
    </row>
    <row r="309" spans="1:12" ht="14.45">
      <c r="A309" s="21"/>
      <c r="B309" s="31"/>
      <c r="C309" s="21"/>
      <c r="D309" s="21"/>
      <c r="E309" s="21"/>
      <c r="F309" s="22"/>
      <c r="G309" s="21"/>
      <c r="H309" s="21"/>
      <c r="I309" s="22"/>
      <c r="J309" s="21"/>
      <c r="K309" s="21"/>
      <c r="L309" s="21"/>
    </row>
    <row r="310" spans="1:12" ht="14.45">
      <c r="A310" s="21"/>
      <c r="B310" s="31"/>
      <c r="C310" s="21"/>
      <c r="D310" s="21"/>
      <c r="E310" s="21"/>
      <c r="F310" s="22"/>
      <c r="G310" s="21"/>
      <c r="H310" s="21"/>
      <c r="I310" s="22"/>
      <c r="J310" s="21"/>
      <c r="K310" s="21"/>
      <c r="L310" s="21"/>
    </row>
    <row r="311" spans="1:12" ht="14.45">
      <c r="A311" s="21"/>
      <c r="B311" s="31"/>
      <c r="C311" s="21"/>
      <c r="D311" s="21"/>
      <c r="E311" s="21"/>
      <c r="F311" s="22"/>
      <c r="G311" s="21"/>
      <c r="H311" s="21"/>
      <c r="I311" s="22"/>
      <c r="J311" s="21"/>
      <c r="K311" s="21"/>
      <c r="L311" s="21"/>
    </row>
    <row r="312" spans="1:12" ht="14.45">
      <c r="A312" s="21"/>
      <c r="B312" s="31"/>
      <c r="C312" s="21"/>
      <c r="D312" s="21"/>
      <c r="E312" s="21"/>
      <c r="F312" s="22"/>
      <c r="G312" s="21"/>
      <c r="H312" s="21"/>
      <c r="I312" s="22"/>
      <c r="J312" s="21"/>
      <c r="K312" s="21"/>
      <c r="L312" s="21"/>
    </row>
    <row r="313" spans="1:12" ht="14.45">
      <c r="A313" s="21"/>
      <c r="B313" s="31"/>
      <c r="C313" s="21"/>
      <c r="D313" s="21"/>
      <c r="E313" s="21"/>
      <c r="F313" s="22"/>
      <c r="G313" s="21"/>
      <c r="H313" s="21"/>
      <c r="I313" s="22"/>
      <c r="J313" s="21"/>
      <c r="K313" s="21"/>
      <c r="L313" s="21"/>
    </row>
    <row r="314" spans="1:12" ht="14.45">
      <c r="A314" s="21"/>
      <c r="B314" s="31"/>
      <c r="C314" s="21"/>
      <c r="D314" s="21"/>
      <c r="E314" s="21"/>
      <c r="F314" s="22"/>
      <c r="G314" s="21"/>
      <c r="H314" s="21"/>
      <c r="I314" s="22"/>
      <c r="J314" s="21"/>
      <c r="K314" s="21"/>
      <c r="L314" s="21"/>
    </row>
    <row r="315" spans="1:12" ht="14.45">
      <c r="A315" s="21"/>
      <c r="B315" s="31"/>
      <c r="C315" s="21"/>
      <c r="D315" s="21"/>
      <c r="E315" s="21"/>
      <c r="F315" s="22"/>
      <c r="G315" s="21"/>
      <c r="H315" s="21"/>
      <c r="I315" s="22"/>
      <c r="J315" s="21"/>
      <c r="K315" s="21"/>
      <c r="L315" s="21"/>
    </row>
    <row r="316" spans="1:12" ht="14.45">
      <c r="A316" s="21"/>
      <c r="B316" s="31"/>
      <c r="C316" s="21"/>
      <c r="D316" s="21"/>
      <c r="E316" s="21"/>
      <c r="F316" s="22"/>
      <c r="G316" s="21"/>
      <c r="H316" s="21"/>
      <c r="I316" s="22"/>
      <c r="J316" s="21"/>
      <c r="K316" s="21"/>
      <c r="L316" s="21"/>
    </row>
    <row r="317" spans="1:12" ht="14.45">
      <c r="A317" s="21"/>
      <c r="B317" s="31"/>
      <c r="C317" s="21"/>
      <c r="D317" s="21"/>
      <c r="E317" s="21"/>
      <c r="F317" s="22"/>
      <c r="G317" s="21"/>
      <c r="H317" s="21"/>
      <c r="I317" s="22"/>
      <c r="J317" s="21"/>
      <c r="K317" s="21"/>
      <c r="L317" s="21"/>
    </row>
    <row r="318" spans="1:12" ht="14.45">
      <c r="A318" s="21"/>
      <c r="B318" s="31"/>
      <c r="C318" s="21"/>
      <c r="D318" s="21"/>
      <c r="E318" s="21"/>
      <c r="F318" s="22"/>
      <c r="G318" s="21"/>
      <c r="H318" s="21"/>
      <c r="I318" s="22"/>
      <c r="J318" s="21"/>
      <c r="K318" s="21"/>
      <c r="L318" s="21"/>
    </row>
    <row r="319" spans="1:12" ht="14.45">
      <c r="A319" s="21"/>
      <c r="B319" s="31"/>
      <c r="C319" s="21"/>
      <c r="D319" s="21"/>
      <c r="E319" s="21"/>
      <c r="F319" s="22"/>
      <c r="G319" s="21"/>
      <c r="H319" s="21"/>
      <c r="I319" s="22"/>
      <c r="J319" s="21"/>
      <c r="K319" s="21"/>
      <c r="L319" s="21"/>
    </row>
    <row r="320" spans="1:12" ht="14.45">
      <c r="A320" s="21"/>
      <c r="B320" s="31"/>
      <c r="C320" s="21"/>
      <c r="D320" s="21"/>
      <c r="E320" s="21"/>
      <c r="F320" s="22"/>
      <c r="G320" s="21"/>
      <c r="H320" s="21"/>
      <c r="I320" s="22"/>
      <c r="J320" s="21"/>
      <c r="K320" s="21"/>
      <c r="L320" s="21"/>
    </row>
    <row r="321" spans="1:12" ht="14.45">
      <c r="A321" s="21"/>
      <c r="B321" s="31"/>
      <c r="C321" s="21"/>
      <c r="D321" s="21"/>
      <c r="E321" s="21"/>
      <c r="F321" s="22"/>
      <c r="G321" s="21"/>
      <c r="H321" s="21"/>
      <c r="I321" s="22"/>
      <c r="J321" s="21"/>
      <c r="K321" s="21"/>
      <c r="L321" s="21"/>
    </row>
    <row r="322" spans="1:12" ht="14.45">
      <c r="A322" s="21"/>
      <c r="B322" s="31"/>
      <c r="C322" s="21"/>
      <c r="D322" s="21"/>
      <c r="E322" s="21"/>
      <c r="F322" s="22"/>
      <c r="G322" s="21"/>
      <c r="H322" s="21"/>
      <c r="I322" s="22"/>
      <c r="J322" s="21"/>
      <c r="K322" s="21"/>
      <c r="L322" s="21"/>
    </row>
    <row r="323" spans="1:12" ht="14.45">
      <c r="A323" s="21"/>
      <c r="B323" s="31"/>
      <c r="C323" s="21"/>
      <c r="D323" s="21"/>
      <c r="E323" s="21"/>
      <c r="F323" s="22"/>
      <c r="G323" s="21"/>
      <c r="H323" s="21"/>
      <c r="I323" s="22"/>
      <c r="J323" s="21"/>
      <c r="K323" s="21"/>
      <c r="L323" s="21"/>
    </row>
    <row r="324" spans="1:12" ht="14.45">
      <c r="A324" s="21"/>
      <c r="B324" s="31"/>
      <c r="C324" s="21"/>
      <c r="D324" s="21"/>
      <c r="E324" s="21"/>
      <c r="F324" s="22"/>
      <c r="G324" s="21"/>
      <c r="H324" s="21"/>
      <c r="I324" s="22"/>
      <c r="J324" s="21"/>
      <c r="K324" s="21"/>
      <c r="L324" s="21"/>
    </row>
    <row r="325" spans="1:12" ht="14.45">
      <c r="A325" s="21"/>
      <c r="B325" s="31"/>
      <c r="C325" s="21"/>
      <c r="D325" s="21"/>
      <c r="E325" s="21"/>
      <c r="F325" s="22"/>
      <c r="G325" s="21"/>
      <c r="H325" s="21"/>
      <c r="I325" s="22"/>
      <c r="J325" s="21"/>
      <c r="K325" s="21"/>
      <c r="L325" s="21"/>
    </row>
    <row r="326" spans="1:12" ht="14.45">
      <c r="A326" s="21"/>
      <c r="B326" s="31"/>
      <c r="C326" s="21"/>
      <c r="D326" s="21"/>
      <c r="E326" s="21"/>
      <c r="F326" s="22"/>
      <c r="G326" s="21"/>
      <c r="H326" s="21"/>
      <c r="I326" s="22"/>
      <c r="J326" s="21"/>
      <c r="K326" s="21"/>
      <c r="L326" s="21"/>
    </row>
    <row r="327" spans="1:12" ht="14.45">
      <c r="A327" s="21"/>
      <c r="B327" s="31"/>
      <c r="C327" s="21"/>
      <c r="D327" s="21"/>
      <c r="E327" s="21"/>
      <c r="F327" s="22"/>
      <c r="G327" s="21"/>
      <c r="H327" s="21"/>
      <c r="I327" s="22"/>
      <c r="J327" s="21"/>
      <c r="K327" s="21"/>
      <c r="L327" s="21"/>
    </row>
    <row r="328" spans="1:12" ht="14.45">
      <c r="A328" s="21"/>
      <c r="B328" s="31"/>
      <c r="C328" s="21"/>
      <c r="D328" s="21"/>
      <c r="E328" s="21"/>
      <c r="F328" s="22"/>
      <c r="G328" s="21"/>
      <c r="H328" s="21"/>
      <c r="I328" s="22"/>
      <c r="J328" s="21"/>
      <c r="K328" s="21"/>
      <c r="L328" s="21"/>
    </row>
    <row r="329" spans="1:12" ht="14.45">
      <c r="A329" s="21"/>
      <c r="B329" s="31"/>
      <c r="C329" s="21"/>
      <c r="D329" s="21"/>
      <c r="E329" s="21"/>
      <c r="F329" s="22"/>
      <c r="G329" s="21"/>
      <c r="H329" s="21"/>
      <c r="I329" s="22"/>
      <c r="J329" s="21"/>
      <c r="K329" s="21"/>
      <c r="L329" s="21"/>
    </row>
    <row r="330" spans="1:12" ht="14.45">
      <c r="A330" s="21"/>
      <c r="B330" s="31"/>
      <c r="C330" s="21"/>
      <c r="D330" s="21"/>
      <c r="E330" s="21"/>
      <c r="F330" s="22"/>
      <c r="G330" s="21"/>
      <c r="H330" s="21"/>
      <c r="I330" s="22"/>
      <c r="J330" s="21"/>
      <c r="K330" s="21"/>
      <c r="L330" s="21"/>
    </row>
    <row r="331" spans="1:12" ht="14.45">
      <c r="A331" s="21"/>
      <c r="B331" s="31"/>
      <c r="C331" s="21"/>
      <c r="D331" s="21"/>
      <c r="E331" s="21"/>
      <c r="F331" s="22"/>
      <c r="G331" s="21"/>
      <c r="H331" s="21"/>
      <c r="I331" s="22"/>
      <c r="J331" s="21"/>
      <c r="K331" s="21"/>
      <c r="L331" s="21"/>
    </row>
    <row r="332" spans="1:12" ht="14.45">
      <c r="A332" s="21"/>
      <c r="B332" s="31"/>
      <c r="C332" s="21"/>
      <c r="D332" s="21"/>
      <c r="E332" s="21"/>
      <c r="F332" s="22"/>
      <c r="G332" s="21"/>
      <c r="H332" s="21"/>
      <c r="I332" s="22"/>
      <c r="J332" s="21"/>
      <c r="K332" s="21"/>
      <c r="L332" s="21"/>
    </row>
    <row r="333" spans="1:12" ht="14.45">
      <c r="A333" s="21"/>
      <c r="B333" s="31"/>
      <c r="C333" s="21"/>
      <c r="D333" s="21"/>
      <c r="E333" s="21"/>
      <c r="F333" s="22"/>
      <c r="G333" s="21"/>
      <c r="H333" s="21"/>
      <c r="I333" s="22"/>
      <c r="J333" s="21"/>
      <c r="K333" s="21"/>
      <c r="L333" s="21"/>
    </row>
    <row r="334" spans="1:12" ht="14.45">
      <c r="A334" s="21"/>
      <c r="B334" s="31"/>
      <c r="C334" s="21"/>
      <c r="D334" s="21"/>
      <c r="E334" s="21"/>
      <c r="F334" s="22"/>
      <c r="G334" s="21"/>
      <c r="H334" s="21"/>
      <c r="I334" s="22"/>
      <c r="J334" s="21"/>
      <c r="K334" s="21"/>
      <c r="L334" s="21"/>
    </row>
    <row r="335" spans="1:12" ht="14.45">
      <c r="A335" s="21"/>
      <c r="B335" s="31"/>
      <c r="C335" s="21"/>
      <c r="D335" s="21"/>
      <c r="E335" s="21"/>
      <c r="F335" s="22"/>
      <c r="G335" s="21"/>
      <c r="H335" s="21"/>
      <c r="I335" s="22"/>
      <c r="J335" s="21"/>
      <c r="K335" s="21"/>
      <c r="L335" s="21"/>
    </row>
    <row r="336" spans="1:12" ht="14.45">
      <c r="A336" s="21"/>
      <c r="B336" s="31"/>
      <c r="C336" s="21"/>
      <c r="D336" s="21"/>
      <c r="E336" s="21"/>
      <c r="F336" s="22"/>
      <c r="G336" s="21"/>
      <c r="H336" s="21"/>
      <c r="I336" s="22"/>
      <c r="J336" s="21"/>
      <c r="K336" s="21"/>
      <c r="L336" s="21"/>
    </row>
    <row r="337" spans="1:12" ht="14.45">
      <c r="A337" s="21"/>
      <c r="B337" s="31"/>
      <c r="C337" s="21"/>
      <c r="D337" s="21"/>
      <c r="E337" s="21"/>
      <c r="F337" s="22"/>
      <c r="G337" s="21"/>
      <c r="H337" s="21"/>
      <c r="I337" s="22"/>
      <c r="J337" s="21"/>
      <c r="K337" s="21"/>
      <c r="L337" s="21"/>
    </row>
    <row r="338" spans="1:12" ht="14.45">
      <c r="A338" s="21"/>
      <c r="B338" s="31"/>
      <c r="C338" s="21"/>
      <c r="D338" s="21"/>
      <c r="E338" s="21"/>
      <c r="F338" s="22"/>
      <c r="G338" s="21"/>
      <c r="H338" s="21"/>
      <c r="I338" s="22"/>
      <c r="J338" s="21"/>
      <c r="K338" s="21"/>
      <c r="L338" s="21"/>
    </row>
    <row r="339" spans="1:12" ht="14.45">
      <c r="A339" s="21"/>
      <c r="B339" s="31"/>
      <c r="C339" s="21"/>
      <c r="D339" s="21"/>
      <c r="E339" s="21"/>
      <c r="F339" s="22"/>
      <c r="G339" s="21"/>
      <c r="H339" s="21"/>
      <c r="I339" s="22"/>
      <c r="J339" s="21"/>
      <c r="K339" s="21"/>
      <c r="L339" s="21"/>
    </row>
    <row r="340" spans="1:12" ht="14.45">
      <c r="A340" s="21"/>
      <c r="B340" s="31"/>
      <c r="C340" s="21"/>
      <c r="D340" s="21"/>
      <c r="E340" s="21"/>
      <c r="F340" s="22"/>
      <c r="G340" s="21"/>
      <c r="H340" s="21"/>
      <c r="I340" s="22"/>
      <c r="J340" s="21"/>
      <c r="K340" s="21"/>
      <c r="L340" s="21"/>
    </row>
    <row r="341" spans="1:12" ht="14.45">
      <c r="A341" s="21"/>
      <c r="B341" s="31"/>
      <c r="C341" s="21"/>
      <c r="D341" s="21"/>
      <c r="E341" s="21"/>
      <c r="F341" s="22"/>
      <c r="G341" s="21"/>
      <c r="H341" s="21"/>
      <c r="I341" s="22"/>
      <c r="J341" s="21"/>
      <c r="K341" s="21"/>
      <c r="L341" s="21"/>
    </row>
    <row r="342" spans="1:12" ht="14.45">
      <c r="A342" s="21"/>
      <c r="B342" s="31"/>
      <c r="C342" s="21"/>
      <c r="D342" s="21"/>
      <c r="E342" s="21"/>
      <c r="F342" s="22"/>
      <c r="G342" s="21"/>
      <c r="H342" s="21"/>
      <c r="I342" s="22"/>
      <c r="J342" s="21"/>
      <c r="K342" s="21"/>
      <c r="L342" s="21"/>
    </row>
    <row r="343" spans="1:12" ht="14.45">
      <c r="A343" s="21"/>
      <c r="B343" s="31"/>
      <c r="C343" s="21"/>
      <c r="D343" s="21"/>
      <c r="E343" s="21"/>
      <c r="F343" s="22"/>
      <c r="G343" s="21"/>
      <c r="H343" s="21"/>
      <c r="I343" s="22"/>
      <c r="J343" s="21"/>
      <c r="K343" s="21"/>
      <c r="L343" s="21"/>
    </row>
    <row r="344" spans="1:12" ht="14.45">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hyperlinks>
    <hyperlink ref="K5" r:id="rId1" display="https://us3.assetplanner.com/service_request?ID=114368" xr:uid="{C21A4BA4-88B4-4F75-B6B5-72073E9A7F56}"/>
    <hyperlink ref="K6" r:id="rId2" display="https://us3.assetplanner.com/service_request?ID=104730" xr:uid="{43ADBAC0-15D8-4338-B29E-F1DD3762E8E3}"/>
    <hyperlink ref="M6" r:id="rId3" display="https://us3.assetplanner.com/service_request?ID=114162" xr:uid="{03CE1E07-778C-4A2E-AB1F-2B4C65CA59A3}"/>
    <hyperlink ref="N6" r:id="rId4" display="https://us3.assetplanner.com/service_request?ID=113187" xr:uid="{401D2959-7BB1-4D46-8652-0A6AB0EA9D7F}"/>
    <hyperlink ref="O6" r:id="rId5" display="https://us3.assetplanner.com/service_request?ID=114778" xr:uid="{C3DDBB15-A346-4EFF-9E6E-F6AC9FDAA383}"/>
    <hyperlink ref="P6" r:id="rId6" display="https://us3.assetplanner.com/service_request?ID=115644" xr:uid="{0105976C-7316-46A8-A164-68C2B38270B2}"/>
    <hyperlink ref="K7" r:id="rId7" display="https://us3.assetplanner.com/service_request?ID=114779" xr:uid="{3C1FD304-6045-428A-AE39-D50D344B246D}"/>
    <hyperlink ref="M7" r:id="rId8" display="https://us3.assetplanner.com/service_request?ID=115352" xr:uid="{0AD05F9D-D3DB-48C8-9ADD-AEE1C82ED4D5}"/>
    <hyperlink ref="K8" r:id="rId9" display="https://us3.assetplanner.com/service_request?ID=114607" xr:uid="{73C739CB-3612-4C80-97E6-300554CB3DEE}"/>
    <hyperlink ref="K9" r:id="rId10" display="https://us3.assetplanner.com/service_request?ID=108955" xr:uid="{A5499F8A-917F-4551-8D85-6C6AA3600C4A}"/>
    <hyperlink ref="M9" r:id="rId11" display="https://us3.assetplanner.com/service_request?ID=111324" xr:uid="{51C8E182-A1EE-41F6-9344-C86B7ECA5D62}"/>
    <hyperlink ref="N9" r:id="rId12" display="https://us3.assetplanner.com/service_request?ID=113395" xr:uid="{C9345CEB-0E2D-4180-AECF-54A1B85AF859}"/>
    <hyperlink ref="O9" r:id="rId13" display="https://us3.assetplanner.com/service_request?ID=115390" xr:uid="{07B669C8-17BB-45C6-9D23-0E1DA76BE4F5}"/>
    <hyperlink ref="K12" r:id="rId14" display="https://us3.assetplanner.com/service_request?ID=114389" xr:uid="{49F431E9-89B4-4451-960A-68CCB9576EF6}"/>
    <hyperlink ref="M12" r:id="rId15" display="https://us3.assetplanner.com/service_request?ID=099765" xr:uid="{2DDEF115-914D-4B32-85BA-6D0FEB420B49}"/>
    <hyperlink ref="K13" r:id="rId16" display="https://us3.assetplanner.com/service_request?ID=097799" xr:uid="{7B3F8B8E-6D3E-49DE-A383-0654DFD4C724}"/>
    <hyperlink ref="M13" r:id="rId17" display="https://us3.assetplanner.com/service_request?ID=095816" xr:uid="{B4B21740-6A58-4122-8EBA-3C7729B3A9EF}"/>
    <hyperlink ref="N13" r:id="rId18" display="https://us3.assetplanner.com/service_request?ID=107405" xr:uid="{C9B5F960-4BC9-4891-91DA-A285571B2755}"/>
    <hyperlink ref="O13" r:id="rId19" display="https://us3.assetplanner.com/service_request?ID=114257" xr:uid="{AFD88475-9239-459F-815C-E3367180D4F2}"/>
    <hyperlink ref="K14" r:id="rId20" display="https://us3.assetplanner.com/service_request?ID=114054" xr:uid="{73BE3073-E2F1-4213-9D92-42A9A42C8E5B}"/>
    <hyperlink ref="M14" r:id="rId21" display="https://us3.assetplanner.com/service_request?ID=112266" xr:uid="{D75BF198-4F31-4E07-B372-0A409B718945}"/>
    <hyperlink ref="K15" r:id="rId22" display="https://us3.assetplanner.com/service_request?ID=109200" xr:uid="{635456CC-B742-412C-946B-85691797799E}"/>
    <hyperlink ref="M15" r:id="rId23" display="https://us3.assetplanner.com/service_request?ID=103770" xr:uid="{78DF92CB-F548-4A10-9D40-A359481FF6A1}"/>
    <hyperlink ref="K17" r:id="rId24" display="https://us3.assetplanner.com/service_request?ID=114583" xr:uid="{960C06B6-7CDC-4B3F-9A7C-3047A09D762D}"/>
    <hyperlink ref="K18" r:id="rId25" display="https://us3.assetplanner.com/service_request?ID=105297" xr:uid="{8C969BD7-EFB6-4885-BEDD-E05F12E1C245}"/>
    <hyperlink ref="M18" r:id="rId26" display="https://us3.assetplanner.com/service_request?ID=109203" xr:uid="{F5264CDF-ACA2-4DF4-B909-7FDC6051DDB2}"/>
    <hyperlink ref="K19" r:id="rId27" display="https://us3.assetplanner.com/service_request?ID=097795" xr:uid="{60AC76A0-7DF8-4FB1-9F1F-60E2E3EAB433}"/>
    <hyperlink ref="M19" r:id="rId28" display="https://us3.assetplanner.com/service_request?ID=109010" xr:uid="{31FD1EC5-AA4E-46D8-A820-B27932D7A89F}"/>
    <hyperlink ref="N19" r:id="rId29" display="https://us3.assetplanner.com/service_request?ID=109201" xr:uid="{399478B1-BEF3-4408-A1FA-8C10DA3EC301}"/>
    <hyperlink ref="O19" r:id="rId30" display="https://us3.assetplanner.com/service_request?ID=109391" xr:uid="{F525AF9E-AC83-4AD3-A90E-1AC6CB17137A}"/>
    <hyperlink ref="K21" r:id="rId31" display="https://us3.assetplanner.com/service_request?ID=107644" xr:uid="{4515623D-F61A-441C-AFBB-F0FFC176D310}"/>
    <hyperlink ref="M21" r:id="rId32" display="https://us3.assetplanner.com/service_request?ID=111056" xr:uid="{3FD7AC7F-6995-4B67-B080-E863CDDC5659}"/>
    <hyperlink ref="N21" r:id="rId33" display="https://us3.assetplanner.com/service_request?ID=112075" xr:uid="{F3AE401C-B8A7-43D9-80F6-819265127550}"/>
    <hyperlink ref="O21" r:id="rId34" display="https://us3.assetplanner.com/service_request?ID=114387" xr:uid="{87260329-5BCE-4296-81E4-2746D0CF5C31}"/>
    <hyperlink ref="K22" r:id="rId35" display="https://us3.assetplanner.com/service_request?ID=114040" xr:uid="{D55925CC-7A8F-4FDB-BBE4-E75BDD554B96}"/>
    <hyperlink ref="M22" r:id="rId36" display="https://us3.assetplanner.com/service_request?ID=114715" xr:uid="{E35CEAE8-DEF7-4EAC-A617-6814100619EF}"/>
    <hyperlink ref="K23" r:id="rId37" display="https://us3.assetplanner.com/service_request?ID=114235" xr:uid="{94B6B5A0-6BF8-4FB3-ACB2-B082BA01239B}"/>
    <hyperlink ref="K24" r:id="rId38" display="https://us3.assetplanner.com/service_request?ID=114314" xr:uid="{51CF65D4-B384-45B2-8338-72882A4AA20F}"/>
    <hyperlink ref="K25" r:id="rId39" display="https://us3.assetplanner.com/service_request?ID=111328" xr:uid="{7BB17A76-91DD-4E56-B1F7-6C4AC1089B39}"/>
    <hyperlink ref="M25" r:id="rId40" display="https://us3.assetplanner.com/service_request?ID=109835" xr:uid="{B43DAD93-26EB-4A74-B288-E7E5554A2C79}"/>
    <hyperlink ref="N25" r:id="rId41" display="https://us3.assetplanner.com/service_request?ID=110016" xr:uid="{044A9E9D-4ACB-442A-AC47-16F00AA18A15}"/>
    <hyperlink ref="O25" r:id="rId42" display="https://us3.assetplanner.com/service_request?ID=101916" xr:uid="{5A7D31AB-2B9A-416C-981F-2245AFD76C3E}"/>
    <hyperlink ref="P25" r:id="rId43" display="https://us3.assetplanner.com/service_request?ID=109206" xr:uid="{99731D00-7090-4D5E-9E51-2EAB7FC8421B}"/>
    <hyperlink ref="K26" r:id="rId44" display="https://us3.assetplanner.com/service_request?ID=115516" xr:uid="{06C9199F-93E9-467E-9504-79C6C163CEFE}"/>
    <hyperlink ref="K27" r:id="rId45" display="https://us3.assetplanner.com/service_request?ID=113313" xr:uid="{1FB0D3C5-6CE0-4F22-AC08-3C219FAD59FB}"/>
    <hyperlink ref="M27" r:id="rId46" display="https://us3.assetplanner.com/service_request?ID=114055" xr:uid="{163CFB7D-B1F1-48B7-A2E8-672E579C2812}"/>
    <hyperlink ref="K28" r:id="rId47" display="https://us3.assetplanner.com/service_request?ID=115243" xr:uid="{A40878D7-7ED1-45E7-8AE1-219A0B5CF946}"/>
    <hyperlink ref="K29" r:id="rId48" display="https://us3.assetplanner.com/service_request?ID=107959" xr:uid="{514A1909-D201-438A-B076-BF94E770C229}"/>
    <hyperlink ref="M29" r:id="rId49" display="https://us3.assetplanner.com/service_request?ID=108028" xr:uid="{18C77C49-113F-4559-8052-1B3FCEBFA3EE}"/>
    <hyperlink ref="K30" r:id="rId50" display="https://us3.assetplanner.com/service_request?ID=114042" xr:uid="{44C9A706-AF2D-46F5-A1A8-9AEAB69C1A27}"/>
    <hyperlink ref="K31" r:id="rId51" display="https://us3.assetplanner.com/service_request?ID=114468" xr:uid="{303A4061-BA21-429A-940E-CB5099A9BF40}"/>
    <hyperlink ref="K32" r:id="rId52" display="https://us3.assetplanner.com/service_request?ID=112900" xr:uid="{33B3BCDA-BC6E-412C-87D4-BE906A1BD8A2}"/>
    <hyperlink ref="M32" r:id="rId53" display="https://us3.assetplanner.com/service_request?ID=113085" xr:uid="{E5ADED83-2A95-44A4-80A3-1BDA24012D12}"/>
    <hyperlink ref="K33" r:id="rId54" display="https://us3.assetplanner.com/service_request?ID=099815" xr:uid="{4D19CE13-2F46-4F82-9451-CCCA2F2B0FB2}"/>
    <hyperlink ref="M33" r:id="rId55" display="https://us3.assetplanner.com/service_request?ID=099920" xr:uid="{CF2705C0-B222-4018-BAA9-2E81F62F0D2A}"/>
    <hyperlink ref="N33" r:id="rId56" display="https://us3.assetplanner.com/service_request?ID=103531" xr:uid="{9BFF4FEF-09AD-4CF2-A242-75B360FE44CD}"/>
    <hyperlink ref="O33" r:id="rId57" display="https://us3.assetplanner.com/service_request?ID=109204" xr:uid="{98B4B6F1-90DB-477F-B2C9-C87625E14447}"/>
    <hyperlink ref="P33" r:id="rId58" display="https://us3.assetplanner.com/service_request?ID=104024" xr:uid="{A7EF80EC-0FA9-4D73-8AD7-26D38792777B}"/>
    <hyperlink ref="Q33" r:id="rId59" display="https://us3.assetplanner.com/service_request?ID=111353" xr:uid="{D4BCAD10-7386-4C2C-B43E-DC2AB01EFF03}"/>
    <hyperlink ref="R33" r:id="rId60" display="https://us3.assetplanner.com/service_request?ID=105724" xr:uid="{37F5BACB-8795-489A-B6F8-7875B14C0187}"/>
    <hyperlink ref="S33" r:id="rId61" display="https://us3.assetplanner.com/service_request?ID=105808" xr:uid="{84F3493A-2A09-4C18-B318-AAF44368FB2E}"/>
    <hyperlink ref="T33" r:id="rId62" display="https://us3.assetplanner.com/service_request?ID=107262" xr:uid="{1E4B8E1F-73F2-43C0-AEE9-EAA411D9333F}"/>
    <hyperlink ref="U33" r:id="rId63" display="https://us3.assetplanner.com/service_request?ID=109205" xr:uid="{FA6D4B3E-D7EE-4102-91F7-3A4680D03E74}"/>
    <hyperlink ref="V33" r:id="rId64" display="https://us3.assetplanner.com/service_request?ID=099298" xr:uid="{6501952C-D6CA-45B3-AEC6-4B7CE952247C}"/>
    <hyperlink ref="W33" r:id="rId65" display="https://us3.assetplanner.com/service_request?ID=109610" xr:uid="{C67DF329-71D3-43E1-9956-BB75EAD37D86}"/>
    <hyperlink ref="X33" r:id="rId66" display="https://us3.assetplanner.com/service_request?ID=111511" xr:uid="{EAF56FC7-D899-45EC-9C38-B715866BC289}"/>
    <hyperlink ref="Y33" r:id="rId67" display="https://us3.assetplanner.com/service_request?ID=112408" xr:uid="{C8ADC564-7FEE-40F1-B486-6EE77B1E79BB}"/>
    <hyperlink ref="Z33" r:id="rId68" display="https://us3.assetplanner.com/service_request?ID=110794" xr:uid="{4BBB906C-57E8-440C-9126-9C80EFC55801}"/>
    <hyperlink ref="K34" r:id="rId69" display="https://us3.assetplanner.com/service_request?ID=114043" xr:uid="{5207DDA8-43A2-43D2-9F24-29AC49B31551}"/>
    <hyperlink ref="M34" r:id="rId70" display="https://us3.assetplanner.com/service_request?ID=114467" xr:uid="{44FA5681-23AD-430D-A41D-5F4440BEADE1}"/>
    <hyperlink ref="N34" r:id="rId71" display="https://us3.assetplanner.com/service_request?ID=114515" xr:uid="{93B7DDA0-94A2-4DC3-A55C-D4A98C1DDEDE}"/>
    <hyperlink ref="O34" r:id="rId72" display="https://us3.assetplanner.com/service_request?ID=114610" xr:uid="{A6454959-16FD-4B81-8E5E-EBF0F8CB1AB8}"/>
    <hyperlink ref="K35" r:id="rId73" display="https://us3.assetplanner.com/service_request?ID=111499" xr:uid="{6D6B14C1-EF5A-489D-BD85-850F924A3F2E}"/>
  </hyperlinks>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AF63"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24" t="str" cm="1">
        <f t="array" ref="A1">portfolio</f>
        <v>Lodestar</v>
      </c>
      <c r="B1" s="124"/>
      <c r="C1" s="124"/>
      <c r="D1" s="125" t="s">
        <v>146</v>
      </c>
      <c r="E1" s="125"/>
      <c r="F1" s="125"/>
      <c r="G1" s="123" t="s">
        <v>147</v>
      </c>
      <c r="H1" s="123"/>
      <c r="I1" s="123"/>
      <c r="J1" s="4"/>
      <c r="K1" s="4"/>
    </row>
    <row r="2" spans="1:20"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15.6">
      <c r="A4" s="61"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c r="L4" s="73"/>
      <c r="M4" s="73"/>
      <c r="N4" s="73"/>
      <c r="O4" s="73"/>
      <c r="P4" s="73"/>
      <c r="Q4" s="73"/>
      <c r="R4" s="73"/>
      <c r="S4" s="73"/>
      <c r="T4" s="73"/>
    </row>
    <row r="5" spans="1:20" ht="15.6">
      <c r="A5" s="44" t="str">
        <v>Bunce</v>
      </c>
      <c r="B5" s="29" t="str">
        <v>CT</v>
      </c>
      <c r="C5" s="11"/>
      <c r="D5" s="18"/>
      <c r="E5" s="18" t="str">
        <f t="shared" ref="E5:E34" si="0">IF(AND(ISNUMBER(C5),ISNUMBER(D5)), C5-D5, "")</f>
        <v/>
      </c>
      <c r="F5" s="19" t="str">
        <f>IFERROR(E5/D5, "")</f>
        <v/>
      </c>
      <c r="G5" s="66"/>
      <c r="H5" s="20" t="str">
        <f t="shared" ref="H5:H34" si="1">IF(AND(ISNUMBER(C5),ISNUMBER(G5)), C5-G5, "")</f>
        <v/>
      </c>
      <c r="I5" s="19" t="str">
        <f t="shared" ref="I5:I27" si="2">IFERROR(H5/G5, "")</f>
        <v/>
      </c>
      <c r="J5" s="39"/>
      <c r="K5" s="70"/>
      <c r="L5" s="74"/>
      <c r="M5" s="73"/>
      <c r="N5" s="73"/>
      <c r="O5" s="73"/>
      <c r="P5" s="73"/>
      <c r="Q5" s="73"/>
      <c r="R5" s="73"/>
      <c r="S5" s="73"/>
      <c r="T5" s="73"/>
    </row>
    <row r="6" spans="1:20" ht="15.6">
      <c r="A6" s="61" t="str">
        <v>Norcap North</v>
      </c>
      <c r="B6" s="27" t="str">
        <v>CT</v>
      </c>
      <c r="C6" s="24"/>
      <c r="D6" s="13"/>
      <c r="E6" s="13" t="str">
        <f t="shared" si="0"/>
        <v/>
      </c>
      <c r="F6" s="14" t="str">
        <f t="shared" ref="F6:F34" si="3">IFERROR(E6/D6, "")</f>
        <v/>
      </c>
      <c r="G6" s="15"/>
      <c r="H6" s="15" t="str">
        <f t="shared" si="1"/>
        <v/>
      </c>
      <c r="I6" s="16" t="str">
        <f t="shared" si="2"/>
        <v/>
      </c>
      <c r="J6" s="38"/>
      <c r="K6" s="69"/>
      <c r="L6" s="74"/>
      <c r="M6" s="74"/>
      <c r="N6" s="74"/>
      <c r="O6" s="73"/>
      <c r="P6" s="73"/>
      <c r="Q6" s="73"/>
      <c r="R6" s="73"/>
      <c r="S6" s="73"/>
      <c r="T6" s="73"/>
    </row>
    <row r="7" spans="1:20" ht="15.6">
      <c r="A7" s="44" t="str">
        <v>Norcap South</v>
      </c>
      <c r="B7" s="29" t="str">
        <v>CT</v>
      </c>
      <c r="C7" s="11"/>
      <c r="D7" s="18"/>
      <c r="E7" s="18" t="str">
        <f t="shared" si="0"/>
        <v/>
      </c>
      <c r="F7" s="19" t="str">
        <f t="shared" si="3"/>
        <v/>
      </c>
      <c r="G7" s="20"/>
      <c r="H7" s="20" t="str">
        <f t="shared" si="1"/>
        <v/>
      </c>
      <c r="I7" s="19" t="str">
        <f t="shared" si="2"/>
        <v/>
      </c>
      <c r="J7" s="39"/>
      <c r="K7" s="71"/>
      <c r="L7" s="73"/>
      <c r="M7" s="73"/>
      <c r="N7" s="73"/>
      <c r="O7" s="73"/>
      <c r="P7" s="73"/>
      <c r="Q7" s="73"/>
      <c r="R7" s="73"/>
      <c r="S7" s="73"/>
      <c r="T7" s="73"/>
    </row>
    <row r="8" spans="1:20" ht="81.75" customHeight="1">
      <c r="A8" s="61" t="str">
        <v>Platt Hill</v>
      </c>
      <c r="B8" s="27" t="str">
        <v>CT</v>
      </c>
      <c r="C8" s="24"/>
      <c r="D8" s="13"/>
      <c r="E8" s="13" t="str">
        <f t="shared" si="0"/>
        <v/>
      </c>
      <c r="F8" s="14" t="str">
        <f t="shared" si="3"/>
        <v/>
      </c>
      <c r="G8" s="15"/>
      <c r="H8" s="15" t="str">
        <f t="shared" si="1"/>
        <v/>
      </c>
      <c r="I8" s="16" t="str">
        <f t="shared" si="2"/>
        <v/>
      </c>
      <c r="J8" s="38"/>
      <c r="K8" s="69"/>
      <c r="L8" s="73"/>
      <c r="M8" s="73"/>
      <c r="N8" s="73"/>
      <c r="O8" s="73"/>
      <c r="P8" s="73"/>
      <c r="Q8" s="73"/>
      <c r="R8" s="73"/>
      <c r="S8" s="73"/>
      <c r="T8" s="73"/>
    </row>
    <row r="9" spans="1:20" ht="46.5" customHeight="1">
      <c r="A9" s="44" t="str">
        <v>Powder Hill</v>
      </c>
      <c r="B9" s="29" t="str">
        <v>CT</v>
      </c>
      <c r="C9" s="11"/>
      <c r="D9" s="18"/>
      <c r="E9" s="18" t="str">
        <f t="shared" si="0"/>
        <v/>
      </c>
      <c r="F9" s="19" t="str">
        <f t="shared" si="3"/>
        <v/>
      </c>
      <c r="G9" s="20"/>
      <c r="H9" s="20" t="str">
        <f t="shared" si="1"/>
        <v/>
      </c>
      <c r="I9" s="19" t="str">
        <f t="shared" si="2"/>
        <v/>
      </c>
      <c r="J9" s="48"/>
      <c r="K9" s="72"/>
      <c r="L9" s="74"/>
      <c r="M9" s="73"/>
      <c r="N9" s="73"/>
      <c r="O9" s="73"/>
      <c r="P9" s="73"/>
      <c r="Q9" s="73"/>
      <c r="R9" s="73"/>
      <c r="S9" s="73"/>
      <c r="T9" s="73"/>
    </row>
    <row r="10" spans="1:20" ht="15.6">
      <c r="A10" s="61" t="str">
        <v>Sand Road</v>
      </c>
      <c r="B10" s="27" t="str">
        <v>CT</v>
      </c>
      <c r="C10" s="24"/>
      <c r="D10" s="13"/>
      <c r="E10" s="13" t="str">
        <f t="shared" si="0"/>
        <v/>
      </c>
      <c r="F10" s="14" t="str">
        <f t="shared" si="3"/>
        <v/>
      </c>
      <c r="G10" s="15"/>
      <c r="H10" s="15" t="str">
        <f t="shared" si="1"/>
        <v/>
      </c>
      <c r="I10" s="16" t="str">
        <f t="shared" si="2"/>
        <v/>
      </c>
      <c r="J10" s="38"/>
      <c r="K10" s="69"/>
      <c r="L10" s="74"/>
      <c r="M10" s="74"/>
      <c r="N10" s="73"/>
      <c r="O10" s="73"/>
      <c r="P10" s="73"/>
      <c r="Q10" s="73"/>
      <c r="R10" s="73"/>
      <c r="S10" s="73"/>
      <c r="T10" s="73"/>
    </row>
    <row r="11" spans="1:20" ht="15.6">
      <c r="A11" s="44" t="str">
        <v>Suffield</v>
      </c>
      <c r="B11" s="29" t="str">
        <v>CT</v>
      </c>
      <c r="C11" s="11"/>
      <c r="D11" s="18"/>
      <c r="E11" s="18" t="str">
        <f t="shared" si="0"/>
        <v/>
      </c>
      <c r="F11" s="19" t="str">
        <f t="shared" si="3"/>
        <v/>
      </c>
      <c r="G11" s="20"/>
      <c r="H11" s="20" t="str">
        <f t="shared" si="1"/>
        <v/>
      </c>
      <c r="I11" s="19" t="str">
        <f t="shared" si="2"/>
        <v/>
      </c>
      <c r="J11" s="39"/>
      <c r="K11" s="70"/>
      <c r="L11" s="74"/>
      <c r="M11" s="73"/>
      <c r="N11" s="73"/>
      <c r="O11" s="73"/>
      <c r="P11" s="73"/>
      <c r="Q11" s="73"/>
      <c r="R11" s="73"/>
      <c r="S11" s="73"/>
      <c r="T11" s="73"/>
    </row>
    <row r="12" spans="1:20" ht="15.6">
      <c r="A12" s="61" t="str">
        <v>Ashby-Duffy</v>
      </c>
      <c r="B12" s="27" t="str">
        <v>MA</v>
      </c>
      <c r="C12" s="24"/>
      <c r="D12" s="13"/>
      <c r="E12" s="13" t="str">
        <f t="shared" si="0"/>
        <v/>
      </c>
      <c r="F12" s="14" t="str">
        <f t="shared" si="3"/>
        <v/>
      </c>
      <c r="G12" s="15"/>
      <c r="H12" s="15" t="str">
        <f t="shared" si="1"/>
        <v/>
      </c>
      <c r="I12" s="16" t="str">
        <f t="shared" si="2"/>
        <v/>
      </c>
      <c r="J12" s="38"/>
      <c r="K12" s="69"/>
      <c r="L12" s="74"/>
      <c r="M12" s="74"/>
      <c r="N12" s="74"/>
      <c r="O12" s="73"/>
      <c r="P12" s="73"/>
      <c r="Q12" s="73"/>
      <c r="R12" s="73"/>
      <c r="S12" s="73"/>
      <c r="T12" s="73"/>
    </row>
    <row r="13" spans="1:20" ht="15.6">
      <c r="A13" s="44" t="str">
        <v>Ashland</v>
      </c>
      <c r="B13" s="29" t="str">
        <v>MA</v>
      </c>
      <c r="C13" s="11"/>
      <c r="D13" s="18"/>
      <c r="E13" s="18" t="str">
        <f t="shared" si="0"/>
        <v/>
      </c>
      <c r="F13" s="19" t="str">
        <f t="shared" si="3"/>
        <v/>
      </c>
      <c r="G13" s="20"/>
      <c r="H13" s="20" t="str">
        <f t="shared" si="1"/>
        <v/>
      </c>
      <c r="I13" s="19" t="str">
        <f t="shared" si="2"/>
        <v/>
      </c>
      <c r="J13" s="39"/>
      <c r="K13" s="70"/>
      <c r="L13" s="74"/>
      <c r="M13" s="74"/>
      <c r="N13" s="74"/>
      <c r="O13" s="74"/>
      <c r="P13" s="74"/>
      <c r="Q13" s="74"/>
      <c r="R13" s="74"/>
      <c r="S13" s="74"/>
      <c r="T13" s="73"/>
    </row>
    <row r="14" spans="1:20" ht="15.6">
      <c r="A14" s="43" t="str">
        <v>Barrington</v>
      </c>
      <c r="B14" s="27" t="str">
        <v>MA</v>
      </c>
      <c r="C14" s="24"/>
      <c r="D14" s="13"/>
      <c r="E14" s="13" t="str">
        <f t="shared" si="0"/>
        <v/>
      </c>
      <c r="F14" s="14" t="str">
        <f t="shared" si="3"/>
        <v/>
      </c>
      <c r="G14" s="15"/>
      <c r="H14" s="15" t="str">
        <f t="shared" si="1"/>
        <v/>
      </c>
      <c r="I14" s="16" t="str">
        <f t="shared" si="2"/>
        <v/>
      </c>
      <c r="J14" s="38"/>
      <c r="K14" s="38"/>
      <c r="L14" s="73"/>
      <c r="M14" s="73"/>
      <c r="N14" s="73"/>
      <c r="O14" s="73"/>
      <c r="P14" s="73"/>
      <c r="Q14" s="73"/>
      <c r="R14" s="73"/>
      <c r="S14" s="73"/>
      <c r="T14" s="73"/>
    </row>
    <row r="15" spans="1:20" ht="15.6">
      <c r="A15" s="44" t="str">
        <v>Bedford - 205 Burlington Rd</v>
      </c>
      <c r="B15" s="29" t="str">
        <v>MA</v>
      </c>
      <c r="C15" s="60"/>
      <c r="D15" s="18"/>
      <c r="E15" s="18" t="str">
        <f t="shared" si="0"/>
        <v/>
      </c>
      <c r="F15" s="19" t="str">
        <f t="shared" si="3"/>
        <v/>
      </c>
      <c r="G15" s="66"/>
      <c r="H15" s="20" t="str">
        <f t="shared" si="1"/>
        <v/>
      </c>
      <c r="I15" s="19" t="str">
        <f t="shared" si="2"/>
        <v/>
      </c>
      <c r="J15" s="39"/>
      <c r="K15" s="39"/>
      <c r="L15" s="73"/>
      <c r="M15" s="73"/>
      <c r="N15" s="73"/>
      <c r="O15" s="73"/>
      <c r="P15" s="73"/>
      <c r="Q15" s="73"/>
      <c r="R15" s="73"/>
      <c r="S15" s="73"/>
      <c r="T15" s="73"/>
    </row>
    <row r="16" spans="1:20" ht="15.6">
      <c r="A16" s="43" t="str">
        <v>Billerica - 6 Cook Street</v>
      </c>
      <c r="B16" s="27" t="str">
        <v>MA</v>
      </c>
      <c r="C16" s="24"/>
      <c r="D16" s="13"/>
      <c r="E16" s="13" t="str">
        <f t="shared" si="0"/>
        <v/>
      </c>
      <c r="F16" s="14" t="str">
        <f t="shared" si="3"/>
        <v/>
      </c>
      <c r="G16" s="67"/>
      <c r="H16" s="15" t="str">
        <f t="shared" si="1"/>
        <v/>
      </c>
      <c r="I16" s="16" t="str">
        <f t="shared" si="2"/>
        <v/>
      </c>
      <c r="J16" s="38"/>
      <c r="K16" s="38"/>
      <c r="L16" s="73"/>
      <c r="M16" s="73"/>
      <c r="N16" s="73"/>
      <c r="O16" s="73"/>
      <c r="P16" s="73"/>
      <c r="Q16" s="73"/>
      <c r="R16" s="73"/>
      <c r="S16" s="73"/>
      <c r="T16" s="73"/>
    </row>
    <row r="17" spans="1:20" ht="15.6">
      <c r="A17" s="44" t="str">
        <v>Billerica - 780 Boston Road</v>
      </c>
      <c r="B17" s="29" t="str">
        <v>MA</v>
      </c>
      <c r="C17" s="11"/>
      <c r="D17" s="18"/>
      <c r="E17" s="18" t="str">
        <f t="shared" si="0"/>
        <v/>
      </c>
      <c r="F17" s="19" t="str">
        <f t="shared" si="3"/>
        <v/>
      </c>
      <c r="G17" s="66"/>
      <c r="H17" s="20" t="str">
        <f t="shared" si="1"/>
        <v/>
      </c>
      <c r="I17" s="19" t="str">
        <f t="shared" si="2"/>
        <v/>
      </c>
      <c r="J17" s="39"/>
      <c r="K17" s="72"/>
      <c r="L17" s="73"/>
      <c r="M17" s="73"/>
      <c r="N17" s="73"/>
      <c r="O17" s="73"/>
      <c r="P17" s="73"/>
      <c r="Q17" s="73"/>
      <c r="R17" s="73"/>
      <c r="S17" s="73"/>
      <c r="T17" s="73"/>
    </row>
    <row r="18" spans="1:20" ht="16.5" customHeight="1">
      <c r="A18" s="43" t="str">
        <v>Cheshire</v>
      </c>
      <c r="B18" s="27" t="str">
        <v>MA</v>
      </c>
      <c r="C18" s="24"/>
      <c r="D18" s="13"/>
      <c r="E18" s="13" t="str">
        <f t="shared" si="0"/>
        <v/>
      </c>
      <c r="F18" s="14" t="str">
        <f t="shared" si="3"/>
        <v/>
      </c>
      <c r="G18" s="15"/>
      <c r="H18" s="15" t="str">
        <f t="shared" si="1"/>
        <v/>
      </c>
      <c r="I18" s="16" t="str">
        <f t="shared" si="2"/>
        <v/>
      </c>
      <c r="J18" s="38"/>
      <c r="K18" s="38"/>
      <c r="L18" s="73"/>
      <c r="M18" s="73"/>
      <c r="N18" s="73"/>
      <c r="O18" s="73"/>
      <c r="P18" s="73"/>
      <c r="Q18" s="73"/>
      <c r="R18" s="73"/>
      <c r="S18" s="73"/>
      <c r="T18" s="73"/>
    </row>
    <row r="19" spans="1:20" ht="15.6">
      <c r="A19" s="44" t="str">
        <v>Lilly Lane</v>
      </c>
      <c r="B19" s="29" t="str">
        <v>MA</v>
      </c>
      <c r="C19" s="11"/>
      <c r="D19" s="18"/>
      <c r="E19" s="18" t="str">
        <f t="shared" si="0"/>
        <v/>
      </c>
      <c r="F19" s="19" t="str">
        <f t="shared" si="3"/>
        <v/>
      </c>
      <c r="G19" s="20"/>
      <c r="H19" s="20" t="str">
        <f t="shared" si="1"/>
        <v/>
      </c>
      <c r="I19" s="19" t="str">
        <f t="shared" si="2"/>
        <v/>
      </c>
      <c r="J19" s="39"/>
      <c r="K19" s="70"/>
      <c r="L19" s="74"/>
      <c r="M19" s="74"/>
      <c r="N19" s="74"/>
      <c r="O19" s="74"/>
      <c r="P19" s="73"/>
      <c r="Q19" s="73"/>
      <c r="R19" s="73"/>
      <c r="S19" s="73"/>
      <c r="T19" s="73"/>
    </row>
    <row r="20" spans="1:20" ht="15.6">
      <c r="A20" s="61" t="str">
        <v>Monument Valley</v>
      </c>
      <c r="B20" s="27" t="str">
        <v>MA</v>
      </c>
      <c r="C20" s="24"/>
      <c r="D20" s="13"/>
      <c r="E20" s="13" t="str">
        <f t="shared" si="0"/>
        <v/>
      </c>
      <c r="F20" s="14" t="str">
        <f t="shared" si="3"/>
        <v/>
      </c>
      <c r="G20" s="67"/>
      <c r="H20" s="15" t="str">
        <f t="shared" si="1"/>
        <v/>
      </c>
      <c r="I20" s="16" t="str">
        <f t="shared" si="2"/>
        <v/>
      </c>
      <c r="J20" s="38"/>
      <c r="K20" s="69"/>
      <c r="L20" s="74"/>
      <c r="M20" s="73"/>
      <c r="N20" s="73"/>
      <c r="O20" s="73"/>
      <c r="P20" s="73"/>
      <c r="Q20" s="73"/>
      <c r="R20" s="73"/>
      <c r="S20" s="73"/>
      <c r="T20" s="73"/>
    </row>
    <row r="21" spans="1:20" ht="15.6">
      <c r="A21" s="44" t="str">
        <v>Nationwide</v>
      </c>
      <c r="B21" s="29" t="str">
        <v>MA</v>
      </c>
      <c r="C21" s="11"/>
      <c r="D21" s="18"/>
      <c r="E21" s="18" t="str">
        <f t="shared" si="0"/>
        <v/>
      </c>
      <c r="F21" s="19" t="str">
        <f t="shared" si="3"/>
        <v/>
      </c>
      <c r="G21" s="20"/>
      <c r="H21" s="20" t="str">
        <f t="shared" si="1"/>
        <v/>
      </c>
      <c r="I21" s="19" t="str">
        <f t="shared" si="2"/>
        <v/>
      </c>
      <c r="J21" s="39"/>
      <c r="K21" s="70"/>
      <c r="L21" s="73"/>
      <c r="M21" s="73"/>
      <c r="N21" s="73"/>
      <c r="O21" s="73"/>
      <c r="P21" s="73"/>
      <c r="Q21" s="73"/>
      <c r="R21" s="73"/>
      <c r="S21" s="73"/>
      <c r="T21" s="73"/>
    </row>
    <row r="22" spans="1:20" ht="15.6">
      <c r="A22" s="61" t="str">
        <v>Pulpit Hill</v>
      </c>
      <c r="B22" s="27" t="str">
        <v>MA</v>
      </c>
      <c r="C22" s="24"/>
      <c r="D22" s="13"/>
      <c r="E22" s="13" t="str">
        <f t="shared" si="0"/>
        <v/>
      </c>
      <c r="F22" s="14" t="str">
        <f t="shared" si="3"/>
        <v/>
      </c>
      <c r="G22" s="15"/>
      <c r="H22" s="15" t="str">
        <f t="shared" si="1"/>
        <v/>
      </c>
      <c r="I22" s="16" t="str">
        <f t="shared" si="2"/>
        <v/>
      </c>
      <c r="J22" s="38"/>
      <c r="K22" s="69"/>
      <c r="L22" s="74"/>
      <c r="M22" s="74"/>
      <c r="N22" s="74"/>
      <c r="O22" s="74"/>
      <c r="P22" s="73"/>
      <c r="Q22" s="73"/>
      <c r="R22" s="73"/>
      <c r="S22" s="73"/>
      <c r="T22" s="73"/>
    </row>
    <row r="23" spans="1:20" ht="15.6">
      <c r="A23" s="44" t="str">
        <v>Sandwich</v>
      </c>
      <c r="B23" s="29" t="str">
        <v>MA</v>
      </c>
      <c r="C23" s="11"/>
      <c r="D23" s="18"/>
      <c r="E23" s="18" t="str">
        <f t="shared" si="0"/>
        <v/>
      </c>
      <c r="F23" s="19" t="str">
        <f t="shared" si="3"/>
        <v/>
      </c>
      <c r="G23" s="20"/>
      <c r="H23" s="20" t="str">
        <f t="shared" si="1"/>
        <v/>
      </c>
      <c r="I23" s="19" t="str">
        <f t="shared" si="2"/>
        <v/>
      </c>
      <c r="J23" s="39"/>
      <c r="K23" s="70"/>
      <c r="L23" s="74"/>
      <c r="M23" s="74"/>
      <c r="N23" s="73"/>
      <c r="O23" s="73"/>
      <c r="P23" s="73"/>
      <c r="Q23" s="73"/>
      <c r="R23" s="73"/>
      <c r="S23" s="73"/>
      <c r="T23" s="73"/>
    </row>
    <row r="24" spans="1:20" ht="15.6">
      <c r="A24" s="61" t="str">
        <v>Sturbridge Barn</v>
      </c>
      <c r="B24" s="27" t="str">
        <v>MA</v>
      </c>
      <c r="C24" s="24"/>
      <c r="D24" s="13"/>
      <c r="E24" s="13" t="str">
        <f t="shared" si="0"/>
        <v/>
      </c>
      <c r="F24" s="14" t="str">
        <f t="shared" si="3"/>
        <v/>
      </c>
      <c r="G24" s="15"/>
      <c r="H24" s="15" t="str">
        <f t="shared" si="1"/>
        <v/>
      </c>
      <c r="I24" s="16" t="str">
        <f t="shared" si="2"/>
        <v/>
      </c>
      <c r="J24" s="38"/>
      <c r="K24" s="69"/>
      <c r="L24" s="74"/>
      <c r="M24" s="73"/>
      <c r="N24" s="73"/>
      <c r="O24" s="73"/>
      <c r="P24" s="73"/>
      <c r="Q24" s="73"/>
      <c r="R24" s="73"/>
      <c r="S24" s="73"/>
      <c r="T24" s="73"/>
    </row>
    <row r="25" spans="1:20" ht="15.6">
      <c r="A25" s="44" t="str">
        <v>Sturbridge Garage</v>
      </c>
      <c r="B25" s="29" t="str">
        <v>MA</v>
      </c>
      <c r="C25" s="11"/>
      <c r="D25" s="18"/>
      <c r="E25" s="18" t="str">
        <f t="shared" si="0"/>
        <v/>
      </c>
      <c r="F25" s="19" t="str">
        <f t="shared" si="3"/>
        <v/>
      </c>
      <c r="G25" s="20"/>
      <c r="H25" s="20" t="str">
        <f t="shared" si="1"/>
        <v/>
      </c>
      <c r="I25" s="19" t="str">
        <f t="shared" si="2"/>
        <v/>
      </c>
      <c r="J25" s="39"/>
      <c r="K25" s="39"/>
      <c r="L25" s="73"/>
      <c r="M25" s="73"/>
      <c r="N25" s="73"/>
      <c r="O25" s="73"/>
      <c r="P25" s="73"/>
      <c r="Q25" s="73"/>
      <c r="R25" s="73"/>
      <c r="S25" s="73"/>
      <c r="T25" s="73"/>
    </row>
    <row r="26" spans="1:20" ht="15.6">
      <c r="A26" s="43" t="str">
        <v>Halsey Valley</v>
      </c>
      <c r="B26" s="27" t="str">
        <v>NY</v>
      </c>
      <c r="C26" s="24"/>
      <c r="D26" s="13"/>
      <c r="E26" s="13" t="str">
        <f t="shared" si="0"/>
        <v/>
      </c>
      <c r="F26" s="14" t="str">
        <f t="shared" si="3"/>
        <v/>
      </c>
      <c r="G26" s="15"/>
      <c r="H26" s="15" t="str">
        <f t="shared" si="1"/>
        <v/>
      </c>
      <c r="I26" s="16" t="str">
        <f t="shared" si="2"/>
        <v/>
      </c>
      <c r="J26" s="38"/>
      <c r="K26" s="38"/>
      <c r="L26" s="73"/>
      <c r="M26" s="73"/>
      <c r="N26" s="73"/>
      <c r="O26" s="73"/>
      <c r="P26" s="73"/>
      <c r="Q26" s="73"/>
      <c r="R26" s="73"/>
      <c r="S26" s="73"/>
      <c r="T26" s="73"/>
    </row>
    <row r="27" spans="1:20" ht="15.6">
      <c r="A27" s="44" t="str">
        <v>Hunt Creek</v>
      </c>
      <c r="B27" s="29" t="str">
        <v>NY</v>
      </c>
      <c r="C27" s="11"/>
      <c r="D27" s="18"/>
      <c r="E27" s="18" t="str">
        <f t="shared" si="0"/>
        <v/>
      </c>
      <c r="F27" s="19" t="str">
        <f t="shared" si="3"/>
        <v/>
      </c>
      <c r="G27" s="20"/>
      <c r="H27" s="20" t="str">
        <f t="shared" si="1"/>
        <v/>
      </c>
      <c r="I27" s="19" t="str">
        <f t="shared" si="2"/>
        <v/>
      </c>
      <c r="J27" s="39"/>
      <c r="K27" s="70"/>
      <c r="L27" s="74"/>
      <c r="M27" s="74"/>
      <c r="N27" s="73"/>
      <c r="O27" s="73"/>
      <c r="P27" s="73"/>
      <c r="Q27" s="73"/>
      <c r="R27" s="73"/>
      <c r="S27" s="73"/>
      <c r="T27" s="73"/>
    </row>
    <row r="28" spans="1:20" ht="50.25" customHeight="1">
      <c r="A28" s="61" t="str">
        <v>Smith Creek</v>
      </c>
      <c r="B28" s="27" t="str">
        <v>NY</v>
      </c>
      <c r="C28" s="24"/>
      <c r="D28" s="13"/>
      <c r="E28" s="13" t="str">
        <f t="shared" si="0"/>
        <v/>
      </c>
      <c r="F28" s="14" t="str">
        <f t="shared" si="3"/>
        <v/>
      </c>
      <c r="G28" s="15"/>
      <c r="H28" s="15" t="str">
        <f t="shared" si="1"/>
        <v/>
      </c>
      <c r="I28" s="16" t="str">
        <f>IFERROR(H28/G28, "")</f>
        <v/>
      </c>
      <c r="J28" s="38"/>
      <c r="K28" s="69"/>
      <c r="L28" s="73"/>
      <c r="M28" s="73"/>
      <c r="N28" s="73"/>
      <c r="O28" s="73"/>
      <c r="P28" s="73"/>
      <c r="Q28" s="73"/>
      <c r="R28" s="73"/>
      <c r="S28" s="73"/>
      <c r="T28" s="73"/>
    </row>
    <row r="29" spans="1:20" ht="15.6">
      <c r="A29" s="44" t="str">
        <v>Bradford - 256 Presidential Dr</v>
      </c>
      <c r="B29" s="29" t="str">
        <v>MA</v>
      </c>
      <c r="C29" s="58"/>
      <c r="D29" s="18"/>
      <c r="E29" s="18" t="str">
        <f>IF(AND(ISNUMBER(C29),ISNUMBER(D29)), C29-D29, "")</f>
        <v/>
      </c>
      <c r="F29" s="52" t="str">
        <f>IFERROR(E29/D29, "")</f>
        <v/>
      </c>
      <c r="G29" s="50"/>
      <c r="H29" s="50" t="str">
        <f>IF(AND(ISNUMBER(C29),ISNUMBER(G29)), C29-G29, "")</f>
        <v/>
      </c>
      <c r="I29" s="52" t="str">
        <f>IFERROR(H29/G29, "")</f>
        <v/>
      </c>
      <c r="J29" s="39"/>
      <c r="K29" s="70"/>
      <c r="L29" s="74"/>
      <c r="M29" s="74"/>
      <c r="N29" s="73"/>
      <c r="O29" s="73"/>
      <c r="P29" s="73"/>
      <c r="Q29" s="73"/>
      <c r="R29" s="73"/>
      <c r="S29" s="73"/>
      <c r="T29" s="73"/>
    </row>
    <row r="30" spans="1:20" ht="62.25" customHeight="1">
      <c r="A30" s="61" t="str">
        <v>Charlton – 111 Brookfield Road - Bus Lot</v>
      </c>
      <c r="B30" s="27" t="str">
        <v>MA</v>
      </c>
      <c r="C30" s="24"/>
      <c r="D30" s="13"/>
      <c r="E30" s="13" t="str">
        <f t="shared" si="0"/>
        <v/>
      </c>
      <c r="F30" s="14" t="str">
        <f t="shared" si="3"/>
        <v/>
      </c>
      <c r="G30" s="15"/>
      <c r="H30" s="15" t="str">
        <f t="shared" si="1"/>
        <v/>
      </c>
      <c r="I30" s="16" t="str">
        <f t="shared" ref="I30:I34" si="4">IFERROR(H30/G30, "")</f>
        <v/>
      </c>
      <c r="J30" s="38"/>
      <c r="K30" s="69"/>
      <c r="L30" s="74"/>
      <c r="M30" s="73"/>
      <c r="N30" s="73"/>
      <c r="O30" s="73"/>
      <c r="P30" s="73"/>
      <c r="Q30" s="73"/>
      <c r="R30" s="73"/>
      <c r="S30" s="73"/>
      <c r="T30" s="73"/>
    </row>
    <row r="31" spans="1:20" ht="15.6">
      <c r="A31" s="44" t="str">
        <v>Charlton – 154 Center Depot Road KMARD</v>
      </c>
      <c r="B31" s="29" t="str">
        <v>MA</v>
      </c>
      <c r="C31" s="11"/>
      <c r="D31" s="18"/>
      <c r="E31" s="18" t="str">
        <f t="shared" si="0"/>
        <v/>
      </c>
      <c r="F31" s="52" t="str">
        <f t="shared" si="3"/>
        <v/>
      </c>
      <c r="G31" s="20"/>
      <c r="H31" s="50" t="str">
        <f t="shared" si="1"/>
        <v/>
      </c>
      <c r="I31" s="52" t="str">
        <f t="shared" si="4"/>
        <v/>
      </c>
      <c r="J31" s="39"/>
      <c r="K31" s="70"/>
      <c r="L31" s="74"/>
      <c r="M31" s="74"/>
      <c r="N31" s="73"/>
      <c r="O31" s="73"/>
      <c r="P31" s="73"/>
      <c r="Q31" s="73"/>
      <c r="R31" s="73"/>
      <c r="S31" s="73"/>
      <c r="T31" s="73"/>
    </row>
    <row r="32" spans="1:20" ht="15.6">
      <c r="A32" s="43" t="str">
        <v>Charlton – 142A Brookfield Rd (Mitchell)</v>
      </c>
      <c r="B32" s="27" t="str">
        <v>MA</v>
      </c>
      <c r="C32" s="24"/>
      <c r="D32" s="13"/>
      <c r="E32" s="13" t="str">
        <f t="shared" si="0"/>
        <v/>
      </c>
      <c r="F32" s="14" t="str">
        <f t="shared" si="3"/>
        <v/>
      </c>
      <c r="G32" s="15"/>
      <c r="H32" s="15" t="str">
        <f t="shared" si="1"/>
        <v/>
      </c>
      <c r="I32" s="16" t="str">
        <f t="shared" si="4"/>
        <v/>
      </c>
      <c r="J32" s="38"/>
      <c r="K32" s="69"/>
      <c r="L32" s="74"/>
      <c r="M32" s="73"/>
      <c r="N32" s="73"/>
      <c r="O32" s="73"/>
      <c r="P32" s="73"/>
      <c r="Q32" s="73"/>
      <c r="R32" s="73"/>
      <c r="S32" s="73"/>
      <c r="T32" s="73"/>
    </row>
    <row r="33" spans="1:20" ht="15.6">
      <c r="A33" s="44" t="str">
        <v>Great Barrington – 3 Nolan  Drive</v>
      </c>
      <c r="B33" s="29" t="str">
        <v>MA</v>
      </c>
      <c r="C33" s="11"/>
      <c r="D33" s="18"/>
      <c r="E33" s="18" t="str">
        <f t="shared" si="0"/>
        <v/>
      </c>
      <c r="F33" s="52" t="str">
        <f t="shared" si="3"/>
        <v/>
      </c>
      <c r="G33" s="20"/>
      <c r="H33" s="50" t="str">
        <f t="shared" si="1"/>
        <v/>
      </c>
      <c r="I33" s="52" t="str">
        <f t="shared" si="4"/>
        <v/>
      </c>
      <c r="J33" s="39"/>
      <c r="K33" s="72"/>
      <c r="L33" s="74"/>
      <c r="M33" s="73"/>
      <c r="N33" s="73"/>
      <c r="O33" s="73"/>
      <c r="P33" s="73"/>
      <c r="Q33" s="73"/>
      <c r="R33" s="73"/>
      <c r="S33" s="73"/>
      <c r="T33" s="73"/>
    </row>
    <row r="34" spans="1:20" ht="15.6">
      <c r="A34" s="61" t="str">
        <v>Stockbridge – 92 State Line Road Truck Stop</v>
      </c>
      <c r="B34" s="27" t="str">
        <v>MA</v>
      </c>
      <c r="C34" s="24"/>
      <c r="D34" s="13"/>
      <c r="E34" s="13" t="str">
        <f t="shared" si="0"/>
        <v/>
      </c>
      <c r="F34" s="14" t="str">
        <f t="shared" si="3"/>
        <v/>
      </c>
      <c r="G34" s="15"/>
      <c r="H34" s="15" t="str">
        <f t="shared" si="1"/>
        <v/>
      </c>
      <c r="I34" s="16" t="str">
        <f t="shared" si="4"/>
        <v/>
      </c>
      <c r="J34" s="38"/>
      <c r="K34" s="69"/>
      <c r="L34" s="74"/>
      <c r="M34" s="74"/>
      <c r="N34" s="74"/>
      <c r="O34" s="74"/>
      <c r="P34" s="74"/>
      <c r="Q34" s="74"/>
      <c r="R34" s="74"/>
      <c r="S34" s="74"/>
      <c r="T34" s="73"/>
    </row>
    <row r="35" spans="1:20" ht="14.45">
      <c r="A35" s="21" t="str">
        <v>NY: New Windsor - Moores Hill</v>
      </c>
      <c r="B35" s="31" t="str">
        <v>NY</v>
      </c>
      <c r="C35" s="21"/>
      <c r="D35" s="21"/>
      <c r="E35" s="21"/>
      <c r="F35" s="21"/>
      <c r="G35" s="21"/>
      <c r="H35" s="21"/>
      <c r="I35" s="65"/>
      <c r="J35" s="21"/>
      <c r="K35" s="21"/>
    </row>
    <row r="36" spans="1:20" ht="15.6">
      <c r="A36" s="44"/>
      <c r="B36" s="29"/>
      <c r="C36" s="11"/>
      <c r="D36" s="18"/>
      <c r="E36" s="18"/>
      <c r="F36" s="52"/>
      <c r="G36" s="20"/>
      <c r="H36" s="50"/>
      <c r="I36" s="64"/>
      <c r="J36" s="39"/>
      <c r="K36" s="39"/>
    </row>
    <row r="37" spans="1:20" ht="14.45">
      <c r="A37" s="21"/>
      <c r="B37" s="31"/>
      <c r="C37" s="21"/>
      <c r="D37" s="21"/>
      <c r="E37" s="21"/>
      <c r="F37" s="22"/>
      <c r="G37" s="21"/>
      <c r="H37" s="21"/>
      <c r="I37" s="22"/>
      <c r="J37" s="21"/>
      <c r="K37" s="21"/>
    </row>
    <row r="38" spans="1:20" ht="14.45">
      <c r="A38" s="21"/>
      <c r="B38" s="31"/>
      <c r="C38" s="21"/>
      <c r="D38" s="21"/>
      <c r="E38" s="21"/>
      <c r="F38" s="22"/>
      <c r="G38" s="21"/>
      <c r="H38" s="21"/>
      <c r="I38" s="22"/>
      <c r="J38" s="21"/>
      <c r="K38" s="21"/>
    </row>
    <row r="39" spans="1:20" ht="14.45">
      <c r="A39" s="21"/>
      <c r="B39" s="31"/>
      <c r="C39" s="21"/>
      <c r="D39" s="21"/>
      <c r="E39" s="21"/>
      <c r="F39" s="22"/>
      <c r="G39" s="21"/>
      <c r="H39" s="21"/>
      <c r="I39" s="22"/>
      <c r="J39" s="21"/>
      <c r="K39" s="21"/>
    </row>
    <row r="40" spans="1:20" ht="14.45">
      <c r="A40" s="21"/>
      <c r="B40" s="31"/>
      <c r="C40" s="21"/>
      <c r="D40" s="21"/>
      <c r="E40" s="21"/>
      <c r="F40" s="22"/>
      <c r="G40" s="21"/>
      <c r="H40" s="21"/>
      <c r="I40" s="22"/>
      <c r="J40" s="21"/>
      <c r="K40" s="21"/>
    </row>
    <row r="41" spans="1:20" ht="14.45">
      <c r="A41" s="21"/>
      <c r="B41" s="31"/>
      <c r="C41" s="21"/>
      <c r="D41" s="21"/>
      <c r="E41" s="21"/>
      <c r="F41" s="22"/>
      <c r="G41" s="21"/>
      <c r="H41" s="21"/>
      <c r="I41" s="22"/>
      <c r="J41" s="21"/>
      <c r="K41" s="21"/>
    </row>
    <row r="42" spans="1:20" ht="14.45">
      <c r="A42" s="21"/>
      <c r="B42" s="31"/>
      <c r="C42" s="21"/>
      <c r="D42" s="21"/>
      <c r="E42" s="21"/>
      <c r="F42" s="22"/>
      <c r="G42" s="21"/>
      <c r="H42" s="21"/>
      <c r="I42" s="22"/>
      <c r="J42" s="21"/>
      <c r="K42" s="21"/>
    </row>
    <row r="43" spans="1:20" ht="14.45">
      <c r="A43" s="21"/>
      <c r="B43" s="31"/>
      <c r="C43" s="21"/>
      <c r="D43" s="21"/>
      <c r="E43" s="21"/>
      <c r="F43" s="22"/>
      <c r="G43" s="21"/>
      <c r="H43" s="21"/>
      <c r="I43" s="22"/>
      <c r="J43" s="21"/>
      <c r="K43" s="21"/>
    </row>
    <row r="44" spans="1:20" ht="14.45">
      <c r="A44" s="21"/>
      <c r="B44" s="31"/>
      <c r="C44" s="21"/>
      <c r="D44" s="21"/>
      <c r="E44" s="21"/>
      <c r="F44" s="22"/>
      <c r="G44" s="21"/>
      <c r="H44" s="21"/>
      <c r="I44" s="22"/>
      <c r="J44" s="21"/>
      <c r="K44" s="21"/>
    </row>
    <row r="45" spans="1:20" ht="14.45">
      <c r="A45" s="21"/>
      <c r="B45" s="31"/>
      <c r="C45" s="21"/>
      <c r="D45" s="21"/>
      <c r="E45" s="21"/>
      <c r="F45" s="22"/>
      <c r="G45" s="21"/>
      <c r="H45" s="21"/>
      <c r="I45" s="22"/>
      <c r="J45" s="21"/>
      <c r="K45" s="21"/>
    </row>
    <row r="46" spans="1:20" ht="14.45">
      <c r="A46" s="21"/>
      <c r="B46" s="31"/>
      <c r="C46" s="21"/>
      <c r="D46" s="21"/>
      <c r="E46" s="21"/>
      <c r="F46" s="22"/>
      <c r="G46" s="21"/>
      <c r="H46" s="21"/>
      <c r="I46" s="22"/>
      <c r="J46" s="21"/>
      <c r="K46" s="21"/>
    </row>
    <row r="47" spans="1:20" ht="14.45">
      <c r="A47" s="21"/>
      <c r="B47" s="31"/>
      <c r="C47" s="21"/>
      <c r="D47" s="21"/>
      <c r="E47" s="21"/>
      <c r="F47" s="22"/>
      <c r="G47" s="21"/>
      <c r="H47" s="21"/>
      <c r="I47" s="22"/>
      <c r="J47" s="21"/>
      <c r="K47" s="21"/>
    </row>
    <row r="48" spans="1:20"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AF70" activePane="bottomRight" state="frozen"/>
      <selection pane="bottomRight" activeCell="AF63" sqref="AF63"/>
      <selection pane="bottomLeft" activeCell="AF63" sqref="AF63"/>
      <selection pane="topRight" activeCell="AF63" sqref="AF63"/>
    </sheetView>
  </sheetViews>
  <sheetFormatPr defaultRowHeight="13.9"/>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124" t="str" cm="1">
        <f t="array" ref="A1">portfolio</f>
        <v>Lodestar</v>
      </c>
      <c r="B1" s="124"/>
      <c r="C1" s="124"/>
      <c r="D1" s="125" t="s">
        <v>148</v>
      </c>
      <c r="E1" s="125"/>
      <c r="F1" s="125"/>
      <c r="G1" s="123" t="s">
        <v>149</v>
      </c>
      <c r="H1" s="123"/>
      <c r="I1" s="123"/>
      <c r="J1" s="4"/>
      <c r="K1" s="4"/>
    </row>
    <row r="2" spans="1:22"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15.6">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c r="L4" s="74"/>
      <c r="M4" s="73"/>
      <c r="N4" s="73"/>
      <c r="O4" s="73"/>
      <c r="P4" s="73"/>
      <c r="Q4" s="73"/>
      <c r="R4" s="73"/>
      <c r="S4" s="73"/>
      <c r="T4" s="73"/>
      <c r="U4" s="73"/>
      <c r="V4" s="73"/>
    </row>
    <row r="5" spans="1:22" ht="15.6">
      <c r="A5" s="28" t="str">
        <v>Bunce</v>
      </c>
      <c r="B5" s="29" t="str">
        <v>CT</v>
      </c>
      <c r="C5" s="11"/>
      <c r="D5" s="18"/>
      <c r="E5" s="18" t="str">
        <f t="shared" ref="E5:E34" si="0">IF(AND(ISNUMBER(C5),ISNUMBER(D5)), C5-D5, "")</f>
        <v/>
      </c>
      <c r="F5" s="19" t="str">
        <f>IFERROR(E5/D5, "")</f>
        <v/>
      </c>
      <c r="G5" s="66"/>
      <c r="H5" s="20" t="str">
        <f t="shared" ref="H5:H34" si="1">IF(AND(ISNUMBER(C5),ISNUMBER(G5)), C5-G5, "")</f>
        <v/>
      </c>
      <c r="I5" s="19" t="str">
        <f t="shared" ref="I5:I34" si="2">IFERROR(H5/G5, "")</f>
        <v/>
      </c>
      <c r="J5" s="48"/>
      <c r="K5" s="48"/>
      <c r="L5" s="73"/>
      <c r="M5" s="73"/>
      <c r="N5" s="73"/>
      <c r="O5" s="73"/>
      <c r="P5" s="73"/>
      <c r="Q5" s="73"/>
      <c r="R5" s="73"/>
      <c r="S5" s="73"/>
      <c r="T5" s="73"/>
      <c r="U5" s="73"/>
      <c r="V5" s="73"/>
    </row>
    <row r="6" spans="1:22" ht="15.6">
      <c r="A6" s="30" t="str">
        <v>Norcap North</v>
      </c>
      <c r="B6" s="27" t="str">
        <v>CT</v>
      </c>
      <c r="C6" s="24"/>
      <c r="D6" s="13"/>
      <c r="E6" s="13" t="str">
        <f t="shared" si="0"/>
        <v/>
      </c>
      <c r="F6" s="14" t="str">
        <f t="shared" ref="F6:F34" si="3">IFERROR(E6/D6, "")</f>
        <v/>
      </c>
      <c r="G6" s="15"/>
      <c r="H6" s="15" t="str">
        <f t="shared" si="1"/>
        <v/>
      </c>
      <c r="I6" s="16" t="str">
        <f t="shared" si="2"/>
        <v/>
      </c>
      <c r="J6" s="38"/>
      <c r="K6" s="69"/>
      <c r="L6" s="74"/>
      <c r="M6" s="74"/>
      <c r="N6" s="73"/>
      <c r="O6" s="73"/>
      <c r="P6" s="73"/>
      <c r="Q6" s="73"/>
      <c r="R6" s="73"/>
      <c r="S6" s="73"/>
      <c r="T6" s="73"/>
      <c r="U6" s="73"/>
      <c r="V6" s="73"/>
    </row>
    <row r="7" spans="1:22" ht="15.6">
      <c r="A7" s="28" t="str">
        <v>Norcap South</v>
      </c>
      <c r="B7" s="29" t="str">
        <v>CT</v>
      </c>
      <c r="C7" s="11"/>
      <c r="D7" s="18"/>
      <c r="E7" s="18" t="str">
        <f t="shared" si="0"/>
        <v/>
      </c>
      <c r="F7" s="19" t="str">
        <f t="shared" si="3"/>
        <v/>
      </c>
      <c r="G7" s="20"/>
      <c r="H7" s="20" t="str">
        <f t="shared" si="1"/>
        <v/>
      </c>
      <c r="I7" s="19" t="str">
        <f t="shared" si="2"/>
        <v/>
      </c>
      <c r="J7" s="39"/>
      <c r="K7" s="70"/>
      <c r="L7" s="74"/>
      <c r="M7" s="73"/>
      <c r="N7" s="73"/>
      <c r="O7" s="73"/>
      <c r="P7" s="73"/>
      <c r="Q7" s="73"/>
      <c r="R7" s="73"/>
      <c r="S7" s="73"/>
      <c r="T7" s="73"/>
      <c r="U7" s="73"/>
      <c r="V7" s="73"/>
    </row>
    <row r="8" spans="1:22" ht="15.6">
      <c r="A8" s="30" t="str">
        <v>Platt Hill</v>
      </c>
      <c r="B8" s="27" t="str">
        <v>CT</v>
      </c>
      <c r="C8" s="24"/>
      <c r="D8" s="13"/>
      <c r="E8" s="13" t="str">
        <f t="shared" si="0"/>
        <v/>
      </c>
      <c r="F8" s="14" t="str">
        <f t="shared" si="3"/>
        <v/>
      </c>
      <c r="G8" s="15"/>
      <c r="H8" s="15" t="str">
        <f t="shared" si="1"/>
        <v/>
      </c>
      <c r="I8" s="16" t="str">
        <f t="shared" si="2"/>
        <v/>
      </c>
      <c r="J8" s="38"/>
      <c r="K8" s="69"/>
      <c r="L8" s="74"/>
      <c r="M8" s="74"/>
      <c r="N8" s="74"/>
      <c r="O8" s="74"/>
      <c r="P8" s="73"/>
      <c r="Q8" s="73"/>
      <c r="R8" s="73"/>
      <c r="S8" s="73"/>
      <c r="T8" s="73"/>
      <c r="U8" s="73"/>
      <c r="V8" s="73"/>
    </row>
    <row r="9" spans="1:22" ht="15.6">
      <c r="A9" s="28" t="str">
        <v>Powder Hill</v>
      </c>
      <c r="B9" s="29" t="str">
        <v>CT</v>
      </c>
      <c r="C9" s="11"/>
      <c r="D9" s="18"/>
      <c r="E9" s="18" t="str">
        <f t="shared" si="0"/>
        <v/>
      </c>
      <c r="F9" s="19" t="str">
        <f t="shared" si="3"/>
        <v/>
      </c>
      <c r="G9" s="20"/>
      <c r="H9" s="20" t="str">
        <f t="shared" si="1"/>
        <v/>
      </c>
      <c r="I9" s="19" t="str">
        <f t="shared" si="2"/>
        <v/>
      </c>
      <c r="J9" s="39"/>
      <c r="K9" s="70"/>
      <c r="L9" s="73"/>
      <c r="M9" s="73"/>
      <c r="N9" s="73"/>
      <c r="O9" s="73"/>
      <c r="P9" s="73"/>
      <c r="Q9" s="73"/>
      <c r="R9" s="73"/>
      <c r="S9" s="73"/>
      <c r="T9" s="73"/>
      <c r="U9" s="73"/>
      <c r="V9" s="73"/>
    </row>
    <row r="10" spans="1:22" ht="15.6">
      <c r="A10" s="30" t="str">
        <v>Sand Road</v>
      </c>
      <c r="B10" s="27" t="str">
        <v>CT</v>
      </c>
      <c r="C10" s="24"/>
      <c r="D10" s="13"/>
      <c r="E10" s="13" t="str">
        <f t="shared" si="0"/>
        <v/>
      </c>
      <c r="F10" s="14" t="str">
        <f t="shared" si="3"/>
        <v/>
      </c>
      <c r="G10" s="15"/>
      <c r="H10" s="15" t="str">
        <f t="shared" si="1"/>
        <v/>
      </c>
      <c r="I10" s="16" t="str">
        <f>IFERROR(H10/G10, "")</f>
        <v/>
      </c>
      <c r="J10" s="38"/>
      <c r="K10" s="38"/>
      <c r="L10" s="73"/>
      <c r="M10" s="73"/>
      <c r="N10" s="73"/>
      <c r="O10" s="73"/>
      <c r="P10" s="73"/>
      <c r="Q10" s="73"/>
      <c r="R10" s="73"/>
      <c r="S10" s="73"/>
      <c r="T10" s="73"/>
      <c r="U10" s="73"/>
      <c r="V10" s="73"/>
    </row>
    <row r="11" spans="1:22" ht="15.6">
      <c r="A11" s="28" t="str">
        <v>Suffield</v>
      </c>
      <c r="B11" s="29" t="str">
        <v>CT</v>
      </c>
      <c r="C11" s="11"/>
      <c r="D11" s="18"/>
      <c r="E11" s="18" t="str">
        <f t="shared" si="0"/>
        <v/>
      </c>
      <c r="F11" s="19" t="str">
        <f t="shared" si="3"/>
        <v/>
      </c>
      <c r="G11" s="20"/>
      <c r="H11" s="20" t="str">
        <f t="shared" si="1"/>
        <v/>
      </c>
      <c r="I11" s="19" t="str">
        <f t="shared" si="2"/>
        <v/>
      </c>
      <c r="J11" s="39"/>
      <c r="K11" s="72"/>
      <c r="L11" s="73"/>
      <c r="M11" s="73"/>
      <c r="N11" s="73"/>
      <c r="O11" s="73"/>
      <c r="P11" s="73"/>
      <c r="Q11" s="73"/>
      <c r="R11" s="73"/>
      <c r="S11" s="73"/>
      <c r="T11" s="73"/>
      <c r="U11" s="73"/>
      <c r="V11" s="73"/>
    </row>
    <row r="12" spans="1:22" ht="15.6">
      <c r="A12" s="30" t="str">
        <v>Ashby-Duffy</v>
      </c>
      <c r="B12" s="27" t="str">
        <v>MA</v>
      </c>
      <c r="C12" s="24"/>
      <c r="D12" s="13"/>
      <c r="E12" s="13" t="str">
        <f t="shared" si="0"/>
        <v/>
      </c>
      <c r="F12" s="14" t="str">
        <f t="shared" si="3"/>
        <v/>
      </c>
      <c r="G12" s="15"/>
      <c r="H12" s="15" t="str">
        <f t="shared" si="1"/>
        <v/>
      </c>
      <c r="I12" s="16" t="str">
        <f t="shared" si="2"/>
        <v/>
      </c>
      <c r="J12" s="38"/>
      <c r="K12" s="69"/>
      <c r="L12" s="74"/>
      <c r="M12" s="74"/>
      <c r="N12" s="74"/>
      <c r="O12" s="73"/>
      <c r="P12" s="73"/>
      <c r="Q12" s="73"/>
      <c r="R12" s="73"/>
      <c r="S12" s="73"/>
      <c r="T12" s="73"/>
      <c r="U12" s="73"/>
      <c r="V12" s="73"/>
    </row>
    <row r="13" spans="1:22" ht="15.6">
      <c r="A13" s="28" t="str">
        <v>Ashland</v>
      </c>
      <c r="B13" s="29" t="str">
        <v>MA</v>
      </c>
      <c r="C13" s="11"/>
      <c r="D13" s="18"/>
      <c r="E13" s="18" t="str">
        <f t="shared" si="0"/>
        <v/>
      </c>
      <c r="F13" s="19" t="str">
        <f t="shared" si="3"/>
        <v/>
      </c>
      <c r="G13" s="20"/>
      <c r="H13" s="20" t="str">
        <f t="shared" si="1"/>
        <v/>
      </c>
      <c r="I13" s="19" t="str">
        <f t="shared" si="2"/>
        <v/>
      </c>
      <c r="J13" s="39"/>
      <c r="K13" s="70"/>
      <c r="L13" s="74"/>
      <c r="M13" s="74"/>
      <c r="N13" s="74"/>
      <c r="O13" s="74"/>
      <c r="P13" s="74"/>
      <c r="Q13" s="74"/>
      <c r="R13" s="74"/>
      <c r="S13" s="74"/>
      <c r="T13" s="74" t="s">
        <v>150</v>
      </c>
      <c r="U13" s="74" t="s">
        <v>151</v>
      </c>
      <c r="V13" s="73"/>
    </row>
    <row r="14" spans="1:22" ht="15.6">
      <c r="A14" s="30" t="str">
        <v>Barrington</v>
      </c>
      <c r="B14" s="27" t="str">
        <v>MA</v>
      </c>
      <c r="C14" s="24"/>
      <c r="D14" s="13"/>
      <c r="E14" s="13" t="str">
        <f t="shared" si="0"/>
        <v/>
      </c>
      <c r="F14" s="14" t="str">
        <f t="shared" si="3"/>
        <v/>
      </c>
      <c r="G14" s="15"/>
      <c r="H14" s="15" t="str">
        <f t="shared" si="1"/>
        <v/>
      </c>
      <c r="I14" s="16" t="str">
        <f t="shared" si="2"/>
        <v/>
      </c>
      <c r="J14" s="38"/>
      <c r="K14" s="69"/>
      <c r="L14" s="73"/>
      <c r="M14" s="73"/>
      <c r="N14" s="73"/>
      <c r="O14" s="73"/>
      <c r="P14" s="73"/>
      <c r="Q14" s="73"/>
      <c r="R14" s="73"/>
      <c r="S14" s="73"/>
      <c r="T14" s="73"/>
      <c r="U14" s="73"/>
      <c r="V14" s="73"/>
    </row>
    <row r="15" spans="1:22" ht="15.6">
      <c r="A15" s="28" t="str">
        <v>Bedford - 205 Burlington Rd</v>
      </c>
      <c r="B15" s="29" t="str">
        <v>MA</v>
      </c>
      <c r="C15" s="11"/>
      <c r="D15" s="18"/>
      <c r="E15" s="18" t="str">
        <f t="shared" si="0"/>
        <v/>
      </c>
      <c r="F15" s="19" t="str">
        <f t="shared" si="3"/>
        <v/>
      </c>
      <c r="G15" s="66"/>
      <c r="H15" s="20" t="str">
        <f t="shared" si="1"/>
        <v/>
      </c>
      <c r="I15" s="19" t="str">
        <f t="shared" si="2"/>
        <v/>
      </c>
      <c r="J15" s="39"/>
      <c r="K15" s="39"/>
      <c r="L15" s="73"/>
      <c r="M15" s="73"/>
      <c r="N15" s="73"/>
      <c r="O15" s="73"/>
      <c r="P15" s="73"/>
      <c r="Q15" s="73"/>
      <c r="R15" s="73"/>
      <c r="S15" s="73"/>
      <c r="T15" s="73"/>
      <c r="U15" s="73"/>
      <c r="V15" s="73"/>
    </row>
    <row r="16" spans="1:22" ht="15.6">
      <c r="A16" s="30" t="str">
        <v>Billerica - 6 Cook Street</v>
      </c>
      <c r="B16" s="27" t="str">
        <v>MA</v>
      </c>
      <c r="C16" s="24"/>
      <c r="D16" s="13"/>
      <c r="E16" s="13" t="str">
        <f t="shared" si="0"/>
        <v/>
      </c>
      <c r="F16" s="14" t="str">
        <f t="shared" si="3"/>
        <v/>
      </c>
      <c r="G16" s="67"/>
      <c r="H16" s="15" t="str">
        <f t="shared" si="1"/>
        <v/>
      </c>
      <c r="I16" s="16" t="str">
        <f t="shared" si="2"/>
        <v/>
      </c>
      <c r="J16" s="38"/>
      <c r="K16" s="38"/>
      <c r="L16" s="73"/>
      <c r="M16" s="73"/>
      <c r="N16" s="73"/>
      <c r="O16" s="73"/>
      <c r="P16" s="73"/>
      <c r="Q16" s="73"/>
      <c r="R16" s="73"/>
      <c r="S16" s="73"/>
      <c r="T16" s="73"/>
      <c r="U16" s="73"/>
      <c r="V16" s="73"/>
    </row>
    <row r="17" spans="1:22" ht="15.6">
      <c r="A17" s="28" t="str">
        <v>Billerica - 780 Boston Road</v>
      </c>
      <c r="B17" s="29" t="str">
        <v>MA</v>
      </c>
      <c r="C17" s="11"/>
      <c r="D17" s="18"/>
      <c r="E17" s="18" t="str">
        <f t="shared" si="0"/>
        <v/>
      </c>
      <c r="F17" s="19" t="str">
        <f t="shared" si="3"/>
        <v/>
      </c>
      <c r="G17" s="66"/>
      <c r="H17" s="20" t="str">
        <f t="shared" si="1"/>
        <v/>
      </c>
      <c r="I17" s="19" t="str">
        <f t="shared" si="2"/>
        <v/>
      </c>
      <c r="J17" s="39"/>
      <c r="K17" s="39"/>
      <c r="L17" s="73"/>
      <c r="M17" s="73"/>
      <c r="N17" s="73"/>
      <c r="O17" s="73"/>
      <c r="P17" s="73"/>
      <c r="Q17" s="73"/>
      <c r="R17" s="73"/>
      <c r="S17" s="73"/>
      <c r="T17" s="73"/>
      <c r="U17" s="73"/>
      <c r="V17" s="73"/>
    </row>
    <row r="18" spans="1:22" ht="15.6">
      <c r="A18" s="30" t="str">
        <v>Cheshire</v>
      </c>
      <c r="B18" s="27" t="str">
        <v>MA</v>
      </c>
      <c r="C18" s="24"/>
      <c r="D18" s="13"/>
      <c r="E18" s="13" t="str">
        <f t="shared" si="0"/>
        <v/>
      </c>
      <c r="F18" s="14" t="str">
        <f t="shared" si="3"/>
        <v/>
      </c>
      <c r="G18" s="15"/>
      <c r="H18" s="15" t="str">
        <f t="shared" si="1"/>
        <v/>
      </c>
      <c r="I18" s="16" t="str">
        <f t="shared" si="2"/>
        <v/>
      </c>
      <c r="J18" s="38"/>
      <c r="K18" s="38"/>
      <c r="L18" s="73"/>
      <c r="M18" s="73"/>
      <c r="N18" s="73"/>
      <c r="O18" s="73"/>
      <c r="P18" s="73"/>
      <c r="Q18" s="73"/>
      <c r="R18" s="73"/>
      <c r="S18" s="73"/>
      <c r="T18" s="73"/>
      <c r="U18" s="73"/>
      <c r="V18" s="73"/>
    </row>
    <row r="19" spans="1:22" ht="15.6">
      <c r="A19" s="28" t="str">
        <v>Lilly Lane</v>
      </c>
      <c r="B19" s="29" t="str">
        <v>MA</v>
      </c>
      <c r="C19" s="11"/>
      <c r="D19" s="18"/>
      <c r="E19" s="18" t="str">
        <f t="shared" si="0"/>
        <v/>
      </c>
      <c r="F19" s="19" t="str">
        <f t="shared" si="3"/>
        <v/>
      </c>
      <c r="H19" s="20" t="str">
        <f t="shared" si="1"/>
        <v/>
      </c>
      <c r="I19" s="19" t="str">
        <f t="shared" si="2"/>
        <v/>
      </c>
      <c r="J19" s="39"/>
      <c r="K19" s="72"/>
      <c r="L19" s="73"/>
      <c r="M19" s="73"/>
      <c r="N19" s="73"/>
      <c r="O19" s="73"/>
      <c r="P19" s="73"/>
      <c r="Q19" s="73"/>
      <c r="R19" s="73"/>
      <c r="S19" s="73"/>
      <c r="T19" s="73"/>
      <c r="U19" s="73"/>
      <c r="V19" s="73"/>
    </row>
    <row r="20" spans="1:22" ht="15.6">
      <c r="A20" s="30" t="str">
        <v>Monument Valley</v>
      </c>
      <c r="B20" s="27" t="str">
        <v>MA</v>
      </c>
      <c r="C20" s="24"/>
      <c r="D20" s="13"/>
      <c r="E20" s="13" t="str">
        <f t="shared" si="0"/>
        <v/>
      </c>
      <c r="F20" s="14" t="str">
        <f t="shared" si="3"/>
        <v/>
      </c>
      <c r="G20" s="67"/>
      <c r="H20" s="15" t="str">
        <f t="shared" si="1"/>
        <v/>
      </c>
      <c r="I20" s="16" t="str">
        <f t="shared" si="2"/>
        <v/>
      </c>
      <c r="J20" s="38"/>
      <c r="K20" s="69"/>
      <c r="L20" s="74"/>
      <c r="M20" s="73"/>
      <c r="N20" s="73"/>
      <c r="O20" s="73"/>
      <c r="P20" s="73"/>
      <c r="Q20" s="73"/>
      <c r="R20" s="73"/>
      <c r="S20" s="73"/>
      <c r="T20" s="73"/>
      <c r="U20" s="73"/>
      <c r="V20" s="73"/>
    </row>
    <row r="21" spans="1:22" ht="15.6">
      <c r="A21" s="28" t="str">
        <v>Nationwide</v>
      </c>
      <c r="B21" s="29" t="str">
        <v>MA</v>
      </c>
      <c r="C21" s="11"/>
      <c r="D21" s="18"/>
      <c r="E21" s="18" t="str">
        <f t="shared" si="0"/>
        <v/>
      </c>
      <c r="F21" s="19" t="str">
        <f t="shared" si="3"/>
        <v/>
      </c>
      <c r="G21" s="20"/>
      <c r="H21" s="20" t="str">
        <f t="shared" si="1"/>
        <v/>
      </c>
      <c r="I21" s="19" t="str">
        <f t="shared" si="2"/>
        <v/>
      </c>
      <c r="J21" s="39"/>
      <c r="K21" s="75"/>
      <c r="L21" s="73"/>
      <c r="M21" s="73"/>
      <c r="N21" s="73"/>
      <c r="O21" s="73"/>
      <c r="P21" s="73"/>
      <c r="Q21" s="73"/>
      <c r="R21" s="73"/>
      <c r="S21" s="73"/>
      <c r="T21" s="73"/>
      <c r="U21" s="73"/>
      <c r="V21" s="73"/>
    </row>
    <row r="22" spans="1:22" ht="140.25" customHeight="1">
      <c r="A22" s="55" t="str">
        <v>Pulpit Hill</v>
      </c>
      <c r="B22" s="27" t="str">
        <v>MA</v>
      </c>
      <c r="C22" s="24"/>
      <c r="D22" s="13"/>
      <c r="E22" s="13" t="str">
        <f t="shared" si="0"/>
        <v/>
      </c>
      <c r="F22" s="14" t="str">
        <f t="shared" si="3"/>
        <v/>
      </c>
      <c r="G22" s="15"/>
      <c r="H22" s="15" t="str">
        <f t="shared" si="1"/>
        <v/>
      </c>
      <c r="I22" s="16" t="str">
        <f t="shared" si="2"/>
        <v/>
      </c>
      <c r="J22" s="38"/>
      <c r="K22" s="69"/>
      <c r="L22" s="74"/>
      <c r="M22" s="74"/>
      <c r="N22" s="74"/>
      <c r="O22" s="74"/>
      <c r="P22" s="74"/>
      <c r="Q22" s="73"/>
      <c r="R22" s="73"/>
      <c r="S22" s="73"/>
      <c r="T22" s="73"/>
      <c r="U22" s="73"/>
      <c r="V22" s="73"/>
    </row>
    <row r="23" spans="1:22" ht="15.6">
      <c r="A23" s="28" t="str">
        <v>Sandwich</v>
      </c>
      <c r="B23" s="29" t="str">
        <v>MA</v>
      </c>
      <c r="C23" s="11"/>
      <c r="D23" s="18"/>
      <c r="E23" s="18" t="str">
        <f t="shared" si="0"/>
        <v/>
      </c>
      <c r="F23" s="19" t="str">
        <f t="shared" si="3"/>
        <v/>
      </c>
      <c r="G23" s="66"/>
      <c r="H23" s="20" t="str">
        <f t="shared" si="1"/>
        <v/>
      </c>
      <c r="I23" s="19" t="str">
        <f t="shared" si="2"/>
        <v/>
      </c>
      <c r="J23" s="39"/>
      <c r="K23" s="76"/>
      <c r="L23" s="74"/>
      <c r="M23" s="73"/>
      <c r="N23" s="73"/>
      <c r="O23" s="73"/>
      <c r="P23" s="73"/>
      <c r="Q23" s="73"/>
      <c r="R23" s="73"/>
      <c r="S23" s="73"/>
      <c r="T23" s="73"/>
      <c r="U23" s="73"/>
      <c r="V23" s="73"/>
    </row>
    <row r="24" spans="1:22" ht="15.6">
      <c r="A24" s="30" t="str">
        <v>Sturbridge Barn</v>
      </c>
      <c r="B24" s="27" t="str">
        <v>MA</v>
      </c>
      <c r="C24" s="24"/>
      <c r="D24" s="13"/>
      <c r="E24" s="13" t="str">
        <f t="shared" si="0"/>
        <v/>
      </c>
      <c r="F24" s="14" t="str">
        <f t="shared" si="3"/>
        <v/>
      </c>
      <c r="G24" s="15"/>
      <c r="H24" s="15" t="str">
        <f t="shared" si="1"/>
        <v/>
      </c>
      <c r="I24" s="16" t="str">
        <f t="shared" si="2"/>
        <v/>
      </c>
      <c r="J24" s="38"/>
      <c r="K24" s="69"/>
      <c r="L24" s="74"/>
      <c r="M24" s="74"/>
      <c r="N24" s="73"/>
      <c r="O24" s="73"/>
      <c r="P24" s="73"/>
      <c r="Q24" s="73"/>
      <c r="R24" s="73"/>
      <c r="S24" s="73"/>
      <c r="T24" s="73"/>
      <c r="U24" s="73"/>
      <c r="V24" s="73"/>
    </row>
    <row r="25" spans="1:22" ht="15.6">
      <c r="A25" s="28" t="str">
        <v>Sturbridge Garage</v>
      </c>
      <c r="B25" s="29" t="str">
        <v>MA</v>
      </c>
      <c r="C25" s="11"/>
      <c r="D25" s="18"/>
      <c r="E25" s="18" t="str">
        <f t="shared" si="0"/>
        <v/>
      </c>
      <c r="F25" s="19" t="str">
        <f t="shared" si="3"/>
        <v/>
      </c>
      <c r="G25" s="20"/>
      <c r="H25" s="20" t="str">
        <f t="shared" si="1"/>
        <v/>
      </c>
      <c r="I25" s="19" t="str">
        <f t="shared" si="2"/>
        <v/>
      </c>
      <c r="J25" s="39"/>
      <c r="K25" s="39"/>
      <c r="L25" s="73"/>
      <c r="M25" s="73"/>
      <c r="N25" s="73"/>
      <c r="O25" s="73"/>
      <c r="P25" s="73"/>
      <c r="Q25" s="73"/>
      <c r="R25" s="73"/>
      <c r="S25" s="73"/>
      <c r="T25" s="73"/>
      <c r="U25" s="73"/>
      <c r="V25" s="73"/>
    </row>
    <row r="26" spans="1:22" ht="15.6">
      <c r="A26" s="30" t="str">
        <v>Halsey Valley</v>
      </c>
      <c r="B26" s="27" t="str">
        <v>NY</v>
      </c>
      <c r="C26" s="24"/>
      <c r="D26" s="13"/>
      <c r="E26" s="13" t="str">
        <f t="shared" si="0"/>
        <v/>
      </c>
      <c r="F26" s="14" t="str">
        <f t="shared" si="3"/>
        <v/>
      </c>
      <c r="G26" s="15"/>
      <c r="H26" s="15" t="str">
        <f t="shared" si="1"/>
        <v/>
      </c>
      <c r="I26" s="16" t="str">
        <f t="shared" si="2"/>
        <v/>
      </c>
      <c r="J26" s="38"/>
      <c r="K26" s="69"/>
      <c r="L26" s="73"/>
      <c r="M26" s="73"/>
      <c r="N26" s="73"/>
      <c r="O26" s="73"/>
      <c r="P26" s="73"/>
      <c r="Q26" s="73"/>
      <c r="R26" s="73"/>
      <c r="S26" s="73"/>
      <c r="T26" s="73"/>
      <c r="U26" s="73"/>
      <c r="V26" s="73"/>
    </row>
    <row r="27" spans="1:22" ht="15.6">
      <c r="A27" s="28" t="str">
        <v>Hunt Creek</v>
      </c>
      <c r="B27" s="29" t="str">
        <v>NY</v>
      </c>
      <c r="C27" s="11"/>
      <c r="D27" s="18"/>
      <c r="E27" s="18" t="str">
        <f t="shared" si="0"/>
        <v/>
      </c>
      <c r="F27" s="19" t="str">
        <f t="shared" si="3"/>
        <v/>
      </c>
      <c r="G27" s="20"/>
      <c r="H27" s="20" t="str">
        <f t="shared" si="1"/>
        <v/>
      </c>
      <c r="I27" s="19" t="str">
        <f t="shared" si="2"/>
        <v/>
      </c>
      <c r="J27" s="48"/>
      <c r="K27" s="70"/>
      <c r="L27" s="74"/>
      <c r="M27" s="74"/>
      <c r="N27" s="74"/>
      <c r="O27" s="74"/>
      <c r="P27" s="73"/>
      <c r="Q27" s="73"/>
      <c r="R27" s="73"/>
      <c r="S27" s="73"/>
      <c r="T27" s="73"/>
      <c r="U27" s="73"/>
      <c r="V27" s="73"/>
    </row>
    <row r="28" spans="1:22" ht="15.6">
      <c r="A28" s="30" t="str">
        <v>Smith Creek</v>
      </c>
      <c r="B28" s="27" t="str">
        <v>NY</v>
      </c>
      <c r="C28" s="24"/>
      <c r="D28" s="13"/>
      <c r="E28" s="13" t="str">
        <f t="shared" si="0"/>
        <v/>
      </c>
      <c r="F28" s="14" t="str">
        <f t="shared" si="3"/>
        <v/>
      </c>
      <c r="G28" s="15"/>
      <c r="H28" s="15" t="str">
        <f t="shared" si="1"/>
        <v/>
      </c>
      <c r="I28" s="16" t="str">
        <f t="shared" si="2"/>
        <v/>
      </c>
      <c r="J28" s="38"/>
      <c r="K28" s="69"/>
      <c r="L28" s="73"/>
      <c r="M28" s="73"/>
      <c r="N28" s="73"/>
      <c r="O28" s="73"/>
      <c r="P28" s="73"/>
      <c r="Q28" s="73"/>
      <c r="R28" s="73"/>
      <c r="S28" s="73"/>
      <c r="T28" s="73"/>
      <c r="U28" s="73"/>
      <c r="V28" s="73"/>
    </row>
    <row r="29" spans="1:22" ht="15.6">
      <c r="A29" s="28" t="str">
        <v>Bradford - 256 Presidential Dr</v>
      </c>
      <c r="B29" s="29" t="str">
        <v>MA</v>
      </c>
      <c r="C29" s="11"/>
      <c r="D29" s="18"/>
      <c r="E29" s="18" t="str">
        <f t="shared" si="0"/>
        <v/>
      </c>
      <c r="F29" s="19" t="str">
        <f t="shared" si="3"/>
        <v/>
      </c>
      <c r="G29" s="20"/>
      <c r="H29" s="20" t="str">
        <f t="shared" si="1"/>
        <v/>
      </c>
      <c r="I29" s="19" t="str">
        <f t="shared" si="2"/>
        <v/>
      </c>
      <c r="J29" s="48"/>
      <c r="K29" s="70"/>
      <c r="L29" s="74"/>
      <c r="M29" s="74"/>
      <c r="N29" s="74"/>
      <c r="O29" s="74"/>
      <c r="P29" s="73"/>
      <c r="Q29" s="73"/>
      <c r="R29" s="73"/>
      <c r="S29" s="73"/>
      <c r="T29" s="73"/>
      <c r="U29" s="73"/>
      <c r="V29" s="73"/>
    </row>
    <row r="30" spans="1:22" ht="15.6">
      <c r="A30" s="30" t="str">
        <v>Charlton – 111 Brookfield Road - Bus Lot</v>
      </c>
      <c r="B30" s="27" t="str">
        <v>MA</v>
      </c>
      <c r="C30" s="24"/>
      <c r="D30" s="13"/>
      <c r="E30" s="13" t="str">
        <f t="shared" si="0"/>
        <v/>
      </c>
      <c r="F30" s="14" t="str">
        <f t="shared" si="3"/>
        <v/>
      </c>
      <c r="G30" s="15"/>
      <c r="H30" s="15" t="str">
        <f t="shared" si="1"/>
        <v/>
      </c>
      <c r="I30" s="16" t="str">
        <f t="shared" si="2"/>
        <v/>
      </c>
      <c r="J30" s="38"/>
      <c r="K30" s="69"/>
      <c r="L30" s="73"/>
      <c r="M30" s="73"/>
      <c r="N30" s="73"/>
      <c r="O30" s="73"/>
      <c r="P30" s="73"/>
      <c r="Q30" s="73"/>
      <c r="R30" s="73"/>
      <c r="S30" s="73"/>
      <c r="T30" s="73"/>
      <c r="U30" s="73"/>
      <c r="V30" s="73"/>
    </row>
    <row r="31" spans="1:22" ht="15.6">
      <c r="A31" s="28" t="str">
        <v>Charlton – 154 Center Depot Road KMARD</v>
      </c>
      <c r="B31" s="29" t="str">
        <v>MA</v>
      </c>
      <c r="C31" s="11"/>
      <c r="D31" s="18"/>
      <c r="E31" s="18" t="str">
        <f t="shared" si="0"/>
        <v/>
      </c>
      <c r="F31" s="19" t="str">
        <f t="shared" si="3"/>
        <v/>
      </c>
      <c r="G31" s="20"/>
      <c r="H31" s="20" t="str">
        <f t="shared" si="1"/>
        <v/>
      </c>
      <c r="I31" s="19" t="str">
        <f t="shared" si="2"/>
        <v/>
      </c>
      <c r="J31" s="48"/>
      <c r="K31" s="70"/>
      <c r="L31" s="74"/>
      <c r="M31" s="74"/>
      <c r="N31" s="73"/>
      <c r="O31" s="73"/>
      <c r="P31" s="73"/>
      <c r="Q31" s="73"/>
      <c r="R31" s="73"/>
      <c r="S31" s="73"/>
      <c r="T31" s="73"/>
      <c r="U31" s="73"/>
      <c r="V31" s="73"/>
    </row>
    <row r="32" spans="1:22" ht="15.6">
      <c r="A32" s="30" t="str">
        <v>Charlton – 142A Brookfield Rd (Mitchell)</v>
      </c>
      <c r="B32" s="27" t="str">
        <v>MA</v>
      </c>
      <c r="C32" s="24"/>
      <c r="D32" s="13"/>
      <c r="E32" s="13" t="str">
        <f t="shared" si="0"/>
        <v/>
      </c>
      <c r="F32" s="14" t="str">
        <f t="shared" si="3"/>
        <v/>
      </c>
      <c r="G32" s="15"/>
      <c r="H32" s="15" t="str">
        <f t="shared" si="1"/>
        <v/>
      </c>
      <c r="I32" s="16" t="str">
        <f t="shared" si="2"/>
        <v/>
      </c>
      <c r="J32" s="38"/>
      <c r="K32" s="69"/>
      <c r="L32" s="73"/>
      <c r="M32" s="73"/>
      <c r="N32" s="73"/>
      <c r="O32" s="73"/>
      <c r="P32" s="73"/>
      <c r="Q32" s="73"/>
      <c r="R32" s="73"/>
      <c r="S32" s="73"/>
      <c r="T32" s="73"/>
      <c r="U32" s="73"/>
      <c r="V32" s="73"/>
    </row>
    <row r="33" spans="1:22" ht="141.75" customHeight="1">
      <c r="A33" s="28" t="str">
        <v>Great Barrington – 3 Nolan  Drive</v>
      </c>
      <c r="B33" s="29" t="str">
        <v>MA</v>
      </c>
      <c r="C33" s="11"/>
      <c r="D33" s="18"/>
      <c r="E33" s="18" t="str">
        <f t="shared" si="0"/>
        <v/>
      </c>
      <c r="F33" s="19" t="str">
        <f t="shared" si="3"/>
        <v/>
      </c>
      <c r="G33" s="20"/>
      <c r="H33" s="20" t="str">
        <f t="shared" si="1"/>
        <v/>
      </c>
      <c r="I33" s="19" t="str">
        <f t="shared" si="2"/>
        <v/>
      </c>
      <c r="J33" s="48"/>
      <c r="K33" s="70"/>
      <c r="L33" s="74"/>
      <c r="M33" s="74"/>
      <c r="N33" s="74"/>
      <c r="O33" s="73"/>
      <c r="P33" s="73"/>
      <c r="Q33" s="73"/>
      <c r="R33" s="73"/>
      <c r="S33" s="73"/>
      <c r="T33" s="73"/>
      <c r="U33" s="73"/>
      <c r="V33" s="73"/>
    </row>
    <row r="34" spans="1:22" ht="15.6">
      <c r="A34" s="30" t="str">
        <v>Stockbridge – 92 State Line Road Truck Stop</v>
      </c>
      <c r="B34" s="27" t="str">
        <v>MA</v>
      </c>
      <c r="C34" s="24"/>
      <c r="D34" s="13"/>
      <c r="E34" s="13" t="str">
        <f t="shared" si="0"/>
        <v/>
      </c>
      <c r="F34" s="14" t="str">
        <f t="shared" si="3"/>
        <v/>
      </c>
      <c r="G34" s="15"/>
      <c r="H34" s="15" t="str">
        <f t="shared" si="1"/>
        <v/>
      </c>
      <c r="I34" s="16" t="str">
        <f t="shared" si="2"/>
        <v/>
      </c>
      <c r="J34" s="38"/>
      <c r="K34" s="69"/>
      <c r="L34" s="74"/>
      <c r="M34" s="74"/>
      <c r="N34" s="73"/>
      <c r="O34" s="73"/>
      <c r="P34" s="73"/>
      <c r="Q34" s="73"/>
      <c r="R34" s="73"/>
      <c r="S34" s="73"/>
      <c r="T34" s="73"/>
      <c r="U34" s="73"/>
      <c r="V34" s="73"/>
    </row>
    <row r="35" spans="1:22" ht="14.45">
      <c r="A35" s="21" t="str">
        <v>NY: New Windsor - Moores Hill</v>
      </c>
      <c r="B35" s="31" t="str">
        <v>NY</v>
      </c>
      <c r="C35" s="21"/>
      <c r="D35" s="21"/>
      <c r="E35" s="21"/>
      <c r="F35" s="21"/>
      <c r="G35" s="21"/>
      <c r="H35" s="21"/>
      <c r="I35" s="21"/>
      <c r="J35" s="21"/>
      <c r="K35" s="21"/>
    </row>
    <row r="36" spans="1:22" ht="14.45">
      <c r="A36" s="21"/>
      <c r="B36" s="31"/>
      <c r="C36" s="21"/>
      <c r="D36" s="21"/>
      <c r="E36" s="21"/>
      <c r="F36" s="22"/>
      <c r="G36" s="21"/>
      <c r="H36" s="21"/>
      <c r="I36" s="22"/>
      <c r="J36" s="21"/>
      <c r="K36" s="21"/>
    </row>
    <row r="37" spans="1:22" ht="14.45">
      <c r="A37" s="21"/>
      <c r="B37" s="31"/>
      <c r="C37" s="21"/>
      <c r="D37" s="21"/>
      <c r="E37" s="21"/>
      <c r="F37" s="22"/>
      <c r="G37" s="21"/>
      <c r="H37" s="21"/>
      <c r="I37" s="22"/>
      <c r="J37" s="21"/>
      <c r="K37" s="21"/>
    </row>
    <row r="38" spans="1:22" ht="14.45">
      <c r="A38" s="21"/>
      <c r="B38" s="31"/>
      <c r="C38" s="21"/>
      <c r="D38" s="21"/>
      <c r="E38" s="21"/>
      <c r="F38" s="22"/>
      <c r="G38" s="21"/>
      <c r="H38" s="21"/>
      <c r="I38" s="22"/>
      <c r="J38" s="21"/>
      <c r="K38" s="21"/>
    </row>
    <row r="39" spans="1:22" ht="14.45">
      <c r="A39" s="21"/>
      <c r="B39" s="31"/>
      <c r="C39" s="21"/>
      <c r="D39" s="21"/>
      <c r="E39" s="21"/>
      <c r="F39" s="22"/>
      <c r="G39" s="21"/>
      <c r="H39" s="21"/>
      <c r="I39" s="22"/>
      <c r="J39" s="21"/>
      <c r="K39" s="21"/>
    </row>
    <row r="40" spans="1:22" ht="14.45">
      <c r="A40" s="21"/>
      <c r="B40" s="31"/>
      <c r="C40" s="21"/>
      <c r="D40" s="21"/>
      <c r="E40" s="21"/>
      <c r="F40" s="22"/>
      <c r="G40" s="21"/>
      <c r="H40" s="21"/>
      <c r="I40" s="22"/>
      <c r="J40" s="21"/>
      <c r="K40" s="21"/>
    </row>
    <row r="41" spans="1:22" ht="14.45">
      <c r="A41" s="21"/>
      <c r="B41" s="31"/>
      <c r="C41" s="21"/>
      <c r="D41" s="21"/>
      <c r="E41" s="21"/>
      <c r="F41" s="22"/>
      <c r="G41" s="21"/>
      <c r="H41" s="21"/>
      <c r="I41" s="22"/>
      <c r="J41" s="21"/>
      <c r="K41" s="21"/>
    </row>
    <row r="42" spans="1:22" ht="14.45">
      <c r="A42" s="21"/>
      <c r="B42" s="31"/>
      <c r="C42" s="21"/>
      <c r="D42" s="21"/>
      <c r="E42" s="21"/>
      <c r="F42" s="22"/>
      <c r="G42" s="21"/>
      <c r="H42" s="21"/>
      <c r="I42" s="22"/>
      <c r="J42" s="21"/>
      <c r="K42" s="21"/>
    </row>
    <row r="43" spans="1:22" ht="14.45">
      <c r="A43" s="21"/>
      <c r="B43" s="31"/>
      <c r="C43" s="21"/>
      <c r="D43" s="21"/>
      <c r="E43" s="21"/>
      <c r="F43" s="22"/>
      <c r="G43" s="21"/>
      <c r="H43" s="21"/>
      <c r="I43" s="22"/>
      <c r="J43" s="21"/>
      <c r="K43" s="21"/>
    </row>
    <row r="44" spans="1:22" ht="14.45">
      <c r="A44" s="21"/>
      <c r="B44" s="31"/>
      <c r="C44" s="21"/>
      <c r="D44" s="21"/>
      <c r="E44" s="21"/>
      <c r="F44" s="22"/>
      <c r="G44" s="21"/>
      <c r="H44" s="21"/>
      <c r="I44" s="22"/>
      <c r="J44" s="21"/>
      <c r="K44" s="21"/>
    </row>
    <row r="45" spans="1:22" ht="14.45">
      <c r="A45" s="21"/>
      <c r="B45" s="31"/>
      <c r="C45" s="21"/>
      <c r="D45" s="21"/>
      <c r="E45" s="21"/>
      <c r="F45" s="22"/>
      <c r="G45" s="21"/>
      <c r="H45" s="21"/>
      <c r="I45" s="22"/>
      <c r="J45" s="21"/>
      <c r="K45" s="21"/>
    </row>
    <row r="46" spans="1:22" ht="14.45">
      <c r="A46" s="21"/>
      <c r="B46" s="31"/>
      <c r="C46" s="21"/>
      <c r="D46" s="21"/>
      <c r="E46" s="21"/>
      <c r="F46" s="22"/>
      <c r="G46" s="21"/>
      <c r="H46" s="21"/>
      <c r="I46" s="22"/>
      <c r="J46" s="21"/>
      <c r="K46" s="21"/>
    </row>
    <row r="47" spans="1:22" ht="14.45">
      <c r="A47" s="21"/>
      <c r="B47" s="31"/>
      <c r="C47" s="21"/>
      <c r="D47" s="21"/>
      <c r="E47" s="21"/>
      <c r="F47" s="22"/>
      <c r="G47" s="21"/>
      <c r="H47" s="21"/>
      <c r="I47" s="22"/>
      <c r="J47" s="21"/>
      <c r="K47" s="21"/>
    </row>
    <row r="48" spans="1:2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hyperlinks>
    <hyperlink ref="T13" r:id="rId1" display="https://us3.assetplanner.com/service_request?ID=098679" xr:uid="{617DB2A1-DE0A-46B6-9DA4-CFEF67CFB89A}"/>
    <hyperlink ref="U13" r:id="rId2" display="https://us3.assetplanner.com/service_request?ID=098821" xr:uid="{946675D4-0AA9-417A-91C9-C75AD7A2C0CB}"/>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U345"/>
  <sheetViews>
    <sheetView zoomScale="60" zoomScaleNormal="60" workbookViewId="0">
      <pane xSplit="2" ySplit="3" topLeftCell="C22"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 min="13" max="13" width="11.85546875" customWidth="1"/>
    <col min="14" max="14" width="11.7109375" customWidth="1"/>
  </cols>
  <sheetData>
    <row r="1" spans="1:21" ht="19.5" customHeight="1">
      <c r="A1" s="124" t="str" cm="1">
        <f t="array" ref="A1">portfolio</f>
        <v>Lodestar</v>
      </c>
      <c r="B1" s="124"/>
      <c r="C1" s="124"/>
      <c r="D1" s="125" t="s">
        <v>152</v>
      </c>
      <c r="E1" s="125"/>
      <c r="F1" s="125"/>
      <c r="G1" s="123" t="s">
        <v>153</v>
      </c>
      <c r="H1" s="123"/>
      <c r="I1" s="123"/>
      <c r="J1" s="4"/>
      <c r="K1" s="4"/>
    </row>
    <row r="2" spans="1:21"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6">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row>
    <row r="5" spans="1:21" ht="15.6">
      <c r="A5" s="28" t="str">
        <v>Bunce</v>
      </c>
      <c r="B5" s="29" t="str">
        <v>CT</v>
      </c>
      <c r="C5" s="11"/>
      <c r="D5" s="18"/>
      <c r="E5" s="18" t="str">
        <f t="shared" ref="E5:E28" si="0">IF(AND(ISNUMBER(C5),ISNUMBER(D5)), C5-D5, "")</f>
        <v/>
      </c>
      <c r="F5" s="19" t="str">
        <f>IFERROR(E5/D5, "")</f>
        <v/>
      </c>
      <c r="G5" s="66"/>
      <c r="H5" s="20" t="str">
        <f t="shared" ref="H5:H28" si="1">IF(AND(ISNUMBER(C5),ISNUMBER(G5)), C5-G5, "")</f>
        <v/>
      </c>
      <c r="I5" s="19" t="str">
        <f t="shared" ref="I5:I28" si="2">IFERROR(H5/G5, "")</f>
        <v/>
      </c>
      <c r="J5" s="39"/>
      <c r="K5" s="71"/>
      <c r="L5" s="73"/>
      <c r="M5" s="73"/>
      <c r="N5" s="73"/>
      <c r="O5" s="73"/>
      <c r="P5" s="73"/>
      <c r="Q5" s="73"/>
      <c r="R5" s="73"/>
      <c r="S5" s="73"/>
      <c r="T5" s="73"/>
      <c r="U5" s="73"/>
    </row>
    <row r="6" spans="1:21" ht="238.35" customHeight="1">
      <c r="A6" s="55" t="str">
        <v>Norcap North</v>
      </c>
      <c r="B6" s="27" t="str">
        <v>CT</v>
      </c>
      <c r="C6" s="24"/>
      <c r="D6" s="13"/>
      <c r="E6" s="13" t="str">
        <f t="shared" si="0"/>
        <v/>
      </c>
      <c r="F6" s="14" t="str">
        <f t="shared" ref="F6:F28" si="3">IFERROR(E6/D6, "")</f>
        <v/>
      </c>
      <c r="G6" s="15"/>
      <c r="H6" s="15" t="str">
        <f t="shared" si="1"/>
        <v/>
      </c>
      <c r="I6" s="16" t="str">
        <f t="shared" si="2"/>
        <v/>
      </c>
      <c r="J6" s="38"/>
      <c r="K6" s="69"/>
      <c r="L6" s="74"/>
      <c r="M6" s="74"/>
      <c r="N6" s="74"/>
      <c r="O6" s="74"/>
      <c r="P6" s="74"/>
      <c r="Q6" s="74"/>
      <c r="R6" s="74"/>
      <c r="S6" s="74"/>
      <c r="T6" s="73"/>
      <c r="U6" s="73"/>
    </row>
    <row r="7" spans="1:21" ht="15.6">
      <c r="A7" s="28" t="str">
        <v>Norcap South</v>
      </c>
      <c r="B7" s="29" t="str">
        <v>CT</v>
      </c>
      <c r="C7" s="11"/>
      <c r="D7" s="18"/>
      <c r="E7" s="18" t="str">
        <f t="shared" si="0"/>
        <v/>
      </c>
      <c r="F7" s="19" t="str">
        <f t="shared" si="3"/>
        <v/>
      </c>
      <c r="G7" s="20"/>
      <c r="H7" s="20" t="str">
        <f t="shared" si="1"/>
        <v/>
      </c>
      <c r="I7" s="19" t="str">
        <f t="shared" si="2"/>
        <v/>
      </c>
      <c r="J7" s="39"/>
      <c r="K7" s="71"/>
      <c r="L7" s="73"/>
      <c r="M7" s="73"/>
      <c r="N7" s="73"/>
      <c r="O7" s="73"/>
      <c r="P7" s="73"/>
      <c r="Q7" s="73"/>
      <c r="R7" s="73"/>
      <c r="S7" s="73"/>
      <c r="T7" s="73"/>
      <c r="U7" s="73"/>
    </row>
    <row r="8" spans="1:21" ht="15.6">
      <c r="A8" s="30" t="str">
        <v>Platt Hill</v>
      </c>
      <c r="B8" s="27" t="str">
        <v>CT</v>
      </c>
      <c r="C8" s="24"/>
      <c r="D8" s="13"/>
      <c r="E8" s="13" t="str">
        <f t="shared" si="0"/>
        <v/>
      </c>
      <c r="F8" s="14" t="str">
        <f t="shared" si="3"/>
        <v/>
      </c>
      <c r="G8" s="15"/>
      <c r="H8" s="15" t="str">
        <f t="shared" si="1"/>
        <v/>
      </c>
      <c r="I8" s="16" t="str">
        <f t="shared" si="2"/>
        <v/>
      </c>
      <c r="J8" s="38"/>
      <c r="K8" s="38"/>
      <c r="L8" s="73"/>
      <c r="M8" s="73"/>
      <c r="N8" s="73"/>
      <c r="O8" s="73"/>
      <c r="P8" s="73"/>
      <c r="Q8" s="73"/>
      <c r="R8" s="73"/>
      <c r="S8" s="73"/>
      <c r="T8" s="73"/>
      <c r="U8" s="73"/>
    </row>
    <row r="9" spans="1:21" ht="48.75" customHeight="1">
      <c r="A9" s="28" t="str">
        <v>Powder Hill</v>
      </c>
      <c r="B9" s="29" t="str">
        <v>CT</v>
      </c>
      <c r="C9" s="11"/>
      <c r="D9" s="18"/>
      <c r="E9" s="18" t="str">
        <f t="shared" si="0"/>
        <v/>
      </c>
      <c r="F9" s="19" t="str">
        <f t="shared" si="3"/>
        <v/>
      </c>
      <c r="G9" s="20"/>
      <c r="H9" s="20" t="str">
        <f t="shared" si="1"/>
        <v/>
      </c>
      <c r="I9" s="19" t="str">
        <f t="shared" si="2"/>
        <v/>
      </c>
      <c r="J9" s="47"/>
      <c r="K9" s="71"/>
      <c r="L9" s="74"/>
      <c r="M9" s="73"/>
      <c r="N9" s="73"/>
      <c r="O9" s="73"/>
      <c r="P9" s="73"/>
      <c r="Q9" s="73"/>
      <c r="R9" s="73"/>
      <c r="S9" s="73"/>
      <c r="T9" s="73"/>
      <c r="U9" s="73"/>
    </row>
    <row r="10" spans="1:21" ht="40.5" customHeight="1">
      <c r="A10" s="30" t="str">
        <v>Sand Road</v>
      </c>
      <c r="B10" s="27" t="str">
        <v>CT</v>
      </c>
      <c r="C10" s="24"/>
      <c r="D10" s="13"/>
      <c r="E10" s="13" t="str">
        <f t="shared" si="0"/>
        <v/>
      </c>
      <c r="F10" s="14" t="str">
        <f t="shared" si="3"/>
        <v/>
      </c>
      <c r="G10" s="15"/>
      <c r="H10" s="15" t="str">
        <f t="shared" si="1"/>
        <v/>
      </c>
      <c r="I10" s="16" t="str">
        <f t="shared" si="2"/>
        <v/>
      </c>
      <c r="J10" s="38"/>
      <c r="K10" s="69"/>
      <c r="L10" s="73"/>
      <c r="M10" s="73"/>
      <c r="N10" s="73"/>
      <c r="O10" s="73"/>
      <c r="P10" s="73"/>
      <c r="Q10" s="73"/>
      <c r="R10" s="73"/>
      <c r="S10" s="73"/>
      <c r="T10" s="73"/>
      <c r="U10" s="73"/>
    </row>
    <row r="11" spans="1:21" ht="15.6">
      <c r="A11" s="28" t="str">
        <v>Suffield</v>
      </c>
      <c r="B11" s="29" t="str">
        <v>CT</v>
      </c>
      <c r="C11" s="11"/>
      <c r="D11" s="18"/>
      <c r="E11" s="18" t="str">
        <f t="shared" si="0"/>
        <v/>
      </c>
      <c r="F11" s="19" t="str">
        <f t="shared" si="3"/>
        <v/>
      </c>
      <c r="G11" s="20"/>
      <c r="H11" s="20" t="str">
        <f t="shared" si="1"/>
        <v/>
      </c>
      <c r="I11" s="19" t="str">
        <f t="shared" si="2"/>
        <v/>
      </c>
      <c r="J11" s="39"/>
      <c r="K11" s="39"/>
      <c r="L11" s="73"/>
      <c r="M11" s="73"/>
      <c r="N11" s="73"/>
      <c r="O11" s="73"/>
      <c r="P11" s="73"/>
      <c r="Q11" s="73"/>
      <c r="R11" s="73"/>
      <c r="S11" s="73"/>
      <c r="T11" s="73"/>
      <c r="U11" s="73"/>
    </row>
    <row r="12" spans="1:21" ht="261.75" customHeight="1">
      <c r="A12" s="55" t="str">
        <v>Ashby-Duffy</v>
      </c>
      <c r="B12" s="27" t="str">
        <v>MA</v>
      </c>
      <c r="C12" s="24"/>
      <c r="D12" s="13"/>
      <c r="E12" s="13" t="str">
        <f t="shared" si="0"/>
        <v/>
      </c>
      <c r="F12" s="14" t="str">
        <f t="shared" si="3"/>
        <v/>
      </c>
      <c r="G12" s="15"/>
      <c r="H12" s="15" t="str">
        <f t="shared" si="1"/>
        <v/>
      </c>
      <c r="I12" s="16" t="str">
        <f t="shared" si="2"/>
        <v/>
      </c>
      <c r="J12" s="38"/>
      <c r="K12" s="69"/>
      <c r="L12" s="74"/>
      <c r="M12" s="74"/>
      <c r="N12" s="74"/>
      <c r="O12" s="74"/>
      <c r="P12" s="74"/>
      <c r="Q12" s="73"/>
      <c r="R12" s="73"/>
      <c r="S12" s="73"/>
      <c r="T12" s="73"/>
      <c r="U12" s="73"/>
    </row>
    <row r="13" spans="1:21" ht="209.25" customHeight="1">
      <c r="A13" s="28" t="str">
        <v>Ashland</v>
      </c>
      <c r="B13" s="29" t="str">
        <v>MA</v>
      </c>
      <c r="C13" s="11"/>
      <c r="D13" s="18"/>
      <c r="E13" s="18" t="str">
        <f t="shared" si="0"/>
        <v/>
      </c>
      <c r="F13" s="19" t="str">
        <f t="shared" si="3"/>
        <v/>
      </c>
      <c r="G13" s="20"/>
      <c r="H13" s="20" t="str">
        <f t="shared" si="1"/>
        <v/>
      </c>
      <c r="I13" s="19" t="str">
        <f t="shared" si="2"/>
        <v/>
      </c>
      <c r="J13" s="47"/>
      <c r="K13" s="71"/>
      <c r="L13" s="74"/>
      <c r="M13" s="74"/>
      <c r="N13" s="74"/>
      <c r="O13" s="74"/>
      <c r="P13" s="74"/>
      <c r="Q13" s="74"/>
      <c r="R13" s="74"/>
      <c r="S13" s="74"/>
      <c r="T13" s="74" t="s">
        <v>154</v>
      </c>
      <c r="U13" s="73"/>
    </row>
    <row r="14" spans="1:21" ht="57.75" customHeight="1">
      <c r="A14" s="55" t="str">
        <v>Barrington</v>
      </c>
      <c r="B14" s="27" t="str">
        <v>MA</v>
      </c>
      <c r="C14" s="24"/>
      <c r="D14" s="13"/>
      <c r="E14" s="13" t="str">
        <f t="shared" si="0"/>
        <v/>
      </c>
      <c r="F14" s="14" t="str">
        <f t="shared" si="3"/>
        <v/>
      </c>
      <c r="G14" s="15"/>
      <c r="H14" s="15" t="str">
        <f t="shared" si="1"/>
        <v/>
      </c>
      <c r="I14" s="16" t="str">
        <f t="shared" si="2"/>
        <v/>
      </c>
      <c r="J14" s="38"/>
      <c r="K14" s="69"/>
      <c r="L14" s="73"/>
      <c r="M14" s="73"/>
      <c r="N14" s="73"/>
      <c r="O14" s="73"/>
      <c r="P14" s="73"/>
      <c r="Q14" s="73"/>
      <c r="R14" s="73"/>
      <c r="S14" s="73"/>
      <c r="T14" s="73"/>
      <c r="U14" s="73"/>
    </row>
    <row r="15" spans="1:21" ht="15.6">
      <c r="A15" s="28" t="str">
        <v>Bedford - 205 Burlington Rd</v>
      </c>
      <c r="B15" s="29" t="str">
        <v>MA</v>
      </c>
      <c r="C15" s="11"/>
      <c r="D15" s="18"/>
      <c r="E15" s="18" t="str">
        <f t="shared" si="0"/>
        <v/>
      </c>
      <c r="F15" s="18" t="str">
        <f t="shared" si="3"/>
        <v/>
      </c>
      <c r="G15" s="78"/>
      <c r="H15" s="20" t="str">
        <f t="shared" si="1"/>
        <v/>
      </c>
      <c r="I15" s="20" t="str">
        <f t="shared" si="2"/>
        <v/>
      </c>
      <c r="J15" s="39"/>
      <c r="K15" s="39"/>
      <c r="L15" s="73"/>
      <c r="M15" s="73"/>
      <c r="N15" s="73"/>
      <c r="O15" s="73"/>
      <c r="P15" s="73"/>
      <c r="Q15" s="73"/>
      <c r="R15" s="73"/>
      <c r="S15" s="73"/>
      <c r="T15" s="73"/>
      <c r="U15" s="73"/>
    </row>
    <row r="16" spans="1:21" ht="15.6">
      <c r="A16" s="55" t="str">
        <v>Billerica - 6 Cook Street</v>
      </c>
      <c r="B16" s="27" t="str">
        <v>MA</v>
      </c>
      <c r="C16" s="24"/>
      <c r="D16" s="13"/>
      <c r="E16" s="13" t="str">
        <f t="shared" si="0"/>
        <v/>
      </c>
      <c r="F16" s="14" t="str">
        <f t="shared" si="3"/>
        <v/>
      </c>
      <c r="G16" s="79"/>
      <c r="H16" s="15" t="str">
        <f t="shared" si="1"/>
        <v/>
      </c>
      <c r="I16" s="16" t="str">
        <f t="shared" si="2"/>
        <v/>
      </c>
      <c r="J16" s="38"/>
      <c r="K16" s="38"/>
      <c r="L16" s="73"/>
      <c r="M16" s="73"/>
      <c r="N16" s="73"/>
      <c r="O16" s="73"/>
      <c r="P16" s="73"/>
      <c r="Q16" s="73"/>
      <c r="R16" s="73"/>
      <c r="S16" s="73"/>
      <c r="T16" s="73"/>
      <c r="U16" s="73"/>
    </row>
    <row r="17" spans="1:21" ht="15.6">
      <c r="A17" s="28" t="str">
        <v>Billerica - 780 Boston Road</v>
      </c>
      <c r="B17" s="29" t="str">
        <v>MA</v>
      </c>
      <c r="C17" s="11"/>
      <c r="D17" s="18"/>
      <c r="E17" s="18" t="str">
        <f t="shared" si="0"/>
        <v/>
      </c>
      <c r="F17" s="18" t="str">
        <f t="shared" si="3"/>
        <v/>
      </c>
      <c r="G17" s="78"/>
      <c r="H17" s="20" t="str">
        <f t="shared" si="1"/>
        <v/>
      </c>
      <c r="I17" s="20" t="str">
        <f t="shared" si="2"/>
        <v/>
      </c>
      <c r="J17" s="39"/>
      <c r="K17" s="47"/>
      <c r="L17" s="73"/>
      <c r="M17" s="73"/>
      <c r="N17" s="73"/>
      <c r="O17" s="73"/>
      <c r="P17" s="73"/>
      <c r="Q17" s="73"/>
      <c r="R17" s="73"/>
      <c r="S17" s="73"/>
      <c r="T17" s="73"/>
      <c r="U17" s="73"/>
    </row>
    <row r="18" spans="1:21" ht="15.6">
      <c r="A18" s="55" t="str">
        <v>Cheshire</v>
      </c>
      <c r="B18" s="27" t="str">
        <v>MA</v>
      </c>
      <c r="C18" s="24"/>
      <c r="D18" s="13"/>
      <c r="E18" s="13" t="str">
        <f t="shared" si="0"/>
        <v/>
      </c>
      <c r="F18" s="14" t="str">
        <f t="shared" si="3"/>
        <v/>
      </c>
      <c r="G18" s="15"/>
      <c r="H18" s="15" t="str">
        <f t="shared" si="1"/>
        <v/>
      </c>
      <c r="I18" s="16" t="str">
        <f t="shared" si="2"/>
        <v/>
      </c>
      <c r="J18" s="38"/>
      <c r="K18" s="38"/>
      <c r="L18" s="73"/>
      <c r="M18" s="73"/>
      <c r="N18" s="73"/>
      <c r="O18" s="73"/>
      <c r="P18" s="73"/>
      <c r="Q18" s="73"/>
      <c r="R18" s="73"/>
      <c r="S18" s="73"/>
      <c r="T18" s="73"/>
      <c r="U18" s="73"/>
    </row>
    <row r="19" spans="1:21" ht="81.75" customHeight="1">
      <c r="A19" s="28" t="str">
        <v>Lilly Lane</v>
      </c>
      <c r="B19" s="29" t="str">
        <v>MA</v>
      </c>
      <c r="C19" s="11"/>
      <c r="D19" s="18"/>
      <c r="E19" s="18" t="str">
        <f t="shared" si="0"/>
        <v/>
      </c>
      <c r="F19" s="19" t="str">
        <f t="shared" si="3"/>
        <v/>
      </c>
      <c r="G19" s="20"/>
      <c r="H19" s="20" t="str">
        <f t="shared" si="1"/>
        <v/>
      </c>
      <c r="I19" s="19" t="str">
        <f t="shared" si="2"/>
        <v/>
      </c>
      <c r="J19" s="47"/>
      <c r="K19" s="71"/>
      <c r="L19" s="74"/>
      <c r="M19" s="73"/>
      <c r="N19" s="73"/>
      <c r="O19" s="73"/>
      <c r="P19" s="73"/>
      <c r="Q19" s="73"/>
      <c r="R19" s="73"/>
      <c r="S19" s="73"/>
      <c r="T19" s="73"/>
      <c r="U19" s="73"/>
    </row>
    <row r="20" spans="1:21" ht="15.6">
      <c r="A20" s="55" t="str">
        <v>Monument Valley</v>
      </c>
      <c r="B20" s="27" t="str">
        <v>MA</v>
      </c>
      <c r="C20" s="24"/>
      <c r="D20" s="13"/>
      <c r="E20" s="13" t="str">
        <f t="shared" si="0"/>
        <v/>
      </c>
      <c r="F20" s="14" t="str">
        <f t="shared" si="3"/>
        <v/>
      </c>
      <c r="G20" s="67"/>
      <c r="H20" s="15" t="str">
        <f t="shared" si="1"/>
        <v/>
      </c>
      <c r="I20" s="16" t="str">
        <f t="shared" si="2"/>
        <v/>
      </c>
      <c r="J20" s="38"/>
      <c r="K20" s="69"/>
      <c r="L20" s="73"/>
      <c r="M20" s="73"/>
      <c r="N20" s="73"/>
      <c r="O20" s="73"/>
      <c r="P20" s="73"/>
      <c r="Q20" s="73"/>
      <c r="R20" s="73"/>
      <c r="S20" s="73"/>
      <c r="T20" s="73"/>
      <c r="U20" s="73"/>
    </row>
    <row r="21" spans="1:21" ht="15.6">
      <c r="A21" s="28" t="str">
        <v>Nationwide</v>
      </c>
      <c r="B21" s="29" t="str">
        <v>MA</v>
      </c>
      <c r="C21" s="11"/>
      <c r="D21" s="18"/>
      <c r="E21" s="18" t="str">
        <f t="shared" si="0"/>
        <v/>
      </c>
      <c r="F21" s="19" t="str">
        <f t="shared" si="3"/>
        <v/>
      </c>
      <c r="G21" s="20"/>
      <c r="H21" s="20" t="str">
        <f t="shared" si="1"/>
        <v/>
      </c>
      <c r="I21" s="19" t="str">
        <f t="shared" si="2"/>
        <v/>
      </c>
      <c r="J21" s="39"/>
      <c r="K21" s="71"/>
      <c r="L21" s="74"/>
      <c r="M21" s="74"/>
      <c r="N21" s="74"/>
      <c r="O21" s="73"/>
      <c r="P21" s="73"/>
      <c r="Q21" s="73"/>
      <c r="R21" s="73"/>
      <c r="S21" s="73"/>
      <c r="T21" s="73"/>
      <c r="U21" s="73"/>
    </row>
    <row r="22" spans="1:21" ht="197.25" customHeight="1">
      <c r="A22" s="55" t="str">
        <v>Pulpit Hill</v>
      </c>
      <c r="B22" s="27" t="str">
        <v>MA</v>
      </c>
      <c r="C22" s="24"/>
      <c r="D22" s="13"/>
      <c r="E22" s="13" t="str">
        <f t="shared" si="0"/>
        <v/>
      </c>
      <c r="F22" s="14" t="str">
        <f t="shared" si="3"/>
        <v/>
      </c>
      <c r="G22" s="15"/>
      <c r="H22" s="15" t="str">
        <f t="shared" si="1"/>
        <v/>
      </c>
      <c r="I22" s="16" t="str">
        <f t="shared" si="2"/>
        <v/>
      </c>
      <c r="J22" s="38"/>
      <c r="K22" s="69"/>
      <c r="L22" s="74"/>
      <c r="M22" s="74"/>
      <c r="N22" s="74"/>
      <c r="O22" s="74"/>
      <c r="P22" s="73"/>
      <c r="Q22" s="73"/>
      <c r="R22" s="73"/>
      <c r="S22" s="73"/>
      <c r="T22" s="73"/>
      <c r="U22" s="73"/>
    </row>
    <row r="23" spans="1:21" ht="122.25" customHeight="1">
      <c r="A23" s="28" t="str">
        <v>Sandwich</v>
      </c>
      <c r="B23" s="29" t="str">
        <v>MA</v>
      </c>
      <c r="C23" s="11"/>
      <c r="D23" s="18"/>
      <c r="E23" s="18" t="str">
        <f t="shared" si="0"/>
        <v/>
      </c>
      <c r="F23" s="19" t="str">
        <f t="shared" si="3"/>
        <v/>
      </c>
      <c r="G23" s="20"/>
      <c r="H23" s="20" t="str">
        <f t="shared" si="1"/>
        <v/>
      </c>
      <c r="I23" s="19" t="str">
        <f t="shared" si="2"/>
        <v/>
      </c>
      <c r="J23" s="47"/>
      <c r="K23" s="71"/>
      <c r="L23" s="74"/>
      <c r="M23" s="74"/>
      <c r="N23" s="74"/>
      <c r="O23" s="73"/>
      <c r="P23" s="73"/>
      <c r="Q23" s="73"/>
      <c r="R23" s="73"/>
      <c r="S23" s="73"/>
      <c r="T23" s="73"/>
      <c r="U23" s="73"/>
    </row>
    <row r="24" spans="1:21" ht="53.25" customHeight="1">
      <c r="A24" s="55" t="str">
        <v>Sturbridge Barn</v>
      </c>
      <c r="B24" s="27" t="str">
        <v>MA</v>
      </c>
      <c r="C24" s="24"/>
      <c r="D24" s="13"/>
      <c r="E24" s="13" t="str">
        <f t="shared" si="0"/>
        <v/>
      </c>
      <c r="F24" s="14" t="str">
        <f t="shared" si="3"/>
        <v/>
      </c>
      <c r="G24" s="15"/>
      <c r="H24" s="15" t="str">
        <f t="shared" si="1"/>
        <v/>
      </c>
      <c r="I24" s="16" t="str">
        <f t="shared" si="2"/>
        <v/>
      </c>
      <c r="J24" s="38"/>
      <c r="K24" s="69"/>
      <c r="L24" s="73"/>
      <c r="M24" s="73"/>
      <c r="N24" s="73"/>
      <c r="O24" s="73"/>
      <c r="P24" s="73"/>
      <c r="Q24" s="73"/>
      <c r="R24" s="73"/>
      <c r="S24" s="73"/>
      <c r="T24" s="73"/>
      <c r="U24" s="73"/>
    </row>
    <row r="25" spans="1:21" ht="78" customHeight="1">
      <c r="A25" s="28" t="str">
        <v>Sturbridge Garage</v>
      </c>
      <c r="B25" s="29" t="str">
        <v>MA</v>
      </c>
      <c r="C25" s="11"/>
      <c r="D25" s="18"/>
      <c r="E25" s="18" t="str">
        <f t="shared" si="0"/>
        <v/>
      </c>
      <c r="F25" s="19" t="str">
        <f t="shared" si="3"/>
        <v/>
      </c>
      <c r="G25" s="20"/>
      <c r="H25" s="20" t="str">
        <f t="shared" si="1"/>
        <v/>
      </c>
      <c r="I25" s="19" t="str">
        <f t="shared" si="2"/>
        <v/>
      </c>
      <c r="J25" s="39"/>
      <c r="K25" s="71"/>
      <c r="L25" s="74"/>
      <c r="M25" s="73"/>
      <c r="N25" s="73"/>
      <c r="O25" s="73"/>
      <c r="P25" s="73"/>
      <c r="Q25" s="73"/>
      <c r="R25" s="73"/>
      <c r="S25" s="73"/>
      <c r="T25" s="73"/>
      <c r="U25" s="73"/>
    </row>
    <row r="26" spans="1:21" ht="15.6">
      <c r="A26" s="55" t="str">
        <v>Halsey Valley</v>
      </c>
      <c r="B26" s="27" t="str">
        <v>NY</v>
      </c>
      <c r="C26" s="24"/>
      <c r="D26" s="13"/>
      <c r="E26" s="13" t="str">
        <f t="shared" si="0"/>
        <v/>
      </c>
      <c r="F26" s="14" t="str">
        <f t="shared" si="3"/>
        <v/>
      </c>
      <c r="G26" s="15"/>
      <c r="H26" s="15" t="str">
        <f t="shared" si="1"/>
        <v/>
      </c>
      <c r="I26" s="16" t="str">
        <f t="shared" si="2"/>
        <v/>
      </c>
      <c r="J26" s="38"/>
      <c r="K26" s="69"/>
      <c r="L26" s="74"/>
      <c r="M26" s="73"/>
      <c r="N26" s="73"/>
      <c r="O26" s="73"/>
      <c r="P26" s="73"/>
      <c r="Q26" s="73"/>
      <c r="R26" s="73"/>
      <c r="S26" s="73"/>
      <c r="T26" s="73"/>
      <c r="U26" s="73"/>
    </row>
    <row r="27" spans="1:21" ht="15.6">
      <c r="A27" s="28" t="str">
        <v>Hunt Creek</v>
      </c>
      <c r="B27" s="29" t="str">
        <v>NY</v>
      </c>
      <c r="C27" s="11"/>
      <c r="D27" s="18"/>
      <c r="E27" s="18" t="str">
        <f t="shared" si="0"/>
        <v/>
      </c>
      <c r="F27" s="19" t="str">
        <f t="shared" si="3"/>
        <v/>
      </c>
      <c r="G27" s="20"/>
      <c r="H27" s="20" t="str">
        <f t="shared" si="1"/>
        <v/>
      </c>
      <c r="I27" s="19" t="str">
        <f t="shared" si="2"/>
        <v/>
      </c>
      <c r="J27" s="39"/>
      <c r="K27" s="71"/>
      <c r="L27" s="73"/>
      <c r="M27" s="73"/>
      <c r="N27" s="73"/>
      <c r="O27" s="73"/>
      <c r="P27" s="73"/>
      <c r="Q27" s="73"/>
      <c r="R27" s="73"/>
      <c r="S27" s="73"/>
      <c r="T27" s="73"/>
      <c r="U27" s="73"/>
    </row>
    <row r="28" spans="1:21" ht="15.6">
      <c r="A28" s="55" t="str">
        <v>Smith Creek</v>
      </c>
      <c r="B28" s="27" t="str">
        <v>NY</v>
      </c>
      <c r="C28" s="24"/>
      <c r="D28" s="13"/>
      <c r="E28" s="13" t="str">
        <f t="shared" si="0"/>
        <v/>
      </c>
      <c r="F28" s="14" t="str">
        <f t="shared" si="3"/>
        <v/>
      </c>
      <c r="G28" s="15"/>
      <c r="H28" s="15" t="str">
        <f t="shared" si="1"/>
        <v/>
      </c>
      <c r="I28" s="16" t="str">
        <f t="shared" si="2"/>
        <v/>
      </c>
      <c r="J28" s="38"/>
      <c r="K28" s="38"/>
      <c r="L28" s="73"/>
      <c r="M28" s="73"/>
      <c r="N28" s="73"/>
      <c r="O28" s="73"/>
      <c r="P28" s="73"/>
      <c r="Q28" s="73"/>
      <c r="R28" s="73"/>
      <c r="S28" s="73"/>
      <c r="T28" s="73"/>
      <c r="U28" s="73"/>
    </row>
    <row r="29" spans="1:21" ht="15.6">
      <c r="A29" s="28" t="str">
        <v>Bradford - 256 Presidential Dr</v>
      </c>
      <c r="B29" s="29" t="str">
        <v>MA</v>
      </c>
      <c r="C29" s="58"/>
      <c r="D29" s="18"/>
      <c r="E29" s="18"/>
      <c r="F29" s="52"/>
      <c r="G29" s="50"/>
      <c r="H29" s="50"/>
      <c r="I29" s="52"/>
      <c r="J29" s="39"/>
      <c r="K29" s="71"/>
      <c r="L29" s="74"/>
      <c r="M29" s="73"/>
      <c r="N29" s="73"/>
      <c r="O29" s="73"/>
      <c r="P29" s="73"/>
      <c r="Q29" s="73"/>
      <c r="R29" s="73"/>
      <c r="S29" s="73"/>
      <c r="T29" s="73"/>
      <c r="U29" s="73"/>
    </row>
    <row r="30" spans="1:21" ht="124.35" customHeight="1">
      <c r="A30" s="55" t="str">
        <v>Charlton – 111 Brookfield Road - Bus Lot</v>
      </c>
      <c r="B30" s="27" t="str">
        <v>MA</v>
      </c>
      <c r="C30" s="51"/>
      <c r="D30" s="13"/>
      <c r="E30" s="13"/>
      <c r="F30" s="53"/>
      <c r="G30" s="49"/>
      <c r="H30" s="49"/>
      <c r="I30" s="54"/>
      <c r="J30" s="77"/>
      <c r="K30" s="80"/>
      <c r="L30" s="74"/>
      <c r="M30" s="73"/>
      <c r="N30" s="73"/>
      <c r="O30" s="73"/>
      <c r="P30" s="73"/>
      <c r="Q30" s="73"/>
      <c r="R30" s="73"/>
      <c r="S30" s="73"/>
      <c r="T30" s="73"/>
      <c r="U30" s="73"/>
    </row>
    <row r="31" spans="1:21" ht="50.25" customHeight="1">
      <c r="A31" s="28" t="str">
        <v>Charlton – 154 Center Depot Road KMARD</v>
      </c>
      <c r="B31" s="29" t="str">
        <v>MA</v>
      </c>
      <c r="C31" s="58"/>
      <c r="D31" s="18"/>
      <c r="E31" s="18"/>
      <c r="F31" s="52"/>
      <c r="G31" s="50"/>
      <c r="H31" s="50"/>
      <c r="I31" s="52"/>
      <c r="J31" s="47"/>
      <c r="K31" s="71"/>
      <c r="L31" s="74"/>
      <c r="M31" s="73"/>
      <c r="N31" s="73"/>
      <c r="O31" s="73"/>
      <c r="P31" s="73"/>
      <c r="Q31" s="73"/>
      <c r="R31" s="73"/>
      <c r="S31" s="73"/>
      <c r="T31" s="73"/>
      <c r="U31" s="73"/>
    </row>
    <row r="32" spans="1:21" ht="15.6">
      <c r="A32" s="55" t="str">
        <v>Charlton – 142A Brookfield Rd (Mitchell)</v>
      </c>
      <c r="B32" s="27" t="str">
        <v>MA</v>
      </c>
      <c r="C32" s="51"/>
      <c r="D32" s="13"/>
      <c r="E32" s="13"/>
      <c r="F32" s="53"/>
      <c r="G32" s="49"/>
      <c r="H32" s="49"/>
      <c r="I32" s="54"/>
      <c r="J32" s="77"/>
      <c r="K32" s="77"/>
      <c r="L32" s="73"/>
      <c r="M32" s="73"/>
      <c r="N32" s="73"/>
      <c r="O32" s="73"/>
      <c r="P32" s="73"/>
      <c r="Q32" s="73"/>
      <c r="R32" s="73"/>
      <c r="S32" s="73"/>
      <c r="T32" s="73"/>
      <c r="U32" s="73"/>
    </row>
    <row r="33" spans="1:21" ht="315.75" customHeight="1">
      <c r="A33" s="28" t="str">
        <v>Great Barrington – 3 Nolan  Drive</v>
      </c>
      <c r="B33" s="29" t="str">
        <v>MA</v>
      </c>
      <c r="C33" s="58"/>
      <c r="D33" s="18"/>
      <c r="E33" s="18"/>
      <c r="F33" s="52"/>
      <c r="G33" s="50"/>
      <c r="H33" s="50"/>
      <c r="I33" s="52"/>
      <c r="J33" s="47"/>
      <c r="K33" s="70"/>
      <c r="L33" s="74"/>
      <c r="M33" s="74"/>
      <c r="N33" s="74"/>
      <c r="O33" s="74"/>
      <c r="P33" s="74"/>
      <c r="Q33" s="74"/>
      <c r="R33" s="73"/>
      <c r="S33" s="73"/>
      <c r="T33" s="73"/>
      <c r="U33" s="73"/>
    </row>
    <row r="34" spans="1:21" ht="166.5" customHeight="1">
      <c r="A34" s="55" t="str">
        <v>Stockbridge – 92 State Line Road Truck Stop</v>
      </c>
      <c r="B34" s="27" t="str">
        <v>MA</v>
      </c>
      <c r="C34" s="51"/>
      <c r="D34" s="13"/>
      <c r="E34" s="13"/>
      <c r="F34" s="53"/>
      <c r="G34" s="49"/>
      <c r="H34" s="49"/>
      <c r="I34" s="54"/>
      <c r="J34" s="77"/>
      <c r="K34" s="80"/>
      <c r="L34" s="74"/>
      <c r="M34" s="74"/>
      <c r="N34" s="73"/>
      <c r="O34" s="73"/>
      <c r="P34" s="73"/>
      <c r="Q34" s="73"/>
      <c r="R34" s="73"/>
      <c r="S34" s="73"/>
      <c r="T34" s="73"/>
      <c r="U34" s="73"/>
    </row>
    <row r="35" spans="1:21" ht="14.45">
      <c r="A35" s="21" t="str">
        <v>NY: New Windsor - Moores Hill</v>
      </c>
      <c r="B35" s="31" t="str">
        <v>NY</v>
      </c>
      <c r="C35" s="21"/>
      <c r="D35" s="21"/>
      <c r="E35" s="21"/>
      <c r="F35" s="21"/>
      <c r="G35" s="21"/>
      <c r="H35" s="21"/>
      <c r="I35" s="21"/>
      <c r="J35" s="21"/>
      <c r="K35" s="21"/>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hyperlinks>
    <hyperlink ref="T13" r:id="rId1" display="https://us3.assetplanner.com/service_request?ID=100159" xr:uid="{635FEBAE-B030-4101-8C51-CCF83DBD5FE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5"/>
  <sheetViews>
    <sheetView zoomScale="60" zoomScaleNormal="60" workbookViewId="0">
      <pane xSplit="2" ySplit="3" topLeftCell="C21"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3"/>
  </cols>
  <sheetData>
    <row r="1" spans="1:21" ht="19.5" customHeight="1">
      <c r="A1" s="124" t="str" cm="1">
        <f t="array" ref="A1">portfolio</f>
        <v>Lodestar</v>
      </c>
      <c r="B1" s="124"/>
      <c r="C1" s="124"/>
      <c r="D1" s="125" t="s">
        <v>155</v>
      </c>
      <c r="E1" s="125"/>
      <c r="F1" s="125"/>
      <c r="G1" s="123" t="s">
        <v>156</v>
      </c>
      <c r="H1" s="123"/>
      <c r="I1" s="123"/>
      <c r="J1" s="4"/>
      <c r="K1" s="4"/>
    </row>
    <row r="2" spans="1:21"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0" customHeight="1">
      <c r="A4" s="55"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c r="L4" s="74"/>
      <c r="M4" s="74"/>
      <c r="N4" s="74"/>
    </row>
    <row r="5" spans="1:21" ht="15.6">
      <c r="A5" s="28" t="str">
        <v>Bunce</v>
      </c>
      <c r="B5" s="29" t="str">
        <v>CT</v>
      </c>
      <c r="C5" s="11"/>
      <c r="D5" s="18"/>
      <c r="E5" s="18" t="str">
        <f t="shared" ref="E5:E28" si="0">IF(AND(ISNUMBER(C5),ISNUMBER(D5)), C5-D5, "")</f>
        <v/>
      </c>
      <c r="F5" s="19" t="str">
        <f>IFERROR(E5/D5, "")</f>
        <v/>
      </c>
      <c r="G5" s="20"/>
      <c r="H5" s="20" t="str">
        <f t="shared" ref="H5:H28" si="1">IF(AND(ISNUMBER(C5),ISNUMBER(G5)), C5-G5, "")</f>
        <v/>
      </c>
      <c r="I5" s="19" t="str">
        <f t="shared" ref="I5:I28" si="2">IFERROR(H5/G5, "")</f>
        <v/>
      </c>
      <c r="J5" s="39"/>
      <c r="K5" s="71"/>
      <c r="L5" s="74"/>
    </row>
    <row r="6" spans="1:21" ht="168" customHeight="1">
      <c r="A6" s="55" t="str">
        <v>Norcap North</v>
      </c>
      <c r="B6" s="27" t="str">
        <v>CT</v>
      </c>
      <c r="C6" s="24"/>
      <c r="D6" s="13"/>
      <c r="E6" s="13" t="str">
        <f t="shared" si="0"/>
        <v/>
      </c>
      <c r="F6" s="14" t="str">
        <f t="shared" ref="F6:F28" si="3">IFERROR(E6/D6, "")</f>
        <v/>
      </c>
      <c r="G6" s="15"/>
      <c r="H6" s="15" t="str">
        <f t="shared" si="1"/>
        <v/>
      </c>
      <c r="I6" s="16" t="str">
        <f t="shared" si="2"/>
        <v/>
      </c>
      <c r="J6" s="38"/>
      <c r="K6" s="69"/>
      <c r="L6" s="74"/>
      <c r="M6" s="74"/>
      <c r="N6" s="74"/>
    </row>
    <row r="7" spans="1:21" ht="15.6">
      <c r="A7" s="28" t="str">
        <v>Norcap South</v>
      </c>
      <c r="B7" s="29" t="str">
        <v>CT</v>
      </c>
      <c r="C7" s="11"/>
      <c r="D7" s="18"/>
      <c r="E7" s="18" t="str">
        <f t="shared" si="0"/>
        <v/>
      </c>
      <c r="F7" s="19" t="str">
        <f t="shared" si="3"/>
        <v/>
      </c>
      <c r="G7" s="20"/>
      <c r="H7" s="20" t="str">
        <f t="shared" si="1"/>
        <v/>
      </c>
      <c r="I7" s="19" t="str">
        <f t="shared" si="2"/>
        <v/>
      </c>
      <c r="J7" s="39"/>
      <c r="K7" s="47"/>
    </row>
    <row r="8" spans="1:21" ht="15.6">
      <c r="A8" s="55" t="str">
        <v>Platt Hill</v>
      </c>
      <c r="B8" s="27" t="str">
        <v>CT</v>
      </c>
      <c r="C8" s="24"/>
      <c r="D8" s="13"/>
      <c r="E8" s="13" t="str">
        <f t="shared" si="0"/>
        <v/>
      </c>
      <c r="F8" s="14" t="str">
        <f t="shared" si="3"/>
        <v/>
      </c>
      <c r="G8" s="15"/>
      <c r="H8" s="15" t="str">
        <f t="shared" si="1"/>
        <v/>
      </c>
      <c r="I8" s="16" t="str">
        <f t="shared" si="2"/>
        <v/>
      </c>
      <c r="J8" s="38"/>
      <c r="K8" s="69"/>
    </row>
    <row r="9" spans="1:21" ht="15.6">
      <c r="A9" s="28" t="str">
        <v>Powder Hill</v>
      </c>
      <c r="B9" s="29" t="str">
        <v>CT</v>
      </c>
      <c r="C9" s="11"/>
      <c r="D9" s="18"/>
      <c r="E9" s="18" t="str">
        <f t="shared" si="0"/>
        <v/>
      </c>
      <c r="F9" s="19" t="str">
        <f t="shared" si="3"/>
        <v/>
      </c>
      <c r="G9" s="20"/>
      <c r="H9" s="20" t="str">
        <f t="shared" si="1"/>
        <v/>
      </c>
      <c r="I9" s="19" t="str">
        <f t="shared" si="2"/>
        <v/>
      </c>
      <c r="J9" s="39"/>
      <c r="K9" s="71"/>
      <c r="L9" s="74"/>
    </row>
    <row r="10" spans="1:21" ht="15.6">
      <c r="A10" s="55" t="str">
        <v>Sand Road</v>
      </c>
      <c r="B10" s="27" t="str">
        <v>CT</v>
      </c>
      <c r="C10" s="24"/>
      <c r="D10" s="13"/>
      <c r="E10" s="13" t="str">
        <f t="shared" si="0"/>
        <v/>
      </c>
      <c r="F10" s="14" t="str">
        <f t="shared" si="3"/>
        <v/>
      </c>
      <c r="G10" s="15"/>
      <c r="H10" s="15" t="str">
        <f t="shared" si="1"/>
        <v/>
      </c>
      <c r="I10" s="16" t="str">
        <f t="shared" si="2"/>
        <v/>
      </c>
      <c r="J10" s="38"/>
      <c r="K10" s="38"/>
    </row>
    <row r="11" spans="1:21" ht="32.25" customHeight="1">
      <c r="A11" s="28" t="str">
        <v>Suffield</v>
      </c>
      <c r="B11" s="29" t="str">
        <v>CT</v>
      </c>
      <c r="C11" s="11"/>
      <c r="D11" s="18"/>
      <c r="E11" s="18" t="str">
        <f t="shared" si="0"/>
        <v/>
      </c>
      <c r="F11" s="19" t="str">
        <f t="shared" si="3"/>
        <v/>
      </c>
      <c r="G11" s="20"/>
      <c r="H11" s="20" t="str">
        <f t="shared" si="1"/>
        <v/>
      </c>
      <c r="I11" s="19" t="str">
        <f t="shared" si="2"/>
        <v/>
      </c>
      <c r="J11" s="47"/>
      <c r="K11" s="47"/>
    </row>
    <row r="12" spans="1:21" ht="15.6">
      <c r="A12" s="55" t="str">
        <v>Ashby-Duffy</v>
      </c>
      <c r="B12" s="27" t="str">
        <v>MA</v>
      </c>
      <c r="C12" s="24"/>
      <c r="D12" s="13"/>
      <c r="E12" s="13" t="str">
        <f t="shared" si="0"/>
        <v/>
      </c>
      <c r="F12" s="14" t="str">
        <f t="shared" si="3"/>
        <v/>
      </c>
      <c r="G12" s="15"/>
      <c r="H12" s="15" t="str">
        <f t="shared" si="1"/>
        <v/>
      </c>
      <c r="I12" s="16" t="str">
        <f t="shared" si="2"/>
        <v/>
      </c>
      <c r="J12" s="38"/>
      <c r="K12" s="69"/>
      <c r="L12" s="74"/>
      <c r="M12" s="74"/>
    </row>
    <row r="13" spans="1:21" ht="218.25" customHeight="1">
      <c r="A13" s="28" t="str">
        <v>Ashland</v>
      </c>
      <c r="B13" s="29" t="str">
        <v>MA</v>
      </c>
      <c r="C13" s="11"/>
      <c r="D13" s="18"/>
      <c r="E13" s="18" t="str">
        <f t="shared" si="0"/>
        <v/>
      </c>
      <c r="F13" s="19" t="str">
        <f t="shared" si="3"/>
        <v/>
      </c>
      <c r="G13" s="20"/>
      <c r="H13" s="20" t="str">
        <f t="shared" si="1"/>
        <v/>
      </c>
      <c r="I13" s="19" t="str">
        <f t="shared" si="2"/>
        <v/>
      </c>
      <c r="J13" s="47"/>
      <c r="K13" s="71"/>
      <c r="L13" s="74"/>
      <c r="M13" s="74"/>
      <c r="N13" s="74"/>
      <c r="O13" s="74"/>
      <c r="P13" s="74"/>
      <c r="Q13" s="81"/>
      <c r="R13" s="81"/>
      <c r="S13" s="81"/>
      <c r="T13" s="81" t="s">
        <v>157</v>
      </c>
      <c r="U13" s="81" t="s">
        <v>158</v>
      </c>
    </row>
    <row r="14" spans="1:21" ht="15.6">
      <c r="A14" s="55" t="str">
        <v>Barrington</v>
      </c>
      <c r="B14" s="27" t="str">
        <v>MA</v>
      </c>
      <c r="C14" s="24"/>
      <c r="D14" s="13"/>
      <c r="E14" s="13" t="str">
        <f t="shared" si="0"/>
        <v/>
      </c>
      <c r="F14" s="14" t="str">
        <f t="shared" si="3"/>
        <v/>
      </c>
      <c r="G14" s="15"/>
      <c r="H14" s="15" t="str">
        <f t="shared" si="1"/>
        <v/>
      </c>
      <c r="I14" s="16" t="str">
        <f t="shared" si="2"/>
        <v/>
      </c>
      <c r="J14" s="38"/>
      <c r="K14" s="69"/>
      <c r="L14" s="74"/>
    </row>
    <row r="15" spans="1:21" ht="74.25" customHeight="1">
      <c r="A15" s="28" t="str">
        <v>Bedford - 205 Burlington Rd</v>
      </c>
      <c r="B15" s="29" t="str">
        <v>MA</v>
      </c>
      <c r="C15" s="11"/>
      <c r="D15" s="18"/>
      <c r="E15" s="18" t="str">
        <f t="shared" si="0"/>
        <v/>
      </c>
      <c r="F15" s="19" t="str">
        <f t="shared" si="3"/>
        <v/>
      </c>
      <c r="G15" s="66"/>
      <c r="H15" s="20" t="str">
        <f t="shared" si="1"/>
        <v/>
      </c>
      <c r="I15" s="19" t="str">
        <f t="shared" si="2"/>
        <v/>
      </c>
      <c r="J15" s="47"/>
      <c r="K15" s="47"/>
    </row>
    <row r="16" spans="1:21" ht="15.6">
      <c r="A16" s="55" t="str">
        <v>Billerica - 6 Cook Street</v>
      </c>
      <c r="B16" s="27" t="str">
        <v>MA</v>
      </c>
      <c r="C16" s="24"/>
      <c r="D16" s="13"/>
      <c r="E16" s="13" t="str">
        <f t="shared" si="0"/>
        <v/>
      </c>
      <c r="F16" s="14" t="str">
        <f t="shared" si="3"/>
        <v/>
      </c>
      <c r="G16" s="67"/>
      <c r="H16" s="15" t="str">
        <f t="shared" si="1"/>
        <v/>
      </c>
      <c r="I16" s="16" t="str">
        <f t="shared" si="2"/>
        <v/>
      </c>
      <c r="J16" s="38"/>
      <c r="K16" s="38"/>
    </row>
    <row r="17" spans="1:15" ht="15.6">
      <c r="A17" s="28" t="str">
        <v>Billerica - 780 Boston Road</v>
      </c>
      <c r="B17" s="29" t="str">
        <v>MA</v>
      </c>
      <c r="C17" s="11"/>
      <c r="D17" s="18"/>
      <c r="E17" s="18" t="str">
        <f t="shared" si="0"/>
        <v/>
      </c>
      <c r="F17" s="19" t="str">
        <f t="shared" si="3"/>
        <v/>
      </c>
      <c r="G17" s="66"/>
      <c r="H17" s="20" t="str">
        <f t="shared" si="1"/>
        <v/>
      </c>
      <c r="I17" s="19" t="str">
        <f t="shared" si="2"/>
        <v/>
      </c>
      <c r="J17" s="39"/>
      <c r="K17" s="71"/>
    </row>
    <row r="18" spans="1:15" ht="33.75" customHeight="1">
      <c r="A18" s="55" t="str">
        <v>Cheshire</v>
      </c>
      <c r="B18" s="27" t="str">
        <v>MA</v>
      </c>
      <c r="C18" s="24"/>
      <c r="D18" s="13"/>
      <c r="E18" s="13" t="str">
        <f t="shared" si="0"/>
        <v/>
      </c>
      <c r="F18" s="14" t="str">
        <f t="shared" si="3"/>
        <v/>
      </c>
      <c r="G18" s="15"/>
      <c r="H18" s="15" t="str">
        <f t="shared" si="1"/>
        <v/>
      </c>
      <c r="I18" s="16" t="str">
        <f t="shared" si="2"/>
        <v/>
      </c>
      <c r="J18" s="38"/>
      <c r="K18" s="38"/>
    </row>
    <row r="19" spans="1:15" ht="15.6">
      <c r="A19" s="28" t="str">
        <v>Lilly Lane</v>
      </c>
      <c r="B19" s="29" t="str">
        <v>MA</v>
      </c>
      <c r="C19" s="11"/>
      <c r="D19" s="18"/>
      <c r="E19" s="18" t="str">
        <f t="shared" si="0"/>
        <v/>
      </c>
      <c r="F19" s="19" t="str">
        <f t="shared" si="3"/>
        <v/>
      </c>
      <c r="G19" s="20"/>
      <c r="H19" s="20" t="str">
        <f t="shared" si="1"/>
        <v/>
      </c>
      <c r="I19" s="19" t="str">
        <f t="shared" si="2"/>
        <v/>
      </c>
      <c r="J19" s="39"/>
      <c r="K19" s="71"/>
    </row>
    <row r="20" spans="1:15" ht="15.6">
      <c r="A20" s="55" t="str">
        <v>Monument Valley</v>
      </c>
      <c r="B20" s="27" t="str">
        <v>MA</v>
      </c>
      <c r="C20" s="24"/>
      <c r="D20" s="13"/>
      <c r="E20" s="13" t="str">
        <f t="shared" si="0"/>
        <v/>
      </c>
      <c r="F20" s="14" t="str">
        <f t="shared" si="3"/>
        <v/>
      </c>
      <c r="G20" s="15"/>
      <c r="H20" s="15" t="str">
        <f t="shared" si="1"/>
        <v/>
      </c>
      <c r="I20" s="16" t="str">
        <f t="shared" si="2"/>
        <v/>
      </c>
      <c r="J20" s="38"/>
      <c r="K20" s="69"/>
    </row>
    <row r="21" spans="1:15" ht="15.6">
      <c r="A21" s="28" t="str">
        <v>Nationwide</v>
      </c>
      <c r="B21" s="29" t="str">
        <v>MA</v>
      </c>
      <c r="C21" s="11"/>
      <c r="D21" s="18"/>
      <c r="E21" s="18" t="str">
        <f t="shared" si="0"/>
        <v/>
      </c>
      <c r="F21" s="19" t="str">
        <f t="shared" si="3"/>
        <v/>
      </c>
      <c r="G21" s="20"/>
      <c r="H21" s="20" t="str">
        <f t="shared" si="1"/>
        <v/>
      </c>
      <c r="I21" s="19" t="str">
        <f t="shared" si="2"/>
        <v/>
      </c>
      <c r="J21" s="39"/>
      <c r="K21" s="71"/>
      <c r="L21" s="74"/>
    </row>
    <row r="22" spans="1:15" ht="15.6">
      <c r="A22" s="55" t="str">
        <v>Pulpit Hill</v>
      </c>
      <c r="B22" s="27" t="str">
        <v>MA</v>
      </c>
      <c r="C22" s="24"/>
      <c r="D22" s="13"/>
      <c r="E22" s="13" t="str">
        <f t="shared" si="0"/>
        <v/>
      </c>
      <c r="F22" s="14" t="str">
        <f t="shared" si="3"/>
        <v/>
      </c>
      <c r="G22" s="15"/>
      <c r="H22" s="15" t="str">
        <f t="shared" si="1"/>
        <v/>
      </c>
      <c r="I22" s="16" t="str">
        <f t="shared" si="2"/>
        <v/>
      </c>
      <c r="J22" s="38"/>
      <c r="K22" s="69"/>
      <c r="L22" s="74"/>
    </row>
    <row r="23" spans="1:15" ht="15.6">
      <c r="A23" s="28" t="str">
        <v>Sandwich</v>
      </c>
      <c r="B23" s="29" t="str">
        <v>MA</v>
      </c>
      <c r="C23" s="11"/>
      <c r="D23" s="18"/>
      <c r="E23" s="18" t="str">
        <f t="shared" si="0"/>
        <v/>
      </c>
      <c r="F23" s="19" t="str">
        <f t="shared" si="3"/>
        <v/>
      </c>
      <c r="G23" s="20"/>
      <c r="H23" s="20" t="str">
        <f t="shared" si="1"/>
        <v/>
      </c>
      <c r="I23" s="19" t="str">
        <f t="shared" si="2"/>
        <v/>
      </c>
      <c r="J23" s="39"/>
      <c r="K23" s="71"/>
      <c r="L23" s="82"/>
    </row>
    <row r="24" spans="1:15" ht="15.6">
      <c r="A24" s="55" t="str">
        <v>Sturbridge Barn</v>
      </c>
      <c r="B24" s="27" t="str">
        <v>MA</v>
      </c>
      <c r="C24" s="24"/>
      <c r="D24" s="13"/>
      <c r="E24" s="13" t="str">
        <f t="shared" si="0"/>
        <v/>
      </c>
      <c r="F24" s="14" t="str">
        <f t="shared" si="3"/>
        <v/>
      </c>
      <c r="G24" s="15"/>
      <c r="H24" s="15" t="str">
        <f t="shared" si="1"/>
        <v/>
      </c>
      <c r="I24" s="16" t="str">
        <f t="shared" si="2"/>
        <v/>
      </c>
      <c r="J24" s="38"/>
      <c r="K24" s="69"/>
    </row>
    <row r="25" spans="1:15" ht="15.6">
      <c r="A25" s="28" t="str">
        <v>Sturbridge Garage</v>
      </c>
      <c r="B25" s="29" t="str">
        <v>MA</v>
      </c>
      <c r="C25" s="11"/>
      <c r="D25" s="18"/>
      <c r="E25" s="18" t="str">
        <f t="shared" si="0"/>
        <v/>
      </c>
      <c r="F25" s="19" t="str">
        <f t="shared" si="3"/>
        <v/>
      </c>
      <c r="G25" s="20"/>
      <c r="H25" s="20" t="str">
        <f t="shared" si="1"/>
        <v/>
      </c>
      <c r="I25" s="19" t="str">
        <f t="shared" si="2"/>
        <v/>
      </c>
      <c r="J25" s="39"/>
      <c r="K25" s="71"/>
    </row>
    <row r="26" spans="1:15" ht="15.6">
      <c r="A26" s="55" t="str">
        <v>Halsey Valley</v>
      </c>
      <c r="B26" s="27" t="str">
        <v>NY</v>
      </c>
      <c r="C26" s="24"/>
      <c r="D26" s="13"/>
      <c r="E26" s="13" t="str">
        <f t="shared" si="0"/>
        <v/>
      </c>
      <c r="F26" s="14" t="str">
        <f t="shared" si="3"/>
        <v/>
      </c>
      <c r="G26" s="15"/>
      <c r="H26" s="15" t="str">
        <f t="shared" si="1"/>
        <v/>
      </c>
      <c r="I26" s="16" t="str">
        <f t="shared" si="2"/>
        <v/>
      </c>
      <c r="J26" s="38"/>
      <c r="K26" s="69"/>
    </row>
    <row r="27" spans="1:15" ht="15.6">
      <c r="A27" s="28" t="str">
        <v>Hunt Creek</v>
      </c>
      <c r="B27" s="29" t="str">
        <v>NY</v>
      </c>
      <c r="C27" s="11"/>
      <c r="D27" s="18"/>
      <c r="E27" s="18" t="str">
        <f t="shared" si="0"/>
        <v/>
      </c>
      <c r="F27" s="19" t="str">
        <f t="shared" si="3"/>
        <v/>
      </c>
      <c r="G27" s="20"/>
      <c r="H27" s="20" t="str">
        <f t="shared" si="1"/>
        <v/>
      </c>
      <c r="I27" s="19" t="str">
        <f t="shared" si="2"/>
        <v/>
      </c>
      <c r="J27" s="39"/>
      <c r="K27" s="71"/>
      <c r="L27" s="74"/>
      <c r="M27" s="74"/>
      <c r="N27" s="74"/>
    </row>
    <row r="28" spans="1:15" ht="15.6">
      <c r="A28" s="55" t="str">
        <v>Smith Creek</v>
      </c>
      <c r="B28" s="27" t="str">
        <v>NY</v>
      </c>
      <c r="C28" s="24"/>
      <c r="D28" s="13"/>
      <c r="E28" s="13" t="str">
        <f t="shared" si="0"/>
        <v/>
      </c>
      <c r="F28" s="14" t="str">
        <f t="shared" si="3"/>
        <v/>
      </c>
      <c r="G28" s="15"/>
      <c r="H28" s="15" t="str">
        <f t="shared" si="1"/>
        <v/>
      </c>
      <c r="I28" s="16" t="str">
        <f t="shared" si="2"/>
        <v/>
      </c>
      <c r="J28" s="38"/>
      <c r="K28" s="69"/>
      <c r="L28" s="74"/>
    </row>
    <row r="29" spans="1:15" ht="15.6">
      <c r="A29" s="28" t="str">
        <v>Bradford - 256 Presidential Dr</v>
      </c>
      <c r="B29" s="29" t="str">
        <v>MA</v>
      </c>
      <c r="C29" s="11"/>
      <c r="D29" s="18"/>
      <c r="E29" s="18"/>
      <c r="F29" s="19"/>
      <c r="G29" s="66"/>
      <c r="H29" s="20"/>
      <c r="I29" s="19"/>
      <c r="J29" s="39"/>
      <c r="K29" s="70"/>
      <c r="L29" s="74"/>
      <c r="M29" s="74"/>
      <c r="N29" s="74"/>
      <c r="O29" s="74"/>
    </row>
    <row r="30" spans="1:15" ht="15.6">
      <c r="A30" s="55" t="str">
        <v>Charlton – 111 Brookfield Road - Bus Lot</v>
      </c>
      <c r="B30" s="27" t="str">
        <v>MA</v>
      </c>
      <c r="C30" s="24"/>
      <c r="D30" s="13"/>
      <c r="E30" s="13"/>
      <c r="F30" s="14"/>
      <c r="G30" s="67"/>
      <c r="H30" s="15"/>
      <c r="I30" s="16"/>
      <c r="J30" s="38"/>
      <c r="K30" s="69"/>
    </row>
    <row r="31" spans="1:15" ht="15.6">
      <c r="A31" s="28" t="str">
        <v>Charlton – 154 Center Depot Road KMARD</v>
      </c>
      <c r="B31" s="29" t="str">
        <v>MA</v>
      </c>
      <c r="C31" s="11"/>
      <c r="D31" s="18"/>
      <c r="E31" s="18"/>
      <c r="F31" s="19"/>
      <c r="G31" s="66"/>
      <c r="H31" s="20"/>
      <c r="I31" s="19"/>
      <c r="J31" s="39"/>
      <c r="K31" s="72"/>
      <c r="L31" s="74"/>
    </row>
    <row r="32" spans="1:15" ht="15.6">
      <c r="A32" s="55" t="str">
        <v>Charlton – 142A Brookfield Rd (Mitchell)</v>
      </c>
      <c r="B32" s="27" t="str">
        <v>MA</v>
      </c>
      <c r="C32" s="24"/>
      <c r="D32" s="13"/>
      <c r="E32" s="13"/>
      <c r="F32" s="14"/>
      <c r="G32" s="67"/>
      <c r="H32" s="15"/>
      <c r="I32" s="16"/>
      <c r="J32" s="38"/>
      <c r="K32" s="38"/>
    </row>
    <row r="33" spans="1:15" ht="15.6">
      <c r="A33" s="28" t="str">
        <v>Great Barrington – 3 Nolan  Drive</v>
      </c>
      <c r="B33" s="29" t="str">
        <v>MA</v>
      </c>
      <c r="C33" s="11"/>
      <c r="D33" s="18"/>
      <c r="E33" s="18"/>
      <c r="F33" s="19"/>
      <c r="G33" s="66"/>
      <c r="H33" s="20"/>
      <c r="I33" s="19"/>
      <c r="J33" s="39"/>
      <c r="K33" s="70"/>
      <c r="L33" s="74"/>
      <c r="M33" s="74"/>
      <c r="N33" s="74"/>
      <c r="O33" s="74"/>
    </row>
    <row r="34" spans="1:15" ht="15.6">
      <c r="A34" s="55" t="str">
        <v>Stockbridge – 92 State Line Road Truck Stop</v>
      </c>
      <c r="B34" s="27" t="str">
        <v>MA</v>
      </c>
      <c r="C34" s="24"/>
      <c r="D34" s="13"/>
      <c r="E34" s="13"/>
      <c r="F34" s="14"/>
      <c r="G34" s="67"/>
      <c r="H34" s="15"/>
      <c r="I34" s="16"/>
      <c r="J34" s="38"/>
      <c r="K34" s="69"/>
      <c r="L34" s="74"/>
    </row>
    <row r="35" spans="1:15" ht="14.45">
      <c r="A35" s="21" t="str">
        <v>NY: New Windsor - Moores Hill</v>
      </c>
      <c r="B35" s="31" t="str">
        <v>NY</v>
      </c>
      <c r="C35" s="21"/>
      <c r="D35" s="21"/>
      <c r="E35" s="21"/>
      <c r="F35" s="21"/>
      <c r="G35" s="21"/>
      <c r="H35" s="21"/>
      <c r="I35" s="21"/>
      <c r="J35" s="21"/>
      <c r="K35" s="21"/>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hyperlinks>
    <hyperlink ref="T13" r:id="rId1" display="https://us3.assetplanner.com/service_request?ID=100982" xr:uid="{6BA3F8AD-115D-4110-946E-163027AC3D6A}"/>
    <hyperlink ref="U13" r:id="rId2" display="https://us3.assetplanner.com/service_request?ID=101104" xr:uid="{1C56F8E5-BD45-43B7-8C0A-A08E7FAB17DD}"/>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45"/>
  <sheetViews>
    <sheetView zoomScale="60" zoomScaleNormal="60" workbookViewId="0">
      <pane xSplit="2" ySplit="3" topLeftCell="C16"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3"/>
  </cols>
  <sheetData>
    <row r="1" spans="1:12" ht="19.5" customHeight="1">
      <c r="A1" s="124" t="str" cm="1">
        <f t="array" ref="A1">portfolio</f>
        <v>Lodestar</v>
      </c>
      <c r="B1" s="124"/>
      <c r="C1" s="124"/>
      <c r="D1" s="125" t="s">
        <v>159</v>
      </c>
      <c r="E1" s="125"/>
      <c r="F1" s="125"/>
      <c r="G1" s="123" t="s">
        <v>160</v>
      </c>
      <c r="H1" s="123"/>
      <c r="I1" s="123"/>
      <c r="J1" s="4"/>
      <c r="K1" s="4"/>
    </row>
    <row r="2" spans="1:12"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3" t="s">
        <v>6</v>
      </c>
      <c r="E3" s="33" t="s">
        <v>7</v>
      </c>
      <c r="F3" s="34" t="s">
        <v>8</v>
      </c>
      <c r="G3" s="35" t="s">
        <v>9</v>
      </c>
      <c r="H3" s="36" t="s">
        <v>7</v>
      </c>
      <c r="I3" s="37" t="s">
        <v>8</v>
      </c>
      <c r="J3" s="25" t="s">
        <v>20</v>
      </c>
      <c r="K3" s="25" t="s">
        <v>21</v>
      </c>
    </row>
    <row r="4" spans="1:12" ht="15.6">
      <c r="A4" s="55"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row>
    <row r="5" spans="1:12" ht="66" customHeight="1">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47"/>
      <c r="K5" s="71"/>
      <c r="L5" s="74"/>
    </row>
    <row r="6" spans="1:12" ht="15.6">
      <c r="A6" s="55" t="str">
        <v>Norcap North</v>
      </c>
      <c r="B6" s="27" t="str">
        <v>CT</v>
      </c>
      <c r="C6" s="24"/>
      <c r="D6" s="13"/>
      <c r="E6" s="13" t="str">
        <f t="shared" si="0"/>
        <v/>
      </c>
      <c r="F6" s="14" t="str">
        <f t="shared" ref="F6:F14" si="3">IFERROR(E6/D6, "")</f>
        <v/>
      </c>
      <c r="G6" s="15"/>
      <c r="H6" s="15" t="str">
        <f t="shared" si="1"/>
        <v/>
      </c>
      <c r="I6" s="16" t="str">
        <f t="shared" si="2"/>
        <v/>
      </c>
      <c r="J6" s="38"/>
      <c r="K6" s="69"/>
      <c r="L6" s="74"/>
    </row>
    <row r="7" spans="1:12" ht="15.6">
      <c r="A7" s="28" t="str">
        <v>Norcap South</v>
      </c>
      <c r="B7" s="29" t="str">
        <v>CT</v>
      </c>
      <c r="C7" s="11"/>
      <c r="D7" s="18"/>
      <c r="E7" s="18" t="str">
        <f t="shared" si="0"/>
        <v/>
      </c>
      <c r="F7" s="19" t="str">
        <f t="shared" si="3"/>
        <v/>
      </c>
      <c r="G7" s="20"/>
      <c r="H7" s="20" t="str">
        <f t="shared" si="1"/>
        <v/>
      </c>
      <c r="I7" s="19" t="str">
        <f t="shared" si="2"/>
        <v/>
      </c>
      <c r="J7" s="39"/>
      <c r="K7" s="47"/>
    </row>
    <row r="8" spans="1:12" ht="15.6">
      <c r="A8" s="55" t="str">
        <v>Platt Hill</v>
      </c>
      <c r="B8" s="27" t="str">
        <v>CT</v>
      </c>
      <c r="C8" s="24"/>
      <c r="D8" s="13"/>
      <c r="E8" s="13" t="str">
        <f t="shared" si="0"/>
        <v/>
      </c>
      <c r="F8" s="14" t="str">
        <f t="shared" si="3"/>
        <v/>
      </c>
      <c r="G8" s="15"/>
      <c r="H8" s="15" t="str">
        <f t="shared" si="1"/>
        <v/>
      </c>
      <c r="I8" s="16" t="str">
        <f t="shared" si="2"/>
        <v/>
      </c>
      <c r="J8" s="38"/>
      <c r="K8" s="38"/>
    </row>
    <row r="9" spans="1:12" ht="15.6">
      <c r="A9" s="28" t="str">
        <v>Powder Hill</v>
      </c>
      <c r="B9" s="29" t="str">
        <v>CT</v>
      </c>
      <c r="C9" s="11"/>
      <c r="D9" s="18"/>
      <c r="E9" s="18" t="str">
        <f t="shared" si="0"/>
        <v/>
      </c>
      <c r="F9" s="19" t="str">
        <f t="shared" si="3"/>
        <v/>
      </c>
      <c r="G9" s="20"/>
      <c r="H9" s="20" t="str">
        <f t="shared" si="1"/>
        <v/>
      </c>
      <c r="I9" s="19" t="str">
        <f t="shared" si="2"/>
        <v/>
      </c>
      <c r="J9" s="47"/>
      <c r="K9" s="71"/>
      <c r="L9" s="74"/>
    </row>
    <row r="10" spans="1:12" ht="15.6">
      <c r="A10" s="55" t="str">
        <v>Sand Road</v>
      </c>
      <c r="B10" s="27" t="str">
        <v>CT</v>
      </c>
      <c r="C10" s="24"/>
      <c r="D10" s="13"/>
      <c r="E10" s="13" t="str">
        <f t="shared" si="0"/>
        <v/>
      </c>
      <c r="F10" s="14" t="str">
        <f t="shared" si="3"/>
        <v/>
      </c>
      <c r="G10" s="15"/>
      <c r="H10" s="15" t="str">
        <f t="shared" si="1"/>
        <v/>
      </c>
      <c r="I10" s="16" t="str">
        <f t="shared" si="2"/>
        <v/>
      </c>
      <c r="J10" s="38"/>
      <c r="K10" s="69"/>
    </row>
    <row r="11" spans="1:12" ht="15.6">
      <c r="A11" s="28" t="str">
        <v>Suffield</v>
      </c>
      <c r="B11" s="29" t="str">
        <v>CT</v>
      </c>
      <c r="C11" s="11"/>
      <c r="D11" s="18"/>
      <c r="E11" s="18" t="str">
        <f t="shared" si="0"/>
        <v/>
      </c>
      <c r="F11" s="19" t="str">
        <f t="shared" si="3"/>
        <v/>
      </c>
      <c r="G11" s="20"/>
      <c r="H11" s="20" t="str">
        <f t="shared" si="1"/>
        <v/>
      </c>
      <c r="I11" s="19" t="str">
        <f t="shared" si="2"/>
        <v/>
      </c>
      <c r="J11" s="39"/>
      <c r="K11" s="39"/>
    </row>
    <row r="12" spans="1:12" ht="15.6">
      <c r="A12" s="55" t="str">
        <v>Ashby-Duffy</v>
      </c>
      <c r="B12" s="27" t="str">
        <v>MA</v>
      </c>
      <c r="C12" s="24"/>
      <c r="D12" s="13"/>
      <c r="E12" s="13" t="str">
        <f t="shared" si="0"/>
        <v/>
      </c>
      <c r="F12" s="14" t="str">
        <f t="shared" si="3"/>
        <v/>
      </c>
      <c r="G12" s="15"/>
      <c r="H12" s="15" t="str">
        <f t="shared" si="1"/>
        <v/>
      </c>
      <c r="I12" s="16" t="str">
        <f t="shared" si="2"/>
        <v/>
      </c>
      <c r="J12" s="38"/>
      <c r="K12" s="38"/>
    </row>
    <row r="13" spans="1:12" ht="15.6">
      <c r="A13" s="28" t="str">
        <v>Ashland</v>
      </c>
      <c r="B13" s="29" t="str">
        <v>MA</v>
      </c>
      <c r="C13" s="11"/>
      <c r="D13" s="18"/>
      <c r="E13" s="18" t="str">
        <f t="shared" si="0"/>
        <v/>
      </c>
      <c r="F13" s="19" t="str">
        <f t="shared" si="3"/>
        <v/>
      </c>
      <c r="G13" s="20"/>
      <c r="H13" s="20" t="str">
        <f t="shared" si="1"/>
        <v/>
      </c>
      <c r="I13" s="19" t="str">
        <f t="shared" si="2"/>
        <v/>
      </c>
      <c r="J13" s="39"/>
      <c r="K13" s="72"/>
    </row>
    <row r="14" spans="1:12" ht="15.6">
      <c r="A14" s="55" t="str">
        <v>Barrington</v>
      </c>
      <c r="B14" s="27" t="str">
        <v>MA</v>
      </c>
      <c r="C14" s="24"/>
      <c r="D14" s="13"/>
      <c r="E14" s="13" t="str">
        <f t="shared" si="0"/>
        <v/>
      </c>
      <c r="F14" s="14" t="str">
        <f t="shared" si="3"/>
        <v/>
      </c>
      <c r="G14" s="15"/>
      <c r="H14" s="15" t="str">
        <f t="shared" si="1"/>
        <v/>
      </c>
      <c r="I14" s="16" t="str">
        <f t="shared" si="2"/>
        <v/>
      </c>
      <c r="J14" s="38"/>
      <c r="K14" s="38"/>
    </row>
    <row r="15" spans="1:12" ht="15.6">
      <c r="A15" s="28" t="str">
        <v>Bedford - 205 Burlington Rd</v>
      </c>
      <c r="B15" s="29" t="str">
        <v>MA</v>
      </c>
      <c r="C15" s="11"/>
      <c r="D15" s="18"/>
      <c r="E15" s="18" t="str">
        <f t="shared" ref="E15:E35" si="4">IF(AND(ISNUMBER(C15),ISNUMBER(D15)), C15-D15, "")</f>
        <v/>
      </c>
      <c r="F15" s="52" t="str">
        <f t="shared" ref="F15:F35" si="5">IFERROR(E15/D15, "")</f>
        <v/>
      </c>
      <c r="G15" s="78"/>
      <c r="H15" s="50" t="str">
        <f t="shared" ref="H15:H35" si="6">IF(AND(ISNUMBER(C15),ISNUMBER(G15)), C15-G15, "")</f>
        <v/>
      </c>
      <c r="I15" s="52" t="str">
        <f t="shared" ref="I15:I35" si="7">IFERROR(H15/G15, "")</f>
        <v/>
      </c>
      <c r="J15" s="39"/>
      <c r="K15" s="71"/>
    </row>
    <row r="16" spans="1:12" ht="15.6">
      <c r="A16" s="55" t="str">
        <v>Billerica - 6 Cook Street</v>
      </c>
      <c r="B16" s="27" t="str">
        <v>MA</v>
      </c>
      <c r="C16" s="24"/>
      <c r="D16" s="13"/>
      <c r="E16" s="13" t="str">
        <f t="shared" si="4"/>
        <v/>
      </c>
      <c r="F16" s="14" t="str">
        <f t="shared" si="5"/>
        <v/>
      </c>
      <c r="G16" s="79"/>
      <c r="H16" s="15" t="str">
        <f t="shared" si="6"/>
        <v/>
      </c>
      <c r="I16" s="16" t="str">
        <f t="shared" si="7"/>
        <v/>
      </c>
      <c r="J16" s="38"/>
      <c r="K16" s="38"/>
    </row>
    <row r="17" spans="1:21" ht="15.6">
      <c r="A17" s="28" t="str">
        <v>Billerica - 780 Boston Road</v>
      </c>
      <c r="B17" s="29" t="str">
        <v>MA</v>
      </c>
      <c r="C17" s="11"/>
      <c r="D17" s="18"/>
      <c r="E17" s="18" t="str">
        <f t="shared" si="4"/>
        <v/>
      </c>
      <c r="F17" s="52" t="str">
        <f t="shared" si="5"/>
        <v/>
      </c>
      <c r="G17" s="78"/>
      <c r="H17" s="50" t="str">
        <f t="shared" si="6"/>
        <v/>
      </c>
      <c r="I17" s="52" t="str">
        <f t="shared" si="7"/>
        <v/>
      </c>
      <c r="J17" s="39"/>
      <c r="K17" s="39"/>
    </row>
    <row r="18" spans="1:21" ht="37.5" customHeight="1">
      <c r="A18" s="55" t="str">
        <v>Cheshire</v>
      </c>
      <c r="B18" s="27" t="str">
        <v>MA</v>
      </c>
      <c r="C18" s="24"/>
      <c r="D18" s="13"/>
      <c r="E18" s="13" t="str">
        <f t="shared" si="4"/>
        <v/>
      </c>
      <c r="F18" s="14" t="str">
        <f t="shared" si="5"/>
        <v/>
      </c>
      <c r="G18" s="15"/>
      <c r="H18" s="15" t="str">
        <f t="shared" si="6"/>
        <v/>
      </c>
      <c r="I18" s="16" t="str">
        <f t="shared" si="7"/>
        <v/>
      </c>
      <c r="J18" s="38"/>
      <c r="K18" s="69"/>
    </row>
    <row r="19" spans="1:21" ht="15.6">
      <c r="A19" s="28" t="str">
        <v>Lilly Lane</v>
      </c>
      <c r="B19" s="29" t="str">
        <v>MA</v>
      </c>
      <c r="C19" s="11"/>
      <c r="D19" s="18"/>
      <c r="E19" s="18" t="str">
        <f t="shared" si="4"/>
        <v/>
      </c>
      <c r="F19" s="52" t="str">
        <f t="shared" si="5"/>
        <v/>
      </c>
      <c r="G19" s="20"/>
      <c r="H19" s="50" t="str">
        <f t="shared" si="6"/>
        <v/>
      </c>
      <c r="I19" s="52" t="str">
        <f t="shared" si="7"/>
        <v/>
      </c>
      <c r="J19" s="39"/>
      <c r="K19" s="39"/>
    </row>
    <row r="20" spans="1:21" ht="15.6">
      <c r="A20" s="55" t="str">
        <v>Monument Valley</v>
      </c>
      <c r="B20" s="27" t="str">
        <v>MA</v>
      </c>
      <c r="C20" s="24"/>
      <c r="D20" s="13"/>
      <c r="E20" s="13" t="str">
        <f t="shared" si="4"/>
        <v/>
      </c>
      <c r="F20" s="14" t="str">
        <f t="shared" si="5"/>
        <v/>
      </c>
      <c r="G20" s="15"/>
      <c r="H20" s="15" t="str">
        <f t="shared" si="6"/>
        <v/>
      </c>
      <c r="I20" s="16" t="str">
        <f t="shared" si="7"/>
        <v/>
      </c>
      <c r="J20" s="38"/>
      <c r="K20" s="69"/>
    </row>
    <row r="21" spans="1:21" ht="81" customHeight="1">
      <c r="A21" s="28" t="str">
        <v>Nationwide</v>
      </c>
      <c r="B21" s="29" t="str">
        <v>MA</v>
      </c>
      <c r="C21" s="11"/>
      <c r="D21" s="18"/>
      <c r="E21" s="18" t="str">
        <f t="shared" si="4"/>
        <v/>
      </c>
      <c r="F21" s="52" t="str">
        <f t="shared" si="5"/>
        <v/>
      </c>
      <c r="G21" s="20"/>
      <c r="H21" s="50" t="str">
        <f t="shared" si="6"/>
        <v/>
      </c>
      <c r="I21" s="52" t="str">
        <f t="shared" si="7"/>
        <v/>
      </c>
      <c r="J21" s="39"/>
      <c r="K21" s="72"/>
      <c r="L21" s="74"/>
    </row>
    <row r="22" spans="1:21" ht="15.6">
      <c r="A22" s="55" t="str">
        <v>Pulpit Hill</v>
      </c>
      <c r="B22" s="27" t="str">
        <v>MA</v>
      </c>
      <c r="C22" s="24"/>
      <c r="D22" s="13"/>
      <c r="E22" s="13" t="str">
        <f t="shared" si="4"/>
        <v/>
      </c>
      <c r="F22" s="14" t="str">
        <f t="shared" si="5"/>
        <v/>
      </c>
      <c r="G22" s="15"/>
      <c r="H22" s="15" t="str">
        <f t="shared" si="6"/>
        <v/>
      </c>
      <c r="I22" s="16" t="str">
        <f t="shared" si="7"/>
        <v/>
      </c>
      <c r="J22" s="38"/>
      <c r="K22" s="38"/>
    </row>
    <row r="23" spans="1:21" ht="15.6">
      <c r="A23" s="28" t="str">
        <v>Sandwich</v>
      </c>
      <c r="B23" s="29" t="str">
        <v>MA</v>
      </c>
      <c r="C23" s="11"/>
      <c r="D23" s="18"/>
      <c r="E23" s="18" t="str">
        <f t="shared" si="4"/>
        <v/>
      </c>
      <c r="F23" s="52" t="str">
        <f t="shared" si="5"/>
        <v/>
      </c>
      <c r="G23" s="20"/>
      <c r="H23" s="50" t="str">
        <f t="shared" si="6"/>
        <v/>
      </c>
      <c r="I23" s="52" t="str">
        <f t="shared" si="7"/>
        <v/>
      </c>
      <c r="J23" s="39"/>
      <c r="K23" s="71"/>
      <c r="L23" s="74"/>
      <c r="M23" s="74"/>
      <c r="U23" t="s">
        <v>161</v>
      </c>
    </row>
    <row r="24" spans="1:21" ht="15.6">
      <c r="A24" s="55" t="str">
        <v>Sturbridge Barn</v>
      </c>
      <c r="B24" s="27" t="str">
        <v>MA</v>
      </c>
      <c r="C24" s="24"/>
      <c r="D24" s="13"/>
      <c r="E24" s="13" t="str">
        <f t="shared" si="4"/>
        <v/>
      </c>
      <c r="F24" s="14" t="str">
        <f t="shared" si="5"/>
        <v/>
      </c>
      <c r="G24" s="15"/>
      <c r="H24" s="15" t="str">
        <f t="shared" si="6"/>
        <v/>
      </c>
      <c r="I24" s="16" t="str">
        <f t="shared" si="7"/>
        <v/>
      </c>
      <c r="J24" s="38"/>
      <c r="K24" s="38"/>
    </row>
    <row r="25" spans="1:21" ht="15.6">
      <c r="A25" s="28" t="str">
        <v>Sturbridge Garage</v>
      </c>
      <c r="B25" s="29" t="str">
        <v>MA</v>
      </c>
      <c r="C25" s="11"/>
      <c r="D25" s="18"/>
      <c r="E25" s="18" t="str">
        <f t="shared" si="4"/>
        <v/>
      </c>
      <c r="F25" s="52" t="str">
        <f t="shared" si="5"/>
        <v/>
      </c>
      <c r="G25" s="20"/>
      <c r="H25" s="50" t="str">
        <f t="shared" si="6"/>
        <v/>
      </c>
      <c r="I25" s="52" t="str">
        <f t="shared" si="7"/>
        <v/>
      </c>
      <c r="J25" s="39"/>
      <c r="K25" s="39"/>
    </row>
    <row r="26" spans="1:21" ht="15.6">
      <c r="A26" s="55" t="str">
        <v>Halsey Valley</v>
      </c>
      <c r="B26" s="27" t="str">
        <v>NY</v>
      </c>
      <c r="C26" s="24"/>
      <c r="D26" s="13"/>
      <c r="E26" s="13" t="str">
        <f t="shared" si="4"/>
        <v/>
      </c>
      <c r="F26" s="14" t="str">
        <f t="shared" si="5"/>
        <v/>
      </c>
      <c r="G26" s="15"/>
      <c r="H26" s="15" t="str">
        <f t="shared" si="6"/>
        <v/>
      </c>
      <c r="I26" s="16" t="str">
        <f t="shared" si="7"/>
        <v/>
      </c>
      <c r="J26" s="38"/>
      <c r="K26" s="69"/>
      <c r="L26" s="74"/>
      <c r="M26" s="74"/>
      <c r="N26" s="74"/>
    </row>
    <row r="27" spans="1:21" ht="15.6">
      <c r="A27" s="28" t="str">
        <v>Hunt Creek</v>
      </c>
      <c r="B27" s="29" t="str">
        <v>NY</v>
      </c>
      <c r="C27" s="11"/>
      <c r="D27" s="18"/>
      <c r="E27" s="18" t="str">
        <f t="shared" si="4"/>
        <v/>
      </c>
      <c r="F27" s="52" t="str">
        <f t="shared" si="5"/>
        <v/>
      </c>
      <c r="G27" s="20"/>
      <c r="H27" s="50" t="str">
        <f t="shared" si="6"/>
        <v/>
      </c>
      <c r="I27" s="52" t="str">
        <f t="shared" si="7"/>
        <v/>
      </c>
      <c r="J27" s="39"/>
      <c r="K27" s="71"/>
    </row>
    <row r="28" spans="1:21" ht="15.6">
      <c r="A28" s="55" t="str">
        <v>Smith Creek</v>
      </c>
      <c r="B28" s="27" t="str">
        <v>NY</v>
      </c>
      <c r="C28" s="24"/>
      <c r="D28" s="13"/>
      <c r="E28" s="13" t="str">
        <f t="shared" si="4"/>
        <v/>
      </c>
      <c r="F28" s="14" t="str">
        <f t="shared" si="5"/>
        <v/>
      </c>
      <c r="G28" s="15"/>
      <c r="H28" s="15" t="str">
        <f t="shared" si="6"/>
        <v/>
      </c>
      <c r="I28" s="16" t="str">
        <f t="shared" si="7"/>
        <v/>
      </c>
      <c r="J28" s="38"/>
      <c r="K28" s="38"/>
    </row>
    <row r="29" spans="1:21" ht="15.6">
      <c r="A29" s="28" t="str">
        <v>Bradford - 256 Presidential Dr</v>
      </c>
      <c r="B29" s="29" t="str">
        <v>MA</v>
      </c>
      <c r="C29" s="11"/>
      <c r="D29" s="18"/>
      <c r="E29" s="18" t="str">
        <f t="shared" si="4"/>
        <v/>
      </c>
      <c r="F29" s="52" t="str">
        <f t="shared" si="5"/>
        <v/>
      </c>
      <c r="G29" s="66"/>
      <c r="H29" s="50" t="str">
        <f t="shared" si="6"/>
        <v/>
      </c>
      <c r="I29" s="52" t="str">
        <f t="shared" si="7"/>
        <v/>
      </c>
      <c r="J29" s="39"/>
      <c r="K29" s="71"/>
      <c r="L29" s="74"/>
      <c r="M29" s="74"/>
    </row>
    <row r="30" spans="1:21" ht="15.6">
      <c r="A30" s="55" t="str">
        <v>Charlton – 111 Brookfield Road - Bus Lot</v>
      </c>
      <c r="B30" s="27" t="str">
        <v>MA</v>
      </c>
      <c r="C30" s="24"/>
      <c r="D30" s="13"/>
      <c r="E30" s="13" t="str">
        <f t="shared" si="4"/>
        <v/>
      </c>
      <c r="F30" s="14" t="str">
        <f t="shared" si="5"/>
        <v/>
      </c>
      <c r="G30" s="67"/>
      <c r="H30" s="15" t="str">
        <f t="shared" si="6"/>
        <v/>
      </c>
      <c r="I30" s="16" t="str">
        <f t="shared" si="7"/>
        <v/>
      </c>
      <c r="J30" s="38"/>
      <c r="K30" s="38"/>
    </row>
    <row r="31" spans="1:21" ht="15.6">
      <c r="A31" s="28" t="str">
        <v>Charlton – 154 Center Depot Road KMARD</v>
      </c>
      <c r="B31" s="29" t="str">
        <v>MA</v>
      </c>
      <c r="C31" s="11"/>
      <c r="D31" s="18"/>
      <c r="E31" s="18" t="str">
        <f t="shared" si="4"/>
        <v/>
      </c>
      <c r="F31" s="52" t="str">
        <f t="shared" si="5"/>
        <v/>
      </c>
      <c r="G31" s="66"/>
      <c r="H31" s="50" t="str">
        <f t="shared" si="6"/>
        <v/>
      </c>
      <c r="I31" s="52" t="str">
        <f t="shared" si="7"/>
        <v/>
      </c>
      <c r="J31" s="39"/>
      <c r="K31" s="71"/>
    </row>
    <row r="32" spans="1:21" ht="15.6">
      <c r="A32" s="55" t="str">
        <v>Charlton – 142A Brookfield Rd (Mitchell)</v>
      </c>
      <c r="B32" s="27" t="str">
        <v>MA</v>
      </c>
      <c r="C32" s="24"/>
      <c r="D32" s="13"/>
      <c r="E32" s="13" t="str">
        <f t="shared" si="4"/>
        <v/>
      </c>
      <c r="F32" s="14" t="str">
        <f t="shared" si="5"/>
        <v/>
      </c>
      <c r="G32" s="67"/>
      <c r="H32" s="15" t="str">
        <f t="shared" si="6"/>
        <v/>
      </c>
      <c r="I32" s="16" t="str">
        <f t="shared" si="7"/>
        <v/>
      </c>
      <c r="J32" s="38"/>
      <c r="K32" s="38"/>
    </row>
    <row r="33" spans="1:12" ht="44.25" customHeight="1">
      <c r="A33" s="28" t="str">
        <v>Great Barrington – 3 Nolan  Drive</v>
      </c>
      <c r="B33" s="29" t="str">
        <v>MA</v>
      </c>
      <c r="C33" s="11"/>
      <c r="D33" s="18"/>
      <c r="E33" s="18" t="str">
        <f t="shared" si="4"/>
        <v/>
      </c>
      <c r="F33" s="52" t="str">
        <f t="shared" si="5"/>
        <v/>
      </c>
      <c r="G33" s="66"/>
      <c r="H33" s="50" t="str">
        <f t="shared" si="6"/>
        <v/>
      </c>
      <c r="I33" s="52" t="str">
        <f t="shared" si="7"/>
        <v/>
      </c>
      <c r="J33" s="39"/>
      <c r="K33" s="71"/>
      <c r="L33" s="74"/>
    </row>
    <row r="34" spans="1:12" ht="15.6">
      <c r="A34" s="55" t="str">
        <v>Stockbridge – 92 State Line Road Truck Stop</v>
      </c>
      <c r="B34" s="27" t="str">
        <v>MA</v>
      </c>
      <c r="C34" s="24"/>
      <c r="D34" s="13"/>
      <c r="E34" s="13" t="str">
        <f t="shared" si="4"/>
        <v/>
      </c>
      <c r="F34" s="14" t="str">
        <f t="shared" si="5"/>
        <v/>
      </c>
      <c r="G34" s="67"/>
      <c r="H34" s="15" t="str">
        <f t="shared" si="6"/>
        <v/>
      </c>
      <c r="I34" s="16" t="str">
        <f t="shared" si="7"/>
        <v/>
      </c>
      <c r="J34" s="38"/>
      <c r="K34" s="69"/>
    </row>
    <row r="35" spans="1:12" ht="15.6">
      <c r="A35" s="28" t="str">
        <v>NY: New Windsor - Moores Hill</v>
      </c>
      <c r="B35" s="29" t="str">
        <v>NY</v>
      </c>
      <c r="C35" s="11"/>
      <c r="D35" s="18"/>
      <c r="E35" s="18" t="str">
        <f t="shared" si="4"/>
        <v/>
      </c>
      <c r="F35" s="52" t="str">
        <f t="shared" si="5"/>
        <v/>
      </c>
      <c r="G35" s="66"/>
      <c r="H35" s="50" t="str">
        <f t="shared" si="6"/>
        <v/>
      </c>
      <c r="I35" s="52" t="str">
        <f t="shared" si="7"/>
        <v/>
      </c>
      <c r="J35" s="39"/>
      <c r="K35" s="71"/>
      <c r="L35" s="74"/>
    </row>
    <row r="36" spans="1:12" ht="14.45">
      <c r="A36" s="21"/>
      <c r="B36" s="31"/>
      <c r="C36" s="21"/>
      <c r="D36" s="21"/>
      <c r="E36" s="21"/>
      <c r="F36" s="22"/>
      <c r="G36" s="21"/>
      <c r="H36" s="21"/>
      <c r="I36" s="22"/>
      <c r="J36" s="21"/>
      <c r="K36" s="21"/>
    </row>
    <row r="37" spans="1:12" ht="14.45">
      <c r="A37" s="21"/>
      <c r="B37" s="31"/>
      <c r="C37" s="21"/>
      <c r="D37" s="21"/>
      <c r="E37" s="21"/>
      <c r="F37" s="22"/>
      <c r="G37" s="21"/>
      <c r="H37" s="21"/>
      <c r="I37" s="22"/>
      <c r="J37" s="21"/>
      <c r="K37" s="21"/>
    </row>
    <row r="38" spans="1:12" ht="14.45">
      <c r="A38" s="21"/>
      <c r="B38" s="31"/>
      <c r="C38" s="21"/>
      <c r="D38" s="21"/>
      <c r="E38" s="21"/>
      <c r="F38" s="22"/>
      <c r="G38" s="21"/>
      <c r="H38" s="21"/>
      <c r="I38" s="22"/>
      <c r="J38" s="21"/>
      <c r="K38" s="21"/>
    </row>
    <row r="39" spans="1:12" ht="14.45">
      <c r="A39" s="21"/>
      <c r="B39" s="31"/>
      <c r="C39" s="21"/>
      <c r="D39" s="21"/>
      <c r="E39" s="21"/>
      <c r="F39" s="22"/>
      <c r="G39" s="21"/>
      <c r="H39" s="21"/>
      <c r="I39" s="22"/>
      <c r="J39" s="21"/>
      <c r="K39" s="21"/>
    </row>
    <row r="40" spans="1:12" ht="14.45">
      <c r="A40" s="21"/>
      <c r="B40" s="31"/>
      <c r="C40" s="21"/>
      <c r="D40" s="21"/>
      <c r="E40" s="21"/>
      <c r="F40" s="22"/>
      <c r="G40" s="21"/>
      <c r="H40" s="21"/>
      <c r="I40" s="22"/>
      <c r="J40" s="21"/>
      <c r="K40" s="21"/>
    </row>
    <row r="41" spans="1:12" ht="14.45">
      <c r="A41" s="21"/>
      <c r="B41" s="31"/>
      <c r="C41" s="21"/>
      <c r="D41" s="21"/>
      <c r="E41" s="21"/>
      <c r="F41" s="22"/>
      <c r="G41" s="21"/>
      <c r="H41" s="21"/>
      <c r="I41" s="22"/>
      <c r="J41" s="21"/>
      <c r="K41" s="21"/>
    </row>
    <row r="42" spans="1:12" ht="14.45">
      <c r="A42" s="21"/>
      <c r="B42" s="31"/>
      <c r="C42" s="21"/>
      <c r="D42" s="21"/>
      <c r="E42" s="21"/>
      <c r="F42" s="22"/>
      <c r="G42" s="21"/>
      <c r="H42" s="21"/>
      <c r="I42" s="22"/>
      <c r="J42" s="21"/>
      <c r="K42" s="21"/>
    </row>
    <row r="43" spans="1:12" ht="14.45">
      <c r="A43" s="21"/>
      <c r="B43" s="31"/>
      <c r="C43" s="21"/>
      <c r="D43" s="21"/>
      <c r="E43" s="21"/>
      <c r="F43" s="22"/>
      <c r="G43" s="21"/>
      <c r="H43" s="21"/>
      <c r="I43" s="22"/>
      <c r="J43" s="21"/>
      <c r="K43" s="21"/>
    </row>
    <row r="44" spans="1:12" ht="14.45">
      <c r="A44" s="21"/>
      <c r="B44" s="31"/>
      <c r="C44" s="21"/>
      <c r="D44" s="21"/>
      <c r="E44" s="21"/>
      <c r="F44" s="22"/>
      <c r="G44" s="21"/>
      <c r="H44" s="21"/>
      <c r="I44" s="22"/>
      <c r="J44" s="21"/>
      <c r="K44" s="21"/>
    </row>
    <row r="45" spans="1:12" ht="14.45">
      <c r="A45" s="21"/>
      <c r="B45" s="31"/>
      <c r="C45" s="21"/>
      <c r="D45" s="21"/>
      <c r="E45" s="21"/>
      <c r="F45" s="22"/>
      <c r="G45" s="21"/>
      <c r="H45" s="21"/>
      <c r="I45" s="22"/>
      <c r="J45" s="21"/>
      <c r="K45" s="21"/>
    </row>
    <row r="46" spans="1:12" ht="14.45">
      <c r="A46" s="21"/>
      <c r="B46" s="31"/>
      <c r="C46" s="21"/>
      <c r="D46" s="21"/>
      <c r="E46" s="21"/>
      <c r="F46" s="22"/>
      <c r="G46" s="21"/>
      <c r="H46" s="21"/>
      <c r="I46" s="22"/>
      <c r="J46" s="21"/>
      <c r="K46" s="21"/>
    </row>
    <row r="47" spans="1:12" ht="14.45">
      <c r="A47" s="21"/>
      <c r="B47" s="31"/>
      <c r="C47" s="21"/>
      <c r="D47" s="21"/>
      <c r="E47" s="21"/>
      <c r="F47" s="22"/>
      <c r="G47" s="21"/>
      <c r="H47" s="21"/>
      <c r="I47" s="22"/>
      <c r="J47" s="21"/>
      <c r="K47" s="21"/>
    </row>
    <row r="48" spans="1:1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5"/>
  <sheetViews>
    <sheetView zoomScale="60" zoomScaleNormal="60" workbookViewId="0">
      <pane xSplit="2" ySplit="3" topLeftCell="J20"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3"/>
  </cols>
  <sheetData>
    <row r="1" spans="1:14" ht="19.5" customHeight="1">
      <c r="A1" s="124" t="str" cm="1">
        <f t="array" ref="A1">portfolio</f>
        <v>Lodestar</v>
      </c>
      <c r="B1" s="124"/>
      <c r="C1" s="124"/>
      <c r="D1" s="125" t="s">
        <v>162</v>
      </c>
      <c r="E1" s="125"/>
      <c r="F1" s="125"/>
      <c r="G1" s="123" t="s">
        <v>163</v>
      </c>
      <c r="H1" s="123"/>
      <c r="I1" s="123"/>
      <c r="J1" s="4"/>
      <c r="K1" s="4"/>
    </row>
    <row r="2" spans="1:14"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3" t="s">
        <v>6</v>
      </c>
      <c r="E3" s="33" t="s">
        <v>7</v>
      </c>
      <c r="F3" s="34" t="s">
        <v>8</v>
      </c>
      <c r="G3" s="35" t="s">
        <v>9</v>
      </c>
      <c r="H3" s="36" t="s">
        <v>7</v>
      </c>
      <c r="I3" s="37" t="s">
        <v>8</v>
      </c>
      <c r="J3" s="25" t="s">
        <v>20</v>
      </c>
      <c r="K3" s="25" t="s">
        <v>21</v>
      </c>
    </row>
    <row r="4" spans="1:14" ht="18" customHeight="1">
      <c r="A4" s="55"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row>
    <row r="5" spans="1:14" ht="34.5" customHeight="1">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47"/>
      <c r="K5" s="71"/>
    </row>
    <row r="6" spans="1:14" ht="15.6">
      <c r="A6" s="30" t="str">
        <v>Norcap North</v>
      </c>
      <c r="B6" s="27" t="str">
        <v>CT</v>
      </c>
      <c r="C6" s="24"/>
      <c r="D6" s="13"/>
      <c r="E6" s="13" t="str">
        <f t="shared" si="0"/>
        <v/>
      </c>
      <c r="F6" s="14" t="str">
        <f t="shared" ref="F6:F14" si="3">IFERROR(E6/D6, "")</f>
        <v/>
      </c>
      <c r="G6" s="15"/>
      <c r="H6" s="15" t="str">
        <f t="shared" si="1"/>
        <v/>
      </c>
      <c r="I6" s="16" t="str">
        <f t="shared" si="2"/>
        <v/>
      </c>
      <c r="J6" s="38"/>
      <c r="K6" s="38"/>
    </row>
    <row r="7" spans="1:14" ht="15.6">
      <c r="A7" s="28" t="str">
        <v>Norcap South</v>
      </c>
      <c r="B7" s="29" t="str">
        <v>CT</v>
      </c>
      <c r="C7" s="11"/>
      <c r="D7" s="18"/>
      <c r="E7" s="18" t="str">
        <f t="shared" si="0"/>
        <v/>
      </c>
      <c r="F7" s="19" t="str">
        <f t="shared" si="3"/>
        <v/>
      </c>
      <c r="G7" s="20"/>
      <c r="H7" s="20" t="str">
        <f t="shared" si="1"/>
        <v/>
      </c>
      <c r="I7" s="19" t="str">
        <f t="shared" si="2"/>
        <v/>
      </c>
      <c r="J7" s="39"/>
      <c r="K7" s="39"/>
    </row>
    <row r="8" spans="1:14" ht="15.6">
      <c r="A8" s="30" t="str">
        <v>Platt Hill</v>
      </c>
      <c r="B8" s="27" t="str">
        <v>CT</v>
      </c>
      <c r="C8" s="24"/>
      <c r="D8" s="13"/>
      <c r="E8" s="13" t="str">
        <f t="shared" si="0"/>
        <v/>
      </c>
      <c r="F8" s="14" t="str">
        <f t="shared" si="3"/>
        <v/>
      </c>
      <c r="G8" s="15"/>
      <c r="H8" s="15" t="str">
        <f t="shared" si="1"/>
        <v/>
      </c>
      <c r="I8" s="16" t="str">
        <f t="shared" si="2"/>
        <v/>
      </c>
      <c r="J8" s="38"/>
      <c r="K8" s="69"/>
      <c r="L8" s="74"/>
      <c r="M8" s="74"/>
    </row>
    <row r="9" spans="1:14" ht="15.6">
      <c r="A9" s="28" t="str">
        <v>Powder Hill</v>
      </c>
      <c r="B9" s="29" t="str">
        <v>CT</v>
      </c>
      <c r="C9" s="11"/>
      <c r="D9" s="18"/>
      <c r="E9" s="18" t="str">
        <f t="shared" si="0"/>
        <v/>
      </c>
      <c r="F9" s="19" t="str">
        <f t="shared" si="3"/>
        <v/>
      </c>
      <c r="G9" s="20"/>
      <c r="H9" s="20" t="str">
        <f t="shared" si="1"/>
        <v/>
      </c>
      <c r="I9" s="19" t="str">
        <f t="shared" si="2"/>
        <v/>
      </c>
      <c r="J9" s="47"/>
      <c r="K9" s="71"/>
      <c r="L9" s="74"/>
      <c r="M9" s="74"/>
      <c r="N9" s="74"/>
    </row>
    <row r="10" spans="1:14" ht="100.5" customHeight="1">
      <c r="A10" s="30" t="str">
        <v>Sand Road</v>
      </c>
      <c r="B10" s="27" t="str">
        <v>CT</v>
      </c>
      <c r="C10" s="24"/>
      <c r="D10" s="13"/>
      <c r="E10" s="13" t="str">
        <f t="shared" si="0"/>
        <v/>
      </c>
      <c r="F10" s="14" t="str">
        <f t="shared" si="3"/>
        <v/>
      </c>
      <c r="G10" s="15"/>
      <c r="H10" s="15" t="str">
        <f t="shared" si="1"/>
        <v/>
      </c>
      <c r="I10" s="16" t="str">
        <f t="shared" si="2"/>
        <v/>
      </c>
      <c r="J10" s="38"/>
      <c r="K10" s="69"/>
      <c r="L10" s="74"/>
    </row>
    <row r="11" spans="1:14" ht="15.6">
      <c r="A11" s="28" t="str">
        <v>Suffield</v>
      </c>
      <c r="B11" s="29" t="str">
        <v>CT</v>
      </c>
      <c r="C11" s="11"/>
      <c r="D11" s="18"/>
      <c r="E11" s="18" t="str">
        <f t="shared" si="0"/>
        <v/>
      </c>
      <c r="F11" s="19" t="str">
        <f t="shared" si="3"/>
        <v/>
      </c>
      <c r="G11" s="20"/>
      <c r="H11" s="20" t="str">
        <f t="shared" si="1"/>
        <v/>
      </c>
      <c r="I11" s="19" t="str">
        <f t="shared" si="2"/>
        <v/>
      </c>
      <c r="J11" s="39"/>
      <c r="K11" s="39"/>
    </row>
    <row r="12" spans="1:14" ht="36.75" customHeight="1">
      <c r="A12" s="30" t="str">
        <v>Ashby-Duffy</v>
      </c>
      <c r="B12" s="27" t="str">
        <v>MA</v>
      </c>
      <c r="C12" s="24"/>
      <c r="D12" s="13"/>
      <c r="E12" s="13" t="str">
        <f t="shared" si="0"/>
        <v/>
      </c>
      <c r="F12" s="14" t="str">
        <f t="shared" si="3"/>
        <v/>
      </c>
      <c r="G12" s="15"/>
      <c r="H12" s="15" t="str">
        <f t="shared" si="1"/>
        <v/>
      </c>
      <c r="I12" s="16" t="str">
        <f t="shared" si="2"/>
        <v/>
      </c>
      <c r="J12" s="38"/>
      <c r="K12" s="38"/>
    </row>
    <row r="13" spans="1:14" ht="30" customHeight="1">
      <c r="A13" s="28" t="str">
        <v>Ashland</v>
      </c>
      <c r="B13" s="29" t="str">
        <v>MA</v>
      </c>
      <c r="C13" s="11"/>
      <c r="D13" s="18"/>
      <c r="E13" s="18" t="str">
        <f t="shared" si="0"/>
        <v/>
      </c>
      <c r="F13" s="19" t="str">
        <f t="shared" si="3"/>
        <v/>
      </c>
      <c r="G13" s="20"/>
      <c r="H13" s="20" t="str">
        <f t="shared" si="1"/>
        <v/>
      </c>
      <c r="I13" s="19" t="str">
        <f t="shared" si="2"/>
        <v/>
      </c>
      <c r="J13" s="47"/>
      <c r="K13" s="47"/>
    </row>
    <row r="14" spans="1:14" ht="15.6">
      <c r="A14" s="30" t="str">
        <v>Barrington</v>
      </c>
      <c r="B14" s="27" t="str">
        <v>MA</v>
      </c>
      <c r="C14" s="24"/>
      <c r="D14" s="13"/>
      <c r="E14" s="13" t="str">
        <f t="shared" si="0"/>
        <v/>
      </c>
      <c r="F14" s="14" t="str">
        <f t="shared" si="3"/>
        <v/>
      </c>
      <c r="G14" s="15"/>
      <c r="H14" s="15" t="str">
        <f t="shared" si="1"/>
        <v/>
      </c>
      <c r="I14" s="16" t="str">
        <f t="shared" si="2"/>
        <v/>
      </c>
      <c r="J14" s="38"/>
      <c r="K14" s="38"/>
    </row>
    <row r="15" spans="1:14" ht="15.6">
      <c r="A15" s="28" t="str">
        <v>Bedford - 205 Burlington Rd</v>
      </c>
      <c r="B15" s="29" t="str">
        <v>MA</v>
      </c>
      <c r="C15" s="11"/>
      <c r="D15" s="18"/>
      <c r="E15" s="18" t="str">
        <f t="shared" ref="E15:E35" si="4">IF(AND(ISNUMBER(C15),ISNUMBER(D15)), C15-D15, "")</f>
        <v/>
      </c>
      <c r="F15" s="52" t="str">
        <f t="shared" ref="F15:F35" si="5">IFERROR(E15/D15, "")</f>
        <v/>
      </c>
      <c r="G15" s="66"/>
      <c r="H15" s="50" t="str">
        <f t="shared" ref="H15:H35" si="6">IF(AND(ISNUMBER(C15),ISNUMBER(G15)), C15-G15, "")</f>
        <v/>
      </c>
      <c r="I15" s="52" t="str">
        <f t="shared" ref="I15:I35" si="7">IFERROR(H15/G15, "")</f>
        <v/>
      </c>
      <c r="J15" s="39"/>
      <c r="K15" s="71"/>
      <c r="L15" s="74"/>
    </row>
    <row r="16" spans="1:14" ht="15.6">
      <c r="A16" s="30" t="str">
        <v>Billerica - 6 Cook Street</v>
      </c>
      <c r="B16" s="27" t="str">
        <v>MA</v>
      </c>
      <c r="C16" s="24"/>
      <c r="D16" s="13"/>
      <c r="E16" s="13" t="str">
        <f t="shared" si="4"/>
        <v/>
      </c>
      <c r="F16" s="14" t="str">
        <f t="shared" si="5"/>
        <v/>
      </c>
      <c r="G16" s="67"/>
      <c r="H16" s="15" t="str">
        <f t="shared" si="6"/>
        <v/>
      </c>
      <c r="I16" s="16" t="str">
        <f t="shared" si="7"/>
        <v/>
      </c>
      <c r="J16" s="38"/>
      <c r="K16" s="38"/>
    </row>
    <row r="17" spans="1:14" ht="15.6">
      <c r="A17" s="28" t="str">
        <v>Billerica - 780 Boston Road</v>
      </c>
      <c r="B17" s="29" t="str">
        <v>MA</v>
      </c>
      <c r="C17" s="11"/>
      <c r="D17" s="18"/>
      <c r="E17" s="18" t="str">
        <f t="shared" si="4"/>
        <v/>
      </c>
      <c r="F17" s="52" t="str">
        <f t="shared" si="5"/>
        <v/>
      </c>
      <c r="G17" s="66"/>
      <c r="H17" s="50" t="str">
        <f t="shared" si="6"/>
        <v/>
      </c>
      <c r="I17" s="52" t="str">
        <f t="shared" si="7"/>
        <v/>
      </c>
      <c r="J17" s="39"/>
      <c r="K17" s="71"/>
      <c r="L17" s="74"/>
    </row>
    <row r="18" spans="1:14" ht="96" customHeight="1">
      <c r="A18" s="30" t="str">
        <v>Cheshire</v>
      </c>
      <c r="B18" s="27" t="str">
        <v>MA</v>
      </c>
      <c r="C18" s="24"/>
      <c r="D18" s="13"/>
      <c r="E18" s="13" t="str">
        <f t="shared" si="4"/>
        <v/>
      </c>
      <c r="F18" s="14" t="str">
        <f t="shared" si="5"/>
        <v/>
      </c>
      <c r="G18" s="15"/>
      <c r="H18" s="15" t="str">
        <f t="shared" si="6"/>
        <v/>
      </c>
      <c r="I18" s="16" t="str">
        <f t="shared" si="7"/>
        <v/>
      </c>
      <c r="J18" s="38"/>
      <c r="K18" s="69"/>
      <c r="L18" s="74"/>
      <c r="M18" s="74"/>
    </row>
    <row r="19" spans="1:14" ht="15.6">
      <c r="A19" s="28" t="str">
        <v>Lilly Lane</v>
      </c>
      <c r="B19" s="29" t="str">
        <v>MA</v>
      </c>
      <c r="C19" s="11"/>
      <c r="D19" s="18"/>
      <c r="E19" s="18" t="str">
        <f t="shared" si="4"/>
        <v/>
      </c>
      <c r="F19" s="52" t="str">
        <f t="shared" si="5"/>
        <v/>
      </c>
      <c r="G19" s="20"/>
      <c r="H19" s="50" t="str">
        <f t="shared" si="6"/>
        <v/>
      </c>
      <c r="I19" s="52" t="str">
        <f t="shared" si="7"/>
        <v/>
      </c>
      <c r="J19" s="39"/>
      <c r="K19" s="39"/>
    </row>
    <row r="20" spans="1:14" ht="15.6">
      <c r="A20" s="30" t="str">
        <v>Monument Valley</v>
      </c>
      <c r="B20" s="27" t="str">
        <v>MA</v>
      </c>
      <c r="C20" s="24"/>
      <c r="D20" s="13"/>
      <c r="E20" s="13" t="str">
        <f t="shared" si="4"/>
        <v/>
      </c>
      <c r="F20" s="14" t="str">
        <f t="shared" si="5"/>
        <v/>
      </c>
      <c r="G20" s="15"/>
      <c r="H20" s="15" t="str">
        <f t="shared" si="6"/>
        <v/>
      </c>
      <c r="I20" s="16" t="str">
        <f t="shared" si="7"/>
        <v/>
      </c>
      <c r="J20" s="38"/>
      <c r="K20" s="69"/>
    </row>
    <row r="21" spans="1:14" ht="15.6">
      <c r="A21" s="28" t="str">
        <v>Nationwide</v>
      </c>
      <c r="B21" s="29" t="str">
        <v>MA</v>
      </c>
      <c r="C21" s="11"/>
      <c r="D21" s="18"/>
      <c r="E21" s="18" t="str">
        <f t="shared" si="4"/>
        <v/>
      </c>
      <c r="F21" s="52" t="str">
        <f t="shared" si="5"/>
        <v/>
      </c>
      <c r="G21" s="20"/>
      <c r="H21" s="50" t="str">
        <f t="shared" si="6"/>
        <v/>
      </c>
      <c r="I21" s="52" t="str">
        <f t="shared" si="7"/>
        <v/>
      </c>
      <c r="J21" s="39"/>
      <c r="K21" s="71"/>
      <c r="L21" s="74"/>
      <c r="M21" s="74"/>
      <c r="N21" s="74"/>
    </row>
    <row r="22" spans="1:14" ht="15.6">
      <c r="A22" s="30" t="str">
        <v>Pulpit Hill</v>
      </c>
      <c r="B22" s="27" t="str">
        <v>MA</v>
      </c>
      <c r="C22" s="24"/>
      <c r="D22" s="13"/>
      <c r="E22" s="13" t="str">
        <f t="shared" si="4"/>
        <v/>
      </c>
      <c r="F22" s="14" t="str">
        <f t="shared" si="5"/>
        <v/>
      </c>
      <c r="G22" s="15"/>
      <c r="H22" s="15" t="str">
        <f t="shared" si="6"/>
        <v/>
      </c>
      <c r="I22" s="16" t="str">
        <f t="shared" si="7"/>
        <v/>
      </c>
      <c r="J22" s="38"/>
      <c r="K22" s="38"/>
    </row>
    <row r="23" spans="1:14" ht="15.6">
      <c r="A23" s="28" t="str">
        <v>Sandwich</v>
      </c>
      <c r="B23" s="29" t="str">
        <v>MA</v>
      </c>
      <c r="C23" s="11"/>
      <c r="D23" s="18"/>
      <c r="E23" s="18" t="str">
        <f t="shared" si="4"/>
        <v/>
      </c>
      <c r="F23" s="52" t="str">
        <f t="shared" si="5"/>
        <v/>
      </c>
      <c r="G23" s="20"/>
      <c r="H23" s="50" t="str">
        <f t="shared" si="6"/>
        <v/>
      </c>
      <c r="I23" s="52" t="str">
        <f t="shared" si="7"/>
        <v/>
      </c>
      <c r="J23" s="39"/>
      <c r="K23" s="71"/>
    </row>
    <row r="24" spans="1:14" ht="15.6">
      <c r="A24" s="30" t="str">
        <v>Sturbridge Barn</v>
      </c>
      <c r="B24" s="27" t="str">
        <v>MA</v>
      </c>
      <c r="C24" s="24"/>
      <c r="D24" s="13"/>
      <c r="E24" s="13" t="str">
        <f t="shared" si="4"/>
        <v/>
      </c>
      <c r="F24" s="14" t="str">
        <f t="shared" si="5"/>
        <v/>
      </c>
      <c r="G24" s="15"/>
      <c r="H24" s="15" t="str">
        <f t="shared" si="6"/>
        <v/>
      </c>
      <c r="I24" s="16" t="str">
        <f t="shared" si="7"/>
        <v/>
      </c>
      <c r="J24" s="38"/>
      <c r="K24" s="38"/>
    </row>
    <row r="25" spans="1:14" ht="15.6">
      <c r="A25" s="28" t="str">
        <v>Sturbridge Garage</v>
      </c>
      <c r="B25" s="29" t="str">
        <v>MA</v>
      </c>
      <c r="C25" s="11"/>
      <c r="D25" s="18"/>
      <c r="E25" s="18" t="str">
        <f t="shared" si="4"/>
        <v/>
      </c>
      <c r="F25" s="52" t="str">
        <f t="shared" si="5"/>
        <v/>
      </c>
      <c r="G25" s="20"/>
      <c r="H25" s="50" t="str">
        <f t="shared" si="6"/>
        <v/>
      </c>
      <c r="I25" s="52" t="str">
        <f t="shared" si="7"/>
        <v/>
      </c>
      <c r="J25" s="39"/>
      <c r="K25" s="39"/>
    </row>
    <row r="26" spans="1:14" ht="15.6">
      <c r="A26" s="30" t="str">
        <v>Halsey Valley</v>
      </c>
      <c r="B26" s="27" t="str">
        <v>NY</v>
      </c>
      <c r="C26" s="24"/>
      <c r="D26" s="13"/>
      <c r="E26" s="13" t="str">
        <f t="shared" si="4"/>
        <v/>
      </c>
      <c r="F26" s="14" t="str">
        <f t="shared" si="5"/>
        <v/>
      </c>
      <c r="G26" s="15"/>
      <c r="H26" s="15" t="str">
        <f t="shared" si="6"/>
        <v/>
      </c>
      <c r="I26" s="16" t="str">
        <f t="shared" si="7"/>
        <v/>
      </c>
      <c r="J26" s="38"/>
      <c r="K26" s="38"/>
    </row>
    <row r="27" spans="1:14" ht="20.25" customHeight="1">
      <c r="A27" s="28" t="str">
        <v>Hunt Creek</v>
      </c>
      <c r="B27" s="29" t="str">
        <v>NY</v>
      </c>
      <c r="C27" s="11"/>
      <c r="D27" s="18"/>
      <c r="E27" s="18" t="str">
        <f t="shared" si="4"/>
        <v/>
      </c>
      <c r="F27" s="52" t="str">
        <f t="shared" si="5"/>
        <v/>
      </c>
      <c r="G27" s="20"/>
      <c r="H27" s="50" t="str">
        <f t="shared" si="6"/>
        <v/>
      </c>
      <c r="I27" s="52" t="str">
        <f t="shared" si="7"/>
        <v/>
      </c>
      <c r="J27" s="47"/>
      <c r="K27" s="47"/>
    </row>
    <row r="28" spans="1:14" ht="30.75" customHeight="1">
      <c r="A28" s="30" t="str">
        <v>Smith Creek</v>
      </c>
      <c r="B28" s="27" t="str">
        <v>NY</v>
      </c>
      <c r="C28" s="24"/>
      <c r="D28" s="13"/>
      <c r="E28" s="13" t="str">
        <f t="shared" si="4"/>
        <v/>
      </c>
      <c r="F28" s="14" t="str">
        <f t="shared" si="5"/>
        <v/>
      </c>
      <c r="G28" s="15"/>
      <c r="H28" s="15" t="str">
        <f t="shared" si="6"/>
        <v/>
      </c>
      <c r="I28" s="16" t="str">
        <f t="shared" si="7"/>
        <v/>
      </c>
      <c r="J28" s="38"/>
      <c r="K28" s="38"/>
    </row>
    <row r="29" spans="1:14" ht="136.5" customHeight="1">
      <c r="A29" s="28" t="str">
        <v>Bradford - 256 Presidential Dr</v>
      </c>
      <c r="B29" s="29" t="str">
        <v>MA</v>
      </c>
      <c r="C29" s="11"/>
      <c r="D29" s="18"/>
      <c r="E29" s="18" t="str">
        <f t="shared" si="4"/>
        <v/>
      </c>
      <c r="F29" s="52" t="str">
        <f t="shared" si="5"/>
        <v/>
      </c>
      <c r="G29" s="20"/>
      <c r="H29" s="50" t="str">
        <f t="shared" si="6"/>
        <v/>
      </c>
      <c r="I29" s="52" t="str">
        <f t="shared" si="7"/>
        <v/>
      </c>
      <c r="J29" s="47"/>
      <c r="K29" s="71"/>
      <c r="L29" s="74"/>
      <c r="M29" s="74"/>
      <c r="N29" s="74"/>
    </row>
    <row r="30" spans="1:14" ht="15.6">
      <c r="A30" s="30" t="str">
        <v>Charlton – 111 Brookfield Road - Bus Lot</v>
      </c>
      <c r="B30" s="27" t="str">
        <v>MA</v>
      </c>
      <c r="C30" s="24"/>
      <c r="D30" s="13"/>
      <c r="E30" s="13" t="str">
        <f t="shared" si="4"/>
        <v/>
      </c>
      <c r="F30" s="14" t="str">
        <f t="shared" si="5"/>
        <v/>
      </c>
      <c r="G30" s="15"/>
      <c r="H30" s="15" t="str">
        <f t="shared" si="6"/>
        <v/>
      </c>
      <c r="I30" s="16" t="str">
        <f t="shared" si="7"/>
        <v/>
      </c>
      <c r="J30" s="38"/>
      <c r="K30" s="69"/>
    </row>
    <row r="31" spans="1:14" ht="15.6">
      <c r="A31" s="28" t="str">
        <v>Charlton – 154 Center Depot Road KMARD</v>
      </c>
      <c r="B31" s="29" t="str">
        <v>MA</v>
      </c>
      <c r="C31" s="11"/>
      <c r="D31" s="18"/>
      <c r="E31" s="18" t="str">
        <f t="shared" si="4"/>
        <v/>
      </c>
      <c r="F31" s="52" t="str">
        <f t="shared" si="5"/>
        <v/>
      </c>
      <c r="G31" s="20"/>
      <c r="H31" s="50" t="str">
        <f t="shared" si="6"/>
        <v/>
      </c>
      <c r="I31" s="52" t="str">
        <f t="shared" si="7"/>
        <v/>
      </c>
      <c r="J31" s="47"/>
      <c r="K31" s="71"/>
      <c r="L31" s="74"/>
      <c r="M31" s="74"/>
    </row>
    <row r="32" spans="1:14" ht="15.6">
      <c r="A32" s="30" t="str">
        <v>Charlton – 142A Brookfield Rd (Mitchell)</v>
      </c>
      <c r="B32" s="27" t="str">
        <v>MA</v>
      </c>
      <c r="C32" s="24"/>
      <c r="D32" s="13"/>
      <c r="E32" s="13" t="str">
        <f t="shared" si="4"/>
        <v/>
      </c>
      <c r="F32" s="14" t="str">
        <f t="shared" si="5"/>
        <v/>
      </c>
      <c r="G32" s="15"/>
      <c r="H32" s="15" t="str">
        <f t="shared" si="6"/>
        <v/>
      </c>
      <c r="I32" s="16" t="str">
        <f t="shared" si="7"/>
        <v/>
      </c>
      <c r="J32" s="38"/>
      <c r="K32" s="69"/>
      <c r="L32" s="74"/>
    </row>
    <row r="33" spans="1:15" ht="15.6">
      <c r="A33" s="28" t="str">
        <v>Great Barrington – 3 Nolan  Drive</v>
      </c>
      <c r="B33" s="29" t="str">
        <v>MA</v>
      </c>
      <c r="C33" s="11"/>
      <c r="D33" s="18"/>
      <c r="E33" s="18" t="str">
        <f t="shared" si="4"/>
        <v/>
      </c>
      <c r="F33" s="52" t="str">
        <f t="shared" si="5"/>
        <v/>
      </c>
      <c r="G33" s="20"/>
      <c r="H33" s="50" t="str">
        <f t="shared" si="6"/>
        <v/>
      </c>
      <c r="I33" s="52" t="str">
        <f t="shared" si="7"/>
        <v/>
      </c>
      <c r="J33" s="47"/>
      <c r="K33" s="71"/>
      <c r="L33" s="74"/>
      <c r="M33" s="74"/>
      <c r="N33" s="74"/>
      <c r="O33" s="74"/>
    </row>
    <row r="34" spans="1:15" ht="15.6">
      <c r="A34" s="30" t="str">
        <v>Stockbridge – 92 State Line Road Truck Stop</v>
      </c>
      <c r="B34" s="27" t="str">
        <v>MA</v>
      </c>
      <c r="C34" s="24"/>
      <c r="D34" s="13"/>
      <c r="E34" s="13" t="str">
        <f t="shared" si="4"/>
        <v/>
      </c>
      <c r="F34" s="14" t="str">
        <f t="shared" si="5"/>
        <v/>
      </c>
      <c r="G34" s="15"/>
      <c r="H34" s="15" t="str">
        <f t="shared" si="6"/>
        <v/>
      </c>
      <c r="I34" s="16" t="str">
        <f t="shared" si="7"/>
        <v/>
      </c>
      <c r="J34" s="38"/>
      <c r="K34" s="69"/>
      <c r="L34" s="74"/>
    </row>
    <row r="35" spans="1:15" ht="15.6">
      <c r="A35" s="28" t="str">
        <v>NY: New Windsor - Moores Hill</v>
      </c>
      <c r="B35" s="29" t="str">
        <v>NY</v>
      </c>
      <c r="C35" s="11"/>
      <c r="D35" s="18"/>
      <c r="E35" s="18" t="str">
        <f t="shared" si="4"/>
        <v/>
      </c>
      <c r="F35" s="52" t="str">
        <f t="shared" si="5"/>
        <v/>
      </c>
      <c r="G35" s="20"/>
      <c r="H35" s="50" t="str">
        <f t="shared" si="6"/>
        <v/>
      </c>
      <c r="I35" s="52" t="str">
        <f t="shared" si="7"/>
        <v/>
      </c>
      <c r="J35" s="47"/>
      <c r="K35" s="71"/>
      <c r="L35" s="74"/>
      <c r="M35" s="74"/>
      <c r="N35" s="74"/>
      <c r="O35" s="74"/>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45"/>
  <sheetViews>
    <sheetView zoomScale="60" zoomScaleNormal="60" workbookViewId="0">
      <pane xSplit="2" ySplit="3" topLeftCell="C27"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3"/>
  </cols>
  <sheetData>
    <row r="1" spans="1:17" ht="19.5" customHeight="1">
      <c r="A1" s="124" t="str" cm="1">
        <f t="array" ref="A1">portfolio</f>
        <v>Lodestar</v>
      </c>
      <c r="B1" s="124"/>
      <c r="C1" s="124"/>
      <c r="D1" s="125" t="s">
        <v>164</v>
      </c>
      <c r="E1" s="125"/>
      <c r="F1" s="125"/>
      <c r="G1" s="123" t="s">
        <v>165</v>
      </c>
      <c r="H1" s="123"/>
      <c r="I1" s="123"/>
      <c r="J1" s="4"/>
      <c r="K1" s="4"/>
    </row>
    <row r="2" spans="1:17"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3" t="s">
        <v>5</v>
      </c>
      <c r="D3" s="33" t="s">
        <v>6</v>
      </c>
      <c r="E3" s="33" t="s">
        <v>7</v>
      </c>
      <c r="F3" s="34" t="s">
        <v>8</v>
      </c>
      <c r="G3" s="35" t="s">
        <v>9</v>
      </c>
      <c r="H3" s="36" t="s">
        <v>7</v>
      </c>
      <c r="I3" s="37" t="s">
        <v>8</v>
      </c>
      <c r="J3" s="25" t="s">
        <v>20</v>
      </c>
      <c r="K3" s="25" t="s">
        <v>21</v>
      </c>
    </row>
    <row r="4" spans="1:17" ht="72" customHeight="1">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c r="L4" s="74"/>
    </row>
    <row r="5" spans="1:17" ht="46.5" customHeight="1">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71"/>
    </row>
    <row r="6" spans="1:17" ht="15.6">
      <c r="A6" s="30" t="str">
        <v>Norcap North</v>
      </c>
      <c r="B6" s="27" t="str">
        <v>CT</v>
      </c>
      <c r="C6" s="24"/>
      <c r="D6" s="13"/>
      <c r="E6" s="13" t="str">
        <f t="shared" si="0"/>
        <v/>
      </c>
      <c r="F6" s="14" t="str">
        <f t="shared" ref="F6:F14" si="3">IFERROR(E6/D6, "")</f>
        <v/>
      </c>
      <c r="G6" s="15"/>
      <c r="H6" s="15" t="str">
        <f t="shared" si="1"/>
        <v/>
      </c>
      <c r="I6" s="16" t="str">
        <f t="shared" si="2"/>
        <v/>
      </c>
      <c r="J6" s="38"/>
      <c r="K6" s="69"/>
      <c r="L6" s="74"/>
      <c r="M6" s="74"/>
      <c r="N6" s="74"/>
      <c r="O6" s="74"/>
    </row>
    <row r="7" spans="1:17" ht="15.6">
      <c r="A7" s="28" t="str">
        <v>Norcap South</v>
      </c>
      <c r="B7" s="29" t="str">
        <v>CT</v>
      </c>
      <c r="C7" s="11"/>
      <c r="D7" s="18"/>
      <c r="E7" s="18" t="str">
        <f t="shared" si="0"/>
        <v/>
      </c>
      <c r="F7" s="19" t="str">
        <f t="shared" si="3"/>
        <v/>
      </c>
      <c r="G7" s="20"/>
      <c r="H7" s="20" t="str">
        <f t="shared" si="1"/>
        <v/>
      </c>
      <c r="I7" s="19" t="str">
        <f t="shared" si="2"/>
        <v/>
      </c>
      <c r="J7" s="39"/>
      <c r="K7" s="71"/>
    </row>
    <row r="8" spans="1:17" ht="15.6">
      <c r="A8" s="30" t="str">
        <v>Platt Hill</v>
      </c>
      <c r="B8" s="27" t="str">
        <v>CT</v>
      </c>
      <c r="C8" s="24"/>
      <c r="D8" s="13"/>
      <c r="E8" s="13" t="str">
        <f t="shared" si="0"/>
        <v/>
      </c>
      <c r="F8" s="14" t="str">
        <f t="shared" si="3"/>
        <v/>
      </c>
      <c r="G8" s="15"/>
      <c r="H8" s="15" t="str">
        <f t="shared" si="1"/>
        <v/>
      </c>
      <c r="I8" s="16" t="str">
        <f t="shared" si="2"/>
        <v/>
      </c>
      <c r="J8" s="38"/>
      <c r="K8" s="69"/>
      <c r="L8" s="74"/>
    </row>
    <row r="9" spans="1:17" ht="15.6">
      <c r="A9" s="28" t="str">
        <v>Powder Hill</v>
      </c>
      <c r="B9" s="29" t="str">
        <v>CT</v>
      </c>
      <c r="C9" s="11"/>
      <c r="D9" s="18"/>
      <c r="E9" s="18" t="str">
        <f t="shared" si="0"/>
        <v/>
      </c>
      <c r="F9" s="19" t="str">
        <f t="shared" si="3"/>
        <v/>
      </c>
      <c r="G9" s="20"/>
      <c r="H9" s="20" t="str">
        <f t="shared" si="1"/>
        <v/>
      </c>
      <c r="I9" s="19" t="str">
        <f t="shared" si="2"/>
        <v/>
      </c>
      <c r="J9" s="39"/>
      <c r="K9" s="71"/>
      <c r="L9" s="74"/>
      <c r="M9" s="74"/>
      <c r="N9" s="74"/>
    </row>
    <row r="10" spans="1:17" ht="15.6">
      <c r="A10" s="30" t="str">
        <v>Sand Road</v>
      </c>
      <c r="B10" s="27" t="str">
        <v>CT</v>
      </c>
      <c r="C10" s="24"/>
      <c r="D10" s="13"/>
      <c r="E10" s="13" t="str">
        <f t="shared" si="0"/>
        <v/>
      </c>
      <c r="F10" s="14" t="str">
        <f t="shared" si="3"/>
        <v/>
      </c>
      <c r="G10" s="15"/>
      <c r="H10" s="15" t="str">
        <f t="shared" si="1"/>
        <v/>
      </c>
      <c r="I10" s="16" t="str">
        <f t="shared" si="2"/>
        <v/>
      </c>
      <c r="J10" s="38"/>
      <c r="K10" s="38"/>
    </row>
    <row r="11" spans="1:17" ht="15.6">
      <c r="A11" s="28" t="str">
        <v>Suffield</v>
      </c>
      <c r="B11" s="29" t="str">
        <v>CT</v>
      </c>
      <c r="C11" s="11"/>
      <c r="D11" s="18"/>
      <c r="E11" s="18" t="str">
        <f t="shared" si="0"/>
        <v/>
      </c>
      <c r="F11" s="19" t="str">
        <f t="shared" si="3"/>
        <v/>
      </c>
      <c r="G11" s="20"/>
      <c r="H11" s="20" t="str">
        <f t="shared" si="1"/>
        <v/>
      </c>
      <c r="I11" s="19" t="str">
        <f t="shared" si="2"/>
        <v/>
      </c>
      <c r="J11" s="39"/>
      <c r="K11" s="71"/>
      <c r="L11" s="74"/>
      <c r="M11" s="74"/>
    </row>
    <row r="12" spans="1:17" ht="15.6">
      <c r="A12" s="30" t="str">
        <v>Ashby-Duffy</v>
      </c>
      <c r="B12" s="27" t="str">
        <v>MA</v>
      </c>
      <c r="C12" s="24"/>
      <c r="D12" s="13"/>
      <c r="E12" s="13" t="str">
        <f t="shared" si="0"/>
        <v/>
      </c>
      <c r="F12" s="14" t="str">
        <f t="shared" si="3"/>
        <v/>
      </c>
      <c r="G12" s="15"/>
      <c r="H12" s="15" t="str">
        <f t="shared" si="1"/>
        <v/>
      </c>
      <c r="I12" s="16" t="str">
        <f t="shared" si="2"/>
        <v/>
      </c>
      <c r="J12" s="38"/>
      <c r="K12" s="69"/>
      <c r="L12" s="74"/>
      <c r="M12" s="74"/>
      <c r="N12" s="74"/>
      <c r="O12" s="74"/>
      <c r="P12" s="74"/>
      <c r="Q12" s="81"/>
    </row>
    <row r="13" spans="1:17" ht="15.6">
      <c r="A13" s="28" t="str">
        <v>Ashland</v>
      </c>
      <c r="B13" s="29" t="str">
        <v>MA</v>
      </c>
      <c r="C13" s="11"/>
      <c r="D13" s="18"/>
      <c r="E13" s="18" t="str">
        <f t="shared" si="0"/>
        <v/>
      </c>
      <c r="F13" s="19" t="str">
        <f t="shared" si="3"/>
        <v/>
      </c>
      <c r="G13" s="20"/>
      <c r="H13" s="20" t="str">
        <f t="shared" si="1"/>
        <v/>
      </c>
      <c r="I13" s="19" t="str">
        <f t="shared" si="2"/>
        <v/>
      </c>
      <c r="J13" s="39"/>
      <c r="K13" s="71"/>
    </row>
    <row r="14" spans="1:17" ht="15.6">
      <c r="A14" s="30" t="str">
        <v>Barrington</v>
      </c>
      <c r="B14" s="27" t="str">
        <v>MA</v>
      </c>
      <c r="C14" s="24"/>
      <c r="D14" s="13"/>
      <c r="E14" s="13" t="str">
        <f t="shared" si="0"/>
        <v/>
      </c>
      <c r="F14" s="14" t="str">
        <f t="shared" si="3"/>
        <v/>
      </c>
      <c r="G14" s="15"/>
      <c r="H14" s="15" t="str">
        <f t="shared" si="1"/>
        <v/>
      </c>
      <c r="I14" s="16" t="str">
        <f t="shared" si="2"/>
        <v/>
      </c>
      <c r="J14" s="38"/>
      <c r="K14" s="38"/>
    </row>
    <row r="15" spans="1:17" ht="15.6">
      <c r="A15" s="28" t="str">
        <v>Bedford - 205 Burlington Rd</v>
      </c>
      <c r="B15" s="29" t="str">
        <v>MA</v>
      </c>
      <c r="C15" s="11"/>
      <c r="D15" s="18"/>
      <c r="E15" s="18" t="str">
        <f t="shared" ref="E15:E35" si="4">IF(AND(ISNUMBER(C15),ISNUMBER(D15)), C15-D15, "")</f>
        <v/>
      </c>
      <c r="F15" s="52" t="str">
        <f t="shared" ref="F15:F35" si="5">IFERROR(E15/D15, "")</f>
        <v/>
      </c>
      <c r="G15" s="66"/>
      <c r="H15" s="50" t="str">
        <f t="shared" ref="H15:H35" si="6">IF(AND(ISNUMBER(C15),ISNUMBER(G15)), C15-G15, "")</f>
        <v/>
      </c>
      <c r="I15" s="52" t="str">
        <f t="shared" ref="I15:I35" si="7">IFERROR(H15/G15, "")</f>
        <v/>
      </c>
      <c r="J15" s="39"/>
      <c r="K15" s="71"/>
      <c r="L15" s="74"/>
    </row>
    <row r="16" spans="1:17" ht="15.6">
      <c r="A16" s="30" t="str">
        <v>Billerica - 6 Cook Street</v>
      </c>
      <c r="B16" s="27" t="str">
        <v>MA</v>
      </c>
      <c r="C16" s="24"/>
      <c r="D16" s="13"/>
      <c r="E16" s="13" t="str">
        <f t="shared" si="4"/>
        <v/>
      </c>
      <c r="F16" s="14" t="str">
        <f t="shared" si="5"/>
        <v/>
      </c>
      <c r="G16" s="67"/>
      <c r="H16" s="15" t="str">
        <f t="shared" si="6"/>
        <v/>
      </c>
      <c r="I16" s="16" t="str">
        <f t="shared" si="7"/>
        <v/>
      </c>
      <c r="J16" s="38"/>
      <c r="K16" s="38"/>
    </row>
    <row r="17" spans="1:15" ht="15.6">
      <c r="A17" s="28" t="str">
        <v>Billerica - 780 Boston Road</v>
      </c>
      <c r="B17" s="29" t="str">
        <v>MA</v>
      </c>
      <c r="C17" s="11"/>
      <c r="D17" s="18"/>
      <c r="E17" s="18" t="str">
        <f t="shared" si="4"/>
        <v/>
      </c>
      <c r="F17" s="52" t="str">
        <f t="shared" si="5"/>
        <v/>
      </c>
      <c r="G17" s="66"/>
      <c r="H17" s="50" t="str">
        <f t="shared" si="6"/>
        <v/>
      </c>
      <c r="I17" s="52" t="str">
        <f t="shared" si="7"/>
        <v/>
      </c>
      <c r="J17" s="39"/>
      <c r="K17" s="39"/>
    </row>
    <row r="18" spans="1:15" ht="33.75" customHeight="1">
      <c r="A18" s="30" t="str">
        <v>Cheshire</v>
      </c>
      <c r="B18" s="27" t="str">
        <v>MA</v>
      </c>
      <c r="C18" s="24"/>
      <c r="D18" s="13"/>
      <c r="E18" s="13" t="str">
        <f t="shared" si="4"/>
        <v/>
      </c>
      <c r="F18" s="14" t="str">
        <f t="shared" si="5"/>
        <v/>
      </c>
      <c r="G18" s="15"/>
      <c r="H18" s="15" t="str">
        <f t="shared" si="6"/>
        <v/>
      </c>
      <c r="I18" s="16" t="str">
        <f t="shared" si="7"/>
        <v/>
      </c>
      <c r="J18" s="38"/>
      <c r="K18" s="69"/>
    </row>
    <row r="19" spans="1:15" ht="15.6">
      <c r="A19" s="28" t="str">
        <v>Lilly Lane</v>
      </c>
      <c r="B19" s="29" t="str">
        <v>MA</v>
      </c>
      <c r="C19" s="11"/>
      <c r="D19" s="18"/>
      <c r="E19" s="18" t="str">
        <f t="shared" si="4"/>
        <v/>
      </c>
      <c r="F19" s="52" t="str">
        <f t="shared" si="5"/>
        <v/>
      </c>
      <c r="G19" s="20"/>
      <c r="H19" s="50" t="str">
        <f t="shared" si="6"/>
        <v/>
      </c>
      <c r="I19" s="52" t="str">
        <f t="shared" si="7"/>
        <v/>
      </c>
      <c r="J19" s="39"/>
      <c r="K19" s="72"/>
      <c r="L19" s="74"/>
      <c r="M19" s="74"/>
    </row>
    <row r="20" spans="1:15" ht="15.6">
      <c r="A20" s="30" t="str">
        <v>Monument Valley</v>
      </c>
      <c r="B20" s="27" t="str">
        <v>MA</v>
      </c>
      <c r="C20" s="24"/>
      <c r="D20" s="13"/>
      <c r="E20" s="13" t="str">
        <f t="shared" si="4"/>
        <v/>
      </c>
      <c r="F20" s="14" t="str">
        <f t="shared" si="5"/>
        <v/>
      </c>
      <c r="G20" s="15"/>
      <c r="H20" s="15" t="str">
        <f t="shared" si="6"/>
        <v/>
      </c>
      <c r="I20" s="16" t="str">
        <f t="shared" si="7"/>
        <v/>
      </c>
      <c r="J20" s="38"/>
      <c r="K20" s="69"/>
      <c r="L20" s="74"/>
    </row>
    <row r="21" spans="1:15" ht="15.6">
      <c r="A21" s="28" t="str">
        <v>Nationwide</v>
      </c>
      <c r="B21" s="29" t="str">
        <v>MA</v>
      </c>
      <c r="C21" s="11"/>
      <c r="D21" s="18"/>
      <c r="E21" s="18" t="str">
        <f t="shared" si="4"/>
        <v/>
      </c>
      <c r="F21" s="52" t="str">
        <f t="shared" si="5"/>
        <v/>
      </c>
      <c r="G21" s="20"/>
      <c r="H21" s="50" t="str">
        <f t="shared" si="6"/>
        <v/>
      </c>
      <c r="I21" s="52" t="str">
        <f t="shared" si="7"/>
        <v/>
      </c>
      <c r="J21" s="39"/>
      <c r="K21" s="39"/>
    </row>
    <row r="22" spans="1:15" ht="15.6">
      <c r="A22" s="30" t="str">
        <v>Pulpit Hill</v>
      </c>
      <c r="B22" s="27" t="str">
        <v>MA</v>
      </c>
      <c r="C22" s="24"/>
      <c r="D22" s="13"/>
      <c r="E22" s="13" t="str">
        <f t="shared" si="4"/>
        <v/>
      </c>
      <c r="F22" s="14" t="str">
        <f t="shared" si="5"/>
        <v/>
      </c>
      <c r="G22" s="15"/>
      <c r="H22" s="15" t="str">
        <f t="shared" si="6"/>
        <v/>
      </c>
      <c r="I22" s="16" t="str">
        <f t="shared" si="7"/>
        <v/>
      </c>
      <c r="J22" s="38"/>
      <c r="K22" s="69"/>
      <c r="L22" s="74"/>
      <c r="M22" s="74"/>
    </row>
    <row r="23" spans="1:15" ht="15.6">
      <c r="A23" s="28" t="str">
        <v>Sandwich</v>
      </c>
      <c r="B23" s="29" t="str">
        <v>MA</v>
      </c>
      <c r="C23" s="11"/>
      <c r="D23" s="18"/>
      <c r="E23" s="18" t="str">
        <f t="shared" si="4"/>
        <v/>
      </c>
      <c r="F23" s="52" t="str">
        <f t="shared" si="5"/>
        <v/>
      </c>
      <c r="G23" s="20"/>
      <c r="H23" s="50" t="str">
        <f t="shared" si="6"/>
        <v/>
      </c>
      <c r="I23" s="52" t="str">
        <f t="shared" si="7"/>
        <v/>
      </c>
      <c r="J23" s="39"/>
      <c r="K23" s="71"/>
    </row>
    <row r="24" spans="1:15" ht="15.6">
      <c r="A24" s="30" t="str">
        <v>Sturbridge Barn</v>
      </c>
      <c r="B24" s="27" t="str">
        <v>MA</v>
      </c>
      <c r="C24" s="24"/>
      <c r="D24" s="13"/>
      <c r="E24" s="13" t="str">
        <f t="shared" si="4"/>
        <v/>
      </c>
      <c r="F24" s="14" t="str">
        <f t="shared" si="5"/>
        <v/>
      </c>
      <c r="G24" s="15"/>
      <c r="H24" s="15" t="str">
        <f t="shared" si="6"/>
        <v/>
      </c>
      <c r="I24" s="16" t="str">
        <f t="shared" si="7"/>
        <v/>
      </c>
      <c r="J24" s="38"/>
      <c r="K24" s="69"/>
    </row>
    <row r="25" spans="1:15" ht="15.6">
      <c r="A25" s="28" t="str">
        <v>Sturbridge Garage</v>
      </c>
      <c r="B25" s="29" t="str">
        <v>MA</v>
      </c>
      <c r="C25" s="11"/>
      <c r="D25" s="18"/>
      <c r="E25" s="18" t="str">
        <f t="shared" si="4"/>
        <v/>
      </c>
      <c r="F25" s="52" t="str">
        <f t="shared" si="5"/>
        <v/>
      </c>
      <c r="G25" s="20"/>
      <c r="H25" s="50" t="str">
        <f t="shared" si="6"/>
        <v/>
      </c>
      <c r="I25" s="52" t="str">
        <f t="shared" si="7"/>
        <v/>
      </c>
      <c r="J25" s="39"/>
      <c r="K25" s="71"/>
      <c r="L25" s="74"/>
    </row>
    <row r="26" spans="1:15" ht="15.6">
      <c r="A26" s="30" t="str">
        <v>Halsey Valley</v>
      </c>
      <c r="B26" s="27" t="str">
        <v>NY</v>
      </c>
      <c r="C26" s="24"/>
      <c r="D26" s="13"/>
      <c r="E26" s="13" t="str">
        <f t="shared" si="4"/>
        <v/>
      </c>
      <c r="F26" s="14" t="str">
        <f t="shared" si="5"/>
        <v/>
      </c>
      <c r="G26" s="15"/>
      <c r="H26" s="15" t="str">
        <f t="shared" si="6"/>
        <v/>
      </c>
      <c r="I26" s="16" t="str">
        <f t="shared" si="7"/>
        <v/>
      </c>
      <c r="J26" s="38"/>
      <c r="K26" s="69"/>
    </row>
    <row r="27" spans="1:15" ht="15.6">
      <c r="A27" s="28" t="str">
        <v>Hunt Creek</v>
      </c>
      <c r="B27" s="29" t="str">
        <v>NY</v>
      </c>
      <c r="C27" s="11"/>
      <c r="D27" s="18"/>
      <c r="E27" s="18" t="str">
        <f t="shared" si="4"/>
        <v/>
      </c>
      <c r="F27" s="52" t="str">
        <f t="shared" si="5"/>
        <v/>
      </c>
      <c r="G27" s="20"/>
      <c r="H27" s="50" t="str">
        <f t="shared" si="6"/>
        <v/>
      </c>
      <c r="I27" s="52" t="str">
        <f t="shared" si="7"/>
        <v/>
      </c>
      <c r="J27" s="39"/>
      <c r="K27" s="71"/>
      <c r="L27" s="74"/>
      <c r="M27" s="74"/>
      <c r="N27" s="74"/>
      <c r="O27" s="74"/>
    </row>
    <row r="28" spans="1:15" ht="15.6">
      <c r="A28" s="55" t="str">
        <v>Smith Creek</v>
      </c>
      <c r="B28" s="27" t="str">
        <v>NY</v>
      </c>
      <c r="C28" s="24"/>
      <c r="D28" s="13"/>
      <c r="E28" s="13" t="str">
        <f t="shared" si="4"/>
        <v/>
      </c>
      <c r="F28" s="14" t="str">
        <f t="shared" si="5"/>
        <v/>
      </c>
      <c r="G28" s="15"/>
      <c r="H28" s="15" t="str">
        <f t="shared" si="6"/>
        <v/>
      </c>
      <c r="I28" s="16" t="str">
        <f t="shared" si="7"/>
        <v/>
      </c>
      <c r="J28" s="38"/>
      <c r="K28" s="69"/>
      <c r="L28" s="74"/>
      <c r="M28" s="74"/>
      <c r="N28" s="74"/>
    </row>
    <row r="29" spans="1:15" ht="15.6">
      <c r="A29" s="28" t="str">
        <v>Bradford - 256 Presidential Dr</v>
      </c>
      <c r="B29" s="29" t="str">
        <v>MA</v>
      </c>
      <c r="C29" s="11"/>
      <c r="D29" s="18"/>
      <c r="E29" s="18" t="str">
        <f t="shared" si="4"/>
        <v/>
      </c>
      <c r="F29" s="52" t="str">
        <f t="shared" si="5"/>
        <v/>
      </c>
      <c r="G29" s="20"/>
      <c r="H29" s="50" t="str">
        <f t="shared" si="6"/>
        <v/>
      </c>
      <c r="I29" s="52" t="str">
        <f t="shared" si="7"/>
        <v/>
      </c>
      <c r="J29" s="39"/>
      <c r="K29" s="71"/>
      <c r="L29" s="74"/>
    </row>
    <row r="30" spans="1:15" ht="15.6">
      <c r="A30" s="30" t="str">
        <v>Charlton – 111 Brookfield Road - Bus Lot</v>
      </c>
      <c r="B30" s="27" t="str">
        <v>MA</v>
      </c>
      <c r="C30" s="24"/>
      <c r="D30" s="13"/>
      <c r="E30" s="13" t="str">
        <f t="shared" si="4"/>
        <v/>
      </c>
      <c r="F30" s="14" t="str">
        <f t="shared" si="5"/>
        <v/>
      </c>
      <c r="G30" s="15"/>
      <c r="H30" s="15" t="str">
        <f t="shared" si="6"/>
        <v/>
      </c>
      <c r="I30" s="16" t="str">
        <f t="shared" si="7"/>
        <v/>
      </c>
      <c r="J30" s="38"/>
      <c r="K30" s="69"/>
    </row>
    <row r="31" spans="1:15" ht="15.6">
      <c r="A31" s="28" t="str">
        <v>Charlton – 154 Center Depot Road KMARD</v>
      </c>
      <c r="B31" s="29" t="str">
        <v>MA</v>
      </c>
      <c r="C31" s="11"/>
      <c r="D31" s="18"/>
      <c r="E31" s="18" t="str">
        <f t="shared" si="4"/>
        <v/>
      </c>
      <c r="F31" s="52" t="str">
        <f t="shared" si="5"/>
        <v/>
      </c>
      <c r="G31" s="20"/>
      <c r="H31" s="50" t="str">
        <f t="shared" si="6"/>
        <v/>
      </c>
      <c r="I31" s="52" t="str">
        <f t="shared" si="7"/>
        <v/>
      </c>
      <c r="J31" s="39"/>
      <c r="K31" s="71"/>
      <c r="L31" s="74"/>
    </row>
    <row r="32" spans="1:15" ht="15.6">
      <c r="A32" s="30" t="str">
        <v>Charlton – 142A Brookfield Rd (Mitchell)</v>
      </c>
      <c r="B32" s="27" t="str">
        <v>MA</v>
      </c>
      <c r="C32" s="24"/>
      <c r="D32" s="13"/>
      <c r="E32" s="13" t="str">
        <f t="shared" si="4"/>
        <v/>
      </c>
      <c r="F32" s="14" t="str">
        <f t="shared" si="5"/>
        <v/>
      </c>
      <c r="G32" s="15"/>
      <c r="H32" s="15" t="str">
        <f t="shared" si="6"/>
        <v/>
      </c>
      <c r="I32" s="16" t="str">
        <f t="shared" si="7"/>
        <v/>
      </c>
      <c r="J32" s="38"/>
      <c r="K32" s="69"/>
      <c r="L32" s="74"/>
      <c r="M32" s="74"/>
    </row>
    <row r="33" spans="1:17" ht="90" customHeight="1">
      <c r="A33" s="28" t="str">
        <v>Great Barrington – 3 Nolan  Drive</v>
      </c>
      <c r="B33" s="29" t="str">
        <v>MA</v>
      </c>
      <c r="C33" s="11"/>
      <c r="D33" s="18"/>
      <c r="E33" s="18" t="str">
        <f t="shared" si="4"/>
        <v/>
      </c>
      <c r="F33" s="52" t="str">
        <f t="shared" si="5"/>
        <v/>
      </c>
      <c r="G33" s="20"/>
      <c r="H33" s="50" t="str">
        <f t="shared" si="6"/>
        <v/>
      </c>
      <c r="I33" s="52" t="str">
        <f t="shared" si="7"/>
        <v/>
      </c>
      <c r="J33" s="47"/>
      <c r="K33" s="71"/>
      <c r="L33" s="74"/>
      <c r="M33" s="74"/>
      <c r="N33" s="74"/>
      <c r="O33" s="74"/>
      <c r="P33" s="74"/>
      <c r="Q33" s="81"/>
    </row>
    <row r="34" spans="1:17" ht="136.5" customHeight="1">
      <c r="A34" s="30" t="str">
        <v>Stockbridge – 92 State Line Road Truck Stop</v>
      </c>
      <c r="B34" s="27" t="str">
        <v>MA</v>
      </c>
      <c r="C34" s="24"/>
      <c r="D34" s="13"/>
      <c r="E34" s="13" t="str">
        <f t="shared" si="4"/>
        <v/>
      </c>
      <c r="F34" s="14" t="str">
        <f t="shared" si="5"/>
        <v/>
      </c>
      <c r="G34" s="15"/>
      <c r="H34" s="15" t="str">
        <f t="shared" si="6"/>
        <v/>
      </c>
      <c r="I34" s="16" t="str">
        <f t="shared" si="7"/>
        <v/>
      </c>
      <c r="J34" s="38"/>
      <c r="K34" s="69"/>
      <c r="L34" s="74"/>
      <c r="M34" s="74"/>
      <c r="N34" s="74"/>
    </row>
    <row r="35" spans="1:17" ht="60.75" customHeight="1">
      <c r="A35" s="28" t="str">
        <v>NY: New Windsor - Moores Hill</v>
      </c>
      <c r="B35" s="29" t="str">
        <v>NY</v>
      </c>
      <c r="C35" s="11"/>
      <c r="D35" s="18"/>
      <c r="E35" s="18" t="str">
        <f t="shared" si="4"/>
        <v/>
      </c>
      <c r="F35" s="52" t="str">
        <f t="shared" si="5"/>
        <v/>
      </c>
      <c r="G35" s="20"/>
      <c r="H35" s="50" t="str">
        <f t="shared" si="6"/>
        <v/>
      </c>
      <c r="I35" s="52" t="str">
        <f t="shared" si="7"/>
        <v/>
      </c>
      <c r="J35" s="48"/>
      <c r="K35" s="71"/>
      <c r="L35" s="74"/>
      <c r="M35" s="74"/>
    </row>
    <row r="36" spans="1:17" ht="14.45">
      <c r="A36" s="21"/>
      <c r="B36" s="31"/>
      <c r="C36" s="21"/>
      <c r="D36" s="21"/>
      <c r="E36" s="21"/>
      <c r="F36" s="22"/>
      <c r="G36" s="21"/>
      <c r="H36" s="21"/>
      <c r="I36" s="22"/>
      <c r="J36" s="21"/>
      <c r="K36" s="21"/>
    </row>
    <row r="37" spans="1:17" ht="14.45">
      <c r="A37" s="21"/>
      <c r="B37" s="31"/>
      <c r="C37" s="21"/>
      <c r="D37" s="21"/>
      <c r="E37" s="21"/>
      <c r="F37" s="22"/>
      <c r="G37" s="21"/>
      <c r="H37" s="21"/>
      <c r="I37" s="22"/>
      <c r="J37" s="21"/>
      <c r="K37" s="21"/>
    </row>
    <row r="38" spans="1:17" ht="14.45">
      <c r="A38" s="21"/>
      <c r="B38" s="31"/>
      <c r="C38" s="21"/>
      <c r="D38" s="21"/>
      <c r="E38" s="21"/>
      <c r="F38" s="22"/>
      <c r="G38" s="21"/>
      <c r="H38" s="21"/>
      <c r="I38" s="22"/>
      <c r="J38" s="21"/>
      <c r="K38" s="21"/>
    </row>
    <row r="39" spans="1:17" ht="14.45">
      <c r="A39" s="21"/>
      <c r="B39" s="31"/>
      <c r="C39" s="21"/>
      <c r="D39" s="21"/>
      <c r="E39" s="21"/>
      <c r="F39" s="22"/>
      <c r="G39" s="21"/>
      <c r="H39" s="21"/>
      <c r="I39" s="22"/>
      <c r="J39" s="21"/>
      <c r="K39" s="21"/>
    </row>
    <row r="40" spans="1:17" ht="14.45">
      <c r="A40" s="21"/>
      <c r="B40" s="31"/>
      <c r="C40" s="21"/>
      <c r="D40" s="21"/>
      <c r="E40" s="21"/>
      <c r="F40" s="22"/>
      <c r="G40" s="21"/>
      <c r="H40" s="21"/>
      <c r="I40" s="22"/>
      <c r="J40" s="21"/>
      <c r="K40" s="21"/>
    </row>
    <row r="41" spans="1:17" ht="14.45">
      <c r="A41" s="21"/>
      <c r="B41" s="31"/>
      <c r="C41" s="21"/>
      <c r="D41" s="21"/>
      <c r="E41" s="21"/>
      <c r="F41" s="22"/>
      <c r="G41" s="21"/>
      <c r="H41" s="21"/>
      <c r="I41" s="22"/>
      <c r="J41" s="21"/>
      <c r="K41" s="21"/>
    </row>
    <row r="42" spans="1:17" ht="14.45">
      <c r="A42" s="21"/>
      <c r="B42" s="31"/>
      <c r="C42" s="21"/>
      <c r="D42" s="21"/>
      <c r="E42" s="21"/>
      <c r="F42" s="22"/>
      <c r="G42" s="21"/>
      <c r="H42" s="21"/>
      <c r="I42" s="22"/>
      <c r="J42" s="21"/>
      <c r="K42" s="21"/>
    </row>
    <row r="43" spans="1:17" ht="14.45">
      <c r="A43" s="21"/>
      <c r="B43" s="31"/>
      <c r="C43" s="21"/>
      <c r="D43" s="21"/>
      <c r="E43" s="21"/>
      <c r="F43" s="22"/>
      <c r="G43" s="21"/>
      <c r="H43" s="21"/>
      <c r="I43" s="22"/>
      <c r="J43" s="21"/>
      <c r="K43" s="21"/>
    </row>
    <row r="44" spans="1:17" ht="14.45">
      <c r="A44" s="21"/>
      <c r="B44" s="31"/>
      <c r="C44" s="21"/>
      <c r="D44" s="21"/>
      <c r="E44" s="21"/>
      <c r="F44" s="22"/>
      <c r="G44" s="21"/>
      <c r="H44" s="21"/>
      <c r="I44" s="22"/>
      <c r="J44" s="21"/>
      <c r="K44" s="21"/>
    </row>
    <row r="45" spans="1:17" ht="14.45">
      <c r="A45" s="21"/>
      <c r="B45" s="31"/>
      <c r="C45" s="21"/>
      <c r="D45" s="21"/>
      <c r="E45" s="21"/>
      <c r="F45" s="22"/>
      <c r="G45" s="21"/>
      <c r="H45" s="21"/>
      <c r="I45" s="22"/>
      <c r="J45" s="21"/>
      <c r="K45" s="21"/>
    </row>
    <row r="46" spans="1:17" ht="14.45">
      <c r="A46" s="21"/>
      <c r="B46" s="31"/>
      <c r="C46" s="21"/>
      <c r="D46" s="21"/>
      <c r="E46" s="21"/>
      <c r="F46" s="22"/>
      <c r="G46" s="21"/>
      <c r="H46" s="21"/>
      <c r="I46" s="22"/>
      <c r="J46" s="21"/>
      <c r="K46" s="21"/>
    </row>
    <row r="47" spans="1:17" ht="14.45">
      <c r="A47" s="21"/>
      <c r="B47" s="31"/>
      <c r="C47" s="21"/>
      <c r="D47" s="21"/>
      <c r="E47" s="21"/>
      <c r="F47" s="22"/>
      <c r="G47" s="21"/>
      <c r="H47" s="21"/>
      <c r="I47" s="22"/>
      <c r="J47" s="21"/>
      <c r="K47" s="21"/>
    </row>
    <row r="48" spans="1:17"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3 I4:I103">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V345"/>
  <sheetViews>
    <sheetView zoomScale="60" zoomScaleNormal="60" workbookViewId="0">
      <pane xSplit="2" ySplit="3" topLeftCell="C22"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73"/>
  </cols>
  <sheetData>
    <row r="1" spans="1:18" ht="19.5" customHeight="1">
      <c r="A1" s="124" t="str" cm="1">
        <f t="array" ref="A1">portfolio</f>
        <v>Lodestar</v>
      </c>
      <c r="B1" s="124"/>
      <c r="C1" s="124"/>
      <c r="D1" s="125" t="s">
        <v>166</v>
      </c>
      <c r="E1" s="125"/>
      <c r="F1" s="125"/>
      <c r="G1" s="123" t="s">
        <v>167</v>
      </c>
      <c r="H1" s="123"/>
      <c r="I1" s="123"/>
      <c r="J1" s="4"/>
      <c r="K1" s="4"/>
    </row>
    <row r="2" spans="1:18"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8" ht="14.25" customHeight="1">
      <c r="A3" s="8" t="s">
        <v>3</v>
      </c>
      <c r="B3" s="8" t="s">
        <v>4</v>
      </c>
      <c r="C3" s="23" t="s">
        <v>5</v>
      </c>
      <c r="D3" s="33" t="s">
        <v>6</v>
      </c>
      <c r="E3" s="33" t="s">
        <v>7</v>
      </c>
      <c r="F3" s="34" t="s">
        <v>8</v>
      </c>
      <c r="G3" s="35" t="s">
        <v>9</v>
      </c>
      <c r="H3" s="36" t="s">
        <v>7</v>
      </c>
      <c r="I3" s="37" t="s">
        <v>8</v>
      </c>
      <c r="J3" s="25" t="s">
        <v>20</v>
      </c>
      <c r="K3" s="25" t="s">
        <v>21</v>
      </c>
    </row>
    <row r="4" spans="1:18" ht="30" customHeight="1">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row>
    <row r="5" spans="1:18"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47"/>
      <c r="K5" s="71"/>
      <c r="L5" s="74"/>
    </row>
    <row r="6" spans="1:18" ht="105.75" customHeight="1">
      <c r="A6" s="30" t="str">
        <v>Norcap North</v>
      </c>
      <c r="B6" s="27" t="str">
        <v>CT</v>
      </c>
      <c r="C6" s="24"/>
      <c r="D6" s="13"/>
      <c r="E6" s="13" t="str">
        <f t="shared" si="0"/>
        <v/>
      </c>
      <c r="F6" s="14" t="str">
        <f t="shared" ref="F6:F14" si="3">IFERROR(E6/D6, "")</f>
        <v/>
      </c>
      <c r="G6" s="15"/>
      <c r="H6" s="15" t="str">
        <f t="shared" si="1"/>
        <v/>
      </c>
      <c r="I6" s="16" t="str">
        <f t="shared" si="2"/>
        <v/>
      </c>
      <c r="J6" s="38"/>
      <c r="K6" s="69"/>
      <c r="L6" s="74"/>
      <c r="M6" s="74"/>
      <c r="N6" s="74"/>
      <c r="O6" s="74"/>
    </row>
    <row r="7" spans="1:18" ht="15.6">
      <c r="A7" s="28" t="str">
        <v>Norcap South</v>
      </c>
      <c r="B7" s="29" t="str">
        <v>CT</v>
      </c>
      <c r="C7" s="11"/>
      <c r="D7" s="18"/>
      <c r="E7" s="18" t="str">
        <f t="shared" si="0"/>
        <v/>
      </c>
      <c r="F7" s="19" t="str">
        <f t="shared" si="3"/>
        <v/>
      </c>
      <c r="G7" s="20"/>
      <c r="H7" s="20" t="str">
        <f t="shared" si="1"/>
        <v/>
      </c>
      <c r="I7" s="19" t="str">
        <f t="shared" si="2"/>
        <v/>
      </c>
      <c r="J7" s="39"/>
      <c r="K7" s="72"/>
    </row>
    <row r="8" spans="1:18" ht="15.6">
      <c r="A8" s="30" t="str">
        <v>Platt Hill</v>
      </c>
      <c r="B8" s="27" t="str">
        <v>CT</v>
      </c>
      <c r="C8" s="24"/>
      <c r="D8" s="13"/>
      <c r="E8" s="13" t="str">
        <f t="shared" si="0"/>
        <v/>
      </c>
      <c r="F8" s="14" t="str">
        <f t="shared" si="3"/>
        <v/>
      </c>
      <c r="G8" s="15"/>
      <c r="H8" s="15" t="str">
        <f t="shared" si="1"/>
        <v/>
      </c>
      <c r="I8" s="16" t="str">
        <f t="shared" si="2"/>
        <v/>
      </c>
      <c r="J8" s="38"/>
      <c r="K8" s="69"/>
    </row>
    <row r="9" spans="1:18" ht="15.6">
      <c r="A9" s="28" t="str">
        <v>Powder Hill</v>
      </c>
      <c r="B9" s="29" t="str">
        <v>CT</v>
      </c>
      <c r="C9" s="11"/>
      <c r="D9" s="18"/>
      <c r="E9" s="18" t="str">
        <f t="shared" si="0"/>
        <v/>
      </c>
      <c r="F9" s="19" t="str">
        <f t="shared" si="3"/>
        <v/>
      </c>
      <c r="G9" s="20"/>
      <c r="H9" s="20" t="str">
        <f t="shared" si="1"/>
        <v/>
      </c>
      <c r="I9" s="19" t="str">
        <f t="shared" si="2"/>
        <v/>
      </c>
      <c r="J9" s="39"/>
      <c r="K9" s="71"/>
      <c r="L9" s="74"/>
      <c r="M9" s="74"/>
      <c r="N9" s="74"/>
      <c r="O9" s="74"/>
      <c r="P9" s="74"/>
      <c r="Q9" s="74"/>
      <c r="R9" s="74"/>
    </row>
    <row r="10" spans="1:18" ht="15.6">
      <c r="A10" s="30" t="str">
        <v>Sand Road</v>
      </c>
      <c r="B10" s="27" t="str">
        <v>CT</v>
      </c>
      <c r="C10" s="24"/>
      <c r="D10" s="13"/>
      <c r="E10" s="13" t="str">
        <f t="shared" si="0"/>
        <v/>
      </c>
      <c r="F10" s="14" t="str">
        <f t="shared" si="3"/>
        <v/>
      </c>
      <c r="G10" s="15"/>
      <c r="H10" s="15" t="str">
        <f t="shared" si="1"/>
        <v/>
      </c>
      <c r="I10" s="16" t="str">
        <f t="shared" si="2"/>
        <v/>
      </c>
      <c r="J10" s="38"/>
      <c r="K10" s="69"/>
      <c r="L10" s="74"/>
    </row>
    <row r="11" spans="1:18" ht="15.6">
      <c r="A11" s="28" t="str">
        <v>Suffield</v>
      </c>
      <c r="B11" s="29" t="str">
        <v>CT</v>
      </c>
      <c r="C11" s="11"/>
      <c r="D11" s="18"/>
      <c r="E11" s="18" t="str">
        <f t="shared" si="0"/>
        <v/>
      </c>
      <c r="F11" s="19" t="str">
        <f t="shared" si="3"/>
        <v/>
      </c>
      <c r="G11" s="20"/>
      <c r="H11" s="20" t="str">
        <f t="shared" si="1"/>
        <v/>
      </c>
      <c r="I11" s="19" t="str">
        <f t="shared" si="2"/>
        <v/>
      </c>
      <c r="J11" s="39"/>
      <c r="K11" s="71"/>
      <c r="L11" s="74"/>
    </row>
    <row r="12" spans="1:18" ht="120" customHeight="1">
      <c r="A12" s="30" t="str">
        <v>Ashby-Duffy</v>
      </c>
      <c r="B12" s="27" t="str">
        <v>MA</v>
      </c>
      <c r="C12" s="24"/>
      <c r="D12" s="13"/>
      <c r="E12" s="13" t="str">
        <f t="shared" si="0"/>
        <v/>
      </c>
      <c r="F12" s="14" t="str">
        <f t="shared" si="3"/>
        <v/>
      </c>
      <c r="G12" s="15"/>
      <c r="H12" s="15" t="str">
        <f t="shared" si="1"/>
        <v/>
      </c>
      <c r="I12" s="16" t="str">
        <f t="shared" si="2"/>
        <v/>
      </c>
      <c r="J12" s="38"/>
      <c r="K12" s="69"/>
      <c r="L12" s="74"/>
      <c r="M12" s="74"/>
      <c r="N12" s="74"/>
    </row>
    <row r="13" spans="1:18" ht="15.6">
      <c r="A13" s="28" t="str">
        <v>Ashland</v>
      </c>
      <c r="B13" s="29" t="str">
        <v>MA</v>
      </c>
      <c r="C13" s="11"/>
      <c r="D13" s="18"/>
      <c r="E13" s="18" t="str">
        <f t="shared" si="0"/>
        <v/>
      </c>
      <c r="F13" s="19" t="str">
        <f t="shared" si="3"/>
        <v/>
      </c>
      <c r="G13" s="20"/>
      <c r="H13" s="20" t="str">
        <f t="shared" si="1"/>
        <v/>
      </c>
      <c r="I13" s="19" t="str">
        <f t="shared" si="2"/>
        <v/>
      </c>
      <c r="J13" s="39"/>
      <c r="K13" s="71"/>
      <c r="L13" s="74"/>
    </row>
    <row r="14" spans="1:18" ht="15.6">
      <c r="A14" s="30" t="str">
        <v>Barrington</v>
      </c>
      <c r="B14" s="27" t="str">
        <v>MA</v>
      </c>
      <c r="C14" s="24"/>
      <c r="D14" s="13"/>
      <c r="E14" s="13" t="str">
        <f t="shared" si="0"/>
        <v/>
      </c>
      <c r="F14" s="14" t="str">
        <f t="shared" si="3"/>
        <v/>
      </c>
      <c r="G14" s="15"/>
      <c r="H14" s="15" t="str">
        <f t="shared" si="1"/>
        <v/>
      </c>
      <c r="I14" s="16" t="str">
        <f t="shared" si="2"/>
        <v/>
      </c>
      <c r="J14" s="38"/>
      <c r="K14" s="38"/>
    </row>
    <row r="15" spans="1:18" ht="15.6">
      <c r="A15" s="28" t="str">
        <v>Bedford - 205 Burlington Rd</v>
      </c>
      <c r="B15" s="29" t="str">
        <v>MA</v>
      </c>
      <c r="C15" s="11"/>
      <c r="D15" s="18"/>
      <c r="E15" s="18" t="str">
        <f t="shared" ref="E15:E35" si="4">IF(AND(ISNUMBER(C15),ISNUMBER(D15)), C15-D15, "")</f>
        <v/>
      </c>
      <c r="F15" s="52" t="str">
        <f t="shared" ref="F15:F35" si="5">IFERROR(E15/D15, "")</f>
        <v/>
      </c>
      <c r="G15" s="66"/>
      <c r="H15" s="50" t="str">
        <f t="shared" ref="H15:H35" si="6">IF(AND(ISNUMBER(C15),ISNUMBER(G15)), C15-G15, "")</f>
        <v/>
      </c>
      <c r="I15" s="52" t="str">
        <f t="shared" ref="I15:I35" si="7">IFERROR(H15/G15, "")</f>
        <v/>
      </c>
      <c r="J15" s="39"/>
      <c r="K15" s="71"/>
      <c r="L15" s="74"/>
    </row>
    <row r="16" spans="1:18" ht="15.6">
      <c r="A16" s="30" t="str">
        <v>Billerica - 6 Cook Street</v>
      </c>
      <c r="B16" s="27" t="str">
        <v>MA</v>
      </c>
      <c r="C16" s="24"/>
      <c r="D16" s="13"/>
      <c r="E16" s="13" t="str">
        <f t="shared" si="4"/>
        <v/>
      </c>
      <c r="F16" s="14" t="str">
        <f t="shared" si="5"/>
        <v/>
      </c>
      <c r="G16" s="67"/>
      <c r="H16" s="15" t="str">
        <f t="shared" si="6"/>
        <v/>
      </c>
      <c r="I16" s="16" t="str">
        <f t="shared" si="7"/>
        <v/>
      </c>
      <c r="J16" s="38"/>
      <c r="K16" s="38"/>
    </row>
    <row r="17" spans="1:15" ht="15.6">
      <c r="A17" s="28" t="str">
        <v>Billerica - 780 Boston Road</v>
      </c>
      <c r="B17" s="29" t="str">
        <v>MA</v>
      </c>
      <c r="C17" s="11"/>
      <c r="D17" s="18"/>
      <c r="E17" s="18" t="str">
        <f t="shared" si="4"/>
        <v/>
      </c>
      <c r="F17" s="52" t="str">
        <f t="shared" si="5"/>
        <v/>
      </c>
      <c r="G17" s="66"/>
      <c r="H17" s="50" t="str">
        <f t="shared" si="6"/>
        <v/>
      </c>
      <c r="I17" s="52" t="str">
        <f t="shared" si="7"/>
        <v/>
      </c>
      <c r="J17" s="39"/>
      <c r="K17" s="39"/>
    </row>
    <row r="18" spans="1:15" ht="53.25" customHeight="1">
      <c r="A18" s="30" t="str">
        <v>Cheshire</v>
      </c>
      <c r="B18" s="27" t="str">
        <v>MA</v>
      </c>
      <c r="C18" s="24"/>
      <c r="D18" s="13"/>
      <c r="E18" s="13" t="str">
        <f t="shared" si="4"/>
        <v/>
      </c>
      <c r="F18" s="14" t="str">
        <f t="shared" si="5"/>
        <v/>
      </c>
      <c r="G18" s="15"/>
      <c r="H18" s="15" t="str">
        <f t="shared" si="6"/>
        <v/>
      </c>
      <c r="I18" s="16" t="str">
        <f t="shared" si="7"/>
        <v/>
      </c>
      <c r="J18" s="38"/>
      <c r="K18" s="69"/>
    </row>
    <row r="19" spans="1:15" ht="15.6">
      <c r="A19" s="28" t="str">
        <v>Lilly Lane</v>
      </c>
      <c r="B19" s="29" t="str">
        <v>MA</v>
      </c>
      <c r="C19" s="11"/>
      <c r="D19" s="18"/>
      <c r="E19" s="18" t="str">
        <f t="shared" si="4"/>
        <v/>
      </c>
      <c r="F19" s="52" t="str">
        <f t="shared" si="5"/>
        <v/>
      </c>
      <c r="G19" s="20"/>
      <c r="H19" s="50" t="str">
        <f t="shared" si="6"/>
        <v/>
      </c>
      <c r="I19" s="52" t="str">
        <f t="shared" si="7"/>
        <v/>
      </c>
      <c r="J19" s="39"/>
      <c r="K19" s="71"/>
      <c r="L19" s="74"/>
      <c r="M19" s="74"/>
      <c r="N19" s="74"/>
    </row>
    <row r="20" spans="1:15" ht="157.5" customHeight="1">
      <c r="A20" s="55" t="str">
        <v>Monument Valley</v>
      </c>
      <c r="B20" s="27" t="str">
        <v>MA</v>
      </c>
      <c r="C20" s="24"/>
      <c r="D20" s="13"/>
      <c r="E20" s="13" t="str">
        <f t="shared" si="4"/>
        <v/>
      </c>
      <c r="F20" s="14" t="str">
        <f t="shared" si="5"/>
        <v/>
      </c>
      <c r="G20" s="15"/>
      <c r="H20" s="15" t="str">
        <f t="shared" si="6"/>
        <v/>
      </c>
      <c r="I20" s="16" t="str">
        <f t="shared" si="7"/>
        <v/>
      </c>
      <c r="J20" s="38"/>
      <c r="K20" s="69"/>
      <c r="L20" s="74"/>
      <c r="M20" s="74"/>
      <c r="N20" s="74"/>
      <c r="O20" s="74"/>
    </row>
    <row r="21" spans="1:15" ht="15.6">
      <c r="A21" s="28" t="str">
        <v>Nationwide</v>
      </c>
      <c r="B21" s="29" t="str">
        <v>MA</v>
      </c>
      <c r="C21" s="11"/>
      <c r="D21" s="18"/>
      <c r="E21" s="18" t="str">
        <f t="shared" si="4"/>
        <v/>
      </c>
      <c r="F21" s="52" t="str">
        <f t="shared" si="5"/>
        <v/>
      </c>
      <c r="G21" s="20"/>
      <c r="H21" s="50" t="str">
        <f t="shared" si="6"/>
        <v/>
      </c>
      <c r="I21" s="52" t="str">
        <f t="shared" si="7"/>
        <v/>
      </c>
      <c r="J21" s="39"/>
      <c r="K21" s="71"/>
      <c r="L21" s="74"/>
    </row>
    <row r="22" spans="1:15" ht="81" customHeight="1">
      <c r="A22" s="30" t="str">
        <v>Pulpit Hill</v>
      </c>
      <c r="B22" s="27" t="str">
        <v>MA</v>
      </c>
      <c r="C22" s="24"/>
      <c r="D22" s="13"/>
      <c r="E22" s="13" t="str">
        <f t="shared" si="4"/>
        <v/>
      </c>
      <c r="F22" s="14" t="str">
        <f t="shared" si="5"/>
        <v/>
      </c>
      <c r="G22" s="15"/>
      <c r="H22" s="15" t="str">
        <f t="shared" si="6"/>
        <v/>
      </c>
      <c r="I22" s="16" t="str">
        <f t="shared" si="7"/>
        <v/>
      </c>
      <c r="J22" s="38"/>
      <c r="K22" s="69"/>
      <c r="L22" s="74"/>
    </row>
    <row r="23" spans="1:15" ht="15.6">
      <c r="A23" s="28" t="str">
        <v>Sandwich</v>
      </c>
      <c r="B23" s="29" t="str">
        <v>MA</v>
      </c>
      <c r="C23" s="11"/>
      <c r="D23" s="18"/>
      <c r="E23" s="18" t="str">
        <f t="shared" si="4"/>
        <v/>
      </c>
      <c r="F23" s="52" t="str">
        <f t="shared" si="5"/>
        <v/>
      </c>
      <c r="G23" s="20"/>
      <c r="H23" s="50" t="str">
        <f t="shared" si="6"/>
        <v/>
      </c>
      <c r="I23" s="52" t="str">
        <f t="shared" si="7"/>
        <v/>
      </c>
      <c r="J23" s="39"/>
      <c r="K23" s="71"/>
      <c r="L23" s="74"/>
    </row>
    <row r="24" spans="1:15" ht="15.6">
      <c r="A24" s="55" t="str">
        <v>Sturbridge Barn</v>
      </c>
      <c r="B24" s="27" t="str">
        <v>MA</v>
      </c>
      <c r="C24" s="24"/>
      <c r="D24" s="13"/>
      <c r="E24" s="13" t="str">
        <f t="shared" si="4"/>
        <v/>
      </c>
      <c r="F24" s="14" t="str">
        <f t="shared" si="5"/>
        <v/>
      </c>
      <c r="G24" s="15"/>
      <c r="H24" s="15" t="str">
        <f t="shared" si="6"/>
        <v/>
      </c>
      <c r="I24" s="16" t="str">
        <f t="shared" si="7"/>
        <v/>
      </c>
      <c r="J24" s="38"/>
      <c r="K24" s="69"/>
      <c r="L24" s="74"/>
      <c r="M24" s="74"/>
      <c r="N24" s="74"/>
    </row>
    <row r="25" spans="1:15" ht="15.6">
      <c r="A25" s="28" t="str">
        <v>Sturbridge Garage</v>
      </c>
      <c r="B25" s="29" t="str">
        <v>MA</v>
      </c>
      <c r="C25" s="11"/>
      <c r="D25" s="18"/>
      <c r="E25" s="18" t="str">
        <f t="shared" si="4"/>
        <v/>
      </c>
      <c r="F25" s="52" t="str">
        <f t="shared" si="5"/>
        <v/>
      </c>
      <c r="G25" s="20"/>
      <c r="H25" s="50" t="str">
        <f t="shared" si="6"/>
        <v/>
      </c>
      <c r="I25" s="52" t="str">
        <f t="shared" si="7"/>
        <v/>
      </c>
      <c r="J25" s="39"/>
      <c r="K25" s="39"/>
    </row>
    <row r="26" spans="1:15" ht="15.6">
      <c r="A26" s="30" t="str">
        <v>Halsey Valley</v>
      </c>
      <c r="B26" s="27" t="str">
        <v>NY</v>
      </c>
      <c r="C26" s="24"/>
      <c r="D26" s="13"/>
      <c r="E26" s="13" t="str">
        <f t="shared" si="4"/>
        <v/>
      </c>
      <c r="F26" s="14" t="str">
        <f t="shared" si="5"/>
        <v/>
      </c>
      <c r="G26" s="15"/>
      <c r="H26" s="15" t="str">
        <f t="shared" si="6"/>
        <v/>
      </c>
      <c r="I26" s="16" t="str">
        <f t="shared" si="7"/>
        <v/>
      </c>
      <c r="J26" s="38"/>
      <c r="K26" s="69"/>
    </row>
    <row r="27" spans="1:15" ht="15.6">
      <c r="A27" s="28" t="str">
        <v>Hunt Creek</v>
      </c>
      <c r="B27" s="29" t="str">
        <v>NY</v>
      </c>
      <c r="C27" s="11"/>
      <c r="D27" s="18"/>
      <c r="E27" s="18" t="str">
        <f t="shared" si="4"/>
        <v/>
      </c>
      <c r="F27" s="52" t="str">
        <f t="shared" si="5"/>
        <v/>
      </c>
      <c r="G27" s="20"/>
      <c r="H27" s="50" t="str">
        <f t="shared" si="6"/>
        <v/>
      </c>
      <c r="I27" s="52" t="str">
        <f t="shared" si="7"/>
        <v/>
      </c>
      <c r="J27" s="39"/>
      <c r="K27" s="71"/>
      <c r="L27" s="74"/>
      <c r="M27" s="74"/>
    </row>
    <row r="28" spans="1:15" ht="15.6">
      <c r="A28" s="30" t="str">
        <v>Smith Creek</v>
      </c>
      <c r="B28" s="27" t="str">
        <v>NY</v>
      </c>
      <c r="C28" s="24"/>
      <c r="D28" s="13"/>
      <c r="E28" s="13" t="str">
        <f t="shared" si="4"/>
        <v/>
      </c>
      <c r="F28" s="14" t="str">
        <f t="shared" si="5"/>
        <v/>
      </c>
      <c r="G28" s="15"/>
      <c r="H28" s="15" t="str">
        <f t="shared" si="6"/>
        <v/>
      </c>
      <c r="I28" s="16" t="str">
        <f t="shared" si="7"/>
        <v/>
      </c>
      <c r="J28" s="38"/>
      <c r="K28" s="38"/>
    </row>
    <row r="29" spans="1:15" ht="15.6">
      <c r="A29" s="28" t="str">
        <v>Bradford - 256 Presidential Dr</v>
      </c>
      <c r="B29" s="29" t="str">
        <v>MA</v>
      </c>
      <c r="C29" s="11"/>
      <c r="D29" s="18"/>
      <c r="E29" s="18" t="str">
        <f t="shared" si="4"/>
        <v/>
      </c>
      <c r="F29" s="52" t="str">
        <f t="shared" si="5"/>
        <v/>
      </c>
      <c r="G29" s="20"/>
      <c r="H29" s="50" t="str">
        <f t="shared" si="6"/>
        <v/>
      </c>
      <c r="I29" s="52" t="str">
        <f t="shared" si="7"/>
        <v/>
      </c>
      <c r="J29" s="39"/>
      <c r="K29" s="71"/>
      <c r="L29" s="74"/>
      <c r="M29" s="74"/>
    </row>
    <row r="30" spans="1:15" ht="15.6">
      <c r="A30" s="30" t="str">
        <v>Charlton – 111 Brookfield Road - Bus Lot</v>
      </c>
      <c r="B30" s="27" t="str">
        <v>MA</v>
      </c>
      <c r="C30" s="24"/>
      <c r="D30" s="13"/>
      <c r="E30" s="13" t="str">
        <f t="shared" si="4"/>
        <v/>
      </c>
      <c r="F30" s="14" t="str">
        <f t="shared" si="5"/>
        <v/>
      </c>
      <c r="G30" s="15"/>
      <c r="H30" s="15" t="str">
        <f t="shared" si="6"/>
        <v/>
      </c>
      <c r="I30" s="16" t="str">
        <f t="shared" si="7"/>
        <v/>
      </c>
      <c r="J30" s="38"/>
      <c r="K30" s="69"/>
    </row>
    <row r="31" spans="1:15" ht="15.6">
      <c r="A31" s="28" t="str">
        <v>Charlton – 154 Center Depot Road KMARD</v>
      </c>
      <c r="B31" s="29" t="str">
        <v>MA</v>
      </c>
      <c r="C31" s="11"/>
      <c r="D31" s="18"/>
      <c r="E31" s="18" t="str">
        <f t="shared" si="4"/>
        <v/>
      </c>
      <c r="F31" s="52" t="str">
        <f t="shared" si="5"/>
        <v/>
      </c>
      <c r="G31" s="20"/>
      <c r="H31" s="50" t="str">
        <f t="shared" si="6"/>
        <v/>
      </c>
      <c r="I31" s="52" t="str">
        <f t="shared" si="7"/>
        <v/>
      </c>
      <c r="J31" s="39"/>
      <c r="K31" s="71"/>
      <c r="L31" s="74"/>
      <c r="M31" s="74"/>
    </row>
    <row r="32" spans="1:15" ht="15.6">
      <c r="A32" s="30" t="str">
        <v>Charlton – 142A Brookfield Rd (Mitchell)</v>
      </c>
      <c r="B32" s="27" t="str">
        <v>MA</v>
      </c>
      <c r="C32" s="24"/>
      <c r="D32" s="13"/>
      <c r="E32" s="13" t="str">
        <f t="shared" si="4"/>
        <v/>
      </c>
      <c r="F32" s="14" t="str">
        <f t="shared" si="5"/>
        <v/>
      </c>
      <c r="G32" s="15"/>
      <c r="H32" s="15" t="str">
        <f t="shared" si="6"/>
        <v/>
      </c>
      <c r="I32" s="16" t="str">
        <f t="shared" si="7"/>
        <v/>
      </c>
      <c r="J32" s="38"/>
      <c r="K32" s="69"/>
      <c r="L32" s="74"/>
      <c r="M32" s="74"/>
    </row>
    <row r="33" spans="1:21" ht="15.6">
      <c r="A33" s="28" t="str">
        <v>Great Barrington – 3 Nolan  Drive</v>
      </c>
      <c r="B33" s="29" t="str">
        <v>MA</v>
      </c>
      <c r="C33" s="11"/>
      <c r="D33" s="18"/>
      <c r="E33" s="18" t="str">
        <f t="shared" si="4"/>
        <v/>
      </c>
      <c r="F33" s="52" t="str">
        <f t="shared" si="5"/>
        <v/>
      </c>
      <c r="G33" s="20"/>
      <c r="H33" s="50" t="str">
        <f t="shared" si="6"/>
        <v/>
      </c>
      <c r="I33" s="52" t="str">
        <f t="shared" si="7"/>
        <v/>
      </c>
      <c r="J33" s="39"/>
      <c r="K33" s="71"/>
      <c r="L33" s="74"/>
      <c r="M33" s="74"/>
      <c r="N33" s="74"/>
      <c r="O33" s="74"/>
      <c r="P33" s="74"/>
      <c r="Q33" s="74"/>
      <c r="R33" s="74"/>
      <c r="S33" s="74"/>
      <c r="T33" s="74"/>
      <c r="U33" s="74"/>
    </row>
    <row r="34" spans="1:21" ht="15.6">
      <c r="A34" s="55" t="str">
        <v>Stockbridge – 92 State Line Road Truck Stop</v>
      </c>
      <c r="B34" s="27" t="str">
        <v>MA</v>
      </c>
      <c r="C34" s="24"/>
      <c r="D34" s="13"/>
      <c r="E34" s="13" t="str">
        <f t="shared" si="4"/>
        <v/>
      </c>
      <c r="F34" s="14" t="str">
        <f t="shared" si="5"/>
        <v/>
      </c>
      <c r="G34" s="15"/>
      <c r="H34" s="15" t="str">
        <f t="shared" si="6"/>
        <v/>
      </c>
      <c r="I34" s="16" t="str">
        <f t="shared" si="7"/>
        <v/>
      </c>
      <c r="J34" s="38"/>
      <c r="K34" s="69"/>
      <c r="L34" s="74"/>
      <c r="M34" s="74"/>
      <c r="N34" s="74"/>
      <c r="O34" s="74"/>
      <c r="P34" s="74"/>
      <c r="Q34" s="74"/>
      <c r="R34" s="74"/>
    </row>
    <row r="35" spans="1:21" ht="15.6">
      <c r="A35" s="28" t="str">
        <v>NY: New Windsor - Moores Hill</v>
      </c>
      <c r="B35" s="29" t="str">
        <v>NY</v>
      </c>
      <c r="C35" s="11"/>
      <c r="D35" s="18"/>
      <c r="E35" s="18" t="str">
        <f t="shared" si="4"/>
        <v/>
      </c>
      <c r="F35" s="52" t="str">
        <f t="shared" si="5"/>
        <v/>
      </c>
      <c r="G35" s="20"/>
      <c r="H35" s="50" t="str">
        <f t="shared" si="6"/>
        <v/>
      </c>
      <c r="I35" s="52" t="str">
        <f t="shared" si="7"/>
        <v/>
      </c>
      <c r="J35" s="39"/>
      <c r="K35" s="71"/>
      <c r="L35" s="74"/>
      <c r="M35" s="74"/>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AC345"/>
  <sheetViews>
    <sheetView zoomScale="60" zoomScaleNormal="60" workbookViewId="0">
      <pane xSplit="2" ySplit="3" topLeftCell="C23" activePane="bottomRight" state="frozen"/>
      <selection pane="bottomRight" activeCell="AF63" sqref="AF63"/>
      <selection pane="bottomLeft" activeCell="AF63" sqref="AF63"/>
      <selection pane="topRight" activeCell="AF63" sqref="AF63"/>
    </sheetView>
  </sheetViews>
  <sheetFormatPr defaultRowHeight="14.25" customHeight="1"/>
  <cols>
    <col min="1" max="1" width="35.85546875" style="88"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91.7109375" style="92" customWidth="1"/>
    <col min="11" max="11" width="22.42578125" style="98" customWidth="1"/>
    <col min="12" max="12" width="15.140625" style="98" customWidth="1"/>
    <col min="13" max="29" width="8.85546875" style="73"/>
  </cols>
  <sheetData>
    <row r="1" spans="1:16" ht="19.5" customHeight="1">
      <c r="A1" s="124" t="str" cm="1">
        <f t="array" ref="A1">portfolio</f>
        <v>Lodestar</v>
      </c>
      <c r="B1" s="124"/>
      <c r="C1" s="124"/>
      <c r="D1" s="125" t="s">
        <v>168</v>
      </c>
      <c r="E1" s="125"/>
      <c r="F1" s="125"/>
      <c r="G1" s="123" t="s">
        <v>169</v>
      </c>
      <c r="H1" s="123"/>
      <c r="I1" s="123"/>
      <c r="J1" s="89"/>
      <c r="K1" s="95"/>
      <c r="L1" s="114"/>
    </row>
    <row r="2" spans="1:16" ht="19.5" customHeight="1">
      <c r="A2" s="126" t="s">
        <v>2</v>
      </c>
      <c r="B2" s="126"/>
      <c r="C2" s="5">
        <f>SUM(C4:C103)</f>
        <v>0</v>
      </c>
      <c r="D2" s="5">
        <f>SUM(D4:D103)</f>
        <v>0</v>
      </c>
      <c r="E2" s="5">
        <f>C2-D2</f>
        <v>0</v>
      </c>
      <c r="F2" s="6">
        <f>IFERROR(E2/D2, 0)</f>
        <v>0</v>
      </c>
      <c r="G2" s="5">
        <f>SUM(G4:G103)</f>
        <v>0</v>
      </c>
      <c r="H2" s="7">
        <f>C2-G2</f>
        <v>0</v>
      </c>
      <c r="I2" s="6">
        <f>IFERROR(H2/G2, 0)</f>
        <v>0</v>
      </c>
      <c r="J2" s="90"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95"/>
      <c r="L2" s="114"/>
    </row>
    <row r="3" spans="1:16" ht="14.25" customHeight="1">
      <c r="A3" s="86" t="s">
        <v>3</v>
      </c>
      <c r="B3" s="8" t="s">
        <v>4</v>
      </c>
      <c r="C3" s="23" t="s">
        <v>5</v>
      </c>
      <c r="D3" s="33" t="s">
        <v>6</v>
      </c>
      <c r="E3" s="33" t="s">
        <v>7</v>
      </c>
      <c r="F3" s="34" t="s">
        <v>8</v>
      </c>
      <c r="G3" s="35" t="s">
        <v>9</v>
      </c>
      <c r="H3" s="36" t="s">
        <v>7</v>
      </c>
      <c r="I3" s="37" t="s">
        <v>8</v>
      </c>
      <c r="J3" s="91" t="s">
        <v>20</v>
      </c>
      <c r="K3" s="96" t="s">
        <v>21</v>
      </c>
      <c r="L3" s="96" t="s">
        <v>170</v>
      </c>
    </row>
    <row r="4" spans="1:16" ht="62.25" customHeight="1">
      <c r="A4" s="87"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59"/>
      <c r="K4" s="69"/>
      <c r="L4" s="59"/>
      <c r="M4" s="74"/>
    </row>
    <row r="5" spans="1:16" ht="14.45">
      <c r="A5" s="110"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111"/>
      <c r="K5" s="71"/>
      <c r="L5" s="112"/>
      <c r="M5" s="74"/>
    </row>
    <row r="6" spans="1:16" ht="115.5" customHeight="1">
      <c r="A6" s="87" t="str">
        <v>Norcap North</v>
      </c>
      <c r="B6" s="27" t="str">
        <v>CT</v>
      </c>
      <c r="C6" s="24"/>
      <c r="D6" s="13"/>
      <c r="E6" s="13" t="str">
        <f t="shared" si="0"/>
        <v/>
      </c>
      <c r="F6" s="14" t="str">
        <f t="shared" ref="F6:F14" si="3">IFERROR(E6/D6, "")</f>
        <v/>
      </c>
      <c r="G6" s="15"/>
      <c r="H6" s="15" t="str">
        <f t="shared" si="1"/>
        <v/>
      </c>
      <c r="I6" s="16" t="str">
        <f t="shared" si="2"/>
        <v/>
      </c>
      <c r="J6" s="59"/>
      <c r="K6" s="69"/>
      <c r="L6" s="59"/>
      <c r="M6" s="74"/>
      <c r="N6" s="74"/>
      <c r="O6" s="74"/>
    </row>
    <row r="7" spans="1:16" ht="36.75" customHeight="1">
      <c r="A7" s="110" t="str">
        <v>Norcap South</v>
      </c>
      <c r="B7" s="29" t="str">
        <v>CT</v>
      </c>
      <c r="C7" s="11"/>
      <c r="D7" s="18"/>
      <c r="E7" s="18" t="str">
        <f t="shared" si="0"/>
        <v/>
      </c>
      <c r="F7" s="19" t="str">
        <f t="shared" si="3"/>
        <v/>
      </c>
      <c r="G7" s="20"/>
      <c r="H7" s="20" t="str">
        <f t="shared" si="1"/>
        <v/>
      </c>
      <c r="I7" s="19" t="str">
        <f t="shared" si="2"/>
        <v/>
      </c>
      <c r="J7" s="113"/>
      <c r="K7" s="71"/>
      <c r="L7" s="112"/>
    </row>
    <row r="8" spans="1:16" ht="57.75" customHeight="1">
      <c r="A8" s="87" t="str">
        <v>Platt Hill</v>
      </c>
      <c r="B8" s="27" t="str">
        <v>CT</v>
      </c>
      <c r="C8" s="24"/>
      <c r="D8" s="13"/>
      <c r="E8" s="13" t="str">
        <f t="shared" si="0"/>
        <v/>
      </c>
      <c r="F8" s="14" t="str">
        <f t="shared" si="3"/>
        <v/>
      </c>
      <c r="G8" s="15"/>
      <c r="H8" s="15" t="str">
        <f t="shared" si="1"/>
        <v/>
      </c>
      <c r="I8" s="16" t="str">
        <f t="shared" si="2"/>
        <v/>
      </c>
      <c r="J8" s="59"/>
      <c r="K8" s="69"/>
      <c r="L8" s="59"/>
    </row>
    <row r="9" spans="1:16" ht="14.45">
      <c r="A9" s="110" t="str">
        <v>Powder Hill</v>
      </c>
      <c r="B9" s="29" t="str">
        <v>CT</v>
      </c>
      <c r="C9" s="11"/>
      <c r="D9" s="18"/>
      <c r="E9" s="18" t="str">
        <f t="shared" si="0"/>
        <v/>
      </c>
      <c r="F9" s="19" t="str">
        <f t="shared" si="3"/>
        <v/>
      </c>
      <c r="G9" s="20"/>
      <c r="H9" s="20" t="str">
        <f t="shared" si="1"/>
        <v/>
      </c>
      <c r="I9" s="19" t="str">
        <f t="shared" si="2"/>
        <v/>
      </c>
      <c r="J9" s="113"/>
      <c r="K9" s="71"/>
      <c r="L9" s="112"/>
      <c r="M9" s="74"/>
    </row>
    <row r="10" spans="1:16" ht="14.45">
      <c r="A10" s="87" t="str">
        <v>Sand Road</v>
      </c>
      <c r="B10" s="27" t="str">
        <v>CT</v>
      </c>
      <c r="C10" s="24"/>
      <c r="D10" s="13"/>
      <c r="E10" s="13" t="str">
        <f t="shared" si="0"/>
        <v/>
      </c>
      <c r="F10" s="14" t="str">
        <f t="shared" si="3"/>
        <v/>
      </c>
      <c r="G10" s="15"/>
      <c r="H10" s="15" t="str">
        <f t="shared" si="1"/>
        <v/>
      </c>
      <c r="I10" s="16" t="str">
        <f t="shared" si="2"/>
        <v/>
      </c>
      <c r="J10" s="59"/>
      <c r="K10" s="69"/>
      <c r="L10" s="59"/>
    </row>
    <row r="11" spans="1:16" ht="14.45">
      <c r="A11" s="110" t="str">
        <v>Suffield</v>
      </c>
      <c r="B11" s="29" t="str">
        <v>CT</v>
      </c>
      <c r="C11" s="11"/>
      <c r="D11" s="18"/>
      <c r="E11" s="18" t="str">
        <f t="shared" si="0"/>
        <v/>
      </c>
      <c r="F11" s="19" t="str">
        <f t="shared" si="3"/>
        <v/>
      </c>
      <c r="G11" s="20"/>
      <c r="H11" s="20" t="str">
        <f t="shared" si="1"/>
        <v/>
      </c>
      <c r="I11" s="19" t="str">
        <f t="shared" si="2"/>
        <v/>
      </c>
      <c r="J11" s="113"/>
      <c r="K11" s="71"/>
      <c r="L11" s="112"/>
      <c r="M11" s="74"/>
    </row>
    <row r="12" spans="1:16" ht="61.5" customHeight="1">
      <c r="A12" s="87" t="str">
        <v>Ashby-Duffy</v>
      </c>
      <c r="B12" s="27" t="str">
        <v>MA</v>
      </c>
      <c r="C12" s="24"/>
      <c r="D12" s="13"/>
      <c r="E12" s="13" t="str">
        <f t="shared" si="0"/>
        <v/>
      </c>
      <c r="F12" s="14" t="str">
        <f t="shared" si="3"/>
        <v/>
      </c>
      <c r="G12" s="15"/>
      <c r="H12" s="15" t="str">
        <f t="shared" si="1"/>
        <v/>
      </c>
      <c r="I12" s="16" t="str">
        <f t="shared" si="2"/>
        <v/>
      </c>
      <c r="J12" s="59"/>
      <c r="K12" s="69"/>
      <c r="L12" s="59"/>
      <c r="M12" s="74"/>
    </row>
    <row r="13" spans="1:16" ht="14.45">
      <c r="A13" s="110" t="str">
        <v>Ashland</v>
      </c>
      <c r="B13" s="29" t="str">
        <v>MA</v>
      </c>
      <c r="C13" s="11"/>
      <c r="D13" s="18"/>
      <c r="E13" s="18" t="str">
        <f t="shared" si="0"/>
        <v/>
      </c>
      <c r="F13" s="19" t="str">
        <f>IFERROR(E13/D13, "")</f>
        <v/>
      </c>
      <c r="G13" s="20"/>
      <c r="H13" s="20" t="str">
        <f t="shared" si="1"/>
        <v/>
      </c>
      <c r="I13" s="19" t="str">
        <f t="shared" si="2"/>
        <v/>
      </c>
      <c r="J13" s="113"/>
      <c r="K13" s="71"/>
      <c r="L13" s="115"/>
      <c r="M13" s="74"/>
      <c r="N13" s="74"/>
      <c r="O13" s="74"/>
      <c r="P13" s="74"/>
    </row>
    <row r="14" spans="1:16" ht="14.45">
      <c r="A14" s="87" t="str">
        <v>Barrington</v>
      </c>
      <c r="B14" s="27" t="str">
        <v>MA</v>
      </c>
      <c r="C14" s="24"/>
      <c r="D14" s="13"/>
      <c r="E14" s="13" t="str">
        <f t="shared" si="0"/>
        <v/>
      </c>
      <c r="F14" s="14" t="str">
        <f t="shared" si="3"/>
        <v/>
      </c>
      <c r="G14" s="15"/>
      <c r="H14" s="15" t="str">
        <f t="shared" si="1"/>
        <v/>
      </c>
      <c r="I14" s="16" t="str">
        <f t="shared" si="2"/>
        <v/>
      </c>
      <c r="J14" s="59"/>
      <c r="K14" s="59"/>
      <c r="L14" s="59"/>
    </row>
    <row r="15" spans="1:16" ht="14.45">
      <c r="A15" s="110" t="str">
        <v>Bedford - 205 Burlington Rd</v>
      </c>
      <c r="B15" s="29" t="str">
        <v>MA</v>
      </c>
      <c r="C15" s="11"/>
      <c r="D15" s="18"/>
      <c r="E15" s="18" t="str">
        <f t="shared" ref="E15:E35" si="4">IF(AND(ISNUMBER(C15),ISNUMBER(D15)), C15-D15, "")</f>
        <v/>
      </c>
      <c r="F15" s="19" t="str">
        <f t="shared" ref="F15:F35" si="5">IFERROR(E15/D15, "")</f>
        <v/>
      </c>
      <c r="G15" s="78"/>
      <c r="H15" s="20" t="str">
        <f t="shared" ref="H15:H35" si="6">IF(AND(ISNUMBER(C15),ISNUMBER(G15)), C15-G15, "")</f>
        <v/>
      </c>
      <c r="I15" s="19" t="str">
        <f t="shared" ref="I15:I35" si="7">IFERROR(H15/G15, "")</f>
        <v/>
      </c>
      <c r="J15" s="111"/>
      <c r="K15" s="71"/>
      <c r="L15" s="115"/>
      <c r="M15" s="74"/>
      <c r="N15" s="74"/>
    </row>
    <row r="16" spans="1:16" ht="14.45">
      <c r="A16" s="87" t="str">
        <v>Billerica - 6 Cook Street</v>
      </c>
      <c r="B16" s="27" t="str">
        <v>MA</v>
      </c>
      <c r="C16" s="24"/>
      <c r="D16" s="13"/>
      <c r="E16" s="13" t="str">
        <f t="shared" si="4"/>
        <v/>
      </c>
      <c r="F16" s="14" t="str">
        <f t="shared" si="5"/>
        <v/>
      </c>
      <c r="G16" s="79"/>
      <c r="H16" s="15" t="str">
        <f t="shared" si="6"/>
        <v/>
      </c>
      <c r="I16" s="16" t="str">
        <f t="shared" si="7"/>
        <v/>
      </c>
      <c r="J16" s="59"/>
      <c r="K16" s="59"/>
      <c r="L16" s="59"/>
    </row>
    <row r="17" spans="1:19" ht="14.45">
      <c r="A17" s="110" t="str">
        <v>Billerica - 780 Boston Road</v>
      </c>
      <c r="B17" s="29" t="str">
        <v>MA</v>
      </c>
      <c r="C17" s="11"/>
      <c r="D17" s="18"/>
      <c r="E17" s="18" t="str">
        <f t="shared" si="4"/>
        <v/>
      </c>
      <c r="F17" s="19" t="str">
        <f t="shared" si="5"/>
        <v/>
      </c>
      <c r="G17" s="78"/>
      <c r="H17" s="20" t="str">
        <f t="shared" si="6"/>
        <v/>
      </c>
      <c r="I17" s="19" t="str">
        <f t="shared" si="7"/>
        <v/>
      </c>
      <c r="J17" s="111"/>
      <c r="K17" s="112"/>
      <c r="L17" s="114"/>
    </row>
    <row r="18" spans="1:19" ht="39.75" customHeight="1">
      <c r="A18" s="87" t="str">
        <v>Cheshire</v>
      </c>
      <c r="B18" s="27" t="str">
        <v>MA</v>
      </c>
      <c r="C18" s="24"/>
      <c r="D18" s="13"/>
      <c r="E18" s="13" t="str">
        <f t="shared" si="4"/>
        <v/>
      </c>
      <c r="F18" s="14" t="str">
        <f t="shared" si="5"/>
        <v/>
      </c>
      <c r="G18" s="15"/>
      <c r="H18" s="15" t="str">
        <f t="shared" si="6"/>
        <v/>
      </c>
      <c r="I18" s="16" t="str">
        <f t="shared" si="7"/>
        <v/>
      </c>
      <c r="J18" s="59"/>
      <c r="K18" s="69"/>
      <c r="L18" s="59"/>
    </row>
    <row r="19" spans="1:19" ht="14.45">
      <c r="A19" s="110" t="str">
        <v>Lilly Lane</v>
      </c>
      <c r="B19" s="29" t="str">
        <v>MA</v>
      </c>
      <c r="C19" s="11"/>
      <c r="D19" s="18"/>
      <c r="E19" s="18" t="str">
        <f t="shared" si="4"/>
        <v/>
      </c>
      <c r="F19" s="19" t="str">
        <f t="shared" si="5"/>
        <v/>
      </c>
      <c r="G19" s="20"/>
      <c r="H19" s="20" t="str">
        <f t="shared" si="6"/>
        <v/>
      </c>
      <c r="I19" s="19" t="str">
        <f t="shared" si="7"/>
        <v/>
      </c>
      <c r="J19" s="111"/>
      <c r="K19" s="71"/>
      <c r="L19" s="112"/>
      <c r="M19" s="74"/>
      <c r="N19" s="74"/>
      <c r="O19" s="74"/>
    </row>
    <row r="20" spans="1:19" ht="14.45">
      <c r="A20" s="87" t="str">
        <v>Monument Valley</v>
      </c>
      <c r="B20" s="27" t="str">
        <v>MA</v>
      </c>
      <c r="C20" s="24"/>
      <c r="D20" s="13"/>
      <c r="E20" s="13" t="str">
        <f t="shared" si="4"/>
        <v/>
      </c>
      <c r="F20" s="14" t="str">
        <f t="shared" si="5"/>
        <v/>
      </c>
      <c r="G20" s="15"/>
      <c r="H20" s="15" t="str">
        <f t="shared" si="6"/>
        <v/>
      </c>
      <c r="I20" s="16" t="str">
        <f t="shared" si="7"/>
        <v/>
      </c>
      <c r="J20" s="59"/>
      <c r="K20" s="68"/>
      <c r="L20" s="68"/>
    </row>
    <row r="21" spans="1:19" ht="50.25" customHeight="1">
      <c r="A21" s="110" t="str">
        <v>Nationwide</v>
      </c>
      <c r="B21" s="29" t="str">
        <v>MA</v>
      </c>
      <c r="C21" s="11"/>
      <c r="D21" s="18"/>
      <c r="E21" s="18" t="str">
        <f t="shared" si="4"/>
        <v/>
      </c>
      <c r="F21" s="19" t="str">
        <f t="shared" si="5"/>
        <v/>
      </c>
      <c r="G21" s="20"/>
      <c r="H21" s="20" t="str">
        <f t="shared" si="6"/>
        <v/>
      </c>
      <c r="I21" s="19" t="str">
        <f t="shared" si="7"/>
        <v/>
      </c>
      <c r="J21" s="112"/>
      <c r="K21" s="71"/>
      <c r="L21" s="112"/>
      <c r="M21" s="74"/>
    </row>
    <row r="22" spans="1:19" ht="42.75" customHeight="1">
      <c r="A22" s="87" t="str">
        <v>Pulpit Hill</v>
      </c>
      <c r="B22" s="27" t="str">
        <v>MA</v>
      </c>
      <c r="C22" s="24"/>
      <c r="D22" s="13"/>
      <c r="E22" s="13" t="str">
        <f t="shared" si="4"/>
        <v/>
      </c>
      <c r="F22" s="14" t="str">
        <f t="shared" si="5"/>
        <v/>
      </c>
      <c r="G22" s="15"/>
      <c r="H22" s="15" t="str">
        <f t="shared" si="6"/>
        <v/>
      </c>
      <c r="I22" s="16" t="str">
        <f t="shared" si="7"/>
        <v/>
      </c>
      <c r="J22" s="59"/>
      <c r="K22" s="69"/>
      <c r="L22" s="59"/>
    </row>
    <row r="23" spans="1:19" ht="14.45">
      <c r="A23" s="110" t="str">
        <v>Sandwich</v>
      </c>
      <c r="B23" s="29" t="str">
        <v>MA</v>
      </c>
      <c r="C23" s="11"/>
      <c r="D23" s="18"/>
      <c r="E23" s="18" t="str">
        <f t="shared" si="4"/>
        <v/>
      </c>
      <c r="F23" s="19" t="str">
        <f t="shared" si="5"/>
        <v/>
      </c>
      <c r="G23" s="20"/>
      <c r="H23" s="20" t="str">
        <f t="shared" si="6"/>
        <v/>
      </c>
      <c r="I23" s="19" t="str">
        <f t="shared" si="7"/>
        <v/>
      </c>
      <c r="J23" s="111"/>
      <c r="K23" s="71"/>
      <c r="L23" s="112"/>
      <c r="M23" s="74"/>
      <c r="N23" s="74"/>
    </row>
    <row r="24" spans="1:19" ht="14.45">
      <c r="A24" s="87" t="str">
        <v>Sturbridge Barn</v>
      </c>
      <c r="B24" s="27" t="str">
        <v>MA</v>
      </c>
      <c r="C24" s="24"/>
      <c r="D24" s="13"/>
      <c r="E24" s="13" t="str">
        <f t="shared" si="4"/>
        <v/>
      </c>
      <c r="F24" s="14" t="str">
        <f t="shared" si="5"/>
        <v/>
      </c>
      <c r="G24" s="15"/>
      <c r="H24" s="15" t="str">
        <f t="shared" si="6"/>
        <v/>
      </c>
      <c r="I24" s="16" t="str">
        <f t="shared" si="7"/>
        <v/>
      </c>
      <c r="J24" s="59"/>
      <c r="K24" s="59"/>
      <c r="L24" s="59"/>
    </row>
    <row r="25" spans="1:19" ht="14.45">
      <c r="A25" s="110" t="str">
        <v>Sturbridge Garage</v>
      </c>
      <c r="B25" s="29" t="str">
        <v>MA</v>
      </c>
      <c r="C25" s="11"/>
      <c r="D25" s="18"/>
      <c r="E25" s="18" t="str">
        <f t="shared" si="4"/>
        <v/>
      </c>
      <c r="F25" s="19" t="str">
        <f t="shared" si="5"/>
        <v/>
      </c>
      <c r="G25" s="20"/>
      <c r="H25" s="20" t="str">
        <f t="shared" si="6"/>
        <v/>
      </c>
      <c r="I25" s="19" t="str">
        <f t="shared" si="7"/>
        <v/>
      </c>
      <c r="J25" s="111"/>
      <c r="K25" s="71"/>
      <c r="L25" s="115"/>
      <c r="M25" s="74"/>
      <c r="N25" s="74"/>
      <c r="O25" s="74"/>
    </row>
    <row r="26" spans="1:19" ht="14.45">
      <c r="A26" s="87" t="str">
        <v>Halsey Valley</v>
      </c>
      <c r="B26" s="27" t="str">
        <v>NY</v>
      </c>
      <c r="C26" s="24"/>
      <c r="D26" s="13"/>
      <c r="E26" s="13" t="str">
        <f t="shared" si="4"/>
        <v/>
      </c>
      <c r="F26" s="14" t="str">
        <f t="shared" si="5"/>
        <v/>
      </c>
      <c r="G26" s="15"/>
      <c r="H26" s="15" t="str">
        <f t="shared" si="6"/>
        <v/>
      </c>
      <c r="I26" s="16" t="str">
        <f t="shared" si="7"/>
        <v/>
      </c>
      <c r="J26" s="59"/>
      <c r="K26" s="69"/>
      <c r="L26" s="59"/>
    </row>
    <row r="27" spans="1:19" ht="14.45">
      <c r="A27" s="110" t="str">
        <v>Hunt Creek</v>
      </c>
      <c r="B27" s="29" t="str">
        <v>NY</v>
      </c>
      <c r="C27" s="11"/>
      <c r="D27" s="18"/>
      <c r="E27" s="18" t="str">
        <f t="shared" si="4"/>
        <v/>
      </c>
      <c r="F27" s="19" t="str">
        <f t="shared" si="5"/>
        <v/>
      </c>
      <c r="G27" s="20"/>
      <c r="H27" s="20" t="str">
        <f t="shared" si="6"/>
        <v/>
      </c>
      <c r="I27" s="19" t="str">
        <f t="shared" si="7"/>
        <v/>
      </c>
      <c r="J27" s="111"/>
      <c r="K27" s="70"/>
      <c r="L27" s="115"/>
      <c r="M27" s="74"/>
    </row>
    <row r="28" spans="1:19" ht="14.45">
      <c r="A28" s="87" t="str">
        <v>Smith Creek</v>
      </c>
      <c r="B28" s="27" t="str">
        <v>NY</v>
      </c>
      <c r="C28" s="24"/>
      <c r="D28" s="13"/>
      <c r="E28" s="13" t="str">
        <f t="shared" si="4"/>
        <v/>
      </c>
      <c r="F28" s="14" t="str">
        <f t="shared" si="5"/>
        <v/>
      </c>
      <c r="G28" s="15"/>
      <c r="H28" s="15" t="str">
        <f t="shared" si="6"/>
        <v/>
      </c>
      <c r="I28" s="16" t="str">
        <f t="shared" si="7"/>
        <v/>
      </c>
      <c r="J28" s="59"/>
      <c r="K28" s="59"/>
      <c r="L28" s="59"/>
    </row>
    <row r="29" spans="1:19" ht="14.45">
      <c r="A29" s="110" t="str">
        <v>Bradford - 256 Presidential Dr</v>
      </c>
      <c r="B29" s="29" t="str">
        <v>MA</v>
      </c>
      <c r="C29" s="11"/>
      <c r="D29" s="18"/>
      <c r="E29" s="18" t="str">
        <f t="shared" si="4"/>
        <v/>
      </c>
      <c r="F29" s="19" t="str">
        <f t="shared" si="5"/>
        <v/>
      </c>
      <c r="G29" s="20"/>
      <c r="H29" s="20" t="str">
        <f t="shared" si="6"/>
        <v/>
      </c>
      <c r="I29" s="19" t="str">
        <f t="shared" si="7"/>
        <v/>
      </c>
      <c r="J29" s="111"/>
      <c r="K29" s="70"/>
      <c r="L29" s="115"/>
      <c r="M29" s="74"/>
      <c r="N29" s="74"/>
      <c r="O29" s="74"/>
    </row>
    <row r="30" spans="1:19" ht="14.45">
      <c r="A30" s="87" t="str">
        <v>Charlton – 111 Brookfield Road - Bus Lot</v>
      </c>
      <c r="B30" s="27" t="str">
        <v>MA</v>
      </c>
      <c r="C30" s="24"/>
      <c r="D30" s="13"/>
      <c r="E30" s="13" t="str">
        <f t="shared" si="4"/>
        <v/>
      </c>
      <c r="F30" s="14" t="str">
        <f t="shared" si="5"/>
        <v/>
      </c>
      <c r="G30" s="15"/>
      <c r="H30" s="15" t="str">
        <f t="shared" si="6"/>
        <v/>
      </c>
      <c r="I30" s="16" t="str">
        <f t="shared" si="7"/>
        <v/>
      </c>
      <c r="J30" s="59"/>
      <c r="K30" s="97"/>
      <c r="L30" s="97"/>
      <c r="N30" s="74"/>
      <c r="O30" s="74"/>
      <c r="P30" s="74"/>
      <c r="Q30" s="74"/>
      <c r="R30" s="74"/>
      <c r="S30" s="74"/>
    </row>
    <row r="31" spans="1:19" ht="14.45">
      <c r="A31" s="110" t="str">
        <v>Charlton – 154 Center Depot Road KMARD</v>
      </c>
      <c r="B31" s="29" t="str">
        <v>MA</v>
      </c>
      <c r="C31" s="11"/>
      <c r="D31" s="18"/>
      <c r="E31" s="18" t="str">
        <f t="shared" si="4"/>
        <v/>
      </c>
      <c r="F31" s="19" t="str">
        <f t="shared" si="5"/>
        <v/>
      </c>
      <c r="G31" s="20"/>
      <c r="H31" s="20" t="str">
        <f t="shared" si="6"/>
        <v/>
      </c>
      <c r="I31" s="19" t="str">
        <f t="shared" si="7"/>
        <v/>
      </c>
      <c r="J31" s="111"/>
      <c r="K31" s="113"/>
      <c r="L31" s="114"/>
    </row>
    <row r="32" spans="1:19" ht="14.45">
      <c r="A32" s="87" t="str">
        <v>Charlton – 142A Brookfield Rd (Mitchell)</v>
      </c>
      <c r="B32" s="27" t="str">
        <v>MA</v>
      </c>
      <c r="C32" s="24"/>
      <c r="D32" s="13"/>
      <c r="E32" s="13" t="str">
        <f t="shared" si="4"/>
        <v/>
      </c>
      <c r="F32" s="14" t="str">
        <f t="shared" si="5"/>
        <v/>
      </c>
      <c r="G32" s="15"/>
      <c r="H32" s="15" t="str">
        <f t="shared" si="6"/>
        <v/>
      </c>
      <c r="I32" s="16" t="str">
        <f t="shared" si="7"/>
        <v/>
      </c>
      <c r="J32" s="59"/>
      <c r="K32" s="69"/>
      <c r="L32" s="59"/>
      <c r="M32" s="74"/>
      <c r="N32" s="74"/>
      <c r="O32" s="74"/>
      <c r="P32" s="74"/>
      <c r="Q32" s="74"/>
      <c r="R32" s="74"/>
      <c r="S32" s="74"/>
    </row>
    <row r="33" spans="1:24" ht="171.75" customHeight="1">
      <c r="A33" s="110" t="str">
        <v>Great Barrington – 3 Nolan  Drive</v>
      </c>
      <c r="B33" s="29" t="str">
        <v>MA</v>
      </c>
      <c r="C33" s="11"/>
      <c r="D33" s="18"/>
      <c r="E33" s="18" t="str">
        <f t="shared" si="4"/>
        <v/>
      </c>
      <c r="F33" s="19" t="str">
        <f t="shared" si="5"/>
        <v/>
      </c>
      <c r="G33" s="20"/>
      <c r="H33" s="20" t="str">
        <f t="shared" si="6"/>
        <v/>
      </c>
      <c r="I33" s="19" t="str">
        <f t="shared" si="7"/>
        <v/>
      </c>
      <c r="J33" s="113"/>
      <c r="K33" s="70"/>
      <c r="L33" s="115"/>
      <c r="M33" s="74"/>
      <c r="N33" s="74"/>
      <c r="O33" s="74"/>
      <c r="P33" s="74"/>
      <c r="Q33" s="74"/>
      <c r="R33" s="74"/>
      <c r="S33" s="74"/>
      <c r="T33" s="74"/>
      <c r="U33" s="74"/>
      <c r="V33" s="74"/>
      <c r="W33" s="74"/>
      <c r="X33" s="74"/>
    </row>
    <row r="34" spans="1:24" ht="121.5" customHeight="1">
      <c r="A34" s="87" t="str">
        <v>Stockbridge – 92 State Line Road Truck Stop</v>
      </c>
      <c r="B34" s="27" t="str">
        <v>MA</v>
      </c>
      <c r="C34" s="24"/>
      <c r="D34" s="13"/>
      <c r="E34" s="13" t="str">
        <f t="shared" si="4"/>
        <v/>
      </c>
      <c r="F34" s="14" t="str">
        <f t="shared" si="5"/>
        <v/>
      </c>
      <c r="G34" s="15"/>
      <c r="H34" s="15" t="str">
        <f t="shared" si="6"/>
        <v/>
      </c>
      <c r="I34" s="16" t="str">
        <f t="shared" si="7"/>
        <v/>
      </c>
      <c r="J34" s="59"/>
      <c r="K34" s="69"/>
      <c r="L34" s="59"/>
      <c r="M34" s="74"/>
      <c r="N34" s="74"/>
      <c r="O34" s="74"/>
      <c r="P34" s="74"/>
      <c r="Q34" s="74"/>
      <c r="R34" s="74"/>
      <c r="S34" s="74"/>
    </row>
    <row r="35" spans="1:24" ht="14.45">
      <c r="A35" s="110" t="str">
        <v>NY: New Windsor - Moores Hill</v>
      </c>
      <c r="B35" s="29" t="str">
        <v>NY</v>
      </c>
      <c r="C35" s="11"/>
      <c r="D35" s="18"/>
      <c r="E35" s="18" t="str">
        <f t="shared" si="4"/>
        <v/>
      </c>
      <c r="F35" s="19" t="str">
        <f t="shared" si="5"/>
        <v/>
      </c>
      <c r="G35" s="20"/>
      <c r="H35" s="20" t="str">
        <f t="shared" si="6"/>
        <v/>
      </c>
      <c r="I35" s="19" t="str">
        <f t="shared" si="7"/>
        <v/>
      </c>
      <c r="J35" s="113"/>
      <c r="K35" s="70"/>
      <c r="L35" s="115"/>
    </row>
    <row r="36" spans="1:24" ht="14.45">
      <c r="A36" s="116"/>
      <c r="B36" s="31"/>
      <c r="C36" s="21"/>
      <c r="D36" s="21"/>
      <c r="E36" s="21"/>
      <c r="F36" s="22"/>
      <c r="G36" s="21"/>
      <c r="H36" s="21"/>
      <c r="I36" s="22"/>
      <c r="K36" s="114"/>
      <c r="L36" s="114"/>
    </row>
    <row r="37" spans="1:24" ht="14.45">
      <c r="A37" s="116"/>
      <c r="B37" s="31"/>
      <c r="C37" s="21"/>
      <c r="D37" s="21"/>
      <c r="E37" s="21"/>
      <c r="F37" s="22"/>
      <c r="G37" s="21"/>
      <c r="H37" s="21"/>
      <c r="I37" s="22"/>
      <c r="K37" s="114"/>
      <c r="L37" s="114"/>
    </row>
    <row r="38" spans="1:24" ht="14.45">
      <c r="A38" s="116"/>
      <c r="B38" s="31"/>
      <c r="C38" s="21"/>
      <c r="D38" s="21"/>
      <c r="E38" s="21"/>
      <c r="F38" s="22"/>
      <c r="G38" s="21"/>
      <c r="H38" s="21"/>
      <c r="I38" s="22"/>
      <c r="J38" s="93"/>
      <c r="K38" s="114"/>
      <c r="L38" s="114"/>
    </row>
    <row r="39" spans="1:24" ht="14.45">
      <c r="A39" s="116"/>
      <c r="B39" s="31"/>
      <c r="C39" s="21"/>
      <c r="D39" s="21"/>
      <c r="E39" s="21"/>
      <c r="F39" s="22"/>
      <c r="G39" s="21"/>
      <c r="H39" s="21"/>
      <c r="I39" s="22"/>
      <c r="K39" s="114"/>
      <c r="L39" s="114"/>
    </row>
    <row r="40" spans="1:24" ht="14.45">
      <c r="A40" s="116"/>
      <c r="B40" s="31"/>
      <c r="C40" s="21"/>
      <c r="D40" s="21"/>
      <c r="E40" s="21"/>
      <c r="F40" s="22"/>
      <c r="G40" s="21"/>
      <c r="H40" s="21"/>
      <c r="I40" s="22"/>
      <c r="K40" s="114"/>
      <c r="L40" s="114"/>
    </row>
    <row r="41" spans="1:24" ht="14.45">
      <c r="A41" s="116"/>
      <c r="B41" s="31"/>
      <c r="C41" s="21"/>
      <c r="D41" s="21"/>
      <c r="E41" s="21"/>
      <c r="F41" s="22"/>
      <c r="G41" s="21"/>
      <c r="H41" s="21"/>
      <c r="I41" s="22"/>
      <c r="J41" s="94"/>
      <c r="K41" s="114"/>
      <c r="L41" s="114"/>
    </row>
    <row r="42" spans="1:24" ht="14.45">
      <c r="A42" s="116"/>
      <c r="B42" s="31"/>
      <c r="C42" s="21"/>
      <c r="D42" s="21"/>
      <c r="E42" s="21"/>
      <c r="F42" s="22"/>
      <c r="G42" s="21"/>
      <c r="H42" s="21"/>
      <c r="I42" s="22"/>
      <c r="K42" s="114"/>
      <c r="L42" s="114"/>
    </row>
    <row r="43" spans="1:24" ht="14.45">
      <c r="A43" s="116"/>
      <c r="B43" s="31"/>
      <c r="C43" s="21"/>
      <c r="D43" s="21"/>
      <c r="E43" s="21"/>
      <c r="F43" s="22"/>
      <c r="G43" s="21"/>
      <c r="H43" s="21"/>
      <c r="I43" s="22"/>
      <c r="K43" s="114"/>
      <c r="L43" s="114"/>
    </row>
    <row r="44" spans="1:24" ht="14.45">
      <c r="A44" s="116"/>
      <c r="B44" s="31"/>
      <c r="C44" s="21"/>
      <c r="D44" s="21"/>
      <c r="E44" s="21"/>
      <c r="F44" s="22"/>
      <c r="G44" s="21"/>
      <c r="H44" s="21"/>
      <c r="I44" s="22"/>
      <c r="K44" s="114"/>
      <c r="L44" s="114"/>
    </row>
    <row r="45" spans="1:24" ht="14.45">
      <c r="A45" s="116"/>
      <c r="B45" s="31"/>
      <c r="C45" s="21"/>
      <c r="D45" s="21"/>
      <c r="E45" s="21"/>
      <c r="F45" s="22"/>
      <c r="G45" s="21"/>
      <c r="H45" s="21"/>
      <c r="I45" s="22"/>
      <c r="K45" s="114"/>
      <c r="L45" s="114"/>
    </row>
    <row r="46" spans="1:24" ht="14.45">
      <c r="A46" s="116"/>
      <c r="B46" s="31"/>
      <c r="C46" s="21"/>
      <c r="D46" s="21"/>
      <c r="E46" s="21"/>
      <c r="F46" s="22"/>
      <c r="G46" s="21"/>
      <c r="H46" s="21"/>
      <c r="I46" s="22"/>
      <c r="K46" s="114"/>
      <c r="L46" s="114"/>
    </row>
    <row r="47" spans="1:24" ht="14.45">
      <c r="A47" s="116"/>
      <c r="B47" s="31"/>
      <c r="C47" s="21"/>
      <c r="D47" s="21"/>
      <c r="E47" s="21"/>
      <c r="F47" s="22"/>
      <c r="G47" s="21"/>
      <c r="H47" s="21"/>
      <c r="I47" s="22"/>
      <c r="K47" s="114"/>
      <c r="L47" s="114"/>
    </row>
    <row r="48" spans="1:24" ht="14.45">
      <c r="A48" s="116"/>
      <c r="B48" s="31"/>
      <c r="C48" s="21"/>
      <c r="D48" s="21"/>
      <c r="E48" s="21"/>
      <c r="F48" s="22"/>
      <c r="G48" s="21"/>
      <c r="H48" s="21"/>
      <c r="I48" s="22"/>
      <c r="K48" s="114"/>
      <c r="L48" s="114"/>
    </row>
    <row r="49" spans="2:9" ht="14.45">
      <c r="B49" s="31"/>
      <c r="C49" s="21"/>
      <c r="D49" s="21"/>
      <c r="E49" s="21"/>
      <c r="F49" s="22"/>
      <c r="G49" s="21"/>
      <c r="H49" s="21"/>
      <c r="I49" s="22"/>
    </row>
    <row r="50" spans="2:9" ht="14.45">
      <c r="B50" s="31"/>
      <c r="C50" s="21"/>
      <c r="D50" s="21"/>
      <c r="E50" s="21"/>
      <c r="F50" s="22"/>
      <c r="G50" s="21"/>
      <c r="H50" s="21"/>
      <c r="I50" s="22"/>
    </row>
    <row r="51" spans="2:9" ht="14.45">
      <c r="B51" s="31"/>
      <c r="C51" s="21"/>
      <c r="D51" s="21"/>
      <c r="E51" s="21"/>
      <c r="F51" s="22"/>
      <c r="G51" s="21"/>
      <c r="H51" s="21"/>
      <c r="I51" s="22"/>
    </row>
    <row r="52" spans="2:9" ht="14.45">
      <c r="B52" s="31"/>
      <c r="C52" s="21"/>
      <c r="D52" s="21"/>
      <c r="E52" s="21"/>
      <c r="F52" s="22"/>
      <c r="G52" s="21"/>
      <c r="H52" s="21"/>
      <c r="I52" s="22"/>
    </row>
    <row r="53" spans="2:9" ht="14.45">
      <c r="B53" s="31"/>
      <c r="C53" s="21"/>
      <c r="D53" s="21"/>
      <c r="E53" s="21"/>
      <c r="F53" s="22"/>
      <c r="G53" s="21"/>
      <c r="H53" s="21"/>
      <c r="I53" s="22"/>
    </row>
    <row r="54" spans="2:9" ht="14.45">
      <c r="B54" s="31"/>
      <c r="C54" s="21"/>
      <c r="D54" s="21"/>
      <c r="E54" s="21"/>
      <c r="F54" s="22"/>
      <c r="G54" s="21"/>
      <c r="H54" s="21"/>
      <c r="I54" s="22"/>
    </row>
    <row r="55" spans="2:9" ht="14.45">
      <c r="B55" s="31"/>
      <c r="C55" s="21"/>
      <c r="D55" s="21"/>
      <c r="E55" s="21"/>
      <c r="F55" s="22"/>
      <c r="G55" s="21"/>
      <c r="H55" s="21"/>
      <c r="I55" s="22"/>
    </row>
    <row r="56" spans="2:9" ht="14.45">
      <c r="B56" s="31"/>
      <c r="C56" s="21"/>
      <c r="D56" s="21"/>
      <c r="E56" s="21"/>
      <c r="F56" s="22"/>
      <c r="G56" s="21"/>
      <c r="H56" s="21"/>
      <c r="I56" s="22"/>
    </row>
    <row r="57" spans="2:9" ht="14.45">
      <c r="B57" s="31"/>
      <c r="C57" s="21"/>
      <c r="D57" s="21"/>
      <c r="E57" s="21"/>
      <c r="F57" s="22"/>
      <c r="G57" s="21"/>
      <c r="H57" s="21"/>
      <c r="I57" s="22"/>
    </row>
    <row r="58" spans="2:9" ht="14.45">
      <c r="B58" s="31"/>
      <c r="C58" s="21"/>
      <c r="D58" s="21"/>
      <c r="E58" s="21"/>
      <c r="F58" s="22"/>
      <c r="G58" s="21"/>
      <c r="H58" s="21"/>
      <c r="I58" s="22"/>
    </row>
    <row r="59" spans="2:9" ht="14.45">
      <c r="B59" s="31"/>
      <c r="C59" s="21"/>
      <c r="D59" s="21"/>
      <c r="E59" s="21"/>
      <c r="F59" s="22"/>
      <c r="G59" s="21"/>
      <c r="H59" s="21"/>
      <c r="I59" s="22"/>
    </row>
    <row r="60" spans="2:9" ht="14.45">
      <c r="B60" s="31"/>
      <c r="C60" s="21"/>
      <c r="D60" s="21"/>
      <c r="E60" s="21"/>
      <c r="F60" s="22"/>
      <c r="G60" s="21"/>
      <c r="H60" s="21"/>
      <c r="I60" s="22"/>
    </row>
    <row r="61" spans="2:9" ht="14.45">
      <c r="B61" s="31"/>
      <c r="C61" s="21"/>
      <c r="D61" s="21"/>
      <c r="E61" s="21"/>
      <c r="F61" s="22"/>
      <c r="G61" s="21"/>
      <c r="H61" s="21"/>
      <c r="I61" s="22"/>
    </row>
    <row r="62" spans="2:9" ht="14.45">
      <c r="B62" s="31"/>
      <c r="C62" s="21"/>
      <c r="D62" s="21"/>
      <c r="E62" s="21"/>
      <c r="F62" s="22"/>
      <c r="G62" s="21"/>
      <c r="H62" s="21"/>
      <c r="I62" s="22"/>
    </row>
    <row r="63" spans="2:9" ht="14.45">
      <c r="B63" s="31"/>
      <c r="C63" s="21"/>
      <c r="D63" s="21"/>
      <c r="E63" s="21"/>
      <c r="F63" s="22"/>
      <c r="G63" s="21"/>
      <c r="H63" s="21"/>
      <c r="I63" s="22"/>
    </row>
    <row r="64" spans="2:9" ht="14.45">
      <c r="B64" s="31"/>
      <c r="C64" s="21"/>
      <c r="D64" s="21"/>
      <c r="E64" s="21"/>
      <c r="F64" s="22"/>
      <c r="G64" s="21"/>
      <c r="H64" s="21"/>
      <c r="I64" s="22"/>
    </row>
    <row r="65" spans="2:9" ht="14.45">
      <c r="B65" s="31"/>
      <c r="C65" s="21"/>
      <c r="D65" s="21"/>
      <c r="E65" s="21"/>
      <c r="F65" s="22"/>
      <c r="G65" s="21"/>
      <c r="H65" s="21"/>
      <c r="I65" s="22"/>
    </row>
    <row r="66" spans="2:9" ht="14.45">
      <c r="B66" s="31"/>
      <c r="C66" s="21"/>
      <c r="D66" s="21"/>
      <c r="E66" s="21"/>
      <c r="F66" s="22"/>
      <c r="G66" s="21"/>
      <c r="H66" s="21"/>
      <c r="I66" s="22"/>
    </row>
    <row r="67" spans="2:9" ht="14.45">
      <c r="B67" s="31"/>
      <c r="C67" s="21"/>
      <c r="D67" s="21"/>
      <c r="E67" s="21"/>
      <c r="F67" s="22"/>
      <c r="G67" s="21"/>
      <c r="H67" s="21"/>
      <c r="I67" s="22"/>
    </row>
    <row r="68" spans="2:9" ht="14.45">
      <c r="B68" s="31"/>
      <c r="C68" s="21"/>
      <c r="D68" s="21"/>
      <c r="E68" s="21"/>
      <c r="F68" s="22"/>
      <c r="G68" s="21"/>
      <c r="H68" s="21"/>
      <c r="I68" s="22"/>
    </row>
    <row r="69" spans="2:9" ht="14.45">
      <c r="B69" s="31"/>
      <c r="C69" s="21"/>
      <c r="D69" s="21"/>
      <c r="E69" s="21"/>
      <c r="F69" s="22"/>
      <c r="G69" s="21"/>
      <c r="H69" s="21"/>
      <c r="I69" s="22"/>
    </row>
    <row r="70" spans="2:9" ht="14.45">
      <c r="B70" s="31"/>
      <c r="C70" s="21"/>
      <c r="D70" s="21"/>
      <c r="E70" s="21"/>
      <c r="F70" s="22"/>
      <c r="G70" s="21"/>
      <c r="H70" s="21"/>
      <c r="I70" s="22"/>
    </row>
    <row r="71" spans="2:9" ht="14.45">
      <c r="B71" s="31"/>
      <c r="C71" s="21"/>
      <c r="D71" s="21"/>
      <c r="E71" s="21"/>
      <c r="F71" s="22"/>
      <c r="G71" s="21"/>
      <c r="H71" s="21"/>
      <c r="I71" s="22"/>
    </row>
    <row r="72" spans="2:9" ht="14.45">
      <c r="B72" s="31"/>
      <c r="C72" s="21"/>
      <c r="D72" s="21"/>
      <c r="E72" s="21"/>
      <c r="F72" s="22"/>
      <c r="G72" s="21"/>
      <c r="H72" s="21"/>
      <c r="I72" s="22"/>
    </row>
    <row r="73" spans="2:9" ht="14.45">
      <c r="B73" s="31"/>
      <c r="C73" s="21"/>
      <c r="D73" s="21"/>
      <c r="E73" s="21"/>
      <c r="F73" s="22"/>
      <c r="G73" s="21"/>
      <c r="H73" s="21"/>
      <c r="I73" s="22"/>
    </row>
    <row r="74" spans="2:9" ht="14.45">
      <c r="B74" s="31"/>
      <c r="C74" s="21"/>
      <c r="D74" s="21"/>
      <c r="E74" s="21"/>
      <c r="F74" s="22"/>
      <c r="G74" s="21"/>
      <c r="H74" s="21"/>
      <c r="I74" s="22"/>
    </row>
    <row r="75" spans="2:9" ht="14.45">
      <c r="B75" s="31"/>
      <c r="C75" s="21"/>
      <c r="D75" s="21"/>
      <c r="E75" s="21"/>
      <c r="F75" s="22"/>
      <c r="G75" s="21"/>
      <c r="H75" s="21"/>
      <c r="I75" s="22"/>
    </row>
    <row r="76" spans="2:9" ht="14.45">
      <c r="B76" s="31"/>
      <c r="C76" s="21"/>
      <c r="D76" s="21"/>
      <c r="E76" s="21"/>
      <c r="F76" s="22"/>
      <c r="G76" s="21"/>
      <c r="H76" s="21"/>
      <c r="I76" s="22"/>
    </row>
    <row r="77" spans="2:9" ht="14.45">
      <c r="B77" s="31"/>
      <c r="C77" s="21"/>
      <c r="D77" s="21"/>
      <c r="E77" s="21"/>
      <c r="F77" s="22"/>
      <c r="G77" s="21"/>
      <c r="H77" s="21"/>
      <c r="I77" s="22"/>
    </row>
    <row r="78" spans="2:9" ht="14.45">
      <c r="B78" s="31"/>
      <c r="C78" s="21"/>
      <c r="D78" s="21"/>
      <c r="E78" s="21"/>
      <c r="F78" s="22"/>
      <c r="G78" s="21"/>
      <c r="H78" s="21"/>
      <c r="I78" s="22"/>
    </row>
    <row r="79" spans="2:9" ht="14.45">
      <c r="B79" s="31"/>
      <c r="C79" s="21"/>
      <c r="D79" s="21"/>
      <c r="E79" s="21"/>
      <c r="F79" s="22"/>
      <c r="G79" s="21"/>
      <c r="H79" s="21"/>
      <c r="I79" s="22"/>
    </row>
    <row r="80" spans="2:9" ht="14.45">
      <c r="B80" s="31"/>
      <c r="C80" s="21"/>
      <c r="D80" s="21"/>
      <c r="E80" s="21"/>
      <c r="F80" s="22"/>
      <c r="G80" s="21"/>
      <c r="H80" s="21"/>
      <c r="I80" s="22"/>
    </row>
    <row r="81" spans="2:9" ht="14.45">
      <c r="B81" s="31"/>
      <c r="C81" s="21"/>
      <c r="D81" s="21"/>
      <c r="E81" s="21"/>
      <c r="F81" s="22"/>
      <c r="G81" s="21"/>
      <c r="H81" s="21"/>
      <c r="I81" s="22"/>
    </row>
    <row r="82" spans="2:9" ht="14.45">
      <c r="B82" s="31"/>
      <c r="C82" s="21"/>
      <c r="D82" s="21"/>
      <c r="E82" s="21"/>
      <c r="F82" s="22"/>
      <c r="G82" s="21"/>
      <c r="H82" s="21"/>
      <c r="I82" s="22"/>
    </row>
    <row r="83" spans="2:9" ht="14.45">
      <c r="B83" s="31"/>
      <c r="C83" s="21"/>
      <c r="D83" s="21"/>
      <c r="E83" s="21"/>
      <c r="F83" s="22"/>
      <c r="G83" s="21"/>
      <c r="H83" s="21"/>
      <c r="I83" s="22"/>
    </row>
    <row r="84" spans="2:9" ht="14.45">
      <c r="B84" s="31"/>
      <c r="C84" s="21"/>
      <c r="D84" s="21"/>
      <c r="E84" s="21"/>
      <c r="F84" s="22"/>
      <c r="G84" s="21"/>
      <c r="H84" s="21"/>
      <c r="I84" s="22"/>
    </row>
    <row r="85" spans="2:9" ht="14.45">
      <c r="B85" s="31"/>
      <c r="C85" s="21"/>
      <c r="D85" s="21"/>
      <c r="E85" s="21"/>
      <c r="F85" s="22"/>
      <c r="G85" s="21"/>
      <c r="H85" s="21"/>
      <c r="I85" s="22"/>
    </row>
    <row r="86" spans="2:9" ht="14.45">
      <c r="B86" s="31"/>
      <c r="C86" s="21"/>
      <c r="D86" s="21"/>
      <c r="E86" s="21"/>
      <c r="F86" s="22"/>
      <c r="G86" s="21"/>
      <c r="H86" s="21"/>
      <c r="I86" s="22"/>
    </row>
    <row r="87" spans="2:9" ht="14.45">
      <c r="B87" s="31"/>
      <c r="C87" s="21"/>
      <c r="D87" s="21"/>
      <c r="E87" s="21"/>
      <c r="F87" s="22"/>
      <c r="G87" s="21"/>
      <c r="H87" s="21"/>
      <c r="I87" s="22"/>
    </row>
    <row r="88" spans="2:9" ht="14.45">
      <c r="B88" s="31"/>
      <c r="C88" s="21"/>
      <c r="D88" s="21"/>
      <c r="E88" s="21"/>
      <c r="F88" s="22"/>
      <c r="G88" s="21"/>
      <c r="H88" s="21"/>
      <c r="I88" s="22"/>
    </row>
    <row r="89" spans="2:9" ht="14.45">
      <c r="B89" s="31"/>
      <c r="C89" s="21"/>
      <c r="D89" s="21"/>
      <c r="E89" s="21"/>
      <c r="F89" s="22"/>
      <c r="G89" s="21"/>
      <c r="H89" s="21"/>
      <c r="I89" s="22"/>
    </row>
    <row r="90" spans="2:9" ht="14.45">
      <c r="B90" s="31"/>
      <c r="C90" s="21"/>
      <c r="D90" s="21"/>
      <c r="E90" s="21"/>
      <c r="F90" s="22"/>
      <c r="G90" s="21"/>
      <c r="H90" s="21"/>
      <c r="I90" s="22"/>
    </row>
    <row r="91" spans="2:9" ht="14.45">
      <c r="B91" s="31"/>
      <c r="C91" s="21"/>
      <c r="D91" s="21"/>
      <c r="E91" s="21"/>
      <c r="F91" s="22"/>
      <c r="G91" s="21"/>
      <c r="H91" s="21"/>
      <c r="I91" s="22"/>
    </row>
    <row r="92" spans="2:9" ht="14.45">
      <c r="B92" s="31"/>
      <c r="C92" s="21"/>
      <c r="D92" s="21"/>
      <c r="E92" s="21"/>
      <c r="F92" s="22"/>
      <c r="G92" s="21"/>
      <c r="H92" s="21"/>
      <c r="I92" s="22"/>
    </row>
    <row r="93" spans="2:9" ht="14.45">
      <c r="B93" s="31"/>
      <c r="C93" s="21"/>
      <c r="D93" s="21"/>
      <c r="E93" s="21"/>
      <c r="F93" s="22"/>
      <c r="G93" s="21"/>
      <c r="H93" s="21"/>
      <c r="I93" s="22"/>
    </row>
    <row r="94" spans="2:9" ht="14.45">
      <c r="B94" s="31"/>
      <c r="C94" s="21"/>
      <c r="D94" s="21"/>
      <c r="E94" s="21"/>
      <c r="F94" s="22"/>
      <c r="G94" s="21"/>
      <c r="H94" s="21"/>
      <c r="I94" s="22"/>
    </row>
    <row r="95" spans="2:9" ht="14.45">
      <c r="B95" s="31"/>
      <c r="C95" s="21"/>
      <c r="D95" s="21"/>
      <c r="E95" s="21"/>
      <c r="F95" s="22"/>
      <c r="G95" s="21"/>
      <c r="H95" s="21"/>
      <c r="I95" s="22"/>
    </row>
    <row r="96" spans="2:9" ht="14.45">
      <c r="B96" s="31"/>
      <c r="C96" s="21"/>
      <c r="D96" s="21"/>
      <c r="E96" s="21"/>
      <c r="F96" s="22"/>
      <c r="G96" s="21"/>
      <c r="H96" s="21"/>
      <c r="I96" s="22"/>
    </row>
    <row r="97" spans="2:9" ht="14.45">
      <c r="B97" s="31"/>
      <c r="C97" s="21"/>
      <c r="D97" s="21"/>
      <c r="E97" s="21"/>
      <c r="F97" s="22"/>
      <c r="G97" s="21"/>
      <c r="H97" s="21"/>
      <c r="I97" s="22"/>
    </row>
    <row r="98" spans="2:9" ht="14.45">
      <c r="B98" s="31"/>
      <c r="C98" s="21"/>
      <c r="D98" s="21"/>
      <c r="E98" s="21"/>
      <c r="F98" s="22"/>
      <c r="G98" s="21"/>
      <c r="H98" s="21"/>
      <c r="I98" s="22"/>
    </row>
    <row r="99" spans="2:9" ht="14.45">
      <c r="B99" s="31"/>
      <c r="C99" s="21"/>
      <c r="D99" s="21"/>
      <c r="E99" s="21"/>
      <c r="F99" s="22"/>
      <c r="G99" s="21"/>
      <c r="H99" s="21"/>
      <c r="I99" s="22"/>
    </row>
    <row r="100" spans="2:9" ht="14.45">
      <c r="B100" s="31"/>
      <c r="C100" s="21"/>
      <c r="D100" s="21"/>
      <c r="E100" s="21"/>
      <c r="F100" s="22"/>
      <c r="G100" s="21"/>
      <c r="H100" s="21"/>
      <c r="I100" s="22"/>
    </row>
    <row r="101" spans="2:9" ht="14.45">
      <c r="B101" s="31"/>
      <c r="C101" s="21"/>
      <c r="D101" s="21"/>
      <c r="E101" s="21"/>
      <c r="F101" s="22"/>
      <c r="G101" s="21"/>
      <c r="H101" s="21"/>
      <c r="I101" s="22"/>
    </row>
    <row r="102" spans="2:9" ht="14.45">
      <c r="B102" s="31"/>
      <c r="C102" s="21"/>
      <c r="D102" s="21"/>
      <c r="E102" s="21"/>
      <c r="F102" s="22"/>
      <c r="G102" s="21"/>
      <c r="H102" s="21"/>
      <c r="I102" s="22"/>
    </row>
    <row r="103" spans="2:9" ht="14.45">
      <c r="B103" s="31"/>
      <c r="C103" s="21"/>
      <c r="D103" s="21"/>
      <c r="E103" s="21"/>
      <c r="F103" s="22"/>
      <c r="G103" s="21"/>
      <c r="H103" s="21"/>
      <c r="I103" s="22"/>
    </row>
    <row r="104" spans="2:9" ht="14.45">
      <c r="B104" s="31"/>
      <c r="C104" s="21"/>
      <c r="D104" s="21"/>
      <c r="E104" s="21"/>
      <c r="F104" s="22"/>
      <c r="G104" s="21"/>
      <c r="H104" s="21"/>
      <c r="I104" s="22"/>
    </row>
    <row r="105" spans="2:9" ht="14.45">
      <c r="B105" s="31"/>
      <c r="C105" s="21"/>
      <c r="D105" s="21"/>
      <c r="E105" s="21"/>
      <c r="F105" s="22"/>
      <c r="G105" s="21"/>
      <c r="H105" s="21"/>
      <c r="I105" s="22"/>
    </row>
    <row r="106" spans="2:9" ht="14.45">
      <c r="B106" s="31"/>
      <c r="C106" s="21"/>
      <c r="D106" s="21"/>
      <c r="E106" s="21"/>
      <c r="F106" s="22"/>
      <c r="G106" s="21"/>
      <c r="H106" s="21"/>
      <c r="I106" s="22"/>
    </row>
    <row r="107" spans="2:9" ht="14.45">
      <c r="B107" s="31"/>
      <c r="C107" s="21"/>
      <c r="D107" s="21"/>
      <c r="E107" s="21"/>
      <c r="F107" s="22"/>
      <c r="G107" s="21"/>
      <c r="H107" s="21"/>
      <c r="I107" s="22"/>
    </row>
    <row r="108" spans="2:9" ht="14.45">
      <c r="B108" s="31"/>
      <c r="C108" s="21"/>
      <c r="D108" s="21"/>
      <c r="E108" s="21"/>
      <c r="F108" s="22"/>
      <c r="G108" s="21"/>
      <c r="H108" s="21"/>
      <c r="I108" s="22"/>
    </row>
    <row r="109" spans="2:9" ht="14.45">
      <c r="B109" s="31"/>
      <c r="C109" s="21"/>
      <c r="D109" s="21"/>
      <c r="E109" s="21"/>
      <c r="F109" s="22"/>
      <c r="G109" s="21"/>
      <c r="H109" s="21"/>
      <c r="I109" s="22"/>
    </row>
    <row r="110" spans="2:9" ht="14.45">
      <c r="B110" s="31"/>
      <c r="C110" s="21"/>
      <c r="D110" s="21"/>
      <c r="E110" s="21"/>
      <c r="F110" s="22"/>
      <c r="G110" s="21"/>
      <c r="H110" s="21"/>
      <c r="I110" s="22"/>
    </row>
    <row r="111" spans="2:9" ht="14.45">
      <c r="B111" s="31"/>
      <c r="C111" s="21"/>
      <c r="D111" s="21"/>
      <c r="E111" s="21"/>
      <c r="F111" s="22"/>
      <c r="G111" s="21"/>
      <c r="H111" s="21"/>
      <c r="I111" s="22"/>
    </row>
    <row r="112" spans="2:9" ht="14.45">
      <c r="B112" s="31"/>
      <c r="C112" s="21"/>
      <c r="D112" s="21"/>
      <c r="E112" s="21"/>
      <c r="F112" s="22"/>
      <c r="G112" s="21"/>
      <c r="H112" s="21"/>
      <c r="I112" s="22"/>
    </row>
    <row r="113" spans="2:9" ht="14.45">
      <c r="B113" s="31"/>
      <c r="C113" s="21"/>
      <c r="D113" s="21"/>
      <c r="E113" s="21"/>
      <c r="F113" s="22"/>
      <c r="G113" s="21"/>
      <c r="H113" s="21"/>
      <c r="I113" s="22"/>
    </row>
    <row r="114" spans="2:9" ht="14.45">
      <c r="B114" s="31"/>
      <c r="C114" s="21"/>
      <c r="D114" s="21"/>
      <c r="E114" s="21"/>
      <c r="F114" s="22"/>
      <c r="G114" s="21"/>
      <c r="H114" s="21"/>
      <c r="I114" s="22"/>
    </row>
    <row r="115" spans="2:9" ht="14.45">
      <c r="B115" s="31"/>
      <c r="C115" s="21"/>
      <c r="D115" s="21"/>
      <c r="E115" s="21"/>
      <c r="F115" s="22"/>
      <c r="G115" s="21"/>
      <c r="H115" s="21"/>
      <c r="I115" s="22"/>
    </row>
    <row r="116" spans="2:9" ht="14.45">
      <c r="B116" s="31"/>
      <c r="C116" s="21"/>
      <c r="D116" s="21"/>
      <c r="E116" s="21"/>
      <c r="F116" s="22"/>
      <c r="G116" s="21"/>
      <c r="H116" s="21"/>
      <c r="I116" s="22"/>
    </row>
    <row r="117" spans="2:9" ht="14.45">
      <c r="B117" s="31"/>
      <c r="C117" s="21"/>
      <c r="D117" s="21"/>
      <c r="E117" s="21"/>
      <c r="F117" s="22"/>
      <c r="G117" s="21"/>
      <c r="H117" s="21"/>
      <c r="I117" s="22"/>
    </row>
    <row r="118" spans="2:9" ht="14.45">
      <c r="B118" s="31"/>
      <c r="C118" s="21"/>
      <c r="D118" s="21"/>
      <c r="E118" s="21"/>
      <c r="F118" s="22"/>
      <c r="G118" s="21"/>
      <c r="H118" s="21"/>
      <c r="I118" s="22"/>
    </row>
    <row r="119" spans="2:9" ht="14.45">
      <c r="B119" s="31"/>
      <c r="C119" s="21"/>
      <c r="D119" s="21"/>
      <c r="E119" s="21"/>
      <c r="F119" s="22"/>
      <c r="G119" s="21"/>
      <c r="H119" s="21"/>
      <c r="I119" s="22"/>
    </row>
    <row r="120" spans="2:9" ht="14.45">
      <c r="B120" s="31"/>
      <c r="C120" s="21"/>
      <c r="D120" s="21"/>
      <c r="E120" s="21"/>
      <c r="F120" s="22"/>
      <c r="G120" s="21"/>
      <c r="H120" s="21"/>
      <c r="I120" s="22"/>
    </row>
    <row r="121" spans="2:9" ht="14.45">
      <c r="B121" s="31"/>
      <c r="C121" s="21"/>
      <c r="D121" s="21"/>
      <c r="E121" s="21"/>
      <c r="F121" s="22"/>
      <c r="G121" s="21"/>
      <c r="H121" s="21"/>
      <c r="I121" s="22"/>
    </row>
    <row r="122" spans="2:9" ht="14.45">
      <c r="B122" s="31"/>
      <c r="C122" s="21"/>
      <c r="D122" s="21"/>
      <c r="E122" s="21"/>
      <c r="F122" s="22"/>
      <c r="G122" s="21"/>
      <c r="H122" s="21"/>
      <c r="I122" s="22"/>
    </row>
    <row r="123" spans="2:9" ht="14.45">
      <c r="B123" s="31"/>
      <c r="C123" s="21"/>
      <c r="D123" s="21"/>
      <c r="E123" s="21"/>
      <c r="F123" s="22"/>
      <c r="G123" s="21"/>
      <c r="H123" s="21"/>
      <c r="I123" s="22"/>
    </row>
    <row r="124" spans="2:9" ht="14.45">
      <c r="B124" s="31"/>
      <c r="C124" s="21"/>
      <c r="D124" s="21"/>
      <c r="E124" s="21"/>
      <c r="F124" s="22"/>
      <c r="G124" s="21"/>
      <c r="H124" s="21"/>
      <c r="I124" s="22"/>
    </row>
    <row r="125" spans="2:9" ht="14.45">
      <c r="B125" s="31"/>
      <c r="C125" s="21"/>
      <c r="D125" s="21"/>
      <c r="E125" s="21"/>
      <c r="F125" s="22"/>
      <c r="G125" s="21"/>
      <c r="H125" s="21"/>
      <c r="I125" s="22"/>
    </row>
    <row r="126" spans="2:9" ht="14.45">
      <c r="B126" s="31"/>
      <c r="C126" s="21"/>
      <c r="D126" s="21"/>
      <c r="E126" s="21"/>
      <c r="F126" s="22"/>
      <c r="G126" s="21"/>
      <c r="H126" s="21"/>
      <c r="I126" s="22"/>
    </row>
    <row r="127" spans="2:9" ht="14.45">
      <c r="B127" s="31"/>
      <c r="C127" s="21"/>
      <c r="D127" s="21"/>
      <c r="E127" s="21"/>
      <c r="F127" s="22"/>
      <c r="G127" s="21"/>
      <c r="H127" s="21"/>
      <c r="I127" s="22"/>
    </row>
    <row r="128" spans="2:9" ht="14.45">
      <c r="B128" s="31"/>
      <c r="C128" s="21"/>
      <c r="D128" s="21"/>
      <c r="E128" s="21"/>
      <c r="F128" s="22"/>
      <c r="G128" s="21"/>
      <c r="H128" s="21"/>
      <c r="I128" s="22"/>
    </row>
    <row r="129" spans="2:9" ht="14.45">
      <c r="B129" s="31"/>
      <c r="C129" s="21"/>
      <c r="D129" s="21"/>
      <c r="E129" s="21"/>
      <c r="F129" s="22"/>
      <c r="G129" s="21"/>
      <c r="H129" s="21"/>
      <c r="I129" s="22"/>
    </row>
    <row r="130" spans="2:9" ht="14.45">
      <c r="B130" s="31"/>
      <c r="C130" s="21"/>
      <c r="D130" s="21"/>
      <c r="E130" s="21"/>
      <c r="F130" s="22"/>
      <c r="G130" s="21"/>
      <c r="H130" s="21"/>
      <c r="I130" s="22"/>
    </row>
    <row r="131" spans="2:9" ht="14.45">
      <c r="B131" s="31"/>
      <c r="C131" s="21"/>
      <c r="D131" s="21"/>
      <c r="E131" s="21"/>
      <c r="F131" s="22"/>
      <c r="G131" s="21"/>
      <c r="H131" s="21"/>
      <c r="I131" s="22"/>
    </row>
    <row r="132" spans="2:9" ht="14.45">
      <c r="B132" s="31"/>
      <c r="C132" s="21"/>
      <c r="D132" s="21"/>
      <c r="E132" s="21"/>
      <c r="F132" s="22"/>
      <c r="G132" s="21"/>
      <c r="H132" s="21"/>
      <c r="I132" s="22"/>
    </row>
    <row r="133" spans="2:9" ht="14.45">
      <c r="B133" s="31"/>
      <c r="C133" s="21"/>
      <c r="D133" s="21"/>
      <c r="E133" s="21"/>
      <c r="F133" s="22"/>
      <c r="G133" s="21"/>
      <c r="H133" s="21"/>
      <c r="I133" s="22"/>
    </row>
    <row r="134" spans="2:9" ht="14.45">
      <c r="B134" s="31"/>
      <c r="C134" s="21"/>
      <c r="D134" s="21"/>
      <c r="E134" s="21"/>
      <c r="F134" s="22"/>
      <c r="G134" s="21"/>
      <c r="H134" s="21"/>
      <c r="I134" s="22"/>
    </row>
    <row r="135" spans="2:9" ht="14.45">
      <c r="B135" s="31"/>
      <c r="C135" s="21"/>
      <c r="D135" s="21"/>
      <c r="E135" s="21"/>
      <c r="F135" s="22"/>
      <c r="G135" s="21"/>
      <c r="H135" s="21"/>
      <c r="I135" s="22"/>
    </row>
    <row r="136" spans="2:9" ht="14.45">
      <c r="B136" s="31"/>
      <c r="C136" s="21"/>
      <c r="D136" s="21"/>
      <c r="E136" s="21"/>
      <c r="F136" s="22"/>
      <c r="G136" s="21"/>
      <c r="H136" s="21"/>
      <c r="I136" s="22"/>
    </row>
    <row r="137" spans="2:9" ht="14.45">
      <c r="B137" s="31"/>
      <c r="C137" s="21"/>
      <c r="D137" s="21"/>
      <c r="E137" s="21"/>
      <c r="F137" s="22"/>
      <c r="G137" s="21"/>
      <c r="H137" s="21"/>
      <c r="I137" s="22"/>
    </row>
    <row r="138" spans="2:9" ht="14.45">
      <c r="B138" s="31"/>
      <c r="C138" s="21"/>
      <c r="D138" s="21"/>
      <c r="E138" s="21"/>
      <c r="F138" s="22"/>
      <c r="G138" s="21"/>
      <c r="H138" s="21"/>
      <c r="I138" s="22"/>
    </row>
    <row r="139" spans="2:9" ht="14.45">
      <c r="B139" s="31"/>
      <c r="C139" s="21"/>
      <c r="D139" s="21"/>
      <c r="E139" s="21"/>
      <c r="F139" s="22"/>
      <c r="G139" s="21"/>
      <c r="H139" s="21"/>
      <c r="I139" s="22"/>
    </row>
    <row r="140" spans="2:9" ht="14.45">
      <c r="B140" s="31"/>
      <c r="C140" s="21"/>
      <c r="D140" s="21"/>
      <c r="E140" s="21"/>
      <c r="F140" s="22"/>
      <c r="G140" s="21"/>
      <c r="H140" s="21"/>
      <c r="I140" s="22"/>
    </row>
    <row r="141" spans="2:9" ht="14.45">
      <c r="B141" s="31"/>
      <c r="C141" s="21"/>
      <c r="D141" s="21"/>
      <c r="E141" s="21"/>
      <c r="F141" s="22"/>
      <c r="G141" s="21"/>
      <c r="H141" s="21"/>
      <c r="I141" s="22"/>
    </row>
    <row r="142" spans="2:9" ht="14.45">
      <c r="B142" s="31"/>
      <c r="C142" s="21"/>
      <c r="D142" s="21"/>
      <c r="E142" s="21"/>
      <c r="F142" s="22"/>
      <c r="G142" s="21"/>
      <c r="H142" s="21"/>
      <c r="I142" s="22"/>
    </row>
    <row r="143" spans="2:9" ht="14.45">
      <c r="B143" s="31"/>
      <c r="C143" s="21"/>
      <c r="D143" s="21"/>
      <c r="E143" s="21"/>
      <c r="F143" s="22"/>
      <c r="G143" s="21"/>
      <c r="H143" s="21"/>
      <c r="I143" s="22"/>
    </row>
    <row r="144" spans="2:9" ht="14.45">
      <c r="B144" s="31"/>
      <c r="C144" s="21"/>
      <c r="D144" s="21"/>
      <c r="E144" s="21"/>
      <c r="F144" s="22"/>
      <c r="G144" s="21"/>
      <c r="H144" s="21"/>
      <c r="I144" s="22"/>
    </row>
    <row r="145" spans="2:9" ht="14.45">
      <c r="B145" s="31"/>
      <c r="C145" s="21"/>
      <c r="D145" s="21"/>
      <c r="E145" s="21"/>
      <c r="F145" s="22"/>
      <c r="G145" s="21"/>
      <c r="H145" s="21"/>
      <c r="I145" s="22"/>
    </row>
    <row r="146" spans="2:9" ht="14.45">
      <c r="B146" s="31"/>
      <c r="C146" s="21"/>
      <c r="D146" s="21"/>
      <c r="E146" s="21"/>
      <c r="F146" s="22"/>
      <c r="G146" s="21"/>
      <c r="H146" s="21"/>
      <c r="I146" s="22"/>
    </row>
    <row r="147" spans="2:9" ht="14.45">
      <c r="B147" s="31"/>
      <c r="C147" s="21"/>
      <c r="D147" s="21"/>
      <c r="E147" s="21"/>
      <c r="F147" s="22"/>
      <c r="G147" s="21"/>
      <c r="H147" s="21"/>
      <c r="I147" s="22"/>
    </row>
    <row r="148" spans="2:9" ht="14.45">
      <c r="B148" s="31"/>
      <c r="C148" s="21"/>
      <c r="D148" s="21"/>
      <c r="E148" s="21"/>
      <c r="F148" s="22"/>
      <c r="G148" s="21"/>
      <c r="H148" s="21"/>
      <c r="I148" s="22"/>
    </row>
    <row r="149" spans="2:9" ht="14.45">
      <c r="B149" s="31"/>
      <c r="C149" s="21"/>
      <c r="D149" s="21"/>
      <c r="E149" s="21"/>
      <c r="F149" s="22"/>
      <c r="G149" s="21"/>
      <c r="H149" s="21"/>
      <c r="I149" s="22"/>
    </row>
    <row r="150" spans="2:9" ht="14.45">
      <c r="B150" s="31"/>
      <c r="C150" s="21"/>
      <c r="D150" s="21"/>
      <c r="E150" s="21"/>
      <c r="F150" s="22"/>
      <c r="G150" s="21"/>
      <c r="H150" s="21"/>
      <c r="I150" s="22"/>
    </row>
    <row r="151" spans="2:9" ht="14.45">
      <c r="B151" s="31"/>
      <c r="C151" s="21"/>
      <c r="D151" s="21"/>
      <c r="E151" s="21"/>
      <c r="F151" s="22"/>
      <c r="G151" s="21"/>
      <c r="H151" s="21"/>
      <c r="I151" s="22"/>
    </row>
    <row r="152" spans="2:9" ht="14.45">
      <c r="B152" s="31"/>
      <c r="C152" s="21"/>
      <c r="D152" s="21"/>
      <c r="E152" s="21"/>
      <c r="F152" s="22"/>
      <c r="G152" s="21"/>
      <c r="H152" s="21"/>
      <c r="I152" s="22"/>
    </row>
    <row r="153" spans="2:9" ht="14.45">
      <c r="B153" s="31"/>
      <c r="C153" s="21"/>
      <c r="D153" s="21"/>
      <c r="E153" s="21"/>
      <c r="F153" s="22"/>
      <c r="G153" s="21"/>
      <c r="H153" s="21"/>
      <c r="I153" s="22"/>
    </row>
    <row r="154" spans="2:9" ht="14.45">
      <c r="B154" s="31"/>
      <c r="C154" s="21"/>
      <c r="D154" s="21"/>
      <c r="E154" s="21"/>
      <c r="F154" s="22"/>
      <c r="G154" s="21"/>
      <c r="H154" s="21"/>
      <c r="I154" s="22"/>
    </row>
    <row r="155" spans="2:9" ht="14.45">
      <c r="B155" s="31"/>
      <c r="C155" s="21"/>
      <c r="D155" s="21"/>
      <c r="E155" s="21"/>
      <c r="F155" s="22"/>
      <c r="G155" s="21"/>
      <c r="H155" s="21"/>
      <c r="I155" s="22"/>
    </row>
    <row r="156" spans="2:9" ht="14.45">
      <c r="B156" s="31"/>
      <c r="C156" s="21"/>
      <c r="D156" s="21"/>
      <c r="E156" s="21"/>
      <c r="F156" s="22"/>
      <c r="G156" s="21"/>
      <c r="H156" s="21"/>
      <c r="I156" s="22"/>
    </row>
    <row r="157" spans="2:9" ht="14.45">
      <c r="B157" s="31"/>
      <c r="C157" s="21"/>
      <c r="D157" s="21"/>
      <c r="E157" s="21"/>
      <c r="F157" s="22"/>
      <c r="G157" s="21"/>
      <c r="H157" s="21"/>
      <c r="I157" s="22"/>
    </row>
    <row r="158" spans="2:9" ht="14.45">
      <c r="B158" s="31"/>
      <c r="C158" s="21"/>
      <c r="D158" s="21"/>
      <c r="E158" s="21"/>
      <c r="F158" s="22"/>
      <c r="G158" s="21"/>
      <c r="H158" s="21"/>
      <c r="I158" s="22"/>
    </row>
    <row r="159" spans="2:9" ht="14.45">
      <c r="B159" s="31"/>
      <c r="C159" s="21"/>
      <c r="D159" s="21"/>
      <c r="E159" s="21"/>
      <c r="F159" s="22"/>
      <c r="G159" s="21"/>
      <c r="H159" s="21"/>
      <c r="I159" s="22"/>
    </row>
    <row r="160" spans="2:9" ht="14.45">
      <c r="B160" s="31"/>
      <c r="C160" s="21"/>
      <c r="D160" s="21"/>
      <c r="E160" s="21"/>
      <c r="F160" s="22"/>
      <c r="G160" s="21"/>
      <c r="H160" s="21"/>
      <c r="I160" s="22"/>
    </row>
    <row r="161" spans="2:9" ht="14.45">
      <c r="B161" s="31"/>
      <c r="C161" s="21"/>
      <c r="D161" s="21"/>
      <c r="E161" s="21"/>
      <c r="F161" s="22"/>
      <c r="G161" s="21"/>
      <c r="H161" s="21"/>
      <c r="I161" s="22"/>
    </row>
    <row r="162" spans="2:9" ht="14.45">
      <c r="B162" s="31"/>
      <c r="C162" s="21"/>
      <c r="D162" s="21"/>
      <c r="E162" s="21"/>
      <c r="F162" s="22"/>
      <c r="G162" s="21"/>
      <c r="H162" s="21"/>
      <c r="I162" s="22"/>
    </row>
    <row r="163" spans="2:9" ht="14.45">
      <c r="B163" s="31"/>
      <c r="C163" s="21"/>
      <c r="D163" s="21"/>
      <c r="E163" s="21"/>
      <c r="F163" s="22"/>
      <c r="G163" s="21"/>
      <c r="H163" s="21"/>
      <c r="I163" s="22"/>
    </row>
    <row r="164" spans="2:9" ht="14.45">
      <c r="B164" s="31"/>
      <c r="C164" s="21"/>
      <c r="D164" s="21"/>
      <c r="E164" s="21"/>
      <c r="F164" s="22"/>
      <c r="G164" s="21"/>
      <c r="H164" s="21"/>
      <c r="I164" s="22"/>
    </row>
    <row r="165" spans="2:9" ht="14.45">
      <c r="B165" s="31"/>
      <c r="C165" s="21"/>
      <c r="D165" s="21"/>
      <c r="E165" s="21"/>
      <c r="F165" s="22"/>
      <c r="G165" s="21"/>
      <c r="H165" s="21"/>
      <c r="I165" s="22"/>
    </row>
    <row r="166" spans="2:9" ht="14.45">
      <c r="B166" s="31"/>
      <c r="C166" s="21"/>
      <c r="D166" s="21"/>
      <c r="E166" s="21"/>
      <c r="F166" s="22"/>
      <c r="G166" s="21"/>
      <c r="H166" s="21"/>
      <c r="I166" s="22"/>
    </row>
    <row r="167" spans="2:9" ht="14.45">
      <c r="B167" s="31"/>
      <c r="C167" s="21"/>
      <c r="D167" s="21"/>
      <c r="E167" s="21"/>
      <c r="F167" s="22"/>
      <c r="G167" s="21"/>
      <c r="H167" s="21"/>
      <c r="I167" s="22"/>
    </row>
    <row r="168" spans="2:9" ht="14.45">
      <c r="B168" s="31"/>
      <c r="C168" s="21"/>
      <c r="D168" s="21"/>
      <c r="E168" s="21"/>
      <c r="F168" s="22"/>
      <c r="G168" s="21"/>
      <c r="H168" s="21"/>
      <c r="I168" s="22"/>
    </row>
    <row r="169" spans="2:9" ht="14.45">
      <c r="B169" s="31"/>
      <c r="C169" s="21"/>
      <c r="D169" s="21"/>
      <c r="E169" s="21"/>
      <c r="F169" s="22"/>
      <c r="G169" s="21"/>
      <c r="H169" s="21"/>
      <c r="I169" s="22"/>
    </row>
    <row r="170" spans="2:9" ht="14.45">
      <c r="B170" s="31"/>
      <c r="C170" s="21"/>
      <c r="D170" s="21"/>
      <c r="E170" s="21"/>
      <c r="F170" s="22"/>
      <c r="G170" s="21"/>
      <c r="H170" s="21"/>
      <c r="I170" s="22"/>
    </row>
    <row r="171" spans="2:9" ht="14.45">
      <c r="B171" s="31"/>
      <c r="C171" s="21"/>
      <c r="D171" s="21"/>
      <c r="E171" s="21"/>
      <c r="F171" s="22"/>
      <c r="G171" s="21"/>
      <c r="H171" s="21"/>
      <c r="I171" s="22"/>
    </row>
    <row r="172" spans="2:9" ht="14.45">
      <c r="B172" s="31"/>
      <c r="C172" s="21"/>
      <c r="D172" s="21"/>
      <c r="E172" s="21"/>
      <c r="F172" s="22"/>
      <c r="G172" s="21"/>
      <c r="H172" s="21"/>
      <c r="I172" s="22"/>
    </row>
    <row r="173" spans="2:9" ht="14.45">
      <c r="B173" s="31"/>
      <c r="C173" s="21"/>
      <c r="D173" s="21"/>
      <c r="E173" s="21"/>
      <c r="F173" s="22"/>
      <c r="G173" s="21"/>
      <c r="H173" s="21"/>
      <c r="I173" s="22"/>
    </row>
    <row r="174" spans="2:9" ht="14.45">
      <c r="B174" s="31"/>
      <c r="C174" s="21"/>
      <c r="D174" s="21"/>
      <c r="E174" s="21"/>
      <c r="F174" s="22"/>
      <c r="G174" s="21"/>
      <c r="H174" s="21"/>
      <c r="I174" s="22"/>
    </row>
    <row r="175" spans="2:9" ht="14.45">
      <c r="B175" s="31"/>
      <c r="C175" s="21"/>
      <c r="D175" s="21"/>
      <c r="E175" s="21"/>
      <c r="F175" s="22"/>
      <c r="G175" s="21"/>
      <c r="H175" s="21"/>
      <c r="I175" s="22"/>
    </row>
    <row r="176" spans="2:9" ht="14.45">
      <c r="B176" s="31"/>
      <c r="C176" s="21"/>
      <c r="D176" s="21"/>
      <c r="E176" s="21"/>
      <c r="F176" s="22"/>
      <c r="G176" s="21"/>
      <c r="H176" s="21"/>
      <c r="I176" s="22"/>
    </row>
    <row r="177" spans="2:9" ht="14.45">
      <c r="B177" s="31"/>
      <c r="C177" s="21"/>
      <c r="D177" s="21"/>
      <c r="E177" s="21"/>
      <c r="F177" s="22"/>
      <c r="G177" s="21"/>
      <c r="H177" s="21"/>
      <c r="I177" s="22"/>
    </row>
    <row r="178" spans="2:9" ht="14.45">
      <c r="B178" s="31"/>
      <c r="C178" s="21"/>
      <c r="D178" s="21"/>
      <c r="E178" s="21"/>
      <c r="F178" s="22"/>
      <c r="G178" s="21"/>
      <c r="H178" s="21"/>
      <c r="I178" s="22"/>
    </row>
    <row r="179" spans="2:9" ht="14.45">
      <c r="B179" s="31"/>
      <c r="C179" s="21"/>
      <c r="D179" s="21"/>
      <c r="E179" s="21"/>
      <c r="F179" s="22"/>
      <c r="G179" s="21"/>
      <c r="H179" s="21"/>
      <c r="I179" s="22"/>
    </row>
    <row r="180" spans="2:9" ht="14.45">
      <c r="B180" s="31"/>
      <c r="C180" s="21"/>
      <c r="D180" s="21"/>
      <c r="E180" s="21"/>
      <c r="F180" s="22"/>
      <c r="G180" s="21"/>
      <c r="H180" s="21"/>
      <c r="I180" s="22"/>
    </row>
    <row r="181" spans="2:9" ht="14.45">
      <c r="B181" s="31"/>
      <c r="C181" s="21"/>
      <c r="D181" s="21"/>
      <c r="E181" s="21"/>
      <c r="F181" s="22"/>
      <c r="G181" s="21"/>
      <c r="H181" s="21"/>
      <c r="I181" s="22"/>
    </row>
    <row r="182" spans="2:9" ht="14.45">
      <c r="B182" s="31"/>
      <c r="C182" s="21"/>
      <c r="D182" s="21"/>
      <c r="E182" s="21"/>
      <c r="F182" s="22"/>
      <c r="G182" s="21"/>
      <c r="H182" s="21"/>
      <c r="I182" s="22"/>
    </row>
    <row r="183" spans="2:9" ht="14.45">
      <c r="B183" s="31"/>
      <c r="C183" s="21"/>
      <c r="D183" s="21"/>
      <c r="E183" s="21"/>
      <c r="F183" s="22"/>
      <c r="G183" s="21"/>
      <c r="H183" s="21"/>
      <c r="I183" s="22"/>
    </row>
    <row r="184" spans="2:9" ht="14.45">
      <c r="B184" s="31"/>
      <c r="C184" s="21"/>
      <c r="D184" s="21"/>
      <c r="E184" s="21"/>
      <c r="F184" s="22"/>
      <c r="G184" s="21"/>
      <c r="H184" s="21"/>
      <c r="I184" s="22"/>
    </row>
    <row r="185" spans="2:9" ht="14.45">
      <c r="B185" s="31"/>
      <c r="C185" s="21"/>
      <c r="D185" s="21"/>
      <c r="E185" s="21"/>
      <c r="F185" s="22"/>
      <c r="G185" s="21"/>
      <c r="H185" s="21"/>
      <c r="I185" s="22"/>
    </row>
    <row r="186" spans="2:9" ht="14.45">
      <c r="B186" s="31"/>
      <c r="C186" s="21"/>
      <c r="D186" s="21"/>
      <c r="E186" s="21"/>
      <c r="F186" s="22"/>
      <c r="G186" s="21"/>
      <c r="H186" s="21"/>
      <c r="I186" s="22"/>
    </row>
    <row r="187" spans="2:9" ht="14.45">
      <c r="B187" s="31"/>
      <c r="C187" s="21"/>
      <c r="D187" s="21"/>
      <c r="E187" s="21"/>
      <c r="F187" s="22"/>
      <c r="G187" s="21"/>
      <c r="H187" s="21"/>
      <c r="I187" s="22"/>
    </row>
    <row r="188" spans="2:9" ht="14.45">
      <c r="B188" s="31"/>
      <c r="C188" s="21"/>
      <c r="D188" s="21"/>
      <c r="E188" s="21"/>
      <c r="F188" s="22"/>
      <c r="G188" s="21"/>
      <c r="H188" s="21"/>
      <c r="I188" s="22"/>
    </row>
    <row r="189" spans="2:9" ht="14.45">
      <c r="B189" s="31"/>
      <c r="C189" s="21"/>
      <c r="D189" s="21"/>
      <c r="E189" s="21"/>
      <c r="F189" s="22"/>
      <c r="G189" s="21"/>
      <c r="H189" s="21"/>
      <c r="I189" s="22"/>
    </row>
    <row r="190" spans="2:9" ht="14.45">
      <c r="B190" s="31"/>
      <c r="C190" s="21"/>
      <c r="D190" s="21"/>
      <c r="E190" s="21"/>
      <c r="F190" s="22"/>
      <c r="G190" s="21"/>
      <c r="H190" s="21"/>
      <c r="I190" s="22"/>
    </row>
    <row r="191" spans="2:9" ht="14.45">
      <c r="B191" s="31"/>
      <c r="C191" s="21"/>
      <c r="D191" s="21"/>
      <c r="E191" s="21"/>
      <c r="F191" s="22"/>
      <c r="G191" s="21"/>
      <c r="H191" s="21"/>
      <c r="I191" s="22"/>
    </row>
    <row r="192" spans="2:9" ht="14.45">
      <c r="B192" s="31"/>
      <c r="C192" s="21"/>
      <c r="D192" s="21"/>
      <c r="E192" s="21"/>
      <c r="F192" s="22"/>
      <c r="G192" s="21"/>
      <c r="H192" s="21"/>
      <c r="I192" s="22"/>
    </row>
    <row r="193" spans="2:9" ht="14.45">
      <c r="B193" s="31"/>
      <c r="C193" s="21"/>
      <c r="D193" s="21"/>
      <c r="E193" s="21"/>
      <c r="F193" s="22"/>
      <c r="G193" s="21"/>
      <c r="H193" s="21"/>
      <c r="I193" s="22"/>
    </row>
    <row r="194" spans="2:9" ht="14.45">
      <c r="B194" s="31"/>
      <c r="C194" s="21"/>
      <c r="D194" s="21"/>
      <c r="E194" s="21"/>
      <c r="F194" s="22"/>
      <c r="G194" s="21"/>
      <c r="H194" s="21"/>
      <c r="I194" s="22"/>
    </row>
    <row r="195" spans="2:9" ht="14.45">
      <c r="B195" s="31"/>
      <c r="C195" s="21"/>
      <c r="D195" s="21"/>
      <c r="E195" s="21"/>
      <c r="F195" s="22"/>
      <c r="G195" s="21"/>
      <c r="H195" s="21"/>
      <c r="I195" s="22"/>
    </row>
    <row r="196" spans="2:9" ht="14.45">
      <c r="B196" s="31"/>
      <c r="C196" s="21"/>
      <c r="D196" s="21"/>
      <c r="E196" s="21"/>
      <c r="F196" s="22"/>
      <c r="G196" s="21"/>
      <c r="H196" s="21"/>
      <c r="I196" s="22"/>
    </row>
    <row r="197" spans="2:9" ht="14.45">
      <c r="B197" s="31"/>
      <c r="C197" s="21"/>
      <c r="D197" s="21"/>
      <c r="E197" s="21"/>
      <c r="F197" s="22"/>
      <c r="G197" s="21"/>
      <c r="H197" s="21"/>
      <c r="I197" s="22"/>
    </row>
    <row r="198" spans="2:9" ht="14.45">
      <c r="B198" s="31"/>
      <c r="C198" s="21"/>
      <c r="D198" s="21"/>
      <c r="E198" s="21"/>
      <c r="F198" s="22"/>
      <c r="G198" s="21"/>
      <c r="H198" s="21"/>
      <c r="I198" s="22"/>
    </row>
    <row r="199" spans="2:9" ht="14.45">
      <c r="B199" s="31"/>
      <c r="C199" s="21"/>
      <c r="D199" s="21"/>
      <c r="E199" s="21"/>
      <c r="F199" s="22"/>
      <c r="G199" s="21"/>
      <c r="H199" s="21"/>
      <c r="I199" s="22"/>
    </row>
    <row r="200" spans="2:9" ht="14.45">
      <c r="B200" s="31"/>
      <c r="C200" s="21"/>
      <c r="D200" s="21"/>
      <c r="E200" s="21"/>
      <c r="F200" s="22"/>
      <c r="G200" s="21"/>
      <c r="H200" s="21"/>
      <c r="I200" s="22"/>
    </row>
    <row r="201" spans="2:9" ht="14.45">
      <c r="B201" s="31"/>
      <c r="C201" s="21"/>
      <c r="D201" s="21"/>
      <c r="E201" s="21"/>
      <c r="F201" s="22"/>
      <c r="G201" s="21"/>
      <c r="H201" s="21"/>
      <c r="I201" s="22"/>
    </row>
    <row r="202" spans="2:9" ht="14.45">
      <c r="B202" s="31"/>
      <c r="C202" s="21"/>
      <c r="D202" s="21"/>
      <c r="E202" s="21"/>
      <c r="F202" s="22"/>
      <c r="G202" s="21"/>
      <c r="H202" s="21"/>
      <c r="I202" s="22"/>
    </row>
    <row r="203" spans="2:9" ht="14.45">
      <c r="B203" s="31"/>
      <c r="C203" s="21"/>
      <c r="D203" s="21"/>
      <c r="E203" s="21"/>
      <c r="F203" s="22"/>
      <c r="G203" s="21"/>
      <c r="H203" s="21"/>
      <c r="I203" s="22"/>
    </row>
    <row r="204" spans="2:9" ht="14.45">
      <c r="B204" s="31"/>
      <c r="C204" s="21"/>
      <c r="D204" s="21"/>
      <c r="E204" s="21"/>
      <c r="F204" s="22"/>
      <c r="G204" s="21"/>
      <c r="H204" s="21"/>
      <c r="I204" s="22"/>
    </row>
    <row r="205" spans="2:9" ht="14.45">
      <c r="B205" s="31"/>
      <c r="C205" s="21"/>
      <c r="D205" s="21"/>
      <c r="E205" s="21"/>
      <c r="F205" s="22"/>
      <c r="G205" s="21"/>
      <c r="H205" s="21"/>
      <c r="I205" s="22"/>
    </row>
    <row r="206" spans="2:9" ht="14.45">
      <c r="B206" s="31"/>
      <c r="C206" s="21"/>
      <c r="D206" s="21"/>
      <c r="E206" s="21"/>
      <c r="F206" s="22"/>
      <c r="G206" s="21"/>
      <c r="H206" s="21"/>
      <c r="I206" s="22"/>
    </row>
    <row r="207" spans="2:9" ht="14.45">
      <c r="B207" s="31"/>
      <c r="C207" s="21"/>
      <c r="D207" s="21"/>
      <c r="E207" s="21"/>
      <c r="F207" s="22"/>
      <c r="G207" s="21"/>
      <c r="H207" s="21"/>
      <c r="I207" s="22"/>
    </row>
    <row r="208" spans="2:9" ht="14.45">
      <c r="B208" s="31"/>
      <c r="C208" s="21"/>
      <c r="D208" s="21"/>
      <c r="E208" s="21"/>
      <c r="F208" s="22"/>
      <c r="G208" s="21"/>
      <c r="H208" s="21"/>
      <c r="I208" s="22"/>
    </row>
    <row r="209" spans="2:9" ht="14.45">
      <c r="B209" s="31"/>
      <c r="C209" s="21"/>
      <c r="D209" s="21"/>
      <c r="E209" s="21"/>
      <c r="F209" s="22"/>
      <c r="G209" s="21"/>
      <c r="H209" s="21"/>
      <c r="I209" s="22"/>
    </row>
    <row r="210" spans="2:9" ht="14.45">
      <c r="B210" s="31"/>
      <c r="C210" s="21"/>
      <c r="D210" s="21"/>
      <c r="E210" s="21"/>
      <c r="F210" s="22"/>
      <c r="G210" s="21"/>
      <c r="H210" s="21"/>
      <c r="I210" s="22"/>
    </row>
    <row r="211" spans="2:9" ht="14.45">
      <c r="B211" s="31"/>
      <c r="C211" s="21"/>
      <c r="D211" s="21"/>
      <c r="E211" s="21"/>
      <c r="F211" s="22"/>
      <c r="G211" s="21"/>
      <c r="H211" s="21"/>
      <c r="I211" s="22"/>
    </row>
    <row r="212" spans="2:9" ht="14.45">
      <c r="B212" s="31"/>
      <c r="C212" s="21"/>
      <c r="D212" s="21"/>
      <c r="E212" s="21"/>
      <c r="F212" s="22"/>
      <c r="G212" s="21"/>
      <c r="H212" s="21"/>
      <c r="I212" s="22"/>
    </row>
    <row r="213" spans="2:9" ht="14.45">
      <c r="B213" s="31"/>
      <c r="C213" s="21"/>
      <c r="D213" s="21"/>
      <c r="E213" s="21"/>
      <c r="F213" s="22"/>
      <c r="G213" s="21"/>
      <c r="H213" s="21"/>
      <c r="I213" s="22"/>
    </row>
    <row r="214" spans="2:9" ht="14.45">
      <c r="B214" s="31"/>
      <c r="C214" s="21"/>
      <c r="D214" s="21"/>
      <c r="E214" s="21"/>
      <c r="F214" s="22"/>
      <c r="G214" s="21"/>
      <c r="H214" s="21"/>
      <c r="I214" s="22"/>
    </row>
    <row r="215" spans="2:9" ht="14.45">
      <c r="B215" s="31"/>
      <c r="C215" s="21"/>
      <c r="D215" s="21"/>
      <c r="E215" s="21"/>
      <c r="F215" s="22"/>
      <c r="G215" s="21"/>
      <c r="H215" s="21"/>
      <c r="I215" s="22"/>
    </row>
    <row r="216" spans="2:9" ht="14.45">
      <c r="B216" s="31"/>
      <c r="C216" s="21"/>
      <c r="D216" s="21"/>
      <c r="E216" s="21"/>
      <c r="F216" s="22"/>
      <c r="G216" s="21"/>
      <c r="H216" s="21"/>
      <c r="I216" s="22"/>
    </row>
    <row r="217" spans="2:9" ht="14.45">
      <c r="B217" s="31"/>
      <c r="C217" s="21"/>
      <c r="D217" s="21"/>
      <c r="E217" s="21"/>
      <c r="F217" s="22"/>
      <c r="G217" s="21"/>
      <c r="H217" s="21"/>
      <c r="I217" s="22"/>
    </row>
    <row r="218" spans="2:9" ht="14.45">
      <c r="B218" s="31"/>
      <c r="C218" s="21"/>
      <c r="D218" s="21"/>
      <c r="E218" s="21"/>
      <c r="F218" s="22"/>
      <c r="G218" s="21"/>
      <c r="H218" s="21"/>
      <c r="I218" s="22"/>
    </row>
    <row r="219" spans="2:9" ht="14.45">
      <c r="B219" s="31"/>
      <c r="C219" s="21"/>
      <c r="D219" s="21"/>
      <c r="E219" s="21"/>
      <c r="F219" s="22"/>
      <c r="G219" s="21"/>
      <c r="H219" s="21"/>
      <c r="I219" s="22"/>
    </row>
    <row r="220" spans="2:9" ht="14.45">
      <c r="B220" s="31"/>
      <c r="C220" s="21"/>
      <c r="D220" s="21"/>
      <c r="E220" s="21"/>
      <c r="F220" s="22"/>
      <c r="G220" s="21"/>
      <c r="H220" s="21"/>
      <c r="I220" s="22"/>
    </row>
    <row r="221" spans="2:9" ht="14.45">
      <c r="B221" s="31"/>
      <c r="C221" s="21"/>
      <c r="D221" s="21"/>
      <c r="E221" s="21"/>
      <c r="F221" s="22"/>
      <c r="G221" s="21"/>
      <c r="H221" s="21"/>
      <c r="I221" s="22"/>
    </row>
    <row r="222" spans="2:9" ht="14.45">
      <c r="B222" s="31"/>
      <c r="C222" s="21"/>
      <c r="D222" s="21"/>
      <c r="E222" s="21"/>
      <c r="F222" s="22"/>
      <c r="G222" s="21"/>
      <c r="H222" s="21"/>
      <c r="I222" s="22"/>
    </row>
    <row r="223" spans="2:9" ht="14.45">
      <c r="B223" s="31"/>
      <c r="C223" s="21"/>
      <c r="D223" s="21"/>
      <c r="E223" s="21"/>
      <c r="F223" s="22"/>
      <c r="G223" s="21"/>
      <c r="H223" s="21"/>
      <c r="I223" s="22"/>
    </row>
    <row r="224" spans="2:9" ht="14.45">
      <c r="B224" s="31"/>
      <c r="C224" s="21"/>
      <c r="D224" s="21"/>
      <c r="E224" s="21"/>
      <c r="F224" s="22"/>
      <c r="G224" s="21"/>
      <c r="H224" s="21"/>
      <c r="I224" s="22"/>
    </row>
    <row r="225" spans="2:9" ht="14.45">
      <c r="B225" s="31"/>
      <c r="C225" s="21"/>
      <c r="D225" s="21"/>
      <c r="E225" s="21"/>
      <c r="F225" s="22"/>
      <c r="G225" s="21"/>
      <c r="H225" s="21"/>
      <c r="I225" s="22"/>
    </row>
    <row r="226" spans="2:9" ht="14.45">
      <c r="B226" s="31"/>
      <c r="C226" s="21"/>
      <c r="D226" s="21"/>
      <c r="E226" s="21"/>
      <c r="F226" s="22"/>
      <c r="G226" s="21"/>
      <c r="H226" s="21"/>
      <c r="I226" s="22"/>
    </row>
    <row r="227" spans="2:9" ht="14.45">
      <c r="B227" s="31"/>
      <c r="C227" s="21"/>
      <c r="D227" s="21"/>
      <c r="E227" s="21"/>
      <c r="F227" s="22"/>
      <c r="G227" s="21"/>
      <c r="H227" s="21"/>
      <c r="I227" s="22"/>
    </row>
    <row r="228" spans="2:9" ht="14.45">
      <c r="B228" s="31"/>
      <c r="C228" s="21"/>
      <c r="D228" s="21"/>
      <c r="E228" s="21"/>
      <c r="F228" s="22"/>
      <c r="G228" s="21"/>
      <c r="H228" s="21"/>
      <c r="I228" s="22"/>
    </row>
    <row r="229" spans="2:9" ht="14.45">
      <c r="B229" s="31"/>
      <c r="C229" s="21"/>
      <c r="D229" s="21"/>
      <c r="E229" s="21"/>
      <c r="F229" s="22"/>
      <c r="G229" s="21"/>
      <c r="H229" s="21"/>
      <c r="I229" s="22"/>
    </row>
    <row r="230" spans="2:9" ht="14.45">
      <c r="B230" s="31"/>
      <c r="C230" s="21"/>
      <c r="D230" s="21"/>
      <c r="E230" s="21"/>
      <c r="F230" s="22"/>
      <c r="G230" s="21"/>
      <c r="H230" s="21"/>
      <c r="I230" s="22"/>
    </row>
    <row r="231" spans="2:9" ht="14.45">
      <c r="B231" s="31"/>
      <c r="C231" s="21"/>
      <c r="D231" s="21"/>
      <c r="E231" s="21"/>
      <c r="F231" s="22"/>
      <c r="G231" s="21"/>
      <c r="H231" s="21"/>
      <c r="I231" s="22"/>
    </row>
    <row r="232" spans="2:9" ht="14.45">
      <c r="B232" s="31"/>
      <c r="C232" s="21"/>
      <c r="D232" s="21"/>
      <c r="E232" s="21"/>
      <c r="F232" s="22"/>
      <c r="G232" s="21"/>
      <c r="H232" s="21"/>
      <c r="I232" s="22"/>
    </row>
    <row r="233" spans="2:9" ht="14.45">
      <c r="B233" s="31"/>
      <c r="C233" s="21"/>
      <c r="D233" s="21"/>
      <c r="E233" s="21"/>
      <c r="F233" s="22"/>
      <c r="G233" s="21"/>
      <c r="H233" s="21"/>
      <c r="I233" s="22"/>
    </row>
    <row r="234" spans="2:9" ht="14.45">
      <c r="B234" s="31"/>
      <c r="C234" s="21"/>
      <c r="D234" s="21"/>
      <c r="E234" s="21"/>
      <c r="F234" s="22"/>
      <c r="G234" s="21"/>
      <c r="H234" s="21"/>
      <c r="I234" s="22"/>
    </row>
    <row r="235" spans="2:9" ht="14.45">
      <c r="B235" s="31"/>
      <c r="C235" s="21"/>
      <c r="D235" s="21"/>
      <c r="E235" s="21"/>
      <c r="F235" s="22"/>
      <c r="G235" s="21"/>
      <c r="H235" s="21"/>
      <c r="I235" s="22"/>
    </row>
    <row r="236" spans="2:9" ht="14.45">
      <c r="B236" s="31"/>
      <c r="C236" s="21"/>
      <c r="D236" s="21"/>
      <c r="E236" s="21"/>
      <c r="F236" s="22"/>
      <c r="G236" s="21"/>
      <c r="H236" s="21"/>
      <c r="I236" s="22"/>
    </row>
    <row r="237" spans="2:9" ht="14.45">
      <c r="B237" s="31"/>
      <c r="C237" s="21"/>
      <c r="D237" s="21"/>
      <c r="E237" s="21"/>
      <c r="F237" s="22"/>
      <c r="G237" s="21"/>
      <c r="H237" s="21"/>
      <c r="I237" s="22"/>
    </row>
    <row r="238" spans="2:9" ht="14.45">
      <c r="B238" s="31"/>
      <c r="C238" s="21"/>
      <c r="D238" s="21"/>
      <c r="E238" s="21"/>
      <c r="F238" s="22"/>
      <c r="G238" s="21"/>
      <c r="H238" s="21"/>
      <c r="I238" s="22"/>
    </row>
    <row r="239" spans="2:9" ht="14.45">
      <c r="B239" s="31"/>
      <c r="C239" s="21"/>
      <c r="D239" s="21"/>
      <c r="E239" s="21"/>
      <c r="F239" s="22"/>
      <c r="G239" s="21"/>
      <c r="H239" s="21"/>
      <c r="I239" s="22"/>
    </row>
    <row r="240" spans="2:9" ht="14.45">
      <c r="B240" s="31"/>
      <c r="C240" s="21"/>
      <c r="D240" s="21"/>
      <c r="E240" s="21"/>
      <c r="F240" s="22"/>
      <c r="G240" s="21"/>
      <c r="H240" s="21"/>
      <c r="I240" s="22"/>
    </row>
    <row r="241" spans="2:9" ht="14.45">
      <c r="B241" s="31"/>
      <c r="C241" s="21"/>
      <c r="D241" s="21"/>
      <c r="E241" s="21"/>
      <c r="F241" s="22"/>
      <c r="G241" s="21"/>
      <c r="H241" s="21"/>
      <c r="I241" s="22"/>
    </row>
    <row r="242" spans="2:9" ht="14.45">
      <c r="B242" s="31"/>
      <c r="C242" s="21"/>
      <c r="D242" s="21"/>
      <c r="E242" s="21"/>
      <c r="F242" s="22"/>
      <c r="G242" s="21"/>
      <c r="H242" s="21"/>
      <c r="I242" s="22"/>
    </row>
    <row r="243" spans="2:9" ht="14.45">
      <c r="B243" s="31"/>
      <c r="C243" s="21"/>
      <c r="D243" s="21"/>
      <c r="E243" s="21"/>
      <c r="F243" s="22"/>
      <c r="G243" s="21"/>
      <c r="H243" s="21"/>
      <c r="I243" s="22"/>
    </row>
    <row r="244" spans="2:9" ht="14.45">
      <c r="B244" s="31"/>
      <c r="C244" s="21"/>
      <c r="D244" s="21"/>
      <c r="E244" s="21"/>
      <c r="F244" s="22"/>
      <c r="G244" s="21"/>
      <c r="H244" s="21"/>
      <c r="I244" s="22"/>
    </row>
    <row r="245" spans="2:9" ht="14.45">
      <c r="B245" s="31"/>
      <c r="C245" s="21"/>
      <c r="D245" s="21"/>
      <c r="E245" s="21"/>
      <c r="F245" s="22"/>
      <c r="G245" s="21"/>
      <c r="H245" s="21"/>
      <c r="I245" s="22"/>
    </row>
    <row r="246" spans="2:9" ht="14.45">
      <c r="B246" s="31"/>
      <c r="C246" s="21"/>
      <c r="D246" s="21"/>
      <c r="E246" s="21"/>
      <c r="F246" s="22"/>
      <c r="G246" s="21"/>
      <c r="H246" s="21"/>
      <c r="I246" s="22"/>
    </row>
    <row r="247" spans="2:9" ht="14.45">
      <c r="B247" s="31"/>
      <c r="C247" s="21"/>
      <c r="D247" s="21"/>
      <c r="E247" s="21"/>
      <c r="F247" s="22"/>
      <c r="G247" s="21"/>
      <c r="H247" s="21"/>
      <c r="I247" s="22"/>
    </row>
    <row r="248" spans="2:9" ht="14.45">
      <c r="B248" s="31"/>
      <c r="C248" s="21"/>
      <c r="D248" s="21"/>
      <c r="E248" s="21"/>
      <c r="F248" s="22"/>
      <c r="G248" s="21"/>
      <c r="H248" s="21"/>
      <c r="I248" s="22"/>
    </row>
    <row r="249" spans="2:9" ht="14.45">
      <c r="B249" s="31"/>
      <c r="C249" s="21"/>
      <c r="D249" s="21"/>
      <c r="E249" s="21"/>
      <c r="F249" s="22"/>
      <c r="G249" s="21"/>
      <c r="H249" s="21"/>
      <c r="I249" s="22"/>
    </row>
    <row r="250" spans="2:9" ht="14.45">
      <c r="B250" s="31"/>
      <c r="C250" s="21"/>
      <c r="D250" s="21"/>
      <c r="E250" s="21"/>
      <c r="F250" s="22"/>
      <c r="G250" s="21"/>
      <c r="H250" s="21"/>
      <c r="I250" s="22"/>
    </row>
    <row r="251" spans="2:9" ht="14.45">
      <c r="B251" s="31"/>
      <c r="C251" s="21"/>
      <c r="D251" s="21"/>
      <c r="E251" s="21"/>
      <c r="F251" s="22"/>
      <c r="G251" s="21"/>
      <c r="H251" s="21"/>
      <c r="I251" s="22"/>
    </row>
    <row r="252" spans="2:9" ht="14.45">
      <c r="B252" s="31"/>
      <c r="C252" s="21"/>
      <c r="D252" s="21"/>
      <c r="E252" s="21"/>
      <c r="F252" s="22"/>
      <c r="G252" s="21"/>
      <c r="H252" s="21"/>
      <c r="I252" s="22"/>
    </row>
    <row r="253" spans="2:9" ht="14.45">
      <c r="B253" s="31"/>
      <c r="C253" s="21"/>
      <c r="D253" s="21"/>
      <c r="E253" s="21"/>
      <c r="F253" s="22"/>
      <c r="G253" s="21"/>
      <c r="H253" s="21"/>
      <c r="I253" s="22"/>
    </row>
    <row r="254" spans="2:9" ht="14.45">
      <c r="B254" s="31"/>
      <c r="C254" s="21"/>
      <c r="D254" s="21"/>
      <c r="E254" s="21"/>
      <c r="F254" s="22"/>
      <c r="G254" s="21"/>
      <c r="H254" s="21"/>
      <c r="I254" s="22"/>
    </row>
    <row r="255" spans="2:9" ht="14.45">
      <c r="B255" s="31"/>
      <c r="C255" s="21"/>
      <c r="D255" s="21"/>
      <c r="E255" s="21"/>
      <c r="F255" s="22"/>
      <c r="G255" s="21"/>
      <c r="H255" s="21"/>
      <c r="I255" s="22"/>
    </row>
    <row r="256" spans="2:9" ht="14.45">
      <c r="B256" s="31"/>
      <c r="C256" s="21"/>
      <c r="D256" s="21"/>
      <c r="E256" s="21"/>
      <c r="F256" s="22"/>
      <c r="G256" s="21"/>
      <c r="H256" s="21"/>
      <c r="I256" s="22"/>
    </row>
    <row r="257" spans="2:9" ht="14.45">
      <c r="B257" s="31"/>
      <c r="C257" s="21"/>
      <c r="D257" s="21"/>
      <c r="E257" s="21"/>
      <c r="F257" s="22"/>
      <c r="G257" s="21"/>
      <c r="H257" s="21"/>
      <c r="I257" s="22"/>
    </row>
    <row r="258" spans="2:9" ht="14.45">
      <c r="B258" s="31"/>
      <c r="C258" s="21"/>
      <c r="D258" s="21"/>
      <c r="E258" s="21"/>
      <c r="F258" s="22"/>
      <c r="G258" s="21"/>
      <c r="H258" s="21"/>
      <c r="I258" s="22"/>
    </row>
    <row r="259" spans="2:9" ht="14.45">
      <c r="B259" s="31"/>
      <c r="C259" s="21"/>
      <c r="D259" s="21"/>
      <c r="E259" s="21"/>
      <c r="F259" s="22"/>
      <c r="G259" s="21"/>
      <c r="H259" s="21"/>
      <c r="I259" s="22"/>
    </row>
    <row r="260" spans="2:9" ht="14.45">
      <c r="B260" s="31"/>
      <c r="C260" s="21"/>
      <c r="D260" s="21"/>
      <c r="E260" s="21"/>
      <c r="F260" s="22"/>
      <c r="G260" s="21"/>
      <c r="H260" s="21"/>
      <c r="I260" s="22"/>
    </row>
    <row r="261" spans="2:9" ht="14.45">
      <c r="B261" s="31"/>
      <c r="C261" s="21"/>
      <c r="D261" s="21"/>
      <c r="E261" s="21"/>
      <c r="F261" s="22"/>
      <c r="G261" s="21"/>
      <c r="H261" s="21"/>
      <c r="I261" s="22"/>
    </row>
    <row r="262" spans="2:9" ht="14.45">
      <c r="B262" s="31"/>
      <c r="C262" s="21"/>
      <c r="D262" s="21"/>
      <c r="E262" s="21"/>
      <c r="F262" s="22"/>
      <c r="G262" s="21"/>
      <c r="H262" s="21"/>
      <c r="I262" s="22"/>
    </row>
    <row r="263" spans="2:9" ht="14.45">
      <c r="B263" s="31"/>
      <c r="C263" s="21"/>
      <c r="D263" s="21"/>
      <c r="E263" s="21"/>
      <c r="F263" s="22"/>
      <c r="G263" s="21"/>
      <c r="H263" s="21"/>
      <c r="I263" s="22"/>
    </row>
    <row r="264" spans="2:9" ht="14.45">
      <c r="B264" s="31"/>
      <c r="C264" s="21"/>
      <c r="D264" s="21"/>
      <c r="E264" s="21"/>
      <c r="F264" s="22"/>
      <c r="G264" s="21"/>
      <c r="H264" s="21"/>
      <c r="I264" s="22"/>
    </row>
    <row r="265" spans="2:9" ht="14.45">
      <c r="B265" s="31"/>
      <c r="C265" s="21"/>
      <c r="D265" s="21"/>
      <c r="E265" s="21"/>
      <c r="F265" s="22"/>
      <c r="G265" s="21"/>
      <c r="H265" s="21"/>
      <c r="I265" s="22"/>
    </row>
    <row r="266" spans="2:9" ht="14.45">
      <c r="B266" s="31"/>
      <c r="C266" s="21"/>
      <c r="D266" s="21"/>
      <c r="E266" s="21"/>
      <c r="F266" s="22"/>
      <c r="G266" s="21"/>
      <c r="H266" s="21"/>
      <c r="I266" s="22"/>
    </row>
    <row r="267" spans="2:9" ht="14.45">
      <c r="B267" s="31"/>
      <c r="C267" s="21"/>
      <c r="D267" s="21"/>
      <c r="E267" s="21"/>
      <c r="F267" s="22"/>
      <c r="G267" s="21"/>
      <c r="H267" s="21"/>
      <c r="I267" s="22"/>
    </row>
    <row r="268" spans="2:9" ht="14.45">
      <c r="B268" s="31"/>
      <c r="C268" s="21"/>
      <c r="D268" s="21"/>
      <c r="E268" s="21"/>
      <c r="F268" s="22"/>
      <c r="G268" s="21"/>
      <c r="H268" s="21"/>
      <c r="I268" s="22"/>
    </row>
    <row r="269" spans="2:9" ht="14.45">
      <c r="B269" s="31"/>
      <c r="C269" s="21"/>
      <c r="D269" s="21"/>
      <c r="E269" s="21"/>
      <c r="F269" s="22"/>
      <c r="G269" s="21"/>
      <c r="H269" s="21"/>
      <c r="I269" s="22"/>
    </row>
    <row r="270" spans="2:9" ht="14.45">
      <c r="B270" s="31"/>
      <c r="C270" s="21"/>
      <c r="D270" s="21"/>
      <c r="E270" s="21"/>
      <c r="F270" s="22"/>
      <c r="G270" s="21"/>
      <c r="H270" s="21"/>
      <c r="I270" s="22"/>
    </row>
    <row r="271" spans="2:9" ht="14.45">
      <c r="B271" s="31"/>
      <c r="C271" s="21"/>
      <c r="D271" s="21"/>
      <c r="E271" s="21"/>
      <c r="F271" s="22"/>
      <c r="G271" s="21"/>
      <c r="H271" s="21"/>
      <c r="I271" s="22"/>
    </row>
    <row r="272" spans="2:9" ht="14.45">
      <c r="B272" s="31"/>
      <c r="C272" s="21"/>
      <c r="D272" s="21"/>
      <c r="E272" s="21"/>
      <c r="F272" s="22"/>
      <c r="G272" s="21"/>
      <c r="H272" s="21"/>
      <c r="I272" s="22"/>
    </row>
    <row r="273" spans="2:9" ht="14.45">
      <c r="B273" s="31"/>
      <c r="C273" s="21"/>
      <c r="D273" s="21"/>
      <c r="E273" s="21"/>
      <c r="F273" s="22"/>
      <c r="G273" s="21"/>
      <c r="H273" s="21"/>
      <c r="I273" s="22"/>
    </row>
    <row r="274" spans="2:9" ht="14.45">
      <c r="B274" s="31"/>
      <c r="C274" s="21"/>
      <c r="D274" s="21"/>
      <c r="E274" s="21"/>
      <c r="F274" s="22"/>
      <c r="G274" s="21"/>
      <c r="H274" s="21"/>
      <c r="I274" s="22"/>
    </row>
    <row r="275" spans="2:9" ht="14.45">
      <c r="B275" s="31"/>
      <c r="C275" s="21"/>
      <c r="D275" s="21"/>
      <c r="E275" s="21"/>
      <c r="F275" s="22"/>
      <c r="G275" s="21"/>
      <c r="H275" s="21"/>
      <c r="I275" s="22"/>
    </row>
    <row r="276" spans="2:9" ht="14.45">
      <c r="B276" s="31"/>
      <c r="C276" s="21"/>
      <c r="D276" s="21"/>
      <c r="E276" s="21"/>
      <c r="F276" s="22"/>
      <c r="G276" s="21"/>
      <c r="H276" s="21"/>
      <c r="I276" s="22"/>
    </row>
    <row r="277" spans="2:9" ht="14.45">
      <c r="B277" s="31"/>
      <c r="C277" s="21"/>
      <c r="D277" s="21"/>
      <c r="E277" s="21"/>
      <c r="F277" s="22"/>
      <c r="G277" s="21"/>
      <c r="H277" s="21"/>
      <c r="I277" s="22"/>
    </row>
    <row r="278" spans="2:9" ht="14.45">
      <c r="B278" s="31"/>
      <c r="C278" s="21"/>
      <c r="D278" s="21"/>
      <c r="E278" s="21"/>
      <c r="F278" s="22"/>
      <c r="G278" s="21"/>
      <c r="H278" s="21"/>
      <c r="I278" s="22"/>
    </row>
    <row r="279" spans="2:9" ht="14.45">
      <c r="B279" s="31"/>
      <c r="C279" s="21"/>
      <c r="D279" s="21"/>
      <c r="E279" s="21"/>
      <c r="F279" s="22"/>
      <c r="G279" s="21"/>
      <c r="H279" s="21"/>
      <c r="I279" s="22"/>
    </row>
    <row r="280" spans="2:9" ht="14.45">
      <c r="B280" s="31"/>
      <c r="C280" s="21"/>
      <c r="D280" s="21"/>
      <c r="E280" s="21"/>
      <c r="F280" s="22"/>
      <c r="G280" s="21"/>
      <c r="H280" s="21"/>
      <c r="I280" s="22"/>
    </row>
    <row r="281" spans="2:9" ht="14.45">
      <c r="B281" s="31"/>
      <c r="C281" s="21"/>
      <c r="D281" s="21"/>
      <c r="E281" s="21"/>
      <c r="F281" s="22"/>
      <c r="G281" s="21"/>
      <c r="H281" s="21"/>
      <c r="I281" s="22"/>
    </row>
    <row r="282" spans="2:9" ht="14.45">
      <c r="B282" s="31"/>
      <c r="C282" s="21"/>
      <c r="D282" s="21"/>
      <c r="E282" s="21"/>
      <c r="F282" s="22"/>
      <c r="G282" s="21"/>
      <c r="H282" s="21"/>
      <c r="I282" s="22"/>
    </row>
    <row r="283" spans="2:9" ht="14.45">
      <c r="B283" s="31"/>
      <c r="C283" s="21"/>
      <c r="D283" s="21"/>
      <c r="E283" s="21"/>
      <c r="F283" s="22"/>
      <c r="G283" s="21"/>
      <c r="H283" s="21"/>
      <c r="I283" s="22"/>
    </row>
    <row r="284" spans="2:9" ht="14.45">
      <c r="B284" s="31"/>
      <c r="C284" s="21"/>
      <c r="D284" s="21"/>
      <c r="E284" s="21"/>
      <c r="F284" s="22"/>
      <c r="G284" s="21"/>
      <c r="H284" s="21"/>
      <c r="I284" s="22"/>
    </row>
    <row r="285" spans="2:9" ht="14.45">
      <c r="B285" s="31"/>
      <c r="C285" s="21"/>
      <c r="D285" s="21"/>
      <c r="E285" s="21"/>
      <c r="F285" s="22"/>
      <c r="G285" s="21"/>
      <c r="H285" s="21"/>
      <c r="I285" s="22"/>
    </row>
    <row r="286" spans="2:9" ht="14.45">
      <c r="B286" s="31"/>
      <c r="C286" s="21"/>
      <c r="D286" s="21"/>
      <c r="E286" s="21"/>
      <c r="F286" s="22"/>
      <c r="G286" s="21"/>
      <c r="H286" s="21"/>
      <c r="I286" s="22"/>
    </row>
    <row r="287" spans="2:9" ht="14.45">
      <c r="B287" s="31"/>
      <c r="C287" s="21"/>
      <c r="D287" s="21"/>
      <c r="E287" s="21"/>
      <c r="F287" s="22"/>
      <c r="G287" s="21"/>
      <c r="H287" s="21"/>
      <c r="I287" s="22"/>
    </row>
    <row r="288" spans="2:9" ht="14.45">
      <c r="B288" s="31"/>
      <c r="C288" s="21"/>
      <c r="D288" s="21"/>
      <c r="E288" s="21"/>
      <c r="F288" s="22"/>
      <c r="G288" s="21"/>
      <c r="H288" s="21"/>
      <c r="I288" s="22"/>
    </row>
    <row r="289" spans="2:9" ht="14.45">
      <c r="B289" s="31"/>
      <c r="C289" s="21"/>
      <c r="D289" s="21"/>
      <c r="E289" s="21"/>
      <c r="F289" s="22"/>
      <c r="G289" s="21"/>
      <c r="H289" s="21"/>
      <c r="I289" s="22"/>
    </row>
    <row r="290" spans="2:9" ht="14.45">
      <c r="B290" s="31"/>
      <c r="C290" s="21"/>
      <c r="D290" s="21"/>
      <c r="E290" s="21"/>
      <c r="F290" s="22"/>
      <c r="G290" s="21"/>
      <c r="H290" s="21"/>
      <c r="I290" s="22"/>
    </row>
    <row r="291" spans="2:9" ht="14.45">
      <c r="B291" s="31"/>
      <c r="C291" s="21"/>
      <c r="D291" s="21"/>
      <c r="E291" s="21"/>
      <c r="F291" s="22"/>
      <c r="G291" s="21"/>
      <c r="H291" s="21"/>
      <c r="I291" s="22"/>
    </row>
    <row r="292" spans="2:9" ht="14.45">
      <c r="B292" s="31"/>
      <c r="C292" s="21"/>
      <c r="D292" s="21"/>
      <c r="E292" s="21"/>
      <c r="F292" s="22"/>
      <c r="G292" s="21"/>
      <c r="H292" s="21"/>
      <c r="I292" s="22"/>
    </row>
    <row r="293" spans="2:9" ht="14.45">
      <c r="B293" s="31"/>
      <c r="C293" s="21"/>
      <c r="D293" s="21"/>
      <c r="E293" s="21"/>
      <c r="F293" s="22"/>
      <c r="G293" s="21"/>
      <c r="H293" s="21"/>
      <c r="I293" s="22"/>
    </row>
    <row r="294" spans="2:9" ht="14.45">
      <c r="B294" s="31"/>
      <c r="C294" s="21"/>
      <c r="D294" s="21"/>
      <c r="E294" s="21"/>
      <c r="F294" s="22"/>
      <c r="G294" s="21"/>
      <c r="H294" s="21"/>
      <c r="I294" s="22"/>
    </row>
    <row r="295" spans="2:9" ht="14.45">
      <c r="B295" s="31"/>
      <c r="C295" s="21"/>
      <c r="D295" s="21"/>
      <c r="E295" s="21"/>
      <c r="F295" s="22"/>
      <c r="G295" s="21"/>
      <c r="H295" s="21"/>
      <c r="I295" s="22"/>
    </row>
    <row r="296" spans="2:9" ht="14.45">
      <c r="B296" s="31"/>
      <c r="C296" s="21"/>
      <c r="D296" s="21"/>
      <c r="E296" s="21"/>
      <c r="F296" s="22"/>
      <c r="G296" s="21"/>
      <c r="H296" s="21"/>
      <c r="I296" s="22"/>
    </row>
    <row r="297" spans="2:9" ht="14.45">
      <c r="B297" s="31"/>
      <c r="C297" s="21"/>
      <c r="D297" s="21"/>
      <c r="E297" s="21"/>
      <c r="F297" s="22"/>
      <c r="G297" s="21"/>
      <c r="H297" s="21"/>
      <c r="I297" s="22"/>
    </row>
    <row r="298" spans="2:9" ht="14.45">
      <c r="B298" s="31"/>
      <c r="C298" s="21"/>
      <c r="D298" s="21"/>
      <c r="E298" s="21"/>
      <c r="F298" s="22"/>
      <c r="G298" s="21"/>
      <c r="H298" s="21"/>
      <c r="I298" s="22"/>
    </row>
    <row r="299" spans="2:9" ht="14.45">
      <c r="B299" s="31"/>
      <c r="C299" s="21"/>
      <c r="D299" s="21"/>
      <c r="E299" s="21"/>
      <c r="F299" s="22"/>
      <c r="G299" s="21"/>
      <c r="H299" s="21"/>
      <c r="I299" s="22"/>
    </row>
    <row r="300" spans="2:9" ht="14.45">
      <c r="B300" s="31"/>
      <c r="C300" s="21"/>
      <c r="D300" s="21"/>
      <c r="E300" s="21"/>
      <c r="F300" s="22"/>
      <c r="G300" s="21"/>
      <c r="H300" s="21"/>
      <c r="I300" s="22"/>
    </row>
    <row r="301" spans="2:9" ht="14.45">
      <c r="B301" s="31"/>
      <c r="C301" s="21"/>
      <c r="D301" s="21"/>
      <c r="E301" s="21"/>
      <c r="F301" s="22"/>
      <c r="G301" s="21"/>
      <c r="H301" s="21"/>
      <c r="I301" s="22"/>
    </row>
    <row r="302" spans="2:9" ht="14.45">
      <c r="B302" s="31"/>
      <c r="C302" s="21"/>
      <c r="D302" s="21"/>
      <c r="E302" s="21"/>
      <c r="F302" s="22"/>
      <c r="G302" s="21"/>
      <c r="H302" s="21"/>
      <c r="I302" s="22"/>
    </row>
    <row r="303" spans="2:9" ht="14.45">
      <c r="B303" s="31"/>
      <c r="C303" s="21"/>
      <c r="D303" s="21"/>
      <c r="E303" s="21"/>
      <c r="F303" s="22"/>
      <c r="G303" s="21"/>
      <c r="H303" s="21"/>
      <c r="I303" s="22"/>
    </row>
    <row r="304" spans="2:9" ht="14.45">
      <c r="B304" s="31"/>
      <c r="C304" s="21"/>
      <c r="D304" s="21"/>
      <c r="E304" s="21"/>
      <c r="F304" s="22"/>
      <c r="G304" s="21"/>
      <c r="H304" s="21"/>
      <c r="I304" s="22"/>
    </row>
    <row r="305" spans="2:9" ht="14.45">
      <c r="B305" s="31"/>
      <c r="C305" s="21"/>
      <c r="D305" s="21"/>
      <c r="E305" s="21"/>
      <c r="F305" s="22"/>
      <c r="G305" s="21"/>
      <c r="H305" s="21"/>
      <c r="I305" s="22"/>
    </row>
    <row r="306" spans="2:9" ht="14.45">
      <c r="B306" s="31"/>
      <c r="C306" s="21"/>
      <c r="D306" s="21"/>
      <c r="E306" s="21"/>
      <c r="F306" s="22"/>
      <c r="G306" s="21"/>
      <c r="H306" s="21"/>
      <c r="I306" s="22"/>
    </row>
    <row r="307" spans="2:9" ht="14.45">
      <c r="B307" s="31"/>
      <c r="C307" s="21"/>
      <c r="D307" s="21"/>
      <c r="E307" s="21"/>
      <c r="F307" s="22"/>
      <c r="G307" s="21"/>
      <c r="H307" s="21"/>
      <c r="I307" s="22"/>
    </row>
    <row r="308" spans="2:9" ht="14.45">
      <c r="B308" s="31"/>
      <c r="C308" s="21"/>
      <c r="D308" s="21"/>
      <c r="E308" s="21"/>
      <c r="F308" s="22"/>
      <c r="G308" s="21"/>
      <c r="H308" s="21"/>
      <c r="I308" s="22"/>
    </row>
    <row r="309" spans="2:9" ht="14.45">
      <c r="B309" s="31"/>
      <c r="C309" s="21"/>
      <c r="D309" s="21"/>
      <c r="E309" s="21"/>
      <c r="F309" s="22"/>
      <c r="G309" s="21"/>
      <c r="H309" s="21"/>
      <c r="I309" s="22"/>
    </row>
    <row r="310" spans="2:9" ht="14.45">
      <c r="B310" s="31"/>
      <c r="C310" s="21"/>
      <c r="D310" s="21"/>
      <c r="E310" s="21"/>
      <c r="F310" s="22"/>
      <c r="G310" s="21"/>
      <c r="H310" s="21"/>
      <c r="I310" s="22"/>
    </row>
    <row r="311" spans="2:9" ht="14.45">
      <c r="B311" s="31"/>
      <c r="C311" s="21"/>
      <c r="D311" s="21"/>
      <c r="E311" s="21"/>
      <c r="F311" s="22"/>
      <c r="G311" s="21"/>
      <c r="H311" s="21"/>
      <c r="I311" s="22"/>
    </row>
    <row r="312" spans="2:9" ht="14.45">
      <c r="B312" s="31"/>
      <c r="C312" s="21"/>
      <c r="D312" s="21"/>
      <c r="E312" s="21"/>
      <c r="F312" s="22"/>
      <c r="G312" s="21"/>
      <c r="H312" s="21"/>
      <c r="I312" s="22"/>
    </row>
    <row r="313" spans="2:9" ht="14.45">
      <c r="B313" s="31"/>
      <c r="C313" s="21"/>
      <c r="D313" s="21"/>
      <c r="E313" s="21"/>
      <c r="F313" s="22"/>
      <c r="G313" s="21"/>
      <c r="H313" s="21"/>
      <c r="I313" s="22"/>
    </row>
    <row r="314" spans="2:9" ht="14.45">
      <c r="B314" s="31"/>
      <c r="C314" s="21"/>
      <c r="D314" s="21"/>
      <c r="E314" s="21"/>
      <c r="F314" s="22"/>
      <c r="G314" s="21"/>
      <c r="H314" s="21"/>
      <c r="I314" s="22"/>
    </row>
    <row r="315" spans="2:9" ht="14.45">
      <c r="B315" s="31"/>
      <c r="C315" s="21"/>
      <c r="D315" s="21"/>
      <c r="E315" s="21"/>
      <c r="F315" s="22"/>
      <c r="G315" s="21"/>
      <c r="H315" s="21"/>
      <c r="I315" s="22"/>
    </row>
    <row r="316" spans="2:9" ht="14.45">
      <c r="B316" s="31"/>
      <c r="C316" s="21"/>
      <c r="D316" s="21"/>
      <c r="E316" s="21"/>
      <c r="F316" s="22"/>
      <c r="G316" s="21"/>
      <c r="H316" s="21"/>
      <c r="I316" s="22"/>
    </row>
    <row r="317" spans="2:9" ht="14.45">
      <c r="B317" s="31"/>
      <c r="C317" s="21"/>
      <c r="D317" s="21"/>
      <c r="E317" s="21"/>
      <c r="F317" s="22"/>
      <c r="G317" s="21"/>
      <c r="H317" s="21"/>
      <c r="I317" s="22"/>
    </row>
    <row r="318" spans="2:9" ht="14.45">
      <c r="B318" s="31"/>
      <c r="C318" s="21"/>
      <c r="D318" s="21"/>
      <c r="E318" s="21"/>
      <c r="F318" s="22"/>
      <c r="G318" s="21"/>
      <c r="H318" s="21"/>
      <c r="I318" s="22"/>
    </row>
    <row r="319" spans="2:9" ht="14.45">
      <c r="B319" s="31"/>
      <c r="C319" s="21"/>
      <c r="D319" s="21"/>
      <c r="E319" s="21"/>
      <c r="F319" s="22"/>
      <c r="G319" s="21"/>
      <c r="H319" s="21"/>
      <c r="I319" s="22"/>
    </row>
    <row r="320" spans="2:9" ht="14.45">
      <c r="B320" s="31"/>
      <c r="C320" s="21"/>
      <c r="D320" s="21"/>
      <c r="E320" s="21"/>
      <c r="F320" s="22"/>
      <c r="G320" s="21"/>
      <c r="H320" s="21"/>
      <c r="I320" s="22"/>
    </row>
    <row r="321" spans="2:9" ht="14.45">
      <c r="B321" s="31"/>
      <c r="C321" s="21"/>
      <c r="D321" s="21"/>
      <c r="E321" s="21"/>
      <c r="F321" s="22"/>
      <c r="G321" s="21"/>
      <c r="H321" s="21"/>
      <c r="I321" s="22"/>
    </row>
    <row r="322" spans="2:9" ht="14.45">
      <c r="B322" s="31"/>
      <c r="C322" s="21"/>
      <c r="D322" s="21"/>
      <c r="E322" s="21"/>
      <c r="F322" s="22"/>
      <c r="G322" s="21"/>
      <c r="H322" s="21"/>
      <c r="I322" s="22"/>
    </row>
    <row r="323" spans="2:9" ht="14.45">
      <c r="B323" s="31"/>
      <c r="C323" s="21"/>
      <c r="D323" s="21"/>
      <c r="E323" s="21"/>
      <c r="F323" s="22"/>
      <c r="G323" s="21"/>
      <c r="H323" s="21"/>
      <c r="I323" s="22"/>
    </row>
    <row r="324" spans="2:9" ht="14.45">
      <c r="B324" s="31"/>
      <c r="C324" s="21"/>
      <c r="D324" s="21"/>
      <c r="E324" s="21"/>
      <c r="F324" s="22"/>
      <c r="G324" s="21"/>
      <c r="H324" s="21"/>
      <c r="I324" s="22"/>
    </row>
    <row r="325" spans="2:9" ht="14.45">
      <c r="B325" s="31"/>
      <c r="C325" s="21"/>
      <c r="D325" s="21"/>
      <c r="E325" s="21"/>
      <c r="F325" s="22"/>
      <c r="G325" s="21"/>
      <c r="H325" s="21"/>
      <c r="I325" s="22"/>
    </row>
    <row r="326" spans="2:9" ht="14.45">
      <c r="B326" s="31"/>
      <c r="C326" s="21"/>
      <c r="D326" s="21"/>
      <c r="E326" s="21"/>
      <c r="F326" s="22"/>
      <c r="G326" s="21"/>
      <c r="H326" s="21"/>
      <c r="I326" s="22"/>
    </row>
    <row r="327" spans="2:9" ht="14.45">
      <c r="B327" s="31"/>
      <c r="C327" s="21"/>
      <c r="D327" s="21"/>
      <c r="E327" s="21"/>
      <c r="F327" s="22"/>
      <c r="G327" s="21"/>
      <c r="H327" s="21"/>
      <c r="I327" s="22"/>
    </row>
    <row r="328" spans="2:9" ht="14.45">
      <c r="B328" s="31"/>
      <c r="C328" s="21"/>
      <c r="D328" s="21"/>
      <c r="E328" s="21"/>
      <c r="F328" s="22"/>
      <c r="G328" s="21"/>
      <c r="H328" s="21"/>
      <c r="I328" s="22"/>
    </row>
    <row r="329" spans="2:9" ht="14.45">
      <c r="B329" s="31"/>
      <c r="C329" s="21"/>
      <c r="D329" s="21"/>
      <c r="E329" s="21"/>
      <c r="F329" s="22"/>
      <c r="G329" s="21"/>
      <c r="H329" s="21"/>
      <c r="I329" s="22"/>
    </row>
    <row r="330" spans="2:9" ht="14.45">
      <c r="B330" s="31"/>
      <c r="C330" s="21"/>
      <c r="D330" s="21"/>
      <c r="E330" s="21"/>
      <c r="F330" s="22"/>
      <c r="G330" s="21"/>
      <c r="H330" s="21"/>
      <c r="I330" s="22"/>
    </row>
    <row r="331" spans="2:9" ht="14.45">
      <c r="B331" s="31"/>
      <c r="C331" s="21"/>
      <c r="D331" s="21"/>
      <c r="E331" s="21"/>
      <c r="F331" s="22"/>
      <c r="G331" s="21"/>
      <c r="H331" s="21"/>
      <c r="I331" s="22"/>
    </row>
    <row r="332" spans="2:9" ht="14.45">
      <c r="B332" s="31"/>
      <c r="C332" s="21"/>
      <c r="D332" s="21"/>
      <c r="E332" s="21"/>
      <c r="F332" s="22"/>
      <c r="G332" s="21"/>
      <c r="H332" s="21"/>
      <c r="I332" s="22"/>
    </row>
    <row r="333" spans="2:9" ht="14.45">
      <c r="B333" s="31"/>
      <c r="C333" s="21"/>
      <c r="D333" s="21"/>
      <c r="E333" s="21"/>
      <c r="F333" s="22"/>
      <c r="G333" s="21"/>
      <c r="H333" s="21"/>
      <c r="I333" s="22"/>
    </row>
    <row r="334" spans="2:9" ht="14.45">
      <c r="B334" s="31"/>
      <c r="C334" s="21"/>
      <c r="D334" s="21"/>
      <c r="E334" s="21"/>
      <c r="F334" s="22"/>
      <c r="G334" s="21"/>
      <c r="H334" s="21"/>
      <c r="I334" s="22"/>
    </row>
    <row r="335" spans="2:9" ht="14.45">
      <c r="B335" s="31"/>
      <c r="C335" s="21"/>
      <c r="D335" s="21"/>
      <c r="E335" s="21"/>
      <c r="F335" s="22"/>
      <c r="G335" s="21"/>
      <c r="H335" s="21"/>
      <c r="I335" s="22"/>
    </row>
    <row r="336" spans="2:9" ht="14.45">
      <c r="B336" s="31"/>
      <c r="C336" s="21"/>
      <c r="D336" s="21"/>
      <c r="E336" s="21"/>
      <c r="F336" s="22"/>
      <c r="G336" s="21"/>
      <c r="H336" s="21"/>
      <c r="I336" s="22"/>
    </row>
    <row r="337" spans="2:9" ht="14.45">
      <c r="B337" s="31"/>
      <c r="C337" s="21"/>
      <c r="D337" s="21"/>
      <c r="E337" s="21"/>
      <c r="F337" s="22"/>
      <c r="G337" s="21"/>
      <c r="H337" s="21"/>
      <c r="I337" s="22"/>
    </row>
    <row r="338" spans="2:9" ht="14.45">
      <c r="B338" s="31"/>
      <c r="C338" s="21"/>
      <c r="D338" s="21"/>
      <c r="E338" s="21"/>
      <c r="F338" s="22"/>
      <c r="G338" s="21"/>
      <c r="H338" s="21"/>
      <c r="I338" s="22"/>
    </row>
    <row r="339" spans="2:9" ht="14.45">
      <c r="B339" s="31"/>
      <c r="C339" s="21"/>
      <c r="D339" s="21"/>
      <c r="E339" s="21"/>
      <c r="F339" s="22"/>
      <c r="G339" s="21"/>
      <c r="H339" s="21"/>
      <c r="I339" s="22"/>
    </row>
    <row r="340" spans="2:9" ht="14.45">
      <c r="B340" s="31"/>
      <c r="C340" s="21"/>
      <c r="D340" s="21"/>
      <c r="E340" s="21"/>
      <c r="F340" s="22"/>
      <c r="G340" s="21"/>
      <c r="H340" s="21"/>
      <c r="I340" s="22"/>
    </row>
    <row r="341" spans="2:9" ht="14.45">
      <c r="B341" s="31"/>
      <c r="C341" s="21"/>
      <c r="D341" s="21"/>
      <c r="E341" s="21"/>
      <c r="F341" s="22"/>
      <c r="G341" s="21"/>
      <c r="H341" s="21"/>
      <c r="I341" s="22"/>
    </row>
    <row r="342" spans="2:9" ht="14.45">
      <c r="B342" s="31"/>
      <c r="C342" s="21"/>
      <c r="D342" s="21"/>
      <c r="E342" s="21"/>
      <c r="F342" s="22"/>
      <c r="G342" s="21"/>
      <c r="H342" s="21"/>
      <c r="I342" s="22"/>
    </row>
    <row r="343" spans="2:9" ht="14.45">
      <c r="B343" s="31"/>
      <c r="C343" s="21"/>
      <c r="D343" s="21"/>
      <c r="E343" s="21"/>
      <c r="F343" s="22"/>
      <c r="G343" s="21"/>
      <c r="H343" s="21"/>
      <c r="I343" s="22"/>
    </row>
    <row r="344" spans="2:9" ht="14.45">
      <c r="B344" s="31"/>
      <c r="C344" s="21"/>
      <c r="D344" s="21"/>
      <c r="E344" s="21"/>
      <c r="F344" s="22"/>
      <c r="G344" s="21"/>
      <c r="H344" s="21"/>
      <c r="I344" s="22"/>
    </row>
    <row r="345" spans="2:9" ht="14.45">
      <c r="C345" s="21"/>
      <c r="D345" s="21"/>
      <c r="E345" s="21"/>
      <c r="F345" s="22"/>
      <c r="G345" s="21"/>
      <c r="H345" s="21"/>
      <c r="I345" s="22"/>
    </row>
  </sheetData>
  <mergeCells count="4">
    <mergeCell ref="G1:I1"/>
    <mergeCell ref="A1:C1"/>
    <mergeCell ref="D1:F1"/>
    <mergeCell ref="A2:B2"/>
  </mergeCells>
  <conditionalFormatting sqref="F2 I2">
    <cfRule type="cellIs" dxfId="15" priority="9" stopIfTrue="1" operator="lessThanOrEqual">
      <formula>-0.1</formula>
    </cfRule>
    <cfRule type="expression" dxfId="14" priority="10">
      <formula>AND(ISNUMBER(F2), F2&gt;=0.1)</formula>
    </cfRule>
  </conditionalFormatting>
  <conditionalFormatting sqref="F4:F103 I4:I103">
    <cfRule type="cellIs" dxfId="13" priority="7" stopIfTrue="1" operator="lessThanOrEqual">
      <formula>-0.1</formula>
    </cfRule>
    <cfRule type="expression" dxfId="12" priority="8">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AB345"/>
  <sheetViews>
    <sheetView zoomScale="60" zoomScaleNormal="60" workbookViewId="0">
      <pane xSplit="2" ySplit="3" topLeftCell="K35"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style="102" customWidth="1"/>
    <col min="11" max="11" width="20.5703125" style="102" bestFit="1" customWidth="1"/>
    <col min="12" max="12" width="17.42578125" style="73" customWidth="1"/>
    <col min="13" max="28" width="8.85546875" style="73"/>
  </cols>
  <sheetData>
    <row r="1" spans="1:16" ht="19.5" customHeight="1">
      <c r="A1" s="124" t="str" cm="1">
        <f t="array" ref="A1">portfolio</f>
        <v>Lodestar</v>
      </c>
      <c r="B1" s="124"/>
      <c r="C1" s="124"/>
      <c r="D1" s="125" t="s">
        <v>171</v>
      </c>
      <c r="E1" s="125"/>
      <c r="F1" s="125"/>
      <c r="G1" s="123" t="s">
        <v>172</v>
      </c>
      <c r="H1" s="123"/>
      <c r="I1" s="123"/>
      <c r="J1" s="99"/>
      <c r="K1" s="99"/>
      <c r="L1" s="99"/>
    </row>
    <row r="2" spans="1:16" ht="19.5" customHeight="1">
      <c r="A2" s="126" t="s">
        <v>2</v>
      </c>
      <c r="B2" s="126"/>
      <c r="C2" s="5">
        <f>SUM(C4:C103)</f>
        <v>0</v>
      </c>
      <c r="D2" s="5">
        <f>SUM(D4:D103)</f>
        <v>0</v>
      </c>
      <c r="E2" s="5">
        <f>C2-D2</f>
        <v>0</v>
      </c>
      <c r="F2" s="6">
        <f>IFERROR(E2/D2, 0)</f>
        <v>0</v>
      </c>
      <c r="G2" s="5">
        <f>SUM(G4:G103)</f>
        <v>0</v>
      </c>
      <c r="H2" s="7">
        <f>C2-G2</f>
        <v>0</v>
      </c>
      <c r="I2" s="6">
        <f>IFERROR(H2/G2, 0)</f>
        <v>0</v>
      </c>
      <c r="J2" s="103"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99"/>
      <c r="L2" s="99"/>
    </row>
    <row r="3" spans="1:16" ht="14.25" customHeight="1">
      <c r="A3" s="8" t="s">
        <v>3</v>
      </c>
      <c r="B3" s="8" t="s">
        <v>4</v>
      </c>
      <c r="C3" s="23" t="s">
        <v>5</v>
      </c>
      <c r="D3" s="33" t="s">
        <v>6</v>
      </c>
      <c r="E3" s="33" t="s">
        <v>7</v>
      </c>
      <c r="F3" s="34" t="s">
        <v>8</v>
      </c>
      <c r="G3" s="35" t="s">
        <v>9</v>
      </c>
      <c r="H3" s="36" t="s">
        <v>7</v>
      </c>
      <c r="I3" s="37" t="s">
        <v>8</v>
      </c>
      <c r="J3" s="100" t="s">
        <v>20</v>
      </c>
      <c r="K3" s="100" t="s">
        <v>21</v>
      </c>
      <c r="L3" s="100" t="s">
        <v>170</v>
      </c>
    </row>
    <row r="4" spans="1:16" ht="15.6">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c r="L4" s="38"/>
    </row>
    <row r="5" spans="1:16" ht="15.6">
      <c r="A5" s="28" t="str">
        <v>Bunce</v>
      </c>
      <c r="B5" s="29" t="str">
        <v>CT</v>
      </c>
      <c r="C5" s="11"/>
      <c r="D5" s="18"/>
      <c r="E5" s="18" t="str">
        <f t="shared" ref="E5:E27" si="0">IF(AND(ISNUMBER(C5),ISNUMBER(D5)), C5-D5, "")</f>
        <v/>
      </c>
      <c r="F5" s="19" t="str">
        <f>IFERROR(E5/D5, "")</f>
        <v/>
      </c>
      <c r="G5" s="20"/>
      <c r="H5" s="20" t="str">
        <f t="shared" ref="H5:H27" si="1">IF(AND(ISNUMBER(C5),ISNUMBER(G5)), C5-G5, "")</f>
        <v/>
      </c>
      <c r="I5" s="19" t="str">
        <f>IFERROR(H5/G5, "")</f>
        <v/>
      </c>
      <c r="J5" s="47"/>
      <c r="K5" s="47"/>
      <c r="L5" s="47"/>
    </row>
    <row r="6" spans="1:16" ht="15.6">
      <c r="A6" s="30" t="str">
        <v>Norcap North</v>
      </c>
      <c r="B6" s="27" t="str">
        <v>CT</v>
      </c>
      <c r="C6" s="24"/>
      <c r="D6" s="13"/>
      <c r="E6" s="13" t="str">
        <f t="shared" si="0"/>
        <v/>
      </c>
      <c r="F6" s="14" t="str">
        <f t="shared" ref="F6:F27" si="2">IFERROR(E6/D6, "")</f>
        <v/>
      </c>
      <c r="G6" s="15"/>
      <c r="H6" s="15" t="str">
        <f t="shared" si="1"/>
        <v/>
      </c>
      <c r="I6" s="16" t="str">
        <f t="shared" ref="I6:I27" si="3">IFERROR(H6/G6, "")</f>
        <v/>
      </c>
      <c r="J6" s="38"/>
      <c r="K6" s="69"/>
      <c r="L6" s="38"/>
      <c r="M6" s="74"/>
    </row>
    <row r="7" spans="1:16" ht="15.6">
      <c r="A7" s="28" t="str">
        <v>Norcap South</v>
      </c>
      <c r="B7" s="29" t="str">
        <v>CT</v>
      </c>
      <c r="C7" s="11"/>
      <c r="D7" s="18"/>
      <c r="E7" s="18" t="str">
        <f t="shared" si="0"/>
        <v/>
      </c>
      <c r="F7" s="19" t="str">
        <f t="shared" si="2"/>
        <v/>
      </c>
      <c r="G7" s="20"/>
      <c r="H7" s="20" t="str">
        <f t="shared" si="1"/>
        <v/>
      </c>
      <c r="I7" s="19" t="str">
        <f t="shared" si="3"/>
        <v/>
      </c>
      <c r="J7" s="47"/>
      <c r="K7" s="47"/>
      <c r="L7" s="47"/>
    </row>
    <row r="8" spans="1:16" ht="66" customHeight="1">
      <c r="A8" s="30" t="str">
        <v>Platt Hill</v>
      </c>
      <c r="B8" s="27" t="str">
        <v>CT</v>
      </c>
      <c r="C8" s="24"/>
      <c r="D8" s="13"/>
      <c r="E8" s="13" t="str">
        <f t="shared" si="0"/>
        <v/>
      </c>
      <c r="F8" s="14" t="str">
        <f t="shared" si="2"/>
        <v/>
      </c>
      <c r="G8" s="15"/>
      <c r="H8" s="15" t="str">
        <f t="shared" si="1"/>
        <v/>
      </c>
      <c r="I8" s="16" t="str">
        <f t="shared" si="3"/>
        <v/>
      </c>
      <c r="J8" s="38"/>
      <c r="K8" s="69"/>
      <c r="L8" s="38"/>
      <c r="M8" s="74"/>
    </row>
    <row r="9" spans="1:16" ht="100.5" customHeight="1">
      <c r="A9" s="28" t="str">
        <v>Powder Hill</v>
      </c>
      <c r="B9" s="29" t="str">
        <v>CT</v>
      </c>
      <c r="C9" s="11"/>
      <c r="D9" s="18"/>
      <c r="E9" s="18" t="str">
        <f t="shared" si="0"/>
        <v/>
      </c>
      <c r="F9" s="19" t="str">
        <f t="shared" si="2"/>
        <v/>
      </c>
      <c r="G9" s="20"/>
      <c r="H9" s="20" t="str">
        <f t="shared" si="1"/>
        <v/>
      </c>
      <c r="I9" s="19" t="str">
        <f t="shared" si="3"/>
        <v/>
      </c>
      <c r="J9" s="47"/>
      <c r="K9" s="71"/>
      <c r="L9" s="47"/>
      <c r="M9" s="74"/>
      <c r="N9" s="74"/>
      <c r="O9" s="74"/>
      <c r="P9" s="74"/>
    </row>
    <row r="10" spans="1:16" ht="15.6">
      <c r="A10" s="30" t="str">
        <v>Sand Road</v>
      </c>
      <c r="B10" s="27" t="str">
        <v>CT</v>
      </c>
      <c r="C10" s="24"/>
      <c r="D10" s="13"/>
      <c r="E10" s="13" t="str">
        <f t="shared" si="0"/>
        <v/>
      </c>
      <c r="F10" s="14" t="str">
        <f t="shared" si="2"/>
        <v/>
      </c>
      <c r="G10" s="15"/>
      <c r="H10" s="15" t="str">
        <f t="shared" si="1"/>
        <v/>
      </c>
      <c r="I10" s="16" t="str">
        <f t="shared" si="3"/>
        <v/>
      </c>
      <c r="J10" s="38"/>
      <c r="K10" s="38"/>
      <c r="L10" s="38"/>
    </row>
    <row r="11" spans="1:16" ht="15.6">
      <c r="A11" s="28" t="str">
        <v>Suffield</v>
      </c>
      <c r="B11" s="29" t="str">
        <v>CT</v>
      </c>
      <c r="C11" s="11"/>
      <c r="D11" s="18"/>
      <c r="E11" s="18" t="str">
        <f t="shared" si="0"/>
        <v/>
      </c>
      <c r="F11" s="19" t="str">
        <f t="shared" si="2"/>
        <v/>
      </c>
      <c r="G11" s="20"/>
      <c r="H11" s="20" t="str">
        <f t="shared" si="1"/>
        <v/>
      </c>
      <c r="I11" s="19" t="str">
        <f t="shared" si="3"/>
        <v/>
      </c>
      <c r="J11" s="47"/>
      <c r="K11" s="71"/>
      <c r="L11" s="47"/>
    </row>
    <row r="12" spans="1:16" ht="63.75" customHeight="1">
      <c r="A12" s="55" t="str">
        <v>Ashby-Duffy</v>
      </c>
      <c r="B12" s="27" t="str">
        <v>MA</v>
      </c>
      <c r="C12" s="24"/>
      <c r="D12" s="13"/>
      <c r="E12" s="13" t="str">
        <f t="shared" si="0"/>
        <v/>
      </c>
      <c r="F12" s="14" t="str">
        <f t="shared" si="2"/>
        <v/>
      </c>
      <c r="G12" s="15"/>
      <c r="H12" s="15" t="str">
        <f t="shared" si="1"/>
        <v/>
      </c>
      <c r="I12" s="16" t="str">
        <f t="shared" si="3"/>
        <v/>
      </c>
      <c r="J12" s="38"/>
      <c r="K12" s="69"/>
      <c r="L12" s="38"/>
      <c r="M12" s="74"/>
      <c r="N12" s="74"/>
    </row>
    <row r="13" spans="1:16" ht="129.75" customHeight="1">
      <c r="A13" s="28" t="str">
        <v>Ashland</v>
      </c>
      <c r="B13" s="29" t="str">
        <v>MA</v>
      </c>
      <c r="C13" s="11"/>
      <c r="D13" s="18"/>
      <c r="E13" s="18" t="str">
        <f t="shared" si="0"/>
        <v/>
      </c>
      <c r="F13" s="19" t="str">
        <f>IFERROR(E13/D13, "")</f>
        <v/>
      </c>
      <c r="G13" s="20"/>
      <c r="H13" s="20" t="str">
        <f t="shared" si="1"/>
        <v/>
      </c>
      <c r="I13" s="19" t="str">
        <f t="shared" si="3"/>
        <v/>
      </c>
      <c r="J13" s="47"/>
      <c r="K13" s="71"/>
      <c r="L13" s="47"/>
      <c r="M13" s="74"/>
      <c r="N13" s="74"/>
      <c r="O13" s="74"/>
    </row>
    <row r="14" spans="1:16" ht="15.6">
      <c r="A14" s="30" t="str">
        <v>Barrington</v>
      </c>
      <c r="B14" s="27" t="str">
        <v>MA</v>
      </c>
      <c r="C14" s="24"/>
      <c r="D14" s="13"/>
      <c r="E14" s="13" t="str">
        <f t="shared" si="0"/>
        <v/>
      </c>
      <c r="F14" s="14" t="str">
        <f t="shared" si="2"/>
        <v/>
      </c>
      <c r="G14" s="15"/>
      <c r="H14" s="15" t="str">
        <f t="shared" si="1"/>
        <v/>
      </c>
      <c r="I14" s="16" t="str">
        <f t="shared" si="3"/>
        <v/>
      </c>
      <c r="J14" s="38"/>
      <c r="K14" s="38"/>
      <c r="L14" s="38"/>
    </row>
    <row r="15" spans="1:16" ht="15.6">
      <c r="A15" s="28" t="str">
        <v>Bedford - 205 Burlington Rd</v>
      </c>
      <c r="B15" s="29" t="str">
        <v>MA</v>
      </c>
      <c r="C15" s="11"/>
      <c r="D15" s="18"/>
      <c r="E15" s="18" t="str">
        <f t="shared" si="0"/>
        <v/>
      </c>
      <c r="F15" s="19" t="str">
        <f>IFERROR(E15/D15, "")</f>
        <v/>
      </c>
      <c r="G15" s="66"/>
      <c r="H15" s="20" t="str">
        <f t="shared" si="1"/>
        <v/>
      </c>
      <c r="I15" s="19" t="str">
        <f t="shared" si="3"/>
        <v/>
      </c>
      <c r="J15" s="47"/>
      <c r="K15" s="71"/>
      <c r="L15" s="47"/>
      <c r="M15" s="74"/>
    </row>
    <row r="16" spans="1:16" ht="15.6">
      <c r="A16" s="30" t="str">
        <v>Billerica - 6 Cook Street</v>
      </c>
      <c r="B16" s="27" t="str">
        <v>MA</v>
      </c>
      <c r="C16" s="24"/>
      <c r="D16" s="13"/>
      <c r="E16" s="13" t="str">
        <f t="shared" si="0"/>
        <v/>
      </c>
      <c r="F16" s="14" t="str">
        <f t="shared" si="2"/>
        <v/>
      </c>
      <c r="G16" s="67"/>
      <c r="H16" s="15" t="str">
        <f t="shared" si="1"/>
        <v/>
      </c>
      <c r="I16" s="16" t="str">
        <f t="shared" si="3"/>
        <v/>
      </c>
      <c r="J16" s="38"/>
      <c r="K16" s="38"/>
      <c r="L16" s="38"/>
    </row>
    <row r="17" spans="1:16" ht="15.6">
      <c r="A17" s="28" t="str">
        <v>Billerica - 780 Boston Road</v>
      </c>
      <c r="B17" s="29" t="str">
        <v>MA</v>
      </c>
      <c r="C17" s="11"/>
      <c r="D17" s="18"/>
      <c r="E17" s="18" t="str">
        <f t="shared" si="0"/>
        <v/>
      </c>
      <c r="F17" s="19" t="str">
        <f t="shared" si="2"/>
        <v/>
      </c>
      <c r="G17" s="66"/>
      <c r="H17" s="20" t="str">
        <f t="shared" si="1"/>
        <v/>
      </c>
      <c r="I17" s="19" t="str">
        <f t="shared" si="3"/>
        <v/>
      </c>
      <c r="J17" s="47"/>
      <c r="K17" s="47"/>
      <c r="L17" s="47"/>
    </row>
    <row r="18" spans="1:16" ht="12.75" customHeight="1">
      <c r="A18" s="30" t="str">
        <v>Cheshire</v>
      </c>
      <c r="B18" s="27" t="str">
        <v>MA</v>
      </c>
      <c r="C18" s="24"/>
      <c r="D18" s="13"/>
      <c r="E18" s="13" t="str">
        <f t="shared" si="0"/>
        <v/>
      </c>
      <c r="F18" s="14" t="str">
        <f t="shared" si="2"/>
        <v/>
      </c>
      <c r="G18" s="15"/>
      <c r="H18" s="15" t="str">
        <f t="shared" si="1"/>
        <v/>
      </c>
      <c r="I18" s="16" t="str">
        <f t="shared" si="3"/>
        <v/>
      </c>
      <c r="J18" s="38"/>
      <c r="K18" s="69"/>
      <c r="L18" s="38"/>
    </row>
    <row r="19" spans="1:16" ht="15.6">
      <c r="A19" s="28" t="str">
        <v>Lilly Lane</v>
      </c>
      <c r="B19" s="29" t="str">
        <v>MA</v>
      </c>
      <c r="C19" s="11"/>
      <c r="D19" s="18"/>
      <c r="E19" s="18" t="str">
        <f t="shared" si="0"/>
        <v/>
      </c>
      <c r="F19" s="19" t="str">
        <f t="shared" si="2"/>
        <v/>
      </c>
      <c r="G19" s="20"/>
      <c r="H19" s="20" t="str">
        <f t="shared" si="1"/>
        <v/>
      </c>
      <c r="I19" s="19" t="str">
        <f t="shared" si="3"/>
        <v/>
      </c>
      <c r="J19" s="47"/>
      <c r="K19" s="71"/>
      <c r="L19" s="47"/>
      <c r="M19" s="74"/>
      <c r="N19" s="74"/>
      <c r="O19" s="74"/>
    </row>
    <row r="20" spans="1:16" ht="72.75" customHeight="1">
      <c r="A20" s="55" t="str">
        <v>Monument Valley</v>
      </c>
      <c r="B20" s="27" t="str">
        <v>MA</v>
      </c>
      <c r="C20" s="24"/>
      <c r="D20" s="13"/>
      <c r="E20" s="13" t="str">
        <f t="shared" si="0"/>
        <v/>
      </c>
      <c r="F20" s="14" t="str">
        <f t="shared" si="2"/>
        <v/>
      </c>
      <c r="G20" s="15"/>
      <c r="H20" s="15" t="str">
        <f t="shared" si="1"/>
        <v/>
      </c>
      <c r="I20" s="16" t="str">
        <f t="shared" si="3"/>
        <v/>
      </c>
      <c r="J20" s="38"/>
      <c r="K20" s="69"/>
      <c r="L20" s="38"/>
      <c r="M20" s="74"/>
    </row>
    <row r="21" spans="1:16" ht="15.6">
      <c r="A21" s="28" t="str">
        <v>Nationwide</v>
      </c>
      <c r="B21" s="29" t="str">
        <v>MA</v>
      </c>
      <c r="C21" s="11"/>
      <c r="D21" s="18"/>
      <c r="E21" s="18" t="str">
        <f t="shared" si="0"/>
        <v/>
      </c>
      <c r="F21" s="19" t="str">
        <f t="shared" si="2"/>
        <v/>
      </c>
      <c r="G21" s="20"/>
      <c r="H21" s="20" t="str">
        <f t="shared" si="1"/>
        <v/>
      </c>
      <c r="I21" s="19" t="str">
        <f t="shared" si="3"/>
        <v/>
      </c>
      <c r="J21" s="47"/>
      <c r="K21" s="71"/>
      <c r="L21" s="47"/>
      <c r="M21" s="74"/>
    </row>
    <row r="22" spans="1:16" ht="81" customHeight="1">
      <c r="A22" s="30" t="str">
        <v>Pulpit Hill</v>
      </c>
      <c r="B22" s="27" t="str">
        <v>MA</v>
      </c>
      <c r="C22" s="24"/>
      <c r="D22" s="13"/>
      <c r="E22" s="13" t="str">
        <f t="shared" si="0"/>
        <v/>
      </c>
      <c r="F22" s="14" t="str">
        <f t="shared" si="2"/>
        <v/>
      </c>
      <c r="G22" s="15"/>
      <c r="H22" s="15" t="str">
        <f t="shared" si="1"/>
        <v/>
      </c>
      <c r="I22" s="16" t="str">
        <f t="shared" si="3"/>
        <v/>
      </c>
      <c r="J22" s="38"/>
      <c r="K22" s="69"/>
      <c r="L22" s="38"/>
      <c r="M22" s="74"/>
      <c r="N22" s="74"/>
    </row>
    <row r="23" spans="1:16" ht="15.6">
      <c r="A23" s="28" t="str">
        <v>Sandwich</v>
      </c>
      <c r="B23" s="29" t="str">
        <v>MA</v>
      </c>
      <c r="C23" s="11"/>
      <c r="D23" s="18"/>
      <c r="E23" s="18" t="str">
        <f t="shared" si="0"/>
        <v/>
      </c>
      <c r="F23" s="19" t="str">
        <f t="shared" si="2"/>
        <v/>
      </c>
      <c r="G23" s="20"/>
      <c r="H23" s="20" t="str">
        <f t="shared" si="1"/>
        <v/>
      </c>
      <c r="I23" s="19" t="str">
        <f t="shared" si="3"/>
        <v/>
      </c>
      <c r="J23" s="47"/>
      <c r="K23" s="71"/>
      <c r="L23" s="47"/>
      <c r="M23" s="74"/>
    </row>
    <row r="24" spans="1:16" ht="55.5" customHeight="1">
      <c r="A24" s="30" t="str">
        <v>Sturbridge Barn</v>
      </c>
      <c r="B24" s="27" t="str">
        <v>MA</v>
      </c>
      <c r="C24" s="24"/>
      <c r="D24" s="13"/>
      <c r="E24" s="13" t="str">
        <f t="shared" si="0"/>
        <v/>
      </c>
      <c r="F24" s="14" t="str">
        <f t="shared" si="2"/>
        <v/>
      </c>
      <c r="G24" s="15"/>
      <c r="H24" s="15" t="str">
        <f t="shared" si="1"/>
        <v/>
      </c>
      <c r="I24" s="16" t="str">
        <f t="shared" si="3"/>
        <v/>
      </c>
      <c r="J24" s="38"/>
      <c r="K24" s="38"/>
      <c r="L24" s="38"/>
    </row>
    <row r="25" spans="1:16" ht="71.25" customHeight="1">
      <c r="A25" s="28" t="str">
        <v>Sturbridge Garage</v>
      </c>
      <c r="B25" s="29" t="str">
        <v>MA</v>
      </c>
      <c r="C25" s="11"/>
      <c r="D25" s="18"/>
      <c r="E25" s="18" t="str">
        <f t="shared" si="0"/>
        <v/>
      </c>
      <c r="F25" s="19" t="str">
        <f t="shared" si="2"/>
        <v/>
      </c>
      <c r="G25" s="20"/>
      <c r="H25" s="20" t="str">
        <f t="shared" si="1"/>
        <v/>
      </c>
      <c r="I25" s="19" t="str">
        <f t="shared" si="3"/>
        <v/>
      </c>
      <c r="J25" s="47"/>
      <c r="K25" s="71"/>
      <c r="L25" s="47"/>
      <c r="M25" s="74"/>
      <c r="N25" s="74"/>
      <c r="O25" s="74"/>
      <c r="P25" s="74"/>
    </row>
    <row r="26" spans="1:16" ht="15.6">
      <c r="A26" s="30" t="str">
        <v>Halsey Valley</v>
      </c>
      <c r="B26" s="27" t="str">
        <v>NY</v>
      </c>
      <c r="C26" s="24"/>
      <c r="D26" s="13"/>
      <c r="E26" s="13" t="str">
        <f t="shared" si="0"/>
        <v/>
      </c>
      <c r="F26" s="14" t="str">
        <f t="shared" si="2"/>
        <v/>
      </c>
      <c r="G26" s="15"/>
      <c r="H26" s="15" t="str">
        <f t="shared" si="1"/>
        <v/>
      </c>
      <c r="I26" s="16" t="str">
        <f t="shared" si="3"/>
        <v/>
      </c>
      <c r="J26" s="38"/>
      <c r="K26" s="38"/>
      <c r="L26" s="38"/>
    </row>
    <row r="27" spans="1:16" ht="72" customHeight="1">
      <c r="A27" s="28" t="str">
        <v>Hunt Creek</v>
      </c>
      <c r="B27" s="29" t="str">
        <v>NY</v>
      </c>
      <c r="C27" s="11"/>
      <c r="D27" s="18"/>
      <c r="E27" s="18" t="str">
        <f t="shared" si="0"/>
        <v/>
      </c>
      <c r="F27" s="19" t="str">
        <f t="shared" si="2"/>
        <v/>
      </c>
      <c r="G27" s="20"/>
      <c r="H27" s="20" t="str">
        <f t="shared" si="1"/>
        <v/>
      </c>
      <c r="I27" s="19" t="str">
        <f t="shared" si="3"/>
        <v/>
      </c>
      <c r="J27" s="48"/>
      <c r="K27" s="71"/>
      <c r="L27" s="47"/>
      <c r="M27" s="74"/>
    </row>
    <row r="28" spans="1:16" ht="31.5" customHeight="1">
      <c r="A28" s="30" t="str">
        <v>Smith Creek</v>
      </c>
      <c r="B28" s="27" t="str">
        <v>NY</v>
      </c>
      <c r="C28" s="24"/>
      <c r="D28" s="13"/>
      <c r="E28" s="13" t="str">
        <f t="shared" ref="E28:E35" si="4">IF(AND(ISNUMBER(C28),ISNUMBER(D28)), C28-D28, "")</f>
        <v/>
      </c>
      <c r="F28" s="14" t="str">
        <f t="shared" ref="F28:F35" si="5">IFERROR(E28/D28, "")</f>
        <v/>
      </c>
      <c r="G28" s="15"/>
      <c r="H28" s="15" t="str">
        <f t="shared" ref="H28:H35" si="6">IF(AND(ISNUMBER(C28),ISNUMBER(G28)), C28-G28, "")</f>
        <v/>
      </c>
      <c r="I28" s="16" t="str">
        <f t="shared" ref="I28:I35" si="7">IFERROR(H28/G28, "")</f>
        <v/>
      </c>
      <c r="J28" s="38"/>
      <c r="K28" s="69"/>
      <c r="L28" s="38"/>
    </row>
    <row r="29" spans="1:16" ht="15.6">
      <c r="A29" s="28" t="str">
        <v>Bradford - 256 Presidential Dr</v>
      </c>
      <c r="B29" s="29" t="str">
        <v>MA</v>
      </c>
      <c r="C29" s="11"/>
      <c r="D29" s="18"/>
      <c r="E29" s="18" t="str">
        <f t="shared" si="4"/>
        <v/>
      </c>
      <c r="F29" s="19" t="str">
        <f t="shared" si="5"/>
        <v/>
      </c>
      <c r="G29" s="20"/>
      <c r="H29" s="20" t="str">
        <f t="shared" si="6"/>
        <v/>
      </c>
      <c r="I29" s="19" t="str">
        <f t="shared" si="7"/>
        <v/>
      </c>
      <c r="J29" s="48"/>
      <c r="K29" s="71"/>
      <c r="L29" s="47"/>
      <c r="M29" s="74"/>
      <c r="N29" s="74"/>
    </row>
    <row r="30" spans="1:16" ht="15.6">
      <c r="A30" s="30" t="str">
        <v>Charlton – 111 Brookfield Road - Bus Lot</v>
      </c>
      <c r="B30" s="27" t="str">
        <v>MA</v>
      </c>
      <c r="C30" s="24"/>
      <c r="D30" s="13"/>
      <c r="E30" s="13" t="str">
        <f t="shared" si="4"/>
        <v/>
      </c>
      <c r="F30" s="14" t="str">
        <f t="shared" si="5"/>
        <v/>
      </c>
      <c r="G30" s="15"/>
      <c r="H30" s="15" t="str">
        <f t="shared" si="6"/>
        <v/>
      </c>
      <c r="I30" s="16" t="str">
        <f t="shared" si="7"/>
        <v/>
      </c>
      <c r="J30" s="77"/>
      <c r="K30" s="38"/>
      <c r="L30" s="38"/>
    </row>
    <row r="31" spans="1:16" ht="15.6">
      <c r="A31" s="28" t="str">
        <v>Charlton – 154 Center Depot Road KMARD</v>
      </c>
      <c r="B31" s="29" t="str">
        <v>MA</v>
      </c>
      <c r="C31" s="11"/>
      <c r="D31" s="18"/>
      <c r="E31" s="18" t="str">
        <f t="shared" si="4"/>
        <v/>
      </c>
      <c r="F31" s="19" t="str">
        <f t="shared" si="5"/>
        <v/>
      </c>
      <c r="G31" s="20"/>
      <c r="H31" s="20" t="str">
        <f t="shared" si="6"/>
        <v/>
      </c>
      <c r="I31" s="19" t="str">
        <f t="shared" si="7"/>
        <v/>
      </c>
      <c r="J31" s="48"/>
      <c r="K31" s="47"/>
      <c r="L31" s="47"/>
    </row>
    <row r="32" spans="1:16" ht="15.6">
      <c r="A32" s="30" t="str">
        <v>Charlton – 142A Brookfield Rd (Mitchell)</v>
      </c>
      <c r="B32" s="27" t="str">
        <v>MA</v>
      </c>
      <c r="C32" s="24"/>
      <c r="D32" s="13"/>
      <c r="E32" s="13" t="str">
        <f t="shared" si="4"/>
        <v/>
      </c>
      <c r="F32" s="14" t="str">
        <f t="shared" si="5"/>
        <v/>
      </c>
      <c r="G32" s="15"/>
      <c r="H32" s="15" t="str">
        <f t="shared" si="6"/>
        <v/>
      </c>
      <c r="I32" s="16" t="str">
        <f t="shared" si="7"/>
        <v/>
      </c>
      <c r="J32" s="38"/>
      <c r="K32" s="69"/>
      <c r="L32" s="38"/>
    </row>
    <row r="33" spans="1:26" ht="198.75" customHeight="1">
      <c r="A33" s="28" t="str">
        <v>Great Barrington – 3 Nolan  Drive</v>
      </c>
      <c r="B33" s="29" t="str">
        <v>MA</v>
      </c>
      <c r="C33" s="11"/>
      <c r="D33" s="18"/>
      <c r="E33" s="18" t="str">
        <f t="shared" si="4"/>
        <v/>
      </c>
      <c r="F33" s="19" t="str">
        <f t="shared" si="5"/>
        <v/>
      </c>
      <c r="G33" s="20"/>
      <c r="H33" s="20" t="str">
        <f t="shared" si="6"/>
        <v/>
      </c>
      <c r="I33" s="19" t="str">
        <f t="shared" si="7"/>
        <v/>
      </c>
      <c r="J33" s="48"/>
      <c r="K33" s="71"/>
      <c r="L33" s="47"/>
      <c r="M33" s="74"/>
      <c r="N33" s="74"/>
      <c r="O33" s="74"/>
      <c r="P33" s="74"/>
      <c r="Q33" s="74"/>
      <c r="R33" s="74"/>
      <c r="S33" s="74"/>
      <c r="T33" s="74"/>
      <c r="U33" s="74"/>
      <c r="V33" s="74"/>
      <c r="W33" s="74"/>
      <c r="X33" s="74"/>
      <c r="Y33" s="74"/>
      <c r="Z33" s="74"/>
    </row>
    <row r="34" spans="1:26" ht="15.6">
      <c r="A34" s="30" t="str">
        <v>Stockbridge – 92 State Line Road Truck Stop</v>
      </c>
      <c r="B34" s="27" t="str">
        <v>MA</v>
      </c>
      <c r="C34" s="24"/>
      <c r="D34" s="13"/>
      <c r="E34" s="13" t="str">
        <f t="shared" si="4"/>
        <v/>
      </c>
      <c r="F34" s="14" t="str">
        <f t="shared" si="5"/>
        <v/>
      </c>
      <c r="G34" s="15"/>
      <c r="H34" s="15" t="str">
        <f t="shared" si="6"/>
        <v/>
      </c>
      <c r="I34" s="16" t="str">
        <f t="shared" si="7"/>
        <v/>
      </c>
      <c r="J34" s="38"/>
      <c r="K34" s="69"/>
      <c r="L34" s="38"/>
      <c r="M34" s="74"/>
    </row>
    <row r="35" spans="1:26" ht="15.6">
      <c r="A35" s="28" t="str">
        <v>NY: New Windsor - Moores Hill</v>
      </c>
      <c r="B35" s="29" t="str">
        <v>NY</v>
      </c>
      <c r="C35" s="11"/>
      <c r="D35" s="18"/>
      <c r="E35" s="18" t="str">
        <f t="shared" si="4"/>
        <v/>
      </c>
      <c r="F35" s="19" t="str">
        <f t="shared" si="5"/>
        <v/>
      </c>
      <c r="G35" s="20"/>
      <c r="H35" s="20" t="str">
        <f t="shared" si="6"/>
        <v/>
      </c>
      <c r="I35" s="19" t="str">
        <f t="shared" si="7"/>
        <v/>
      </c>
      <c r="J35" s="48"/>
      <c r="K35" s="71"/>
      <c r="L35" s="47"/>
      <c r="M35" s="74"/>
    </row>
    <row r="36" spans="1:26" ht="14.45">
      <c r="A36" s="21"/>
      <c r="B36" s="31"/>
      <c r="C36" s="21"/>
      <c r="D36" s="21"/>
      <c r="E36" s="21"/>
      <c r="F36" s="22"/>
      <c r="G36" s="21"/>
      <c r="H36" s="21"/>
      <c r="I36" s="22"/>
      <c r="J36" s="101"/>
      <c r="K36" s="101"/>
      <c r="L36" s="101"/>
    </row>
    <row r="37" spans="1:26" ht="14.45">
      <c r="A37" s="21"/>
      <c r="B37" s="31"/>
      <c r="C37" s="21"/>
      <c r="D37" s="21"/>
      <c r="E37" s="21"/>
      <c r="F37" s="22"/>
      <c r="G37" s="21"/>
      <c r="H37" s="21"/>
      <c r="I37" s="22"/>
      <c r="J37" s="101"/>
      <c r="K37" s="101"/>
      <c r="L37" s="101"/>
    </row>
    <row r="38" spans="1:26" ht="14.45">
      <c r="A38" s="21"/>
      <c r="B38" s="31"/>
      <c r="C38" s="21"/>
      <c r="D38" s="21"/>
      <c r="E38" s="21"/>
      <c r="F38" s="22"/>
      <c r="G38" s="21"/>
      <c r="H38" s="21"/>
      <c r="I38" s="22"/>
      <c r="J38" s="101"/>
      <c r="K38" s="101"/>
      <c r="L38" s="101"/>
    </row>
    <row r="39" spans="1:26" ht="14.45">
      <c r="A39" s="21"/>
      <c r="B39" s="31"/>
      <c r="C39" s="21"/>
      <c r="D39" s="21"/>
      <c r="E39" s="21"/>
      <c r="F39" s="22"/>
      <c r="G39" s="21"/>
      <c r="H39" s="21"/>
      <c r="I39" s="22"/>
      <c r="J39" s="101"/>
      <c r="K39" s="101"/>
      <c r="L39" s="101"/>
    </row>
    <row r="40" spans="1:26" ht="14.45">
      <c r="A40" s="21"/>
      <c r="B40" s="31"/>
      <c r="C40" s="21"/>
      <c r="D40" s="21"/>
      <c r="E40" s="21"/>
      <c r="F40" s="22"/>
      <c r="G40" s="21"/>
      <c r="H40" s="21"/>
      <c r="I40" s="22"/>
      <c r="J40" s="101"/>
      <c r="K40" s="101"/>
      <c r="L40" s="101"/>
    </row>
    <row r="41" spans="1:26" ht="14.45">
      <c r="A41" s="21"/>
      <c r="B41" s="31"/>
      <c r="C41" s="21"/>
      <c r="D41" s="21"/>
      <c r="E41" s="21"/>
      <c r="F41" s="22"/>
      <c r="G41" s="21"/>
      <c r="H41" s="21"/>
      <c r="I41" s="22"/>
      <c r="J41" s="101"/>
      <c r="K41" s="101"/>
      <c r="L41" s="101"/>
    </row>
    <row r="42" spans="1:26" ht="14.45">
      <c r="A42" s="21"/>
      <c r="B42" s="31"/>
      <c r="C42" s="21"/>
      <c r="D42" s="21"/>
      <c r="E42" s="21"/>
      <c r="F42" s="22"/>
      <c r="G42" s="21"/>
      <c r="H42" s="21"/>
      <c r="I42" s="22"/>
      <c r="J42" s="101"/>
      <c r="K42" s="101"/>
      <c r="L42" s="101"/>
    </row>
    <row r="43" spans="1:26" ht="14.45">
      <c r="A43" s="21"/>
      <c r="B43" s="31"/>
      <c r="C43" s="21"/>
      <c r="D43" s="21"/>
      <c r="E43" s="21"/>
      <c r="F43" s="22"/>
      <c r="G43" s="21"/>
      <c r="H43" s="21"/>
      <c r="I43" s="22"/>
      <c r="J43" s="101"/>
      <c r="K43" s="101"/>
      <c r="L43" s="101"/>
    </row>
    <row r="44" spans="1:26" ht="14.45">
      <c r="A44" s="21"/>
      <c r="B44" s="31"/>
      <c r="C44" s="21"/>
      <c r="D44" s="21"/>
      <c r="E44" s="21"/>
      <c r="F44" s="22"/>
      <c r="G44" s="21"/>
      <c r="H44" s="21"/>
      <c r="I44" s="22"/>
      <c r="J44" s="101"/>
      <c r="K44" s="101"/>
      <c r="L44" s="101"/>
    </row>
    <row r="45" spans="1:26" ht="14.45">
      <c r="A45" s="21"/>
      <c r="B45" s="31"/>
      <c r="C45" s="21"/>
      <c r="D45" s="21"/>
      <c r="E45" s="21"/>
      <c r="F45" s="22"/>
      <c r="G45" s="21"/>
      <c r="H45" s="21"/>
      <c r="I45" s="22"/>
      <c r="J45" s="101"/>
      <c r="K45" s="101"/>
      <c r="L45" s="101"/>
    </row>
    <row r="46" spans="1:26" ht="14.45">
      <c r="A46" s="21"/>
      <c r="B46" s="31"/>
      <c r="C46" s="21"/>
      <c r="D46" s="21"/>
      <c r="E46" s="21"/>
      <c r="F46" s="22"/>
      <c r="G46" s="21"/>
      <c r="H46" s="21"/>
      <c r="I46" s="22"/>
      <c r="J46" s="101"/>
      <c r="K46" s="101"/>
      <c r="L46" s="101"/>
    </row>
    <row r="47" spans="1:26" ht="14.45">
      <c r="A47" s="21"/>
      <c r="B47" s="31"/>
      <c r="C47" s="21"/>
      <c r="D47" s="21"/>
      <c r="E47" s="21"/>
      <c r="F47" s="22"/>
      <c r="G47" s="21"/>
      <c r="H47" s="21"/>
      <c r="I47" s="22"/>
      <c r="J47" s="101"/>
      <c r="K47" s="101"/>
      <c r="L47" s="101"/>
    </row>
    <row r="48" spans="1:26" ht="14.45">
      <c r="A48" s="21"/>
      <c r="B48" s="31"/>
      <c r="C48" s="21"/>
      <c r="D48" s="21"/>
      <c r="E48" s="21"/>
      <c r="F48" s="22"/>
      <c r="G48" s="21"/>
      <c r="H48" s="21"/>
      <c r="I48" s="22"/>
      <c r="J48" s="101"/>
      <c r="K48" s="101"/>
      <c r="L48" s="101"/>
    </row>
    <row r="49" spans="1:12" ht="14.45">
      <c r="A49" s="21"/>
      <c r="B49" s="31"/>
      <c r="C49" s="21"/>
      <c r="D49" s="21"/>
      <c r="E49" s="21"/>
      <c r="F49" s="22"/>
      <c r="G49" s="21"/>
      <c r="H49" s="21"/>
      <c r="I49" s="22"/>
      <c r="J49" s="101"/>
      <c r="K49" s="101"/>
      <c r="L49" s="101"/>
    </row>
    <row r="50" spans="1:12" ht="14.45">
      <c r="A50" s="21"/>
      <c r="B50" s="31"/>
      <c r="C50" s="21"/>
      <c r="D50" s="21"/>
      <c r="E50" s="21"/>
      <c r="F50" s="22"/>
      <c r="G50" s="21"/>
      <c r="H50" s="21"/>
      <c r="I50" s="22"/>
      <c r="J50" s="101"/>
      <c r="K50" s="101"/>
      <c r="L50" s="101"/>
    </row>
    <row r="51" spans="1:12" ht="14.45">
      <c r="A51" s="21"/>
      <c r="B51" s="31"/>
      <c r="C51" s="21"/>
      <c r="D51" s="21"/>
      <c r="E51" s="21"/>
      <c r="F51" s="22"/>
      <c r="G51" s="21"/>
      <c r="H51" s="21"/>
      <c r="I51" s="22"/>
      <c r="J51" s="101"/>
      <c r="K51" s="101"/>
      <c r="L51" s="101"/>
    </row>
    <row r="52" spans="1:12" ht="14.45">
      <c r="A52" s="21"/>
      <c r="B52" s="31"/>
      <c r="C52" s="21"/>
      <c r="D52" s="21"/>
      <c r="E52" s="21"/>
      <c r="F52" s="22"/>
      <c r="G52" s="21"/>
      <c r="H52" s="21"/>
      <c r="I52" s="22"/>
      <c r="J52" s="101"/>
      <c r="K52" s="101"/>
      <c r="L52" s="101"/>
    </row>
    <row r="53" spans="1:12" ht="14.45">
      <c r="A53" s="21"/>
      <c r="B53" s="31"/>
      <c r="C53" s="21"/>
      <c r="D53" s="21"/>
      <c r="E53" s="21"/>
      <c r="F53" s="22"/>
      <c r="G53" s="21"/>
      <c r="H53" s="21"/>
      <c r="I53" s="22"/>
      <c r="J53" s="101"/>
      <c r="K53" s="101"/>
      <c r="L53" s="101"/>
    </row>
    <row r="54" spans="1:12" ht="14.45">
      <c r="A54" s="21"/>
      <c r="B54" s="31"/>
      <c r="C54" s="21"/>
      <c r="D54" s="21"/>
      <c r="E54" s="21"/>
      <c r="F54" s="22"/>
      <c r="G54" s="21"/>
      <c r="H54" s="21"/>
      <c r="I54" s="22"/>
      <c r="J54" s="101"/>
      <c r="K54" s="101"/>
      <c r="L54" s="101"/>
    </row>
    <row r="55" spans="1:12" ht="14.45">
      <c r="A55" s="21"/>
      <c r="B55" s="31"/>
      <c r="C55" s="21"/>
      <c r="D55" s="21"/>
      <c r="E55" s="21"/>
      <c r="F55" s="22"/>
      <c r="G55" s="21"/>
      <c r="H55" s="21"/>
      <c r="I55" s="22"/>
      <c r="J55" s="101"/>
      <c r="K55" s="101"/>
      <c r="L55" s="101"/>
    </row>
    <row r="56" spans="1:12" ht="14.45">
      <c r="A56" s="21"/>
      <c r="B56" s="31"/>
      <c r="C56" s="21"/>
      <c r="D56" s="21"/>
      <c r="E56" s="21"/>
      <c r="F56" s="22"/>
      <c r="G56" s="21"/>
      <c r="H56" s="21"/>
      <c r="I56" s="22"/>
      <c r="J56" s="101"/>
      <c r="K56" s="101"/>
      <c r="L56" s="101"/>
    </row>
    <row r="57" spans="1:12" ht="14.45">
      <c r="A57" s="21"/>
      <c r="B57" s="31"/>
      <c r="C57" s="21"/>
      <c r="D57" s="21"/>
      <c r="E57" s="21"/>
      <c r="F57" s="22"/>
      <c r="G57" s="21"/>
      <c r="H57" s="21"/>
      <c r="I57" s="22"/>
      <c r="J57" s="101"/>
      <c r="K57" s="101"/>
      <c r="L57" s="101"/>
    </row>
    <row r="58" spans="1:12" ht="14.45">
      <c r="A58" s="21"/>
      <c r="B58" s="31"/>
      <c r="C58" s="21"/>
      <c r="D58" s="21"/>
      <c r="E58" s="21"/>
      <c r="F58" s="22"/>
      <c r="G58" s="21"/>
      <c r="H58" s="21"/>
      <c r="I58" s="22"/>
      <c r="J58" s="101"/>
      <c r="K58" s="101"/>
      <c r="L58" s="101"/>
    </row>
    <row r="59" spans="1:12" ht="14.45">
      <c r="A59" s="21"/>
      <c r="B59" s="31"/>
      <c r="C59" s="21"/>
      <c r="D59" s="21"/>
      <c r="E59" s="21"/>
      <c r="F59" s="22"/>
      <c r="G59" s="21"/>
      <c r="H59" s="21"/>
      <c r="I59" s="22"/>
      <c r="J59" s="101"/>
      <c r="K59" s="101"/>
      <c r="L59" s="101"/>
    </row>
    <row r="60" spans="1:12" ht="14.45">
      <c r="A60" s="21"/>
      <c r="B60" s="31"/>
      <c r="C60" s="21"/>
      <c r="D60" s="21"/>
      <c r="E60" s="21"/>
      <c r="F60" s="22"/>
      <c r="G60" s="21"/>
      <c r="H60" s="21"/>
      <c r="I60" s="22"/>
      <c r="J60" s="101"/>
      <c r="K60" s="101"/>
      <c r="L60" s="101"/>
    </row>
    <row r="61" spans="1:12" ht="14.45">
      <c r="A61" s="21"/>
      <c r="B61" s="31"/>
      <c r="C61" s="21"/>
      <c r="D61" s="21"/>
      <c r="E61" s="21"/>
      <c r="F61" s="22"/>
      <c r="G61" s="21"/>
      <c r="H61" s="21"/>
      <c r="I61" s="22"/>
      <c r="J61" s="101"/>
      <c r="K61" s="101"/>
      <c r="L61" s="101"/>
    </row>
    <row r="62" spans="1:12" ht="14.45">
      <c r="A62" s="21"/>
      <c r="B62" s="31"/>
      <c r="C62" s="21"/>
      <c r="D62" s="21"/>
      <c r="E62" s="21"/>
      <c r="F62" s="22"/>
      <c r="G62" s="21"/>
      <c r="H62" s="21"/>
      <c r="I62" s="22"/>
      <c r="J62" s="101"/>
      <c r="K62" s="101"/>
      <c r="L62" s="101"/>
    </row>
    <row r="63" spans="1:12" ht="14.45">
      <c r="A63" s="21"/>
      <c r="B63" s="31"/>
      <c r="C63" s="21"/>
      <c r="D63" s="21"/>
      <c r="E63" s="21"/>
      <c r="F63" s="22"/>
      <c r="G63" s="21"/>
      <c r="H63" s="21"/>
      <c r="I63" s="22"/>
      <c r="J63" s="101"/>
      <c r="K63" s="101"/>
      <c r="L63" s="101"/>
    </row>
    <row r="64" spans="1:12" ht="14.45">
      <c r="A64" s="21"/>
      <c r="B64" s="31"/>
      <c r="C64" s="21"/>
      <c r="D64" s="21"/>
      <c r="E64" s="21"/>
      <c r="F64" s="22"/>
      <c r="G64" s="21"/>
      <c r="H64" s="21"/>
      <c r="I64" s="22"/>
      <c r="J64" s="101"/>
      <c r="K64" s="101"/>
      <c r="L64" s="101"/>
    </row>
    <row r="65" spans="1:12" ht="14.45">
      <c r="A65" s="21"/>
      <c r="B65" s="31"/>
      <c r="C65" s="21"/>
      <c r="D65" s="21"/>
      <c r="E65" s="21"/>
      <c r="F65" s="22"/>
      <c r="G65" s="21"/>
      <c r="H65" s="21"/>
      <c r="I65" s="22"/>
      <c r="J65" s="101"/>
      <c r="K65" s="101"/>
      <c r="L65" s="101"/>
    </row>
    <row r="66" spans="1:12" ht="14.45">
      <c r="A66" s="21"/>
      <c r="B66" s="31"/>
      <c r="C66" s="21"/>
      <c r="D66" s="21"/>
      <c r="E66" s="21"/>
      <c r="F66" s="22"/>
      <c r="G66" s="21"/>
      <c r="H66" s="21"/>
      <c r="I66" s="22"/>
      <c r="J66" s="101"/>
      <c r="K66" s="101"/>
      <c r="L66" s="101"/>
    </row>
    <row r="67" spans="1:12" ht="14.45">
      <c r="A67" s="21"/>
      <c r="B67" s="31"/>
      <c r="C67" s="21"/>
      <c r="D67" s="21"/>
      <c r="E67" s="21"/>
      <c r="F67" s="22"/>
      <c r="G67" s="21"/>
      <c r="H67" s="21"/>
      <c r="I67" s="22"/>
      <c r="J67" s="101"/>
      <c r="K67" s="101"/>
      <c r="L67" s="101"/>
    </row>
    <row r="68" spans="1:12" ht="14.45">
      <c r="A68" s="21"/>
      <c r="B68" s="31"/>
      <c r="C68" s="21"/>
      <c r="D68" s="21"/>
      <c r="E68" s="21"/>
      <c r="F68" s="22"/>
      <c r="G68" s="21"/>
      <c r="H68" s="21"/>
      <c r="I68" s="22"/>
      <c r="J68" s="101"/>
      <c r="K68" s="101"/>
      <c r="L68" s="101"/>
    </row>
    <row r="69" spans="1:12" ht="14.45">
      <c r="A69" s="21"/>
      <c r="B69" s="31"/>
      <c r="C69" s="21"/>
      <c r="D69" s="21"/>
      <c r="E69" s="21"/>
      <c r="F69" s="22"/>
      <c r="G69" s="21"/>
      <c r="H69" s="21"/>
      <c r="I69" s="22"/>
      <c r="J69" s="101"/>
      <c r="K69" s="101"/>
      <c r="L69" s="101"/>
    </row>
    <row r="70" spans="1:12" ht="14.45">
      <c r="A70" s="21"/>
      <c r="B70" s="31"/>
      <c r="C70" s="21"/>
      <c r="D70" s="21"/>
      <c r="E70" s="21"/>
      <c r="F70" s="22"/>
      <c r="G70" s="21"/>
      <c r="H70" s="21"/>
      <c r="I70" s="22"/>
      <c r="J70" s="101"/>
      <c r="K70" s="101"/>
      <c r="L70" s="101"/>
    </row>
    <row r="71" spans="1:12" ht="14.45">
      <c r="A71" s="21"/>
      <c r="B71" s="31"/>
      <c r="C71" s="21"/>
      <c r="D71" s="21"/>
      <c r="E71" s="21"/>
      <c r="F71" s="22"/>
      <c r="G71" s="21"/>
      <c r="H71" s="21"/>
      <c r="I71" s="22"/>
      <c r="J71" s="101"/>
      <c r="K71" s="101"/>
      <c r="L71" s="101"/>
    </row>
    <row r="72" spans="1:12" ht="14.45">
      <c r="A72" s="21"/>
      <c r="B72" s="31"/>
      <c r="C72" s="21"/>
      <c r="D72" s="21"/>
      <c r="E72" s="21"/>
      <c r="F72" s="22"/>
      <c r="G72" s="21"/>
      <c r="H72" s="21"/>
      <c r="I72" s="22"/>
      <c r="J72" s="101"/>
      <c r="K72" s="101"/>
      <c r="L72" s="101"/>
    </row>
    <row r="73" spans="1:12" ht="14.45">
      <c r="A73" s="21"/>
      <c r="B73" s="31"/>
      <c r="C73" s="21"/>
      <c r="D73" s="21"/>
      <c r="E73" s="21"/>
      <c r="F73" s="22"/>
      <c r="G73" s="21"/>
      <c r="H73" s="21"/>
      <c r="I73" s="22"/>
      <c r="J73" s="101"/>
      <c r="K73" s="101"/>
      <c r="L73" s="101"/>
    </row>
    <row r="74" spans="1:12" ht="14.45">
      <c r="A74" s="21"/>
      <c r="B74" s="31"/>
      <c r="C74" s="21"/>
      <c r="D74" s="21"/>
      <c r="E74" s="21"/>
      <c r="F74" s="22"/>
      <c r="G74" s="21"/>
      <c r="H74" s="21"/>
      <c r="I74" s="22"/>
      <c r="J74" s="101"/>
      <c r="K74" s="101"/>
      <c r="L74" s="101"/>
    </row>
    <row r="75" spans="1:12" ht="14.45">
      <c r="A75" s="21"/>
      <c r="B75" s="31"/>
      <c r="C75" s="21"/>
      <c r="D75" s="21"/>
      <c r="E75" s="21"/>
      <c r="F75" s="22"/>
      <c r="G75" s="21"/>
      <c r="H75" s="21"/>
      <c r="I75" s="22"/>
      <c r="J75" s="101"/>
      <c r="K75" s="101"/>
      <c r="L75" s="101"/>
    </row>
    <row r="76" spans="1:12" ht="14.45">
      <c r="A76" s="21"/>
      <c r="B76" s="31"/>
      <c r="C76" s="21"/>
      <c r="D76" s="21"/>
      <c r="E76" s="21"/>
      <c r="F76" s="22"/>
      <c r="G76" s="21"/>
      <c r="H76" s="21"/>
      <c r="I76" s="22"/>
      <c r="J76" s="101"/>
      <c r="K76" s="101"/>
      <c r="L76" s="101"/>
    </row>
    <row r="77" spans="1:12" ht="14.45">
      <c r="A77" s="21"/>
      <c r="B77" s="31"/>
      <c r="C77" s="21"/>
      <c r="D77" s="21"/>
      <c r="E77" s="21"/>
      <c r="F77" s="22"/>
      <c r="G77" s="21"/>
      <c r="H77" s="21"/>
      <c r="I77" s="22"/>
      <c r="J77" s="101"/>
      <c r="K77" s="101"/>
      <c r="L77" s="101"/>
    </row>
    <row r="78" spans="1:12" ht="14.45">
      <c r="A78" s="21"/>
      <c r="B78" s="31"/>
      <c r="C78" s="21"/>
      <c r="D78" s="21"/>
      <c r="E78" s="21"/>
      <c r="F78" s="22"/>
      <c r="G78" s="21"/>
      <c r="H78" s="21"/>
      <c r="I78" s="22"/>
      <c r="J78" s="101"/>
      <c r="K78" s="101"/>
      <c r="L78" s="101"/>
    </row>
    <row r="79" spans="1:12" ht="14.45">
      <c r="A79" s="21"/>
      <c r="B79" s="31"/>
      <c r="C79" s="21"/>
      <c r="D79" s="21"/>
      <c r="E79" s="21"/>
      <c r="F79" s="22"/>
      <c r="G79" s="21"/>
      <c r="H79" s="21"/>
      <c r="I79" s="22"/>
      <c r="J79" s="101"/>
      <c r="K79" s="101"/>
      <c r="L79" s="101"/>
    </row>
    <row r="80" spans="1:12" ht="14.45">
      <c r="A80" s="21"/>
      <c r="B80" s="31"/>
      <c r="C80" s="21"/>
      <c r="D80" s="21"/>
      <c r="E80" s="21"/>
      <c r="F80" s="22"/>
      <c r="G80" s="21"/>
      <c r="H80" s="21"/>
      <c r="I80" s="22"/>
      <c r="J80" s="101"/>
      <c r="K80" s="101"/>
      <c r="L80" s="101"/>
    </row>
    <row r="81" spans="1:12" ht="14.45">
      <c r="A81" s="21"/>
      <c r="B81" s="31"/>
      <c r="C81" s="21"/>
      <c r="D81" s="21"/>
      <c r="E81" s="21"/>
      <c r="F81" s="22"/>
      <c r="G81" s="21"/>
      <c r="H81" s="21"/>
      <c r="I81" s="22"/>
      <c r="J81" s="101"/>
      <c r="K81" s="101"/>
      <c r="L81" s="101"/>
    </row>
    <row r="82" spans="1:12" ht="14.45">
      <c r="A82" s="21"/>
      <c r="B82" s="31"/>
      <c r="C82" s="21"/>
      <c r="D82" s="21"/>
      <c r="E82" s="21"/>
      <c r="F82" s="22"/>
      <c r="G82" s="21"/>
      <c r="H82" s="21"/>
      <c r="I82" s="22"/>
      <c r="J82" s="101"/>
      <c r="K82" s="101"/>
      <c r="L82" s="101"/>
    </row>
    <row r="83" spans="1:12" ht="14.45">
      <c r="A83" s="21"/>
      <c r="B83" s="31"/>
      <c r="C83" s="21"/>
      <c r="D83" s="21"/>
      <c r="E83" s="21"/>
      <c r="F83" s="22"/>
      <c r="G83" s="21"/>
      <c r="H83" s="21"/>
      <c r="I83" s="22"/>
      <c r="J83" s="101"/>
      <c r="K83" s="101"/>
      <c r="L83" s="101"/>
    </row>
    <row r="84" spans="1:12" ht="14.45">
      <c r="A84" s="21"/>
      <c r="B84" s="31"/>
      <c r="C84" s="21"/>
      <c r="D84" s="21"/>
      <c r="E84" s="21"/>
      <c r="F84" s="22"/>
      <c r="G84" s="21"/>
      <c r="H84" s="21"/>
      <c r="I84" s="22"/>
      <c r="J84" s="101"/>
      <c r="K84" s="101"/>
      <c r="L84" s="101"/>
    </row>
    <row r="85" spans="1:12" ht="14.45">
      <c r="A85" s="21"/>
      <c r="B85" s="31"/>
      <c r="C85" s="21"/>
      <c r="D85" s="21"/>
      <c r="E85" s="21"/>
      <c r="F85" s="22"/>
      <c r="G85" s="21"/>
      <c r="H85" s="21"/>
      <c r="I85" s="22"/>
      <c r="J85" s="101"/>
      <c r="K85" s="101"/>
      <c r="L85" s="101"/>
    </row>
    <row r="86" spans="1:12" ht="14.45">
      <c r="A86" s="21"/>
      <c r="B86" s="31"/>
      <c r="C86" s="21"/>
      <c r="D86" s="21"/>
      <c r="E86" s="21"/>
      <c r="F86" s="22"/>
      <c r="G86" s="21"/>
      <c r="H86" s="21"/>
      <c r="I86" s="22"/>
      <c r="J86" s="101"/>
      <c r="K86" s="101"/>
      <c r="L86" s="101"/>
    </row>
    <row r="87" spans="1:12" ht="14.45">
      <c r="A87" s="21"/>
      <c r="B87" s="31"/>
      <c r="C87" s="21"/>
      <c r="D87" s="21"/>
      <c r="E87" s="21"/>
      <c r="F87" s="22"/>
      <c r="G87" s="21"/>
      <c r="H87" s="21"/>
      <c r="I87" s="22"/>
      <c r="J87" s="101"/>
      <c r="K87" s="101"/>
      <c r="L87" s="101"/>
    </row>
    <row r="88" spans="1:12" ht="14.45">
      <c r="A88" s="21"/>
      <c r="B88" s="31"/>
      <c r="C88" s="21"/>
      <c r="D88" s="21"/>
      <c r="E88" s="21"/>
      <c r="F88" s="22"/>
      <c r="G88" s="21"/>
      <c r="H88" s="21"/>
      <c r="I88" s="22"/>
      <c r="J88" s="101"/>
      <c r="K88" s="101"/>
      <c r="L88" s="101"/>
    </row>
    <row r="89" spans="1:12" ht="14.45">
      <c r="A89" s="21"/>
      <c r="B89" s="31"/>
      <c r="C89" s="21"/>
      <c r="D89" s="21"/>
      <c r="E89" s="21"/>
      <c r="F89" s="22"/>
      <c r="G89" s="21"/>
      <c r="H89" s="21"/>
      <c r="I89" s="22"/>
      <c r="J89" s="101"/>
      <c r="K89" s="101"/>
      <c r="L89" s="101"/>
    </row>
    <row r="90" spans="1:12" ht="14.45">
      <c r="A90" s="21"/>
      <c r="B90" s="31"/>
      <c r="C90" s="21"/>
      <c r="D90" s="21"/>
      <c r="E90" s="21"/>
      <c r="F90" s="22"/>
      <c r="G90" s="21"/>
      <c r="H90" s="21"/>
      <c r="I90" s="22"/>
      <c r="J90" s="101"/>
      <c r="K90" s="101"/>
      <c r="L90" s="101"/>
    </row>
    <row r="91" spans="1:12" ht="14.45">
      <c r="A91" s="21"/>
      <c r="B91" s="31"/>
      <c r="C91" s="21"/>
      <c r="D91" s="21"/>
      <c r="E91" s="21"/>
      <c r="F91" s="22"/>
      <c r="G91" s="21"/>
      <c r="H91" s="21"/>
      <c r="I91" s="22"/>
      <c r="J91" s="101"/>
      <c r="K91" s="101"/>
      <c r="L91" s="101"/>
    </row>
    <row r="92" spans="1:12" ht="14.45">
      <c r="A92" s="21"/>
      <c r="B92" s="31"/>
      <c r="C92" s="21"/>
      <c r="D92" s="21"/>
      <c r="E92" s="21"/>
      <c r="F92" s="22"/>
      <c r="G92" s="21"/>
      <c r="H92" s="21"/>
      <c r="I92" s="22"/>
      <c r="J92" s="101"/>
      <c r="K92" s="101"/>
      <c r="L92" s="101"/>
    </row>
    <row r="93" spans="1:12" ht="14.45">
      <c r="A93" s="21"/>
      <c r="B93" s="31"/>
      <c r="C93" s="21"/>
      <c r="D93" s="21"/>
      <c r="E93" s="21"/>
      <c r="F93" s="22"/>
      <c r="G93" s="21"/>
      <c r="H93" s="21"/>
      <c r="I93" s="22"/>
      <c r="J93" s="101"/>
      <c r="K93" s="101"/>
      <c r="L93" s="101"/>
    </row>
    <row r="94" spans="1:12" ht="14.45">
      <c r="A94" s="21"/>
      <c r="B94" s="31"/>
      <c r="C94" s="21"/>
      <c r="D94" s="21"/>
      <c r="E94" s="21"/>
      <c r="F94" s="22"/>
      <c r="G94" s="21"/>
      <c r="H94" s="21"/>
      <c r="I94" s="22"/>
      <c r="J94" s="101"/>
      <c r="K94" s="101"/>
      <c r="L94" s="101"/>
    </row>
    <row r="95" spans="1:12" ht="14.45">
      <c r="A95" s="21"/>
      <c r="B95" s="31"/>
      <c r="C95" s="21"/>
      <c r="D95" s="21"/>
      <c r="E95" s="21"/>
      <c r="F95" s="22"/>
      <c r="G95" s="21"/>
      <c r="H95" s="21"/>
      <c r="I95" s="22"/>
      <c r="J95" s="101"/>
      <c r="K95" s="101"/>
      <c r="L95" s="101"/>
    </row>
    <row r="96" spans="1:12" ht="14.45">
      <c r="A96" s="21"/>
      <c r="B96" s="31"/>
      <c r="C96" s="21"/>
      <c r="D96" s="21"/>
      <c r="E96" s="21"/>
      <c r="F96" s="22"/>
      <c r="G96" s="21"/>
      <c r="H96" s="21"/>
      <c r="I96" s="22"/>
      <c r="J96" s="101"/>
      <c r="K96" s="101"/>
      <c r="L96" s="101"/>
    </row>
    <row r="97" spans="1:12" ht="14.45">
      <c r="A97" s="21"/>
      <c r="B97" s="31"/>
      <c r="C97" s="21"/>
      <c r="D97" s="21"/>
      <c r="E97" s="21"/>
      <c r="F97" s="22"/>
      <c r="G97" s="21"/>
      <c r="H97" s="21"/>
      <c r="I97" s="22"/>
      <c r="J97" s="101"/>
      <c r="K97" s="101"/>
      <c r="L97" s="101"/>
    </row>
    <row r="98" spans="1:12" ht="14.45">
      <c r="A98" s="21"/>
      <c r="B98" s="31"/>
      <c r="C98" s="21"/>
      <c r="D98" s="21"/>
      <c r="E98" s="21"/>
      <c r="F98" s="22"/>
      <c r="G98" s="21"/>
      <c r="H98" s="21"/>
      <c r="I98" s="22"/>
      <c r="J98" s="101"/>
      <c r="K98" s="101"/>
      <c r="L98" s="101"/>
    </row>
    <row r="99" spans="1:12" ht="14.45">
      <c r="A99" s="21"/>
      <c r="B99" s="31"/>
      <c r="C99" s="21"/>
      <c r="D99" s="21"/>
      <c r="E99" s="21"/>
      <c r="F99" s="22"/>
      <c r="G99" s="21"/>
      <c r="H99" s="21"/>
      <c r="I99" s="22"/>
      <c r="J99" s="101"/>
      <c r="K99" s="101"/>
      <c r="L99" s="101"/>
    </row>
    <row r="100" spans="1:12" ht="14.45">
      <c r="A100" s="21"/>
      <c r="B100" s="31"/>
      <c r="C100" s="21"/>
      <c r="D100" s="21"/>
      <c r="E100" s="21"/>
      <c r="F100" s="22"/>
      <c r="G100" s="21"/>
      <c r="H100" s="21"/>
      <c r="I100" s="22"/>
      <c r="J100" s="101"/>
      <c r="K100" s="101"/>
      <c r="L100" s="101"/>
    </row>
    <row r="101" spans="1:12" ht="14.45">
      <c r="A101" s="21"/>
      <c r="B101" s="31"/>
      <c r="C101" s="21"/>
      <c r="D101" s="21"/>
      <c r="E101" s="21"/>
      <c r="F101" s="22"/>
      <c r="G101" s="21"/>
      <c r="H101" s="21"/>
      <c r="I101" s="22"/>
      <c r="J101" s="101"/>
      <c r="K101" s="101"/>
      <c r="L101" s="101"/>
    </row>
    <row r="102" spans="1:12" ht="14.45">
      <c r="A102" s="21"/>
      <c r="B102" s="31"/>
      <c r="C102" s="21"/>
      <c r="D102" s="21"/>
      <c r="E102" s="21"/>
      <c r="F102" s="22"/>
      <c r="G102" s="21"/>
      <c r="H102" s="21"/>
      <c r="I102" s="22"/>
      <c r="J102" s="101"/>
      <c r="K102" s="101"/>
      <c r="L102" s="101"/>
    </row>
    <row r="103" spans="1:12" ht="14.45">
      <c r="A103" s="21"/>
      <c r="B103" s="31"/>
      <c r="C103" s="21"/>
      <c r="D103" s="21"/>
      <c r="E103" s="21"/>
      <c r="F103" s="22"/>
      <c r="G103" s="21"/>
      <c r="H103" s="21"/>
      <c r="I103" s="22"/>
      <c r="J103" s="101"/>
      <c r="K103" s="101"/>
      <c r="L103" s="101"/>
    </row>
    <row r="104" spans="1:12" ht="14.45">
      <c r="A104" s="21"/>
      <c r="B104" s="31"/>
      <c r="C104" s="21"/>
      <c r="D104" s="21"/>
      <c r="E104" s="21"/>
      <c r="F104" s="22"/>
      <c r="G104" s="21"/>
      <c r="H104" s="21"/>
      <c r="I104" s="22"/>
      <c r="J104" s="101"/>
      <c r="K104" s="101"/>
      <c r="L104" s="101"/>
    </row>
    <row r="105" spans="1:12" ht="14.45">
      <c r="A105" s="21"/>
      <c r="B105" s="31"/>
      <c r="C105" s="21"/>
      <c r="D105" s="21"/>
      <c r="E105" s="21"/>
      <c r="F105" s="22"/>
      <c r="G105" s="21"/>
      <c r="H105" s="21"/>
      <c r="I105" s="22"/>
      <c r="J105" s="101"/>
      <c r="K105" s="101"/>
      <c r="L105" s="101"/>
    </row>
    <row r="106" spans="1:12" ht="14.45">
      <c r="A106" s="21"/>
      <c r="B106" s="31"/>
      <c r="C106" s="21"/>
      <c r="D106" s="21"/>
      <c r="E106" s="21"/>
      <c r="F106" s="22"/>
      <c r="G106" s="21"/>
      <c r="H106" s="21"/>
      <c r="I106" s="22"/>
      <c r="J106" s="101"/>
      <c r="K106" s="101"/>
      <c r="L106" s="101"/>
    </row>
    <row r="107" spans="1:12" ht="14.45">
      <c r="A107" s="21"/>
      <c r="B107" s="31"/>
      <c r="C107" s="21"/>
      <c r="D107" s="21"/>
      <c r="E107" s="21"/>
      <c r="F107" s="22"/>
      <c r="G107" s="21"/>
      <c r="H107" s="21"/>
      <c r="I107" s="22"/>
      <c r="J107" s="101"/>
      <c r="K107" s="101"/>
      <c r="L107" s="101"/>
    </row>
    <row r="108" spans="1:12" ht="14.45">
      <c r="A108" s="21"/>
      <c r="B108" s="31"/>
      <c r="C108" s="21"/>
      <c r="D108" s="21"/>
      <c r="E108" s="21"/>
      <c r="F108" s="22"/>
      <c r="G108" s="21"/>
      <c r="H108" s="21"/>
      <c r="I108" s="22"/>
      <c r="J108" s="101"/>
      <c r="K108" s="101"/>
      <c r="L108" s="101"/>
    </row>
    <row r="109" spans="1:12" ht="14.45">
      <c r="A109" s="21"/>
      <c r="B109" s="31"/>
      <c r="C109" s="21"/>
      <c r="D109" s="21"/>
      <c r="E109" s="21"/>
      <c r="F109" s="22"/>
      <c r="G109" s="21"/>
      <c r="H109" s="21"/>
      <c r="I109" s="22"/>
      <c r="J109" s="101"/>
      <c r="K109" s="101"/>
      <c r="L109" s="101"/>
    </row>
    <row r="110" spans="1:12" ht="14.45">
      <c r="A110" s="21"/>
      <c r="B110" s="31"/>
      <c r="C110" s="21"/>
      <c r="D110" s="21"/>
      <c r="E110" s="21"/>
      <c r="F110" s="22"/>
      <c r="G110" s="21"/>
      <c r="H110" s="21"/>
      <c r="I110" s="22"/>
      <c r="J110" s="101"/>
      <c r="K110" s="101"/>
      <c r="L110" s="101"/>
    </row>
    <row r="111" spans="1:12" ht="14.45">
      <c r="A111" s="21"/>
      <c r="B111" s="31"/>
      <c r="C111" s="21"/>
      <c r="D111" s="21"/>
      <c r="E111" s="21"/>
      <c r="F111" s="22"/>
      <c r="G111" s="21"/>
      <c r="H111" s="21"/>
      <c r="I111" s="22"/>
      <c r="J111" s="101"/>
      <c r="K111" s="101"/>
      <c r="L111" s="101"/>
    </row>
    <row r="112" spans="1:12" ht="14.45">
      <c r="A112" s="21"/>
      <c r="B112" s="31"/>
      <c r="C112" s="21"/>
      <c r="D112" s="21"/>
      <c r="E112" s="21"/>
      <c r="F112" s="22"/>
      <c r="G112" s="21"/>
      <c r="H112" s="21"/>
      <c r="I112" s="22"/>
      <c r="J112" s="101"/>
      <c r="K112" s="101"/>
      <c r="L112" s="101"/>
    </row>
    <row r="113" spans="1:12" ht="14.45">
      <c r="A113" s="21"/>
      <c r="B113" s="31"/>
      <c r="C113" s="21"/>
      <c r="D113" s="21"/>
      <c r="E113" s="21"/>
      <c r="F113" s="22"/>
      <c r="G113" s="21"/>
      <c r="H113" s="21"/>
      <c r="I113" s="22"/>
      <c r="J113" s="101"/>
      <c r="K113" s="101"/>
      <c r="L113" s="101"/>
    </row>
    <row r="114" spans="1:12" ht="14.45">
      <c r="A114" s="21"/>
      <c r="B114" s="31"/>
      <c r="C114" s="21"/>
      <c r="D114" s="21"/>
      <c r="E114" s="21"/>
      <c r="F114" s="22"/>
      <c r="G114" s="21"/>
      <c r="H114" s="21"/>
      <c r="I114" s="22"/>
      <c r="J114" s="101"/>
      <c r="K114" s="101"/>
      <c r="L114" s="101"/>
    </row>
    <row r="115" spans="1:12" ht="14.45">
      <c r="A115" s="21"/>
      <c r="B115" s="31"/>
      <c r="C115" s="21"/>
      <c r="D115" s="21"/>
      <c r="E115" s="21"/>
      <c r="F115" s="22"/>
      <c r="G115" s="21"/>
      <c r="H115" s="21"/>
      <c r="I115" s="22"/>
      <c r="J115" s="101"/>
      <c r="K115" s="101"/>
      <c r="L115" s="101"/>
    </row>
    <row r="116" spans="1:12" ht="14.45">
      <c r="A116" s="21"/>
      <c r="B116" s="31"/>
      <c r="C116" s="21"/>
      <c r="D116" s="21"/>
      <c r="E116" s="21"/>
      <c r="F116" s="22"/>
      <c r="G116" s="21"/>
      <c r="H116" s="21"/>
      <c r="I116" s="22"/>
      <c r="J116" s="101"/>
      <c r="K116" s="101"/>
      <c r="L116" s="101"/>
    </row>
    <row r="117" spans="1:12" ht="14.45">
      <c r="A117" s="21"/>
      <c r="B117" s="31"/>
      <c r="C117" s="21"/>
      <c r="D117" s="21"/>
      <c r="E117" s="21"/>
      <c r="F117" s="22"/>
      <c r="G117" s="21"/>
      <c r="H117" s="21"/>
      <c r="I117" s="22"/>
      <c r="J117" s="101"/>
      <c r="K117" s="101"/>
      <c r="L117" s="101"/>
    </row>
    <row r="118" spans="1:12" ht="14.45">
      <c r="A118" s="21"/>
      <c r="B118" s="31"/>
      <c r="C118" s="21"/>
      <c r="D118" s="21"/>
      <c r="E118" s="21"/>
      <c r="F118" s="22"/>
      <c r="G118" s="21"/>
      <c r="H118" s="21"/>
      <c r="I118" s="22"/>
      <c r="J118" s="101"/>
      <c r="K118" s="101"/>
      <c r="L118" s="101"/>
    </row>
    <row r="119" spans="1:12" ht="14.45">
      <c r="A119" s="21"/>
      <c r="B119" s="31"/>
      <c r="C119" s="21"/>
      <c r="D119" s="21"/>
      <c r="E119" s="21"/>
      <c r="F119" s="22"/>
      <c r="G119" s="21"/>
      <c r="H119" s="21"/>
      <c r="I119" s="22"/>
      <c r="J119" s="101"/>
      <c r="K119" s="101"/>
      <c r="L119" s="101"/>
    </row>
    <row r="120" spans="1:12" ht="14.45">
      <c r="A120" s="21"/>
      <c r="B120" s="31"/>
      <c r="C120" s="21"/>
      <c r="D120" s="21"/>
      <c r="E120" s="21"/>
      <c r="F120" s="22"/>
      <c r="G120" s="21"/>
      <c r="H120" s="21"/>
      <c r="I120" s="22"/>
      <c r="J120" s="101"/>
      <c r="K120" s="101"/>
      <c r="L120" s="101"/>
    </row>
    <row r="121" spans="1:12" ht="14.45">
      <c r="A121" s="21"/>
      <c r="B121" s="31"/>
      <c r="C121" s="21"/>
      <c r="D121" s="21"/>
      <c r="E121" s="21"/>
      <c r="F121" s="22"/>
      <c r="G121" s="21"/>
      <c r="H121" s="21"/>
      <c r="I121" s="22"/>
      <c r="J121" s="101"/>
      <c r="K121" s="101"/>
      <c r="L121" s="101"/>
    </row>
    <row r="122" spans="1:12" ht="14.45">
      <c r="A122" s="21"/>
      <c r="B122" s="31"/>
      <c r="C122" s="21"/>
      <c r="D122" s="21"/>
      <c r="E122" s="21"/>
      <c r="F122" s="22"/>
      <c r="G122" s="21"/>
      <c r="H122" s="21"/>
      <c r="I122" s="22"/>
      <c r="J122" s="101"/>
      <c r="K122" s="101"/>
      <c r="L122" s="101"/>
    </row>
    <row r="123" spans="1:12" ht="14.45">
      <c r="A123" s="21"/>
      <c r="B123" s="31"/>
      <c r="C123" s="21"/>
      <c r="D123" s="21"/>
      <c r="E123" s="21"/>
      <c r="F123" s="22"/>
      <c r="G123" s="21"/>
      <c r="H123" s="21"/>
      <c r="I123" s="22"/>
      <c r="J123" s="101"/>
      <c r="K123" s="101"/>
      <c r="L123" s="101"/>
    </row>
    <row r="124" spans="1:12" ht="14.45">
      <c r="A124" s="21"/>
      <c r="B124" s="31"/>
      <c r="C124" s="21"/>
      <c r="D124" s="21"/>
      <c r="E124" s="21"/>
      <c r="F124" s="22"/>
      <c r="G124" s="21"/>
      <c r="H124" s="21"/>
      <c r="I124" s="22"/>
      <c r="J124" s="101"/>
      <c r="K124" s="101"/>
      <c r="L124" s="101"/>
    </row>
    <row r="125" spans="1:12" ht="14.45">
      <c r="A125" s="21"/>
      <c r="B125" s="31"/>
      <c r="C125" s="21"/>
      <c r="D125" s="21"/>
      <c r="E125" s="21"/>
      <c r="F125" s="22"/>
      <c r="G125" s="21"/>
      <c r="H125" s="21"/>
      <c r="I125" s="22"/>
      <c r="J125" s="101"/>
      <c r="K125" s="101"/>
      <c r="L125" s="101"/>
    </row>
    <row r="126" spans="1:12" ht="14.45">
      <c r="A126" s="21"/>
      <c r="B126" s="31"/>
      <c r="C126" s="21"/>
      <c r="D126" s="21"/>
      <c r="E126" s="21"/>
      <c r="F126" s="22"/>
      <c r="G126" s="21"/>
      <c r="H126" s="21"/>
      <c r="I126" s="22"/>
      <c r="J126" s="101"/>
      <c r="K126" s="101"/>
      <c r="L126" s="101"/>
    </row>
    <row r="127" spans="1:12" ht="14.45">
      <c r="A127" s="21"/>
      <c r="B127" s="31"/>
      <c r="C127" s="21"/>
      <c r="D127" s="21"/>
      <c r="E127" s="21"/>
      <c r="F127" s="22"/>
      <c r="G127" s="21"/>
      <c r="H127" s="21"/>
      <c r="I127" s="22"/>
      <c r="J127" s="101"/>
      <c r="K127" s="101"/>
      <c r="L127" s="101"/>
    </row>
    <row r="128" spans="1:12" ht="14.45">
      <c r="A128" s="21"/>
      <c r="B128" s="31"/>
      <c r="C128" s="21"/>
      <c r="D128" s="21"/>
      <c r="E128" s="21"/>
      <c r="F128" s="22"/>
      <c r="G128" s="21"/>
      <c r="H128" s="21"/>
      <c r="I128" s="22"/>
      <c r="J128" s="101"/>
      <c r="K128" s="101"/>
      <c r="L128" s="101"/>
    </row>
    <row r="129" spans="1:12" ht="14.45">
      <c r="A129" s="21"/>
      <c r="B129" s="31"/>
      <c r="C129" s="21"/>
      <c r="D129" s="21"/>
      <c r="E129" s="21"/>
      <c r="F129" s="22"/>
      <c r="G129" s="21"/>
      <c r="H129" s="21"/>
      <c r="I129" s="22"/>
      <c r="J129" s="101"/>
      <c r="K129" s="101"/>
      <c r="L129" s="101"/>
    </row>
    <row r="130" spans="1:12" ht="14.45">
      <c r="A130" s="21"/>
      <c r="B130" s="31"/>
      <c r="C130" s="21"/>
      <c r="D130" s="21"/>
      <c r="E130" s="21"/>
      <c r="F130" s="22"/>
      <c r="G130" s="21"/>
      <c r="H130" s="21"/>
      <c r="I130" s="22"/>
      <c r="J130" s="101"/>
      <c r="K130" s="101"/>
      <c r="L130" s="101"/>
    </row>
    <row r="131" spans="1:12" ht="14.45">
      <c r="A131" s="21"/>
      <c r="B131" s="31"/>
      <c r="C131" s="21"/>
      <c r="D131" s="21"/>
      <c r="E131" s="21"/>
      <c r="F131" s="22"/>
      <c r="G131" s="21"/>
      <c r="H131" s="21"/>
      <c r="I131" s="22"/>
      <c r="J131" s="101"/>
      <c r="K131" s="101"/>
      <c r="L131" s="101"/>
    </row>
    <row r="132" spans="1:12" ht="14.45">
      <c r="A132" s="21"/>
      <c r="B132" s="31"/>
      <c r="C132" s="21"/>
      <c r="D132" s="21"/>
      <c r="E132" s="21"/>
      <c r="F132" s="22"/>
      <c r="G132" s="21"/>
      <c r="H132" s="21"/>
      <c r="I132" s="22"/>
      <c r="J132" s="101"/>
      <c r="K132" s="101"/>
      <c r="L132" s="101"/>
    </row>
    <row r="133" spans="1:12" ht="14.45">
      <c r="A133" s="21"/>
      <c r="B133" s="31"/>
      <c r="C133" s="21"/>
      <c r="D133" s="21"/>
      <c r="E133" s="21"/>
      <c r="F133" s="22"/>
      <c r="G133" s="21"/>
      <c r="H133" s="21"/>
      <c r="I133" s="22"/>
      <c r="J133" s="101"/>
      <c r="K133" s="101"/>
      <c r="L133" s="101"/>
    </row>
    <row r="134" spans="1:12" ht="14.45">
      <c r="A134" s="21"/>
      <c r="B134" s="31"/>
      <c r="C134" s="21"/>
      <c r="D134" s="21"/>
      <c r="E134" s="21"/>
      <c r="F134" s="22"/>
      <c r="G134" s="21"/>
      <c r="H134" s="21"/>
      <c r="I134" s="22"/>
      <c r="J134" s="101"/>
      <c r="K134" s="101"/>
      <c r="L134" s="101"/>
    </row>
    <row r="135" spans="1:12" ht="14.45">
      <c r="A135" s="21"/>
      <c r="B135" s="31"/>
      <c r="C135" s="21"/>
      <c r="D135" s="21"/>
      <c r="E135" s="21"/>
      <c r="F135" s="22"/>
      <c r="G135" s="21"/>
      <c r="H135" s="21"/>
      <c r="I135" s="22"/>
      <c r="J135" s="101"/>
      <c r="K135" s="101"/>
      <c r="L135" s="101"/>
    </row>
    <row r="136" spans="1:12" ht="14.45">
      <c r="A136" s="21"/>
      <c r="B136" s="31"/>
      <c r="C136" s="21"/>
      <c r="D136" s="21"/>
      <c r="E136" s="21"/>
      <c r="F136" s="22"/>
      <c r="G136" s="21"/>
      <c r="H136" s="21"/>
      <c r="I136" s="22"/>
      <c r="J136" s="101"/>
      <c r="K136" s="101"/>
      <c r="L136" s="101"/>
    </row>
    <row r="137" spans="1:12" ht="14.45">
      <c r="A137" s="21"/>
      <c r="B137" s="31"/>
      <c r="C137" s="21"/>
      <c r="D137" s="21"/>
      <c r="E137" s="21"/>
      <c r="F137" s="22"/>
      <c r="G137" s="21"/>
      <c r="H137" s="21"/>
      <c r="I137" s="22"/>
      <c r="J137" s="101"/>
      <c r="K137" s="101"/>
      <c r="L137" s="101"/>
    </row>
    <row r="138" spans="1:12" ht="14.45">
      <c r="A138" s="21"/>
      <c r="B138" s="31"/>
      <c r="C138" s="21"/>
      <c r="D138" s="21"/>
      <c r="E138" s="21"/>
      <c r="F138" s="22"/>
      <c r="G138" s="21"/>
      <c r="H138" s="21"/>
      <c r="I138" s="22"/>
      <c r="J138" s="101"/>
      <c r="K138" s="101"/>
      <c r="L138" s="101"/>
    </row>
    <row r="139" spans="1:12" ht="14.45">
      <c r="A139" s="21"/>
      <c r="B139" s="31"/>
      <c r="C139" s="21"/>
      <c r="D139" s="21"/>
      <c r="E139" s="21"/>
      <c r="F139" s="22"/>
      <c r="G139" s="21"/>
      <c r="H139" s="21"/>
      <c r="I139" s="22"/>
      <c r="J139" s="101"/>
      <c r="K139" s="101"/>
      <c r="L139" s="101"/>
    </row>
    <row r="140" spans="1:12" ht="14.45">
      <c r="A140" s="21"/>
      <c r="B140" s="31"/>
      <c r="C140" s="21"/>
      <c r="D140" s="21"/>
      <c r="E140" s="21"/>
      <c r="F140" s="22"/>
      <c r="G140" s="21"/>
      <c r="H140" s="21"/>
      <c r="I140" s="22"/>
      <c r="J140" s="101"/>
      <c r="K140" s="101"/>
      <c r="L140" s="101"/>
    </row>
    <row r="141" spans="1:12" ht="14.45">
      <c r="A141" s="21"/>
      <c r="B141" s="31"/>
      <c r="C141" s="21"/>
      <c r="D141" s="21"/>
      <c r="E141" s="21"/>
      <c r="F141" s="22"/>
      <c r="G141" s="21"/>
      <c r="H141" s="21"/>
      <c r="I141" s="22"/>
      <c r="J141" s="101"/>
      <c r="K141" s="101"/>
      <c r="L141" s="101"/>
    </row>
    <row r="142" spans="1:12" ht="14.45">
      <c r="A142" s="21"/>
      <c r="B142" s="31"/>
      <c r="C142" s="21"/>
      <c r="D142" s="21"/>
      <c r="E142" s="21"/>
      <c r="F142" s="22"/>
      <c r="G142" s="21"/>
      <c r="H142" s="21"/>
      <c r="I142" s="22"/>
      <c r="J142" s="101"/>
      <c r="K142" s="101"/>
      <c r="L142" s="101"/>
    </row>
    <row r="143" spans="1:12" ht="14.45">
      <c r="A143" s="21"/>
      <c r="B143" s="31"/>
      <c r="C143" s="21"/>
      <c r="D143" s="21"/>
      <c r="E143" s="21"/>
      <c r="F143" s="22"/>
      <c r="G143" s="21"/>
      <c r="H143" s="21"/>
      <c r="I143" s="22"/>
      <c r="J143" s="101"/>
      <c r="K143" s="101"/>
      <c r="L143" s="101"/>
    </row>
    <row r="144" spans="1:12" ht="14.45">
      <c r="A144" s="21"/>
      <c r="B144" s="31"/>
      <c r="C144" s="21"/>
      <c r="D144" s="21"/>
      <c r="E144" s="21"/>
      <c r="F144" s="22"/>
      <c r="G144" s="21"/>
      <c r="H144" s="21"/>
      <c r="I144" s="22"/>
      <c r="J144" s="101"/>
      <c r="K144" s="101"/>
      <c r="L144" s="101"/>
    </row>
    <row r="145" spans="1:12" ht="14.45">
      <c r="A145" s="21"/>
      <c r="B145" s="31"/>
      <c r="C145" s="21"/>
      <c r="D145" s="21"/>
      <c r="E145" s="21"/>
      <c r="F145" s="22"/>
      <c r="G145" s="21"/>
      <c r="H145" s="21"/>
      <c r="I145" s="22"/>
      <c r="J145" s="101"/>
      <c r="K145" s="101"/>
      <c r="L145" s="101"/>
    </row>
    <row r="146" spans="1:12" ht="14.45">
      <c r="A146" s="21"/>
      <c r="B146" s="31"/>
      <c r="C146" s="21"/>
      <c r="D146" s="21"/>
      <c r="E146" s="21"/>
      <c r="F146" s="22"/>
      <c r="G146" s="21"/>
      <c r="H146" s="21"/>
      <c r="I146" s="22"/>
      <c r="J146" s="101"/>
      <c r="K146" s="101"/>
      <c r="L146" s="101"/>
    </row>
    <row r="147" spans="1:12" ht="14.45">
      <c r="A147" s="21"/>
      <c r="B147" s="31"/>
      <c r="C147" s="21"/>
      <c r="D147" s="21"/>
      <c r="E147" s="21"/>
      <c r="F147" s="22"/>
      <c r="G147" s="21"/>
      <c r="H147" s="21"/>
      <c r="I147" s="22"/>
      <c r="J147" s="101"/>
      <c r="K147" s="101"/>
      <c r="L147" s="101"/>
    </row>
    <row r="148" spans="1:12" ht="14.45">
      <c r="A148" s="21"/>
      <c r="B148" s="31"/>
      <c r="C148" s="21"/>
      <c r="D148" s="21"/>
      <c r="E148" s="21"/>
      <c r="F148" s="22"/>
      <c r="G148" s="21"/>
      <c r="H148" s="21"/>
      <c r="I148" s="22"/>
      <c r="J148" s="101"/>
      <c r="K148" s="101"/>
      <c r="L148" s="101"/>
    </row>
    <row r="149" spans="1:12" ht="14.45">
      <c r="A149" s="21"/>
      <c r="B149" s="31"/>
      <c r="C149" s="21"/>
      <c r="D149" s="21"/>
      <c r="E149" s="21"/>
      <c r="F149" s="22"/>
      <c r="G149" s="21"/>
      <c r="H149" s="21"/>
      <c r="I149" s="22"/>
      <c r="J149" s="101"/>
      <c r="K149" s="101"/>
      <c r="L149" s="101"/>
    </row>
    <row r="150" spans="1:12" ht="14.45">
      <c r="A150" s="21"/>
      <c r="B150" s="31"/>
      <c r="C150" s="21"/>
      <c r="D150" s="21"/>
      <c r="E150" s="21"/>
      <c r="F150" s="22"/>
      <c r="G150" s="21"/>
      <c r="H150" s="21"/>
      <c r="I150" s="22"/>
      <c r="J150" s="101"/>
      <c r="K150" s="101"/>
      <c r="L150" s="101"/>
    </row>
    <row r="151" spans="1:12" ht="14.45">
      <c r="A151" s="21"/>
      <c r="B151" s="31"/>
      <c r="C151" s="21"/>
      <c r="D151" s="21"/>
      <c r="E151" s="21"/>
      <c r="F151" s="22"/>
      <c r="G151" s="21"/>
      <c r="H151" s="21"/>
      <c r="I151" s="22"/>
      <c r="J151" s="101"/>
      <c r="K151" s="101"/>
      <c r="L151" s="101"/>
    </row>
    <row r="152" spans="1:12" ht="14.45">
      <c r="A152" s="21"/>
      <c r="B152" s="31"/>
      <c r="C152" s="21"/>
      <c r="D152" s="21"/>
      <c r="E152" s="21"/>
      <c r="F152" s="22"/>
      <c r="G152" s="21"/>
      <c r="H152" s="21"/>
      <c r="I152" s="22"/>
      <c r="J152" s="101"/>
      <c r="K152" s="101"/>
      <c r="L152" s="101"/>
    </row>
    <row r="153" spans="1:12" ht="14.45">
      <c r="A153" s="21"/>
      <c r="B153" s="31"/>
      <c r="C153" s="21"/>
      <c r="D153" s="21"/>
      <c r="E153" s="21"/>
      <c r="F153" s="22"/>
      <c r="G153" s="21"/>
      <c r="H153" s="21"/>
      <c r="I153" s="22"/>
      <c r="J153" s="101"/>
      <c r="K153" s="101"/>
      <c r="L153" s="101"/>
    </row>
    <row r="154" spans="1:12" ht="14.45">
      <c r="A154" s="21"/>
      <c r="B154" s="31"/>
      <c r="C154" s="21"/>
      <c r="D154" s="21"/>
      <c r="E154" s="21"/>
      <c r="F154" s="22"/>
      <c r="G154" s="21"/>
      <c r="H154" s="21"/>
      <c r="I154" s="22"/>
      <c r="J154" s="101"/>
      <c r="K154" s="101"/>
      <c r="L154" s="101"/>
    </row>
    <row r="155" spans="1:12" ht="14.45">
      <c r="A155" s="21"/>
      <c r="B155" s="31"/>
      <c r="C155" s="21"/>
      <c r="D155" s="21"/>
      <c r="E155" s="21"/>
      <c r="F155" s="22"/>
      <c r="G155" s="21"/>
      <c r="H155" s="21"/>
      <c r="I155" s="22"/>
      <c r="J155" s="101"/>
      <c r="K155" s="101"/>
      <c r="L155" s="101"/>
    </row>
    <row r="156" spans="1:12" ht="14.45">
      <c r="A156" s="21"/>
      <c r="B156" s="31"/>
      <c r="C156" s="21"/>
      <c r="D156" s="21"/>
      <c r="E156" s="21"/>
      <c r="F156" s="22"/>
      <c r="G156" s="21"/>
      <c r="H156" s="21"/>
      <c r="I156" s="22"/>
      <c r="J156" s="101"/>
      <c r="K156" s="101"/>
      <c r="L156" s="101"/>
    </row>
    <row r="157" spans="1:12" ht="14.45">
      <c r="A157" s="21"/>
      <c r="B157" s="31"/>
      <c r="C157" s="21"/>
      <c r="D157" s="21"/>
      <c r="E157" s="21"/>
      <c r="F157" s="22"/>
      <c r="G157" s="21"/>
      <c r="H157" s="21"/>
      <c r="I157" s="22"/>
      <c r="J157" s="101"/>
      <c r="K157" s="101"/>
      <c r="L157" s="101"/>
    </row>
    <row r="158" spans="1:12" ht="14.45">
      <c r="A158" s="21"/>
      <c r="B158" s="31"/>
      <c r="C158" s="21"/>
      <c r="D158" s="21"/>
      <c r="E158" s="21"/>
      <c r="F158" s="22"/>
      <c r="G158" s="21"/>
      <c r="H158" s="21"/>
      <c r="I158" s="22"/>
      <c r="J158" s="101"/>
      <c r="K158" s="101"/>
      <c r="L158" s="101"/>
    </row>
    <row r="159" spans="1:12" ht="14.45">
      <c r="A159" s="21"/>
      <c r="B159" s="31"/>
      <c r="C159" s="21"/>
      <c r="D159" s="21"/>
      <c r="E159" s="21"/>
      <c r="F159" s="22"/>
      <c r="G159" s="21"/>
      <c r="H159" s="21"/>
      <c r="I159" s="22"/>
      <c r="J159" s="101"/>
      <c r="K159" s="101"/>
      <c r="L159" s="101"/>
    </row>
    <row r="160" spans="1:12" ht="14.45">
      <c r="A160" s="21"/>
      <c r="B160" s="31"/>
      <c r="C160" s="21"/>
      <c r="D160" s="21"/>
      <c r="E160" s="21"/>
      <c r="F160" s="22"/>
      <c r="G160" s="21"/>
      <c r="H160" s="21"/>
      <c r="I160" s="22"/>
      <c r="J160" s="101"/>
      <c r="K160" s="101"/>
      <c r="L160" s="101"/>
    </row>
    <row r="161" spans="1:12" ht="14.45">
      <c r="A161" s="21"/>
      <c r="B161" s="31"/>
      <c r="C161" s="21"/>
      <c r="D161" s="21"/>
      <c r="E161" s="21"/>
      <c r="F161" s="22"/>
      <c r="G161" s="21"/>
      <c r="H161" s="21"/>
      <c r="I161" s="22"/>
      <c r="J161" s="101"/>
      <c r="K161" s="101"/>
      <c r="L161" s="101"/>
    </row>
    <row r="162" spans="1:12" ht="14.45">
      <c r="A162" s="21"/>
      <c r="B162" s="31"/>
      <c r="C162" s="21"/>
      <c r="D162" s="21"/>
      <c r="E162" s="21"/>
      <c r="F162" s="22"/>
      <c r="G162" s="21"/>
      <c r="H162" s="21"/>
      <c r="I162" s="22"/>
      <c r="J162" s="101"/>
      <c r="K162" s="101"/>
      <c r="L162" s="101"/>
    </row>
    <row r="163" spans="1:12" ht="14.45">
      <c r="A163" s="21"/>
      <c r="B163" s="31"/>
      <c r="C163" s="21"/>
      <c r="D163" s="21"/>
      <c r="E163" s="21"/>
      <c r="F163" s="22"/>
      <c r="G163" s="21"/>
      <c r="H163" s="21"/>
      <c r="I163" s="22"/>
      <c r="J163" s="101"/>
      <c r="K163" s="101"/>
      <c r="L163" s="101"/>
    </row>
    <row r="164" spans="1:12" ht="14.45">
      <c r="A164" s="21"/>
      <c r="B164" s="31"/>
      <c r="C164" s="21"/>
      <c r="D164" s="21"/>
      <c r="E164" s="21"/>
      <c r="F164" s="22"/>
      <c r="G164" s="21"/>
      <c r="H164" s="21"/>
      <c r="I164" s="22"/>
      <c r="J164" s="101"/>
      <c r="K164" s="101"/>
      <c r="L164" s="101"/>
    </row>
    <row r="165" spans="1:12" ht="14.45">
      <c r="A165" s="21"/>
      <c r="B165" s="31"/>
      <c r="C165" s="21"/>
      <c r="D165" s="21"/>
      <c r="E165" s="21"/>
      <c r="F165" s="22"/>
      <c r="G165" s="21"/>
      <c r="H165" s="21"/>
      <c r="I165" s="22"/>
      <c r="J165" s="101"/>
      <c r="K165" s="101"/>
      <c r="L165" s="101"/>
    </row>
    <row r="166" spans="1:12" ht="14.45">
      <c r="A166" s="21"/>
      <c r="B166" s="31"/>
      <c r="C166" s="21"/>
      <c r="D166" s="21"/>
      <c r="E166" s="21"/>
      <c r="F166" s="22"/>
      <c r="G166" s="21"/>
      <c r="H166" s="21"/>
      <c r="I166" s="22"/>
      <c r="J166" s="101"/>
      <c r="K166" s="101"/>
      <c r="L166" s="101"/>
    </row>
    <row r="167" spans="1:12" ht="14.45">
      <c r="A167" s="21"/>
      <c r="B167" s="31"/>
      <c r="C167" s="21"/>
      <c r="D167" s="21"/>
      <c r="E167" s="21"/>
      <c r="F167" s="22"/>
      <c r="G167" s="21"/>
      <c r="H167" s="21"/>
      <c r="I167" s="22"/>
      <c r="J167" s="101"/>
      <c r="K167" s="101"/>
      <c r="L167" s="101"/>
    </row>
    <row r="168" spans="1:12" ht="14.45">
      <c r="A168" s="21"/>
      <c r="B168" s="31"/>
      <c r="C168" s="21"/>
      <c r="D168" s="21"/>
      <c r="E168" s="21"/>
      <c r="F168" s="22"/>
      <c r="G168" s="21"/>
      <c r="H168" s="21"/>
      <c r="I168" s="22"/>
      <c r="J168" s="101"/>
      <c r="K168" s="101"/>
      <c r="L168" s="101"/>
    </row>
    <row r="169" spans="1:12" ht="14.45">
      <c r="A169" s="21"/>
      <c r="B169" s="31"/>
      <c r="C169" s="21"/>
      <c r="D169" s="21"/>
      <c r="E169" s="21"/>
      <c r="F169" s="22"/>
      <c r="G169" s="21"/>
      <c r="H169" s="21"/>
      <c r="I169" s="22"/>
      <c r="J169" s="101"/>
      <c r="K169" s="101"/>
      <c r="L169" s="101"/>
    </row>
    <row r="170" spans="1:12" ht="14.45">
      <c r="A170" s="21"/>
      <c r="B170" s="31"/>
      <c r="C170" s="21"/>
      <c r="D170" s="21"/>
      <c r="E170" s="21"/>
      <c r="F170" s="22"/>
      <c r="G170" s="21"/>
      <c r="H170" s="21"/>
      <c r="I170" s="22"/>
      <c r="J170" s="101"/>
      <c r="K170" s="101"/>
      <c r="L170" s="101"/>
    </row>
    <row r="171" spans="1:12" ht="14.45">
      <c r="A171" s="21"/>
      <c r="B171" s="31"/>
      <c r="C171" s="21"/>
      <c r="D171" s="21"/>
      <c r="E171" s="21"/>
      <c r="F171" s="22"/>
      <c r="G171" s="21"/>
      <c r="H171" s="21"/>
      <c r="I171" s="22"/>
      <c r="J171" s="101"/>
      <c r="K171" s="101"/>
      <c r="L171" s="101"/>
    </row>
    <row r="172" spans="1:12" ht="14.45">
      <c r="A172" s="21"/>
      <c r="B172" s="31"/>
      <c r="C172" s="21"/>
      <c r="D172" s="21"/>
      <c r="E172" s="21"/>
      <c r="F172" s="22"/>
      <c r="G172" s="21"/>
      <c r="H172" s="21"/>
      <c r="I172" s="22"/>
      <c r="J172" s="101"/>
      <c r="K172" s="101"/>
      <c r="L172" s="101"/>
    </row>
    <row r="173" spans="1:12" ht="14.45">
      <c r="A173" s="21"/>
      <c r="B173" s="31"/>
      <c r="C173" s="21"/>
      <c r="D173" s="21"/>
      <c r="E173" s="21"/>
      <c r="F173" s="22"/>
      <c r="G173" s="21"/>
      <c r="H173" s="21"/>
      <c r="I173" s="22"/>
      <c r="J173" s="101"/>
      <c r="K173" s="101"/>
      <c r="L173" s="101"/>
    </row>
    <row r="174" spans="1:12" ht="14.45">
      <c r="A174" s="21"/>
      <c r="B174" s="31"/>
      <c r="C174" s="21"/>
      <c r="D174" s="21"/>
      <c r="E174" s="21"/>
      <c r="F174" s="22"/>
      <c r="G174" s="21"/>
      <c r="H174" s="21"/>
      <c r="I174" s="22"/>
      <c r="J174" s="101"/>
      <c r="K174" s="101"/>
      <c r="L174" s="101"/>
    </row>
    <row r="175" spans="1:12" ht="14.45">
      <c r="A175" s="21"/>
      <c r="B175" s="31"/>
      <c r="C175" s="21"/>
      <c r="D175" s="21"/>
      <c r="E175" s="21"/>
      <c r="F175" s="22"/>
      <c r="G175" s="21"/>
      <c r="H175" s="21"/>
      <c r="I175" s="22"/>
      <c r="J175" s="101"/>
      <c r="K175" s="101"/>
      <c r="L175" s="101"/>
    </row>
    <row r="176" spans="1:12" ht="14.45">
      <c r="A176" s="21"/>
      <c r="B176" s="31"/>
      <c r="C176" s="21"/>
      <c r="D176" s="21"/>
      <c r="E176" s="21"/>
      <c r="F176" s="22"/>
      <c r="G176" s="21"/>
      <c r="H176" s="21"/>
      <c r="I176" s="22"/>
      <c r="J176" s="101"/>
      <c r="K176" s="101"/>
      <c r="L176" s="101"/>
    </row>
    <row r="177" spans="1:12" ht="14.45">
      <c r="A177" s="21"/>
      <c r="B177" s="31"/>
      <c r="C177" s="21"/>
      <c r="D177" s="21"/>
      <c r="E177" s="21"/>
      <c r="F177" s="22"/>
      <c r="G177" s="21"/>
      <c r="H177" s="21"/>
      <c r="I177" s="22"/>
      <c r="J177" s="101"/>
      <c r="K177" s="101"/>
      <c r="L177" s="101"/>
    </row>
    <row r="178" spans="1:12" ht="14.45">
      <c r="A178" s="21"/>
      <c r="B178" s="31"/>
      <c r="C178" s="21"/>
      <c r="D178" s="21"/>
      <c r="E178" s="21"/>
      <c r="F178" s="22"/>
      <c r="G178" s="21"/>
      <c r="H178" s="21"/>
      <c r="I178" s="22"/>
      <c r="J178" s="101"/>
      <c r="K178" s="101"/>
      <c r="L178" s="101"/>
    </row>
    <row r="179" spans="1:12" ht="14.45">
      <c r="A179" s="21"/>
      <c r="B179" s="31"/>
      <c r="C179" s="21"/>
      <c r="D179" s="21"/>
      <c r="E179" s="21"/>
      <c r="F179" s="22"/>
      <c r="G179" s="21"/>
      <c r="H179" s="21"/>
      <c r="I179" s="22"/>
      <c r="J179" s="101"/>
      <c r="K179" s="101"/>
      <c r="L179" s="101"/>
    </row>
    <row r="180" spans="1:12" ht="14.45">
      <c r="A180" s="21"/>
      <c r="B180" s="31"/>
      <c r="C180" s="21"/>
      <c r="D180" s="21"/>
      <c r="E180" s="21"/>
      <c r="F180" s="22"/>
      <c r="G180" s="21"/>
      <c r="H180" s="21"/>
      <c r="I180" s="22"/>
      <c r="J180" s="101"/>
      <c r="K180" s="101"/>
      <c r="L180" s="101"/>
    </row>
    <row r="181" spans="1:12" ht="14.45">
      <c r="A181" s="21"/>
      <c r="B181" s="31"/>
      <c r="C181" s="21"/>
      <c r="D181" s="21"/>
      <c r="E181" s="21"/>
      <c r="F181" s="22"/>
      <c r="G181" s="21"/>
      <c r="H181" s="21"/>
      <c r="I181" s="22"/>
      <c r="J181" s="101"/>
      <c r="K181" s="101"/>
      <c r="L181" s="101"/>
    </row>
    <row r="182" spans="1:12" ht="14.45">
      <c r="A182" s="21"/>
      <c r="B182" s="31"/>
      <c r="C182" s="21"/>
      <c r="D182" s="21"/>
      <c r="E182" s="21"/>
      <c r="F182" s="22"/>
      <c r="G182" s="21"/>
      <c r="H182" s="21"/>
      <c r="I182" s="22"/>
      <c r="J182" s="101"/>
      <c r="K182" s="101"/>
      <c r="L182" s="101"/>
    </row>
    <row r="183" spans="1:12" ht="14.45">
      <c r="A183" s="21"/>
      <c r="B183" s="31"/>
      <c r="C183" s="21"/>
      <c r="D183" s="21"/>
      <c r="E183" s="21"/>
      <c r="F183" s="22"/>
      <c r="G183" s="21"/>
      <c r="H183" s="21"/>
      <c r="I183" s="22"/>
      <c r="J183" s="101"/>
      <c r="K183" s="101"/>
      <c r="L183" s="101"/>
    </row>
    <row r="184" spans="1:12" ht="14.45">
      <c r="A184" s="21"/>
      <c r="B184" s="31"/>
      <c r="C184" s="21"/>
      <c r="D184" s="21"/>
      <c r="E184" s="21"/>
      <c r="F184" s="22"/>
      <c r="G184" s="21"/>
      <c r="H184" s="21"/>
      <c r="I184" s="22"/>
      <c r="J184" s="101"/>
      <c r="K184" s="101"/>
      <c r="L184" s="101"/>
    </row>
    <row r="185" spans="1:12" ht="14.45">
      <c r="A185" s="21"/>
      <c r="B185" s="31"/>
      <c r="C185" s="21"/>
      <c r="D185" s="21"/>
      <c r="E185" s="21"/>
      <c r="F185" s="22"/>
      <c r="G185" s="21"/>
      <c r="H185" s="21"/>
      <c r="I185" s="22"/>
      <c r="J185" s="101"/>
      <c r="K185" s="101"/>
      <c r="L185" s="101"/>
    </row>
    <row r="186" spans="1:12" ht="14.45">
      <c r="A186" s="21"/>
      <c r="B186" s="31"/>
      <c r="C186" s="21"/>
      <c r="D186" s="21"/>
      <c r="E186" s="21"/>
      <c r="F186" s="22"/>
      <c r="G186" s="21"/>
      <c r="H186" s="21"/>
      <c r="I186" s="22"/>
      <c r="J186" s="101"/>
      <c r="K186" s="101"/>
      <c r="L186" s="101"/>
    </row>
    <row r="187" spans="1:12" ht="14.45">
      <c r="A187" s="21"/>
      <c r="B187" s="31"/>
      <c r="C187" s="21"/>
      <c r="D187" s="21"/>
      <c r="E187" s="21"/>
      <c r="F187" s="22"/>
      <c r="G187" s="21"/>
      <c r="H187" s="21"/>
      <c r="I187" s="22"/>
      <c r="J187" s="101"/>
      <c r="K187" s="101"/>
      <c r="L187" s="101"/>
    </row>
    <row r="188" spans="1:12" ht="14.45">
      <c r="A188" s="21"/>
      <c r="B188" s="31"/>
      <c r="C188" s="21"/>
      <c r="D188" s="21"/>
      <c r="E188" s="21"/>
      <c r="F188" s="22"/>
      <c r="G188" s="21"/>
      <c r="H188" s="21"/>
      <c r="I188" s="22"/>
      <c r="J188" s="101"/>
      <c r="K188" s="101"/>
      <c r="L188" s="101"/>
    </row>
    <row r="189" spans="1:12" ht="14.45">
      <c r="A189" s="21"/>
      <c r="B189" s="31"/>
      <c r="C189" s="21"/>
      <c r="D189" s="21"/>
      <c r="E189" s="21"/>
      <c r="F189" s="22"/>
      <c r="G189" s="21"/>
      <c r="H189" s="21"/>
      <c r="I189" s="22"/>
      <c r="J189" s="101"/>
      <c r="K189" s="101"/>
      <c r="L189" s="101"/>
    </row>
    <row r="190" spans="1:12" ht="14.45">
      <c r="A190" s="21"/>
      <c r="B190" s="31"/>
      <c r="C190" s="21"/>
      <c r="D190" s="21"/>
      <c r="E190" s="21"/>
      <c r="F190" s="22"/>
      <c r="G190" s="21"/>
      <c r="H190" s="21"/>
      <c r="I190" s="22"/>
      <c r="J190" s="101"/>
      <c r="K190" s="101"/>
      <c r="L190" s="101"/>
    </row>
    <row r="191" spans="1:12" ht="14.45">
      <c r="A191" s="21"/>
      <c r="B191" s="31"/>
      <c r="C191" s="21"/>
      <c r="D191" s="21"/>
      <c r="E191" s="21"/>
      <c r="F191" s="22"/>
      <c r="G191" s="21"/>
      <c r="H191" s="21"/>
      <c r="I191" s="22"/>
      <c r="J191" s="101"/>
      <c r="K191" s="101"/>
      <c r="L191" s="101"/>
    </row>
    <row r="192" spans="1:12" ht="14.45">
      <c r="A192" s="21"/>
      <c r="B192" s="31"/>
      <c r="C192" s="21"/>
      <c r="D192" s="21"/>
      <c r="E192" s="21"/>
      <c r="F192" s="22"/>
      <c r="G192" s="21"/>
      <c r="H192" s="21"/>
      <c r="I192" s="22"/>
      <c r="J192" s="101"/>
      <c r="K192" s="101"/>
      <c r="L192" s="101"/>
    </row>
    <row r="193" spans="1:12" ht="14.45">
      <c r="A193" s="21"/>
      <c r="B193" s="31"/>
      <c r="C193" s="21"/>
      <c r="D193" s="21"/>
      <c r="E193" s="21"/>
      <c r="F193" s="22"/>
      <c r="G193" s="21"/>
      <c r="H193" s="21"/>
      <c r="I193" s="22"/>
      <c r="J193" s="101"/>
      <c r="K193" s="101"/>
      <c r="L193" s="101"/>
    </row>
    <row r="194" spans="1:12" ht="14.45">
      <c r="A194" s="21"/>
      <c r="B194" s="31"/>
      <c r="C194" s="21"/>
      <c r="D194" s="21"/>
      <c r="E194" s="21"/>
      <c r="F194" s="22"/>
      <c r="G194" s="21"/>
      <c r="H194" s="21"/>
      <c r="I194" s="22"/>
      <c r="J194" s="101"/>
      <c r="K194" s="101"/>
      <c r="L194" s="101"/>
    </row>
    <row r="195" spans="1:12" ht="14.45">
      <c r="A195" s="21"/>
      <c r="B195" s="31"/>
      <c r="C195" s="21"/>
      <c r="D195" s="21"/>
      <c r="E195" s="21"/>
      <c r="F195" s="22"/>
      <c r="G195" s="21"/>
      <c r="H195" s="21"/>
      <c r="I195" s="22"/>
      <c r="J195" s="101"/>
      <c r="K195" s="101"/>
      <c r="L195" s="101"/>
    </row>
    <row r="196" spans="1:12" ht="14.45">
      <c r="A196" s="21"/>
      <c r="B196" s="31"/>
      <c r="C196" s="21"/>
      <c r="D196" s="21"/>
      <c r="E196" s="21"/>
      <c r="F196" s="22"/>
      <c r="G196" s="21"/>
      <c r="H196" s="21"/>
      <c r="I196" s="22"/>
      <c r="J196" s="101"/>
      <c r="K196" s="101"/>
      <c r="L196" s="101"/>
    </row>
    <row r="197" spans="1:12" ht="14.45">
      <c r="A197" s="21"/>
      <c r="B197" s="31"/>
      <c r="C197" s="21"/>
      <c r="D197" s="21"/>
      <c r="E197" s="21"/>
      <c r="F197" s="22"/>
      <c r="G197" s="21"/>
      <c r="H197" s="21"/>
      <c r="I197" s="22"/>
      <c r="J197" s="101"/>
      <c r="K197" s="101"/>
      <c r="L197" s="101"/>
    </row>
    <row r="198" spans="1:12" ht="14.45">
      <c r="A198" s="21"/>
      <c r="B198" s="31"/>
      <c r="C198" s="21"/>
      <c r="D198" s="21"/>
      <c r="E198" s="21"/>
      <c r="F198" s="22"/>
      <c r="G198" s="21"/>
      <c r="H198" s="21"/>
      <c r="I198" s="22"/>
      <c r="J198" s="101"/>
      <c r="K198" s="101"/>
      <c r="L198" s="101"/>
    </row>
    <row r="199" spans="1:12" ht="14.45">
      <c r="A199" s="21"/>
      <c r="B199" s="31"/>
      <c r="C199" s="21"/>
      <c r="D199" s="21"/>
      <c r="E199" s="21"/>
      <c r="F199" s="22"/>
      <c r="G199" s="21"/>
      <c r="H199" s="21"/>
      <c r="I199" s="22"/>
      <c r="J199" s="101"/>
      <c r="K199" s="101"/>
      <c r="L199" s="101"/>
    </row>
    <row r="200" spans="1:12" ht="14.45">
      <c r="A200" s="21"/>
      <c r="B200" s="31"/>
      <c r="C200" s="21"/>
      <c r="D200" s="21"/>
      <c r="E200" s="21"/>
      <c r="F200" s="22"/>
      <c r="G200" s="21"/>
      <c r="H200" s="21"/>
      <c r="I200" s="22"/>
      <c r="J200" s="101"/>
      <c r="K200" s="101"/>
      <c r="L200" s="101"/>
    </row>
    <row r="201" spans="1:12" ht="14.45">
      <c r="A201" s="21"/>
      <c r="B201" s="31"/>
      <c r="C201" s="21"/>
      <c r="D201" s="21"/>
      <c r="E201" s="21"/>
      <c r="F201" s="22"/>
      <c r="G201" s="21"/>
      <c r="H201" s="21"/>
      <c r="I201" s="22"/>
      <c r="J201" s="101"/>
      <c r="K201" s="101"/>
      <c r="L201" s="101"/>
    </row>
    <row r="202" spans="1:12" ht="14.45">
      <c r="A202" s="21"/>
      <c r="B202" s="31"/>
      <c r="C202" s="21"/>
      <c r="D202" s="21"/>
      <c r="E202" s="21"/>
      <c r="F202" s="22"/>
      <c r="G202" s="21"/>
      <c r="H202" s="21"/>
      <c r="I202" s="22"/>
      <c r="J202" s="101"/>
      <c r="K202" s="101"/>
      <c r="L202" s="101"/>
    </row>
    <row r="203" spans="1:12" ht="14.45">
      <c r="A203" s="21"/>
      <c r="B203" s="31"/>
      <c r="C203" s="21"/>
      <c r="D203" s="21"/>
      <c r="E203" s="21"/>
      <c r="F203" s="22"/>
      <c r="G203" s="21"/>
      <c r="H203" s="21"/>
      <c r="I203" s="22"/>
      <c r="J203" s="101"/>
      <c r="K203" s="101"/>
      <c r="L203" s="101"/>
    </row>
    <row r="204" spans="1:12" ht="14.45">
      <c r="A204" s="21"/>
      <c r="B204" s="31"/>
      <c r="C204" s="21"/>
      <c r="D204" s="21"/>
      <c r="E204" s="21"/>
      <c r="F204" s="22"/>
      <c r="G204" s="21"/>
      <c r="H204" s="21"/>
      <c r="I204" s="22"/>
      <c r="J204" s="101"/>
      <c r="K204" s="101"/>
      <c r="L204" s="101"/>
    </row>
    <row r="205" spans="1:12" ht="14.45">
      <c r="A205" s="21"/>
      <c r="B205" s="31"/>
      <c r="C205" s="21"/>
      <c r="D205" s="21"/>
      <c r="E205" s="21"/>
      <c r="F205" s="22"/>
      <c r="G205" s="21"/>
      <c r="H205" s="21"/>
      <c r="I205" s="22"/>
      <c r="J205" s="101"/>
      <c r="K205" s="101"/>
      <c r="L205" s="101"/>
    </row>
    <row r="206" spans="1:12" ht="14.45">
      <c r="A206" s="21"/>
      <c r="B206" s="31"/>
      <c r="C206" s="21"/>
      <c r="D206" s="21"/>
      <c r="E206" s="21"/>
      <c r="F206" s="22"/>
      <c r="G206" s="21"/>
      <c r="H206" s="21"/>
      <c r="I206" s="22"/>
      <c r="J206" s="101"/>
      <c r="K206" s="101"/>
      <c r="L206" s="101"/>
    </row>
    <row r="207" spans="1:12" ht="14.45">
      <c r="A207" s="21"/>
      <c r="B207" s="31"/>
      <c r="C207" s="21"/>
      <c r="D207" s="21"/>
      <c r="E207" s="21"/>
      <c r="F207" s="22"/>
      <c r="G207" s="21"/>
      <c r="H207" s="21"/>
      <c r="I207" s="22"/>
      <c r="J207" s="101"/>
      <c r="K207" s="101"/>
      <c r="L207" s="101"/>
    </row>
    <row r="208" spans="1:12" ht="14.45">
      <c r="A208" s="21"/>
      <c r="B208" s="31"/>
      <c r="C208" s="21"/>
      <c r="D208" s="21"/>
      <c r="E208" s="21"/>
      <c r="F208" s="22"/>
      <c r="G208" s="21"/>
      <c r="H208" s="21"/>
      <c r="I208" s="22"/>
      <c r="J208" s="101"/>
      <c r="K208" s="101"/>
      <c r="L208" s="101"/>
    </row>
    <row r="209" spans="1:12" ht="14.45">
      <c r="A209" s="21"/>
      <c r="B209" s="31"/>
      <c r="C209" s="21"/>
      <c r="D209" s="21"/>
      <c r="E209" s="21"/>
      <c r="F209" s="22"/>
      <c r="G209" s="21"/>
      <c r="H209" s="21"/>
      <c r="I209" s="22"/>
      <c r="J209" s="101"/>
      <c r="K209" s="101"/>
      <c r="L209" s="101"/>
    </row>
    <row r="210" spans="1:12" ht="14.45">
      <c r="A210" s="21"/>
      <c r="B210" s="31"/>
      <c r="C210" s="21"/>
      <c r="D210" s="21"/>
      <c r="E210" s="21"/>
      <c r="F210" s="22"/>
      <c r="G210" s="21"/>
      <c r="H210" s="21"/>
      <c r="I210" s="22"/>
      <c r="J210" s="101"/>
      <c r="K210" s="101"/>
      <c r="L210" s="101"/>
    </row>
    <row r="211" spans="1:12" ht="14.45">
      <c r="A211" s="21"/>
      <c r="B211" s="31"/>
      <c r="C211" s="21"/>
      <c r="D211" s="21"/>
      <c r="E211" s="21"/>
      <c r="F211" s="22"/>
      <c r="G211" s="21"/>
      <c r="H211" s="21"/>
      <c r="I211" s="22"/>
      <c r="J211" s="101"/>
      <c r="K211" s="101"/>
      <c r="L211" s="101"/>
    </row>
    <row r="212" spans="1:12" ht="14.45">
      <c r="A212" s="21"/>
      <c r="B212" s="31"/>
      <c r="C212" s="21"/>
      <c r="D212" s="21"/>
      <c r="E212" s="21"/>
      <c r="F212" s="22"/>
      <c r="G212" s="21"/>
      <c r="H212" s="21"/>
      <c r="I212" s="22"/>
      <c r="J212" s="101"/>
      <c r="K212" s="101"/>
      <c r="L212" s="101"/>
    </row>
    <row r="213" spans="1:12" ht="14.45">
      <c r="A213" s="21"/>
      <c r="B213" s="31"/>
      <c r="C213" s="21"/>
      <c r="D213" s="21"/>
      <c r="E213" s="21"/>
      <c r="F213" s="22"/>
      <c r="G213" s="21"/>
      <c r="H213" s="21"/>
      <c r="I213" s="22"/>
      <c r="J213" s="101"/>
      <c r="K213" s="101"/>
      <c r="L213" s="101"/>
    </row>
    <row r="214" spans="1:12" ht="14.45">
      <c r="A214" s="21"/>
      <c r="B214" s="31"/>
      <c r="C214" s="21"/>
      <c r="D214" s="21"/>
      <c r="E214" s="21"/>
      <c r="F214" s="22"/>
      <c r="G214" s="21"/>
      <c r="H214" s="21"/>
      <c r="I214" s="22"/>
      <c r="J214" s="101"/>
      <c r="K214" s="101"/>
      <c r="L214" s="101"/>
    </row>
    <row r="215" spans="1:12" ht="14.45">
      <c r="A215" s="21"/>
      <c r="B215" s="31"/>
      <c r="C215" s="21"/>
      <c r="D215" s="21"/>
      <c r="E215" s="21"/>
      <c r="F215" s="22"/>
      <c r="G215" s="21"/>
      <c r="H215" s="21"/>
      <c r="I215" s="22"/>
      <c r="J215" s="101"/>
      <c r="K215" s="101"/>
      <c r="L215" s="101"/>
    </row>
    <row r="216" spans="1:12" ht="14.45">
      <c r="A216" s="21"/>
      <c r="B216" s="31"/>
      <c r="C216" s="21"/>
      <c r="D216" s="21"/>
      <c r="E216" s="21"/>
      <c r="F216" s="22"/>
      <c r="G216" s="21"/>
      <c r="H216" s="21"/>
      <c r="I216" s="22"/>
      <c r="J216" s="101"/>
      <c r="K216" s="101"/>
      <c r="L216" s="101"/>
    </row>
    <row r="217" spans="1:12" ht="14.45">
      <c r="A217" s="21"/>
      <c r="B217" s="31"/>
      <c r="C217" s="21"/>
      <c r="D217" s="21"/>
      <c r="E217" s="21"/>
      <c r="F217" s="22"/>
      <c r="G217" s="21"/>
      <c r="H217" s="21"/>
      <c r="I217" s="22"/>
      <c r="J217" s="101"/>
      <c r="K217" s="101"/>
      <c r="L217" s="101"/>
    </row>
    <row r="218" spans="1:12" ht="14.45">
      <c r="A218" s="21"/>
      <c r="B218" s="31"/>
      <c r="C218" s="21"/>
      <c r="D218" s="21"/>
      <c r="E218" s="21"/>
      <c r="F218" s="22"/>
      <c r="G218" s="21"/>
      <c r="H218" s="21"/>
      <c r="I218" s="22"/>
      <c r="J218" s="101"/>
      <c r="K218" s="101"/>
      <c r="L218" s="101"/>
    </row>
    <row r="219" spans="1:12" ht="14.45">
      <c r="A219" s="21"/>
      <c r="B219" s="31"/>
      <c r="C219" s="21"/>
      <c r="D219" s="21"/>
      <c r="E219" s="21"/>
      <c r="F219" s="22"/>
      <c r="G219" s="21"/>
      <c r="H219" s="21"/>
      <c r="I219" s="22"/>
      <c r="J219" s="101"/>
      <c r="K219" s="101"/>
      <c r="L219" s="101"/>
    </row>
    <row r="220" spans="1:12" ht="14.45">
      <c r="A220" s="21"/>
      <c r="B220" s="31"/>
      <c r="C220" s="21"/>
      <c r="D220" s="21"/>
      <c r="E220" s="21"/>
      <c r="F220" s="22"/>
      <c r="G220" s="21"/>
      <c r="H220" s="21"/>
      <c r="I220" s="22"/>
      <c r="J220" s="101"/>
      <c r="K220" s="101"/>
      <c r="L220" s="101"/>
    </row>
    <row r="221" spans="1:12" ht="14.45">
      <c r="A221" s="21"/>
      <c r="B221" s="31"/>
      <c r="C221" s="21"/>
      <c r="D221" s="21"/>
      <c r="E221" s="21"/>
      <c r="F221" s="22"/>
      <c r="G221" s="21"/>
      <c r="H221" s="21"/>
      <c r="I221" s="22"/>
      <c r="J221" s="101"/>
      <c r="K221" s="101"/>
      <c r="L221" s="101"/>
    </row>
    <row r="222" spans="1:12" ht="14.45">
      <c r="A222" s="21"/>
      <c r="B222" s="31"/>
      <c r="C222" s="21"/>
      <c r="D222" s="21"/>
      <c r="E222" s="21"/>
      <c r="F222" s="22"/>
      <c r="G222" s="21"/>
      <c r="H222" s="21"/>
      <c r="I222" s="22"/>
      <c r="J222" s="101"/>
      <c r="K222" s="101"/>
      <c r="L222" s="101"/>
    </row>
    <row r="223" spans="1:12" ht="14.45">
      <c r="A223" s="21"/>
      <c r="B223" s="31"/>
      <c r="C223" s="21"/>
      <c r="D223" s="21"/>
      <c r="E223" s="21"/>
      <c r="F223" s="22"/>
      <c r="G223" s="21"/>
      <c r="H223" s="21"/>
      <c r="I223" s="22"/>
      <c r="J223" s="101"/>
      <c r="K223" s="101"/>
      <c r="L223" s="101"/>
    </row>
    <row r="224" spans="1:12" ht="14.45">
      <c r="A224" s="21"/>
      <c r="B224" s="31"/>
      <c r="C224" s="21"/>
      <c r="D224" s="21"/>
      <c r="E224" s="21"/>
      <c r="F224" s="22"/>
      <c r="G224" s="21"/>
      <c r="H224" s="21"/>
      <c r="I224" s="22"/>
      <c r="J224" s="101"/>
      <c r="K224" s="101"/>
      <c r="L224" s="101"/>
    </row>
    <row r="225" spans="1:12" ht="14.45">
      <c r="A225" s="21"/>
      <c r="B225" s="31"/>
      <c r="C225" s="21"/>
      <c r="D225" s="21"/>
      <c r="E225" s="21"/>
      <c r="F225" s="22"/>
      <c r="G225" s="21"/>
      <c r="H225" s="21"/>
      <c r="I225" s="22"/>
      <c r="J225" s="101"/>
      <c r="K225" s="101"/>
      <c r="L225" s="101"/>
    </row>
    <row r="226" spans="1:12" ht="14.45">
      <c r="A226" s="21"/>
      <c r="B226" s="31"/>
      <c r="C226" s="21"/>
      <c r="D226" s="21"/>
      <c r="E226" s="21"/>
      <c r="F226" s="22"/>
      <c r="G226" s="21"/>
      <c r="H226" s="21"/>
      <c r="I226" s="22"/>
      <c r="J226" s="101"/>
      <c r="K226" s="101"/>
      <c r="L226" s="101"/>
    </row>
    <row r="227" spans="1:12" ht="14.45">
      <c r="A227" s="21"/>
      <c r="B227" s="31"/>
      <c r="C227" s="21"/>
      <c r="D227" s="21"/>
      <c r="E227" s="21"/>
      <c r="F227" s="22"/>
      <c r="G227" s="21"/>
      <c r="H227" s="21"/>
      <c r="I227" s="22"/>
      <c r="J227" s="101"/>
      <c r="K227" s="101"/>
      <c r="L227" s="101"/>
    </row>
    <row r="228" spans="1:12" ht="14.45">
      <c r="A228" s="21"/>
      <c r="B228" s="31"/>
      <c r="C228" s="21"/>
      <c r="D228" s="21"/>
      <c r="E228" s="21"/>
      <c r="F228" s="22"/>
      <c r="G228" s="21"/>
      <c r="H228" s="21"/>
      <c r="I228" s="22"/>
      <c r="J228" s="101"/>
      <c r="K228" s="101"/>
      <c r="L228" s="101"/>
    </row>
    <row r="229" spans="1:12" ht="14.45">
      <c r="A229" s="21"/>
      <c r="B229" s="31"/>
      <c r="C229" s="21"/>
      <c r="D229" s="21"/>
      <c r="E229" s="21"/>
      <c r="F229" s="22"/>
      <c r="G229" s="21"/>
      <c r="H229" s="21"/>
      <c r="I229" s="22"/>
      <c r="J229" s="101"/>
      <c r="K229" s="101"/>
      <c r="L229" s="101"/>
    </row>
    <row r="230" spans="1:12" ht="14.45">
      <c r="A230" s="21"/>
      <c r="B230" s="31"/>
      <c r="C230" s="21"/>
      <c r="D230" s="21"/>
      <c r="E230" s="21"/>
      <c r="F230" s="22"/>
      <c r="G230" s="21"/>
      <c r="H230" s="21"/>
      <c r="I230" s="22"/>
      <c r="J230" s="101"/>
      <c r="K230" s="101"/>
      <c r="L230" s="101"/>
    </row>
    <row r="231" spans="1:12" ht="14.45">
      <c r="A231" s="21"/>
      <c r="B231" s="31"/>
      <c r="C231" s="21"/>
      <c r="D231" s="21"/>
      <c r="E231" s="21"/>
      <c r="F231" s="22"/>
      <c r="G231" s="21"/>
      <c r="H231" s="21"/>
      <c r="I231" s="22"/>
      <c r="J231" s="101"/>
      <c r="K231" s="101"/>
      <c r="L231" s="101"/>
    </row>
    <row r="232" spans="1:12" ht="14.45">
      <c r="A232" s="21"/>
      <c r="B232" s="31"/>
      <c r="C232" s="21"/>
      <c r="D232" s="21"/>
      <c r="E232" s="21"/>
      <c r="F232" s="22"/>
      <c r="G232" s="21"/>
      <c r="H232" s="21"/>
      <c r="I232" s="22"/>
      <c r="J232" s="101"/>
      <c r="K232" s="101"/>
      <c r="L232" s="101"/>
    </row>
    <row r="233" spans="1:12" ht="14.45">
      <c r="A233" s="21"/>
      <c r="B233" s="31"/>
      <c r="C233" s="21"/>
      <c r="D233" s="21"/>
      <c r="E233" s="21"/>
      <c r="F233" s="22"/>
      <c r="G233" s="21"/>
      <c r="H233" s="21"/>
      <c r="I233" s="22"/>
      <c r="J233" s="101"/>
      <c r="K233" s="101"/>
      <c r="L233" s="101"/>
    </row>
    <row r="234" spans="1:12" ht="14.45">
      <c r="A234" s="21"/>
      <c r="B234" s="31"/>
      <c r="C234" s="21"/>
      <c r="D234" s="21"/>
      <c r="E234" s="21"/>
      <c r="F234" s="22"/>
      <c r="G234" s="21"/>
      <c r="H234" s="21"/>
      <c r="I234" s="22"/>
      <c r="J234" s="101"/>
      <c r="K234" s="101"/>
      <c r="L234" s="101"/>
    </row>
    <row r="235" spans="1:12" ht="14.45">
      <c r="A235" s="21"/>
      <c r="B235" s="31"/>
      <c r="C235" s="21"/>
      <c r="D235" s="21"/>
      <c r="E235" s="21"/>
      <c r="F235" s="22"/>
      <c r="G235" s="21"/>
      <c r="H235" s="21"/>
      <c r="I235" s="22"/>
      <c r="J235" s="101"/>
      <c r="K235" s="101"/>
      <c r="L235" s="101"/>
    </row>
    <row r="236" spans="1:12" ht="14.45">
      <c r="A236" s="21"/>
      <c r="B236" s="31"/>
      <c r="C236" s="21"/>
      <c r="D236" s="21"/>
      <c r="E236" s="21"/>
      <c r="F236" s="22"/>
      <c r="G236" s="21"/>
      <c r="H236" s="21"/>
      <c r="I236" s="22"/>
      <c r="J236" s="101"/>
      <c r="K236" s="101"/>
      <c r="L236" s="101"/>
    </row>
    <row r="237" spans="1:12" ht="14.45">
      <c r="A237" s="21"/>
      <c r="B237" s="31"/>
      <c r="C237" s="21"/>
      <c r="D237" s="21"/>
      <c r="E237" s="21"/>
      <c r="F237" s="22"/>
      <c r="G237" s="21"/>
      <c r="H237" s="21"/>
      <c r="I237" s="22"/>
      <c r="J237" s="101"/>
      <c r="K237" s="101"/>
      <c r="L237" s="101"/>
    </row>
    <row r="238" spans="1:12" ht="14.45">
      <c r="A238" s="21"/>
      <c r="B238" s="31"/>
      <c r="C238" s="21"/>
      <c r="D238" s="21"/>
      <c r="E238" s="21"/>
      <c r="F238" s="22"/>
      <c r="G238" s="21"/>
      <c r="H238" s="21"/>
      <c r="I238" s="22"/>
      <c r="J238" s="101"/>
      <c r="K238" s="101"/>
      <c r="L238" s="101"/>
    </row>
    <row r="239" spans="1:12" ht="14.45">
      <c r="A239" s="21"/>
      <c r="B239" s="31"/>
      <c r="C239" s="21"/>
      <c r="D239" s="21"/>
      <c r="E239" s="21"/>
      <c r="F239" s="22"/>
      <c r="G239" s="21"/>
      <c r="H239" s="21"/>
      <c r="I239" s="22"/>
      <c r="J239" s="101"/>
      <c r="K239" s="101"/>
      <c r="L239" s="101"/>
    </row>
    <row r="240" spans="1:12" ht="14.45">
      <c r="A240" s="21"/>
      <c r="B240" s="31"/>
      <c r="C240" s="21"/>
      <c r="D240" s="21"/>
      <c r="E240" s="21"/>
      <c r="F240" s="22"/>
      <c r="G240" s="21"/>
      <c r="H240" s="21"/>
      <c r="I240" s="22"/>
      <c r="J240" s="101"/>
      <c r="K240" s="101"/>
      <c r="L240" s="101"/>
    </row>
    <row r="241" spans="1:12" ht="14.45">
      <c r="A241" s="21"/>
      <c r="B241" s="31"/>
      <c r="C241" s="21"/>
      <c r="D241" s="21"/>
      <c r="E241" s="21"/>
      <c r="F241" s="22"/>
      <c r="G241" s="21"/>
      <c r="H241" s="21"/>
      <c r="I241" s="22"/>
      <c r="J241" s="101"/>
      <c r="K241" s="101"/>
      <c r="L241" s="101"/>
    </row>
    <row r="242" spans="1:12" ht="14.45">
      <c r="A242" s="21"/>
      <c r="B242" s="31"/>
      <c r="C242" s="21"/>
      <c r="D242" s="21"/>
      <c r="E242" s="21"/>
      <c r="F242" s="22"/>
      <c r="G242" s="21"/>
      <c r="H242" s="21"/>
      <c r="I242" s="22"/>
      <c r="J242" s="101"/>
      <c r="K242" s="101"/>
      <c r="L242" s="101"/>
    </row>
    <row r="243" spans="1:12" ht="14.45">
      <c r="A243" s="21"/>
      <c r="B243" s="31"/>
      <c r="C243" s="21"/>
      <c r="D243" s="21"/>
      <c r="E243" s="21"/>
      <c r="F243" s="22"/>
      <c r="G243" s="21"/>
      <c r="H243" s="21"/>
      <c r="I243" s="22"/>
      <c r="J243" s="101"/>
      <c r="K243" s="101"/>
      <c r="L243" s="101"/>
    </row>
    <row r="244" spans="1:12" ht="14.45">
      <c r="A244" s="21"/>
      <c r="B244" s="31"/>
      <c r="C244" s="21"/>
      <c r="D244" s="21"/>
      <c r="E244" s="21"/>
      <c r="F244" s="22"/>
      <c r="G244" s="21"/>
      <c r="H244" s="21"/>
      <c r="I244" s="22"/>
      <c r="J244" s="101"/>
      <c r="K244" s="101"/>
      <c r="L244" s="101"/>
    </row>
    <row r="245" spans="1:12" ht="14.45">
      <c r="A245" s="21"/>
      <c r="B245" s="31"/>
      <c r="C245" s="21"/>
      <c r="D245" s="21"/>
      <c r="E245" s="21"/>
      <c r="F245" s="22"/>
      <c r="G245" s="21"/>
      <c r="H245" s="21"/>
      <c r="I245" s="22"/>
      <c r="J245" s="101"/>
      <c r="K245" s="101"/>
      <c r="L245" s="101"/>
    </row>
    <row r="246" spans="1:12" ht="14.45">
      <c r="A246" s="21"/>
      <c r="B246" s="31"/>
      <c r="C246" s="21"/>
      <c r="D246" s="21"/>
      <c r="E246" s="21"/>
      <c r="F246" s="22"/>
      <c r="G246" s="21"/>
      <c r="H246" s="21"/>
      <c r="I246" s="22"/>
      <c r="J246" s="101"/>
      <c r="K246" s="101"/>
      <c r="L246" s="101"/>
    </row>
    <row r="247" spans="1:12" ht="14.45">
      <c r="A247" s="21"/>
      <c r="B247" s="31"/>
      <c r="C247" s="21"/>
      <c r="D247" s="21"/>
      <c r="E247" s="21"/>
      <c r="F247" s="22"/>
      <c r="G247" s="21"/>
      <c r="H247" s="21"/>
      <c r="I247" s="22"/>
      <c r="J247" s="101"/>
      <c r="K247" s="101"/>
      <c r="L247" s="101"/>
    </row>
    <row r="248" spans="1:12" ht="14.45">
      <c r="A248" s="21"/>
      <c r="B248" s="31"/>
      <c r="C248" s="21"/>
      <c r="D248" s="21"/>
      <c r="E248" s="21"/>
      <c r="F248" s="22"/>
      <c r="G248" s="21"/>
      <c r="H248" s="21"/>
      <c r="I248" s="22"/>
      <c r="J248" s="101"/>
      <c r="K248" s="101"/>
      <c r="L248" s="101"/>
    </row>
    <row r="249" spans="1:12" ht="14.45">
      <c r="A249" s="21"/>
      <c r="B249" s="31"/>
      <c r="C249" s="21"/>
      <c r="D249" s="21"/>
      <c r="E249" s="21"/>
      <c r="F249" s="22"/>
      <c r="G249" s="21"/>
      <c r="H249" s="21"/>
      <c r="I249" s="22"/>
      <c r="J249" s="101"/>
      <c r="K249" s="101"/>
      <c r="L249" s="101"/>
    </row>
    <row r="250" spans="1:12" ht="14.45">
      <c r="A250" s="21"/>
      <c r="B250" s="31"/>
      <c r="C250" s="21"/>
      <c r="D250" s="21"/>
      <c r="E250" s="21"/>
      <c r="F250" s="22"/>
      <c r="G250" s="21"/>
      <c r="H250" s="21"/>
      <c r="I250" s="22"/>
      <c r="J250" s="101"/>
      <c r="K250" s="101"/>
      <c r="L250" s="101"/>
    </row>
    <row r="251" spans="1:12" ht="14.45">
      <c r="A251" s="21"/>
      <c r="B251" s="31"/>
      <c r="C251" s="21"/>
      <c r="D251" s="21"/>
      <c r="E251" s="21"/>
      <c r="F251" s="22"/>
      <c r="G251" s="21"/>
      <c r="H251" s="21"/>
      <c r="I251" s="22"/>
      <c r="J251" s="101"/>
      <c r="K251" s="101"/>
      <c r="L251" s="101"/>
    </row>
    <row r="252" spans="1:12" ht="14.45">
      <c r="A252" s="21"/>
      <c r="B252" s="31"/>
      <c r="C252" s="21"/>
      <c r="D252" s="21"/>
      <c r="E252" s="21"/>
      <c r="F252" s="22"/>
      <c r="G252" s="21"/>
      <c r="H252" s="21"/>
      <c r="I252" s="22"/>
      <c r="J252" s="101"/>
      <c r="K252" s="101"/>
      <c r="L252" s="101"/>
    </row>
    <row r="253" spans="1:12" ht="14.45">
      <c r="A253" s="21"/>
      <c r="B253" s="31"/>
      <c r="C253" s="21"/>
      <c r="D253" s="21"/>
      <c r="E253" s="21"/>
      <c r="F253" s="22"/>
      <c r="G253" s="21"/>
      <c r="H253" s="21"/>
      <c r="I253" s="22"/>
      <c r="J253" s="101"/>
      <c r="K253" s="101"/>
      <c r="L253" s="101"/>
    </row>
    <row r="254" spans="1:12" ht="14.45">
      <c r="A254" s="21"/>
      <c r="B254" s="31"/>
      <c r="C254" s="21"/>
      <c r="D254" s="21"/>
      <c r="E254" s="21"/>
      <c r="F254" s="22"/>
      <c r="G254" s="21"/>
      <c r="H254" s="21"/>
      <c r="I254" s="22"/>
      <c r="J254" s="101"/>
      <c r="K254" s="101"/>
      <c r="L254" s="101"/>
    </row>
    <row r="255" spans="1:12" ht="14.45">
      <c r="A255" s="21"/>
      <c r="B255" s="31"/>
      <c r="C255" s="21"/>
      <c r="D255" s="21"/>
      <c r="E255" s="21"/>
      <c r="F255" s="22"/>
      <c r="G255" s="21"/>
      <c r="H255" s="21"/>
      <c r="I255" s="22"/>
      <c r="J255" s="101"/>
      <c r="K255" s="101"/>
      <c r="L255" s="101"/>
    </row>
    <row r="256" spans="1:12" ht="14.45">
      <c r="A256" s="21"/>
      <c r="B256" s="31"/>
      <c r="C256" s="21"/>
      <c r="D256" s="21"/>
      <c r="E256" s="21"/>
      <c r="F256" s="22"/>
      <c r="G256" s="21"/>
      <c r="H256" s="21"/>
      <c r="I256" s="22"/>
      <c r="J256" s="101"/>
      <c r="K256" s="101"/>
      <c r="L256" s="101"/>
    </row>
    <row r="257" spans="1:12" ht="14.45">
      <c r="A257" s="21"/>
      <c r="B257" s="31"/>
      <c r="C257" s="21"/>
      <c r="D257" s="21"/>
      <c r="E257" s="21"/>
      <c r="F257" s="22"/>
      <c r="G257" s="21"/>
      <c r="H257" s="21"/>
      <c r="I257" s="22"/>
      <c r="J257" s="101"/>
      <c r="K257" s="101"/>
      <c r="L257" s="101"/>
    </row>
    <row r="258" spans="1:12" ht="14.45">
      <c r="A258" s="21"/>
      <c r="B258" s="31"/>
      <c r="C258" s="21"/>
      <c r="D258" s="21"/>
      <c r="E258" s="21"/>
      <c r="F258" s="22"/>
      <c r="G258" s="21"/>
      <c r="H258" s="21"/>
      <c r="I258" s="22"/>
      <c r="J258" s="101"/>
      <c r="K258" s="101"/>
      <c r="L258" s="101"/>
    </row>
    <row r="259" spans="1:12" ht="14.45">
      <c r="A259" s="21"/>
      <c r="B259" s="31"/>
      <c r="C259" s="21"/>
      <c r="D259" s="21"/>
      <c r="E259" s="21"/>
      <c r="F259" s="22"/>
      <c r="G259" s="21"/>
      <c r="H259" s="21"/>
      <c r="I259" s="22"/>
      <c r="J259" s="101"/>
      <c r="K259" s="101"/>
      <c r="L259" s="101"/>
    </row>
    <row r="260" spans="1:12" ht="14.45">
      <c r="A260" s="21"/>
      <c r="B260" s="31"/>
      <c r="C260" s="21"/>
      <c r="D260" s="21"/>
      <c r="E260" s="21"/>
      <c r="F260" s="22"/>
      <c r="G260" s="21"/>
      <c r="H260" s="21"/>
      <c r="I260" s="22"/>
      <c r="J260" s="101"/>
      <c r="K260" s="101"/>
      <c r="L260" s="101"/>
    </row>
    <row r="261" spans="1:12" ht="14.45">
      <c r="A261" s="21"/>
      <c r="B261" s="31"/>
      <c r="C261" s="21"/>
      <c r="D261" s="21"/>
      <c r="E261" s="21"/>
      <c r="F261" s="22"/>
      <c r="G261" s="21"/>
      <c r="H261" s="21"/>
      <c r="I261" s="22"/>
      <c r="J261" s="101"/>
      <c r="K261" s="101"/>
      <c r="L261" s="101"/>
    </row>
    <row r="262" spans="1:12" ht="14.45">
      <c r="A262" s="21"/>
      <c r="B262" s="31"/>
      <c r="C262" s="21"/>
      <c r="D262" s="21"/>
      <c r="E262" s="21"/>
      <c r="F262" s="22"/>
      <c r="G262" s="21"/>
      <c r="H262" s="21"/>
      <c r="I262" s="22"/>
      <c r="J262" s="101"/>
      <c r="K262" s="101"/>
      <c r="L262" s="101"/>
    </row>
    <row r="263" spans="1:12" ht="14.45">
      <c r="A263" s="21"/>
      <c r="B263" s="31"/>
      <c r="C263" s="21"/>
      <c r="D263" s="21"/>
      <c r="E263" s="21"/>
      <c r="F263" s="22"/>
      <c r="G263" s="21"/>
      <c r="H263" s="21"/>
      <c r="I263" s="22"/>
      <c r="J263" s="101"/>
      <c r="K263" s="101"/>
      <c r="L263" s="101"/>
    </row>
    <row r="264" spans="1:12" ht="14.45">
      <c r="A264" s="21"/>
      <c r="B264" s="31"/>
      <c r="C264" s="21"/>
      <c r="D264" s="21"/>
      <c r="E264" s="21"/>
      <c r="F264" s="22"/>
      <c r="G264" s="21"/>
      <c r="H264" s="21"/>
      <c r="I264" s="22"/>
      <c r="J264" s="101"/>
      <c r="K264" s="101"/>
      <c r="L264" s="101"/>
    </row>
    <row r="265" spans="1:12" ht="14.45">
      <c r="A265" s="21"/>
      <c r="B265" s="31"/>
      <c r="C265" s="21"/>
      <c r="D265" s="21"/>
      <c r="E265" s="21"/>
      <c r="F265" s="22"/>
      <c r="G265" s="21"/>
      <c r="H265" s="21"/>
      <c r="I265" s="22"/>
      <c r="J265" s="101"/>
      <c r="K265" s="101"/>
      <c r="L265" s="101"/>
    </row>
    <row r="266" spans="1:12" ht="14.45">
      <c r="A266" s="21"/>
      <c r="B266" s="31"/>
      <c r="C266" s="21"/>
      <c r="D266" s="21"/>
      <c r="E266" s="21"/>
      <c r="F266" s="22"/>
      <c r="G266" s="21"/>
      <c r="H266" s="21"/>
      <c r="I266" s="22"/>
      <c r="J266" s="101"/>
      <c r="K266" s="101"/>
      <c r="L266" s="101"/>
    </row>
    <row r="267" spans="1:12" ht="14.45">
      <c r="A267" s="21"/>
      <c r="B267" s="31"/>
      <c r="C267" s="21"/>
      <c r="D267" s="21"/>
      <c r="E267" s="21"/>
      <c r="F267" s="22"/>
      <c r="G267" s="21"/>
      <c r="H267" s="21"/>
      <c r="I267" s="22"/>
      <c r="J267" s="101"/>
      <c r="K267" s="101"/>
      <c r="L267" s="101"/>
    </row>
    <row r="268" spans="1:12" ht="14.45">
      <c r="A268" s="21"/>
      <c r="B268" s="31"/>
      <c r="C268" s="21"/>
      <c r="D268" s="21"/>
      <c r="E268" s="21"/>
      <c r="F268" s="22"/>
      <c r="G268" s="21"/>
      <c r="H268" s="21"/>
      <c r="I268" s="22"/>
      <c r="J268" s="101"/>
      <c r="K268" s="101"/>
      <c r="L268" s="101"/>
    </row>
    <row r="269" spans="1:12" ht="14.45">
      <c r="A269" s="21"/>
      <c r="B269" s="31"/>
      <c r="C269" s="21"/>
      <c r="D269" s="21"/>
      <c r="E269" s="21"/>
      <c r="F269" s="22"/>
      <c r="G269" s="21"/>
      <c r="H269" s="21"/>
      <c r="I269" s="22"/>
      <c r="J269" s="101"/>
      <c r="K269" s="101"/>
      <c r="L269" s="101"/>
    </row>
    <row r="270" spans="1:12" ht="14.45">
      <c r="A270" s="21"/>
      <c r="B270" s="31"/>
      <c r="C270" s="21"/>
      <c r="D270" s="21"/>
      <c r="E270" s="21"/>
      <c r="F270" s="22"/>
      <c r="G270" s="21"/>
      <c r="H270" s="21"/>
      <c r="I270" s="22"/>
      <c r="J270" s="101"/>
      <c r="K270" s="101"/>
      <c r="L270" s="101"/>
    </row>
    <row r="271" spans="1:12" ht="14.45">
      <c r="A271" s="21"/>
      <c r="B271" s="31"/>
      <c r="C271" s="21"/>
      <c r="D271" s="21"/>
      <c r="E271" s="21"/>
      <c r="F271" s="22"/>
      <c r="G271" s="21"/>
      <c r="H271" s="21"/>
      <c r="I271" s="22"/>
      <c r="J271" s="101"/>
      <c r="K271" s="101"/>
      <c r="L271" s="101"/>
    </row>
    <row r="272" spans="1:12" ht="14.45">
      <c r="A272" s="21"/>
      <c r="B272" s="31"/>
      <c r="C272" s="21"/>
      <c r="D272" s="21"/>
      <c r="E272" s="21"/>
      <c r="F272" s="22"/>
      <c r="G272" s="21"/>
      <c r="H272" s="21"/>
      <c r="I272" s="22"/>
      <c r="J272" s="101"/>
      <c r="K272" s="101"/>
      <c r="L272" s="101"/>
    </row>
    <row r="273" spans="1:12" ht="14.45">
      <c r="A273" s="21"/>
      <c r="B273" s="31"/>
      <c r="C273" s="21"/>
      <c r="D273" s="21"/>
      <c r="E273" s="21"/>
      <c r="F273" s="22"/>
      <c r="G273" s="21"/>
      <c r="H273" s="21"/>
      <c r="I273" s="22"/>
      <c r="J273" s="101"/>
      <c r="K273" s="101"/>
      <c r="L273" s="101"/>
    </row>
    <row r="274" spans="1:12" ht="14.45">
      <c r="A274" s="21"/>
      <c r="B274" s="31"/>
      <c r="C274" s="21"/>
      <c r="D274" s="21"/>
      <c r="E274" s="21"/>
      <c r="F274" s="22"/>
      <c r="G274" s="21"/>
      <c r="H274" s="21"/>
      <c r="I274" s="22"/>
      <c r="J274" s="101"/>
      <c r="K274" s="101"/>
      <c r="L274" s="101"/>
    </row>
    <row r="275" spans="1:12" ht="14.45">
      <c r="A275" s="21"/>
      <c r="B275" s="31"/>
      <c r="C275" s="21"/>
      <c r="D275" s="21"/>
      <c r="E275" s="21"/>
      <c r="F275" s="22"/>
      <c r="G275" s="21"/>
      <c r="H275" s="21"/>
      <c r="I275" s="22"/>
      <c r="J275" s="101"/>
      <c r="K275" s="101"/>
      <c r="L275" s="101"/>
    </row>
    <row r="276" spans="1:12" ht="14.45">
      <c r="A276" s="21"/>
      <c r="B276" s="31"/>
      <c r="C276" s="21"/>
      <c r="D276" s="21"/>
      <c r="E276" s="21"/>
      <c r="F276" s="22"/>
      <c r="G276" s="21"/>
      <c r="H276" s="21"/>
      <c r="I276" s="22"/>
      <c r="J276" s="101"/>
      <c r="K276" s="101"/>
      <c r="L276" s="101"/>
    </row>
    <row r="277" spans="1:12" ht="14.45">
      <c r="A277" s="21"/>
      <c r="B277" s="31"/>
      <c r="C277" s="21"/>
      <c r="D277" s="21"/>
      <c r="E277" s="21"/>
      <c r="F277" s="22"/>
      <c r="G277" s="21"/>
      <c r="H277" s="21"/>
      <c r="I277" s="22"/>
      <c r="J277" s="101"/>
      <c r="K277" s="101"/>
      <c r="L277" s="101"/>
    </row>
    <row r="278" spans="1:12" ht="14.45">
      <c r="A278" s="21"/>
      <c r="B278" s="31"/>
      <c r="C278" s="21"/>
      <c r="D278" s="21"/>
      <c r="E278" s="21"/>
      <c r="F278" s="22"/>
      <c r="G278" s="21"/>
      <c r="H278" s="21"/>
      <c r="I278" s="22"/>
      <c r="J278" s="101"/>
      <c r="K278" s="101"/>
      <c r="L278" s="101"/>
    </row>
    <row r="279" spans="1:12" ht="14.45">
      <c r="A279" s="21"/>
      <c r="B279" s="31"/>
      <c r="C279" s="21"/>
      <c r="D279" s="21"/>
      <c r="E279" s="21"/>
      <c r="F279" s="22"/>
      <c r="G279" s="21"/>
      <c r="H279" s="21"/>
      <c r="I279" s="22"/>
      <c r="J279" s="101"/>
      <c r="K279" s="101"/>
      <c r="L279" s="101"/>
    </row>
    <row r="280" spans="1:12" ht="14.45">
      <c r="A280" s="21"/>
      <c r="B280" s="31"/>
      <c r="C280" s="21"/>
      <c r="D280" s="21"/>
      <c r="E280" s="21"/>
      <c r="F280" s="22"/>
      <c r="G280" s="21"/>
      <c r="H280" s="21"/>
      <c r="I280" s="22"/>
      <c r="J280" s="101"/>
      <c r="K280" s="101"/>
      <c r="L280" s="101"/>
    </row>
    <row r="281" spans="1:12" ht="14.45">
      <c r="A281" s="21"/>
      <c r="B281" s="31"/>
      <c r="C281" s="21"/>
      <c r="D281" s="21"/>
      <c r="E281" s="21"/>
      <c r="F281" s="22"/>
      <c r="G281" s="21"/>
      <c r="H281" s="21"/>
      <c r="I281" s="22"/>
      <c r="J281" s="101"/>
      <c r="K281" s="101"/>
      <c r="L281" s="101"/>
    </row>
    <row r="282" spans="1:12" ht="14.45">
      <c r="A282" s="21"/>
      <c r="B282" s="31"/>
      <c r="C282" s="21"/>
      <c r="D282" s="21"/>
      <c r="E282" s="21"/>
      <c r="F282" s="22"/>
      <c r="G282" s="21"/>
      <c r="H282" s="21"/>
      <c r="I282" s="22"/>
      <c r="J282" s="101"/>
      <c r="K282" s="101"/>
      <c r="L282" s="101"/>
    </row>
    <row r="283" spans="1:12" ht="14.45">
      <c r="A283" s="21"/>
      <c r="B283" s="31"/>
      <c r="C283" s="21"/>
      <c r="D283" s="21"/>
      <c r="E283" s="21"/>
      <c r="F283" s="22"/>
      <c r="G283" s="21"/>
      <c r="H283" s="21"/>
      <c r="I283" s="22"/>
      <c r="J283" s="101"/>
      <c r="K283" s="101"/>
      <c r="L283" s="101"/>
    </row>
    <row r="284" spans="1:12" ht="14.45">
      <c r="A284" s="21"/>
      <c r="B284" s="31"/>
      <c r="C284" s="21"/>
      <c r="D284" s="21"/>
      <c r="E284" s="21"/>
      <c r="F284" s="22"/>
      <c r="G284" s="21"/>
      <c r="H284" s="21"/>
      <c r="I284" s="22"/>
      <c r="J284" s="101"/>
      <c r="K284" s="101"/>
      <c r="L284" s="101"/>
    </row>
    <row r="285" spans="1:12" ht="14.45">
      <c r="A285" s="21"/>
      <c r="B285" s="31"/>
      <c r="C285" s="21"/>
      <c r="D285" s="21"/>
      <c r="E285" s="21"/>
      <c r="F285" s="22"/>
      <c r="G285" s="21"/>
      <c r="H285" s="21"/>
      <c r="I285" s="22"/>
      <c r="J285" s="101"/>
      <c r="K285" s="101"/>
      <c r="L285" s="101"/>
    </row>
    <row r="286" spans="1:12" ht="14.45">
      <c r="A286" s="21"/>
      <c r="B286" s="31"/>
      <c r="C286" s="21"/>
      <c r="D286" s="21"/>
      <c r="E286" s="21"/>
      <c r="F286" s="22"/>
      <c r="G286" s="21"/>
      <c r="H286" s="21"/>
      <c r="I286" s="22"/>
      <c r="J286" s="101"/>
      <c r="K286" s="101"/>
      <c r="L286" s="101"/>
    </row>
    <row r="287" spans="1:12" ht="14.45">
      <c r="A287" s="21"/>
      <c r="B287" s="31"/>
      <c r="C287" s="21"/>
      <c r="D287" s="21"/>
      <c r="E287" s="21"/>
      <c r="F287" s="22"/>
      <c r="G287" s="21"/>
      <c r="H287" s="21"/>
      <c r="I287" s="22"/>
      <c r="J287" s="101"/>
      <c r="K287" s="101"/>
      <c r="L287" s="101"/>
    </row>
    <row r="288" spans="1:12" ht="14.45">
      <c r="A288" s="21"/>
      <c r="B288" s="31"/>
      <c r="C288" s="21"/>
      <c r="D288" s="21"/>
      <c r="E288" s="21"/>
      <c r="F288" s="22"/>
      <c r="G288" s="21"/>
      <c r="H288" s="21"/>
      <c r="I288" s="22"/>
      <c r="J288" s="101"/>
      <c r="K288" s="101"/>
      <c r="L288" s="101"/>
    </row>
    <row r="289" spans="1:12" ht="14.45">
      <c r="A289" s="21"/>
      <c r="B289" s="31"/>
      <c r="C289" s="21"/>
      <c r="D289" s="21"/>
      <c r="E289" s="21"/>
      <c r="F289" s="22"/>
      <c r="G289" s="21"/>
      <c r="H289" s="21"/>
      <c r="I289" s="22"/>
      <c r="J289" s="101"/>
      <c r="K289" s="101"/>
      <c r="L289" s="101"/>
    </row>
    <row r="290" spans="1:12" ht="14.45">
      <c r="A290" s="21"/>
      <c r="B290" s="31"/>
      <c r="C290" s="21"/>
      <c r="D290" s="21"/>
      <c r="E290" s="21"/>
      <c r="F290" s="22"/>
      <c r="G290" s="21"/>
      <c r="H290" s="21"/>
      <c r="I290" s="22"/>
      <c r="J290" s="101"/>
      <c r="K290" s="101"/>
      <c r="L290" s="101"/>
    </row>
    <row r="291" spans="1:12" ht="14.45">
      <c r="A291" s="21"/>
      <c r="B291" s="31"/>
      <c r="C291" s="21"/>
      <c r="D291" s="21"/>
      <c r="E291" s="21"/>
      <c r="F291" s="22"/>
      <c r="G291" s="21"/>
      <c r="H291" s="21"/>
      <c r="I291" s="22"/>
      <c r="J291" s="101"/>
      <c r="K291" s="101"/>
      <c r="L291" s="101"/>
    </row>
    <row r="292" spans="1:12" ht="14.45">
      <c r="A292" s="21"/>
      <c r="B292" s="31"/>
      <c r="C292" s="21"/>
      <c r="D292" s="21"/>
      <c r="E292" s="21"/>
      <c r="F292" s="22"/>
      <c r="G292" s="21"/>
      <c r="H292" s="21"/>
      <c r="I292" s="22"/>
      <c r="J292" s="101"/>
      <c r="K292" s="101"/>
      <c r="L292" s="101"/>
    </row>
    <row r="293" spans="1:12" ht="14.45">
      <c r="A293" s="21"/>
      <c r="B293" s="31"/>
      <c r="C293" s="21"/>
      <c r="D293" s="21"/>
      <c r="E293" s="21"/>
      <c r="F293" s="22"/>
      <c r="G293" s="21"/>
      <c r="H293" s="21"/>
      <c r="I293" s="22"/>
      <c r="J293" s="101"/>
      <c r="K293" s="101"/>
      <c r="L293" s="101"/>
    </row>
    <row r="294" spans="1:12" ht="14.45">
      <c r="A294" s="21"/>
      <c r="B294" s="31"/>
      <c r="C294" s="21"/>
      <c r="D294" s="21"/>
      <c r="E294" s="21"/>
      <c r="F294" s="22"/>
      <c r="G294" s="21"/>
      <c r="H294" s="21"/>
      <c r="I294" s="22"/>
      <c r="J294" s="101"/>
      <c r="K294" s="101"/>
      <c r="L294" s="101"/>
    </row>
    <row r="295" spans="1:12" ht="14.45">
      <c r="A295" s="21"/>
      <c r="B295" s="31"/>
      <c r="C295" s="21"/>
      <c r="D295" s="21"/>
      <c r="E295" s="21"/>
      <c r="F295" s="22"/>
      <c r="G295" s="21"/>
      <c r="H295" s="21"/>
      <c r="I295" s="22"/>
      <c r="J295" s="101"/>
      <c r="K295" s="101"/>
      <c r="L295" s="101"/>
    </row>
    <row r="296" spans="1:12" ht="14.45">
      <c r="A296" s="21"/>
      <c r="B296" s="31"/>
      <c r="C296" s="21"/>
      <c r="D296" s="21"/>
      <c r="E296" s="21"/>
      <c r="F296" s="22"/>
      <c r="G296" s="21"/>
      <c r="H296" s="21"/>
      <c r="I296" s="22"/>
      <c r="J296" s="101"/>
      <c r="K296" s="101"/>
      <c r="L296" s="101"/>
    </row>
    <row r="297" spans="1:12" ht="14.45">
      <c r="A297" s="21"/>
      <c r="B297" s="31"/>
      <c r="C297" s="21"/>
      <c r="D297" s="21"/>
      <c r="E297" s="21"/>
      <c r="F297" s="22"/>
      <c r="G297" s="21"/>
      <c r="H297" s="21"/>
      <c r="I297" s="22"/>
      <c r="J297" s="101"/>
      <c r="K297" s="101"/>
      <c r="L297" s="101"/>
    </row>
    <row r="298" spans="1:12" ht="14.45">
      <c r="A298" s="21"/>
      <c r="B298" s="31"/>
      <c r="C298" s="21"/>
      <c r="D298" s="21"/>
      <c r="E298" s="21"/>
      <c r="F298" s="22"/>
      <c r="G298" s="21"/>
      <c r="H298" s="21"/>
      <c r="I298" s="22"/>
      <c r="J298" s="101"/>
      <c r="K298" s="101"/>
      <c r="L298" s="101"/>
    </row>
    <row r="299" spans="1:12" ht="14.45">
      <c r="A299" s="21"/>
      <c r="B299" s="31"/>
      <c r="C299" s="21"/>
      <c r="D299" s="21"/>
      <c r="E299" s="21"/>
      <c r="F299" s="22"/>
      <c r="G299" s="21"/>
      <c r="H299" s="21"/>
      <c r="I299" s="22"/>
      <c r="J299" s="101"/>
      <c r="K299" s="101"/>
      <c r="L299" s="101"/>
    </row>
    <row r="300" spans="1:12" ht="14.45">
      <c r="A300" s="21"/>
      <c r="B300" s="31"/>
      <c r="C300" s="21"/>
      <c r="D300" s="21"/>
      <c r="E300" s="21"/>
      <c r="F300" s="22"/>
      <c r="G300" s="21"/>
      <c r="H300" s="21"/>
      <c r="I300" s="22"/>
      <c r="J300" s="101"/>
      <c r="K300" s="101"/>
      <c r="L300" s="101"/>
    </row>
    <row r="301" spans="1:12" ht="14.45">
      <c r="A301" s="21"/>
      <c r="B301" s="31"/>
      <c r="C301" s="21"/>
      <c r="D301" s="21"/>
      <c r="E301" s="21"/>
      <c r="F301" s="22"/>
      <c r="G301" s="21"/>
      <c r="H301" s="21"/>
      <c r="I301" s="22"/>
      <c r="J301" s="101"/>
      <c r="K301" s="101"/>
      <c r="L301" s="101"/>
    </row>
    <row r="302" spans="1:12" ht="14.45">
      <c r="A302" s="21"/>
      <c r="B302" s="31"/>
      <c r="C302" s="21"/>
      <c r="D302" s="21"/>
      <c r="E302" s="21"/>
      <c r="F302" s="22"/>
      <c r="G302" s="21"/>
      <c r="H302" s="21"/>
      <c r="I302" s="22"/>
      <c r="J302" s="101"/>
      <c r="K302" s="101"/>
      <c r="L302" s="101"/>
    </row>
    <row r="303" spans="1:12" ht="14.45">
      <c r="A303" s="21"/>
      <c r="B303" s="31"/>
      <c r="C303" s="21"/>
      <c r="D303" s="21"/>
      <c r="E303" s="21"/>
      <c r="F303" s="22"/>
      <c r="G303" s="21"/>
      <c r="H303" s="21"/>
      <c r="I303" s="22"/>
      <c r="J303" s="101"/>
      <c r="K303" s="101"/>
      <c r="L303" s="101"/>
    </row>
    <row r="304" spans="1:12" ht="14.45">
      <c r="A304" s="21"/>
      <c r="B304" s="31"/>
      <c r="C304" s="21"/>
      <c r="D304" s="21"/>
      <c r="E304" s="21"/>
      <c r="F304" s="22"/>
      <c r="G304" s="21"/>
      <c r="H304" s="21"/>
      <c r="I304" s="22"/>
      <c r="J304" s="101"/>
      <c r="K304" s="101"/>
      <c r="L304" s="101"/>
    </row>
    <row r="305" spans="1:12" ht="14.45">
      <c r="A305" s="21"/>
      <c r="B305" s="31"/>
      <c r="C305" s="21"/>
      <c r="D305" s="21"/>
      <c r="E305" s="21"/>
      <c r="F305" s="22"/>
      <c r="G305" s="21"/>
      <c r="H305" s="21"/>
      <c r="I305" s="22"/>
      <c r="J305" s="101"/>
      <c r="K305" s="101"/>
      <c r="L305" s="101"/>
    </row>
    <row r="306" spans="1:12" ht="14.45">
      <c r="A306" s="21"/>
      <c r="B306" s="31"/>
      <c r="C306" s="21"/>
      <c r="D306" s="21"/>
      <c r="E306" s="21"/>
      <c r="F306" s="22"/>
      <c r="G306" s="21"/>
      <c r="H306" s="21"/>
      <c r="I306" s="22"/>
      <c r="J306" s="101"/>
      <c r="K306" s="101"/>
      <c r="L306" s="101"/>
    </row>
    <row r="307" spans="1:12" ht="14.45">
      <c r="A307" s="21"/>
      <c r="B307" s="31"/>
      <c r="C307" s="21"/>
      <c r="D307" s="21"/>
      <c r="E307" s="21"/>
      <c r="F307" s="22"/>
      <c r="G307" s="21"/>
      <c r="H307" s="21"/>
      <c r="I307" s="22"/>
      <c r="J307" s="101"/>
      <c r="K307" s="101"/>
      <c r="L307" s="101"/>
    </row>
    <row r="308" spans="1:12" ht="14.45">
      <c r="A308" s="21"/>
      <c r="B308" s="31"/>
      <c r="C308" s="21"/>
      <c r="D308" s="21"/>
      <c r="E308" s="21"/>
      <c r="F308" s="22"/>
      <c r="G308" s="21"/>
      <c r="H308" s="21"/>
      <c r="I308" s="22"/>
      <c r="J308" s="101"/>
      <c r="K308" s="101"/>
      <c r="L308" s="101"/>
    </row>
    <row r="309" spans="1:12" ht="14.45">
      <c r="A309" s="21"/>
      <c r="B309" s="31"/>
      <c r="C309" s="21"/>
      <c r="D309" s="21"/>
      <c r="E309" s="21"/>
      <c r="F309" s="22"/>
      <c r="G309" s="21"/>
      <c r="H309" s="21"/>
      <c r="I309" s="22"/>
      <c r="J309" s="101"/>
      <c r="K309" s="101"/>
      <c r="L309" s="101"/>
    </row>
    <row r="310" spans="1:12" ht="14.45">
      <c r="A310" s="21"/>
      <c r="B310" s="31"/>
      <c r="C310" s="21"/>
      <c r="D310" s="21"/>
      <c r="E310" s="21"/>
      <c r="F310" s="22"/>
      <c r="G310" s="21"/>
      <c r="H310" s="21"/>
      <c r="I310" s="22"/>
      <c r="J310" s="101"/>
      <c r="K310" s="101"/>
      <c r="L310" s="101"/>
    </row>
    <row r="311" spans="1:12" ht="14.45">
      <c r="A311" s="21"/>
      <c r="B311" s="31"/>
      <c r="C311" s="21"/>
      <c r="D311" s="21"/>
      <c r="E311" s="21"/>
      <c r="F311" s="22"/>
      <c r="G311" s="21"/>
      <c r="H311" s="21"/>
      <c r="I311" s="22"/>
      <c r="J311" s="101"/>
      <c r="K311" s="101"/>
      <c r="L311" s="101"/>
    </row>
    <row r="312" spans="1:12" ht="14.45">
      <c r="A312" s="21"/>
      <c r="B312" s="31"/>
      <c r="C312" s="21"/>
      <c r="D312" s="21"/>
      <c r="E312" s="21"/>
      <c r="F312" s="22"/>
      <c r="G312" s="21"/>
      <c r="H312" s="21"/>
      <c r="I312" s="22"/>
      <c r="J312" s="101"/>
      <c r="K312" s="101"/>
      <c r="L312" s="101"/>
    </row>
    <row r="313" spans="1:12" ht="14.45">
      <c r="A313" s="21"/>
      <c r="B313" s="31"/>
      <c r="C313" s="21"/>
      <c r="D313" s="21"/>
      <c r="E313" s="21"/>
      <c r="F313" s="22"/>
      <c r="G313" s="21"/>
      <c r="H313" s="21"/>
      <c r="I313" s="22"/>
      <c r="J313" s="101"/>
      <c r="K313" s="101"/>
      <c r="L313" s="101"/>
    </row>
    <row r="314" spans="1:12" ht="14.45">
      <c r="A314" s="21"/>
      <c r="B314" s="31"/>
      <c r="C314" s="21"/>
      <c r="D314" s="21"/>
      <c r="E314" s="21"/>
      <c r="F314" s="22"/>
      <c r="G314" s="21"/>
      <c r="H314" s="21"/>
      <c r="I314" s="22"/>
      <c r="J314" s="101"/>
      <c r="K314" s="101"/>
      <c r="L314" s="101"/>
    </row>
    <row r="315" spans="1:12" ht="14.45">
      <c r="A315" s="21"/>
      <c r="B315" s="31"/>
      <c r="C315" s="21"/>
      <c r="D315" s="21"/>
      <c r="E315" s="21"/>
      <c r="F315" s="22"/>
      <c r="G315" s="21"/>
      <c r="H315" s="21"/>
      <c r="I315" s="22"/>
      <c r="J315" s="101"/>
      <c r="K315" s="101"/>
      <c r="L315" s="101"/>
    </row>
    <row r="316" spans="1:12" ht="14.45">
      <c r="A316" s="21"/>
      <c r="B316" s="31"/>
      <c r="C316" s="21"/>
      <c r="D316" s="21"/>
      <c r="E316" s="21"/>
      <c r="F316" s="22"/>
      <c r="G316" s="21"/>
      <c r="H316" s="21"/>
      <c r="I316" s="22"/>
      <c r="J316" s="101"/>
      <c r="K316" s="101"/>
      <c r="L316" s="101"/>
    </row>
    <row r="317" spans="1:12" ht="14.45">
      <c r="A317" s="21"/>
      <c r="B317" s="31"/>
      <c r="C317" s="21"/>
      <c r="D317" s="21"/>
      <c r="E317" s="21"/>
      <c r="F317" s="22"/>
      <c r="G317" s="21"/>
      <c r="H317" s="21"/>
      <c r="I317" s="22"/>
      <c r="J317" s="101"/>
      <c r="K317" s="101"/>
      <c r="L317" s="101"/>
    </row>
    <row r="318" spans="1:12" ht="14.45">
      <c r="A318" s="21"/>
      <c r="B318" s="31"/>
      <c r="C318" s="21"/>
      <c r="D318" s="21"/>
      <c r="E318" s="21"/>
      <c r="F318" s="22"/>
      <c r="G318" s="21"/>
      <c r="H318" s="21"/>
      <c r="I318" s="22"/>
      <c r="J318" s="101"/>
      <c r="K318" s="101"/>
      <c r="L318" s="101"/>
    </row>
    <row r="319" spans="1:12" ht="14.45">
      <c r="A319" s="21"/>
      <c r="B319" s="31"/>
      <c r="C319" s="21"/>
      <c r="D319" s="21"/>
      <c r="E319" s="21"/>
      <c r="F319" s="22"/>
      <c r="G319" s="21"/>
      <c r="H319" s="21"/>
      <c r="I319" s="22"/>
      <c r="J319" s="101"/>
      <c r="K319" s="101"/>
      <c r="L319" s="101"/>
    </row>
    <row r="320" spans="1:12" ht="14.45">
      <c r="A320" s="21"/>
      <c r="B320" s="31"/>
      <c r="C320" s="21"/>
      <c r="D320" s="21"/>
      <c r="E320" s="21"/>
      <c r="F320" s="22"/>
      <c r="G320" s="21"/>
      <c r="H320" s="21"/>
      <c r="I320" s="22"/>
      <c r="J320" s="101"/>
      <c r="K320" s="101"/>
      <c r="L320" s="101"/>
    </row>
    <row r="321" spans="1:12" ht="14.45">
      <c r="A321" s="21"/>
      <c r="B321" s="31"/>
      <c r="C321" s="21"/>
      <c r="D321" s="21"/>
      <c r="E321" s="21"/>
      <c r="F321" s="22"/>
      <c r="G321" s="21"/>
      <c r="H321" s="21"/>
      <c r="I321" s="22"/>
      <c r="J321" s="101"/>
      <c r="K321" s="101"/>
      <c r="L321" s="101"/>
    </row>
    <row r="322" spans="1:12" ht="14.45">
      <c r="A322" s="21"/>
      <c r="B322" s="31"/>
      <c r="C322" s="21"/>
      <c r="D322" s="21"/>
      <c r="E322" s="21"/>
      <c r="F322" s="22"/>
      <c r="G322" s="21"/>
      <c r="H322" s="21"/>
      <c r="I322" s="22"/>
      <c r="J322" s="101"/>
      <c r="K322" s="101"/>
      <c r="L322" s="101"/>
    </row>
    <row r="323" spans="1:12" ht="14.45">
      <c r="A323" s="21"/>
      <c r="B323" s="31"/>
      <c r="C323" s="21"/>
      <c r="D323" s="21"/>
      <c r="E323" s="21"/>
      <c r="F323" s="22"/>
      <c r="G323" s="21"/>
      <c r="H323" s="21"/>
      <c r="I323" s="22"/>
      <c r="J323" s="101"/>
      <c r="K323" s="101"/>
      <c r="L323" s="101"/>
    </row>
    <row r="324" spans="1:12" ht="14.45">
      <c r="A324" s="21"/>
      <c r="B324" s="31"/>
      <c r="C324" s="21"/>
      <c r="D324" s="21"/>
      <c r="E324" s="21"/>
      <c r="F324" s="22"/>
      <c r="G324" s="21"/>
      <c r="H324" s="21"/>
      <c r="I324" s="22"/>
      <c r="J324" s="101"/>
      <c r="K324" s="101"/>
      <c r="L324" s="101"/>
    </row>
    <row r="325" spans="1:12" ht="14.45">
      <c r="A325" s="21"/>
      <c r="B325" s="31"/>
      <c r="C325" s="21"/>
      <c r="D325" s="21"/>
      <c r="E325" s="21"/>
      <c r="F325" s="22"/>
      <c r="G325" s="21"/>
      <c r="H325" s="21"/>
      <c r="I325" s="22"/>
      <c r="J325" s="101"/>
      <c r="K325" s="101"/>
      <c r="L325" s="101"/>
    </row>
    <row r="326" spans="1:12" ht="14.45">
      <c r="A326" s="21"/>
      <c r="B326" s="31"/>
      <c r="C326" s="21"/>
      <c r="D326" s="21"/>
      <c r="E326" s="21"/>
      <c r="F326" s="22"/>
      <c r="G326" s="21"/>
      <c r="H326" s="21"/>
      <c r="I326" s="22"/>
      <c r="J326" s="101"/>
      <c r="K326" s="101"/>
      <c r="L326" s="101"/>
    </row>
    <row r="327" spans="1:12" ht="14.45">
      <c r="A327" s="21"/>
      <c r="B327" s="31"/>
      <c r="C327" s="21"/>
      <c r="D327" s="21"/>
      <c r="E327" s="21"/>
      <c r="F327" s="22"/>
      <c r="G327" s="21"/>
      <c r="H327" s="21"/>
      <c r="I327" s="22"/>
      <c r="J327" s="101"/>
      <c r="K327" s="101"/>
      <c r="L327" s="101"/>
    </row>
    <row r="328" spans="1:12" ht="14.45">
      <c r="A328" s="21"/>
      <c r="B328" s="31"/>
      <c r="C328" s="21"/>
      <c r="D328" s="21"/>
      <c r="E328" s="21"/>
      <c r="F328" s="22"/>
      <c r="G328" s="21"/>
      <c r="H328" s="21"/>
      <c r="I328" s="22"/>
      <c r="J328" s="101"/>
      <c r="K328" s="101"/>
      <c r="L328" s="101"/>
    </row>
    <row r="329" spans="1:12" ht="14.45">
      <c r="A329" s="21"/>
      <c r="B329" s="31"/>
      <c r="C329" s="21"/>
      <c r="D329" s="21"/>
      <c r="E329" s="21"/>
      <c r="F329" s="22"/>
      <c r="G329" s="21"/>
      <c r="H329" s="21"/>
      <c r="I329" s="22"/>
      <c r="J329" s="101"/>
      <c r="K329" s="101"/>
      <c r="L329" s="101"/>
    </row>
    <row r="330" spans="1:12" ht="14.45">
      <c r="A330" s="21"/>
      <c r="B330" s="31"/>
      <c r="C330" s="21"/>
      <c r="D330" s="21"/>
      <c r="E330" s="21"/>
      <c r="F330" s="22"/>
      <c r="G330" s="21"/>
      <c r="H330" s="21"/>
      <c r="I330" s="22"/>
      <c r="J330" s="101"/>
      <c r="K330" s="101"/>
      <c r="L330" s="101"/>
    </row>
    <row r="331" spans="1:12" ht="14.45">
      <c r="A331" s="21"/>
      <c r="B331" s="31"/>
      <c r="C331" s="21"/>
      <c r="D331" s="21"/>
      <c r="E331" s="21"/>
      <c r="F331" s="22"/>
      <c r="G331" s="21"/>
      <c r="H331" s="21"/>
      <c r="I331" s="22"/>
      <c r="J331" s="101"/>
      <c r="K331" s="101"/>
      <c r="L331" s="101"/>
    </row>
    <row r="332" spans="1:12" ht="14.45">
      <c r="A332" s="21"/>
      <c r="B332" s="31"/>
      <c r="C332" s="21"/>
      <c r="D332" s="21"/>
      <c r="E332" s="21"/>
      <c r="F332" s="22"/>
      <c r="G332" s="21"/>
      <c r="H332" s="21"/>
      <c r="I332" s="22"/>
      <c r="J332" s="101"/>
      <c r="K332" s="101"/>
      <c r="L332" s="101"/>
    </row>
    <row r="333" spans="1:12" ht="14.45">
      <c r="A333" s="21"/>
      <c r="B333" s="31"/>
      <c r="C333" s="21"/>
      <c r="D333" s="21"/>
      <c r="E333" s="21"/>
      <c r="F333" s="22"/>
      <c r="G333" s="21"/>
      <c r="H333" s="21"/>
      <c r="I333" s="22"/>
      <c r="J333" s="101"/>
      <c r="K333" s="101"/>
      <c r="L333" s="101"/>
    </row>
    <row r="334" spans="1:12" ht="14.45">
      <c r="A334" s="21"/>
      <c r="B334" s="31"/>
      <c r="C334" s="21"/>
      <c r="D334" s="21"/>
      <c r="E334" s="21"/>
      <c r="F334" s="22"/>
      <c r="G334" s="21"/>
      <c r="H334" s="21"/>
      <c r="I334" s="22"/>
      <c r="J334" s="101"/>
      <c r="K334" s="101"/>
      <c r="L334" s="101"/>
    </row>
    <row r="335" spans="1:12" ht="14.45">
      <c r="A335" s="21"/>
      <c r="B335" s="31"/>
      <c r="C335" s="21"/>
      <c r="D335" s="21"/>
      <c r="E335" s="21"/>
      <c r="F335" s="22"/>
      <c r="G335" s="21"/>
      <c r="H335" s="21"/>
      <c r="I335" s="22"/>
      <c r="J335" s="101"/>
      <c r="K335" s="101"/>
      <c r="L335" s="101"/>
    </row>
    <row r="336" spans="1:12" ht="14.45">
      <c r="A336" s="21"/>
      <c r="B336" s="31"/>
      <c r="C336" s="21"/>
      <c r="D336" s="21"/>
      <c r="E336" s="21"/>
      <c r="F336" s="22"/>
      <c r="G336" s="21"/>
      <c r="H336" s="21"/>
      <c r="I336" s="22"/>
      <c r="J336" s="101"/>
      <c r="K336" s="101"/>
      <c r="L336" s="101"/>
    </row>
    <row r="337" spans="1:12" ht="14.45">
      <c r="A337" s="21"/>
      <c r="B337" s="31"/>
      <c r="C337" s="21"/>
      <c r="D337" s="21"/>
      <c r="E337" s="21"/>
      <c r="F337" s="22"/>
      <c r="G337" s="21"/>
      <c r="H337" s="21"/>
      <c r="I337" s="22"/>
      <c r="J337" s="101"/>
      <c r="K337" s="101"/>
      <c r="L337" s="101"/>
    </row>
    <row r="338" spans="1:12" ht="14.45">
      <c r="A338" s="21"/>
      <c r="B338" s="31"/>
      <c r="C338" s="21"/>
      <c r="D338" s="21"/>
      <c r="E338" s="21"/>
      <c r="F338" s="22"/>
      <c r="G338" s="21"/>
      <c r="H338" s="21"/>
      <c r="I338" s="22"/>
      <c r="J338" s="101"/>
      <c r="K338" s="101"/>
      <c r="L338" s="101"/>
    </row>
    <row r="339" spans="1:12" ht="14.45">
      <c r="A339" s="21"/>
      <c r="B339" s="31"/>
      <c r="C339" s="21"/>
      <c r="D339" s="21"/>
      <c r="E339" s="21"/>
      <c r="F339" s="22"/>
      <c r="G339" s="21"/>
      <c r="H339" s="21"/>
      <c r="I339" s="22"/>
      <c r="J339" s="101"/>
      <c r="K339" s="101"/>
      <c r="L339" s="101"/>
    </row>
    <row r="340" spans="1:12" ht="14.45">
      <c r="A340" s="21"/>
      <c r="B340" s="31"/>
      <c r="C340" s="21"/>
      <c r="D340" s="21"/>
      <c r="E340" s="21"/>
      <c r="F340" s="22"/>
      <c r="G340" s="21"/>
      <c r="H340" s="21"/>
      <c r="I340" s="22"/>
      <c r="J340" s="101"/>
      <c r="K340" s="101"/>
      <c r="L340" s="101"/>
    </row>
    <row r="341" spans="1:12" ht="14.45">
      <c r="A341" s="21"/>
      <c r="B341" s="31"/>
      <c r="C341" s="21"/>
      <c r="D341" s="21"/>
      <c r="E341" s="21"/>
      <c r="F341" s="22"/>
      <c r="G341" s="21"/>
      <c r="H341" s="21"/>
      <c r="I341" s="22"/>
      <c r="J341" s="101"/>
      <c r="K341" s="101"/>
      <c r="L341" s="101"/>
    </row>
    <row r="342" spans="1:12" ht="14.45">
      <c r="A342" s="21"/>
      <c r="B342" s="31"/>
      <c r="C342" s="21"/>
      <c r="D342" s="21"/>
      <c r="E342" s="21"/>
      <c r="F342" s="22"/>
      <c r="G342" s="21"/>
      <c r="H342" s="21"/>
      <c r="I342" s="22"/>
      <c r="J342" s="101"/>
      <c r="K342" s="101"/>
      <c r="L342" s="101"/>
    </row>
    <row r="343" spans="1:12" ht="14.45">
      <c r="A343" s="21"/>
      <c r="B343" s="31"/>
      <c r="C343" s="21"/>
      <c r="D343" s="21"/>
      <c r="E343" s="21"/>
      <c r="F343" s="22"/>
      <c r="G343" s="21"/>
      <c r="H343" s="21"/>
      <c r="I343" s="22"/>
      <c r="J343" s="101"/>
      <c r="K343" s="101"/>
      <c r="L343" s="101"/>
    </row>
    <row r="344" spans="1:12" ht="14.45">
      <c r="A344" s="21"/>
      <c r="B344" s="31"/>
      <c r="C344" s="21"/>
      <c r="D344" s="21"/>
      <c r="E344" s="21"/>
      <c r="F344" s="22"/>
      <c r="G344" s="21"/>
      <c r="H344" s="21"/>
      <c r="I344" s="22"/>
      <c r="J344" s="101"/>
      <c r="K344" s="101"/>
      <c r="L344" s="101"/>
    </row>
    <row r="345" spans="1:12" ht="14.45">
      <c r="C345" s="21"/>
      <c r="D345" s="21"/>
      <c r="E345" s="21"/>
      <c r="F345" s="22"/>
      <c r="G345" s="21"/>
      <c r="H345" s="21"/>
      <c r="I345" s="22"/>
      <c r="J345" s="101"/>
      <c r="K345" s="101"/>
      <c r="L345" s="10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AE345"/>
  <sheetViews>
    <sheetView zoomScale="60" zoomScaleNormal="60" workbookViewId="0">
      <pane xSplit="2" ySplit="3" topLeftCell="C25" activePane="bottomRight" state="frozen"/>
      <selection pane="bottomRight" activeCell="AF63" sqref="AF63"/>
      <selection pane="bottomLeft" activeCell="AF63" sqref="AF63"/>
      <selection pane="topRight" activeCell="AF63" sqref="AF6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 customWidth="1"/>
    <col min="13" max="31" width="8.85546875" style="73"/>
  </cols>
  <sheetData>
    <row r="1" spans="1:17" ht="19.5" customHeight="1">
      <c r="A1" s="124" t="str" cm="1">
        <f t="array" ref="A1">portfolio</f>
        <v>Lodestar</v>
      </c>
      <c r="B1" s="124"/>
      <c r="C1" s="124"/>
      <c r="D1" s="125" t="s">
        <v>173</v>
      </c>
      <c r="E1" s="125"/>
      <c r="F1" s="125"/>
      <c r="G1" s="123" t="s">
        <v>174</v>
      </c>
      <c r="H1" s="123"/>
      <c r="I1" s="123"/>
      <c r="J1" s="4"/>
      <c r="K1" s="4"/>
      <c r="L1" s="4"/>
    </row>
    <row r="2" spans="1:17" ht="19.5" customHeight="1">
      <c r="A2" s="126" t="s">
        <v>2</v>
      </c>
      <c r="B2" s="126"/>
      <c r="C2" s="5">
        <f>SUM(C4:C103)</f>
        <v>0</v>
      </c>
      <c r="D2" s="5">
        <f>SUM(D4:D103)</f>
        <v>0</v>
      </c>
      <c r="E2" s="5">
        <f>C2-D2</f>
        <v>0</v>
      </c>
      <c r="F2" s="6">
        <f>IFERROR(E2/D2, 0)</f>
        <v>0</v>
      </c>
      <c r="G2" s="5">
        <f>SUM(G4:G103)</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7" ht="14.25" customHeight="1">
      <c r="A3" s="8" t="s">
        <v>3</v>
      </c>
      <c r="B3" s="8" t="s">
        <v>4</v>
      </c>
      <c r="C3" s="23" t="s">
        <v>5</v>
      </c>
      <c r="D3" s="33" t="s">
        <v>6</v>
      </c>
      <c r="E3" s="33" t="s">
        <v>7</v>
      </c>
      <c r="F3" s="34" t="s">
        <v>8</v>
      </c>
      <c r="G3" s="35" t="s">
        <v>9</v>
      </c>
      <c r="H3" s="36" t="s">
        <v>7</v>
      </c>
      <c r="I3" s="37" t="s">
        <v>8</v>
      </c>
      <c r="J3" s="25" t="s">
        <v>20</v>
      </c>
      <c r="K3" s="25" t="s">
        <v>21</v>
      </c>
      <c r="L3" s="25" t="s">
        <v>170</v>
      </c>
    </row>
    <row r="4" spans="1:17" ht="192.75" customHeight="1">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69"/>
      <c r="L4" s="38"/>
      <c r="M4" s="74"/>
      <c r="N4" s="74"/>
      <c r="O4" s="74"/>
      <c r="P4" s="74"/>
    </row>
    <row r="5" spans="1:17" ht="15.6">
      <c r="A5" s="28" t="str">
        <v>Bunce</v>
      </c>
      <c r="B5" s="29" t="str">
        <v>CT</v>
      </c>
      <c r="C5" s="11"/>
      <c r="D5" s="18"/>
      <c r="E5" s="18" t="str">
        <f t="shared" ref="E5:E28" si="0">IF(AND(ISNUMBER(C5),ISNUMBER(D5)), C5-D5, "")</f>
        <v/>
      </c>
      <c r="F5" s="19" t="str">
        <f t="shared" ref="F5:F28" si="1">IFERROR(E5/D5, "")</f>
        <v/>
      </c>
      <c r="G5" s="20"/>
      <c r="H5" s="20" t="str">
        <f t="shared" ref="H5:H28" si="2">IF(AND(ISNUMBER(C5),ISNUMBER(G5)), C5-G5, "")</f>
        <v/>
      </c>
      <c r="I5" s="19" t="str">
        <f t="shared" ref="I5:I6" si="3">IFERROR(H5/G5, "")</f>
        <v/>
      </c>
      <c r="J5" s="39"/>
      <c r="K5" s="71"/>
      <c r="L5" s="47"/>
    </row>
    <row r="6" spans="1:17" ht="15.6">
      <c r="A6" s="30" t="str">
        <v>Norcap North</v>
      </c>
      <c r="B6" s="27" t="str">
        <v>CT</v>
      </c>
      <c r="C6" s="24"/>
      <c r="D6" s="13"/>
      <c r="E6" s="13" t="str">
        <f t="shared" si="0"/>
        <v/>
      </c>
      <c r="F6" s="14" t="str">
        <f t="shared" si="1"/>
        <v/>
      </c>
      <c r="G6" s="15"/>
      <c r="H6" s="15" t="str">
        <f t="shared" si="2"/>
        <v/>
      </c>
      <c r="I6" s="16" t="str">
        <f t="shared" si="3"/>
        <v/>
      </c>
      <c r="J6" s="38"/>
      <c r="K6" s="69"/>
      <c r="L6" s="38"/>
      <c r="M6" s="74"/>
      <c r="N6" s="74"/>
      <c r="O6" s="74"/>
    </row>
    <row r="7" spans="1:17" ht="15.6">
      <c r="A7" s="28" t="str">
        <v>Norcap South</v>
      </c>
      <c r="B7" s="29" t="str">
        <v>CT</v>
      </c>
      <c r="C7" s="11"/>
      <c r="D7" s="18"/>
      <c r="E7" s="18" t="str">
        <f t="shared" si="0"/>
        <v/>
      </c>
      <c r="F7" s="19" t="str">
        <f t="shared" si="1"/>
        <v/>
      </c>
      <c r="G7" s="20"/>
      <c r="H7" s="20" t="str">
        <f t="shared" si="2"/>
        <v/>
      </c>
      <c r="I7" s="19" t="str">
        <f t="shared" ref="I7:I28" si="4">IFERROR(H7/G7, "")</f>
        <v/>
      </c>
      <c r="J7" s="48"/>
      <c r="K7" s="47"/>
      <c r="L7" s="47"/>
    </row>
    <row r="8" spans="1:17" ht="113.25" customHeight="1">
      <c r="A8" s="55" t="str">
        <v>Platt Hill</v>
      </c>
      <c r="B8" s="27" t="str">
        <v>CT</v>
      </c>
      <c r="C8" s="24"/>
      <c r="D8" s="13"/>
      <c r="E8" s="13" t="str">
        <f t="shared" si="0"/>
        <v/>
      </c>
      <c r="F8" s="14" t="str">
        <f t="shared" si="1"/>
        <v/>
      </c>
      <c r="G8" s="15"/>
      <c r="H8" s="15" t="str">
        <f t="shared" si="2"/>
        <v/>
      </c>
      <c r="I8" s="16" t="str">
        <f t="shared" si="4"/>
        <v/>
      </c>
      <c r="J8" s="38"/>
      <c r="K8" s="69"/>
      <c r="L8" s="38"/>
      <c r="M8" s="74"/>
      <c r="N8" s="74"/>
      <c r="O8" s="74"/>
      <c r="P8" s="74"/>
      <c r="Q8" s="74"/>
    </row>
    <row r="9" spans="1:17" ht="96.75" customHeight="1">
      <c r="A9" s="28" t="str">
        <v>Powder Hill</v>
      </c>
      <c r="B9" s="29" t="str">
        <v>CT</v>
      </c>
      <c r="C9" s="11"/>
      <c r="D9" s="18"/>
      <c r="E9" s="18" t="str">
        <f t="shared" si="0"/>
        <v/>
      </c>
      <c r="F9" s="19" t="str">
        <f t="shared" si="1"/>
        <v/>
      </c>
      <c r="G9" s="20"/>
      <c r="H9" s="20" t="str">
        <f t="shared" si="2"/>
        <v/>
      </c>
      <c r="I9" s="19" t="str">
        <f t="shared" si="4"/>
        <v/>
      </c>
      <c r="J9" s="47"/>
      <c r="K9" s="71"/>
      <c r="L9" s="47"/>
      <c r="M9" s="74"/>
      <c r="N9" s="74"/>
      <c r="O9" s="74"/>
    </row>
    <row r="10" spans="1:17" ht="15.6">
      <c r="A10" s="30" t="str">
        <v>Sand Road</v>
      </c>
      <c r="B10" s="27" t="str">
        <v>CT</v>
      </c>
      <c r="C10" s="24"/>
      <c r="D10" s="13"/>
      <c r="E10" s="13" t="str">
        <f t="shared" si="0"/>
        <v/>
      </c>
      <c r="F10" s="14" t="str">
        <f t="shared" si="1"/>
        <v/>
      </c>
      <c r="G10" s="15"/>
      <c r="H10" s="15" t="str">
        <f t="shared" si="2"/>
        <v/>
      </c>
      <c r="I10" s="16" t="str">
        <f t="shared" si="4"/>
        <v/>
      </c>
      <c r="J10" s="38"/>
      <c r="K10" s="38"/>
      <c r="L10" s="38"/>
    </row>
    <row r="11" spans="1:17" ht="15.6">
      <c r="A11" s="28" t="str">
        <v>Suffield</v>
      </c>
      <c r="B11" s="29" t="str">
        <v>CT</v>
      </c>
      <c r="C11" s="11"/>
      <c r="D11" s="18"/>
      <c r="E11" s="18" t="str">
        <f t="shared" si="0"/>
        <v/>
      </c>
      <c r="F11" s="19" t="str">
        <f t="shared" si="1"/>
        <v/>
      </c>
      <c r="G11" s="20"/>
      <c r="H11" s="20" t="str">
        <f t="shared" si="2"/>
        <v/>
      </c>
      <c r="I11" s="19" t="str">
        <f t="shared" si="4"/>
        <v/>
      </c>
      <c r="J11" s="39"/>
      <c r="K11" s="39"/>
      <c r="L11" s="39"/>
    </row>
    <row r="12" spans="1:17" ht="15.6">
      <c r="A12" s="30" t="str">
        <v>Ashby-Duffy</v>
      </c>
      <c r="B12" s="27" t="str">
        <v>MA</v>
      </c>
      <c r="C12" s="24"/>
      <c r="D12" s="13"/>
      <c r="E12" s="13" t="str">
        <f t="shared" si="0"/>
        <v/>
      </c>
      <c r="F12" s="14" t="str">
        <f t="shared" si="1"/>
        <v/>
      </c>
      <c r="G12" s="15"/>
      <c r="H12" s="15" t="str">
        <f t="shared" si="2"/>
        <v/>
      </c>
      <c r="I12" s="16" t="str">
        <f t="shared" si="4"/>
        <v/>
      </c>
      <c r="J12" s="38"/>
      <c r="K12" s="69"/>
      <c r="L12" s="38"/>
      <c r="M12" s="74"/>
      <c r="N12" s="74"/>
      <c r="O12" s="74"/>
    </row>
    <row r="13" spans="1:17" ht="63" customHeight="1">
      <c r="A13" s="28" t="str">
        <v>Ashland</v>
      </c>
      <c r="B13" s="29" t="str">
        <v>MA</v>
      </c>
      <c r="C13" s="11"/>
      <c r="D13" s="18"/>
      <c r="E13" s="18" t="str">
        <f t="shared" si="0"/>
        <v/>
      </c>
      <c r="F13" s="19" t="str">
        <f t="shared" si="1"/>
        <v/>
      </c>
      <c r="G13" s="20"/>
      <c r="H13" s="20" t="str">
        <f t="shared" si="2"/>
        <v/>
      </c>
      <c r="I13" s="19" t="str">
        <f t="shared" si="4"/>
        <v/>
      </c>
      <c r="J13" s="48"/>
      <c r="K13" s="70"/>
      <c r="L13" s="48"/>
      <c r="M13" s="74"/>
      <c r="N13" s="74"/>
    </row>
    <row r="14" spans="1:17" ht="15.6">
      <c r="A14" s="55" t="str">
        <v>Barrington</v>
      </c>
      <c r="B14" s="27" t="str">
        <v>MA</v>
      </c>
      <c r="C14" s="24"/>
      <c r="D14" s="13"/>
      <c r="E14" s="13" t="str">
        <f t="shared" si="0"/>
        <v/>
      </c>
      <c r="F14" s="14" t="str">
        <f t="shared" si="1"/>
        <v/>
      </c>
      <c r="G14" s="15"/>
      <c r="H14" s="15" t="str">
        <f t="shared" si="2"/>
        <v/>
      </c>
      <c r="I14" s="16" t="str">
        <f t="shared" si="4"/>
        <v/>
      </c>
      <c r="J14" s="38"/>
      <c r="K14" s="69"/>
      <c r="L14" s="38"/>
      <c r="M14" s="74"/>
      <c r="N14" s="74"/>
    </row>
    <row r="15" spans="1:17" ht="15.6">
      <c r="A15" s="28" t="str">
        <v>Bedford - 205 Burlington Rd</v>
      </c>
      <c r="B15" s="29" t="str">
        <v>MA</v>
      </c>
      <c r="C15" s="11"/>
      <c r="D15" s="18"/>
      <c r="E15" s="18" t="str">
        <f t="shared" si="0"/>
        <v/>
      </c>
      <c r="F15" s="19" t="str">
        <f t="shared" si="1"/>
        <v/>
      </c>
      <c r="G15" s="20"/>
      <c r="H15" s="20" t="str">
        <f t="shared" si="2"/>
        <v/>
      </c>
      <c r="I15" s="19" t="str">
        <f t="shared" si="4"/>
        <v/>
      </c>
      <c r="J15" s="47"/>
      <c r="K15" s="71"/>
      <c r="L15" s="39"/>
      <c r="M15" s="74"/>
    </row>
    <row r="16" spans="1:17" ht="15.6">
      <c r="A16" s="30" t="str">
        <v>Billerica - 6 Cook Street</v>
      </c>
      <c r="B16" s="27" t="str">
        <v>MA</v>
      </c>
      <c r="C16" s="24"/>
      <c r="D16" s="13"/>
      <c r="E16" s="13" t="str">
        <f t="shared" si="0"/>
        <v/>
      </c>
      <c r="F16" s="14" t="str">
        <f t="shared" si="1"/>
        <v/>
      </c>
      <c r="G16" s="15"/>
      <c r="H16" s="15" t="str">
        <f t="shared" si="2"/>
        <v/>
      </c>
      <c r="I16" s="16" t="str">
        <f t="shared" si="4"/>
        <v/>
      </c>
      <c r="J16" s="38"/>
      <c r="K16" s="38"/>
      <c r="L16" s="38"/>
    </row>
    <row r="17" spans="1:16" ht="15.6">
      <c r="A17" s="28" t="str">
        <v>Billerica - 780 Boston Road</v>
      </c>
      <c r="B17" s="29" t="str">
        <v>MA</v>
      </c>
      <c r="C17" s="11"/>
      <c r="D17" s="18"/>
      <c r="E17" s="18" t="str">
        <f t="shared" si="0"/>
        <v/>
      </c>
      <c r="F17" s="19" t="str">
        <f t="shared" si="1"/>
        <v/>
      </c>
      <c r="G17" s="20"/>
      <c r="H17" s="20" t="str">
        <f t="shared" si="2"/>
        <v/>
      </c>
      <c r="I17" s="19" t="str">
        <f t="shared" si="4"/>
        <v/>
      </c>
      <c r="J17" s="39"/>
      <c r="K17" s="39"/>
      <c r="L17" s="39"/>
    </row>
    <row r="18" spans="1:16" ht="30" customHeight="1">
      <c r="A18" s="57" t="str">
        <v>Cheshire</v>
      </c>
      <c r="B18" s="27" t="str">
        <v>MA</v>
      </c>
      <c r="C18" s="24"/>
      <c r="D18" s="13"/>
      <c r="E18" s="13" t="str">
        <f t="shared" si="0"/>
        <v/>
      </c>
      <c r="F18" s="14" t="str">
        <f t="shared" si="1"/>
        <v/>
      </c>
      <c r="G18" s="15"/>
      <c r="H18" s="15" t="str">
        <f t="shared" si="2"/>
        <v/>
      </c>
      <c r="I18" s="16" t="str">
        <f t="shared" si="4"/>
        <v/>
      </c>
      <c r="J18" s="38"/>
      <c r="K18" s="69"/>
      <c r="L18" s="38"/>
    </row>
    <row r="19" spans="1:16" ht="76.5" customHeight="1">
      <c r="A19" s="28" t="str">
        <v>Lilly Lane</v>
      </c>
      <c r="B19" s="29" t="str">
        <v>MA</v>
      </c>
      <c r="C19" s="11"/>
      <c r="D19" s="18"/>
      <c r="E19" s="18" t="str">
        <f t="shared" si="0"/>
        <v/>
      </c>
      <c r="F19" s="19" t="str">
        <f t="shared" si="1"/>
        <v/>
      </c>
      <c r="G19" s="20"/>
      <c r="H19" s="20" t="str">
        <f t="shared" si="2"/>
        <v/>
      </c>
      <c r="I19" s="19" t="str">
        <f t="shared" si="4"/>
        <v/>
      </c>
      <c r="J19" s="48"/>
      <c r="K19" s="71"/>
      <c r="L19" s="47"/>
      <c r="M19" s="74"/>
      <c r="N19" s="74"/>
      <c r="O19" s="74"/>
    </row>
    <row r="20" spans="1:16" ht="36.75" customHeight="1">
      <c r="A20" s="55" t="str">
        <v>Monument Valley</v>
      </c>
      <c r="B20" s="27" t="str">
        <v>MA</v>
      </c>
      <c r="C20" s="24"/>
      <c r="D20" s="13"/>
      <c r="E20" s="13" t="str">
        <f t="shared" si="0"/>
        <v/>
      </c>
      <c r="F20" s="14" t="str">
        <f t="shared" si="1"/>
        <v/>
      </c>
      <c r="G20" s="15"/>
      <c r="H20" s="15" t="str">
        <f t="shared" si="2"/>
        <v/>
      </c>
      <c r="I20" s="16" t="str">
        <f t="shared" si="4"/>
        <v/>
      </c>
      <c r="J20" s="56"/>
      <c r="K20" s="56"/>
      <c r="L20" s="56"/>
    </row>
    <row r="21" spans="1:16" ht="15.6">
      <c r="A21" s="28" t="str">
        <v>Nationwide</v>
      </c>
      <c r="B21" s="29" t="str">
        <v>MA</v>
      </c>
      <c r="C21" s="11"/>
      <c r="D21" s="18"/>
      <c r="E21" s="18" t="str">
        <f t="shared" si="0"/>
        <v/>
      </c>
      <c r="F21" s="19" t="str">
        <f t="shared" si="1"/>
        <v/>
      </c>
      <c r="G21" s="20"/>
      <c r="H21" s="20" t="str">
        <f t="shared" si="2"/>
        <v/>
      </c>
      <c r="I21" s="19" t="str">
        <f t="shared" si="4"/>
        <v/>
      </c>
      <c r="J21" s="39"/>
      <c r="K21" s="71"/>
      <c r="L21" s="47"/>
      <c r="M21" s="74"/>
      <c r="N21" s="74"/>
    </row>
    <row r="22" spans="1:16" ht="106.5" customHeight="1">
      <c r="A22" s="30" t="str">
        <v>Pulpit Hill</v>
      </c>
      <c r="B22" s="27" t="str">
        <v>MA</v>
      </c>
      <c r="C22" s="24"/>
      <c r="D22" s="13"/>
      <c r="E22" s="13" t="str">
        <f t="shared" si="0"/>
        <v/>
      </c>
      <c r="F22" s="14" t="str">
        <f t="shared" si="1"/>
        <v/>
      </c>
      <c r="G22" s="15"/>
      <c r="H22" s="15" t="str">
        <f t="shared" si="2"/>
        <v/>
      </c>
      <c r="I22" s="16" t="str">
        <f t="shared" si="4"/>
        <v/>
      </c>
      <c r="J22" s="56"/>
      <c r="K22" s="69"/>
      <c r="L22" s="38"/>
      <c r="M22" s="74"/>
      <c r="N22" s="74"/>
      <c r="O22" s="74"/>
      <c r="P22" s="74"/>
    </row>
    <row r="23" spans="1:16" ht="43.5" customHeight="1">
      <c r="A23" s="28" t="str">
        <v>Sandwich</v>
      </c>
      <c r="B23" s="29" t="str">
        <v>MA</v>
      </c>
      <c r="C23" s="11"/>
      <c r="D23" s="18"/>
      <c r="E23" s="18" t="str">
        <f t="shared" si="0"/>
        <v/>
      </c>
      <c r="F23" s="19" t="str">
        <f t="shared" si="1"/>
        <v/>
      </c>
      <c r="G23" s="20"/>
      <c r="H23" s="20" t="str">
        <f t="shared" si="2"/>
        <v/>
      </c>
      <c r="I23" s="19" t="str">
        <f t="shared" si="4"/>
        <v/>
      </c>
      <c r="J23" s="47"/>
      <c r="K23" s="71"/>
      <c r="L23" s="47"/>
    </row>
    <row r="24" spans="1:16" ht="35.25" customHeight="1">
      <c r="A24" s="55" t="str">
        <v>Sturbridge Barn</v>
      </c>
      <c r="B24" s="27" t="str">
        <v>MA</v>
      </c>
      <c r="C24" s="24"/>
      <c r="D24" s="13"/>
      <c r="E24" s="13" t="str">
        <f t="shared" si="0"/>
        <v/>
      </c>
      <c r="F24" s="14" t="str">
        <f t="shared" si="1"/>
        <v/>
      </c>
      <c r="G24" s="15"/>
      <c r="H24" s="15" t="str">
        <f t="shared" si="2"/>
        <v/>
      </c>
      <c r="I24" s="16" t="str">
        <f t="shared" si="4"/>
        <v/>
      </c>
      <c r="J24" s="56"/>
      <c r="K24" s="107"/>
      <c r="L24" s="56"/>
    </row>
    <row r="25" spans="1:16" ht="99" customHeight="1">
      <c r="A25" s="28" t="str">
        <v>Sturbridge Garage</v>
      </c>
      <c r="B25" s="29" t="str">
        <v>MA</v>
      </c>
      <c r="C25" s="11"/>
      <c r="D25" s="18"/>
      <c r="E25" s="18" t="str">
        <f t="shared" si="0"/>
        <v/>
      </c>
      <c r="F25" s="19" t="str">
        <f t="shared" si="1"/>
        <v/>
      </c>
      <c r="G25" s="20"/>
      <c r="H25" s="20" t="str">
        <f t="shared" si="2"/>
        <v/>
      </c>
      <c r="I25" s="19" t="str">
        <f t="shared" si="4"/>
        <v/>
      </c>
      <c r="J25" s="39"/>
      <c r="K25" s="71"/>
      <c r="L25" s="47"/>
      <c r="M25" s="74"/>
      <c r="N25" s="74"/>
      <c r="O25" s="74"/>
      <c r="P25" s="74"/>
    </row>
    <row r="26" spans="1:16" ht="36" customHeight="1">
      <c r="A26" s="55" t="str">
        <v>Halsey Valley</v>
      </c>
      <c r="B26" s="27" t="str">
        <v>NY</v>
      </c>
      <c r="C26" s="24"/>
      <c r="D26" s="13"/>
      <c r="E26" s="13" t="str">
        <f t="shared" si="0"/>
        <v/>
      </c>
      <c r="F26" s="14" t="str">
        <f t="shared" si="1"/>
        <v/>
      </c>
      <c r="G26" s="15"/>
      <c r="H26" s="15" t="str">
        <f t="shared" si="2"/>
        <v/>
      </c>
      <c r="I26" s="16" t="str">
        <f t="shared" si="4"/>
        <v/>
      </c>
      <c r="J26" s="38"/>
      <c r="K26" s="69"/>
      <c r="L26" s="38"/>
    </row>
    <row r="27" spans="1:16" ht="15.6">
      <c r="A27" s="28" t="str">
        <v>Hunt Creek</v>
      </c>
      <c r="B27" s="29" t="str">
        <v>NY</v>
      </c>
      <c r="C27" s="11"/>
      <c r="D27" s="18"/>
      <c r="E27" s="18" t="str">
        <f t="shared" si="0"/>
        <v/>
      </c>
      <c r="F27" s="19" t="str">
        <f t="shared" si="1"/>
        <v/>
      </c>
      <c r="G27" s="20"/>
      <c r="H27" s="20" t="str">
        <f t="shared" si="2"/>
        <v/>
      </c>
      <c r="I27" s="19" t="str">
        <f t="shared" si="4"/>
        <v/>
      </c>
      <c r="J27" s="39"/>
      <c r="K27" s="71"/>
      <c r="L27" s="47"/>
      <c r="M27" s="74"/>
      <c r="N27" s="74"/>
    </row>
    <row r="28" spans="1:16" ht="24.6" customHeight="1">
      <c r="A28" s="55" t="str">
        <v>Smith Creek</v>
      </c>
      <c r="B28" s="27" t="str">
        <v>NY</v>
      </c>
      <c r="C28" s="24"/>
      <c r="D28" s="13"/>
      <c r="E28" s="13" t="str">
        <f t="shared" si="0"/>
        <v/>
      </c>
      <c r="F28" s="14" t="str">
        <f t="shared" si="1"/>
        <v/>
      </c>
      <c r="G28" s="15"/>
      <c r="H28" s="15" t="str">
        <f t="shared" si="2"/>
        <v/>
      </c>
      <c r="I28" s="16" t="str">
        <f t="shared" si="4"/>
        <v/>
      </c>
      <c r="J28" s="38"/>
      <c r="K28" s="38"/>
      <c r="L28" s="38"/>
    </row>
    <row r="29" spans="1:16" ht="14.45">
      <c r="A29" s="21" t="str">
        <v>Bradford - 256 Presidential Dr</v>
      </c>
      <c r="B29" s="31" t="str">
        <v>MA</v>
      </c>
      <c r="C29" s="11"/>
      <c r="D29" s="18"/>
      <c r="E29" s="21"/>
      <c r="F29" s="21"/>
      <c r="G29" s="20"/>
      <c r="H29" s="20" t="str">
        <f t="shared" ref="H29:H35" si="5">IF(AND(ISNUMBER(C29),ISNUMBER(G29)), C29-G29, "")</f>
        <v/>
      </c>
      <c r="I29" s="19" t="str">
        <f t="shared" ref="I29:I35" si="6">IFERROR(H29/G29, "")</f>
        <v/>
      </c>
      <c r="J29" s="117"/>
      <c r="K29" s="81"/>
      <c r="L29" s="104"/>
      <c r="M29" s="74"/>
    </row>
    <row r="30" spans="1:16" ht="15.6">
      <c r="A30" s="55" t="str">
        <v>Charlton – 111 Brookfield Road - Bus Lot</v>
      </c>
      <c r="B30" s="27" t="str">
        <v>MA</v>
      </c>
      <c r="C30" s="24"/>
      <c r="D30" s="13"/>
      <c r="E30" s="13"/>
      <c r="F30" s="14"/>
      <c r="G30" s="15"/>
      <c r="H30" s="15" t="str">
        <f t="shared" si="5"/>
        <v/>
      </c>
      <c r="I30" s="16" t="str">
        <f t="shared" si="6"/>
        <v/>
      </c>
      <c r="J30" s="38"/>
      <c r="K30" s="38"/>
      <c r="L30" s="38"/>
    </row>
    <row r="31" spans="1:16" ht="14.45">
      <c r="A31" s="21" t="str">
        <v>Charlton – 154 Center Depot Road KMARD</v>
      </c>
      <c r="B31" s="31" t="str">
        <v>MA</v>
      </c>
      <c r="C31" s="11"/>
      <c r="D31" s="18"/>
      <c r="E31" s="21"/>
      <c r="F31" s="21"/>
      <c r="G31" s="20"/>
      <c r="H31" s="20" t="str">
        <f t="shared" si="5"/>
        <v/>
      </c>
      <c r="I31" s="19" t="str">
        <f t="shared" si="6"/>
        <v/>
      </c>
      <c r="J31" s="118"/>
      <c r="K31" s="21"/>
      <c r="L31" s="21"/>
    </row>
    <row r="32" spans="1:16" ht="15.6">
      <c r="A32" s="55" t="str">
        <v>Charlton – 142A Brookfield Rd (Mitchell)</v>
      </c>
      <c r="B32" s="27" t="str">
        <v>MA</v>
      </c>
      <c r="C32" s="24"/>
      <c r="D32" s="13"/>
      <c r="E32" s="13"/>
      <c r="F32" s="14"/>
      <c r="G32" s="15"/>
      <c r="H32" s="15" t="str">
        <f t="shared" si="5"/>
        <v/>
      </c>
      <c r="I32" s="16" t="str">
        <f t="shared" si="6"/>
        <v/>
      </c>
      <c r="J32" s="38"/>
      <c r="K32" s="69"/>
      <c r="L32" s="38"/>
      <c r="M32" s="74"/>
      <c r="N32" s="74"/>
    </row>
    <row r="33" spans="1:27" ht="162" customHeight="1">
      <c r="A33" s="21" t="str">
        <v>Great Barrington – 3 Nolan  Drive</v>
      </c>
      <c r="B33" s="31" t="str">
        <v>MA</v>
      </c>
      <c r="C33" s="11"/>
      <c r="D33" s="18"/>
      <c r="E33" s="21"/>
      <c r="F33" s="21"/>
      <c r="G33" s="20"/>
      <c r="H33" s="20" t="str">
        <f t="shared" si="5"/>
        <v/>
      </c>
      <c r="I33" s="19" t="str">
        <f t="shared" si="6"/>
        <v/>
      </c>
      <c r="J33" s="105"/>
      <c r="K33" s="108"/>
      <c r="L33" s="106"/>
      <c r="M33" s="74"/>
      <c r="N33" s="74"/>
      <c r="O33" s="74"/>
      <c r="P33" s="74"/>
      <c r="Q33" s="74"/>
      <c r="R33" s="74"/>
      <c r="S33" s="74"/>
      <c r="T33" s="74"/>
      <c r="U33" s="74"/>
      <c r="V33" s="74"/>
      <c r="W33" s="74"/>
      <c r="X33" s="74"/>
      <c r="Y33" s="74"/>
      <c r="Z33" s="74"/>
      <c r="AA33" s="74" t="s">
        <v>138</v>
      </c>
    </row>
    <row r="34" spans="1:27" ht="15.6">
      <c r="A34" s="55" t="str">
        <v>Stockbridge – 92 State Line Road Truck Stop</v>
      </c>
      <c r="B34" s="27" t="str">
        <v>MA</v>
      </c>
      <c r="C34" s="24"/>
      <c r="D34" s="13"/>
      <c r="E34" s="13"/>
      <c r="F34" s="14"/>
      <c r="G34" s="15"/>
      <c r="H34" s="15" t="str">
        <f t="shared" si="5"/>
        <v/>
      </c>
      <c r="I34" s="16" t="str">
        <f t="shared" si="6"/>
        <v/>
      </c>
      <c r="J34" s="38"/>
      <c r="K34" s="69"/>
      <c r="L34" s="38"/>
    </row>
    <row r="35" spans="1:27" ht="14.45">
      <c r="A35" s="21" t="str">
        <v>NY: New Windsor - Moores Hill</v>
      </c>
      <c r="B35" s="31" t="str">
        <v>NY</v>
      </c>
      <c r="C35" s="11"/>
      <c r="D35" s="21"/>
      <c r="E35" s="21"/>
      <c r="F35" s="21"/>
      <c r="G35" s="20"/>
      <c r="H35" s="20" t="str">
        <f t="shared" si="5"/>
        <v/>
      </c>
      <c r="I35" s="19" t="str">
        <f t="shared" si="6"/>
        <v/>
      </c>
      <c r="J35" s="118"/>
      <c r="K35" s="109"/>
      <c r="L35" s="119"/>
    </row>
    <row r="36" spans="1:27" ht="14.45">
      <c r="A36" s="21"/>
      <c r="B36" s="31"/>
      <c r="C36" s="21"/>
      <c r="D36" s="21"/>
      <c r="E36" s="21"/>
      <c r="F36" s="22"/>
      <c r="G36" s="21"/>
      <c r="H36" s="21"/>
      <c r="I36" s="22"/>
      <c r="J36" s="21"/>
      <c r="K36" s="21"/>
      <c r="L36" s="21"/>
    </row>
    <row r="37" spans="1:27" ht="14.45">
      <c r="A37" s="21"/>
      <c r="B37" s="31"/>
      <c r="C37" s="21"/>
      <c r="D37" s="21"/>
      <c r="E37" s="21"/>
      <c r="F37" s="22"/>
      <c r="G37" s="21"/>
      <c r="H37" s="21"/>
      <c r="I37" s="22"/>
      <c r="J37" s="21"/>
      <c r="K37" s="21"/>
      <c r="L37" s="21"/>
    </row>
    <row r="38" spans="1:27" ht="14.45">
      <c r="A38" s="21"/>
      <c r="B38" s="31"/>
      <c r="C38" s="21"/>
      <c r="D38" s="21"/>
      <c r="E38" s="21"/>
      <c r="F38" s="22"/>
      <c r="G38" s="21"/>
      <c r="H38" s="21"/>
      <c r="I38" s="22"/>
      <c r="J38" s="21"/>
      <c r="K38" s="21"/>
      <c r="L38" s="21"/>
    </row>
    <row r="39" spans="1:27" ht="14.45">
      <c r="A39" s="21"/>
      <c r="B39" s="31"/>
      <c r="C39" s="21"/>
      <c r="D39" s="21"/>
      <c r="E39" s="21"/>
      <c r="F39" s="22"/>
      <c r="G39" s="21"/>
      <c r="H39" s="21"/>
      <c r="I39" s="22"/>
      <c r="J39" s="21"/>
      <c r="K39" s="21"/>
      <c r="L39" s="21"/>
    </row>
    <row r="40" spans="1:27" ht="14.45">
      <c r="A40" s="21"/>
      <c r="B40" s="31"/>
      <c r="C40" s="21"/>
      <c r="D40" s="21"/>
      <c r="E40" s="21"/>
      <c r="F40" s="22"/>
      <c r="G40" s="21"/>
      <c r="H40" s="21"/>
      <c r="I40" s="22"/>
      <c r="J40" s="21"/>
      <c r="K40" s="21"/>
      <c r="L40" s="21"/>
    </row>
    <row r="41" spans="1:27" ht="14.45">
      <c r="A41" s="21"/>
      <c r="B41" s="31"/>
      <c r="C41" s="21"/>
      <c r="D41" s="21"/>
      <c r="E41" s="21"/>
      <c r="F41" s="22"/>
      <c r="G41" s="21"/>
      <c r="H41" s="21"/>
      <c r="I41" s="22"/>
      <c r="J41" s="21"/>
      <c r="K41" s="21"/>
      <c r="L41" s="21"/>
    </row>
    <row r="42" spans="1:27" ht="14.45">
      <c r="A42" s="21"/>
      <c r="B42" s="31"/>
      <c r="C42" s="21"/>
      <c r="D42" s="21"/>
      <c r="E42" s="21"/>
      <c r="F42" s="22"/>
      <c r="G42" s="21"/>
      <c r="H42" s="21"/>
      <c r="I42" s="22"/>
      <c r="J42" s="21"/>
      <c r="K42" s="21"/>
      <c r="L42" s="21"/>
    </row>
    <row r="43" spans="1:27" ht="14.45">
      <c r="A43" s="21"/>
      <c r="B43" s="31"/>
      <c r="C43" s="21"/>
      <c r="D43" s="21"/>
      <c r="E43" s="21"/>
      <c r="F43" s="22"/>
      <c r="G43" s="21"/>
      <c r="H43" s="21"/>
      <c r="I43" s="22"/>
      <c r="J43" s="21"/>
      <c r="K43" s="21"/>
      <c r="L43" s="21"/>
    </row>
    <row r="44" spans="1:27" ht="14.45">
      <c r="A44" s="21"/>
      <c r="B44" s="31"/>
      <c r="C44" s="21"/>
      <c r="D44" s="21"/>
      <c r="E44" s="21"/>
      <c r="F44" s="22"/>
      <c r="G44" s="21"/>
      <c r="H44" s="21"/>
      <c r="I44" s="22"/>
      <c r="J44" s="21"/>
      <c r="K44" s="21"/>
      <c r="L44" s="21"/>
    </row>
    <row r="45" spans="1:27" ht="14.45">
      <c r="A45" s="21"/>
      <c r="B45" s="31"/>
      <c r="C45" s="21"/>
      <c r="D45" s="21"/>
      <c r="E45" s="21"/>
      <c r="F45" s="22"/>
      <c r="G45" s="21"/>
      <c r="H45" s="21"/>
      <c r="I45" s="22"/>
      <c r="J45" s="21"/>
      <c r="K45" s="21"/>
      <c r="L45" s="21"/>
    </row>
    <row r="46" spans="1:27" ht="14.45">
      <c r="A46" s="21"/>
      <c r="B46" s="31"/>
      <c r="C46" s="21"/>
      <c r="D46" s="21"/>
      <c r="E46" s="21"/>
      <c r="F46" s="22"/>
      <c r="G46" s="21"/>
      <c r="H46" s="21"/>
      <c r="I46" s="22"/>
      <c r="J46" s="21"/>
      <c r="K46" s="21"/>
      <c r="L46" s="21"/>
    </row>
    <row r="47" spans="1:27" ht="14.45">
      <c r="A47" s="21"/>
      <c r="B47" s="31"/>
      <c r="C47" s="21"/>
      <c r="D47" s="21"/>
      <c r="E47" s="21"/>
      <c r="F47" s="22"/>
      <c r="G47" s="21"/>
      <c r="H47" s="21"/>
      <c r="I47" s="22"/>
      <c r="J47" s="21"/>
      <c r="K47" s="21"/>
      <c r="L47" s="21"/>
    </row>
    <row r="48" spans="1:27" ht="14.45">
      <c r="A48" s="21"/>
      <c r="B48" s="31"/>
      <c r="C48" s="21"/>
      <c r="D48" s="21"/>
      <c r="E48" s="21"/>
      <c r="F48" s="22"/>
      <c r="G48" s="21"/>
      <c r="H48" s="21"/>
      <c r="I48" s="22"/>
      <c r="J48" s="21"/>
      <c r="K48" s="21"/>
      <c r="L48" s="21"/>
    </row>
    <row r="49" spans="1:12" ht="14.45">
      <c r="A49" s="21"/>
      <c r="B49" s="31"/>
      <c r="C49" s="21"/>
      <c r="D49" s="21"/>
      <c r="E49" s="21"/>
      <c r="F49" s="22"/>
      <c r="G49" s="21"/>
      <c r="H49" s="21"/>
      <c r="I49" s="22"/>
      <c r="J49" s="21"/>
      <c r="K49" s="21"/>
      <c r="L49" s="21"/>
    </row>
    <row r="50" spans="1:12" ht="14.45">
      <c r="A50" s="21"/>
      <c r="B50" s="31"/>
      <c r="C50" s="21"/>
      <c r="D50" s="21"/>
      <c r="E50" s="21"/>
      <c r="F50" s="22"/>
      <c r="G50" s="21"/>
      <c r="H50" s="21"/>
      <c r="I50" s="22"/>
      <c r="J50" s="21"/>
      <c r="K50" s="21"/>
      <c r="L50" s="21"/>
    </row>
    <row r="51" spans="1:12" ht="14.45">
      <c r="A51" s="21"/>
      <c r="B51" s="31"/>
      <c r="C51" s="21"/>
      <c r="D51" s="21"/>
      <c r="E51" s="21"/>
      <c r="F51" s="22"/>
      <c r="G51" s="21"/>
      <c r="H51" s="21"/>
      <c r="I51" s="22"/>
      <c r="J51" s="21"/>
      <c r="K51" s="21"/>
      <c r="L51" s="21"/>
    </row>
    <row r="52" spans="1:12" ht="14.45">
      <c r="A52" s="21"/>
      <c r="B52" s="31"/>
      <c r="C52" s="21"/>
      <c r="D52" s="21"/>
      <c r="E52" s="21"/>
      <c r="F52" s="22"/>
      <c r="G52" s="21"/>
      <c r="H52" s="21"/>
      <c r="I52" s="22"/>
      <c r="J52" s="21"/>
      <c r="K52" s="21"/>
      <c r="L52" s="21"/>
    </row>
    <row r="53" spans="1:12" ht="14.45">
      <c r="A53" s="21"/>
      <c r="B53" s="31"/>
      <c r="C53" s="21"/>
      <c r="D53" s="21"/>
      <c r="E53" s="21"/>
      <c r="F53" s="22"/>
      <c r="G53" s="21"/>
      <c r="H53" s="21"/>
      <c r="I53" s="22"/>
      <c r="J53" s="21"/>
      <c r="K53" s="21"/>
      <c r="L53" s="21"/>
    </row>
    <row r="54" spans="1:12" ht="14.45">
      <c r="A54" s="21"/>
      <c r="B54" s="31"/>
      <c r="C54" s="21"/>
      <c r="D54" s="21"/>
      <c r="E54" s="21"/>
      <c r="F54" s="22"/>
      <c r="G54" s="21"/>
      <c r="H54" s="21"/>
      <c r="I54" s="22"/>
      <c r="J54" s="21"/>
      <c r="K54" s="21"/>
      <c r="L54" s="21"/>
    </row>
    <row r="55" spans="1:12" ht="14.45">
      <c r="A55" s="21"/>
      <c r="B55" s="31"/>
      <c r="C55" s="21"/>
      <c r="D55" s="21"/>
      <c r="E55" s="21"/>
      <c r="F55" s="22"/>
      <c r="G55" s="21"/>
      <c r="H55" s="21"/>
      <c r="I55" s="22"/>
      <c r="J55" s="21"/>
      <c r="K55" s="21"/>
      <c r="L55" s="21"/>
    </row>
    <row r="56" spans="1:12" ht="14.45">
      <c r="A56" s="21"/>
      <c r="B56" s="31"/>
      <c r="C56" s="21"/>
      <c r="D56" s="21"/>
      <c r="E56" s="21"/>
      <c r="F56" s="22"/>
      <c r="G56" s="21"/>
      <c r="H56" s="21"/>
      <c r="I56" s="22"/>
      <c r="J56" s="21"/>
      <c r="K56" s="21"/>
      <c r="L56" s="21"/>
    </row>
    <row r="57" spans="1:12" ht="14.45">
      <c r="A57" s="21"/>
      <c r="B57" s="31"/>
      <c r="C57" s="21"/>
      <c r="D57" s="21"/>
      <c r="E57" s="21"/>
      <c r="F57" s="22"/>
      <c r="G57" s="21"/>
      <c r="H57" s="21"/>
      <c r="I57" s="22"/>
      <c r="J57" s="21"/>
      <c r="K57" s="21"/>
      <c r="L57" s="21"/>
    </row>
    <row r="58" spans="1:12" ht="14.45">
      <c r="A58" s="21"/>
      <c r="B58" s="31"/>
      <c r="C58" s="21"/>
      <c r="D58" s="21"/>
      <c r="E58" s="21"/>
      <c r="F58" s="22"/>
      <c r="G58" s="21"/>
      <c r="H58" s="21"/>
      <c r="I58" s="22"/>
      <c r="J58" s="21"/>
      <c r="K58" s="21"/>
      <c r="L58" s="21"/>
    </row>
    <row r="59" spans="1:12" ht="14.45">
      <c r="A59" s="21"/>
      <c r="B59" s="31"/>
      <c r="C59" s="21"/>
      <c r="D59" s="21"/>
      <c r="E59" s="21"/>
      <c r="F59" s="22"/>
      <c r="G59" s="21"/>
      <c r="H59" s="21"/>
      <c r="I59" s="22"/>
      <c r="J59" s="21"/>
      <c r="K59" s="21"/>
      <c r="L59" s="21"/>
    </row>
    <row r="60" spans="1:12" ht="14.45">
      <c r="A60" s="21"/>
      <c r="B60" s="31"/>
      <c r="C60" s="21"/>
      <c r="D60" s="21"/>
      <c r="E60" s="21"/>
      <c r="F60" s="22"/>
      <c r="G60" s="21"/>
      <c r="H60" s="21"/>
      <c r="I60" s="22"/>
      <c r="J60" s="21"/>
      <c r="K60" s="21"/>
      <c r="L60" s="21"/>
    </row>
    <row r="61" spans="1:12" ht="14.45">
      <c r="A61" s="21"/>
      <c r="B61" s="31"/>
      <c r="C61" s="21"/>
      <c r="D61" s="21"/>
      <c r="E61" s="21"/>
      <c r="F61" s="22"/>
      <c r="G61" s="21"/>
      <c r="H61" s="21"/>
      <c r="I61" s="22"/>
      <c r="J61" s="21"/>
      <c r="K61" s="21"/>
      <c r="L61" s="21"/>
    </row>
    <row r="62" spans="1:12" ht="14.45">
      <c r="A62" s="21"/>
      <c r="B62" s="31"/>
      <c r="C62" s="21"/>
      <c r="D62" s="21"/>
      <c r="E62" s="21"/>
      <c r="F62" s="22"/>
      <c r="G62" s="21"/>
      <c r="H62" s="21"/>
      <c r="I62" s="22"/>
      <c r="J62" s="21"/>
      <c r="K62" s="21"/>
      <c r="L62" s="21"/>
    </row>
    <row r="63" spans="1:12" ht="14.45">
      <c r="A63" s="21"/>
      <c r="B63" s="31"/>
      <c r="C63" s="21"/>
      <c r="D63" s="21"/>
      <c r="E63" s="21"/>
      <c r="F63" s="22"/>
      <c r="G63" s="21"/>
      <c r="H63" s="21"/>
      <c r="I63" s="22"/>
      <c r="J63" s="21"/>
      <c r="K63" s="21"/>
      <c r="L63" s="21"/>
    </row>
    <row r="64" spans="1:12" ht="14.45">
      <c r="A64" s="21"/>
      <c r="B64" s="31"/>
      <c r="C64" s="21"/>
      <c r="D64" s="21"/>
      <c r="E64" s="21"/>
      <c r="F64" s="22"/>
      <c r="G64" s="21"/>
      <c r="H64" s="21"/>
      <c r="I64" s="22"/>
      <c r="J64" s="21"/>
      <c r="K64" s="21"/>
      <c r="L64" s="21"/>
    </row>
    <row r="65" spans="1:12" ht="14.45">
      <c r="A65" s="21"/>
      <c r="B65" s="31"/>
      <c r="C65" s="21"/>
      <c r="D65" s="21"/>
      <c r="E65" s="21"/>
      <c r="F65" s="22"/>
      <c r="G65" s="21"/>
      <c r="H65" s="21"/>
      <c r="I65" s="22"/>
      <c r="J65" s="21"/>
      <c r="K65" s="21"/>
      <c r="L65" s="21"/>
    </row>
    <row r="66" spans="1:12" ht="14.45">
      <c r="A66" s="21"/>
      <c r="B66" s="31"/>
      <c r="C66" s="21"/>
      <c r="D66" s="21"/>
      <c r="E66" s="21"/>
      <c r="F66" s="22"/>
      <c r="G66" s="21"/>
      <c r="H66" s="21"/>
      <c r="I66" s="22"/>
      <c r="J66" s="21"/>
      <c r="K66" s="21"/>
      <c r="L66" s="21"/>
    </row>
    <row r="67" spans="1:12" ht="14.45">
      <c r="A67" s="21"/>
      <c r="B67" s="31"/>
      <c r="C67" s="21"/>
      <c r="D67" s="21"/>
      <c r="E67" s="21"/>
      <c r="F67" s="22"/>
      <c r="G67" s="21"/>
      <c r="H67" s="21"/>
      <c r="I67" s="22"/>
      <c r="J67" s="21"/>
      <c r="K67" s="21"/>
      <c r="L67" s="21"/>
    </row>
    <row r="68" spans="1:12" ht="14.45">
      <c r="A68" s="21"/>
      <c r="B68" s="31"/>
      <c r="C68" s="21"/>
      <c r="D68" s="21"/>
      <c r="E68" s="21"/>
      <c r="F68" s="22"/>
      <c r="G68" s="21"/>
      <c r="H68" s="21"/>
      <c r="I68" s="22"/>
      <c r="J68" s="21"/>
      <c r="K68" s="21"/>
      <c r="L68" s="21"/>
    </row>
    <row r="69" spans="1:12" ht="14.45">
      <c r="A69" s="21"/>
      <c r="B69" s="31"/>
      <c r="C69" s="21"/>
      <c r="D69" s="21"/>
      <c r="E69" s="21"/>
      <c r="F69" s="22"/>
      <c r="G69" s="21"/>
      <c r="H69" s="21"/>
      <c r="I69" s="22"/>
      <c r="J69" s="21"/>
      <c r="K69" s="21"/>
      <c r="L69" s="21"/>
    </row>
    <row r="70" spans="1:12" ht="14.45">
      <c r="A70" s="21"/>
      <c r="B70" s="31"/>
      <c r="C70" s="21"/>
      <c r="D70" s="21"/>
      <c r="E70" s="21"/>
      <c r="F70" s="22"/>
      <c r="G70" s="21"/>
      <c r="H70" s="21"/>
      <c r="I70" s="22"/>
      <c r="J70" s="21"/>
      <c r="K70" s="21"/>
      <c r="L70" s="21"/>
    </row>
    <row r="71" spans="1:12" ht="14.45">
      <c r="A71" s="21"/>
      <c r="B71" s="31"/>
      <c r="C71" s="21"/>
      <c r="D71" s="21"/>
      <c r="E71" s="21"/>
      <c r="F71" s="22"/>
      <c r="G71" s="21"/>
      <c r="H71" s="21"/>
      <c r="I71" s="22"/>
      <c r="J71" s="21"/>
      <c r="K71" s="21"/>
      <c r="L71" s="21"/>
    </row>
    <row r="72" spans="1:12" ht="14.45">
      <c r="A72" s="21"/>
      <c r="B72" s="31"/>
      <c r="C72" s="21"/>
      <c r="D72" s="21"/>
      <c r="E72" s="21"/>
      <c r="F72" s="22"/>
      <c r="G72" s="21"/>
      <c r="H72" s="21"/>
      <c r="I72" s="22"/>
      <c r="J72" s="21"/>
      <c r="K72" s="21"/>
      <c r="L72" s="21"/>
    </row>
    <row r="73" spans="1:12" ht="14.45">
      <c r="A73" s="21"/>
      <c r="B73" s="31"/>
      <c r="C73" s="21"/>
      <c r="D73" s="21"/>
      <c r="E73" s="21"/>
      <c r="F73" s="22"/>
      <c r="G73" s="21"/>
      <c r="H73" s="21"/>
      <c r="I73" s="22"/>
      <c r="J73" s="21"/>
      <c r="K73" s="21"/>
      <c r="L73" s="21"/>
    </row>
    <row r="74" spans="1:12" ht="14.45">
      <c r="A74" s="21"/>
      <c r="B74" s="31"/>
      <c r="C74" s="21"/>
      <c r="D74" s="21"/>
      <c r="E74" s="21"/>
      <c r="F74" s="22"/>
      <c r="G74" s="21"/>
      <c r="H74" s="21"/>
      <c r="I74" s="22"/>
      <c r="J74" s="21"/>
      <c r="K74" s="21"/>
      <c r="L74" s="21"/>
    </row>
    <row r="75" spans="1:12" ht="14.45">
      <c r="A75" s="21"/>
      <c r="B75" s="31"/>
      <c r="C75" s="21"/>
      <c r="D75" s="21"/>
      <c r="E75" s="21"/>
      <c r="F75" s="22"/>
      <c r="G75" s="21"/>
      <c r="H75" s="21"/>
      <c r="I75" s="22"/>
      <c r="J75" s="21"/>
      <c r="K75" s="21"/>
      <c r="L75" s="21"/>
    </row>
    <row r="76" spans="1:12" ht="14.45">
      <c r="A76" s="21"/>
      <c r="B76" s="31"/>
      <c r="C76" s="21"/>
      <c r="D76" s="21"/>
      <c r="E76" s="21"/>
      <c r="F76" s="22"/>
      <c r="G76" s="21"/>
      <c r="H76" s="21"/>
      <c r="I76" s="22"/>
      <c r="J76" s="21"/>
      <c r="K76" s="21"/>
      <c r="L76" s="21"/>
    </row>
    <row r="77" spans="1:12" ht="14.45">
      <c r="A77" s="21"/>
      <c r="B77" s="31"/>
      <c r="C77" s="21"/>
      <c r="D77" s="21"/>
      <c r="E77" s="21"/>
      <c r="F77" s="22"/>
      <c r="G77" s="21"/>
      <c r="H77" s="21"/>
      <c r="I77" s="22"/>
      <c r="J77" s="21"/>
      <c r="K77" s="21"/>
      <c r="L77" s="21"/>
    </row>
    <row r="78" spans="1:12" ht="14.45">
      <c r="A78" s="21"/>
      <c r="B78" s="31"/>
      <c r="C78" s="21"/>
      <c r="D78" s="21"/>
      <c r="E78" s="21"/>
      <c r="F78" s="22"/>
      <c r="G78" s="21"/>
      <c r="H78" s="21"/>
      <c r="I78" s="22"/>
      <c r="J78" s="21"/>
      <c r="K78" s="21"/>
      <c r="L78" s="21"/>
    </row>
    <row r="79" spans="1:12" ht="14.45">
      <c r="A79" s="21"/>
      <c r="B79" s="31"/>
      <c r="C79" s="21"/>
      <c r="D79" s="21"/>
      <c r="E79" s="21"/>
      <c r="F79" s="22"/>
      <c r="G79" s="21"/>
      <c r="H79" s="21"/>
      <c r="I79" s="22"/>
      <c r="J79" s="21"/>
      <c r="K79" s="21"/>
      <c r="L79" s="21"/>
    </row>
    <row r="80" spans="1:12" ht="14.45">
      <c r="A80" s="21"/>
      <c r="B80" s="31"/>
      <c r="C80" s="21"/>
      <c r="D80" s="21"/>
      <c r="E80" s="21"/>
      <c r="F80" s="22"/>
      <c r="G80" s="21"/>
      <c r="H80" s="21"/>
      <c r="I80" s="22"/>
      <c r="J80" s="21"/>
      <c r="K80" s="21"/>
      <c r="L80" s="21"/>
    </row>
    <row r="81" spans="1:12" ht="14.45">
      <c r="A81" s="21"/>
      <c r="B81" s="31"/>
      <c r="C81" s="21"/>
      <c r="D81" s="21"/>
      <c r="E81" s="21"/>
      <c r="F81" s="22"/>
      <c r="G81" s="21"/>
      <c r="H81" s="21"/>
      <c r="I81" s="22"/>
      <c r="J81" s="21"/>
      <c r="K81" s="21"/>
      <c r="L81" s="21"/>
    </row>
    <row r="82" spans="1:12" ht="14.45">
      <c r="A82" s="21"/>
      <c r="B82" s="31"/>
      <c r="C82" s="21"/>
      <c r="D82" s="21"/>
      <c r="E82" s="21"/>
      <c r="F82" s="22"/>
      <c r="G82" s="21"/>
      <c r="H82" s="21"/>
      <c r="I82" s="22"/>
      <c r="J82" s="21"/>
      <c r="K82" s="21"/>
      <c r="L82" s="21"/>
    </row>
    <row r="83" spans="1:12" ht="14.45">
      <c r="A83" s="21"/>
      <c r="B83" s="31"/>
      <c r="C83" s="21"/>
      <c r="D83" s="21"/>
      <c r="E83" s="21"/>
      <c r="F83" s="22"/>
      <c r="G83" s="21"/>
      <c r="H83" s="21"/>
      <c r="I83" s="22"/>
      <c r="J83" s="21"/>
      <c r="K83" s="21"/>
      <c r="L83" s="21"/>
    </row>
    <row r="84" spans="1:12" ht="14.45">
      <c r="A84" s="21"/>
      <c r="B84" s="31"/>
      <c r="C84" s="21"/>
      <c r="D84" s="21"/>
      <c r="E84" s="21"/>
      <c r="F84" s="22"/>
      <c r="G84" s="21"/>
      <c r="H84" s="21"/>
      <c r="I84" s="22"/>
      <c r="J84" s="21"/>
      <c r="K84" s="21"/>
      <c r="L84" s="21"/>
    </row>
    <row r="85" spans="1:12" ht="14.45">
      <c r="A85" s="21"/>
      <c r="B85" s="31"/>
      <c r="C85" s="21"/>
      <c r="D85" s="21"/>
      <c r="E85" s="21"/>
      <c r="F85" s="22"/>
      <c r="G85" s="21"/>
      <c r="H85" s="21"/>
      <c r="I85" s="22"/>
      <c r="J85" s="21"/>
      <c r="K85" s="21"/>
      <c r="L85" s="21"/>
    </row>
    <row r="86" spans="1:12" ht="14.45">
      <c r="A86" s="21"/>
      <c r="B86" s="31"/>
      <c r="C86" s="21"/>
      <c r="D86" s="21"/>
      <c r="E86" s="21"/>
      <c r="F86" s="22"/>
      <c r="G86" s="21"/>
      <c r="H86" s="21"/>
      <c r="I86" s="22"/>
      <c r="J86" s="21"/>
      <c r="K86" s="21"/>
      <c r="L86" s="21"/>
    </row>
    <row r="87" spans="1:12" ht="14.45">
      <c r="A87" s="21"/>
      <c r="B87" s="31"/>
      <c r="C87" s="21"/>
      <c r="D87" s="21"/>
      <c r="E87" s="21"/>
      <c r="F87" s="22"/>
      <c r="G87" s="21"/>
      <c r="H87" s="21"/>
      <c r="I87" s="22"/>
      <c r="J87" s="21"/>
      <c r="K87" s="21"/>
      <c r="L87" s="21"/>
    </row>
    <row r="88" spans="1:12" ht="14.45">
      <c r="A88" s="21"/>
      <c r="B88" s="31"/>
      <c r="C88" s="21"/>
      <c r="D88" s="21"/>
      <c r="E88" s="21"/>
      <c r="F88" s="22"/>
      <c r="G88" s="21"/>
      <c r="H88" s="21"/>
      <c r="I88" s="22"/>
      <c r="J88" s="21"/>
      <c r="K88" s="21"/>
      <c r="L88" s="21"/>
    </row>
    <row r="89" spans="1:12" ht="14.45">
      <c r="A89" s="21"/>
      <c r="B89" s="31"/>
      <c r="C89" s="21"/>
      <c r="D89" s="21"/>
      <c r="E89" s="21"/>
      <c r="F89" s="22"/>
      <c r="G89" s="21"/>
      <c r="H89" s="21"/>
      <c r="I89" s="22"/>
      <c r="J89" s="21"/>
      <c r="K89" s="21"/>
      <c r="L89" s="21"/>
    </row>
    <row r="90" spans="1:12" ht="14.45">
      <c r="A90" s="21"/>
      <c r="B90" s="31"/>
      <c r="C90" s="21"/>
      <c r="D90" s="21"/>
      <c r="E90" s="21"/>
      <c r="F90" s="22"/>
      <c r="G90" s="21"/>
      <c r="H90" s="21"/>
      <c r="I90" s="22"/>
      <c r="J90" s="21"/>
      <c r="K90" s="21"/>
      <c r="L90" s="21"/>
    </row>
    <row r="91" spans="1:12" ht="14.45">
      <c r="A91" s="21"/>
      <c r="B91" s="31"/>
      <c r="C91" s="21"/>
      <c r="D91" s="21"/>
      <c r="E91" s="21"/>
      <c r="F91" s="22"/>
      <c r="G91" s="21"/>
      <c r="H91" s="21"/>
      <c r="I91" s="22"/>
      <c r="J91" s="21"/>
      <c r="K91" s="21"/>
      <c r="L91" s="21"/>
    </row>
    <row r="92" spans="1:12" ht="14.45">
      <c r="A92" s="21"/>
      <c r="B92" s="31"/>
      <c r="C92" s="21"/>
      <c r="D92" s="21"/>
      <c r="E92" s="21"/>
      <c r="F92" s="22"/>
      <c r="G92" s="21"/>
      <c r="H92" s="21"/>
      <c r="I92" s="22"/>
      <c r="J92" s="21"/>
      <c r="K92" s="21"/>
      <c r="L92" s="21"/>
    </row>
    <row r="93" spans="1:12" ht="14.45">
      <c r="A93" s="21"/>
      <c r="B93" s="31"/>
      <c r="C93" s="21"/>
      <c r="D93" s="21"/>
      <c r="E93" s="21"/>
      <c r="F93" s="22"/>
      <c r="G93" s="21"/>
      <c r="H93" s="21"/>
      <c r="I93" s="22"/>
      <c r="J93" s="21"/>
      <c r="K93" s="21"/>
      <c r="L93" s="21"/>
    </row>
    <row r="94" spans="1:12" ht="14.45">
      <c r="A94" s="21"/>
      <c r="B94" s="31"/>
      <c r="C94" s="21"/>
      <c r="D94" s="21"/>
      <c r="E94" s="21"/>
      <c r="F94" s="22"/>
      <c r="G94" s="21"/>
      <c r="H94" s="21"/>
      <c r="I94" s="22"/>
      <c r="J94" s="21"/>
      <c r="K94" s="21"/>
      <c r="L94" s="21"/>
    </row>
    <row r="95" spans="1:12" ht="14.45">
      <c r="A95" s="21"/>
      <c r="B95" s="31"/>
      <c r="C95" s="21"/>
      <c r="D95" s="21"/>
      <c r="E95" s="21"/>
      <c r="F95" s="22"/>
      <c r="G95" s="21"/>
      <c r="H95" s="21"/>
      <c r="I95" s="22"/>
      <c r="J95" s="21"/>
      <c r="K95" s="21"/>
      <c r="L95" s="21"/>
    </row>
    <row r="96" spans="1:12" ht="14.45">
      <c r="A96" s="21"/>
      <c r="B96" s="31"/>
      <c r="C96" s="21"/>
      <c r="D96" s="21"/>
      <c r="E96" s="21"/>
      <c r="F96" s="22"/>
      <c r="G96" s="21"/>
      <c r="H96" s="21"/>
      <c r="I96" s="22"/>
      <c r="J96" s="21"/>
      <c r="K96" s="21"/>
      <c r="L96" s="21"/>
    </row>
    <row r="97" spans="1:12" ht="14.45">
      <c r="A97" s="21"/>
      <c r="B97" s="31"/>
      <c r="C97" s="21"/>
      <c r="D97" s="21"/>
      <c r="E97" s="21"/>
      <c r="F97" s="22"/>
      <c r="G97" s="21"/>
      <c r="H97" s="21"/>
      <c r="I97" s="22"/>
      <c r="J97" s="21"/>
      <c r="K97" s="21"/>
      <c r="L97" s="21"/>
    </row>
    <row r="98" spans="1:12" ht="14.45">
      <c r="A98" s="21"/>
      <c r="B98" s="31"/>
      <c r="C98" s="21"/>
      <c r="D98" s="21"/>
      <c r="E98" s="21"/>
      <c r="F98" s="22"/>
      <c r="G98" s="21"/>
      <c r="H98" s="21"/>
      <c r="I98" s="22"/>
      <c r="J98" s="21"/>
      <c r="K98" s="21"/>
      <c r="L98" s="21"/>
    </row>
    <row r="99" spans="1:12" ht="14.45">
      <c r="A99" s="21"/>
      <c r="B99" s="31"/>
      <c r="C99" s="21"/>
      <c r="D99" s="21"/>
      <c r="E99" s="21"/>
      <c r="F99" s="22"/>
      <c r="G99" s="21"/>
      <c r="H99" s="21"/>
      <c r="I99" s="22"/>
      <c r="J99" s="21"/>
      <c r="K99" s="21"/>
      <c r="L99" s="21"/>
    </row>
    <row r="100" spans="1:12" ht="14.45">
      <c r="A100" s="21"/>
      <c r="B100" s="31"/>
      <c r="C100" s="21"/>
      <c r="D100" s="21"/>
      <c r="E100" s="21"/>
      <c r="F100" s="22"/>
      <c r="G100" s="21"/>
      <c r="H100" s="21"/>
      <c r="I100" s="22"/>
      <c r="J100" s="21"/>
      <c r="K100" s="21"/>
      <c r="L100" s="21"/>
    </row>
    <row r="101" spans="1:12" ht="14.45">
      <c r="A101" s="21"/>
      <c r="B101" s="31"/>
      <c r="C101" s="21"/>
      <c r="D101" s="21"/>
      <c r="E101" s="21"/>
      <c r="F101" s="22"/>
      <c r="G101" s="21"/>
      <c r="H101" s="21"/>
      <c r="I101" s="22"/>
      <c r="J101" s="21"/>
      <c r="K101" s="21"/>
      <c r="L101" s="21"/>
    </row>
    <row r="102" spans="1:12" ht="14.45">
      <c r="A102" s="21"/>
      <c r="B102" s="31"/>
      <c r="C102" s="21"/>
      <c r="D102" s="21"/>
      <c r="E102" s="21"/>
      <c r="F102" s="22"/>
      <c r="G102" s="21"/>
      <c r="H102" s="21"/>
      <c r="I102" s="22"/>
      <c r="J102" s="21"/>
      <c r="K102" s="21"/>
      <c r="L102" s="21"/>
    </row>
    <row r="103" spans="1:12" ht="14.45">
      <c r="A103" s="21"/>
      <c r="B103" s="31"/>
      <c r="C103" s="21"/>
      <c r="D103" s="21"/>
      <c r="E103" s="21"/>
      <c r="F103" s="22"/>
      <c r="G103" s="21"/>
      <c r="H103" s="21"/>
      <c r="I103" s="22"/>
      <c r="J103" s="21"/>
      <c r="K103" s="21"/>
      <c r="L103" s="21"/>
    </row>
    <row r="104" spans="1:12" ht="14.45">
      <c r="A104" s="21"/>
      <c r="B104" s="31"/>
      <c r="C104" s="21"/>
      <c r="D104" s="21"/>
      <c r="E104" s="21"/>
      <c r="F104" s="22"/>
      <c r="G104" s="21"/>
      <c r="H104" s="21"/>
      <c r="I104" s="22"/>
      <c r="J104" s="21"/>
      <c r="K104" s="21"/>
      <c r="L104" s="21"/>
    </row>
    <row r="105" spans="1:12" ht="14.45">
      <c r="A105" s="21"/>
      <c r="B105" s="31"/>
      <c r="C105" s="21"/>
      <c r="D105" s="21"/>
      <c r="E105" s="21"/>
      <c r="F105" s="22"/>
      <c r="G105" s="21"/>
      <c r="H105" s="21"/>
      <c r="I105" s="22"/>
      <c r="J105" s="21"/>
      <c r="K105" s="21"/>
      <c r="L105" s="21"/>
    </row>
    <row r="106" spans="1:12" ht="14.45">
      <c r="A106" s="21"/>
      <c r="B106" s="31"/>
      <c r="C106" s="21"/>
      <c r="D106" s="21"/>
      <c r="E106" s="21"/>
      <c r="F106" s="22"/>
      <c r="G106" s="21"/>
      <c r="H106" s="21"/>
      <c r="I106" s="22"/>
      <c r="J106" s="21"/>
      <c r="K106" s="21"/>
      <c r="L106" s="21"/>
    </row>
    <row r="107" spans="1:12" ht="14.45">
      <c r="A107" s="21"/>
      <c r="B107" s="31"/>
      <c r="C107" s="21"/>
      <c r="D107" s="21"/>
      <c r="E107" s="21"/>
      <c r="F107" s="22"/>
      <c r="G107" s="21"/>
      <c r="H107" s="21"/>
      <c r="I107" s="22"/>
      <c r="J107" s="21"/>
      <c r="K107" s="21"/>
      <c r="L107" s="21"/>
    </row>
    <row r="108" spans="1:12" ht="14.45">
      <c r="A108" s="21"/>
      <c r="B108" s="31"/>
      <c r="C108" s="21"/>
      <c r="D108" s="21"/>
      <c r="E108" s="21"/>
      <c r="F108" s="22"/>
      <c r="G108" s="21"/>
      <c r="H108" s="21"/>
      <c r="I108" s="22"/>
      <c r="J108" s="21"/>
      <c r="K108" s="21"/>
      <c r="L108" s="21"/>
    </row>
    <row r="109" spans="1:12" ht="14.45">
      <c r="A109" s="21"/>
      <c r="B109" s="31"/>
      <c r="C109" s="21"/>
      <c r="D109" s="21"/>
      <c r="E109" s="21"/>
      <c r="F109" s="22"/>
      <c r="G109" s="21"/>
      <c r="H109" s="21"/>
      <c r="I109" s="22"/>
      <c r="J109" s="21"/>
      <c r="K109" s="21"/>
      <c r="L109" s="21"/>
    </row>
    <row r="110" spans="1:12" ht="14.45">
      <c r="A110" s="21"/>
      <c r="B110" s="31"/>
      <c r="C110" s="21"/>
      <c r="D110" s="21"/>
      <c r="E110" s="21"/>
      <c r="F110" s="22"/>
      <c r="G110" s="21"/>
      <c r="H110" s="21"/>
      <c r="I110" s="22"/>
      <c r="J110" s="21"/>
      <c r="K110" s="21"/>
      <c r="L110" s="21"/>
    </row>
    <row r="111" spans="1:12" ht="14.45">
      <c r="A111" s="21"/>
      <c r="B111" s="31"/>
      <c r="C111" s="21"/>
      <c r="D111" s="21"/>
      <c r="E111" s="21"/>
      <c r="F111" s="22"/>
      <c r="G111" s="21"/>
      <c r="H111" s="21"/>
      <c r="I111" s="22"/>
      <c r="J111" s="21"/>
      <c r="K111" s="21"/>
      <c r="L111" s="21"/>
    </row>
    <row r="112" spans="1:12" ht="14.45">
      <c r="A112" s="21"/>
      <c r="B112" s="31"/>
      <c r="C112" s="21"/>
      <c r="D112" s="21"/>
      <c r="E112" s="21"/>
      <c r="F112" s="22"/>
      <c r="G112" s="21"/>
      <c r="H112" s="21"/>
      <c r="I112" s="22"/>
      <c r="J112" s="21"/>
      <c r="K112" s="21"/>
      <c r="L112" s="21"/>
    </row>
    <row r="113" spans="1:12" ht="14.45">
      <c r="A113" s="21"/>
      <c r="B113" s="31"/>
      <c r="C113" s="21"/>
      <c r="D113" s="21"/>
      <c r="E113" s="21"/>
      <c r="F113" s="22"/>
      <c r="G113" s="21"/>
      <c r="H113" s="21"/>
      <c r="I113" s="22"/>
      <c r="J113" s="21"/>
      <c r="K113" s="21"/>
      <c r="L113" s="21"/>
    </row>
    <row r="114" spans="1:12" ht="14.45">
      <c r="A114" s="21"/>
      <c r="B114" s="31"/>
      <c r="C114" s="21"/>
      <c r="D114" s="21"/>
      <c r="E114" s="21"/>
      <c r="F114" s="22"/>
      <c r="G114" s="21"/>
      <c r="H114" s="21"/>
      <c r="I114" s="22"/>
      <c r="J114" s="21"/>
      <c r="K114" s="21"/>
      <c r="L114" s="21"/>
    </row>
    <row r="115" spans="1:12" ht="14.45">
      <c r="A115" s="21"/>
      <c r="B115" s="31"/>
      <c r="C115" s="21"/>
      <c r="D115" s="21"/>
      <c r="E115" s="21"/>
      <c r="F115" s="22"/>
      <c r="G115" s="21"/>
      <c r="H115" s="21"/>
      <c r="I115" s="22"/>
      <c r="J115" s="21"/>
      <c r="K115" s="21"/>
      <c r="L115" s="21"/>
    </row>
    <row r="116" spans="1:12" ht="14.45">
      <c r="A116" s="21"/>
      <c r="B116" s="31"/>
      <c r="C116" s="21"/>
      <c r="D116" s="21"/>
      <c r="E116" s="21"/>
      <c r="F116" s="22"/>
      <c r="G116" s="21"/>
      <c r="H116" s="21"/>
      <c r="I116" s="22"/>
      <c r="J116" s="21"/>
      <c r="K116" s="21"/>
      <c r="L116" s="21"/>
    </row>
    <row r="117" spans="1:12" ht="14.45">
      <c r="A117" s="21"/>
      <c r="B117" s="31"/>
      <c r="C117" s="21"/>
      <c r="D117" s="21"/>
      <c r="E117" s="21"/>
      <c r="F117" s="22"/>
      <c r="G117" s="21"/>
      <c r="H117" s="21"/>
      <c r="I117" s="22"/>
      <c r="J117" s="21"/>
      <c r="K117" s="21"/>
      <c r="L117" s="21"/>
    </row>
    <row r="118" spans="1:12" ht="14.45">
      <c r="A118" s="21"/>
      <c r="B118" s="31"/>
      <c r="C118" s="21"/>
      <c r="D118" s="21"/>
      <c r="E118" s="21"/>
      <c r="F118" s="22"/>
      <c r="G118" s="21"/>
      <c r="H118" s="21"/>
      <c r="I118" s="22"/>
      <c r="J118" s="21"/>
      <c r="K118" s="21"/>
      <c r="L118" s="21"/>
    </row>
    <row r="119" spans="1:12" ht="14.45">
      <c r="A119" s="21"/>
      <c r="B119" s="31"/>
      <c r="C119" s="21"/>
      <c r="D119" s="21"/>
      <c r="E119" s="21"/>
      <c r="F119" s="22"/>
      <c r="G119" s="21"/>
      <c r="H119" s="21"/>
      <c r="I119" s="22"/>
      <c r="J119" s="21"/>
      <c r="K119" s="21"/>
      <c r="L119" s="21"/>
    </row>
    <row r="120" spans="1:12" ht="14.45">
      <c r="A120" s="21"/>
      <c r="B120" s="31"/>
      <c r="C120" s="21"/>
      <c r="D120" s="21"/>
      <c r="E120" s="21"/>
      <c r="F120" s="22"/>
      <c r="G120" s="21"/>
      <c r="H120" s="21"/>
      <c r="I120" s="22"/>
      <c r="J120" s="21"/>
      <c r="K120" s="21"/>
      <c r="L120" s="21"/>
    </row>
    <row r="121" spans="1:12" ht="14.45">
      <c r="A121" s="21"/>
      <c r="B121" s="31"/>
      <c r="C121" s="21"/>
      <c r="D121" s="21"/>
      <c r="E121" s="21"/>
      <c r="F121" s="22"/>
      <c r="G121" s="21"/>
      <c r="H121" s="21"/>
      <c r="I121" s="22"/>
      <c r="J121" s="21"/>
      <c r="K121" s="21"/>
      <c r="L121" s="21"/>
    </row>
    <row r="122" spans="1:12" ht="14.45">
      <c r="A122" s="21"/>
      <c r="B122" s="31"/>
      <c r="C122" s="21"/>
      <c r="D122" s="21"/>
      <c r="E122" s="21"/>
      <c r="F122" s="22"/>
      <c r="G122" s="21"/>
      <c r="H122" s="21"/>
      <c r="I122" s="22"/>
      <c r="J122" s="21"/>
      <c r="K122" s="21"/>
      <c r="L122" s="21"/>
    </row>
    <row r="123" spans="1:12" ht="14.45">
      <c r="A123" s="21"/>
      <c r="B123" s="31"/>
      <c r="C123" s="21"/>
      <c r="D123" s="21"/>
      <c r="E123" s="21"/>
      <c r="F123" s="22"/>
      <c r="G123" s="21"/>
      <c r="H123" s="21"/>
      <c r="I123" s="22"/>
      <c r="J123" s="21"/>
      <c r="K123" s="21"/>
      <c r="L123" s="21"/>
    </row>
    <row r="124" spans="1:12" ht="14.45">
      <c r="A124" s="21"/>
      <c r="B124" s="31"/>
      <c r="C124" s="21"/>
      <c r="D124" s="21"/>
      <c r="E124" s="21"/>
      <c r="F124" s="22"/>
      <c r="G124" s="21"/>
      <c r="H124" s="21"/>
      <c r="I124" s="22"/>
      <c r="J124" s="21"/>
      <c r="K124" s="21"/>
      <c r="L124" s="21"/>
    </row>
    <row r="125" spans="1:12" ht="14.45">
      <c r="A125" s="21"/>
      <c r="B125" s="31"/>
      <c r="C125" s="21"/>
      <c r="D125" s="21"/>
      <c r="E125" s="21"/>
      <c r="F125" s="22"/>
      <c r="G125" s="21"/>
      <c r="H125" s="21"/>
      <c r="I125" s="22"/>
      <c r="J125" s="21"/>
      <c r="K125" s="21"/>
      <c r="L125" s="21"/>
    </row>
    <row r="126" spans="1:12" ht="14.45">
      <c r="A126" s="21"/>
      <c r="B126" s="31"/>
      <c r="C126" s="21"/>
      <c r="D126" s="21"/>
      <c r="E126" s="21"/>
      <c r="F126" s="22"/>
      <c r="G126" s="21"/>
      <c r="H126" s="21"/>
      <c r="I126" s="22"/>
      <c r="J126" s="21"/>
      <c r="K126" s="21"/>
      <c r="L126" s="21"/>
    </row>
    <row r="127" spans="1:12" ht="14.45">
      <c r="A127" s="21"/>
      <c r="B127" s="31"/>
      <c r="C127" s="21"/>
      <c r="D127" s="21"/>
      <c r="E127" s="21"/>
      <c r="F127" s="22"/>
      <c r="G127" s="21"/>
      <c r="H127" s="21"/>
      <c r="I127" s="22"/>
      <c r="J127" s="21"/>
      <c r="K127" s="21"/>
      <c r="L127" s="21"/>
    </row>
    <row r="128" spans="1:12" ht="14.45">
      <c r="A128" s="21"/>
      <c r="B128" s="31"/>
      <c r="C128" s="21"/>
      <c r="D128" s="21"/>
      <c r="E128" s="21"/>
      <c r="F128" s="22"/>
      <c r="G128" s="21"/>
      <c r="H128" s="21"/>
      <c r="I128" s="22"/>
      <c r="J128" s="21"/>
      <c r="K128" s="21"/>
      <c r="L128" s="21"/>
    </row>
    <row r="129" spans="1:12" ht="14.45">
      <c r="A129" s="21"/>
      <c r="B129" s="31"/>
      <c r="C129" s="21"/>
      <c r="D129" s="21"/>
      <c r="E129" s="21"/>
      <c r="F129" s="22"/>
      <c r="G129" s="21"/>
      <c r="H129" s="21"/>
      <c r="I129" s="22"/>
      <c r="J129" s="21"/>
      <c r="K129" s="21"/>
      <c r="L129" s="21"/>
    </row>
    <row r="130" spans="1:12" ht="14.45">
      <c r="A130" s="21"/>
      <c r="B130" s="31"/>
      <c r="C130" s="21"/>
      <c r="D130" s="21"/>
      <c r="E130" s="21"/>
      <c r="F130" s="22"/>
      <c r="G130" s="21"/>
      <c r="H130" s="21"/>
      <c r="I130" s="22"/>
      <c r="J130" s="21"/>
      <c r="K130" s="21"/>
      <c r="L130" s="21"/>
    </row>
    <row r="131" spans="1:12" ht="14.45">
      <c r="A131" s="21"/>
      <c r="B131" s="31"/>
      <c r="C131" s="21"/>
      <c r="D131" s="21"/>
      <c r="E131" s="21"/>
      <c r="F131" s="22"/>
      <c r="G131" s="21"/>
      <c r="H131" s="21"/>
      <c r="I131" s="22"/>
      <c r="J131" s="21"/>
      <c r="K131" s="21"/>
      <c r="L131" s="21"/>
    </row>
    <row r="132" spans="1:12" ht="14.45">
      <c r="A132" s="21"/>
      <c r="B132" s="31"/>
      <c r="C132" s="21"/>
      <c r="D132" s="21"/>
      <c r="E132" s="21"/>
      <c r="F132" s="22"/>
      <c r="G132" s="21"/>
      <c r="H132" s="21"/>
      <c r="I132" s="22"/>
      <c r="J132" s="21"/>
      <c r="K132" s="21"/>
      <c r="L132" s="21"/>
    </row>
    <row r="133" spans="1:12" ht="14.45">
      <c r="A133" s="21"/>
      <c r="B133" s="31"/>
      <c r="C133" s="21"/>
      <c r="D133" s="21"/>
      <c r="E133" s="21"/>
      <c r="F133" s="22"/>
      <c r="G133" s="21"/>
      <c r="H133" s="21"/>
      <c r="I133" s="22"/>
      <c r="J133" s="21"/>
      <c r="K133" s="21"/>
      <c r="L133" s="21"/>
    </row>
    <row r="134" spans="1:12" ht="14.45">
      <c r="A134" s="21"/>
      <c r="B134" s="31"/>
      <c r="C134" s="21"/>
      <c r="D134" s="21"/>
      <c r="E134" s="21"/>
      <c r="F134" s="22"/>
      <c r="G134" s="21"/>
      <c r="H134" s="21"/>
      <c r="I134" s="22"/>
      <c r="J134" s="21"/>
      <c r="K134" s="21"/>
      <c r="L134" s="21"/>
    </row>
    <row r="135" spans="1:12" ht="14.45">
      <c r="A135" s="21"/>
      <c r="B135" s="31"/>
      <c r="C135" s="21"/>
      <c r="D135" s="21"/>
      <c r="E135" s="21"/>
      <c r="F135" s="22"/>
      <c r="G135" s="21"/>
      <c r="H135" s="21"/>
      <c r="I135" s="22"/>
      <c r="J135" s="21"/>
      <c r="K135" s="21"/>
      <c r="L135" s="21"/>
    </row>
    <row r="136" spans="1:12" ht="14.45">
      <c r="A136" s="21"/>
      <c r="B136" s="31"/>
      <c r="C136" s="21"/>
      <c r="D136" s="21"/>
      <c r="E136" s="21"/>
      <c r="F136" s="22"/>
      <c r="G136" s="21"/>
      <c r="H136" s="21"/>
      <c r="I136" s="22"/>
      <c r="J136" s="21"/>
      <c r="K136" s="21"/>
      <c r="L136" s="21"/>
    </row>
    <row r="137" spans="1:12" ht="14.45">
      <c r="A137" s="21"/>
      <c r="B137" s="31"/>
      <c r="C137" s="21"/>
      <c r="D137" s="21"/>
      <c r="E137" s="21"/>
      <c r="F137" s="22"/>
      <c r="G137" s="21"/>
      <c r="H137" s="21"/>
      <c r="I137" s="22"/>
      <c r="J137" s="21"/>
      <c r="K137" s="21"/>
      <c r="L137" s="21"/>
    </row>
    <row r="138" spans="1:12" ht="14.45">
      <c r="A138" s="21"/>
      <c r="B138" s="31"/>
      <c r="C138" s="21"/>
      <c r="D138" s="21"/>
      <c r="E138" s="21"/>
      <c r="F138" s="22"/>
      <c r="G138" s="21"/>
      <c r="H138" s="21"/>
      <c r="I138" s="22"/>
      <c r="J138" s="21"/>
      <c r="K138" s="21"/>
      <c r="L138" s="21"/>
    </row>
    <row r="139" spans="1:12" ht="14.45">
      <c r="A139" s="21"/>
      <c r="B139" s="31"/>
      <c r="C139" s="21"/>
      <c r="D139" s="21"/>
      <c r="E139" s="21"/>
      <c r="F139" s="22"/>
      <c r="G139" s="21"/>
      <c r="H139" s="21"/>
      <c r="I139" s="22"/>
      <c r="J139" s="21"/>
      <c r="K139" s="21"/>
      <c r="L139" s="21"/>
    </row>
    <row r="140" spans="1:12" ht="14.45">
      <c r="A140" s="21"/>
      <c r="B140" s="31"/>
      <c r="C140" s="21"/>
      <c r="D140" s="21"/>
      <c r="E140" s="21"/>
      <c r="F140" s="22"/>
      <c r="G140" s="21"/>
      <c r="H140" s="21"/>
      <c r="I140" s="22"/>
      <c r="J140" s="21"/>
      <c r="K140" s="21"/>
      <c r="L140" s="21"/>
    </row>
    <row r="141" spans="1:12" ht="14.45">
      <c r="A141" s="21"/>
      <c r="B141" s="31"/>
      <c r="C141" s="21"/>
      <c r="D141" s="21"/>
      <c r="E141" s="21"/>
      <c r="F141" s="22"/>
      <c r="G141" s="21"/>
      <c r="H141" s="21"/>
      <c r="I141" s="22"/>
      <c r="J141" s="21"/>
      <c r="K141" s="21"/>
      <c r="L141" s="21"/>
    </row>
    <row r="142" spans="1:12" ht="14.45">
      <c r="A142" s="21"/>
      <c r="B142" s="31"/>
      <c r="C142" s="21"/>
      <c r="D142" s="21"/>
      <c r="E142" s="21"/>
      <c r="F142" s="22"/>
      <c r="G142" s="21"/>
      <c r="H142" s="21"/>
      <c r="I142" s="22"/>
      <c r="J142" s="21"/>
      <c r="K142" s="21"/>
      <c r="L142" s="21"/>
    </row>
    <row r="143" spans="1:12" ht="14.45">
      <c r="A143" s="21"/>
      <c r="B143" s="31"/>
      <c r="C143" s="21"/>
      <c r="D143" s="21"/>
      <c r="E143" s="21"/>
      <c r="F143" s="22"/>
      <c r="G143" s="21"/>
      <c r="H143" s="21"/>
      <c r="I143" s="22"/>
      <c r="J143" s="21"/>
      <c r="K143" s="21"/>
      <c r="L143" s="21"/>
    </row>
    <row r="144" spans="1:12" ht="14.45">
      <c r="A144" s="21"/>
      <c r="B144" s="31"/>
      <c r="C144" s="21"/>
      <c r="D144" s="21"/>
      <c r="E144" s="21"/>
      <c r="F144" s="22"/>
      <c r="G144" s="21"/>
      <c r="H144" s="21"/>
      <c r="I144" s="22"/>
      <c r="J144" s="21"/>
      <c r="K144" s="21"/>
      <c r="L144" s="21"/>
    </row>
    <row r="145" spans="1:12" ht="14.45">
      <c r="A145" s="21"/>
      <c r="B145" s="31"/>
      <c r="C145" s="21"/>
      <c r="D145" s="21"/>
      <c r="E145" s="21"/>
      <c r="F145" s="22"/>
      <c r="G145" s="21"/>
      <c r="H145" s="21"/>
      <c r="I145" s="22"/>
      <c r="J145" s="21"/>
      <c r="K145" s="21"/>
      <c r="L145" s="21"/>
    </row>
    <row r="146" spans="1:12" ht="14.45">
      <c r="A146" s="21"/>
      <c r="B146" s="31"/>
      <c r="C146" s="21"/>
      <c r="D146" s="21"/>
      <c r="E146" s="21"/>
      <c r="F146" s="22"/>
      <c r="G146" s="21"/>
      <c r="H146" s="21"/>
      <c r="I146" s="22"/>
      <c r="J146" s="21"/>
      <c r="K146" s="21"/>
      <c r="L146" s="21"/>
    </row>
    <row r="147" spans="1:12" ht="14.45">
      <c r="A147" s="21"/>
      <c r="B147" s="31"/>
      <c r="C147" s="21"/>
      <c r="D147" s="21"/>
      <c r="E147" s="21"/>
      <c r="F147" s="22"/>
      <c r="G147" s="21"/>
      <c r="H147" s="21"/>
      <c r="I147" s="22"/>
      <c r="J147" s="21"/>
      <c r="K147" s="21"/>
      <c r="L147" s="21"/>
    </row>
    <row r="148" spans="1:12" ht="14.45">
      <c r="A148" s="21"/>
      <c r="B148" s="31"/>
      <c r="C148" s="21"/>
      <c r="D148" s="21"/>
      <c r="E148" s="21"/>
      <c r="F148" s="22"/>
      <c r="G148" s="21"/>
      <c r="H148" s="21"/>
      <c r="I148" s="22"/>
      <c r="J148" s="21"/>
      <c r="K148" s="21"/>
      <c r="L148" s="21"/>
    </row>
    <row r="149" spans="1:12" ht="14.45">
      <c r="A149" s="21"/>
      <c r="B149" s="31"/>
      <c r="C149" s="21"/>
      <c r="D149" s="21"/>
      <c r="E149" s="21"/>
      <c r="F149" s="22"/>
      <c r="G149" s="21"/>
      <c r="H149" s="21"/>
      <c r="I149" s="22"/>
      <c r="J149" s="21"/>
      <c r="K149" s="21"/>
      <c r="L149" s="21"/>
    </row>
    <row r="150" spans="1:12" ht="14.45">
      <c r="A150" s="21"/>
      <c r="B150" s="31"/>
      <c r="C150" s="21"/>
      <c r="D150" s="21"/>
      <c r="E150" s="21"/>
      <c r="F150" s="22"/>
      <c r="G150" s="21"/>
      <c r="H150" s="21"/>
      <c r="I150" s="22"/>
      <c r="J150" s="21"/>
      <c r="K150" s="21"/>
      <c r="L150" s="21"/>
    </row>
    <row r="151" spans="1:12" ht="14.45">
      <c r="A151" s="21"/>
      <c r="B151" s="31"/>
      <c r="C151" s="21"/>
      <c r="D151" s="21"/>
      <c r="E151" s="21"/>
      <c r="F151" s="22"/>
      <c r="G151" s="21"/>
      <c r="H151" s="21"/>
      <c r="I151" s="22"/>
      <c r="J151" s="21"/>
      <c r="K151" s="21"/>
      <c r="L151" s="21"/>
    </row>
    <row r="152" spans="1:12" ht="14.45">
      <c r="A152" s="21"/>
      <c r="B152" s="31"/>
      <c r="C152" s="21"/>
      <c r="D152" s="21"/>
      <c r="E152" s="21"/>
      <c r="F152" s="22"/>
      <c r="G152" s="21"/>
      <c r="H152" s="21"/>
      <c r="I152" s="22"/>
      <c r="J152" s="21"/>
      <c r="K152" s="21"/>
      <c r="L152" s="21"/>
    </row>
    <row r="153" spans="1:12" ht="14.45">
      <c r="A153" s="21"/>
      <c r="B153" s="31"/>
      <c r="C153" s="21"/>
      <c r="D153" s="21"/>
      <c r="E153" s="21"/>
      <c r="F153" s="22"/>
      <c r="G153" s="21"/>
      <c r="H153" s="21"/>
      <c r="I153" s="22"/>
      <c r="J153" s="21"/>
      <c r="K153" s="21"/>
      <c r="L153" s="21"/>
    </row>
    <row r="154" spans="1:12" ht="14.45">
      <c r="A154" s="21"/>
      <c r="B154" s="31"/>
      <c r="C154" s="21"/>
      <c r="D154" s="21"/>
      <c r="E154" s="21"/>
      <c r="F154" s="22"/>
      <c r="G154" s="21"/>
      <c r="H154" s="21"/>
      <c r="I154" s="22"/>
      <c r="J154" s="21"/>
      <c r="K154" s="21"/>
      <c r="L154" s="21"/>
    </row>
    <row r="155" spans="1:12" ht="14.45">
      <c r="A155" s="21"/>
      <c r="B155" s="31"/>
      <c r="C155" s="21"/>
      <c r="D155" s="21"/>
      <c r="E155" s="21"/>
      <c r="F155" s="22"/>
      <c r="G155" s="21"/>
      <c r="H155" s="21"/>
      <c r="I155" s="22"/>
      <c r="J155" s="21"/>
      <c r="K155" s="21"/>
      <c r="L155" s="21"/>
    </row>
    <row r="156" spans="1:12" ht="14.45">
      <c r="A156" s="21"/>
      <c r="B156" s="31"/>
      <c r="C156" s="21"/>
      <c r="D156" s="21"/>
      <c r="E156" s="21"/>
      <c r="F156" s="22"/>
      <c r="G156" s="21"/>
      <c r="H156" s="21"/>
      <c r="I156" s="22"/>
      <c r="J156" s="21"/>
      <c r="K156" s="21"/>
      <c r="L156" s="21"/>
    </row>
    <row r="157" spans="1:12" ht="14.45">
      <c r="A157" s="21"/>
      <c r="B157" s="31"/>
      <c r="C157" s="21"/>
      <c r="D157" s="21"/>
      <c r="E157" s="21"/>
      <c r="F157" s="22"/>
      <c r="G157" s="21"/>
      <c r="H157" s="21"/>
      <c r="I157" s="22"/>
      <c r="J157" s="21"/>
      <c r="K157" s="21"/>
      <c r="L157" s="21"/>
    </row>
    <row r="158" spans="1:12" ht="14.45">
      <c r="A158" s="21"/>
      <c r="B158" s="31"/>
      <c r="C158" s="21"/>
      <c r="D158" s="21"/>
      <c r="E158" s="21"/>
      <c r="F158" s="22"/>
      <c r="G158" s="21"/>
      <c r="H158" s="21"/>
      <c r="I158" s="22"/>
      <c r="J158" s="21"/>
      <c r="K158" s="21"/>
      <c r="L158" s="21"/>
    </row>
    <row r="159" spans="1:12" ht="14.45">
      <c r="A159" s="21"/>
      <c r="B159" s="31"/>
      <c r="C159" s="21"/>
      <c r="D159" s="21"/>
      <c r="E159" s="21"/>
      <c r="F159" s="22"/>
      <c r="G159" s="21"/>
      <c r="H159" s="21"/>
      <c r="I159" s="22"/>
      <c r="J159" s="21"/>
      <c r="K159" s="21"/>
      <c r="L159" s="21"/>
    </row>
    <row r="160" spans="1:12" ht="14.45">
      <c r="A160" s="21"/>
      <c r="B160" s="31"/>
      <c r="C160" s="21"/>
      <c r="D160" s="21"/>
      <c r="E160" s="21"/>
      <c r="F160" s="22"/>
      <c r="G160" s="21"/>
      <c r="H160" s="21"/>
      <c r="I160" s="22"/>
      <c r="J160" s="21"/>
      <c r="K160" s="21"/>
      <c r="L160" s="21"/>
    </row>
    <row r="161" spans="1:12" ht="14.45">
      <c r="A161" s="21"/>
      <c r="B161" s="31"/>
      <c r="C161" s="21"/>
      <c r="D161" s="21"/>
      <c r="E161" s="21"/>
      <c r="F161" s="22"/>
      <c r="G161" s="21"/>
      <c r="H161" s="21"/>
      <c r="I161" s="22"/>
      <c r="J161" s="21"/>
      <c r="K161" s="21"/>
      <c r="L161" s="21"/>
    </row>
    <row r="162" spans="1:12" ht="14.45">
      <c r="A162" s="21"/>
      <c r="B162" s="31"/>
      <c r="C162" s="21"/>
      <c r="D162" s="21"/>
      <c r="E162" s="21"/>
      <c r="F162" s="22"/>
      <c r="G162" s="21"/>
      <c r="H162" s="21"/>
      <c r="I162" s="22"/>
      <c r="J162" s="21"/>
      <c r="K162" s="21"/>
      <c r="L162" s="21"/>
    </row>
    <row r="163" spans="1:12" ht="14.45">
      <c r="A163" s="21"/>
      <c r="B163" s="31"/>
      <c r="C163" s="21"/>
      <c r="D163" s="21"/>
      <c r="E163" s="21"/>
      <c r="F163" s="22"/>
      <c r="G163" s="21"/>
      <c r="H163" s="21"/>
      <c r="I163" s="22"/>
      <c r="J163" s="21"/>
      <c r="K163" s="21"/>
      <c r="L163" s="21"/>
    </row>
    <row r="164" spans="1:12" ht="14.45">
      <c r="A164" s="21"/>
      <c r="B164" s="31"/>
      <c r="C164" s="21"/>
      <c r="D164" s="21"/>
      <c r="E164" s="21"/>
      <c r="F164" s="22"/>
      <c r="G164" s="21"/>
      <c r="H164" s="21"/>
      <c r="I164" s="22"/>
      <c r="J164" s="21"/>
      <c r="K164" s="21"/>
      <c r="L164" s="21"/>
    </row>
    <row r="165" spans="1:12" ht="14.45">
      <c r="A165" s="21"/>
      <c r="B165" s="31"/>
      <c r="C165" s="21"/>
      <c r="D165" s="21"/>
      <c r="E165" s="21"/>
      <c r="F165" s="22"/>
      <c r="G165" s="21"/>
      <c r="H165" s="21"/>
      <c r="I165" s="22"/>
      <c r="J165" s="21"/>
      <c r="K165" s="21"/>
      <c r="L165" s="21"/>
    </row>
    <row r="166" spans="1:12" ht="14.45">
      <c r="A166" s="21"/>
      <c r="B166" s="31"/>
      <c r="C166" s="21"/>
      <c r="D166" s="21"/>
      <c r="E166" s="21"/>
      <c r="F166" s="22"/>
      <c r="G166" s="21"/>
      <c r="H166" s="21"/>
      <c r="I166" s="22"/>
      <c r="J166" s="21"/>
      <c r="K166" s="21"/>
      <c r="L166" s="21"/>
    </row>
    <row r="167" spans="1:12" ht="14.45">
      <c r="A167" s="21"/>
      <c r="B167" s="31"/>
      <c r="C167" s="21"/>
      <c r="D167" s="21"/>
      <c r="E167" s="21"/>
      <c r="F167" s="22"/>
      <c r="G167" s="21"/>
      <c r="H167" s="21"/>
      <c r="I167" s="22"/>
      <c r="J167" s="21"/>
      <c r="K167" s="21"/>
      <c r="L167" s="21"/>
    </row>
    <row r="168" spans="1:12" ht="14.45">
      <c r="A168" s="21"/>
      <c r="B168" s="31"/>
      <c r="C168" s="21"/>
      <c r="D168" s="21"/>
      <c r="E168" s="21"/>
      <c r="F168" s="22"/>
      <c r="G168" s="21"/>
      <c r="H168" s="21"/>
      <c r="I168" s="22"/>
      <c r="J168" s="21"/>
      <c r="K168" s="21"/>
      <c r="L168" s="21"/>
    </row>
    <row r="169" spans="1:12" ht="14.45">
      <c r="A169" s="21"/>
      <c r="B169" s="31"/>
      <c r="C169" s="21"/>
      <c r="D169" s="21"/>
      <c r="E169" s="21"/>
      <c r="F169" s="22"/>
      <c r="G169" s="21"/>
      <c r="H169" s="21"/>
      <c r="I169" s="22"/>
      <c r="J169" s="21"/>
      <c r="K169" s="21"/>
      <c r="L169" s="21"/>
    </row>
    <row r="170" spans="1:12" ht="14.45">
      <c r="A170" s="21"/>
      <c r="B170" s="31"/>
      <c r="C170" s="21"/>
      <c r="D170" s="21"/>
      <c r="E170" s="21"/>
      <c r="F170" s="22"/>
      <c r="G170" s="21"/>
      <c r="H170" s="21"/>
      <c r="I170" s="22"/>
      <c r="J170" s="21"/>
      <c r="K170" s="21"/>
      <c r="L170" s="21"/>
    </row>
    <row r="171" spans="1:12" ht="14.45">
      <c r="A171" s="21"/>
      <c r="B171" s="31"/>
      <c r="C171" s="21"/>
      <c r="D171" s="21"/>
      <c r="E171" s="21"/>
      <c r="F171" s="22"/>
      <c r="G171" s="21"/>
      <c r="H171" s="21"/>
      <c r="I171" s="22"/>
      <c r="J171" s="21"/>
      <c r="K171" s="21"/>
      <c r="L171" s="21"/>
    </row>
    <row r="172" spans="1:12" ht="14.45">
      <c r="A172" s="21"/>
      <c r="B172" s="31"/>
      <c r="C172" s="21"/>
      <c r="D172" s="21"/>
      <c r="E172" s="21"/>
      <c r="F172" s="22"/>
      <c r="G172" s="21"/>
      <c r="H172" s="21"/>
      <c r="I172" s="22"/>
      <c r="J172" s="21"/>
      <c r="K172" s="21"/>
      <c r="L172" s="21"/>
    </row>
    <row r="173" spans="1:12" ht="14.45">
      <c r="A173" s="21"/>
      <c r="B173" s="31"/>
      <c r="C173" s="21"/>
      <c r="D173" s="21"/>
      <c r="E173" s="21"/>
      <c r="F173" s="22"/>
      <c r="G173" s="21"/>
      <c r="H173" s="21"/>
      <c r="I173" s="22"/>
      <c r="J173" s="21"/>
      <c r="K173" s="21"/>
      <c r="L173" s="21"/>
    </row>
    <row r="174" spans="1:12" ht="14.45">
      <c r="A174" s="21"/>
      <c r="B174" s="31"/>
      <c r="C174" s="21"/>
      <c r="D174" s="21"/>
      <c r="E174" s="21"/>
      <c r="F174" s="22"/>
      <c r="G174" s="21"/>
      <c r="H174" s="21"/>
      <c r="I174" s="22"/>
      <c r="J174" s="21"/>
      <c r="K174" s="21"/>
      <c r="L174" s="21"/>
    </row>
    <row r="175" spans="1:12" ht="14.45">
      <c r="A175" s="21"/>
      <c r="B175" s="31"/>
      <c r="C175" s="21"/>
      <c r="D175" s="21"/>
      <c r="E175" s="21"/>
      <c r="F175" s="22"/>
      <c r="G175" s="21"/>
      <c r="H175" s="21"/>
      <c r="I175" s="22"/>
      <c r="J175" s="21"/>
      <c r="K175" s="21"/>
      <c r="L175" s="21"/>
    </row>
    <row r="176" spans="1:12" ht="14.45">
      <c r="A176" s="21"/>
      <c r="B176" s="31"/>
      <c r="C176" s="21"/>
      <c r="D176" s="21"/>
      <c r="E176" s="21"/>
      <c r="F176" s="22"/>
      <c r="G176" s="21"/>
      <c r="H176" s="21"/>
      <c r="I176" s="22"/>
      <c r="J176" s="21"/>
      <c r="K176" s="21"/>
      <c r="L176" s="21"/>
    </row>
    <row r="177" spans="1:12" ht="14.45">
      <c r="A177" s="21"/>
      <c r="B177" s="31"/>
      <c r="C177" s="21"/>
      <c r="D177" s="21"/>
      <c r="E177" s="21"/>
      <c r="F177" s="22"/>
      <c r="G177" s="21"/>
      <c r="H177" s="21"/>
      <c r="I177" s="22"/>
      <c r="J177" s="21"/>
      <c r="K177" s="21"/>
      <c r="L177" s="21"/>
    </row>
    <row r="178" spans="1:12" ht="14.45">
      <c r="A178" s="21"/>
      <c r="B178" s="31"/>
      <c r="C178" s="21"/>
      <c r="D178" s="21"/>
      <c r="E178" s="21"/>
      <c r="F178" s="22"/>
      <c r="G178" s="21"/>
      <c r="H178" s="21"/>
      <c r="I178" s="22"/>
      <c r="J178" s="21"/>
      <c r="K178" s="21"/>
      <c r="L178" s="21"/>
    </row>
    <row r="179" spans="1:12" ht="14.45">
      <c r="A179" s="21"/>
      <c r="B179" s="31"/>
      <c r="C179" s="21"/>
      <c r="D179" s="21"/>
      <c r="E179" s="21"/>
      <c r="F179" s="22"/>
      <c r="G179" s="21"/>
      <c r="H179" s="21"/>
      <c r="I179" s="22"/>
      <c r="J179" s="21"/>
      <c r="K179" s="21"/>
      <c r="L179" s="21"/>
    </row>
    <row r="180" spans="1:12" ht="14.45">
      <c r="A180" s="21"/>
      <c r="B180" s="31"/>
      <c r="C180" s="21"/>
      <c r="D180" s="21"/>
      <c r="E180" s="21"/>
      <c r="F180" s="22"/>
      <c r="G180" s="21"/>
      <c r="H180" s="21"/>
      <c r="I180" s="22"/>
      <c r="J180" s="21"/>
      <c r="K180" s="21"/>
      <c r="L180" s="21"/>
    </row>
    <row r="181" spans="1:12" ht="14.45">
      <c r="A181" s="21"/>
      <c r="B181" s="31"/>
      <c r="C181" s="21"/>
      <c r="D181" s="21"/>
      <c r="E181" s="21"/>
      <c r="F181" s="22"/>
      <c r="G181" s="21"/>
      <c r="H181" s="21"/>
      <c r="I181" s="22"/>
      <c r="J181" s="21"/>
      <c r="K181" s="21"/>
      <c r="L181" s="21"/>
    </row>
    <row r="182" spans="1:12" ht="14.45">
      <c r="A182" s="21"/>
      <c r="B182" s="31"/>
      <c r="C182" s="21"/>
      <c r="D182" s="21"/>
      <c r="E182" s="21"/>
      <c r="F182" s="22"/>
      <c r="G182" s="21"/>
      <c r="H182" s="21"/>
      <c r="I182" s="22"/>
      <c r="J182" s="21"/>
      <c r="K182" s="21"/>
      <c r="L182" s="21"/>
    </row>
    <row r="183" spans="1:12" ht="14.45">
      <c r="A183" s="21"/>
      <c r="B183" s="31"/>
      <c r="C183" s="21"/>
      <c r="D183" s="21"/>
      <c r="E183" s="21"/>
      <c r="F183" s="22"/>
      <c r="G183" s="21"/>
      <c r="H183" s="21"/>
      <c r="I183" s="22"/>
      <c r="J183" s="21"/>
      <c r="K183" s="21"/>
      <c r="L183" s="21"/>
    </row>
    <row r="184" spans="1:12" ht="14.45">
      <c r="A184" s="21"/>
      <c r="B184" s="31"/>
      <c r="C184" s="21"/>
      <c r="D184" s="21"/>
      <c r="E184" s="21"/>
      <c r="F184" s="22"/>
      <c r="G184" s="21"/>
      <c r="H184" s="21"/>
      <c r="I184" s="22"/>
      <c r="J184" s="21"/>
      <c r="K184" s="21"/>
      <c r="L184" s="21"/>
    </row>
    <row r="185" spans="1:12" ht="14.45">
      <c r="A185" s="21"/>
      <c r="B185" s="31"/>
      <c r="C185" s="21"/>
      <c r="D185" s="21"/>
      <c r="E185" s="21"/>
      <c r="F185" s="22"/>
      <c r="G185" s="21"/>
      <c r="H185" s="21"/>
      <c r="I185" s="22"/>
      <c r="J185" s="21"/>
      <c r="K185" s="21"/>
      <c r="L185" s="21"/>
    </row>
    <row r="186" spans="1:12" ht="14.45">
      <c r="A186" s="21"/>
      <c r="B186" s="31"/>
      <c r="C186" s="21"/>
      <c r="D186" s="21"/>
      <c r="E186" s="21"/>
      <c r="F186" s="22"/>
      <c r="G186" s="21"/>
      <c r="H186" s="21"/>
      <c r="I186" s="22"/>
      <c r="J186" s="21"/>
      <c r="K186" s="21"/>
      <c r="L186" s="21"/>
    </row>
    <row r="187" spans="1:12" ht="14.45">
      <c r="A187" s="21"/>
      <c r="B187" s="31"/>
      <c r="C187" s="21"/>
      <c r="D187" s="21"/>
      <c r="E187" s="21"/>
      <c r="F187" s="22"/>
      <c r="G187" s="21"/>
      <c r="H187" s="21"/>
      <c r="I187" s="22"/>
      <c r="J187" s="21"/>
      <c r="K187" s="21"/>
      <c r="L187" s="21"/>
    </row>
    <row r="188" spans="1:12" ht="14.45">
      <c r="A188" s="21"/>
      <c r="B188" s="31"/>
      <c r="C188" s="21"/>
      <c r="D188" s="21"/>
      <c r="E188" s="21"/>
      <c r="F188" s="22"/>
      <c r="G188" s="21"/>
      <c r="H188" s="21"/>
      <c r="I188" s="22"/>
      <c r="J188" s="21"/>
      <c r="K188" s="21"/>
      <c r="L188" s="21"/>
    </row>
    <row r="189" spans="1:12" ht="14.45">
      <c r="A189" s="21"/>
      <c r="B189" s="31"/>
      <c r="C189" s="21"/>
      <c r="D189" s="21"/>
      <c r="E189" s="21"/>
      <c r="F189" s="22"/>
      <c r="G189" s="21"/>
      <c r="H189" s="21"/>
      <c r="I189" s="22"/>
      <c r="J189" s="21"/>
      <c r="K189" s="21"/>
      <c r="L189" s="21"/>
    </row>
    <row r="190" spans="1:12" ht="14.45">
      <c r="A190" s="21"/>
      <c r="B190" s="31"/>
      <c r="C190" s="21"/>
      <c r="D190" s="21"/>
      <c r="E190" s="21"/>
      <c r="F190" s="22"/>
      <c r="G190" s="21"/>
      <c r="H190" s="21"/>
      <c r="I190" s="22"/>
      <c r="J190" s="21"/>
      <c r="K190" s="21"/>
      <c r="L190" s="21"/>
    </row>
    <row r="191" spans="1:12" ht="14.45">
      <c r="A191" s="21"/>
      <c r="B191" s="31"/>
      <c r="C191" s="21"/>
      <c r="D191" s="21"/>
      <c r="E191" s="21"/>
      <c r="F191" s="22"/>
      <c r="G191" s="21"/>
      <c r="H191" s="21"/>
      <c r="I191" s="22"/>
      <c r="J191" s="21"/>
      <c r="K191" s="21"/>
      <c r="L191" s="21"/>
    </row>
    <row r="192" spans="1:12" ht="14.45">
      <c r="A192" s="21"/>
      <c r="B192" s="31"/>
      <c r="C192" s="21"/>
      <c r="D192" s="21"/>
      <c r="E192" s="21"/>
      <c r="F192" s="22"/>
      <c r="G192" s="21"/>
      <c r="H192" s="21"/>
      <c r="I192" s="22"/>
      <c r="J192" s="21"/>
      <c r="K192" s="21"/>
      <c r="L192" s="21"/>
    </row>
    <row r="193" spans="1:12" ht="14.45">
      <c r="A193" s="21"/>
      <c r="B193" s="31"/>
      <c r="C193" s="21"/>
      <c r="D193" s="21"/>
      <c r="E193" s="21"/>
      <c r="F193" s="22"/>
      <c r="G193" s="21"/>
      <c r="H193" s="21"/>
      <c r="I193" s="22"/>
      <c r="J193" s="21"/>
      <c r="K193" s="21"/>
      <c r="L193" s="21"/>
    </row>
    <row r="194" spans="1:12" ht="14.45">
      <c r="A194" s="21"/>
      <c r="B194" s="31"/>
      <c r="C194" s="21"/>
      <c r="D194" s="21"/>
      <c r="E194" s="21"/>
      <c r="F194" s="22"/>
      <c r="G194" s="21"/>
      <c r="H194" s="21"/>
      <c r="I194" s="22"/>
      <c r="J194" s="21"/>
      <c r="K194" s="21"/>
      <c r="L194" s="21"/>
    </row>
    <row r="195" spans="1:12" ht="14.45">
      <c r="A195" s="21"/>
      <c r="B195" s="31"/>
      <c r="C195" s="21"/>
      <c r="D195" s="21"/>
      <c r="E195" s="21"/>
      <c r="F195" s="22"/>
      <c r="G195" s="21"/>
      <c r="H195" s="21"/>
      <c r="I195" s="22"/>
      <c r="J195" s="21"/>
      <c r="K195" s="21"/>
      <c r="L195" s="21"/>
    </row>
    <row r="196" spans="1:12" ht="14.45">
      <c r="A196" s="21"/>
      <c r="B196" s="31"/>
      <c r="C196" s="21"/>
      <c r="D196" s="21"/>
      <c r="E196" s="21"/>
      <c r="F196" s="22"/>
      <c r="G196" s="21"/>
      <c r="H196" s="21"/>
      <c r="I196" s="22"/>
      <c r="J196" s="21"/>
      <c r="K196" s="21"/>
      <c r="L196" s="21"/>
    </row>
    <row r="197" spans="1:12" ht="14.45">
      <c r="A197" s="21"/>
      <c r="B197" s="31"/>
      <c r="C197" s="21"/>
      <c r="D197" s="21"/>
      <c r="E197" s="21"/>
      <c r="F197" s="22"/>
      <c r="G197" s="21"/>
      <c r="H197" s="21"/>
      <c r="I197" s="22"/>
      <c r="J197" s="21"/>
      <c r="K197" s="21"/>
      <c r="L197" s="21"/>
    </row>
    <row r="198" spans="1:12" ht="14.45">
      <c r="A198" s="21"/>
      <c r="B198" s="31"/>
      <c r="C198" s="21"/>
      <c r="D198" s="21"/>
      <c r="E198" s="21"/>
      <c r="F198" s="22"/>
      <c r="G198" s="21"/>
      <c r="H198" s="21"/>
      <c r="I198" s="22"/>
      <c r="J198" s="21"/>
      <c r="K198" s="21"/>
      <c r="L198" s="21"/>
    </row>
    <row r="199" spans="1:12" ht="14.45">
      <c r="A199" s="21"/>
      <c r="B199" s="31"/>
      <c r="C199" s="21"/>
      <c r="D199" s="21"/>
      <c r="E199" s="21"/>
      <c r="F199" s="22"/>
      <c r="G199" s="21"/>
      <c r="H199" s="21"/>
      <c r="I199" s="22"/>
      <c r="J199" s="21"/>
      <c r="K199" s="21"/>
      <c r="L199" s="21"/>
    </row>
    <row r="200" spans="1:12" ht="14.45">
      <c r="A200" s="21"/>
      <c r="B200" s="31"/>
      <c r="C200" s="21"/>
      <c r="D200" s="21"/>
      <c r="E200" s="21"/>
      <c r="F200" s="22"/>
      <c r="G200" s="21"/>
      <c r="H200" s="21"/>
      <c r="I200" s="22"/>
      <c r="J200" s="21"/>
      <c r="K200" s="21"/>
      <c r="L200" s="21"/>
    </row>
    <row r="201" spans="1:12" ht="14.45">
      <c r="A201" s="21"/>
      <c r="B201" s="31"/>
      <c r="C201" s="21"/>
      <c r="D201" s="21"/>
      <c r="E201" s="21"/>
      <c r="F201" s="22"/>
      <c r="G201" s="21"/>
      <c r="H201" s="21"/>
      <c r="I201" s="22"/>
      <c r="J201" s="21"/>
      <c r="K201" s="21"/>
      <c r="L201" s="21"/>
    </row>
    <row r="202" spans="1:12" ht="14.45">
      <c r="A202" s="21"/>
      <c r="B202" s="31"/>
      <c r="C202" s="21"/>
      <c r="D202" s="21"/>
      <c r="E202" s="21"/>
      <c r="F202" s="22"/>
      <c r="G202" s="21"/>
      <c r="H202" s="21"/>
      <c r="I202" s="22"/>
      <c r="J202" s="21"/>
      <c r="K202" s="21"/>
      <c r="L202" s="21"/>
    </row>
    <row r="203" spans="1:12" ht="14.45">
      <c r="A203" s="21"/>
      <c r="B203" s="31"/>
      <c r="C203" s="21"/>
      <c r="D203" s="21"/>
      <c r="E203" s="21"/>
      <c r="F203" s="22"/>
      <c r="G203" s="21"/>
      <c r="H203" s="21"/>
      <c r="I203" s="22"/>
      <c r="J203" s="21"/>
      <c r="K203" s="21"/>
      <c r="L203" s="21"/>
    </row>
    <row r="204" spans="1:12" ht="14.45">
      <c r="A204" s="21"/>
      <c r="B204" s="31"/>
      <c r="C204" s="21"/>
      <c r="D204" s="21"/>
      <c r="E204" s="21"/>
      <c r="F204" s="22"/>
      <c r="G204" s="21"/>
      <c r="H204" s="21"/>
      <c r="I204" s="22"/>
      <c r="J204" s="21"/>
      <c r="K204" s="21"/>
      <c r="L204" s="21"/>
    </row>
    <row r="205" spans="1:12" ht="14.45">
      <c r="A205" s="21"/>
      <c r="B205" s="31"/>
      <c r="C205" s="21"/>
      <c r="D205" s="21"/>
      <c r="E205" s="21"/>
      <c r="F205" s="22"/>
      <c r="G205" s="21"/>
      <c r="H205" s="21"/>
      <c r="I205" s="22"/>
      <c r="J205" s="21"/>
      <c r="K205" s="21"/>
      <c r="L205" s="21"/>
    </row>
    <row r="206" spans="1:12" ht="14.45">
      <c r="A206" s="21"/>
      <c r="B206" s="31"/>
      <c r="C206" s="21"/>
      <c r="D206" s="21"/>
      <c r="E206" s="21"/>
      <c r="F206" s="22"/>
      <c r="G206" s="21"/>
      <c r="H206" s="21"/>
      <c r="I206" s="22"/>
      <c r="J206" s="21"/>
      <c r="K206" s="21"/>
      <c r="L206" s="21"/>
    </row>
    <row r="207" spans="1:12" ht="14.45">
      <c r="A207" s="21"/>
      <c r="B207" s="31"/>
      <c r="C207" s="21"/>
      <c r="D207" s="21"/>
      <c r="E207" s="21"/>
      <c r="F207" s="22"/>
      <c r="G207" s="21"/>
      <c r="H207" s="21"/>
      <c r="I207" s="22"/>
      <c r="J207" s="21"/>
      <c r="K207" s="21"/>
      <c r="L207" s="21"/>
    </row>
    <row r="208" spans="1:12" ht="14.45">
      <c r="A208" s="21"/>
      <c r="B208" s="31"/>
      <c r="C208" s="21"/>
      <c r="D208" s="21"/>
      <c r="E208" s="21"/>
      <c r="F208" s="22"/>
      <c r="G208" s="21"/>
      <c r="H208" s="21"/>
      <c r="I208" s="22"/>
      <c r="J208" s="21"/>
      <c r="K208" s="21"/>
      <c r="L208" s="21"/>
    </row>
    <row r="209" spans="1:12" ht="14.45">
      <c r="A209" s="21"/>
      <c r="B209" s="31"/>
      <c r="C209" s="21"/>
      <c r="D209" s="21"/>
      <c r="E209" s="21"/>
      <c r="F209" s="22"/>
      <c r="G209" s="21"/>
      <c r="H209" s="21"/>
      <c r="I209" s="22"/>
      <c r="J209" s="21"/>
      <c r="K209" s="21"/>
      <c r="L209" s="21"/>
    </row>
    <row r="210" spans="1:12" ht="14.45">
      <c r="A210" s="21"/>
      <c r="B210" s="31"/>
      <c r="C210" s="21"/>
      <c r="D210" s="21"/>
      <c r="E210" s="21"/>
      <c r="F210" s="22"/>
      <c r="G210" s="21"/>
      <c r="H210" s="21"/>
      <c r="I210" s="22"/>
      <c r="J210" s="21"/>
      <c r="K210" s="21"/>
      <c r="L210" s="21"/>
    </row>
    <row r="211" spans="1:12" ht="14.45">
      <c r="A211" s="21"/>
      <c r="B211" s="31"/>
      <c r="C211" s="21"/>
      <c r="D211" s="21"/>
      <c r="E211" s="21"/>
      <c r="F211" s="22"/>
      <c r="G211" s="21"/>
      <c r="H211" s="21"/>
      <c r="I211" s="22"/>
      <c r="J211" s="21"/>
      <c r="K211" s="21"/>
      <c r="L211" s="21"/>
    </row>
    <row r="212" spans="1:12" ht="14.45">
      <c r="A212" s="21"/>
      <c r="B212" s="31"/>
      <c r="C212" s="21"/>
      <c r="D212" s="21"/>
      <c r="E212" s="21"/>
      <c r="F212" s="22"/>
      <c r="G212" s="21"/>
      <c r="H212" s="21"/>
      <c r="I212" s="22"/>
      <c r="J212" s="21"/>
      <c r="K212" s="21"/>
      <c r="L212" s="21"/>
    </row>
    <row r="213" spans="1:12" ht="14.45">
      <c r="A213" s="21"/>
      <c r="B213" s="31"/>
      <c r="C213" s="21"/>
      <c r="D213" s="21"/>
      <c r="E213" s="21"/>
      <c r="F213" s="22"/>
      <c r="G213" s="21"/>
      <c r="H213" s="21"/>
      <c r="I213" s="22"/>
      <c r="J213" s="21"/>
      <c r="K213" s="21"/>
      <c r="L213" s="21"/>
    </row>
    <row r="214" spans="1:12" ht="14.45">
      <c r="A214" s="21"/>
      <c r="B214" s="31"/>
      <c r="C214" s="21"/>
      <c r="D214" s="21"/>
      <c r="E214" s="21"/>
      <c r="F214" s="22"/>
      <c r="G214" s="21"/>
      <c r="H214" s="21"/>
      <c r="I214" s="22"/>
      <c r="J214" s="21"/>
      <c r="K214" s="21"/>
      <c r="L214" s="21"/>
    </row>
    <row r="215" spans="1:12" ht="14.45">
      <c r="A215" s="21"/>
      <c r="B215" s="31"/>
      <c r="C215" s="21"/>
      <c r="D215" s="21"/>
      <c r="E215" s="21"/>
      <c r="F215" s="22"/>
      <c r="G215" s="21"/>
      <c r="H215" s="21"/>
      <c r="I215" s="22"/>
      <c r="J215" s="21"/>
      <c r="K215" s="21"/>
      <c r="L215" s="21"/>
    </row>
    <row r="216" spans="1:12" ht="14.45">
      <c r="A216" s="21"/>
      <c r="B216" s="31"/>
      <c r="C216" s="21"/>
      <c r="D216" s="21"/>
      <c r="E216" s="21"/>
      <c r="F216" s="22"/>
      <c r="G216" s="21"/>
      <c r="H216" s="21"/>
      <c r="I216" s="22"/>
      <c r="J216" s="21"/>
      <c r="K216" s="21"/>
      <c r="L216" s="21"/>
    </row>
    <row r="217" spans="1:12" ht="14.45">
      <c r="A217" s="21"/>
      <c r="B217" s="31"/>
      <c r="C217" s="21"/>
      <c r="D217" s="21"/>
      <c r="E217" s="21"/>
      <c r="F217" s="22"/>
      <c r="G217" s="21"/>
      <c r="H217" s="21"/>
      <c r="I217" s="22"/>
      <c r="J217" s="21"/>
      <c r="K217" s="21"/>
      <c r="L217" s="21"/>
    </row>
    <row r="218" spans="1:12" ht="14.45">
      <c r="A218" s="21"/>
      <c r="B218" s="31"/>
      <c r="C218" s="21"/>
      <c r="D218" s="21"/>
      <c r="E218" s="21"/>
      <c r="F218" s="22"/>
      <c r="G218" s="21"/>
      <c r="H218" s="21"/>
      <c r="I218" s="22"/>
      <c r="J218" s="21"/>
      <c r="K218" s="21"/>
      <c r="L218" s="21"/>
    </row>
    <row r="219" spans="1:12" ht="14.45">
      <c r="A219" s="21"/>
      <c r="B219" s="31"/>
      <c r="C219" s="21"/>
      <c r="D219" s="21"/>
      <c r="E219" s="21"/>
      <c r="F219" s="22"/>
      <c r="G219" s="21"/>
      <c r="H219" s="21"/>
      <c r="I219" s="22"/>
      <c r="J219" s="21"/>
      <c r="K219" s="21"/>
      <c r="L219" s="21"/>
    </row>
    <row r="220" spans="1:12" ht="14.45">
      <c r="A220" s="21"/>
      <c r="B220" s="31"/>
      <c r="C220" s="21"/>
      <c r="D220" s="21"/>
      <c r="E220" s="21"/>
      <c r="F220" s="22"/>
      <c r="G220" s="21"/>
      <c r="H220" s="21"/>
      <c r="I220" s="22"/>
      <c r="J220" s="21"/>
      <c r="K220" s="21"/>
      <c r="L220" s="21"/>
    </row>
    <row r="221" spans="1:12" ht="14.45">
      <c r="A221" s="21"/>
      <c r="B221" s="31"/>
      <c r="C221" s="21"/>
      <c r="D221" s="21"/>
      <c r="E221" s="21"/>
      <c r="F221" s="22"/>
      <c r="G221" s="21"/>
      <c r="H221" s="21"/>
      <c r="I221" s="22"/>
      <c r="J221" s="21"/>
      <c r="K221" s="21"/>
      <c r="L221" s="21"/>
    </row>
    <row r="222" spans="1:12" ht="14.45">
      <c r="A222" s="21"/>
      <c r="B222" s="31"/>
      <c r="C222" s="21"/>
      <c r="D222" s="21"/>
      <c r="E222" s="21"/>
      <c r="F222" s="22"/>
      <c r="G222" s="21"/>
      <c r="H222" s="21"/>
      <c r="I222" s="22"/>
      <c r="J222" s="21"/>
      <c r="K222" s="21"/>
      <c r="L222" s="21"/>
    </row>
    <row r="223" spans="1:12" ht="14.45">
      <c r="A223" s="21"/>
      <c r="B223" s="31"/>
      <c r="C223" s="21"/>
      <c r="D223" s="21"/>
      <c r="E223" s="21"/>
      <c r="F223" s="22"/>
      <c r="G223" s="21"/>
      <c r="H223" s="21"/>
      <c r="I223" s="22"/>
      <c r="J223" s="21"/>
      <c r="K223" s="21"/>
      <c r="L223" s="21"/>
    </row>
    <row r="224" spans="1:12" ht="14.45">
      <c r="A224" s="21"/>
      <c r="B224" s="31"/>
      <c r="C224" s="21"/>
      <c r="D224" s="21"/>
      <c r="E224" s="21"/>
      <c r="F224" s="22"/>
      <c r="G224" s="21"/>
      <c r="H224" s="21"/>
      <c r="I224" s="22"/>
      <c r="J224" s="21"/>
      <c r="K224" s="21"/>
      <c r="L224" s="21"/>
    </row>
    <row r="225" spans="1:12" ht="14.45">
      <c r="A225" s="21"/>
      <c r="B225" s="31"/>
      <c r="C225" s="21"/>
      <c r="D225" s="21"/>
      <c r="E225" s="21"/>
      <c r="F225" s="22"/>
      <c r="G225" s="21"/>
      <c r="H225" s="21"/>
      <c r="I225" s="22"/>
      <c r="J225" s="21"/>
      <c r="K225" s="21"/>
      <c r="L225" s="21"/>
    </row>
    <row r="226" spans="1:12" ht="14.45">
      <c r="A226" s="21"/>
      <c r="B226" s="31"/>
      <c r="C226" s="21"/>
      <c r="D226" s="21"/>
      <c r="E226" s="21"/>
      <c r="F226" s="22"/>
      <c r="G226" s="21"/>
      <c r="H226" s="21"/>
      <c r="I226" s="22"/>
      <c r="J226" s="21"/>
      <c r="K226" s="21"/>
      <c r="L226" s="21"/>
    </row>
    <row r="227" spans="1:12" ht="14.45">
      <c r="A227" s="21"/>
      <c r="B227" s="31"/>
      <c r="C227" s="21"/>
      <c r="D227" s="21"/>
      <c r="E227" s="21"/>
      <c r="F227" s="22"/>
      <c r="G227" s="21"/>
      <c r="H227" s="21"/>
      <c r="I227" s="22"/>
      <c r="J227" s="21"/>
      <c r="K227" s="21"/>
      <c r="L227" s="21"/>
    </row>
    <row r="228" spans="1:12" ht="14.45">
      <c r="A228" s="21"/>
      <c r="B228" s="31"/>
      <c r="C228" s="21"/>
      <c r="D228" s="21"/>
      <c r="E228" s="21"/>
      <c r="F228" s="22"/>
      <c r="G228" s="21"/>
      <c r="H228" s="21"/>
      <c r="I228" s="22"/>
      <c r="J228" s="21"/>
      <c r="K228" s="21"/>
      <c r="L228" s="21"/>
    </row>
    <row r="229" spans="1:12" ht="14.45">
      <c r="A229" s="21"/>
      <c r="B229" s="31"/>
      <c r="C229" s="21"/>
      <c r="D229" s="21"/>
      <c r="E229" s="21"/>
      <c r="F229" s="22"/>
      <c r="G229" s="21"/>
      <c r="H229" s="21"/>
      <c r="I229" s="22"/>
      <c r="J229" s="21"/>
      <c r="K229" s="21"/>
      <c r="L229" s="21"/>
    </row>
    <row r="230" spans="1:12" ht="14.45">
      <c r="A230" s="21"/>
      <c r="B230" s="31"/>
      <c r="C230" s="21"/>
      <c r="D230" s="21"/>
      <c r="E230" s="21"/>
      <c r="F230" s="22"/>
      <c r="G230" s="21"/>
      <c r="H230" s="21"/>
      <c r="I230" s="22"/>
      <c r="J230" s="21"/>
      <c r="K230" s="21"/>
      <c r="L230" s="21"/>
    </row>
    <row r="231" spans="1:12" ht="14.45">
      <c r="A231" s="21"/>
      <c r="B231" s="31"/>
      <c r="C231" s="21"/>
      <c r="D231" s="21"/>
      <c r="E231" s="21"/>
      <c r="F231" s="22"/>
      <c r="G231" s="21"/>
      <c r="H231" s="21"/>
      <c r="I231" s="22"/>
      <c r="J231" s="21"/>
      <c r="K231" s="21"/>
      <c r="L231" s="21"/>
    </row>
    <row r="232" spans="1:12" ht="14.45">
      <c r="A232" s="21"/>
      <c r="B232" s="31"/>
      <c r="C232" s="21"/>
      <c r="D232" s="21"/>
      <c r="E232" s="21"/>
      <c r="F232" s="22"/>
      <c r="G232" s="21"/>
      <c r="H232" s="21"/>
      <c r="I232" s="22"/>
      <c r="J232" s="21"/>
      <c r="K232" s="21"/>
      <c r="L232" s="21"/>
    </row>
    <row r="233" spans="1:12" ht="14.45">
      <c r="A233" s="21"/>
      <c r="B233" s="31"/>
      <c r="C233" s="21"/>
      <c r="D233" s="21"/>
      <c r="E233" s="21"/>
      <c r="F233" s="22"/>
      <c r="G233" s="21"/>
      <c r="H233" s="21"/>
      <c r="I233" s="22"/>
      <c r="J233" s="21"/>
      <c r="K233" s="21"/>
      <c r="L233" s="21"/>
    </row>
    <row r="234" spans="1:12" ht="14.45">
      <c r="A234" s="21"/>
      <c r="B234" s="31"/>
      <c r="C234" s="21"/>
      <c r="D234" s="21"/>
      <c r="E234" s="21"/>
      <c r="F234" s="22"/>
      <c r="G234" s="21"/>
      <c r="H234" s="21"/>
      <c r="I234" s="22"/>
      <c r="J234" s="21"/>
      <c r="K234" s="21"/>
      <c r="L234" s="21"/>
    </row>
    <row r="235" spans="1:12" ht="14.45">
      <c r="A235" s="21"/>
      <c r="B235" s="31"/>
      <c r="C235" s="21"/>
      <c r="D235" s="21"/>
      <c r="E235" s="21"/>
      <c r="F235" s="22"/>
      <c r="G235" s="21"/>
      <c r="H235" s="21"/>
      <c r="I235" s="22"/>
      <c r="J235" s="21"/>
      <c r="K235" s="21"/>
      <c r="L235" s="21"/>
    </row>
    <row r="236" spans="1:12" ht="14.45">
      <c r="A236" s="21"/>
      <c r="B236" s="31"/>
      <c r="C236" s="21"/>
      <c r="D236" s="21"/>
      <c r="E236" s="21"/>
      <c r="F236" s="22"/>
      <c r="G236" s="21"/>
      <c r="H236" s="21"/>
      <c r="I236" s="22"/>
      <c r="J236" s="21"/>
      <c r="K236" s="21"/>
      <c r="L236" s="21"/>
    </row>
    <row r="237" spans="1:12" ht="14.45">
      <c r="A237" s="21"/>
      <c r="B237" s="31"/>
      <c r="C237" s="21"/>
      <c r="D237" s="21"/>
      <c r="E237" s="21"/>
      <c r="F237" s="22"/>
      <c r="G237" s="21"/>
      <c r="H237" s="21"/>
      <c r="I237" s="22"/>
      <c r="J237" s="21"/>
      <c r="K237" s="21"/>
      <c r="L237" s="21"/>
    </row>
    <row r="238" spans="1:12" ht="14.45">
      <c r="A238" s="21"/>
      <c r="B238" s="31"/>
      <c r="C238" s="21"/>
      <c r="D238" s="21"/>
      <c r="E238" s="21"/>
      <c r="F238" s="22"/>
      <c r="G238" s="21"/>
      <c r="H238" s="21"/>
      <c r="I238" s="22"/>
      <c r="J238" s="21"/>
      <c r="K238" s="21"/>
      <c r="L238" s="21"/>
    </row>
    <row r="239" spans="1:12" ht="14.45">
      <c r="A239" s="21"/>
      <c r="B239" s="31"/>
      <c r="C239" s="21"/>
      <c r="D239" s="21"/>
      <c r="E239" s="21"/>
      <c r="F239" s="22"/>
      <c r="G239" s="21"/>
      <c r="H239" s="21"/>
      <c r="I239" s="22"/>
      <c r="J239" s="21"/>
      <c r="K239" s="21"/>
      <c r="L239" s="21"/>
    </row>
    <row r="240" spans="1:12" ht="14.45">
      <c r="A240" s="21"/>
      <c r="B240" s="31"/>
      <c r="C240" s="21"/>
      <c r="D240" s="21"/>
      <c r="E240" s="21"/>
      <c r="F240" s="22"/>
      <c r="G240" s="21"/>
      <c r="H240" s="21"/>
      <c r="I240" s="22"/>
      <c r="J240" s="21"/>
      <c r="K240" s="21"/>
      <c r="L240" s="21"/>
    </row>
    <row r="241" spans="1:12" ht="14.45">
      <c r="A241" s="21"/>
      <c r="B241" s="31"/>
      <c r="C241" s="21"/>
      <c r="D241" s="21"/>
      <c r="E241" s="21"/>
      <c r="F241" s="22"/>
      <c r="G241" s="21"/>
      <c r="H241" s="21"/>
      <c r="I241" s="22"/>
      <c r="J241" s="21"/>
      <c r="K241" s="21"/>
      <c r="L241" s="21"/>
    </row>
    <row r="242" spans="1:12" ht="14.45">
      <c r="A242" s="21"/>
      <c r="B242" s="31"/>
      <c r="C242" s="21"/>
      <c r="D242" s="21"/>
      <c r="E242" s="21"/>
      <c r="F242" s="22"/>
      <c r="G242" s="21"/>
      <c r="H242" s="21"/>
      <c r="I242" s="22"/>
      <c r="J242" s="21"/>
      <c r="K242" s="21"/>
      <c r="L242" s="21"/>
    </row>
    <row r="243" spans="1:12" ht="14.45">
      <c r="A243" s="21"/>
      <c r="B243" s="31"/>
      <c r="C243" s="21"/>
      <c r="D243" s="21"/>
      <c r="E243" s="21"/>
      <c r="F243" s="22"/>
      <c r="G243" s="21"/>
      <c r="H243" s="21"/>
      <c r="I243" s="22"/>
      <c r="J243" s="21"/>
      <c r="K243" s="21"/>
      <c r="L243" s="21"/>
    </row>
    <row r="244" spans="1:12" ht="14.45">
      <c r="A244" s="21"/>
      <c r="B244" s="31"/>
      <c r="C244" s="21"/>
      <c r="D244" s="21"/>
      <c r="E244" s="21"/>
      <c r="F244" s="22"/>
      <c r="G244" s="21"/>
      <c r="H244" s="21"/>
      <c r="I244" s="22"/>
      <c r="J244" s="21"/>
      <c r="K244" s="21"/>
      <c r="L244" s="21"/>
    </row>
    <row r="245" spans="1:12" ht="14.45">
      <c r="A245" s="21"/>
      <c r="B245" s="31"/>
      <c r="C245" s="21"/>
      <c r="D245" s="21"/>
      <c r="E245" s="21"/>
      <c r="F245" s="22"/>
      <c r="G245" s="21"/>
      <c r="H245" s="21"/>
      <c r="I245" s="22"/>
      <c r="J245" s="21"/>
      <c r="K245" s="21"/>
      <c r="L245" s="21"/>
    </row>
    <row r="246" spans="1:12" ht="14.45">
      <c r="A246" s="21"/>
      <c r="B246" s="31"/>
      <c r="C246" s="21"/>
      <c r="D246" s="21"/>
      <c r="E246" s="21"/>
      <c r="F246" s="22"/>
      <c r="G246" s="21"/>
      <c r="H246" s="21"/>
      <c r="I246" s="22"/>
      <c r="J246" s="21"/>
      <c r="K246" s="21"/>
      <c r="L246" s="21"/>
    </row>
    <row r="247" spans="1:12" ht="14.45">
      <c r="A247" s="21"/>
      <c r="B247" s="31"/>
      <c r="C247" s="21"/>
      <c r="D247" s="21"/>
      <c r="E247" s="21"/>
      <c r="F247" s="22"/>
      <c r="G247" s="21"/>
      <c r="H247" s="21"/>
      <c r="I247" s="22"/>
      <c r="J247" s="21"/>
      <c r="K247" s="21"/>
      <c r="L247" s="21"/>
    </row>
    <row r="248" spans="1:12" ht="14.45">
      <c r="A248" s="21"/>
      <c r="B248" s="31"/>
      <c r="C248" s="21"/>
      <c r="D248" s="21"/>
      <c r="E248" s="21"/>
      <c r="F248" s="22"/>
      <c r="G248" s="21"/>
      <c r="H248" s="21"/>
      <c r="I248" s="22"/>
      <c r="J248" s="21"/>
      <c r="K248" s="21"/>
      <c r="L248" s="21"/>
    </row>
    <row r="249" spans="1:12" ht="14.45">
      <c r="A249" s="21"/>
      <c r="B249" s="31"/>
      <c r="C249" s="21"/>
      <c r="D249" s="21"/>
      <c r="E249" s="21"/>
      <c r="F249" s="22"/>
      <c r="G249" s="21"/>
      <c r="H249" s="21"/>
      <c r="I249" s="22"/>
      <c r="J249" s="21"/>
      <c r="K249" s="21"/>
      <c r="L249" s="21"/>
    </row>
    <row r="250" spans="1:12" ht="14.45">
      <c r="A250" s="21"/>
      <c r="B250" s="31"/>
      <c r="C250" s="21"/>
      <c r="D250" s="21"/>
      <c r="E250" s="21"/>
      <c r="F250" s="22"/>
      <c r="G250" s="21"/>
      <c r="H250" s="21"/>
      <c r="I250" s="22"/>
      <c r="J250" s="21"/>
      <c r="K250" s="21"/>
      <c r="L250" s="21"/>
    </row>
    <row r="251" spans="1:12" ht="14.45">
      <c r="A251" s="21"/>
      <c r="B251" s="31"/>
      <c r="C251" s="21"/>
      <c r="D251" s="21"/>
      <c r="E251" s="21"/>
      <c r="F251" s="22"/>
      <c r="G251" s="21"/>
      <c r="H251" s="21"/>
      <c r="I251" s="22"/>
      <c r="J251" s="21"/>
      <c r="K251" s="21"/>
      <c r="L251" s="21"/>
    </row>
    <row r="252" spans="1:12" ht="14.45">
      <c r="A252" s="21"/>
      <c r="B252" s="31"/>
      <c r="C252" s="21"/>
      <c r="D252" s="21"/>
      <c r="E252" s="21"/>
      <c r="F252" s="22"/>
      <c r="G252" s="21"/>
      <c r="H252" s="21"/>
      <c r="I252" s="22"/>
      <c r="J252" s="21"/>
      <c r="K252" s="21"/>
      <c r="L252" s="21"/>
    </row>
    <row r="253" spans="1:12" ht="14.45">
      <c r="A253" s="21"/>
      <c r="B253" s="31"/>
      <c r="C253" s="21"/>
      <c r="D253" s="21"/>
      <c r="E253" s="21"/>
      <c r="F253" s="22"/>
      <c r="G253" s="21"/>
      <c r="H253" s="21"/>
      <c r="I253" s="22"/>
      <c r="J253" s="21"/>
      <c r="K253" s="21"/>
      <c r="L253" s="21"/>
    </row>
    <row r="254" spans="1:12" ht="14.45">
      <c r="A254" s="21"/>
      <c r="B254" s="31"/>
      <c r="C254" s="21"/>
      <c r="D254" s="21"/>
      <c r="E254" s="21"/>
      <c r="F254" s="22"/>
      <c r="G254" s="21"/>
      <c r="H254" s="21"/>
      <c r="I254" s="22"/>
      <c r="J254" s="21"/>
      <c r="K254" s="21"/>
      <c r="L254" s="21"/>
    </row>
    <row r="255" spans="1:12" ht="14.45">
      <c r="A255" s="21"/>
      <c r="B255" s="31"/>
      <c r="C255" s="21"/>
      <c r="D255" s="21"/>
      <c r="E255" s="21"/>
      <c r="F255" s="22"/>
      <c r="G255" s="21"/>
      <c r="H255" s="21"/>
      <c r="I255" s="22"/>
      <c r="J255" s="21"/>
      <c r="K255" s="21"/>
      <c r="L255" s="21"/>
    </row>
    <row r="256" spans="1:12" ht="14.45">
      <c r="A256" s="21"/>
      <c r="B256" s="31"/>
      <c r="C256" s="21"/>
      <c r="D256" s="21"/>
      <c r="E256" s="21"/>
      <c r="F256" s="22"/>
      <c r="G256" s="21"/>
      <c r="H256" s="21"/>
      <c r="I256" s="22"/>
      <c r="J256" s="21"/>
      <c r="K256" s="21"/>
      <c r="L256" s="21"/>
    </row>
    <row r="257" spans="1:12" ht="14.45">
      <c r="A257" s="21"/>
      <c r="B257" s="31"/>
      <c r="C257" s="21"/>
      <c r="D257" s="21"/>
      <c r="E257" s="21"/>
      <c r="F257" s="22"/>
      <c r="G257" s="21"/>
      <c r="H257" s="21"/>
      <c r="I257" s="22"/>
      <c r="J257" s="21"/>
      <c r="K257" s="21"/>
      <c r="L257" s="21"/>
    </row>
    <row r="258" spans="1:12" ht="14.45">
      <c r="A258" s="21"/>
      <c r="B258" s="31"/>
      <c r="C258" s="21"/>
      <c r="D258" s="21"/>
      <c r="E258" s="21"/>
      <c r="F258" s="22"/>
      <c r="G258" s="21"/>
      <c r="H258" s="21"/>
      <c r="I258" s="22"/>
      <c r="J258" s="21"/>
      <c r="K258" s="21"/>
      <c r="L258" s="21"/>
    </row>
    <row r="259" spans="1:12" ht="14.45">
      <c r="A259" s="21"/>
      <c r="B259" s="31"/>
      <c r="C259" s="21"/>
      <c r="D259" s="21"/>
      <c r="E259" s="21"/>
      <c r="F259" s="22"/>
      <c r="G259" s="21"/>
      <c r="H259" s="21"/>
      <c r="I259" s="22"/>
      <c r="J259" s="21"/>
      <c r="K259" s="21"/>
      <c r="L259" s="21"/>
    </row>
    <row r="260" spans="1:12" ht="14.45">
      <c r="A260" s="21"/>
      <c r="B260" s="31"/>
      <c r="C260" s="21"/>
      <c r="D260" s="21"/>
      <c r="E260" s="21"/>
      <c r="F260" s="22"/>
      <c r="G260" s="21"/>
      <c r="H260" s="21"/>
      <c r="I260" s="22"/>
      <c r="J260" s="21"/>
      <c r="K260" s="21"/>
      <c r="L260" s="21"/>
    </row>
    <row r="261" spans="1:12" ht="14.45">
      <c r="A261" s="21"/>
      <c r="B261" s="31"/>
      <c r="C261" s="21"/>
      <c r="D261" s="21"/>
      <c r="E261" s="21"/>
      <c r="F261" s="22"/>
      <c r="G261" s="21"/>
      <c r="H261" s="21"/>
      <c r="I261" s="22"/>
      <c r="J261" s="21"/>
      <c r="K261" s="21"/>
      <c r="L261" s="21"/>
    </row>
    <row r="262" spans="1:12" ht="14.45">
      <c r="A262" s="21"/>
      <c r="B262" s="31"/>
      <c r="C262" s="21"/>
      <c r="D262" s="21"/>
      <c r="E262" s="21"/>
      <c r="F262" s="22"/>
      <c r="G262" s="21"/>
      <c r="H262" s="21"/>
      <c r="I262" s="22"/>
      <c r="J262" s="21"/>
      <c r="K262" s="21"/>
      <c r="L262" s="21"/>
    </row>
    <row r="263" spans="1:12" ht="14.45">
      <c r="A263" s="21"/>
      <c r="B263" s="31"/>
      <c r="C263" s="21"/>
      <c r="D263" s="21"/>
      <c r="E263" s="21"/>
      <c r="F263" s="22"/>
      <c r="G263" s="21"/>
      <c r="H263" s="21"/>
      <c r="I263" s="22"/>
      <c r="J263" s="21"/>
      <c r="K263" s="21"/>
      <c r="L263" s="21"/>
    </row>
    <row r="264" spans="1:12" ht="14.45">
      <c r="A264" s="21"/>
      <c r="B264" s="31"/>
      <c r="C264" s="21"/>
      <c r="D264" s="21"/>
      <c r="E264" s="21"/>
      <c r="F264" s="22"/>
      <c r="G264" s="21"/>
      <c r="H264" s="21"/>
      <c r="I264" s="22"/>
      <c r="J264" s="21"/>
      <c r="K264" s="21"/>
      <c r="L264" s="21"/>
    </row>
    <row r="265" spans="1:12" ht="14.45">
      <c r="A265" s="21"/>
      <c r="B265" s="31"/>
      <c r="C265" s="21"/>
      <c r="D265" s="21"/>
      <c r="E265" s="21"/>
      <c r="F265" s="22"/>
      <c r="G265" s="21"/>
      <c r="H265" s="21"/>
      <c r="I265" s="22"/>
      <c r="J265" s="21"/>
      <c r="K265" s="21"/>
      <c r="L265" s="21"/>
    </row>
    <row r="266" spans="1:12" ht="14.45">
      <c r="A266" s="21"/>
      <c r="B266" s="31"/>
      <c r="C266" s="21"/>
      <c r="D266" s="21"/>
      <c r="E266" s="21"/>
      <c r="F266" s="22"/>
      <c r="G266" s="21"/>
      <c r="H266" s="21"/>
      <c r="I266" s="22"/>
      <c r="J266" s="21"/>
      <c r="K266" s="21"/>
      <c r="L266" s="21"/>
    </row>
    <row r="267" spans="1:12" ht="14.45">
      <c r="A267" s="21"/>
      <c r="B267" s="31"/>
      <c r="C267" s="21"/>
      <c r="D267" s="21"/>
      <c r="E267" s="21"/>
      <c r="F267" s="22"/>
      <c r="G267" s="21"/>
      <c r="H267" s="21"/>
      <c r="I267" s="22"/>
      <c r="J267" s="21"/>
      <c r="K267" s="21"/>
      <c r="L267" s="21"/>
    </row>
    <row r="268" spans="1:12" ht="14.45">
      <c r="A268" s="21"/>
      <c r="B268" s="31"/>
      <c r="C268" s="21"/>
      <c r="D268" s="21"/>
      <c r="E268" s="21"/>
      <c r="F268" s="22"/>
      <c r="G268" s="21"/>
      <c r="H268" s="21"/>
      <c r="I268" s="22"/>
      <c r="J268" s="21"/>
      <c r="K268" s="21"/>
      <c r="L268" s="21"/>
    </row>
    <row r="269" spans="1:12" ht="14.45">
      <c r="A269" s="21"/>
      <c r="B269" s="31"/>
      <c r="C269" s="21"/>
      <c r="D269" s="21"/>
      <c r="E269" s="21"/>
      <c r="F269" s="22"/>
      <c r="G269" s="21"/>
      <c r="H269" s="21"/>
      <c r="I269" s="22"/>
      <c r="J269" s="21"/>
      <c r="K269" s="21"/>
      <c r="L269" s="21"/>
    </row>
    <row r="270" spans="1:12" ht="14.45">
      <c r="A270" s="21"/>
      <c r="B270" s="31"/>
      <c r="C270" s="21"/>
      <c r="D270" s="21"/>
      <c r="E270" s="21"/>
      <c r="F270" s="22"/>
      <c r="G270" s="21"/>
      <c r="H270" s="21"/>
      <c r="I270" s="22"/>
      <c r="J270" s="21"/>
      <c r="K270" s="21"/>
      <c r="L270" s="21"/>
    </row>
    <row r="271" spans="1:12" ht="14.45">
      <c r="A271" s="21"/>
      <c r="B271" s="31"/>
      <c r="C271" s="21"/>
      <c r="D271" s="21"/>
      <c r="E271" s="21"/>
      <c r="F271" s="22"/>
      <c r="G271" s="21"/>
      <c r="H271" s="21"/>
      <c r="I271" s="22"/>
      <c r="J271" s="21"/>
      <c r="K271" s="21"/>
      <c r="L271" s="21"/>
    </row>
    <row r="272" spans="1:12" ht="14.45">
      <c r="A272" s="21"/>
      <c r="B272" s="31"/>
      <c r="C272" s="21"/>
      <c r="D272" s="21"/>
      <c r="E272" s="21"/>
      <c r="F272" s="22"/>
      <c r="G272" s="21"/>
      <c r="H272" s="21"/>
      <c r="I272" s="22"/>
      <c r="J272" s="21"/>
      <c r="K272" s="21"/>
      <c r="L272" s="21"/>
    </row>
    <row r="273" spans="1:12" ht="14.45">
      <c r="A273" s="21"/>
      <c r="B273" s="31"/>
      <c r="C273" s="21"/>
      <c r="D273" s="21"/>
      <c r="E273" s="21"/>
      <c r="F273" s="22"/>
      <c r="G273" s="21"/>
      <c r="H273" s="21"/>
      <c r="I273" s="22"/>
      <c r="J273" s="21"/>
      <c r="K273" s="21"/>
      <c r="L273" s="21"/>
    </row>
    <row r="274" spans="1:12" ht="14.45">
      <c r="A274" s="21"/>
      <c r="B274" s="31"/>
      <c r="C274" s="21"/>
      <c r="D274" s="21"/>
      <c r="E274" s="21"/>
      <c r="F274" s="22"/>
      <c r="G274" s="21"/>
      <c r="H274" s="21"/>
      <c r="I274" s="22"/>
      <c r="J274" s="21"/>
      <c r="K274" s="21"/>
      <c r="L274" s="21"/>
    </row>
    <row r="275" spans="1:12" ht="14.45">
      <c r="A275" s="21"/>
      <c r="B275" s="31"/>
      <c r="C275" s="21"/>
      <c r="D275" s="21"/>
      <c r="E275" s="21"/>
      <c r="F275" s="22"/>
      <c r="G275" s="21"/>
      <c r="H275" s="21"/>
      <c r="I275" s="22"/>
      <c r="J275" s="21"/>
      <c r="K275" s="21"/>
      <c r="L275" s="21"/>
    </row>
    <row r="276" spans="1:12" ht="14.45">
      <c r="A276" s="21"/>
      <c r="B276" s="31"/>
      <c r="C276" s="21"/>
      <c r="D276" s="21"/>
      <c r="E276" s="21"/>
      <c r="F276" s="22"/>
      <c r="G276" s="21"/>
      <c r="H276" s="21"/>
      <c r="I276" s="22"/>
      <c r="J276" s="21"/>
      <c r="K276" s="21"/>
      <c r="L276" s="21"/>
    </row>
    <row r="277" spans="1:12" ht="14.45">
      <c r="A277" s="21"/>
      <c r="B277" s="31"/>
      <c r="C277" s="21"/>
      <c r="D277" s="21"/>
      <c r="E277" s="21"/>
      <c r="F277" s="22"/>
      <c r="G277" s="21"/>
      <c r="H277" s="21"/>
      <c r="I277" s="22"/>
      <c r="J277" s="21"/>
      <c r="K277" s="21"/>
      <c r="L277" s="21"/>
    </row>
    <row r="278" spans="1:12" ht="14.45">
      <c r="A278" s="21"/>
      <c r="B278" s="31"/>
      <c r="C278" s="21"/>
      <c r="D278" s="21"/>
      <c r="E278" s="21"/>
      <c r="F278" s="22"/>
      <c r="G278" s="21"/>
      <c r="H278" s="21"/>
      <c r="I278" s="22"/>
      <c r="J278" s="21"/>
      <c r="K278" s="21"/>
      <c r="L278" s="21"/>
    </row>
    <row r="279" spans="1:12" ht="14.45">
      <c r="A279" s="21"/>
      <c r="B279" s="31"/>
      <c r="C279" s="21"/>
      <c r="D279" s="21"/>
      <c r="E279" s="21"/>
      <c r="F279" s="22"/>
      <c r="G279" s="21"/>
      <c r="H279" s="21"/>
      <c r="I279" s="22"/>
      <c r="J279" s="21"/>
      <c r="K279" s="21"/>
      <c r="L279" s="21"/>
    </row>
    <row r="280" spans="1:12" ht="14.45">
      <c r="A280" s="21"/>
      <c r="B280" s="31"/>
      <c r="C280" s="21"/>
      <c r="D280" s="21"/>
      <c r="E280" s="21"/>
      <c r="F280" s="22"/>
      <c r="G280" s="21"/>
      <c r="H280" s="21"/>
      <c r="I280" s="22"/>
      <c r="J280" s="21"/>
      <c r="K280" s="21"/>
      <c r="L280" s="21"/>
    </row>
    <row r="281" spans="1:12" ht="14.45">
      <c r="A281" s="21"/>
      <c r="B281" s="31"/>
      <c r="C281" s="21"/>
      <c r="D281" s="21"/>
      <c r="E281" s="21"/>
      <c r="F281" s="22"/>
      <c r="G281" s="21"/>
      <c r="H281" s="21"/>
      <c r="I281" s="22"/>
      <c r="J281" s="21"/>
      <c r="K281" s="21"/>
      <c r="L281" s="21"/>
    </row>
    <row r="282" spans="1:12" ht="14.45">
      <c r="A282" s="21"/>
      <c r="B282" s="31"/>
      <c r="C282" s="21"/>
      <c r="D282" s="21"/>
      <c r="E282" s="21"/>
      <c r="F282" s="22"/>
      <c r="G282" s="21"/>
      <c r="H282" s="21"/>
      <c r="I282" s="22"/>
      <c r="J282" s="21"/>
      <c r="K282" s="21"/>
      <c r="L282" s="21"/>
    </row>
    <row r="283" spans="1:12" ht="14.45">
      <c r="A283" s="21"/>
      <c r="B283" s="31"/>
      <c r="C283" s="21"/>
      <c r="D283" s="21"/>
      <c r="E283" s="21"/>
      <c r="F283" s="22"/>
      <c r="G283" s="21"/>
      <c r="H283" s="21"/>
      <c r="I283" s="22"/>
      <c r="J283" s="21"/>
      <c r="K283" s="21"/>
      <c r="L283" s="21"/>
    </row>
    <row r="284" spans="1:12" ht="14.45">
      <c r="A284" s="21"/>
      <c r="B284" s="31"/>
      <c r="C284" s="21"/>
      <c r="D284" s="21"/>
      <c r="E284" s="21"/>
      <c r="F284" s="22"/>
      <c r="G284" s="21"/>
      <c r="H284" s="21"/>
      <c r="I284" s="22"/>
      <c r="J284" s="21"/>
      <c r="K284" s="21"/>
      <c r="L284" s="21"/>
    </row>
    <row r="285" spans="1:12" ht="14.45">
      <c r="A285" s="21"/>
      <c r="B285" s="31"/>
      <c r="C285" s="21"/>
      <c r="D285" s="21"/>
      <c r="E285" s="21"/>
      <c r="F285" s="22"/>
      <c r="G285" s="21"/>
      <c r="H285" s="21"/>
      <c r="I285" s="22"/>
      <c r="J285" s="21"/>
      <c r="K285" s="21"/>
      <c r="L285" s="21"/>
    </row>
    <row r="286" spans="1:12" ht="14.45">
      <c r="A286" s="21"/>
      <c r="B286" s="31"/>
      <c r="C286" s="21"/>
      <c r="D286" s="21"/>
      <c r="E286" s="21"/>
      <c r="F286" s="22"/>
      <c r="G286" s="21"/>
      <c r="H286" s="21"/>
      <c r="I286" s="22"/>
      <c r="J286" s="21"/>
      <c r="K286" s="21"/>
      <c r="L286" s="21"/>
    </row>
    <row r="287" spans="1:12" ht="14.45">
      <c r="A287" s="21"/>
      <c r="B287" s="31"/>
      <c r="C287" s="21"/>
      <c r="D287" s="21"/>
      <c r="E287" s="21"/>
      <c r="F287" s="22"/>
      <c r="G287" s="21"/>
      <c r="H287" s="21"/>
      <c r="I287" s="22"/>
      <c r="J287" s="21"/>
      <c r="K287" s="21"/>
      <c r="L287" s="21"/>
    </row>
    <row r="288" spans="1:12" ht="14.45">
      <c r="A288" s="21"/>
      <c r="B288" s="31"/>
      <c r="C288" s="21"/>
      <c r="D288" s="21"/>
      <c r="E288" s="21"/>
      <c r="F288" s="22"/>
      <c r="G288" s="21"/>
      <c r="H288" s="21"/>
      <c r="I288" s="22"/>
      <c r="J288" s="21"/>
      <c r="K288" s="21"/>
      <c r="L288" s="21"/>
    </row>
    <row r="289" spans="1:12" ht="14.45">
      <c r="A289" s="21"/>
      <c r="B289" s="31"/>
      <c r="C289" s="21"/>
      <c r="D289" s="21"/>
      <c r="E289" s="21"/>
      <c r="F289" s="22"/>
      <c r="G289" s="21"/>
      <c r="H289" s="21"/>
      <c r="I289" s="22"/>
      <c r="J289" s="21"/>
      <c r="K289" s="21"/>
      <c r="L289" s="21"/>
    </row>
    <row r="290" spans="1:12" ht="14.45">
      <c r="A290" s="21"/>
      <c r="B290" s="31"/>
      <c r="C290" s="21"/>
      <c r="D290" s="21"/>
      <c r="E290" s="21"/>
      <c r="F290" s="22"/>
      <c r="G290" s="21"/>
      <c r="H290" s="21"/>
      <c r="I290" s="22"/>
      <c r="J290" s="21"/>
      <c r="K290" s="21"/>
      <c r="L290" s="21"/>
    </row>
    <row r="291" spans="1:12" ht="14.45">
      <c r="A291" s="21"/>
      <c r="B291" s="31"/>
      <c r="C291" s="21"/>
      <c r="D291" s="21"/>
      <c r="E291" s="21"/>
      <c r="F291" s="22"/>
      <c r="G291" s="21"/>
      <c r="H291" s="21"/>
      <c r="I291" s="22"/>
      <c r="J291" s="21"/>
      <c r="K291" s="21"/>
      <c r="L291" s="21"/>
    </row>
    <row r="292" spans="1:12" ht="14.45">
      <c r="A292" s="21"/>
      <c r="B292" s="31"/>
      <c r="C292" s="21"/>
      <c r="D292" s="21"/>
      <c r="E292" s="21"/>
      <c r="F292" s="22"/>
      <c r="G292" s="21"/>
      <c r="H292" s="21"/>
      <c r="I292" s="22"/>
      <c r="J292" s="21"/>
      <c r="K292" s="21"/>
      <c r="L292" s="21"/>
    </row>
    <row r="293" spans="1:12" ht="14.45">
      <c r="A293" s="21"/>
      <c r="B293" s="31"/>
      <c r="C293" s="21"/>
      <c r="D293" s="21"/>
      <c r="E293" s="21"/>
      <c r="F293" s="22"/>
      <c r="G293" s="21"/>
      <c r="H293" s="21"/>
      <c r="I293" s="22"/>
      <c r="J293" s="21"/>
      <c r="K293" s="21"/>
      <c r="L293" s="21"/>
    </row>
    <row r="294" spans="1:12" ht="14.45">
      <c r="A294" s="21"/>
      <c r="B294" s="31"/>
      <c r="C294" s="21"/>
      <c r="D294" s="21"/>
      <c r="E294" s="21"/>
      <c r="F294" s="22"/>
      <c r="G294" s="21"/>
      <c r="H294" s="21"/>
      <c r="I294" s="22"/>
      <c r="J294" s="21"/>
      <c r="K294" s="21"/>
      <c r="L294" s="21"/>
    </row>
    <row r="295" spans="1:12" ht="14.45">
      <c r="A295" s="21"/>
      <c r="B295" s="31"/>
      <c r="C295" s="21"/>
      <c r="D295" s="21"/>
      <c r="E295" s="21"/>
      <c r="F295" s="22"/>
      <c r="G295" s="21"/>
      <c r="H295" s="21"/>
      <c r="I295" s="22"/>
      <c r="J295" s="21"/>
      <c r="K295" s="21"/>
      <c r="L295" s="21"/>
    </row>
    <row r="296" spans="1:12" ht="14.45">
      <c r="A296" s="21"/>
      <c r="B296" s="31"/>
      <c r="C296" s="21"/>
      <c r="D296" s="21"/>
      <c r="E296" s="21"/>
      <c r="F296" s="22"/>
      <c r="G296" s="21"/>
      <c r="H296" s="21"/>
      <c r="I296" s="22"/>
      <c r="J296" s="21"/>
      <c r="K296" s="21"/>
      <c r="L296" s="21"/>
    </row>
    <row r="297" spans="1:12" ht="14.45">
      <c r="A297" s="21"/>
      <c r="B297" s="31"/>
      <c r="C297" s="21"/>
      <c r="D297" s="21"/>
      <c r="E297" s="21"/>
      <c r="F297" s="22"/>
      <c r="G297" s="21"/>
      <c r="H297" s="21"/>
      <c r="I297" s="22"/>
      <c r="J297" s="21"/>
      <c r="K297" s="21"/>
      <c r="L297" s="21"/>
    </row>
    <row r="298" spans="1:12" ht="14.45">
      <c r="A298" s="21"/>
      <c r="B298" s="31"/>
      <c r="C298" s="21"/>
      <c r="D298" s="21"/>
      <c r="E298" s="21"/>
      <c r="F298" s="22"/>
      <c r="G298" s="21"/>
      <c r="H298" s="21"/>
      <c r="I298" s="22"/>
      <c r="J298" s="21"/>
      <c r="K298" s="21"/>
      <c r="L298" s="21"/>
    </row>
    <row r="299" spans="1:12" ht="14.45">
      <c r="A299" s="21"/>
      <c r="B299" s="31"/>
      <c r="C299" s="21"/>
      <c r="D299" s="21"/>
      <c r="E299" s="21"/>
      <c r="F299" s="22"/>
      <c r="G299" s="21"/>
      <c r="H299" s="21"/>
      <c r="I299" s="22"/>
      <c r="J299" s="21"/>
      <c r="K299" s="21"/>
      <c r="L299" s="21"/>
    </row>
    <row r="300" spans="1:12" ht="14.45">
      <c r="A300" s="21"/>
      <c r="B300" s="31"/>
      <c r="C300" s="21"/>
      <c r="D300" s="21"/>
      <c r="E300" s="21"/>
      <c r="F300" s="22"/>
      <c r="G300" s="21"/>
      <c r="H300" s="21"/>
      <c r="I300" s="22"/>
      <c r="J300" s="21"/>
      <c r="K300" s="21"/>
      <c r="L300" s="21"/>
    </row>
    <row r="301" spans="1:12" ht="14.45">
      <c r="A301" s="21"/>
      <c r="B301" s="31"/>
      <c r="C301" s="21"/>
      <c r="D301" s="21"/>
      <c r="E301" s="21"/>
      <c r="F301" s="22"/>
      <c r="G301" s="21"/>
      <c r="H301" s="21"/>
      <c r="I301" s="22"/>
      <c r="J301" s="21"/>
      <c r="K301" s="21"/>
      <c r="L301" s="21"/>
    </row>
    <row r="302" spans="1:12" ht="14.45">
      <c r="A302" s="21"/>
      <c r="B302" s="31"/>
      <c r="C302" s="21"/>
      <c r="D302" s="21"/>
      <c r="E302" s="21"/>
      <c r="F302" s="22"/>
      <c r="G302" s="21"/>
      <c r="H302" s="21"/>
      <c r="I302" s="22"/>
      <c r="J302" s="21"/>
      <c r="K302" s="21"/>
      <c r="L302" s="21"/>
    </row>
    <row r="303" spans="1:12" ht="14.45">
      <c r="A303" s="21"/>
      <c r="B303" s="31"/>
      <c r="C303" s="21"/>
      <c r="D303" s="21"/>
      <c r="E303" s="21"/>
      <c r="F303" s="22"/>
      <c r="G303" s="21"/>
      <c r="H303" s="21"/>
      <c r="I303" s="22"/>
      <c r="J303" s="21"/>
      <c r="K303" s="21"/>
      <c r="L303" s="21"/>
    </row>
    <row r="304" spans="1:12" ht="14.45">
      <c r="A304" s="21"/>
      <c r="B304" s="31"/>
      <c r="C304" s="21"/>
      <c r="D304" s="21"/>
      <c r="E304" s="21"/>
      <c r="F304" s="22"/>
      <c r="G304" s="21"/>
      <c r="H304" s="21"/>
      <c r="I304" s="22"/>
      <c r="J304" s="21"/>
      <c r="K304" s="21"/>
      <c r="L304" s="21"/>
    </row>
    <row r="305" spans="1:12" ht="14.45">
      <c r="A305" s="21"/>
      <c r="B305" s="31"/>
      <c r="C305" s="21"/>
      <c r="D305" s="21"/>
      <c r="E305" s="21"/>
      <c r="F305" s="22"/>
      <c r="G305" s="21"/>
      <c r="H305" s="21"/>
      <c r="I305" s="22"/>
      <c r="J305" s="21"/>
      <c r="K305" s="21"/>
      <c r="L305" s="21"/>
    </row>
    <row r="306" spans="1:12" ht="14.45">
      <c r="A306" s="21"/>
      <c r="B306" s="31"/>
      <c r="C306" s="21"/>
      <c r="D306" s="21"/>
      <c r="E306" s="21"/>
      <c r="F306" s="22"/>
      <c r="G306" s="21"/>
      <c r="H306" s="21"/>
      <c r="I306" s="22"/>
      <c r="J306" s="21"/>
      <c r="K306" s="21"/>
      <c r="L306" s="21"/>
    </row>
    <row r="307" spans="1:12" ht="14.45">
      <c r="A307" s="21"/>
      <c r="B307" s="31"/>
      <c r="C307" s="21"/>
      <c r="D307" s="21"/>
      <c r="E307" s="21"/>
      <c r="F307" s="22"/>
      <c r="G307" s="21"/>
      <c r="H307" s="21"/>
      <c r="I307" s="22"/>
      <c r="J307" s="21"/>
      <c r="K307" s="21"/>
      <c r="L307" s="21"/>
    </row>
    <row r="308" spans="1:12" ht="14.45">
      <c r="A308" s="21"/>
      <c r="B308" s="31"/>
      <c r="C308" s="21"/>
      <c r="D308" s="21"/>
      <c r="E308" s="21"/>
      <c r="F308" s="22"/>
      <c r="G308" s="21"/>
      <c r="H308" s="21"/>
      <c r="I308" s="22"/>
      <c r="J308" s="21"/>
      <c r="K308" s="21"/>
      <c r="L308" s="21"/>
    </row>
    <row r="309" spans="1:12" ht="14.45">
      <c r="A309" s="21"/>
      <c r="B309" s="31"/>
      <c r="C309" s="21"/>
      <c r="D309" s="21"/>
      <c r="E309" s="21"/>
      <c r="F309" s="22"/>
      <c r="G309" s="21"/>
      <c r="H309" s="21"/>
      <c r="I309" s="22"/>
      <c r="J309" s="21"/>
      <c r="K309" s="21"/>
      <c r="L309" s="21"/>
    </row>
    <row r="310" spans="1:12" ht="14.45">
      <c r="A310" s="21"/>
      <c r="B310" s="31"/>
      <c r="C310" s="21"/>
      <c r="D310" s="21"/>
      <c r="E310" s="21"/>
      <c r="F310" s="22"/>
      <c r="G310" s="21"/>
      <c r="H310" s="21"/>
      <c r="I310" s="22"/>
      <c r="J310" s="21"/>
      <c r="K310" s="21"/>
      <c r="L310" s="21"/>
    </row>
    <row r="311" spans="1:12" ht="14.45">
      <c r="A311" s="21"/>
      <c r="B311" s="31"/>
      <c r="C311" s="21"/>
      <c r="D311" s="21"/>
      <c r="E311" s="21"/>
      <c r="F311" s="22"/>
      <c r="G311" s="21"/>
      <c r="H311" s="21"/>
      <c r="I311" s="22"/>
      <c r="J311" s="21"/>
      <c r="K311" s="21"/>
      <c r="L311" s="21"/>
    </row>
    <row r="312" spans="1:12" ht="14.45">
      <c r="A312" s="21"/>
      <c r="B312" s="31"/>
      <c r="C312" s="21"/>
      <c r="D312" s="21"/>
      <c r="E312" s="21"/>
      <c r="F312" s="22"/>
      <c r="G312" s="21"/>
      <c r="H312" s="21"/>
      <c r="I312" s="22"/>
      <c r="J312" s="21"/>
      <c r="K312" s="21"/>
      <c r="L312" s="21"/>
    </row>
    <row r="313" spans="1:12" ht="14.45">
      <c r="A313" s="21"/>
      <c r="B313" s="31"/>
      <c r="C313" s="21"/>
      <c r="D313" s="21"/>
      <c r="E313" s="21"/>
      <c r="F313" s="22"/>
      <c r="G313" s="21"/>
      <c r="H313" s="21"/>
      <c r="I313" s="22"/>
      <c r="J313" s="21"/>
      <c r="K313" s="21"/>
      <c r="L313" s="21"/>
    </row>
    <row r="314" spans="1:12" ht="14.45">
      <c r="A314" s="21"/>
      <c r="B314" s="31"/>
      <c r="C314" s="21"/>
      <c r="D314" s="21"/>
      <c r="E314" s="21"/>
      <c r="F314" s="22"/>
      <c r="G314" s="21"/>
      <c r="H314" s="21"/>
      <c r="I314" s="22"/>
      <c r="J314" s="21"/>
      <c r="K314" s="21"/>
      <c r="L314" s="21"/>
    </row>
    <row r="315" spans="1:12" ht="14.45">
      <c r="A315" s="21"/>
      <c r="B315" s="31"/>
      <c r="C315" s="21"/>
      <c r="D315" s="21"/>
      <c r="E315" s="21"/>
      <c r="F315" s="22"/>
      <c r="G315" s="21"/>
      <c r="H315" s="21"/>
      <c r="I315" s="22"/>
      <c r="J315" s="21"/>
      <c r="K315" s="21"/>
      <c r="L315" s="21"/>
    </row>
    <row r="316" spans="1:12" ht="14.45">
      <c r="A316" s="21"/>
      <c r="B316" s="31"/>
      <c r="C316" s="21"/>
      <c r="D316" s="21"/>
      <c r="E316" s="21"/>
      <c r="F316" s="22"/>
      <c r="G316" s="21"/>
      <c r="H316" s="21"/>
      <c r="I316" s="22"/>
      <c r="J316" s="21"/>
      <c r="K316" s="21"/>
      <c r="L316" s="21"/>
    </row>
    <row r="317" spans="1:12" ht="14.45">
      <c r="A317" s="21"/>
      <c r="B317" s="31"/>
      <c r="C317" s="21"/>
      <c r="D317" s="21"/>
      <c r="E317" s="21"/>
      <c r="F317" s="22"/>
      <c r="G317" s="21"/>
      <c r="H317" s="21"/>
      <c r="I317" s="22"/>
      <c r="J317" s="21"/>
      <c r="K317" s="21"/>
      <c r="L317" s="21"/>
    </row>
    <row r="318" spans="1:12" ht="14.45">
      <c r="A318" s="21"/>
      <c r="B318" s="31"/>
      <c r="C318" s="21"/>
      <c r="D318" s="21"/>
      <c r="E318" s="21"/>
      <c r="F318" s="22"/>
      <c r="G318" s="21"/>
      <c r="H318" s="21"/>
      <c r="I318" s="22"/>
      <c r="J318" s="21"/>
      <c r="K318" s="21"/>
      <c r="L318" s="21"/>
    </row>
    <row r="319" spans="1:12" ht="14.45">
      <c r="A319" s="21"/>
      <c r="B319" s="31"/>
      <c r="C319" s="21"/>
      <c r="D319" s="21"/>
      <c r="E319" s="21"/>
      <c r="F319" s="22"/>
      <c r="G319" s="21"/>
      <c r="H319" s="21"/>
      <c r="I319" s="22"/>
      <c r="J319" s="21"/>
      <c r="K319" s="21"/>
      <c r="L319" s="21"/>
    </row>
    <row r="320" spans="1:12" ht="14.45">
      <c r="A320" s="21"/>
      <c r="B320" s="31"/>
      <c r="C320" s="21"/>
      <c r="D320" s="21"/>
      <c r="E320" s="21"/>
      <c r="F320" s="22"/>
      <c r="G320" s="21"/>
      <c r="H320" s="21"/>
      <c r="I320" s="22"/>
      <c r="J320" s="21"/>
      <c r="K320" s="21"/>
      <c r="L320" s="21"/>
    </row>
    <row r="321" spans="1:12" ht="14.45">
      <c r="A321" s="21"/>
      <c r="B321" s="31"/>
      <c r="C321" s="21"/>
      <c r="D321" s="21"/>
      <c r="E321" s="21"/>
      <c r="F321" s="22"/>
      <c r="G321" s="21"/>
      <c r="H321" s="21"/>
      <c r="I321" s="22"/>
      <c r="J321" s="21"/>
      <c r="K321" s="21"/>
      <c r="L321" s="21"/>
    </row>
    <row r="322" spans="1:12" ht="14.45">
      <c r="A322" s="21"/>
      <c r="B322" s="31"/>
      <c r="C322" s="21"/>
      <c r="D322" s="21"/>
      <c r="E322" s="21"/>
      <c r="F322" s="22"/>
      <c r="G322" s="21"/>
      <c r="H322" s="21"/>
      <c r="I322" s="22"/>
      <c r="J322" s="21"/>
      <c r="K322" s="21"/>
      <c r="L322" s="21"/>
    </row>
    <row r="323" spans="1:12" ht="14.45">
      <c r="A323" s="21"/>
      <c r="B323" s="31"/>
      <c r="C323" s="21"/>
      <c r="D323" s="21"/>
      <c r="E323" s="21"/>
      <c r="F323" s="22"/>
      <c r="G323" s="21"/>
      <c r="H323" s="21"/>
      <c r="I323" s="22"/>
      <c r="J323" s="21"/>
      <c r="K323" s="21"/>
      <c r="L323" s="21"/>
    </row>
    <row r="324" spans="1:12" ht="14.45">
      <c r="A324" s="21"/>
      <c r="B324" s="31"/>
      <c r="C324" s="21"/>
      <c r="D324" s="21"/>
      <c r="E324" s="21"/>
      <c r="F324" s="22"/>
      <c r="G324" s="21"/>
      <c r="H324" s="21"/>
      <c r="I324" s="22"/>
      <c r="J324" s="21"/>
      <c r="K324" s="21"/>
      <c r="L324" s="21"/>
    </row>
    <row r="325" spans="1:12" ht="14.45">
      <c r="A325" s="21"/>
      <c r="B325" s="31"/>
      <c r="C325" s="21"/>
      <c r="D325" s="21"/>
      <c r="E325" s="21"/>
      <c r="F325" s="22"/>
      <c r="G325" s="21"/>
      <c r="H325" s="21"/>
      <c r="I325" s="22"/>
      <c r="J325" s="21"/>
      <c r="K325" s="21"/>
      <c r="L325" s="21"/>
    </row>
    <row r="326" spans="1:12" ht="14.45">
      <c r="A326" s="21"/>
      <c r="B326" s="31"/>
      <c r="C326" s="21"/>
      <c r="D326" s="21"/>
      <c r="E326" s="21"/>
      <c r="F326" s="22"/>
      <c r="G326" s="21"/>
      <c r="H326" s="21"/>
      <c r="I326" s="22"/>
      <c r="J326" s="21"/>
      <c r="K326" s="21"/>
      <c r="L326" s="21"/>
    </row>
    <row r="327" spans="1:12" ht="14.45">
      <c r="A327" s="21"/>
      <c r="B327" s="31"/>
      <c r="C327" s="21"/>
      <c r="D327" s="21"/>
      <c r="E327" s="21"/>
      <c r="F327" s="22"/>
      <c r="G327" s="21"/>
      <c r="H327" s="21"/>
      <c r="I327" s="22"/>
      <c r="J327" s="21"/>
      <c r="K327" s="21"/>
      <c r="L327" s="21"/>
    </row>
    <row r="328" spans="1:12" ht="14.45">
      <c r="A328" s="21"/>
      <c r="B328" s="31"/>
      <c r="C328" s="21"/>
      <c r="D328" s="21"/>
      <c r="E328" s="21"/>
      <c r="F328" s="22"/>
      <c r="G328" s="21"/>
      <c r="H328" s="21"/>
      <c r="I328" s="22"/>
      <c r="J328" s="21"/>
      <c r="K328" s="21"/>
      <c r="L328" s="21"/>
    </row>
    <row r="329" spans="1:12" ht="14.45">
      <c r="A329" s="21"/>
      <c r="B329" s="31"/>
      <c r="C329" s="21"/>
      <c r="D329" s="21"/>
      <c r="E329" s="21"/>
      <c r="F329" s="22"/>
      <c r="G329" s="21"/>
      <c r="H329" s="21"/>
      <c r="I329" s="22"/>
      <c r="J329" s="21"/>
      <c r="K329" s="21"/>
      <c r="L329" s="21"/>
    </row>
    <row r="330" spans="1:12" ht="14.45">
      <c r="A330" s="21"/>
      <c r="B330" s="31"/>
      <c r="C330" s="21"/>
      <c r="D330" s="21"/>
      <c r="E330" s="21"/>
      <c r="F330" s="22"/>
      <c r="G330" s="21"/>
      <c r="H330" s="21"/>
      <c r="I330" s="22"/>
      <c r="J330" s="21"/>
      <c r="K330" s="21"/>
      <c r="L330" s="21"/>
    </row>
    <row r="331" spans="1:12" ht="14.45">
      <c r="A331" s="21"/>
      <c r="B331" s="31"/>
      <c r="C331" s="21"/>
      <c r="D331" s="21"/>
      <c r="E331" s="21"/>
      <c r="F331" s="22"/>
      <c r="G331" s="21"/>
      <c r="H331" s="21"/>
      <c r="I331" s="22"/>
      <c r="J331" s="21"/>
      <c r="K331" s="21"/>
      <c r="L331" s="21"/>
    </row>
    <row r="332" spans="1:12" ht="14.45">
      <c r="A332" s="21"/>
      <c r="B332" s="31"/>
      <c r="C332" s="21"/>
      <c r="D332" s="21"/>
      <c r="E332" s="21"/>
      <c r="F332" s="22"/>
      <c r="G332" s="21"/>
      <c r="H332" s="21"/>
      <c r="I332" s="22"/>
      <c r="J332" s="21"/>
      <c r="K332" s="21"/>
      <c r="L332" s="21"/>
    </row>
    <row r="333" spans="1:12" ht="14.45">
      <c r="A333" s="21"/>
      <c r="B333" s="31"/>
      <c r="C333" s="21"/>
      <c r="D333" s="21"/>
      <c r="E333" s="21"/>
      <c r="F333" s="22"/>
      <c r="G333" s="21"/>
      <c r="H333" s="21"/>
      <c r="I333" s="22"/>
      <c r="J333" s="21"/>
      <c r="K333" s="21"/>
      <c r="L333" s="21"/>
    </row>
    <row r="334" spans="1:12" ht="14.45">
      <c r="A334" s="21"/>
      <c r="B334" s="31"/>
      <c r="C334" s="21"/>
      <c r="D334" s="21"/>
      <c r="E334" s="21"/>
      <c r="F334" s="22"/>
      <c r="G334" s="21"/>
      <c r="H334" s="21"/>
      <c r="I334" s="22"/>
      <c r="J334" s="21"/>
      <c r="K334" s="21"/>
      <c r="L334" s="21"/>
    </row>
    <row r="335" spans="1:12" ht="14.45">
      <c r="A335" s="21"/>
      <c r="B335" s="31"/>
      <c r="C335" s="21"/>
      <c r="D335" s="21"/>
      <c r="E335" s="21"/>
      <c r="F335" s="22"/>
      <c r="G335" s="21"/>
      <c r="H335" s="21"/>
      <c r="I335" s="22"/>
      <c r="J335" s="21"/>
      <c r="K335" s="21"/>
      <c r="L335" s="21"/>
    </row>
    <row r="336" spans="1:12" ht="14.45">
      <c r="A336" s="21"/>
      <c r="B336" s="31"/>
      <c r="C336" s="21"/>
      <c r="D336" s="21"/>
      <c r="E336" s="21"/>
      <c r="F336" s="22"/>
      <c r="G336" s="21"/>
      <c r="H336" s="21"/>
      <c r="I336" s="22"/>
      <c r="J336" s="21"/>
      <c r="K336" s="21"/>
      <c r="L336" s="21"/>
    </row>
    <row r="337" spans="1:12" ht="14.45">
      <c r="A337" s="21"/>
      <c r="B337" s="31"/>
      <c r="C337" s="21"/>
      <c r="D337" s="21"/>
      <c r="E337" s="21"/>
      <c r="F337" s="22"/>
      <c r="G337" s="21"/>
      <c r="H337" s="21"/>
      <c r="I337" s="22"/>
      <c r="J337" s="21"/>
      <c r="K337" s="21"/>
      <c r="L337" s="21"/>
    </row>
    <row r="338" spans="1:12" ht="14.45">
      <c r="A338" s="21"/>
      <c r="B338" s="31"/>
      <c r="C338" s="21"/>
      <c r="D338" s="21"/>
      <c r="E338" s="21"/>
      <c r="F338" s="22"/>
      <c r="G338" s="21"/>
      <c r="H338" s="21"/>
      <c r="I338" s="22"/>
      <c r="J338" s="21"/>
      <c r="K338" s="21"/>
      <c r="L338" s="21"/>
    </row>
    <row r="339" spans="1:12" ht="14.45">
      <c r="A339" s="21"/>
      <c r="B339" s="31"/>
      <c r="C339" s="21"/>
      <c r="D339" s="21"/>
      <c r="E339" s="21"/>
      <c r="F339" s="22"/>
      <c r="G339" s="21"/>
      <c r="H339" s="21"/>
      <c r="I339" s="22"/>
      <c r="J339" s="21"/>
      <c r="K339" s="21"/>
      <c r="L339" s="21"/>
    </row>
    <row r="340" spans="1:12" ht="14.45">
      <c r="A340" s="21"/>
      <c r="B340" s="31"/>
      <c r="C340" s="21"/>
      <c r="D340" s="21"/>
      <c r="E340" s="21"/>
      <c r="F340" s="22"/>
      <c r="G340" s="21"/>
      <c r="H340" s="21"/>
      <c r="I340" s="22"/>
      <c r="J340" s="21"/>
      <c r="K340" s="21"/>
      <c r="L340" s="21"/>
    </row>
    <row r="341" spans="1:12" ht="14.45">
      <c r="A341" s="21"/>
      <c r="B341" s="31"/>
      <c r="C341" s="21"/>
      <c r="D341" s="21"/>
      <c r="E341" s="21"/>
      <c r="F341" s="22"/>
      <c r="G341" s="21"/>
      <c r="H341" s="21"/>
      <c r="I341" s="22"/>
      <c r="J341" s="21"/>
      <c r="K341" s="21"/>
      <c r="L341" s="21"/>
    </row>
    <row r="342" spans="1:12" ht="14.45">
      <c r="A342" s="21"/>
      <c r="B342" s="31"/>
      <c r="C342" s="21"/>
      <c r="D342" s="21"/>
      <c r="E342" s="21"/>
      <c r="F342" s="22"/>
      <c r="G342" s="21"/>
      <c r="H342" s="21"/>
      <c r="I342" s="22"/>
      <c r="J342" s="21"/>
      <c r="K342" s="21"/>
      <c r="L342" s="21"/>
    </row>
    <row r="343" spans="1:12" ht="14.45">
      <c r="A343" s="21"/>
      <c r="B343" s="31"/>
      <c r="C343" s="21"/>
      <c r="D343" s="21"/>
      <c r="E343" s="21"/>
      <c r="F343" s="22"/>
      <c r="G343" s="21"/>
      <c r="H343" s="21"/>
      <c r="I343" s="22"/>
      <c r="J343" s="21"/>
      <c r="K343" s="21"/>
      <c r="L343" s="21"/>
    </row>
    <row r="344" spans="1:12" ht="14.45">
      <c r="A344" s="21"/>
      <c r="B344" s="31"/>
      <c r="C344" s="21"/>
      <c r="D344" s="21"/>
      <c r="E344" s="21"/>
      <c r="F344" s="22"/>
      <c r="G344" s="21"/>
      <c r="H344" s="21"/>
      <c r="I344" s="22"/>
      <c r="J344" s="21"/>
      <c r="K344" s="21"/>
      <c r="L344" s="21"/>
    </row>
    <row r="345" spans="1:12" ht="14.45">
      <c r="C345" s="21"/>
      <c r="D345" s="21"/>
      <c r="E345" s="21"/>
      <c r="F345" s="22"/>
      <c r="G345" s="21"/>
      <c r="H345" s="21"/>
      <c r="I345" s="22"/>
      <c r="J345" s="21"/>
      <c r="K345" s="21"/>
      <c r="L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hyperlinks>
    <hyperlink ref="AA33" r:id="rId1" display="https://us3.assetplanner.com/service_request?ID=110794" xr:uid="{1F8132C6-1943-4700-A972-32A38F38CF44}"/>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5"/>
  <sheetViews>
    <sheetView workbookViewId="0">
      <pane ySplit="3" topLeftCell="A11" activePane="bottomLeft" state="frozen"/>
      <selection pane="bottomLeft" activeCell="A23" sqref="A2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175</v>
      </c>
      <c r="B1" s="45" t="s">
        <v>176</v>
      </c>
    </row>
    <row r="3" spans="1:12" ht="13.15">
      <c r="A3" t="s">
        <v>177</v>
      </c>
      <c r="B3" t="s">
        <v>3</v>
      </c>
      <c r="C3" t="s">
        <v>4</v>
      </c>
      <c r="D3" t="s">
        <v>178</v>
      </c>
      <c r="E3" s="2" t="s">
        <v>179</v>
      </c>
    </row>
    <row r="4" spans="1:12" ht="14.45">
      <c r="A4" s="46" t="s">
        <v>180</v>
      </c>
      <c r="B4" s="46" t="s">
        <v>181</v>
      </c>
      <c r="C4" s="46" t="s">
        <v>182</v>
      </c>
      <c r="D4" t="s">
        <v>183</v>
      </c>
      <c r="E4" s="46" t="s">
        <v>184</v>
      </c>
      <c r="G4" s="3"/>
    </row>
    <row r="5" spans="1:12" ht="14.45">
      <c r="A5" s="46" t="s">
        <v>185</v>
      </c>
      <c r="B5" s="46" t="s">
        <v>186</v>
      </c>
      <c r="C5" s="46" t="s">
        <v>182</v>
      </c>
      <c r="D5" t="s">
        <v>183</v>
      </c>
      <c r="E5" s="46" t="s">
        <v>184</v>
      </c>
      <c r="G5" s="3"/>
    </row>
    <row r="6" spans="1:12" ht="14.45">
      <c r="A6" s="46" t="s">
        <v>187</v>
      </c>
      <c r="B6" s="46" t="s">
        <v>187</v>
      </c>
      <c r="C6" s="46" t="s">
        <v>182</v>
      </c>
      <c r="D6" t="s">
        <v>183</v>
      </c>
      <c r="E6" s="46" t="s">
        <v>184</v>
      </c>
      <c r="G6" s="3"/>
    </row>
    <row r="7" spans="1:12" ht="12.75" customHeight="1">
      <c r="A7" s="46" t="s">
        <v>188</v>
      </c>
      <c r="B7" s="46" t="s">
        <v>188</v>
      </c>
      <c r="C7" s="46" t="s">
        <v>182</v>
      </c>
      <c r="D7" t="s">
        <v>183</v>
      </c>
      <c r="E7" s="46" t="s">
        <v>184</v>
      </c>
    </row>
    <row r="8" spans="1:12" ht="12.75" customHeight="1">
      <c r="A8" s="46" t="s">
        <v>189</v>
      </c>
      <c r="B8" s="46" t="s">
        <v>189</v>
      </c>
      <c r="C8" s="46" t="s">
        <v>182</v>
      </c>
      <c r="D8" t="s">
        <v>183</v>
      </c>
      <c r="E8" s="46" t="s">
        <v>184</v>
      </c>
    </row>
    <row r="9" spans="1:12" ht="12.75" customHeight="1">
      <c r="A9" s="46" t="s">
        <v>190</v>
      </c>
      <c r="B9" s="46" t="s">
        <v>190</v>
      </c>
      <c r="C9" s="46" t="s">
        <v>182</v>
      </c>
      <c r="D9" t="s">
        <v>183</v>
      </c>
      <c r="E9" s="46" t="s">
        <v>184</v>
      </c>
    </row>
    <row r="10" spans="1:12" ht="12.75" customHeight="1">
      <c r="A10" s="46" t="s">
        <v>191</v>
      </c>
      <c r="B10" s="46" t="s">
        <v>192</v>
      </c>
      <c r="C10" s="46" t="s">
        <v>182</v>
      </c>
      <c r="D10" t="s">
        <v>183</v>
      </c>
      <c r="E10" s="46" t="s">
        <v>184</v>
      </c>
      <c r="K10" s="40"/>
      <c r="L10" s="40"/>
    </row>
    <row r="11" spans="1:12" ht="12.75" customHeight="1">
      <c r="A11" s="46" t="s">
        <v>193</v>
      </c>
      <c r="B11" s="46" t="s">
        <v>194</v>
      </c>
      <c r="C11" s="46" t="s">
        <v>182</v>
      </c>
      <c r="D11" t="s">
        <v>183</v>
      </c>
      <c r="E11" s="46" t="s">
        <v>184</v>
      </c>
      <c r="K11" s="40"/>
      <c r="L11" s="40"/>
    </row>
    <row r="12" spans="1:12" ht="12.75" customHeight="1">
      <c r="A12" s="46" t="s">
        <v>195</v>
      </c>
      <c r="B12" s="46" t="s">
        <v>195</v>
      </c>
      <c r="C12" s="46" t="s">
        <v>196</v>
      </c>
      <c r="D12" t="s">
        <v>183</v>
      </c>
      <c r="E12" s="46" t="s">
        <v>184</v>
      </c>
      <c r="K12" s="40"/>
      <c r="L12" s="40"/>
    </row>
    <row r="13" spans="1:12" ht="12.75" customHeight="1">
      <c r="A13" s="46" t="s">
        <v>197</v>
      </c>
      <c r="B13" s="46" t="s">
        <v>198</v>
      </c>
      <c r="C13" s="46" t="s">
        <v>196</v>
      </c>
      <c r="D13" t="s">
        <v>183</v>
      </c>
      <c r="E13" s="46" t="s">
        <v>184</v>
      </c>
      <c r="K13" s="40"/>
      <c r="L13" s="40"/>
    </row>
    <row r="14" spans="1:12" ht="12.75" customHeight="1">
      <c r="A14" s="46" t="s">
        <v>199</v>
      </c>
      <c r="B14" s="46" t="s">
        <v>200</v>
      </c>
      <c r="C14" s="46" t="s">
        <v>196</v>
      </c>
      <c r="D14" t="s">
        <v>183</v>
      </c>
      <c r="E14" s="46" t="s">
        <v>184</v>
      </c>
      <c r="K14" s="40"/>
      <c r="L14" s="40"/>
    </row>
    <row r="15" spans="1:12" ht="12.75" customHeight="1">
      <c r="A15" s="46" t="s">
        <v>201</v>
      </c>
      <c r="B15" t="s">
        <v>202</v>
      </c>
      <c r="C15" s="46" t="s">
        <v>196</v>
      </c>
      <c r="E15" t="s">
        <v>203</v>
      </c>
      <c r="K15" s="40"/>
      <c r="L15" s="40"/>
    </row>
    <row r="16" spans="1:12" ht="12.75" customHeight="1">
      <c r="A16" s="46" t="s">
        <v>204</v>
      </c>
      <c r="B16" t="s">
        <v>205</v>
      </c>
      <c r="C16" s="46" t="s">
        <v>196</v>
      </c>
      <c r="E16" t="s">
        <v>203</v>
      </c>
      <c r="K16" s="40"/>
      <c r="L16" s="40"/>
    </row>
    <row r="17" spans="1:12" ht="12.75" customHeight="1">
      <c r="A17" s="46" t="s">
        <v>206</v>
      </c>
      <c r="B17" t="s">
        <v>207</v>
      </c>
      <c r="C17" s="46" t="s">
        <v>196</v>
      </c>
      <c r="E17" t="s">
        <v>203</v>
      </c>
      <c r="K17" s="40"/>
      <c r="L17" s="40"/>
    </row>
    <row r="18" spans="1:12" ht="12.75" customHeight="1">
      <c r="A18" s="46" t="s">
        <v>208</v>
      </c>
      <c r="B18" s="46" t="s">
        <v>209</v>
      </c>
      <c r="C18" s="46" t="s">
        <v>196</v>
      </c>
      <c r="D18" t="s">
        <v>183</v>
      </c>
      <c r="E18" s="46" t="s">
        <v>184</v>
      </c>
      <c r="K18" s="40"/>
      <c r="L18" s="40"/>
    </row>
    <row r="19" spans="1:12" ht="12.75" customHeight="1">
      <c r="A19" s="46" t="s">
        <v>210</v>
      </c>
      <c r="B19" s="46" t="s">
        <v>211</v>
      </c>
      <c r="C19" s="46" t="s">
        <v>196</v>
      </c>
      <c r="D19" t="s">
        <v>183</v>
      </c>
      <c r="E19" s="46" t="s">
        <v>184</v>
      </c>
      <c r="K19" s="40"/>
      <c r="L19" s="40"/>
    </row>
    <row r="20" spans="1:12" ht="12.75" customHeight="1">
      <c r="A20" s="46" t="s">
        <v>212</v>
      </c>
      <c r="B20" s="46" t="s">
        <v>212</v>
      </c>
      <c r="C20" s="46" t="s">
        <v>196</v>
      </c>
      <c r="D20" t="s">
        <v>183</v>
      </c>
      <c r="E20" s="46" t="s">
        <v>184</v>
      </c>
      <c r="K20" s="40"/>
      <c r="L20" s="40"/>
    </row>
    <row r="21" spans="1:12" ht="12.75" customHeight="1">
      <c r="A21" s="46" t="s">
        <v>213</v>
      </c>
      <c r="B21" s="46" t="s">
        <v>213</v>
      </c>
      <c r="C21" s="46" t="s">
        <v>196</v>
      </c>
      <c r="D21" t="s">
        <v>183</v>
      </c>
      <c r="E21" s="46" t="s">
        <v>184</v>
      </c>
      <c r="K21" s="40"/>
      <c r="L21" s="40"/>
    </row>
    <row r="22" spans="1:12" ht="12.75" customHeight="1">
      <c r="A22" s="46" t="s">
        <v>214</v>
      </c>
      <c r="B22" s="46" t="s">
        <v>214</v>
      </c>
      <c r="C22" s="46" t="s">
        <v>196</v>
      </c>
      <c r="D22" t="s">
        <v>183</v>
      </c>
      <c r="E22" s="46" t="s">
        <v>184</v>
      </c>
      <c r="K22" s="40"/>
      <c r="L22" s="40"/>
    </row>
    <row r="23" spans="1:12" ht="12.75" customHeight="1">
      <c r="A23" s="46" t="s">
        <v>215</v>
      </c>
      <c r="B23" t="s">
        <v>216</v>
      </c>
      <c r="C23" s="46" t="s">
        <v>196</v>
      </c>
      <c r="E23" t="s">
        <v>184</v>
      </c>
      <c r="K23" s="40"/>
      <c r="L23" s="40"/>
    </row>
    <row r="24" spans="1:12" ht="12.75" customHeight="1">
      <c r="A24" s="46" t="s">
        <v>217</v>
      </c>
      <c r="B24" s="46" t="s">
        <v>218</v>
      </c>
      <c r="C24" s="46" t="s">
        <v>196</v>
      </c>
      <c r="D24" t="s">
        <v>183</v>
      </c>
      <c r="E24" s="46" t="s">
        <v>184</v>
      </c>
      <c r="K24" s="40"/>
      <c r="L24" s="40"/>
    </row>
    <row r="25" spans="1:12" ht="12.75" customHeight="1">
      <c r="A25" s="46" t="s">
        <v>219</v>
      </c>
      <c r="B25" s="46" t="s">
        <v>220</v>
      </c>
      <c r="C25" s="46" t="s">
        <v>196</v>
      </c>
      <c r="D25" t="s">
        <v>183</v>
      </c>
      <c r="E25" s="46" t="s">
        <v>184</v>
      </c>
      <c r="K25" s="40"/>
      <c r="L25" s="40"/>
    </row>
    <row r="26" spans="1:12" ht="12.75" customHeight="1">
      <c r="A26" s="46" t="s">
        <v>221</v>
      </c>
      <c r="B26" s="46" t="s">
        <v>221</v>
      </c>
      <c r="C26" s="46" t="s">
        <v>222</v>
      </c>
      <c r="D26" t="s">
        <v>183</v>
      </c>
      <c r="E26" s="46" t="s">
        <v>184</v>
      </c>
      <c r="K26" s="40"/>
      <c r="L26" s="40"/>
    </row>
    <row r="27" spans="1:12" ht="12.75" customHeight="1">
      <c r="A27" s="46" t="s">
        <v>223</v>
      </c>
      <c r="B27" s="46" t="s">
        <v>224</v>
      </c>
      <c r="C27" s="46" t="s">
        <v>222</v>
      </c>
      <c r="D27" t="s">
        <v>183</v>
      </c>
      <c r="E27" s="46" t="s">
        <v>184</v>
      </c>
      <c r="K27" s="40"/>
      <c r="L27" s="40"/>
    </row>
    <row r="28" spans="1:12" ht="12.75" customHeight="1">
      <c r="A28" s="46" t="s">
        <v>225</v>
      </c>
      <c r="B28" s="46" t="s">
        <v>226</v>
      </c>
      <c r="C28" s="46" t="s">
        <v>222</v>
      </c>
      <c r="D28" t="s">
        <v>183</v>
      </c>
      <c r="E28" s="46" t="s">
        <v>184</v>
      </c>
      <c r="K28" s="40"/>
      <c r="L28" s="40"/>
    </row>
    <row r="29" spans="1:12" ht="12.75" customHeight="1">
      <c r="A29" s="46" t="s">
        <v>227</v>
      </c>
      <c r="B29" s="46" t="s">
        <v>228</v>
      </c>
      <c r="C29" s="46" t="s">
        <v>196</v>
      </c>
      <c r="E29" s="46" t="s">
        <v>229</v>
      </c>
      <c r="K29" s="40"/>
      <c r="L29" s="40"/>
    </row>
    <row r="30" spans="1:12" ht="12.75" customHeight="1">
      <c r="A30" s="62" t="s">
        <v>230</v>
      </c>
      <c r="B30" s="46" t="s">
        <v>231</v>
      </c>
      <c r="C30" s="63" t="s">
        <v>196</v>
      </c>
      <c r="E30" s="46" t="s">
        <v>229</v>
      </c>
      <c r="K30" s="40"/>
      <c r="L30" s="40"/>
    </row>
    <row r="31" spans="1:12" ht="12.75" customHeight="1">
      <c r="A31" s="62" t="s">
        <v>232</v>
      </c>
      <c r="B31" s="46" t="s">
        <v>233</v>
      </c>
      <c r="C31" s="63" t="s">
        <v>196</v>
      </c>
      <c r="E31" s="46" t="s">
        <v>229</v>
      </c>
      <c r="K31" s="40"/>
      <c r="L31" s="40"/>
    </row>
    <row r="32" spans="1:12" ht="12.75" customHeight="1">
      <c r="A32" s="62" t="s">
        <v>234</v>
      </c>
      <c r="B32" s="46" t="s">
        <v>235</v>
      </c>
      <c r="C32" s="63" t="s">
        <v>196</v>
      </c>
      <c r="E32" s="46" t="s">
        <v>229</v>
      </c>
    </row>
    <row r="33" spans="1:5" ht="12.75" customHeight="1">
      <c r="A33" s="62" t="s">
        <v>236</v>
      </c>
      <c r="B33" s="46" t="s">
        <v>237</v>
      </c>
      <c r="C33" s="63" t="s">
        <v>196</v>
      </c>
      <c r="E33" s="46" t="s">
        <v>229</v>
      </c>
    </row>
    <row r="34" spans="1:5" ht="12.75" customHeight="1">
      <c r="A34" s="62" t="s">
        <v>238</v>
      </c>
      <c r="B34" s="46" t="s">
        <v>239</v>
      </c>
      <c r="C34" s="63" t="s">
        <v>196</v>
      </c>
      <c r="E34" s="46" t="s">
        <v>229</v>
      </c>
    </row>
    <row r="35" spans="1:5" ht="12.75" customHeight="1">
      <c r="A35" s="62" t="s">
        <v>240</v>
      </c>
      <c r="B35" s="46" t="s">
        <v>241</v>
      </c>
      <c r="C35" s="83" t="s">
        <v>222</v>
      </c>
      <c r="D35" s="85" t="s">
        <v>183</v>
      </c>
      <c r="E35" s="46" t="s">
        <v>184</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98A113BB-8B7A-453C-8BD4-8EFC67FC2D3F}"/>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A4448589-34BA-41CE-A6B2-9864EED73971}"/>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D3A7101F-9A85-4235-8B03-415370C100B2}"/>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2026-02-21T11:27:08Z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