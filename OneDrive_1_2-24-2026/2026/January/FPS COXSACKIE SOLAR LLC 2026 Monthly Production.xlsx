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8369300-CD18-4B5D-AC4F-1109288A1009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 s="1"/>
  <c r="G4" i="30"/>
  <c r="G4" i="18"/>
  <c r="H4" i="4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 s="1"/>
  <c r="E4" i="3"/>
  <c r="F4" i="3"/>
  <c r="H4" i="3"/>
  <c r="I4" i="3"/>
  <c r="G4" i="1"/>
  <c r="G2" i="1" s="1"/>
  <c r="B4" i="34" a="1"/>
  <c r="B4" i="34"/>
  <c r="A4" i="34" a="1"/>
  <c r="A4" i="34"/>
  <c r="A1" i="34" a="1"/>
  <c r="A1" i="34"/>
  <c r="D4" i="30"/>
  <c r="C4" i="30"/>
  <c r="D4" i="29"/>
  <c r="D2" i="29"/>
  <c r="C4" i="29"/>
  <c r="C2" i="29" s="1"/>
  <c r="D4" i="18"/>
  <c r="D2" i="18" s="1"/>
  <c r="C4" i="18"/>
  <c r="E4" i="18" s="1"/>
  <c r="F4" i="18" s="1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/>
  <c r="G2" i="31"/>
  <c r="H2" i="31" s="1"/>
  <c r="I2" i="31" s="1"/>
  <c r="D2" i="31"/>
  <c r="E2" i="31" s="1"/>
  <c r="F2" i="31" s="1"/>
  <c r="C2" i="31"/>
  <c r="J2" i="31" s="1"/>
  <c r="A1" i="31" a="1"/>
  <c r="A1" i="31"/>
  <c r="H4" i="28"/>
  <c r="I4" i="28" s="1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G4" i="29" s="1"/>
  <c r="I4" i="27"/>
  <c r="E4" i="27"/>
  <c r="F4" i="27"/>
  <c r="G2" i="27"/>
  <c r="D2" i="27"/>
  <c r="C2" i="27"/>
  <c r="J2" i="27" s="1"/>
  <c r="A1" i="27" a="1"/>
  <c r="A1" i="27"/>
  <c r="H4" i="26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E2" i="19" s="1"/>
  <c r="F2" i="19" s="1"/>
  <c r="C2" i="19"/>
  <c r="A1" i="19" a="1"/>
  <c r="A1" i="19"/>
  <c r="H4" i="20"/>
  <c r="I4" i="20" s="1"/>
  <c r="E4" i="20"/>
  <c r="F4" i="20"/>
  <c r="G2" i="20"/>
  <c r="H2" i="20" s="1"/>
  <c r="I2" i="20" s="1"/>
  <c r="D2" i="20"/>
  <c r="C2" i="20"/>
  <c r="A1" i="20" a="1"/>
  <c r="A1" i="20"/>
  <c r="H4" i="21"/>
  <c r="I4" i="21" s="1"/>
  <c r="E4" i="21"/>
  <c r="F4" i="21"/>
  <c r="G2" i="21"/>
  <c r="D2" i="21"/>
  <c r="C2" i="21"/>
  <c r="E2" i="21" s="1"/>
  <c r="F2" i="21" s="1"/>
  <c r="A1" i="21" a="1"/>
  <c r="A1" i="21"/>
  <c r="E4" i="4"/>
  <c r="F4" i="4"/>
  <c r="G2" i="4"/>
  <c r="D2" i="4"/>
  <c r="C2" i="4"/>
  <c r="A1" i="4" a="1"/>
  <c r="A1" i="4"/>
  <c r="G2" i="3"/>
  <c r="D2" i="3"/>
  <c r="C2" i="3"/>
  <c r="H2" i="3" s="1"/>
  <c r="I2" i="3" s="1"/>
  <c r="J2" i="3"/>
  <c r="A1" i="3" a="1"/>
  <c r="A1" i="3"/>
  <c r="H4" i="72"/>
  <c r="H4" i="1" s="1"/>
  <c r="G2" i="72"/>
  <c r="D2" i="72"/>
  <c r="C2" i="72"/>
  <c r="J2" i="72" s="1"/>
  <c r="A1" i="72" a="1"/>
  <c r="A1" i="72" s="1"/>
  <c r="D2" i="30"/>
  <c r="H2" i="32"/>
  <c r="I2" i="32"/>
  <c r="E2" i="28"/>
  <c r="F2" i="28"/>
  <c r="J2" i="20"/>
  <c r="H2" i="21"/>
  <c r="I2" i="21"/>
  <c r="H4" i="29"/>
  <c r="E2" i="27"/>
  <c r="F2" i="27" s="1"/>
  <c r="I4" i="72" l="1"/>
  <c r="E2" i="1"/>
  <c r="F2" i="1" s="1"/>
  <c r="E4" i="1"/>
  <c r="F4" i="1" s="1"/>
  <c r="E2" i="3"/>
  <c r="F2" i="3" s="1"/>
  <c r="H4" i="30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30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I4" i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H2" i="34" s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<sst xmlns="http://schemas.openxmlformats.org/spreadsheetml/2006/main" count="245" uniqueCount="59">
  <si>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</si>
  <si>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</si>
  <si>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</si>
  <si>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</si>
  <si>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</si>
  <si>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</si>
  <si>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</si>
  <si>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</si>
  <si>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</si>
  <si>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</si>
  <si>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</si>
  <si>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</si>
  <si>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</si>
  <si>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</si>
  <si>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</si>
  <si>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</si>
  <si>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</si>
  <si>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</si>
  <si>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</si>
  <si>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</si>
  <si>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</si>
  <si>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</si>
  <si>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</si>
  <si>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 Inverter 1-12 has tripping on &amp; off on 01/27.
2. Inverter 1-18 was offline from 01/08 to 01/11 and on 01/15 technician isolated a string on CB 18</t>
  </si>
  <si>
    <t>1. SR115381
2. 	SR114299</t>
  </si>
  <si>
    <t>1. Pending
2. Pending</t>
  </si>
  <si>
    <t>SR114299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</si>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</sst>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5" fillId="38" borderId="14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0" fillId="38" borderId="0" xfId="2" applyNumberFormat="1" applyFont="1" applyFill="1" applyAlignment="1">
      <alignment vertical="top" wrapText="1"/>
    </xf>
    <xf numFmtId="0" fontId="0" fillId="0" borderId="0" xfId="0" applyAlignment="1">
      <alignment horizontal="left" vertical="top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114299" TargetMode="External"/><Relationship Id="rId1" Type="http://schemas.openxmlformats.org/officeDocument/2006/relationships/hyperlink" Target="https://us3.assetplanner.com/service_request?ID=11538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34" sqref="F3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366293.8</v>
      </c>
      <c r="D2" s="5">
        <f>SUM(D4:D79)</f>
        <v>401284.6</v>
      </c>
      <c r="E2" s="5">
        <f>C2-D2</f>
        <v>-34990.799999999988</v>
      </c>
      <c r="F2" s="6">
        <f>IFERROR(E2/D2, 0)</f>
        <v>-8.7196966940670015E-2</v>
      </c>
      <c r="G2" s="5">
        <f>SUM(G4:G79)</f>
        <v>467421.3</v>
      </c>
      <c r="H2" s="7">
        <f>C2-G2</f>
        <v>-101127.5</v>
      </c>
      <c r="I2" s="6">
        <f>IFERROR(H2/G2, 0)</f>
        <v>-0.21635192919107452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366293.8</v>
      </c>
      <c r="D4" s="12">
        <f>SUM('1st Qtr'!D4, '2nd Qtr'!D4, '3rd Qtr'!D4, '4th Qtr'!D4)</f>
        <v>401284.6</v>
      </c>
      <c r="E4" s="12">
        <f>IF(AND(ISNUMBER(C4),ISNUMBER(D4)), C4-D4, "")</f>
        <v>-34990.799999999988</v>
      </c>
      <c r="F4" s="13">
        <f>IFERROR(E4/D4, "")</f>
        <v>-8.7196966940670015E-2</v>
      </c>
      <c r="G4" s="14">
        <f>SUM('1st Qtr'!G4, '2nd Qtr'!G4, '3rd Qtr'!G4, '4th Qtr'!G4)</f>
        <v>467421.3</v>
      </c>
      <c r="H4" s="14">
        <f>SUM('1st Qtr'!H4, '2nd Qtr'!H4, '3rd Qtr'!H4, '4th Qtr'!H4)</f>
        <v>-101127.5</v>
      </c>
      <c r="I4" s="15">
        <f>IFERROR(H4/G4, "")</f>
        <v>-0.21635192919107452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15" sqref="G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366293.8</v>
      </c>
      <c r="D2" s="5">
        <f>SUM(D4:D79)</f>
        <v>401284.6</v>
      </c>
      <c r="E2" s="5">
        <f>C2-D2</f>
        <v>-34990.799999999988</v>
      </c>
      <c r="F2" s="6">
        <f>IFERROR(E2/D2, 0)</f>
        <v>-8.7196966940670015E-2</v>
      </c>
      <c r="G2" s="5">
        <f>SUM(G4:G79)</f>
        <v>467421.3</v>
      </c>
      <c r="H2" s="7">
        <f>C2-G2</f>
        <v>-101127.5</v>
      </c>
      <c r="I2" s="6">
        <f>IFERROR(H2/G2, 0)</f>
        <v>-0.21635192919107452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366293.8</v>
      </c>
      <c r="D4" s="12">
        <f>SUM(Jan!D4, Feb!D4, Mar!D4)</f>
        <v>401284.6</v>
      </c>
      <c r="E4" s="12">
        <f>IF(AND(ISNUMBER(C4),ISNUMBER(D4)), C4-D4, "")</f>
        <v>-34990.799999999988</v>
      </c>
      <c r="F4" s="13">
        <f>IFERROR(E4/D4, "")</f>
        <v>-8.7196966940670015E-2</v>
      </c>
      <c r="G4" s="14">
        <f>SUM(Jan!G4, Feb!G4, Mar!G4)</f>
        <v>467421.3</v>
      </c>
      <c r="H4" s="14">
        <f>SUM(Jan!H4, Feb!H4, Mar!H4)</f>
        <v>-101127.5</v>
      </c>
      <c r="I4" s="15">
        <f>IFERROR(H4/G4, "")</f>
        <v>-0.21635192919107452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0"/>
  <sheetViews>
    <sheetView tabSelected="1" workbookViewId="0">
      <pane xSplit="2" ySplit="3" topLeftCell="C4" activePane="bottomRight" state="frozen"/>
      <selection pane="bottomRight" activeCell="F17" sqref="F17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42578125" customWidth="1"/>
    <col min="13" max="14" width="8.85546875" style="56"/>
  </cols>
  <sheetData>
    <row r="1" spans="1:13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  <c r="L1" s="4"/>
    </row>
    <row r="2" spans="1:13" ht="19.5" customHeight="1">
      <c r="A2" s="62" t="s">
        <v>2</v>
      </c>
      <c r="B2" s="62"/>
      <c r="C2" s="5">
        <f>SUM(C4:C78)</f>
        <v>366293.8</v>
      </c>
      <c r="D2" s="5">
        <f>SUM(D4:D78)</f>
        <v>401284.6</v>
      </c>
      <c r="E2" s="5">
        <f>C2-D2</f>
        <v>-34990.799999999988</v>
      </c>
      <c r="F2" s="6">
        <f>IFERROR(E2/D2, 0)</f>
        <v>-8.7196966940670015E-2</v>
      </c>
      <c r="G2" s="5">
        <f>SUM(G4:G78)</f>
        <v>467421.3</v>
      </c>
      <c r="H2" s="7">
        <f>C2-G2</f>
        <v>-101127.5</v>
      </c>
      <c r="I2" s="6">
        <f>IFERROR(H2/G2, 0)</f>
        <v>-0.21635192919107452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22</v>
      </c>
    </row>
    <row r="4" spans="1:13" ht="84" customHeight="1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v>366293.8</v>
      </c>
      <c r="D4" s="12">
        <v>401284.6</v>
      </c>
      <c r="E4" s="12">
        <f>IF(AND(ISNUMBER(C4),ISNUMBER(D4)), C4-D4, "")</f>
        <v>-34990.799999999988</v>
      </c>
      <c r="F4" s="13">
        <f>IFERROR(E4/D4, "")</f>
        <v>-8.7196966940670015E-2</v>
      </c>
      <c r="G4" s="14">
        <v>467421.3</v>
      </c>
      <c r="H4" s="14">
        <f>IF(AND(ISNUMBER(C4),ISNUMBER(G4)), C4-G4, "")</f>
        <v>-101127.5</v>
      </c>
      <c r="I4" s="15">
        <f>IFERROR(H4/G4, "")</f>
        <v>-0.21635192919107452</v>
      </c>
      <c r="J4" s="36" t="s">
        <v>23</v>
      </c>
      <c r="K4" s="57" t="s">
        <v>24</v>
      </c>
      <c r="L4" s="55" t="s">
        <v>25</v>
      </c>
      <c r="M4" s="58" t="s">
        <v>26</v>
      </c>
    </row>
    <row r="5" spans="1:13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  <c r="L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  <c r="L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3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  <c r="L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115381" xr:uid="{1C5DE574-A8CF-4930-95B1-CC638BCCACC7}"/>
    <hyperlink ref="M4" r:id="rId2" display="https://us3.assetplanner.com/service_request?ID=114299" xr:uid="{9331B051-433B-432E-B994-835A24508C95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27</v>
      </c>
      <c r="E1" s="61"/>
      <c r="F1" s="61"/>
      <c r="G1" s="59" t="s">
        <v>28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29</v>
      </c>
      <c r="E1" s="61"/>
      <c r="F1" s="61"/>
      <c r="G1" s="59" t="s">
        <v>30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9"/>
      <c r="H4" s="14" t="str">
        <f>IF(AND(ISNUMBER(C4),ISNUMBER(G4)), C4-G4, "")</f>
        <v/>
      </c>
      <c r="I4" s="15" t="str">
        <f>IFERROR(H4/G4, "")</f>
        <v/>
      </c>
      <c r="J4" s="50"/>
      <c r="K4" s="50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31</v>
      </c>
      <c r="E1" s="61"/>
      <c r="F1" s="61"/>
      <c r="G1" s="59" t="s">
        <v>32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1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33" sqref="H33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33</v>
      </c>
      <c r="E1" s="61"/>
      <c r="F1" s="61"/>
      <c r="G1" s="59" t="s">
        <v>34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35</v>
      </c>
      <c r="E1" s="61"/>
      <c r="F1" s="61"/>
      <c r="G1" s="59" t="s">
        <v>36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37</v>
      </c>
      <c r="E1" s="61"/>
      <c r="F1" s="61"/>
      <c r="G1" s="59" t="s">
        <v>38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39</v>
      </c>
      <c r="E1" s="61"/>
      <c r="F1" s="61"/>
      <c r="G1" s="59" t="s">
        <v>40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43</v>
      </c>
      <c r="E1" s="61"/>
      <c r="F1" s="61"/>
      <c r="G1" s="59" t="s">
        <v>44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4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9" sqref="J2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47</v>
      </c>
      <c r="E1" s="61"/>
      <c r="F1" s="61"/>
      <c r="G1" s="59" t="s">
        <v>48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54</v>
      </c>
      <c r="B4" t="s">
        <v>55</v>
      </c>
      <c r="C4" s="42" t="s">
        <v>56</v>
      </c>
      <c r="D4" s="41" t="s">
        <v>57</v>
      </c>
      <c r="E4" t="s">
        <v>58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C0B8F6C9-B1B4-4DD3-85BE-1C28318BEA6F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