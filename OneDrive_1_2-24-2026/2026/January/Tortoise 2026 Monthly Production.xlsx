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BE03A366-8736-43B3-8E9B-187571EEE4FF}" xr6:coauthVersionLast="47" xr6:coauthVersionMax="47" xr10:uidLastSave="{00000000-0000-0000-0000-000000000000}"/>
  <bookViews>
    <workbookView xWindow="-108" yWindow="-108" windowWidth="23256" windowHeight="1245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31" l="1"/>
  <c r="H5" i="28"/>
  <c r="I5" i="28" s="1"/>
  <c r="H6" i="28"/>
  <c r="I6" i="28" s="1"/>
  <c r="E6" i="28"/>
  <c r="E7" i="28"/>
  <c r="E8" i="28"/>
  <c r="E9" i="28"/>
  <c r="F9" i="28" s="1"/>
  <c r="E10" i="28"/>
  <c r="F10" i="28" s="1"/>
  <c r="E11" i="28"/>
  <c r="E12" i="28"/>
  <c r="E13" i="28"/>
  <c r="E6" i="27"/>
  <c r="H4" i="19"/>
  <c r="I4" i="19" s="1"/>
  <c r="H5" i="19"/>
  <c r="I5" i="19" s="1"/>
  <c r="E4" i="19"/>
  <c r="F4" i="19" s="1"/>
  <c r="E5" i="19"/>
  <c r="F5" i="19" s="1"/>
  <c r="E6" i="19"/>
  <c r="E7" i="19"/>
  <c r="F7" i="19" s="1"/>
  <c r="E8" i="19"/>
  <c r="E4" i="20"/>
  <c r="E7" i="21"/>
  <c r="E13" i="21"/>
  <c r="F13" i="21" s="1"/>
  <c r="H4" i="4"/>
  <c r="I4" i="4" s="1"/>
  <c r="E7" i="4"/>
  <c r="F7" i="4" s="1"/>
  <c r="E13" i="4"/>
  <c r="F13" i="4" s="1"/>
  <c r="H10" i="4"/>
  <c r="H11" i="4"/>
  <c r="H12" i="4"/>
  <c r="I12" i="4" s="1"/>
  <c r="H13" i="4"/>
  <c r="I13" i="4" s="1"/>
  <c r="F11" i="4"/>
  <c r="F12" i="4"/>
  <c r="E9" i="4"/>
  <c r="F9" i="4" s="1"/>
  <c r="E10" i="4"/>
  <c r="F10" i="4" s="1"/>
  <c r="E11" i="4"/>
  <c r="E12" i="4"/>
  <c r="I7" i="3"/>
  <c r="I8" i="3"/>
  <c r="I9" i="3"/>
  <c r="I11" i="3"/>
  <c r="E5" i="3"/>
  <c r="E8" i="3"/>
  <c r="F12" i="3"/>
  <c r="F13" i="3"/>
  <c r="H9" i="3"/>
  <c r="H10" i="3"/>
  <c r="I10" i="3" s="1"/>
  <c r="H11" i="3"/>
  <c r="H12" i="3"/>
  <c r="I12" i="3" s="1"/>
  <c r="H13" i="3"/>
  <c r="I13" i="3" s="1"/>
  <c r="E9" i="3"/>
  <c r="F9" i="3" s="1"/>
  <c r="E10" i="3"/>
  <c r="F10" i="3" s="1"/>
  <c r="E11" i="3"/>
  <c r="F11" i="3" s="1"/>
  <c r="E12" i="3"/>
  <c r="E13" i="3"/>
  <c r="H8" i="72"/>
  <c r="I8" i="72" s="1"/>
  <c r="E8" i="72"/>
  <c r="F8" i="72" s="1"/>
  <c r="G6" i="29"/>
  <c r="G7" i="29"/>
  <c r="H17" i="31"/>
  <c r="I17" i="31" s="1"/>
  <c r="G2" i="31"/>
  <c r="G6" i="30"/>
  <c r="G7" i="30"/>
  <c r="G5" i="30"/>
  <c r="G4" i="30"/>
  <c r="A4" i="28" a="1"/>
  <c r="A4" i="28"/>
  <c r="G5" i="29"/>
  <c r="G4" i="29"/>
  <c r="E12" i="27"/>
  <c r="F12" i="27" s="1"/>
  <c r="E5" i="27"/>
  <c r="F5" i="27" s="1"/>
  <c r="H11" i="19"/>
  <c r="I11" i="19" s="1"/>
  <c r="E11" i="19"/>
  <c r="F11" i="19" s="1"/>
  <c r="H10" i="19"/>
  <c r="I10" i="19" s="1"/>
  <c r="E10" i="19"/>
  <c r="H9" i="19"/>
  <c r="E9" i="19"/>
  <c r="F9" i="19" s="1"/>
  <c r="H8" i="19"/>
  <c r="I8" i="19" s="1"/>
  <c r="H7" i="19"/>
  <c r="I7" i="19" s="1"/>
  <c r="H6" i="19"/>
  <c r="I6" i="19" s="1"/>
  <c r="F6" i="19"/>
  <c r="H17" i="19"/>
  <c r="E17" i="19"/>
  <c r="H16" i="19"/>
  <c r="E16" i="19"/>
  <c r="H15" i="19"/>
  <c r="E15" i="19"/>
  <c r="H14" i="19"/>
  <c r="I14" i="19" s="1"/>
  <c r="E14" i="19"/>
  <c r="H13" i="19"/>
  <c r="I13" i="19" s="1"/>
  <c r="E13" i="19"/>
  <c r="F13" i="19" s="1"/>
  <c r="H12" i="19"/>
  <c r="E12" i="19"/>
  <c r="H9" i="21"/>
  <c r="I9" i="21" s="1"/>
  <c r="H10" i="21"/>
  <c r="I10" i="21" s="1"/>
  <c r="H11" i="21"/>
  <c r="I11" i="21" s="1"/>
  <c r="H12" i="21"/>
  <c r="I12" i="21" s="1"/>
  <c r="E9" i="21"/>
  <c r="F9" i="21" s="1"/>
  <c r="E10" i="21"/>
  <c r="F10" i="21" s="1"/>
  <c r="E11" i="21"/>
  <c r="F11" i="21" s="1"/>
  <c r="E12" i="21"/>
  <c r="F12" i="21" s="1"/>
  <c r="A4" i="19" a="1"/>
  <c r="A4" i="19" s="1"/>
  <c r="E6" i="72"/>
  <c r="F6" i="72" s="1"/>
  <c r="H6" i="72"/>
  <c r="E7" i="72"/>
  <c r="F7" i="72" s="1"/>
  <c r="H7" i="72"/>
  <c r="I7" i="72" s="1"/>
  <c r="C6" i="30"/>
  <c r="D6" i="30"/>
  <c r="C7" i="30"/>
  <c r="D7" i="30"/>
  <c r="C6" i="29"/>
  <c r="D6" i="29"/>
  <c r="C7" i="29"/>
  <c r="D7" i="29"/>
  <c r="C6" i="18"/>
  <c r="D6" i="18"/>
  <c r="G6" i="18"/>
  <c r="C7" i="18"/>
  <c r="D7" i="18"/>
  <c r="G7" i="18"/>
  <c r="G7" i="1"/>
  <c r="D7" i="1"/>
  <c r="C7" i="1"/>
  <c r="G6" i="1"/>
  <c r="D6" i="1"/>
  <c r="C6" i="1"/>
  <c r="E6" i="32"/>
  <c r="F6" i="32" s="1"/>
  <c r="H6" i="32"/>
  <c r="I6" i="32" s="1"/>
  <c r="E7" i="32"/>
  <c r="F7" i="32" s="1"/>
  <c r="H7" i="32"/>
  <c r="I7" i="32" s="1"/>
  <c r="E8" i="32"/>
  <c r="F8" i="32" s="1"/>
  <c r="H8" i="32"/>
  <c r="I8" i="32" s="1"/>
  <c r="E9" i="32"/>
  <c r="F9" i="32" s="1"/>
  <c r="H9" i="32"/>
  <c r="I9" i="32" s="1"/>
  <c r="E10" i="32"/>
  <c r="F10" i="32" s="1"/>
  <c r="H10" i="32"/>
  <c r="I10" i="32" s="1"/>
  <c r="E11" i="32"/>
  <c r="F11" i="32" s="1"/>
  <c r="H11" i="32"/>
  <c r="I11" i="32" s="1"/>
  <c r="E12" i="32"/>
  <c r="F12" i="32" s="1"/>
  <c r="H12" i="32"/>
  <c r="I12" i="32" s="1"/>
  <c r="E13" i="32"/>
  <c r="F13" i="32" s="1"/>
  <c r="H13" i="32"/>
  <c r="I13" i="32" s="1"/>
  <c r="E6" i="33"/>
  <c r="F6" i="33" s="1"/>
  <c r="I6" i="33"/>
  <c r="E7" i="33"/>
  <c r="F7" i="33" s="1"/>
  <c r="H7" i="33"/>
  <c r="I7" i="33" s="1"/>
  <c r="E8" i="33"/>
  <c r="F8" i="33" s="1"/>
  <c r="H8" i="33"/>
  <c r="I8" i="33" s="1"/>
  <c r="E9" i="33"/>
  <c r="F9" i="33" s="1"/>
  <c r="H9" i="33"/>
  <c r="I9" i="33" s="1"/>
  <c r="E10" i="33"/>
  <c r="F10" i="33" s="1"/>
  <c r="H10" i="33"/>
  <c r="I10" i="33" s="1"/>
  <c r="E11" i="33"/>
  <c r="F11" i="33" s="1"/>
  <c r="H11" i="33"/>
  <c r="I11" i="33" s="1"/>
  <c r="E12" i="33"/>
  <c r="F12" i="33" s="1"/>
  <c r="H12" i="33"/>
  <c r="I12" i="33" s="1"/>
  <c r="E13" i="33"/>
  <c r="F13" i="33" s="1"/>
  <c r="H13" i="33"/>
  <c r="I13" i="33" s="1"/>
  <c r="H5" i="20"/>
  <c r="I5" i="20" s="1"/>
  <c r="H6" i="20"/>
  <c r="I6" i="20" s="1"/>
  <c r="H7" i="20"/>
  <c r="I7" i="20" s="1"/>
  <c r="H8" i="20"/>
  <c r="I8" i="20" s="1"/>
  <c r="H9" i="20"/>
  <c r="I9" i="20" s="1"/>
  <c r="H10" i="20"/>
  <c r="I10" i="20" s="1"/>
  <c r="E5" i="20"/>
  <c r="F5" i="20" s="1"/>
  <c r="E6" i="20"/>
  <c r="F6" i="20" s="1"/>
  <c r="E7" i="20"/>
  <c r="F7" i="20" s="1"/>
  <c r="E8" i="20"/>
  <c r="F8" i="20" s="1"/>
  <c r="E9" i="20"/>
  <c r="F9" i="20" s="1"/>
  <c r="E10" i="20"/>
  <c r="F10" i="20" s="1"/>
  <c r="G5" i="18"/>
  <c r="G4" i="18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I17" i="19"/>
  <c r="F17" i="19"/>
  <c r="I16" i="19"/>
  <c r="F16" i="19"/>
  <c r="H9" i="4"/>
  <c r="I9" i="4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F5" i="3"/>
  <c r="H5" i="3"/>
  <c r="I5" i="3" s="1"/>
  <c r="E6" i="3"/>
  <c r="F6" i="3" s="1"/>
  <c r="H6" i="3"/>
  <c r="I6" i="3" s="1"/>
  <c r="E7" i="3"/>
  <c r="F7" i="3" s="1"/>
  <c r="H7" i="3"/>
  <c r="F8" i="3"/>
  <c r="H8" i="3"/>
  <c r="G5" i="1"/>
  <c r="G4" i="1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E5" i="29" s="1"/>
  <c r="F5" i="29" s="1"/>
  <c r="D4" i="29"/>
  <c r="C4" i="29"/>
  <c r="D5" i="18"/>
  <c r="C5" i="18"/>
  <c r="D4" i="18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I6" i="31"/>
  <c r="E6" i="31"/>
  <c r="F6" i="31" s="1"/>
  <c r="H5" i="31"/>
  <c r="I5" i="31" s="1"/>
  <c r="E5" i="31"/>
  <c r="F5" i="31" s="1"/>
  <c r="H4" i="31"/>
  <c r="I4" i="31" s="1"/>
  <c r="E4" i="31"/>
  <c r="F4" i="31" s="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F13" i="28"/>
  <c r="H12" i="28"/>
  <c r="I12" i="28" s="1"/>
  <c r="F12" i="28"/>
  <c r="H11" i="28"/>
  <c r="I11" i="28" s="1"/>
  <c r="F11" i="28"/>
  <c r="H10" i="28"/>
  <c r="I10" i="28" s="1"/>
  <c r="H9" i="28"/>
  <c r="I9" i="28" s="1"/>
  <c r="H8" i="28"/>
  <c r="I8" i="28" s="1"/>
  <c r="F8" i="28"/>
  <c r="H7" i="28"/>
  <c r="I7" i="28" s="1"/>
  <c r="F7" i="28"/>
  <c r="F6" i="28"/>
  <c r="E5" i="28"/>
  <c r="F5" i="28" s="1"/>
  <c r="H4" i="28"/>
  <c r="I4" i="28" s="1"/>
  <c r="E4" i="28"/>
  <c r="F4" i="28" s="1"/>
  <c r="B4" i="28" a="1"/>
  <c r="B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F6" i="27"/>
  <c r="H5" i="27"/>
  <c r="I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I15" i="19"/>
  <c r="F15" i="19"/>
  <c r="F14" i="19"/>
  <c r="I12" i="19"/>
  <c r="F12" i="19"/>
  <c r="F10" i="19"/>
  <c r="I9" i="19"/>
  <c r="F8" i="19"/>
  <c r="G2" i="19"/>
  <c r="D2" i="19"/>
  <c r="C2" i="19"/>
  <c r="J2" i="19" s="1"/>
  <c r="A1" i="19" a="1"/>
  <c r="A1" i="19" s="1"/>
  <c r="H4" i="20"/>
  <c r="I4" i="20" s="1"/>
  <c r="F4" i="20"/>
  <c r="G2" i="20"/>
  <c r="D2" i="20"/>
  <c r="C2" i="20"/>
  <c r="A1" i="20" a="1"/>
  <c r="A1" i="20" s="1"/>
  <c r="H8" i="21"/>
  <c r="I8" i="21" s="1"/>
  <c r="E8" i="21"/>
  <c r="F8" i="21" s="1"/>
  <c r="H7" i="21"/>
  <c r="I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8" i="4"/>
  <c r="I8" i="4" s="1"/>
  <c r="E8" i="4"/>
  <c r="F8" i="4" s="1"/>
  <c r="H7" i="4"/>
  <c r="I7" i="4" s="1"/>
  <c r="H6" i="4"/>
  <c r="I6" i="4" s="1"/>
  <c r="E6" i="4"/>
  <c r="F6" i="4" s="1"/>
  <c r="H5" i="4"/>
  <c r="I5" i="4" s="1"/>
  <c r="E5" i="4"/>
  <c r="F5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H7" i="29" l="1"/>
  <c r="I7" i="29" s="1"/>
  <c r="I11" i="4"/>
  <c r="I10" i="4"/>
  <c r="C5" i="34"/>
  <c r="C7" i="34"/>
  <c r="G7" i="34"/>
  <c r="G2" i="29"/>
  <c r="G6" i="34"/>
  <c r="G5" i="34"/>
  <c r="D5" i="34"/>
  <c r="G2" i="30"/>
  <c r="D6" i="34"/>
  <c r="C6" i="34"/>
  <c r="G4" i="34"/>
  <c r="E7" i="30"/>
  <c r="F7" i="30" s="1"/>
  <c r="D7" i="34"/>
  <c r="E6" i="30"/>
  <c r="F6" i="30" s="1"/>
  <c r="E7" i="29"/>
  <c r="F7" i="29" s="1"/>
  <c r="H7" i="30"/>
  <c r="H6" i="30"/>
  <c r="I6" i="30" s="1"/>
  <c r="E6" i="29"/>
  <c r="F6" i="29" s="1"/>
  <c r="H6" i="29"/>
  <c r="H7" i="18"/>
  <c r="I7" i="18" s="1"/>
  <c r="E6" i="18"/>
  <c r="F6" i="18" s="1"/>
  <c r="E7" i="18"/>
  <c r="F7" i="18" s="1"/>
  <c r="H6" i="18"/>
  <c r="I6" i="18" s="1"/>
  <c r="H6" i="1"/>
  <c r="I6" i="1" s="1"/>
  <c r="H7" i="1"/>
  <c r="I7" i="1" s="1"/>
  <c r="I6" i="72"/>
  <c r="E6" i="1"/>
  <c r="F6" i="1" s="1"/>
  <c r="E7" i="1"/>
  <c r="F7" i="1" s="1"/>
  <c r="G2" i="18"/>
  <c r="D2" i="30"/>
  <c r="D2" i="18"/>
  <c r="E5" i="18"/>
  <c r="F5" i="18" s="1"/>
  <c r="E4" i="18"/>
  <c r="F4" i="18" s="1"/>
  <c r="D4" i="34"/>
  <c r="E4" i="30"/>
  <c r="F4" i="30" s="1"/>
  <c r="E5" i="30"/>
  <c r="F5" i="30" s="1"/>
  <c r="D2" i="29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E5" i="1"/>
  <c r="F5" i="1" s="1"/>
  <c r="H4" i="30"/>
  <c r="I4" i="30" s="1"/>
  <c r="H5" i="30"/>
  <c r="I6" i="26"/>
  <c r="I9" i="26"/>
  <c r="I12" i="26"/>
  <c r="I15" i="26"/>
  <c r="H4" i="29"/>
  <c r="I4" i="29" s="1"/>
  <c r="H5" i="29"/>
  <c r="I5" i="29" s="1"/>
  <c r="I7" i="26"/>
  <c r="H4" i="18"/>
  <c r="I4" i="18" s="1"/>
  <c r="C4" i="34"/>
  <c r="H5" i="18"/>
  <c r="I5" i="18" s="1"/>
  <c r="C2" i="29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7" i="34" l="1"/>
  <c r="F7" i="34" s="1"/>
  <c r="E5" i="34"/>
  <c r="F5" i="34" s="1"/>
  <c r="G2" i="34"/>
  <c r="I5" i="30"/>
  <c r="H5" i="34"/>
  <c r="I5" i="34" s="1"/>
  <c r="I7" i="30"/>
  <c r="H7" i="34"/>
  <c r="I7" i="34" s="1"/>
  <c r="I6" i="29"/>
  <c r="H6" i="34"/>
  <c r="I6" i="34" s="1"/>
  <c r="E6" i="34"/>
  <c r="F6" i="34" s="1"/>
  <c r="E2" i="29"/>
  <c r="F2" i="29" s="1"/>
  <c r="D2" i="34"/>
  <c r="E4" i="34"/>
  <c r="F4" i="34" s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<sst xmlns="http://schemas.openxmlformats.org/spreadsheetml/2006/main" count="260" uniqueCount="68">
  <si>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</si>
  <si>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</si>
  <si>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</si>
  <si>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</si>
  <si>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</si>
  <si>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</si>
  <si>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</si>
  <si>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</si>
  <si>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</si>
  <si>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</si>
  <si>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</si>
  <si>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</si>
  <si>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</si>
  <si>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</si>
  <si>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</si>
  <si>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</si>
  <si>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</si>
  <si>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</si>
  <si>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</si>
  <si>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</si>
  <si>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</si>
  <si>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</si>
  <si>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1 was offline for whole month.</t>
  </si>
  <si>
    <t>1. SR114184</t>
  </si>
  <si>
    <t>1. Pending</t>
  </si>
  <si>
    <t>1. On 01/12  the technician found 2 inverters with an identical fault: "Coolant Flow." and rest them the inverters are back online.
2. Site production was minimal due to snow on 01/10</t>
  </si>
  <si>
    <t>1. SR112674</t>
  </si>
  <si>
    <t>1. Site production was minimal due to snow on 01/08, 01/09, 01/10, 01/23</t>
  </si>
  <si>
    <t>1. Site production was minimal due to snow on 01/08, 01/09, 01/10, 01/13, 01/23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</si>
  <si>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</si>
  <si>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</si>
  <si>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</si>
  <si>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</si>
  <si>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</si>
  <si>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</si>
  <si>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</si>
  <si>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</si>
  <si>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</si>
  <si>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</si>
  <si>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</si>
  <si>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</si>
  <si>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</si>
  <si>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</si>
  <si>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</si>
  <si>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</si>
  <si>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</si>
  <si>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</si>
  <si>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Status</t>
  </si>
  <si>
    <t>November Actual v. Expected</t>
  </si>
  <si>
    <t>November Actual v. Forecasted</t>
  </si>
  <si>
    <t>SR Status</t>
  </si>
  <si>
    <t>December Actual v. Expected</t>
  </si>
  <si>
    <t>December Actual v. Forecasted</t>
  </si>
  <si>
    <t>Portfolio:</t>
  </si>
  <si>
    <t>Tortoise</t>
  </si>
  <si>
    <t>Site DAS Name</t>
  </si>
  <si>
    <t>Update</t>
  </si>
  <si>
    <t>DAS</t>
  </si>
  <si>
    <t>003 - Alamosa School District</t>
  </si>
  <si>
    <t>Alamosa School District</t>
  </si>
  <si>
    <t>CO</t>
  </si>
  <si>
    <t>PowerTrack</t>
  </si>
  <si>
    <t>002 - San Luis Valley Regional MC</t>
  </si>
  <si>
    <t>San Luis Valley</t>
  </si>
  <si>
    <t>002 - NREL 2</t>
  </si>
  <si>
    <t>Golden NREL 2</t>
  </si>
  <si>
    <t>004 - NREL Wind 3</t>
  </si>
  <si>
    <t>Golden NREL Wind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</si>
</sst>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  <font>
      <sz val="8"/>
      <name val="Arial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9" fillId="0" borderId="0" applyNumberFormat="0" applyFill="0" applyBorder="0" applyAlignment="0" applyProtection="0"/>
  </cellStyleXfs>
  <cellXfs count="79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23" fillId="0" borderId="0" xfId="43" applyFont="1"/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49" fontId="28" fillId="40" borderId="0" xfId="0" applyNumberFormat="1" applyFont="1" applyFill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0" fontId="3" fillId="0" borderId="0" xfId="0" applyFont="1"/>
    <xf numFmtId="0" fontId="36" fillId="0" borderId="0" xfId="0" applyFont="1"/>
    <xf numFmtId="49" fontId="37" fillId="38" borderId="0" xfId="2" applyNumberFormat="1" applyFont="1" applyFill="1" applyBorder="1" applyAlignment="1">
      <alignment horizontal="left" vertical="top" wrapText="1"/>
    </xf>
    <xf numFmtId="164" fontId="29" fillId="44" borderId="0" xfId="1" applyNumberFormat="1" applyFont="1" applyFill="1" applyAlignment="1">
      <alignment horizontal="center" vertical="center"/>
    </xf>
    <xf numFmtId="3" fontId="31" fillId="4" borderId="0" xfId="1" applyNumberFormat="1" applyFont="1" applyFill="1" applyBorder="1" applyAlignment="1">
      <alignment vertical="center" wrapText="1"/>
    </xf>
    <xf numFmtId="49" fontId="29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left" vertical="center" wrapText="1"/>
    </xf>
    <xf numFmtId="49" fontId="31" fillId="38" borderId="0" xfId="2" applyNumberFormat="1" applyFont="1" applyFill="1" applyBorder="1" applyAlignment="1">
      <alignment horizontal="left" vertical="top" wrapText="1"/>
    </xf>
    <xf numFmtId="0" fontId="35" fillId="40" borderId="0" xfId="0" applyFont="1" applyFill="1" applyAlignment="1">
      <alignment horizontal="center" vertical="center"/>
    </xf>
    <xf numFmtId="164" fontId="29" fillId="0" borderId="0" xfId="1" applyNumberFormat="1" applyFont="1" applyAlignment="1">
      <alignment horizontal="center" vertical="center"/>
    </xf>
    <xf numFmtId="9" fontId="31" fillId="0" borderId="0" xfId="2" applyFont="1" applyAlignment="1">
      <alignment horizontal="center" vertical="center"/>
    </xf>
    <xf numFmtId="3" fontId="31" fillId="0" borderId="0" xfId="1" applyNumberFormat="1" applyFont="1" applyFill="1" applyBorder="1" applyAlignment="1">
      <alignment vertical="center" wrapText="1"/>
    </xf>
    <xf numFmtId="49" fontId="29" fillId="0" borderId="0" xfId="0" applyNumberFormat="1" applyFont="1" applyAlignment="1">
      <alignment vertical="top" wrapText="1"/>
    </xf>
    <xf numFmtId="9" fontId="31" fillId="37" borderId="0" xfId="2" applyFont="1" applyFill="1" applyAlignment="1">
      <alignment horizontal="center" vertical="center"/>
    </xf>
    <xf numFmtId="3" fontId="31" fillId="0" borderId="0" xfId="1" applyNumberFormat="1" applyFont="1" applyAlignment="1">
      <alignment vertical="center"/>
    </xf>
    <xf numFmtId="49" fontId="39" fillId="38" borderId="0" xfId="45" applyNumberFormat="1" applyFill="1" applyBorder="1" applyAlignment="1">
      <alignment horizontal="left" vertical="top" wrapText="1"/>
    </xf>
    <xf numFmtId="49" fontId="39" fillId="0" borderId="0" xfId="45" applyNumberFormat="1" applyAlignment="1">
      <alignment horizontal="left" vertical="top" wrapText="1"/>
    </xf>
    <xf numFmtId="0" fontId="39" fillId="0" borderId="0" xfId="45" applyAlignment="1">
      <alignment horizontal="left" vertical="top"/>
    </xf>
    <xf numFmtId="0" fontId="0" fillId="0" borderId="0" xfId="0" applyAlignment="1">
      <alignment horizontal="left" vertical="top"/>
    </xf>
    <xf numFmtId="49" fontId="31" fillId="38" borderId="0" xfId="2" applyNumberFormat="1" applyFont="1" applyFill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0" fontId="31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49" fontId="39" fillId="0" borderId="0" xfId="45" applyNumberFormat="1" applyAlignment="1">
      <alignment horizontal="left" vertical="center" wrapText="1"/>
    </xf>
    <xf numFmtId="49" fontId="39" fillId="38" borderId="0" xfId="45" applyNumberFormat="1" applyFill="1" applyBorder="1" applyAlignment="1">
      <alignment vertical="top" wrapText="1"/>
    </xf>
    <xf numFmtId="3" fontId="31" fillId="0" borderId="0" xfId="1" applyNumberFormat="1" applyFont="1" applyFill="1" applyBorder="1" applyAlignment="1">
      <alignment horizontal="right" vertical="center"/>
    </xf>
    <xf numFmtId="0" fontId="39" fillId="0" borderId="0" xfId="45" applyAlignment="1">
      <alignment vertical="top"/>
    </xf>
    <xf numFmtId="3" fontId="31" fillId="0" borderId="0" xfId="1" applyNumberFormat="1" applyFont="1" applyFill="1" applyBorder="1" applyAlignment="1">
      <alignment horizontal="right"/>
    </xf>
    <xf numFmtId="0" fontId="33" fillId="0" borderId="0" xfId="0" applyFont="1" applyAlignment="1">
      <alignment horizontal="left" vertical="top"/>
    </xf>
    <xf numFmtId="49" fontId="39" fillId="0" borderId="0" xfId="45" applyNumberFormat="1" applyAlignment="1">
      <alignment vertical="center" wrapText="1"/>
    </xf>
    <xf numFmtId="49" fontId="39" fillId="0" borderId="0" xfId="45" applyNumberFormat="1" applyAlignment="1">
      <alignment vertical="top" wrapText="1"/>
    </xf>
    <xf numFmtId="0" fontId="39" fillId="0" borderId="0" xfId="45"/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112674" TargetMode="External"/><Relationship Id="rId1" Type="http://schemas.openxmlformats.org/officeDocument/2006/relationships/hyperlink" Target="https://us3.assetplanner.com/service_request?ID=11418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7"/>
  <sheetViews>
    <sheetView workbookViewId="0">
      <pane xSplit="2" ySplit="3" topLeftCell="C4" activePane="bottomRight" state="frozen"/>
      <selection pane="bottomRight" activeCell="E11" sqref="E11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Tortoise</v>
      </c>
      <c r="B1" s="76"/>
      <c r="C1" s="76"/>
      <c r="D1" s="77" t="s">
        <v>0</v>
      </c>
      <c r="E1" s="77"/>
      <c r="F1" s="77"/>
      <c r="G1" s="75" t="s">
        <v>1</v>
      </c>
      <c r="H1" s="75"/>
      <c r="I1" s="75"/>
    </row>
    <row r="2" spans="1:9" ht="19.5" customHeight="1">
      <c r="A2" s="78" t="s">
        <v>2</v>
      </c>
      <c r="B2" s="78"/>
      <c r="C2" s="6">
        <f>SUM(C4:C85)</f>
        <v>222521.60000000001</v>
      </c>
      <c r="D2" s="6">
        <f>SUM(D4:D85)</f>
        <v>376462.1</v>
      </c>
      <c r="E2" s="6">
        <f>C2-D2</f>
        <v>-153940.49999999997</v>
      </c>
      <c r="F2" s="7">
        <f>IFERROR(E2/D2, 0)</f>
        <v>-0.40891367285046748</v>
      </c>
      <c r="G2" s="6">
        <f>SUM(G4:G85)</f>
        <v>387471.85399999993</v>
      </c>
      <c r="H2" s="8">
        <f>C2-G2</f>
        <v>-164950.25399999993</v>
      </c>
      <c r="I2" s="7">
        <f>IFERROR(H2/G2, 0)</f>
        <v>-0.42570899614298169</v>
      </c>
    </row>
    <row r="3" spans="1:9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3" t="str" cm="1">
        <f t="array" ref="A4:A7">Sites[Site]</f>
        <v>Alamosa School District</v>
      </c>
      <c r="B4" s="10" t="str" cm="1">
        <f t="array" ref="B4:B7">Sites[State]</f>
        <v>CO</v>
      </c>
      <c r="C4" s="25">
        <f>SUM('1st Qtr'!C4, '2nd Qtr'!C4, '3rd Qtr'!C4, '4th Qtr'!C4)</f>
        <v>43167.3</v>
      </c>
      <c r="D4" s="14">
        <f>SUM('1st Qtr'!D4, '2nd Qtr'!D4, '3rd Qtr'!D4, '4th Qtr'!D4)</f>
        <v>120900.5</v>
      </c>
      <c r="E4" s="14">
        <f>IF(AND(ISNUMBER(C4),ISNUMBER(D4)), C4-D4, "")</f>
        <v>-77733.2</v>
      </c>
      <c r="F4" s="15">
        <f>IFERROR(E4/D4, "")</f>
        <v>-0.64295184883437206</v>
      </c>
      <c r="G4" s="16">
        <f>SUM('1st Qtr'!G4, '2nd Qtr'!G4, '3rd Qtr'!G4, '4th Qtr'!G4)</f>
        <v>97896.453999999998</v>
      </c>
      <c r="H4" s="16">
        <f>SUM('1st Qtr'!H4, '2nd Qtr'!H4, '3rd Qtr'!H4, '4th Qtr'!H4)</f>
        <v>-54729.153999999995</v>
      </c>
      <c r="I4" s="56">
        <f>IFERROR(H4/G4, "")</f>
        <v>-0.55905144429439702</v>
      </c>
    </row>
    <row r="5" spans="1:9" ht="15.6">
      <c r="A5" s="18" t="str">
        <v>San Luis Valley</v>
      </c>
      <c r="B5" s="11" t="str">
        <v>CO</v>
      </c>
      <c r="C5" s="19">
        <f>SUM('1st Qtr'!C5, '2nd Qtr'!C5, '3rd Qtr'!C5, '4th Qtr'!C5)</f>
        <v>133153.5</v>
      </c>
      <c r="D5" s="19">
        <f>SUM('1st Qtr'!D5, '2nd Qtr'!D5, '3rd Qtr'!D5, '4th Qtr'!D5)</f>
        <v>175189.3</v>
      </c>
      <c r="E5" s="19">
        <f t="shared" ref="E5:E6" si="0">IF(AND(ISNUMBER(C5),ISNUMBER(D5)), C5-D5, "")</f>
        <v>-42035.799999999988</v>
      </c>
      <c r="F5" s="20">
        <f>IFERROR(E5/D5, "")</f>
        <v>-0.23994501947322119</v>
      </c>
      <c r="G5" s="21">
        <f>SUM('1st Qtr'!G5, '2nd Qtr'!G5, '3rd Qtr'!G5, '4th Qtr'!G5)</f>
        <v>178800.3</v>
      </c>
      <c r="H5" s="57">
        <f>SUM('1st Qtr'!H5, '2nd Qtr'!H5, '3rd Qtr'!H5, '4th Qtr'!H5)</f>
        <v>-45646.799999999988</v>
      </c>
      <c r="I5" s="20">
        <f>IFERROR(H5/G5, "")</f>
        <v>-0.25529487366631931</v>
      </c>
    </row>
    <row r="6" spans="1:9" ht="15.6">
      <c r="A6" s="13" t="str">
        <v>Golden NREL 2</v>
      </c>
      <c r="B6" s="10" t="str">
        <v>CO</v>
      </c>
      <c r="C6" s="25">
        <f>SUM('1st Qtr'!C6, '2nd Qtr'!C6, '3rd Qtr'!C6, '4th Qtr'!C6)</f>
        <v>6447.2</v>
      </c>
      <c r="D6" s="14">
        <f>SUM('1st Qtr'!D6, '2nd Qtr'!D6, '3rd Qtr'!D6, '4th Qtr'!D6)</f>
        <v>8336.5</v>
      </c>
      <c r="E6" s="14">
        <f t="shared" si="0"/>
        <v>-1889.3000000000002</v>
      </c>
      <c r="F6" s="15">
        <f t="shared" ref="F6:F7" si="1">IFERROR(E6/D6, "")</f>
        <v>-0.22662988064535478</v>
      </c>
      <c r="G6" s="16">
        <f>SUM('1st Qtr'!G6, '2nd Qtr'!G6, '3rd Qtr'!G6, '4th Qtr'!G6)</f>
        <v>9095.5</v>
      </c>
      <c r="H6" s="16">
        <f>SUM('1st Qtr'!H6, '2nd Qtr'!H6, '3rd Qtr'!H6, '4th Qtr'!H6)</f>
        <v>-2648.3</v>
      </c>
      <c r="I6" s="17">
        <f t="shared" ref="I6:I7" si="2">IFERROR(H6/G6, "")</f>
        <v>-0.29116596118959925</v>
      </c>
    </row>
    <row r="7" spans="1:9" ht="15.6">
      <c r="A7" s="18" t="str">
        <v>Golden NREL Wind 3</v>
      </c>
      <c r="B7" s="11" t="str">
        <v>CO</v>
      </c>
      <c r="C7" s="19">
        <f>SUM('1st Qtr'!C7, '2nd Qtr'!C7, '3rd Qtr'!C7, '4th Qtr'!C7)</f>
        <v>39753.599999999999</v>
      </c>
      <c r="D7" s="19">
        <f>SUM('1st Qtr'!D7, '2nd Qtr'!D7, '3rd Qtr'!D7, '4th Qtr'!D7)</f>
        <v>72035.8</v>
      </c>
      <c r="E7" s="19">
        <f t="shared" ref="E7" si="3">IF(AND(ISNUMBER(C7),ISNUMBER(D7)), C7-D7, "")</f>
        <v>-32282.200000000004</v>
      </c>
      <c r="F7" s="20">
        <f t="shared" si="1"/>
        <v>-0.44814106319357877</v>
      </c>
      <c r="G7" s="21">
        <f>SUM('1st Qtr'!G7, '2nd Qtr'!G7, '3rd Qtr'!G7, '4th Qtr'!G7)</f>
        <v>101679.6</v>
      </c>
      <c r="H7" s="21">
        <f>SUM('1st Qtr'!H7, '2nd Qtr'!H7, '3rd Qtr'!H7, '4th Qtr'!H7)</f>
        <v>-61926.000000000007</v>
      </c>
      <c r="I7" s="20">
        <f t="shared" si="2"/>
        <v>-0.60903072002643599</v>
      </c>
    </row>
    <row r="8" spans="1:9" ht="13.9">
      <c r="A8" s="22"/>
      <c r="B8" s="22"/>
      <c r="C8" s="22"/>
      <c r="D8" s="22"/>
      <c r="E8" s="22"/>
      <c r="F8" s="22"/>
      <c r="G8" s="22"/>
      <c r="H8" s="22"/>
      <c r="I8" s="22"/>
    </row>
    <row r="9" spans="1:9" ht="13.9">
      <c r="A9" s="22"/>
      <c r="B9" s="22"/>
      <c r="C9" s="22"/>
      <c r="D9" s="22"/>
      <c r="E9" s="22"/>
      <c r="F9" s="22"/>
      <c r="G9" s="22"/>
      <c r="H9" s="22"/>
      <c r="I9" s="22"/>
    </row>
    <row r="10" spans="1:9" ht="13.9">
      <c r="A10" s="22"/>
      <c r="B10" s="22"/>
      <c r="C10" s="22"/>
      <c r="D10" s="22"/>
      <c r="E10" s="22"/>
      <c r="F10" s="22"/>
      <c r="G10" s="22"/>
      <c r="H10" s="22"/>
      <c r="I10" s="22"/>
    </row>
    <row r="11" spans="1:9" ht="13.9">
      <c r="A11" s="22"/>
      <c r="B11" s="22"/>
      <c r="C11" s="22"/>
      <c r="D11" s="22"/>
      <c r="E11" s="22"/>
      <c r="F11" s="22"/>
      <c r="G11" s="22"/>
      <c r="H11" s="22"/>
      <c r="I11" s="22"/>
    </row>
    <row r="12" spans="1:9" ht="13.9">
      <c r="A12" s="22"/>
      <c r="B12" s="22"/>
      <c r="C12" s="22"/>
      <c r="D12" s="22"/>
      <c r="E12" s="22"/>
      <c r="F12" s="22"/>
      <c r="G12" s="22"/>
      <c r="H12" s="22"/>
      <c r="I12" s="22"/>
    </row>
    <row r="13" spans="1:9" ht="13.9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3.9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3"/>
      <c r="G18" s="22"/>
      <c r="H18" s="22"/>
      <c r="I18" s="23"/>
    </row>
    <row r="19" spans="1:9" ht="13.9">
      <c r="A19" s="22"/>
      <c r="B19" s="22"/>
      <c r="C19" s="22"/>
      <c r="D19" s="22"/>
      <c r="E19" s="22"/>
      <c r="F19" s="23"/>
      <c r="G19" s="22"/>
      <c r="H19" s="22"/>
      <c r="I19" s="23"/>
    </row>
    <row r="20" spans="1:9" ht="13.9">
      <c r="A20" s="22"/>
      <c r="B20" s="22"/>
      <c r="C20" s="22"/>
      <c r="D20" s="22"/>
      <c r="E20" s="22"/>
      <c r="F20" s="23"/>
      <c r="G20" s="22"/>
      <c r="H20" s="22"/>
      <c r="I20" s="23"/>
    </row>
    <row r="21" spans="1:9" ht="13.9">
      <c r="A21" s="22"/>
      <c r="B21" s="22"/>
      <c r="C21" s="22"/>
      <c r="D21" s="22"/>
      <c r="E21" s="22"/>
      <c r="F21" s="23"/>
      <c r="G21" s="22"/>
      <c r="H21" s="22"/>
      <c r="I21" s="23"/>
    </row>
    <row r="22" spans="1:9" ht="13.9">
      <c r="A22" s="22"/>
      <c r="B22" s="22"/>
      <c r="C22" s="22"/>
      <c r="D22" s="22"/>
      <c r="E22" s="22"/>
      <c r="F22" s="23"/>
      <c r="G22" s="22"/>
      <c r="H22" s="22"/>
      <c r="I22" s="23"/>
    </row>
    <row r="23" spans="1:9" ht="13.9">
      <c r="A23" s="22"/>
      <c r="B23" s="22"/>
      <c r="C23" s="22"/>
      <c r="D23" s="22"/>
      <c r="E23" s="22"/>
      <c r="F23" s="23"/>
      <c r="G23" s="22"/>
      <c r="H23" s="22"/>
      <c r="I23" s="23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5 I4:I85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7"/>
  <sheetViews>
    <sheetView workbookViewId="0">
      <pane xSplit="2" ySplit="3" topLeftCell="C4" activePane="bottomRight" state="frozen"/>
      <selection pane="bottomRight" activeCell="D23" sqref="D23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Tortoise</v>
      </c>
      <c r="B1" s="76"/>
      <c r="C1" s="76"/>
      <c r="D1" s="77" t="s">
        <v>10</v>
      </c>
      <c r="E1" s="77"/>
      <c r="F1" s="77"/>
      <c r="G1" s="75" t="s">
        <v>11</v>
      </c>
      <c r="H1" s="75"/>
      <c r="I1" s="75"/>
    </row>
    <row r="2" spans="1:9" ht="19.5" customHeight="1">
      <c r="A2" s="78" t="s">
        <v>2</v>
      </c>
      <c r="B2" s="78"/>
      <c r="C2" s="6">
        <f>SUM(C4:C85)</f>
        <v>222521.60000000001</v>
      </c>
      <c r="D2" s="6">
        <f>SUM(D4:D85)</f>
        <v>376462.1</v>
      </c>
      <c r="E2" s="6">
        <f>C2-D2</f>
        <v>-153940.49999999997</v>
      </c>
      <c r="F2" s="7">
        <f>IFERROR(E2/D2, 0)</f>
        <v>-0.40891367285046748</v>
      </c>
      <c r="G2" s="6">
        <f>SUM(G4:G85)</f>
        <v>387471.85399999993</v>
      </c>
      <c r="H2" s="8">
        <f>C2-G2</f>
        <v>-164950.25399999993</v>
      </c>
      <c r="I2" s="7">
        <f>IFERROR(H2/G2, 0)</f>
        <v>-0.42570899614298169</v>
      </c>
    </row>
    <row r="3" spans="1:9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3" t="str" cm="1">
        <f t="array" ref="A4:A7">Sites[Site]</f>
        <v>Alamosa School District</v>
      </c>
      <c r="B4" s="10" t="str" cm="1">
        <f t="array" ref="B4:B7">Sites[State]</f>
        <v>CO</v>
      </c>
      <c r="C4" s="25">
        <f>SUM(Jan!C4, Feb!C4, Mar!C4)</f>
        <v>43167.3</v>
      </c>
      <c r="D4" s="14">
        <f>SUM(Jan!D4, Feb!D4, Mar!D4)</f>
        <v>120900.5</v>
      </c>
      <c r="E4" s="14">
        <f>IF(AND(ISNUMBER(C4),ISNUMBER(D4)), C4-D4, "")</f>
        <v>-77733.2</v>
      </c>
      <c r="F4" s="15">
        <f>IFERROR(E4/D4, "")</f>
        <v>-0.64295184883437206</v>
      </c>
      <c r="G4" s="16">
        <f>SUM(Jan!G4, Feb!G4, Mar!G4)</f>
        <v>97896.453999999998</v>
      </c>
      <c r="H4" s="16">
        <f>SUM(Jan!H4, Feb!H4, Mar!H4)</f>
        <v>-54729.153999999995</v>
      </c>
      <c r="I4" s="17">
        <f>IFERROR(H4/G4, "")</f>
        <v>-0.55905144429439702</v>
      </c>
    </row>
    <row r="5" spans="1:9" ht="15.6">
      <c r="A5" s="18" t="str">
        <v>San Luis Valley</v>
      </c>
      <c r="B5" s="11" t="str">
        <v>CO</v>
      </c>
      <c r="C5" s="12">
        <f>SUM(Jan!C5, Feb!C5, Mar!C5)</f>
        <v>133153.5</v>
      </c>
      <c r="D5" s="19">
        <f>SUM(Jan!D5, Feb!D5, Mar!D5)</f>
        <v>175189.3</v>
      </c>
      <c r="E5" s="19">
        <f t="shared" ref="E5:E6" si="0">IF(AND(ISNUMBER(C5),ISNUMBER(D5)), C5-D5, "")</f>
        <v>-42035.799999999988</v>
      </c>
      <c r="F5" s="20">
        <f>IFERROR(E5/D5, "")</f>
        <v>-0.23994501947322119</v>
      </c>
      <c r="G5" s="21">
        <f>SUM(Jan!G5, Feb!G5, Mar!G5)</f>
        <v>178800.3</v>
      </c>
      <c r="H5" s="21">
        <f>SUM(Jan!H5, Feb!H5, Mar!H5)</f>
        <v>-45646.799999999988</v>
      </c>
      <c r="I5" s="20">
        <f>IFERROR(H5/G5, "")</f>
        <v>-0.25529487366631931</v>
      </c>
    </row>
    <row r="6" spans="1:9" ht="15.6">
      <c r="A6" s="13" t="str">
        <v>Golden NREL 2</v>
      </c>
      <c r="B6" s="10" t="str">
        <v>CO</v>
      </c>
      <c r="C6" s="25">
        <f>SUM(Jan!C6, Feb!C6, Mar!C6)</f>
        <v>6447.2</v>
      </c>
      <c r="D6" s="14">
        <f>SUM(Jan!D6, Feb!D6, Mar!D6)</f>
        <v>8336.5</v>
      </c>
      <c r="E6" s="14">
        <f t="shared" si="0"/>
        <v>-1889.3000000000002</v>
      </c>
      <c r="F6" s="15">
        <f t="shared" ref="F6:F7" si="1">IFERROR(E6/D6, "")</f>
        <v>-0.22662988064535478</v>
      </c>
      <c r="G6" s="16">
        <f>SUM(Jan!G6, Feb!G6, Mar!G6)</f>
        <v>9095.5</v>
      </c>
      <c r="H6" s="16">
        <f>SUM(Jan!H6, Feb!H6, Mar!H6)</f>
        <v>-2648.3</v>
      </c>
      <c r="I6" s="17">
        <f t="shared" ref="I6:I7" si="2">IFERROR(H6/G6, "")</f>
        <v>-0.29116596118959925</v>
      </c>
    </row>
    <row r="7" spans="1:9" ht="15.6">
      <c r="A7" s="18" t="str">
        <v>Golden NREL Wind 3</v>
      </c>
      <c r="B7" s="11" t="str">
        <v>CO</v>
      </c>
      <c r="C7" s="12">
        <f>SUM(Jan!C7, Feb!C7, Mar!C7)</f>
        <v>39753.599999999999</v>
      </c>
      <c r="D7" s="19">
        <f>SUM(Jan!D7, Feb!D7, Mar!D7)</f>
        <v>72035.8</v>
      </c>
      <c r="E7" s="19">
        <f t="shared" ref="E7" si="3">IF(AND(ISNUMBER(C7),ISNUMBER(D7)), C7-D7, "")</f>
        <v>-32282.200000000004</v>
      </c>
      <c r="F7" s="20">
        <f t="shared" si="1"/>
        <v>-0.44814106319357877</v>
      </c>
      <c r="G7" s="21">
        <f>SUM(Jan!G7, Feb!G7, Mar!G7)</f>
        <v>101679.6</v>
      </c>
      <c r="H7" s="21">
        <f>SUM(Jan!H7, Feb!H7, Mar!H7)</f>
        <v>-61926.000000000007</v>
      </c>
      <c r="I7" s="20">
        <f t="shared" si="2"/>
        <v>-0.60903072002643599</v>
      </c>
    </row>
    <row r="8" spans="1:9" ht="13.9">
      <c r="A8" s="22"/>
      <c r="B8" s="22"/>
      <c r="C8" s="22"/>
      <c r="D8" s="22"/>
      <c r="E8" s="22"/>
      <c r="F8" s="22"/>
      <c r="G8" s="22"/>
      <c r="H8" s="22"/>
      <c r="I8" s="22"/>
    </row>
    <row r="9" spans="1:9" ht="13.9">
      <c r="A9" s="22"/>
      <c r="B9" s="22"/>
      <c r="C9" s="22"/>
      <c r="D9" s="22"/>
      <c r="E9" s="22"/>
      <c r="F9" s="22"/>
      <c r="G9" s="22"/>
      <c r="H9" s="22"/>
      <c r="I9" s="22"/>
    </row>
    <row r="10" spans="1:9" ht="13.9">
      <c r="A10" s="22"/>
      <c r="B10" s="22"/>
      <c r="C10" s="22"/>
      <c r="D10" s="22"/>
      <c r="E10" s="22"/>
      <c r="F10" s="22"/>
      <c r="G10" s="22"/>
      <c r="H10" s="22"/>
      <c r="I10" s="22"/>
    </row>
    <row r="11" spans="1:9" ht="13.9">
      <c r="A11" s="22"/>
      <c r="B11" s="22"/>
      <c r="C11" s="22"/>
      <c r="D11" s="22"/>
      <c r="E11" s="22"/>
      <c r="F11" s="22"/>
      <c r="G11" s="22"/>
      <c r="H11" s="22"/>
      <c r="I11" s="22"/>
    </row>
    <row r="12" spans="1:9" ht="13.9">
      <c r="A12" s="22"/>
      <c r="B12" s="22"/>
      <c r="C12" s="22"/>
      <c r="D12" s="22"/>
      <c r="E12" s="22"/>
      <c r="F12" s="22"/>
      <c r="G12" s="22"/>
      <c r="H12" s="22"/>
      <c r="I12" s="22"/>
    </row>
    <row r="13" spans="1:9" ht="13.9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3.9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3"/>
      <c r="G18" s="22"/>
      <c r="H18" s="22"/>
      <c r="I18" s="23"/>
    </row>
    <row r="19" spans="1:9" ht="13.9">
      <c r="A19" s="22"/>
      <c r="B19" s="22"/>
      <c r="C19" s="22"/>
      <c r="D19" s="22"/>
      <c r="E19" s="22"/>
      <c r="F19" s="23"/>
      <c r="G19" s="22"/>
      <c r="H19" s="22"/>
      <c r="I19" s="23"/>
    </row>
    <row r="20" spans="1:9" ht="13.9">
      <c r="A20" s="22"/>
      <c r="B20" s="22"/>
      <c r="C20" s="22"/>
      <c r="D20" s="22"/>
      <c r="E20" s="22"/>
      <c r="F20" s="23"/>
      <c r="G20" s="22"/>
      <c r="H20" s="22"/>
      <c r="I20" s="23"/>
    </row>
    <row r="21" spans="1:9" ht="13.9">
      <c r="A21" s="22"/>
      <c r="B21" s="22"/>
      <c r="C21" s="22"/>
      <c r="D21" s="22"/>
      <c r="E21" s="22"/>
      <c r="F21" s="23"/>
      <c r="G21" s="22"/>
      <c r="H21" s="22"/>
      <c r="I21" s="23"/>
    </row>
    <row r="22" spans="1:9" ht="13.9">
      <c r="A22" s="22"/>
      <c r="B22" s="22"/>
      <c r="C22" s="22"/>
      <c r="D22" s="22"/>
      <c r="E22" s="22"/>
      <c r="F22" s="23"/>
      <c r="G22" s="22"/>
      <c r="H22" s="22"/>
      <c r="I22" s="23"/>
    </row>
    <row r="23" spans="1:9" ht="13.9">
      <c r="A23" s="22"/>
      <c r="B23" s="22"/>
      <c r="C23" s="22"/>
      <c r="D23" s="22"/>
      <c r="E23" s="22"/>
      <c r="F23" s="23"/>
      <c r="G23" s="22"/>
      <c r="H23" s="22"/>
      <c r="I23" s="23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5 I4:I85">
    <cfRule type="cellIs" dxfId="48" priority="1" stopIfTrue="1" operator="lessThanOrEqual">
      <formula>-0.1</formula>
    </cfRule>
    <cfRule type="expression" dxfId="4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7"/>
  <sheetViews>
    <sheetView workbookViewId="0">
      <pane xSplit="2" ySplit="3" topLeftCell="C4" activePane="bottomRight" state="frozen"/>
      <selection pane="bottomRight" activeCell="A8" sqref="A8:XFD13"/>
      <selection pane="bottomLeft" activeCell="D12" sqref="D12"/>
      <selection pane="topRight" activeCell="D12" sqref="D1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Tortoise</v>
      </c>
      <c r="B1" s="76"/>
      <c r="C1" s="76"/>
      <c r="D1" s="77" t="s">
        <v>12</v>
      </c>
      <c r="E1" s="77"/>
      <c r="F1" s="77"/>
      <c r="G1" s="75" t="s">
        <v>13</v>
      </c>
      <c r="H1" s="75"/>
      <c r="I1" s="75"/>
    </row>
    <row r="2" spans="1:9" ht="19.5" customHeight="1">
      <c r="A2" s="78" t="s">
        <v>2</v>
      </c>
      <c r="B2" s="78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3" t="str" cm="1">
        <f t="array" ref="A4:A7">Sites[Site]</f>
        <v>Alamosa School District</v>
      </c>
      <c r="B4" s="10" t="str" cm="1">
        <f t="array" ref="B4:B7">Sites[State]</f>
        <v>CO</v>
      </c>
      <c r="C4" s="25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SUM(Apr!G4+May!G4+Jun!G4)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8" t="str">
        <v>San Luis Valley</v>
      </c>
      <c r="B5" s="11" t="str">
        <v>CO</v>
      </c>
      <c r="C5" s="12">
        <f>SUM(Apr!C5, May!C5, Jun!C5)</f>
        <v>0</v>
      </c>
      <c r="D5" s="19">
        <f>SUM(Apr!D5, May!D5, Jun!D5)</f>
        <v>0</v>
      </c>
      <c r="E5" s="19">
        <f t="shared" ref="E5:E6" si="0">IF(AND(ISNUMBER(C5),ISNUMBER(D5)), C5-D5, "")</f>
        <v>0</v>
      </c>
      <c r="F5" s="20" t="str">
        <f>IFERROR(E5/D5, "")</f>
        <v/>
      </c>
      <c r="G5" s="21">
        <f>SUM(Apr!G5+May!G5+Jun!G5)</f>
        <v>0</v>
      </c>
      <c r="H5" s="21">
        <f>SUM(Apr!H5, May!H5, Jun!H5)</f>
        <v>0</v>
      </c>
      <c r="I5" s="20" t="str">
        <f>IFERROR(H5/G5, "")</f>
        <v/>
      </c>
    </row>
    <row r="6" spans="1:9" ht="15.6">
      <c r="A6" s="13" t="str">
        <v>Golden NREL 2</v>
      </c>
      <c r="B6" s="10" t="str">
        <v>CO</v>
      </c>
      <c r="C6" s="25">
        <f>SUM(Apr!C6, May!C6, Jun!C6)</f>
        <v>0</v>
      </c>
      <c r="D6" s="14">
        <f>SUM(Apr!D6, May!D6, Jun!D6)</f>
        <v>0</v>
      </c>
      <c r="E6" s="14">
        <f t="shared" si="0"/>
        <v>0</v>
      </c>
      <c r="F6" s="15" t="str">
        <f t="shared" ref="F6:F7" si="1">IFERROR(E6/D6, "")</f>
        <v/>
      </c>
      <c r="G6" s="16">
        <f>SUM(Apr!G6+May!G6+Jun!G6)</f>
        <v>0</v>
      </c>
      <c r="H6" s="16">
        <f>SUM(Apr!H6, May!H6, Jun!H6)</f>
        <v>0</v>
      </c>
      <c r="I6" s="17" t="str">
        <f t="shared" ref="I6:I7" si="2">IFERROR(H6/G6, "")</f>
        <v/>
      </c>
    </row>
    <row r="7" spans="1:9" ht="15.6">
      <c r="A7" s="18" t="str">
        <v>Golden NREL Wind 3</v>
      </c>
      <c r="B7" s="11" t="str">
        <v>CO</v>
      </c>
      <c r="C7" s="12">
        <f>SUM(Apr!C7, May!C7, Jun!C7)</f>
        <v>0</v>
      </c>
      <c r="D7" s="19">
        <f>SUM(Apr!D7, May!D7, Jun!D7)</f>
        <v>0</v>
      </c>
      <c r="E7" s="19">
        <f t="shared" ref="E7" si="3">IF(AND(ISNUMBER(C7),ISNUMBER(D7)), C7-D7, "")</f>
        <v>0</v>
      </c>
      <c r="F7" s="20" t="str">
        <f t="shared" si="1"/>
        <v/>
      </c>
      <c r="G7" s="21">
        <f>SUM(Apr!G7+May!G7+Jun!G7)</f>
        <v>0</v>
      </c>
      <c r="H7" s="21">
        <f>SUM(Apr!H7, May!H7, Jun!H7)</f>
        <v>0</v>
      </c>
      <c r="I7" s="20" t="str">
        <f t="shared" si="2"/>
        <v/>
      </c>
    </row>
    <row r="8" spans="1:9" ht="13.9">
      <c r="A8" s="22"/>
      <c r="B8" s="22"/>
      <c r="C8" s="22"/>
      <c r="D8" s="22"/>
      <c r="E8" s="22"/>
      <c r="F8" s="22"/>
      <c r="G8" s="22"/>
      <c r="H8" s="22"/>
      <c r="I8" s="22"/>
    </row>
    <row r="9" spans="1:9" ht="13.9">
      <c r="A9" s="22"/>
      <c r="B9" s="22"/>
      <c r="C9" s="22"/>
      <c r="D9" s="22"/>
      <c r="E9" s="22"/>
      <c r="F9" s="22"/>
      <c r="G9" s="22"/>
      <c r="H9" s="22"/>
      <c r="I9" s="22"/>
    </row>
    <row r="10" spans="1:9" ht="13.9">
      <c r="A10" s="22"/>
      <c r="B10" s="22"/>
      <c r="C10" s="22"/>
      <c r="D10" s="22"/>
      <c r="E10" s="22"/>
      <c r="F10" s="22"/>
      <c r="G10" s="22"/>
      <c r="H10" s="22"/>
      <c r="I10" s="22"/>
    </row>
    <row r="11" spans="1:9" ht="13.9">
      <c r="A11" s="22"/>
      <c r="B11" s="22"/>
      <c r="C11" s="22"/>
      <c r="D11" s="22"/>
      <c r="E11" s="22"/>
      <c r="F11" s="22"/>
      <c r="G11" s="22"/>
      <c r="H11" s="22"/>
      <c r="I11" s="22"/>
    </row>
    <row r="12" spans="1:9" ht="13.9">
      <c r="A12" s="22"/>
      <c r="B12" s="22"/>
      <c r="C12" s="22"/>
      <c r="D12" s="22"/>
      <c r="E12" s="22"/>
      <c r="F12" s="22"/>
      <c r="G12" s="22"/>
      <c r="H12" s="22"/>
      <c r="I12" s="22"/>
    </row>
    <row r="13" spans="1:9" ht="13.9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3.9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3"/>
      <c r="G18" s="22"/>
      <c r="H18" s="22"/>
      <c r="I18" s="23"/>
    </row>
    <row r="19" spans="1:9" ht="13.9">
      <c r="A19" s="22"/>
      <c r="B19" s="22"/>
      <c r="C19" s="22"/>
      <c r="D19" s="22"/>
      <c r="E19" s="22"/>
      <c r="F19" s="23"/>
      <c r="G19" s="22"/>
      <c r="H19" s="22"/>
      <c r="I19" s="23"/>
    </row>
    <row r="20" spans="1:9" ht="13.9">
      <c r="A20" s="22"/>
      <c r="B20" s="22"/>
      <c r="C20" s="22"/>
      <c r="D20" s="22"/>
      <c r="E20" s="22"/>
      <c r="F20" s="23"/>
      <c r="G20" s="22"/>
      <c r="H20" s="22"/>
      <c r="I20" s="23"/>
    </row>
    <row r="21" spans="1:9" ht="13.9">
      <c r="A21" s="22"/>
      <c r="B21" s="22"/>
      <c r="C21" s="22"/>
      <c r="D21" s="22"/>
      <c r="E21" s="22"/>
      <c r="F21" s="23"/>
      <c r="G21" s="22"/>
      <c r="H21" s="22"/>
      <c r="I21" s="23"/>
    </row>
    <row r="22" spans="1:9" ht="13.9">
      <c r="A22" s="22"/>
      <c r="B22" s="22"/>
      <c r="C22" s="22"/>
      <c r="D22" s="22"/>
      <c r="E22" s="22"/>
      <c r="F22" s="23"/>
      <c r="G22" s="22"/>
      <c r="H22" s="22"/>
      <c r="I22" s="23"/>
    </row>
    <row r="23" spans="1:9" ht="13.9">
      <c r="A23" s="22"/>
      <c r="B23" s="22"/>
      <c r="C23" s="22"/>
      <c r="D23" s="22"/>
      <c r="E23" s="22"/>
      <c r="F23" s="23"/>
      <c r="G23" s="22"/>
      <c r="H23" s="22"/>
      <c r="I23" s="23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5 I4:I85">
    <cfRule type="cellIs" dxfId="46" priority="1" stopIfTrue="1" operator="lessThanOrEqual">
      <formula>-0.1</formula>
    </cfRule>
    <cfRule type="expression" dxfId="4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6"/>
  <sheetViews>
    <sheetView workbookViewId="0">
      <pane xSplit="2" ySplit="3" topLeftCell="C4" activePane="bottomRight" state="frozen"/>
      <selection pane="bottomRight" activeCell="A8" sqref="A8:XFD14"/>
      <selection pane="bottomLeft" activeCell="A16" sqref="A16"/>
      <selection pane="topRight" activeCell="A16" sqref="A1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Tortoise</v>
      </c>
      <c r="B1" s="76"/>
      <c r="C1" s="76"/>
      <c r="D1" s="77" t="s">
        <v>14</v>
      </c>
      <c r="E1" s="77"/>
      <c r="F1" s="77"/>
      <c r="G1" s="75" t="s">
        <v>15</v>
      </c>
      <c r="H1" s="75"/>
      <c r="I1" s="75"/>
    </row>
    <row r="2" spans="1:9" ht="19.5" customHeight="1">
      <c r="A2" s="78" t="s">
        <v>2</v>
      </c>
      <c r="B2" s="78"/>
      <c r="C2" s="6">
        <f>SUM(C4:C84)</f>
        <v>0</v>
      </c>
      <c r="D2" s="6">
        <f>SUM(D4:D84)</f>
        <v>0</v>
      </c>
      <c r="E2" s="6">
        <f>C2-D2</f>
        <v>0</v>
      </c>
      <c r="F2" s="7">
        <f>IFERROR(E2/D2, 0)</f>
        <v>0</v>
      </c>
      <c r="G2" s="6">
        <f>SUM(G4:G84)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3" t="str" cm="1">
        <f t="array" ref="A4:A7">Sites[Site]</f>
        <v>Alamosa School District</v>
      </c>
      <c r="B4" s="10" t="str" cm="1">
        <f t="array" ref="B4:B7">Sites[State]</f>
        <v>CO</v>
      </c>
      <c r="C4" s="25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SUM(Jul!G4,Aug!G4,Sep!G4)</f>
        <v>0</v>
      </c>
      <c r="H4" s="16">
        <f>SUM(Jul!H4, Aug!H4, Sep!H4)</f>
        <v>0</v>
      </c>
      <c r="I4" s="17" t="str">
        <f>IFERROR(H4/G4, "")</f>
        <v/>
      </c>
    </row>
    <row r="5" spans="1:9" ht="15.6">
      <c r="A5" s="18" t="str">
        <v>San Luis Valley</v>
      </c>
      <c r="B5" s="11" t="str">
        <v>CO</v>
      </c>
      <c r="C5" s="12">
        <f>SUM(Jul!C5, Aug!C5, Sep!C5)</f>
        <v>0</v>
      </c>
      <c r="D5" s="19">
        <f>SUM(Jul!D5, Aug!D5, Sep!D5)</f>
        <v>0</v>
      </c>
      <c r="E5" s="19">
        <f t="shared" ref="E5:E6" si="0">IF(AND(ISNUMBER(C5),ISNUMBER(D5)), C5-D5, "")</f>
        <v>0</v>
      </c>
      <c r="F5" s="20" t="str">
        <f>IFERROR(E5/D5, "")</f>
        <v/>
      </c>
      <c r="G5" s="57">
        <f>SUM(Jul!G5,Aug!G5,Sep!G5)</f>
        <v>0</v>
      </c>
      <c r="H5" s="21">
        <f>SUM(Jul!H5, Aug!H5, Sep!H5)</f>
        <v>0</v>
      </c>
      <c r="I5" s="20" t="str">
        <f>IFERROR(H5/G5, "")</f>
        <v/>
      </c>
    </row>
    <row r="6" spans="1:9" ht="15.6">
      <c r="A6" s="13" t="str">
        <v>Golden NREL 2</v>
      </c>
      <c r="B6" s="10" t="str">
        <v>CO</v>
      </c>
      <c r="C6" s="25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:F7" si="1">IFERROR(E6/D6, "")</f>
        <v/>
      </c>
      <c r="G6" s="16">
        <f>SUM(Jul!G6,Aug!G6,Sep!G6)</f>
        <v>0</v>
      </c>
      <c r="H6" s="16">
        <f>SUM(Jul!H6, Aug!H6, Sep!H6)</f>
        <v>0</v>
      </c>
      <c r="I6" s="17" t="str">
        <f t="shared" ref="I6:I7" si="2">IFERROR(H6/G6, "")</f>
        <v/>
      </c>
    </row>
    <row r="7" spans="1:9" ht="15.6">
      <c r="A7" s="18" t="str">
        <v>Golden NREL Wind 3</v>
      </c>
      <c r="B7" s="11" t="str">
        <v>CO</v>
      </c>
      <c r="C7" s="12">
        <f>SUM(Jul!C7, Aug!C7, Sep!C7)</f>
        <v>0</v>
      </c>
      <c r="D7" s="19">
        <f>SUM(Jul!D7, Aug!D7, Sep!D7)</f>
        <v>0</v>
      </c>
      <c r="E7" s="19">
        <f t="shared" ref="E7" si="3">IF(AND(ISNUMBER(C7),ISNUMBER(D7)), C7-D7, "")</f>
        <v>0</v>
      </c>
      <c r="F7" s="20" t="str">
        <f t="shared" si="1"/>
        <v/>
      </c>
      <c r="G7" s="57">
        <f>SUM(Jul!G7,Aug!G7,Sep!G7)</f>
        <v>0</v>
      </c>
      <c r="H7" s="21">
        <f>SUM(Jul!H7, Aug!H7, Sep!H7)</f>
        <v>0</v>
      </c>
      <c r="I7" s="20" t="str">
        <f t="shared" si="2"/>
        <v/>
      </c>
    </row>
    <row r="8" spans="1:9" ht="13.9">
      <c r="A8" s="22"/>
      <c r="B8" s="22"/>
      <c r="C8" s="22"/>
      <c r="D8" s="22"/>
      <c r="E8" s="22"/>
      <c r="F8" s="22"/>
      <c r="G8" s="22"/>
      <c r="H8" s="22"/>
      <c r="I8" s="22"/>
    </row>
    <row r="9" spans="1:9" ht="13.9">
      <c r="A9" s="22"/>
      <c r="B9" s="22"/>
      <c r="C9" s="22"/>
      <c r="D9" s="22"/>
      <c r="E9" s="22"/>
      <c r="F9" s="22"/>
      <c r="G9" s="22"/>
      <c r="H9" s="22"/>
      <c r="I9" s="22"/>
    </row>
    <row r="10" spans="1:9" ht="13.9">
      <c r="A10" s="22"/>
      <c r="B10" s="22"/>
      <c r="C10" s="22"/>
      <c r="D10" s="22"/>
      <c r="E10" s="22"/>
      <c r="F10" s="22"/>
      <c r="G10" s="22"/>
      <c r="H10" s="22"/>
      <c r="I10" s="22"/>
    </row>
    <row r="11" spans="1:9" ht="13.9">
      <c r="A11" s="22"/>
      <c r="B11" s="22"/>
      <c r="C11" s="22"/>
      <c r="D11" s="22"/>
      <c r="E11" s="22"/>
      <c r="F11" s="22"/>
      <c r="G11" s="22"/>
      <c r="H11" s="22"/>
      <c r="I11" s="22"/>
    </row>
    <row r="12" spans="1:9" ht="13.9">
      <c r="A12" s="22"/>
      <c r="B12" s="22"/>
      <c r="C12" s="22"/>
      <c r="D12" s="22"/>
      <c r="E12" s="22"/>
      <c r="F12" s="22"/>
      <c r="G12" s="22"/>
      <c r="H12" s="22"/>
      <c r="I12" s="22"/>
    </row>
    <row r="13" spans="1:9" ht="13.9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3.9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3"/>
      <c r="G17" s="22"/>
      <c r="H17" s="22"/>
      <c r="I17" s="23"/>
    </row>
    <row r="18" spans="1:9" ht="13.9">
      <c r="A18" s="22"/>
      <c r="B18" s="22"/>
      <c r="C18" s="22"/>
      <c r="D18" s="22"/>
      <c r="E18" s="22"/>
      <c r="F18" s="23"/>
      <c r="G18" s="22"/>
      <c r="H18" s="22"/>
      <c r="I18" s="23"/>
    </row>
    <row r="19" spans="1:9" ht="13.9">
      <c r="A19" s="22"/>
      <c r="B19" s="22"/>
      <c r="C19" s="22"/>
      <c r="D19" s="22"/>
      <c r="E19" s="22"/>
      <c r="F19" s="23"/>
      <c r="G19" s="22"/>
      <c r="H19" s="22"/>
      <c r="I19" s="23"/>
    </row>
    <row r="20" spans="1:9" ht="13.9">
      <c r="A20" s="22"/>
      <c r="B20" s="22"/>
      <c r="C20" s="22"/>
      <c r="D20" s="22"/>
      <c r="E20" s="22"/>
      <c r="F20" s="23"/>
      <c r="G20" s="22"/>
      <c r="H20" s="22"/>
      <c r="I20" s="23"/>
    </row>
    <row r="21" spans="1:9" ht="13.9">
      <c r="A21" s="22"/>
      <c r="B21" s="22"/>
      <c r="C21" s="22"/>
      <c r="D21" s="22"/>
      <c r="E21" s="22"/>
      <c r="F21" s="23"/>
      <c r="G21" s="22"/>
      <c r="H21" s="22"/>
      <c r="I21" s="23"/>
    </row>
    <row r="22" spans="1:9" ht="13.9">
      <c r="A22" s="22"/>
      <c r="B22" s="22"/>
      <c r="C22" s="22"/>
      <c r="D22" s="22"/>
      <c r="E22" s="22"/>
      <c r="F22" s="23"/>
      <c r="G22" s="22"/>
      <c r="H22" s="22"/>
      <c r="I22" s="23"/>
    </row>
    <row r="23" spans="1:9" ht="13.9">
      <c r="A23" s="22"/>
      <c r="B23" s="22"/>
      <c r="C23" s="22"/>
      <c r="D23" s="22"/>
      <c r="E23" s="22"/>
      <c r="F23" s="23"/>
      <c r="G23" s="22"/>
      <c r="H23" s="22"/>
      <c r="I23" s="23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</sheetData>
  <mergeCells count="4">
    <mergeCell ref="G1:I1"/>
    <mergeCell ref="A1:C1"/>
    <mergeCell ref="D1:F1"/>
    <mergeCell ref="A2:B2"/>
  </mergeCells>
  <conditionalFormatting sqref="F2 I2 F4:F84 I4:I84">
    <cfRule type="cellIs" dxfId="44" priority="5" stopIfTrue="1" operator="lessThanOrEqual">
      <formula>-0.1</formula>
    </cfRule>
    <cfRule type="expression" dxfId="43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5"/>
  <sheetViews>
    <sheetView workbookViewId="0">
      <pane xSplit="2" ySplit="3" topLeftCell="C4" activePane="bottomRight" state="frozen"/>
      <selection pane="bottomRight" activeCell="H19" sqref="H19"/>
      <selection pane="bottomLeft" activeCell="A16" sqref="A16"/>
      <selection pane="topRight" activeCell="A16" sqref="A1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Tortoise</v>
      </c>
      <c r="B1" s="76"/>
      <c r="C1" s="76"/>
      <c r="D1" s="77" t="s">
        <v>16</v>
      </c>
      <c r="E1" s="77"/>
      <c r="F1" s="77"/>
      <c r="G1" s="75" t="s">
        <v>17</v>
      </c>
      <c r="H1" s="75"/>
      <c r="I1" s="75"/>
    </row>
    <row r="2" spans="1:9" ht="19.5" customHeight="1">
      <c r="A2" s="78" t="s">
        <v>2</v>
      </c>
      <c r="B2" s="78"/>
      <c r="C2" s="6">
        <f>SUM(C4:C83)</f>
        <v>0</v>
      </c>
      <c r="D2" s="6">
        <f>SUM(D4:D83)</f>
        <v>0</v>
      </c>
      <c r="E2" s="6">
        <f>C2-D2</f>
        <v>0</v>
      </c>
      <c r="F2" s="7">
        <f>IFERROR(E2/D2, 0)</f>
        <v>0</v>
      </c>
      <c r="G2" s="6">
        <f>SUM(G4:G83)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3" t="str" cm="1">
        <f t="array" ref="A4:A7">Sites[Site]</f>
        <v>Alamosa School District</v>
      </c>
      <c r="B4" s="10" t="str" cm="1">
        <f t="array" ref="B4:B7">Sites[State]</f>
        <v>CO</v>
      </c>
      <c r="C4" s="25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5.6">
      <c r="A5" s="18" t="str">
        <v>San Luis Valley</v>
      </c>
      <c r="B5" s="11" t="str">
        <v>CO</v>
      </c>
      <c r="C5" s="12">
        <f>SUM(Oct!C5, Nov!C5, Dec!C5)</f>
        <v>0</v>
      </c>
      <c r="D5" s="19">
        <f>SUM(Oct!D5, Nov!D5, Dec!D5)</f>
        <v>0</v>
      </c>
      <c r="E5" s="19">
        <f t="shared" ref="E5:E6" si="0">IF(AND(ISNUMBER(C5),ISNUMBER(D5)), C5-D5, "")</f>
        <v>0</v>
      </c>
      <c r="F5" s="20" t="str">
        <f>IFERROR(E5/D5, "")</f>
        <v/>
      </c>
      <c r="G5" s="21">
        <f>SUM(Oct!G5,Nov!G5,Dec!G5)</f>
        <v>0</v>
      </c>
      <c r="H5" s="21">
        <f>SUM(Oct!H5, Nov!H5, Dec!H5)</f>
        <v>0</v>
      </c>
      <c r="I5" s="20" t="str">
        <f>IFERROR(H5/G5, "")</f>
        <v/>
      </c>
    </row>
    <row r="6" spans="1:9" ht="15.6">
      <c r="A6" s="13" t="str">
        <v>Golden NREL 2</v>
      </c>
      <c r="B6" s="10" t="str">
        <v>CO</v>
      </c>
      <c r="C6" s="25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7" si="1">IFERROR(E6/D6, "")</f>
        <v/>
      </c>
      <c r="G6" s="16">
        <f>SUM(Oct!G6,Nov!G6,Dec!G6)</f>
        <v>0</v>
      </c>
      <c r="H6" s="16">
        <f>SUM(Oct!H6, Nov!H6, Dec!H6)</f>
        <v>0</v>
      </c>
      <c r="I6" s="17" t="str">
        <f t="shared" ref="I6:I7" si="2">IFERROR(H6/G6, "")</f>
        <v/>
      </c>
    </row>
    <row r="7" spans="1:9" ht="15.6">
      <c r="A7" s="18" t="str">
        <v>Golden NREL Wind 3</v>
      </c>
      <c r="B7" s="11" t="str">
        <v>CO</v>
      </c>
      <c r="C7" s="12">
        <f>SUM(Oct!C7, Nov!C7, Dec!C7)</f>
        <v>0</v>
      </c>
      <c r="D7" s="19">
        <f>SUM(Oct!D7, Nov!D7, Dec!D7)</f>
        <v>0</v>
      </c>
      <c r="E7" s="19">
        <f t="shared" ref="E7" si="3">IF(AND(ISNUMBER(C7),ISNUMBER(D7)), C7-D7, "")</f>
        <v>0</v>
      </c>
      <c r="F7" s="20" t="str">
        <f t="shared" si="1"/>
        <v/>
      </c>
      <c r="G7" s="21">
        <f>SUM(Oct!G7,Nov!G7,Dec!G7)</f>
        <v>0</v>
      </c>
      <c r="H7" s="21">
        <f>SUM(Oct!H7, Nov!H7, Dec!H7)</f>
        <v>0</v>
      </c>
      <c r="I7" s="20" t="str">
        <f t="shared" si="2"/>
        <v/>
      </c>
    </row>
    <row r="8" spans="1:9" ht="13.9">
      <c r="A8" s="22"/>
      <c r="B8" s="22"/>
      <c r="C8" s="22"/>
      <c r="D8" s="22"/>
      <c r="E8" s="22"/>
      <c r="F8" s="22"/>
      <c r="G8" s="22"/>
      <c r="H8" s="22"/>
      <c r="I8" s="22"/>
    </row>
    <row r="9" spans="1:9" ht="13.9">
      <c r="A9" s="22"/>
      <c r="B9" s="22"/>
      <c r="C9" s="22"/>
      <c r="D9" s="22"/>
      <c r="E9" s="22"/>
      <c r="F9" s="22"/>
      <c r="G9" s="22"/>
      <c r="H9" s="22"/>
      <c r="I9" s="22"/>
    </row>
    <row r="10" spans="1:9" ht="13.9">
      <c r="A10" s="22"/>
      <c r="B10" s="22"/>
      <c r="C10" s="22"/>
      <c r="D10" s="22"/>
      <c r="E10" s="22"/>
      <c r="F10" s="22"/>
      <c r="G10" s="22"/>
      <c r="H10" s="22"/>
      <c r="I10" s="22"/>
    </row>
    <row r="11" spans="1:9" ht="13.9">
      <c r="A11" s="22"/>
      <c r="B11" s="22"/>
      <c r="C11" s="22"/>
      <c r="D11" s="22"/>
      <c r="E11" s="22"/>
      <c r="F11" s="22"/>
      <c r="G11" s="22"/>
      <c r="H11" s="22"/>
      <c r="I11" s="22"/>
    </row>
    <row r="12" spans="1:9" ht="13.9">
      <c r="A12" s="22"/>
      <c r="B12" s="22"/>
      <c r="C12" s="22"/>
      <c r="D12" s="22"/>
      <c r="E12" s="22"/>
      <c r="F12" s="22"/>
      <c r="G12" s="22"/>
      <c r="H12" s="22"/>
      <c r="I12" s="22"/>
    </row>
    <row r="13" spans="1:9" ht="13.9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3.9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3"/>
      <c r="G16" s="22"/>
      <c r="H16" s="22"/>
      <c r="I16" s="23"/>
    </row>
    <row r="17" spans="1:9" ht="13.9">
      <c r="A17" s="22"/>
      <c r="B17" s="22"/>
      <c r="C17" s="22"/>
      <c r="D17" s="22"/>
      <c r="E17" s="22"/>
      <c r="F17" s="23"/>
      <c r="G17" s="22"/>
      <c r="H17" s="22"/>
      <c r="I17" s="23"/>
    </row>
    <row r="18" spans="1:9" ht="13.9">
      <c r="A18" s="22"/>
      <c r="B18" s="22"/>
      <c r="C18" s="22"/>
      <c r="D18" s="22"/>
      <c r="E18" s="22"/>
      <c r="F18" s="23"/>
      <c r="G18" s="22"/>
      <c r="H18" s="22"/>
      <c r="I18" s="23"/>
    </row>
    <row r="19" spans="1:9" ht="13.9">
      <c r="A19" s="22"/>
      <c r="B19" s="22"/>
      <c r="C19" s="22"/>
      <c r="D19" s="22"/>
      <c r="E19" s="22"/>
      <c r="F19" s="23"/>
      <c r="G19" s="22"/>
      <c r="H19" s="22"/>
      <c r="I19" s="23"/>
    </row>
    <row r="20" spans="1:9" ht="13.9">
      <c r="A20" s="22"/>
      <c r="B20" s="22"/>
      <c r="C20" s="22"/>
      <c r="D20" s="22"/>
      <c r="E20" s="22"/>
      <c r="F20" s="23"/>
      <c r="G20" s="22"/>
      <c r="H20" s="22"/>
      <c r="I20" s="23"/>
    </row>
    <row r="21" spans="1:9" ht="13.9">
      <c r="A21" s="22"/>
      <c r="B21" s="22"/>
      <c r="C21" s="22"/>
      <c r="D21" s="22"/>
      <c r="E21" s="22"/>
      <c r="F21" s="23"/>
      <c r="G21" s="22"/>
      <c r="H21" s="22"/>
      <c r="I21" s="23"/>
    </row>
    <row r="22" spans="1:9" ht="13.9">
      <c r="A22" s="22"/>
      <c r="B22" s="22"/>
      <c r="C22" s="22"/>
      <c r="D22" s="22"/>
      <c r="E22" s="22"/>
      <c r="F22" s="23"/>
      <c r="G22" s="22"/>
      <c r="H22" s="22"/>
      <c r="I22" s="23"/>
    </row>
    <row r="23" spans="1:9" ht="13.9">
      <c r="A23" s="22"/>
      <c r="B23" s="22"/>
      <c r="C23" s="22"/>
      <c r="D23" s="22"/>
      <c r="E23" s="22"/>
      <c r="F23" s="23"/>
      <c r="G23" s="22"/>
      <c r="H23" s="22"/>
      <c r="I23" s="23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</sheetData>
  <mergeCells count="4">
    <mergeCell ref="G1:I1"/>
    <mergeCell ref="A1:C1"/>
    <mergeCell ref="D1:F1"/>
    <mergeCell ref="A2:B2"/>
  </mergeCells>
  <conditionalFormatting sqref="F2 I2 F4:F83 I4:I83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M319"/>
  <sheetViews>
    <sheetView tabSelected="1" zoomScale="60" zoomScaleNormal="60" workbookViewId="0">
      <pane xSplit="2" ySplit="3" topLeftCell="C4" activePane="bottomRight" state="frozen"/>
      <selection pane="bottomRight" activeCell="F30" sqref="F30"/>
      <selection pane="bottomLeft" activeCell="H31" sqref="H31"/>
      <selection pane="topRight" activeCell="H31" sqref="H31"/>
    </sheetView>
  </sheetViews>
  <sheetFormatPr defaultRowHeight="13.9"/>
  <cols>
    <col min="1" max="1" width="35.85546875" bestFit="1" customWidth="1"/>
    <col min="2" max="2" width="8.42578125" style="34" customWidth="1"/>
    <col min="3" max="3" width="15.14062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3.28515625" customWidth="1"/>
  </cols>
  <sheetData>
    <row r="1" spans="1:13" ht="19.5" customHeight="1">
      <c r="A1" s="76" t="str" cm="1">
        <f t="array" ref="A1">portfolio</f>
        <v>Tortoise</v>
      </c>
      <c r="B1" s="76"/>
      <c r="C1" s="76"/>
      <c r="D1" s="77" t="s">
        <v>18</v>
      </c>
      <c r="E1" s="77"/>
      <c r="F1" s="77"/>
      <c r="G1" s="75" t="s">
        <v>19</v>
      </c>
      <c r="H1" s="75"/>
      <c r="I1" s="75"/>
      <c r="J1" s="5"/>
      <c r="K1" s="5"/>
      <c r="L1" s="5"/>
    </row>
    <row r="2" spans="1:13" ht="19.5" customHeight="1">
      <c r="A2" s="78" t="s">
        <v>2</v>
      </c>
      <c r="B2" s="78"/>
      <c r="C2" s="6">
        <f>SUM(C4:C77)</f>
        <v>222521.60000000001</v>
      </c>
      <c r="D2" s="6">
        <f>SUM(D4:D77)</f>
        <v>376462.1</v>
      </c>
      <c r="E2" s="6">
        <f>C2-D2</f>
        <v>-153940.49999999997</v>
      </c>
      <c r="F2" s="7">
        <f>IFERROR(E2/D2, 0)</f>
        <v>-0.40891367285046748</v>
      </c>
      <c r="G2" s="6">
        <f>SUM(G4:G77)</f>
        <v>387471.85399999993</v>
      </c>
      <c r="H2" s="8">
        <f>C2-G2</f>
        <v>-164950.25399999993</v>
      </c>
      <c r="I2" s="7">
        <f>IFERROR(H2/G2, 0)</f>
        <v>-0.42570899614298169</v>
      </c>
      <c r="J2" s="27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27"/>
      <c r="L2" s="27"/>
    </row>
    <row r="3" spans="1:13" ht="14.25" customHeight="1">
      <c r="A3" s="28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6" t="s">
        <v>20</v>
      </c>
      <c r="K3" s="26" t="s">
        <v>21</v>
      </c>
      <c r="L3" s="26"/>
    </row>
    <row r="4" spans="1:13" ht="28.9">
      <c r="A4" s="32" t="str" cm="1">
        <f t="array" ref="A4:A7">Sites[Site]</f>
        <v>Alamosa School District</v>
      </c>
      <c r="B4" s="29" t="str" cm="1">
        <f t="array" ref="B4:B7">Sites[State]</f>
        <v>CO</v>
      </c>
      <c r="C4" s="25">
        <v>43167.3</v>
      </c>
      <c r="D4" s="14">
        <v>120900.5</v>
      </c>
      <c r="E4" s="14">
        <f>IF(AND(ISNUMBER(C4),ISNUMBER(D4)), C4-D4, "")</f>
        <v>-77733.2</v>
      </c>
      <c r="F4" s="15">
        <f>IFERROR(E4/D4, "")</f>
        <v>-0.64295184883437206</v>
      </c>
      <c r="G4" s="16">
        <v>97896.453999999998</v>
      </c>
      <c r="H4" s="16">
        <f>IF(AND(ISNUMBER(C4),ISNUMBER(G4)), C4-G4, "")</f>
        <v>-54729.153999999995</v>
      </c>
      <c r="I4" s="17">
        <f>IFERROR(H4/G4, "")</f>
        <v>-0.55905144429439702</v>
      </c>
      <c r="J4" s="50" t="s">
        <v>22</v>
      </c>
      <c r="K4" s="58" t="s">
        <v>23</v>
      </c>
      <c r="L4" s="50" t="s">
        <v>24</v>
      </c>
      <c r="M4" s="61"/>
    </row>
    <row r="5" spans="1:13" ht="43.15">
      <c r="A5" s="30" t="str">
        <v>San Luis Valley</v>
      </c>
      <c r="B5" s="31" t="str">
        <v>CO</v>
      </c>
      <c r="C5" s="12">
        <v>133153.5</v>
      </c>
      <c r="D5" s="19">
        <v>175189.3</v>
      </c>
      <c r="E5" s="19">
        <f t="shared" ref="E5:E8" si="0">IF(AND(ISNUMBER(C5),ISNUMBER(D5)), C5-D5, "")</f>
        <v>-42035.799999999988</v>
      </c>
      <c r="F5" s="20">
        <f>IFERROR(E5/D5, "")</f>
        <v>-0.23994501947322119</v>
      </c>
      <c r="G5" s="21">
        <v>178800.3</v>
      </c>
      <c r="H5" s="21">
        <f t="shared" ref="H5:H6" si="1">IF(AND(ISNUMBER(C5),ISNUMBER(G5)), C5-G5, "")</f>
        <v>-45646.799999999988</v>
      </c>
      <c r="I5" s="20">
        <f t="shared" ref="I5:I6" si="2">IFERROR(H5/G5, "")</f>
        <v>-0.25529487366631931</v>
      </c>
      <c r="J5" s="48" t="s">
        <v>25</v>
      </c>
      <c r="K5" s="59" t="s">
        <v>26</v>
      </c>
      <c r="L5" s="48"/>
      <c r="M5" s="61"/>
    </row>
    <row r="6" spans="1:13" ht="15.6">
      <c r="A6" s="32" t="str">
        <v>Golden NREL 2</v>
      </c>
      <c r="B6" s="29" t="str">
        <v>CO</v>
      </c>
      <c r="C6" s="25">
        <v>6447.2</v>
      </c>
      <c r="D6" s="14">
        <v>8336.5</v>
      </c>
      <c r="E6" s="14">
        <f t="shared" si="0"/>
        <v>-1889.3000000000002</v>
      </c>
      <c r="F6" s="15">
        <f t="shared" ref="F6:F8" si="3">IFERROR(E6/D6, "")</f>
        <v>-0.22662988064535478</v>
      </c>
      <c r="G6" s="16">
        <v>9095.5</v>
      </c>
      <c r="H6" s="16">
        <f t="shared" si="1"/>
        <v>-2648.3</v>
      </c>
      <c r="I6" s="17">
        <f t="shared" si="2"/>
        <v>-0.29116596118959925</v>
      </c>
      <c r="J6" s="50" t="s">
        <v>27</v>
      </c>
      <c r="K6" s="50"/>
      <c r="L6" s="50"/>
      <c r="M6" s="61"/>
    </row>
    <row r="7" spans="1:13" ht="15.6">
      <c r="A7" s="30" t="str">
        <v>Golden NREL Wind 3</v>
      </c>
      <c r="B7" s="31" t="str">
        <v>CO</v>
      </c>
      <c r="C7" s="12">
        <v>39753.599999999999</v>
      </c>
      <c r="D7" s="19">
        <v>72035.8</v>
      </c>
      <c r="E7" s="19">
        <f t="shared" si="0"/>
        <v>-32282.200000000004</v>
      </c>
      <c r="F7" s="20">
        <f t="shared" si="3"/>
        <v>-0.44814106319357877</v>
      </c>
      <c r="G7" s="21">
        <v>101679.6</v>
      </c>
      <c r="H7" s="21">
        <f t="shared" ref="H7:H8" si="4">IF(AND(ISNUMBER(C7),ISNUMBER(G7)), C7-G7, "")</f>
        <v>-61926.000000000007</v>
      </c>
      <c r="I7" s="20">
        <f t="shared" ref="I7:I8" si="5">IFERROR(H7/G7, "")</f>
        <v>-0.60903072002643599</v>
      </c>
      <c r="J7" s="48" t="s">
        <v>28</v>
      </c>
      <c r="K7" s="48"/>
      <c r="L7" s="48"/>
      <c r="M7" s="61"/>
    </row>
    <row r="8" spans="1:13" ht="15.6">
      <c r="A8" s="30"/>
      <c r="B8" s="31"/>
      <c r="C8" s="12"/>
      <c r="D8" s="19"/>
      <c r="E8" s="19" t="str">
        <f t="shared" si="0"/>
        <v/>
      </c>
      <c r="F8" s="20" t="str">
        <f t="shared" si="3"/>
        <v/>
      </c>
      <c r="G8" s="21"/>
      <c r="H8" s="21" t="str">
        <f t="shared" si="4"/>
        <v/>
      </c>
      <c r="I8" s="20" t="str">
        <f t="shared" si="5"/>
        <v/>
      </c>
      <c r="J8" s="48"/>
      <c r="K8" s="48"/>
      <c r="L8" s="48"/>
      <c r="M8" s="61"/>
    </row>
    <row r="9" spans="1:13" ht="14.45">
      <c r="A9" s="22"/>
      <c r="B9" s="33"/>
      <c r="C9" s="22"/>
      <c r="D9" s="22"/>
      <c r="E9" s="22"/>
      <c r="F9" s="22"/>
      <c r="G9" s="22"/>
      <c r="H9" s="22"/>
      <c r="I9" s="22"/>
      <c r="J9" s="22"/>
      <c r="K9" s="22"/>
      <c r="L9" s="22"/>
      <c r="M9" s="61"/>
    </row>
    <row r="10" spans="1:13" ht="14.45">
      <c r="A10" s="22"/>
      <c r="B10" s="33"/>
      <c r="C10" s="22"/>
      <c r="D10" s="22"/>
      <c r="E10" s="22"/>
      <c r="F10" s="23"/>
      <c r="G10" s="22"/>
      <c r="H10" s="22"/>
      <c r="I10" s="23"/>
      <c r="J10" s="22"/>
      <c r="K10" s="22"/>
      <c r="L10" s="22"/>
    </row>
    <row r="11" spans="1:13" ht="14.45">
      <c r="A11" s="22"/>
      <c r="B11" s="33"/>
      <c r="C11" s="22"/>
      <c r="D11" s="22"/>
      <c r="E11" s="22"/>
      <c r="F11" s="23"/>
      <c r="G11" s="22"/>
      <c r="H11" s="22"/>
      <c r="I11" s="23"/>
      <c r="J11" s="22"/>
      <c r="K11" s="22"/>
      <c r="L11" s="22"/>
    </row>
    <row r="12" spans="1:13" ht="14.45">
      <c r="A12" s="22"/>
      <c r="B12" s="33"/>
      <c r="C12" s="22"/>
      <c r="D12" s="22"/>
      <c r="E12" s="22"/>
      <c r="F12" s="23"/>
      <c r="G12" s="22"/>
      <c r="H12" s="22"/>
      <c r="I12" s="23"/>
      <c r="J12" s="22"/>
      <c r="K12" s="22"/>
      <c r="L12" s="22"/>
    </row>
    <row r="13" spans="1:13" ht="14.45">
      <c r="A13" s="22"/>
      <c r="B13" s="33"/>
      <c r="C13" s="22"/>
      <c r="D13" s="22"/>
      <c r="E13" s="22"/>
      <c r="F13" s="23"/>
      <c r="G13" s="22"/>
      <c r="H13" s="22"/>
      <c r="I13" s="23"/>
      <c r="J13" s="22"/>
      <c r="K13" s="22"/>
      <c r="L13" s="22"/>
    </row>
    <row r="14" spans="1:13" ht="14.45">
      <c r="A14" s="22"/>
      <c r="B14" s="33"/>
      <c r="C14" s="22"/>
      <c r="D14" s="22"/>
      <c r="E14" s="22"/>
      <c r="F14" s="23"/>
      <c r="G14" s="22"/>
      <c r="H14" s="22"/>
      <c r="I14" s="23"/>
      <c r="J14" s="22"/>
      <c r="K14" s="22"/>
      <c r="L14" s="22"/>
    </row>
    <row r="15" spans="1:13" ht="14.45">
      <c r="A15" s="22"/>
      <c r="B15" s="33"/>
      <c r="C15" s="22"/>
      <c r="D15" s="22"/>
      <c r="E15" s="22"/>
      <c r="F15" s="23"/>
      <c r="G15" s="22"/>
      <c r="H15" s="22"/>
      <c r="I15" s="23"/>
      <c r="J15" s="22"/>
      <c r="K15" s="22"/>
      <c r="L15" s="22"/>
    </row>
    <row r="16" spans="1:13" ht="14.45">
      <c r="A16" s="22"/>
      <c r="B16" s="33"/>
      <c r="C16" s="22"/>
      <c r="D16" s="22"/>
      <c r="E16" s="22"/>
      <c r="F16" s="23"/>
      <c r="G16" s="22"/>
      <c r="H16" s="22"/>
      <c r="I16" s="23"/>
      <c r="J16" s="22"/>
      <c r="K16" s="22"/>
      <c r="L16" s="22"/>
    </row>
    <row r="17" spans="1:12" ht="14.45">
      <c r="A17" s="22"/>
      <c r="B17" s="33"/>
      <c r="C17" s="22"/>
      <c r="D17" s="22"/>
      <c r="E17" s="22"/>
      <c r="F17" s="23"/>
      <c r="G17" s="22"/>
      <c r="H17" s="22"/>
      <c r="I17" s="23"/>
      <c r="J17" s="22"/>
      <c r="K17" s="22"/>
      <c r="L17" s="22"/>
    </row>
    <row r="18" spans="1:12" ht="14.45">
      <c r="A18" s="22"/>
      <c r="B18" s="33"/>
      <c r="C18" s="22"/>
      <c r="D18" s="22"/>
      <c r="E18" s="22"/>
      <c r="F18" s="23"/>
      <c r="G18" s="22"/>
      <c r="H18" s="22"/>
      <c r="I18" s="23"/>
      <c r="J18" s="22"/>
      <c r="K18" s="22"/>
      <c r="L18" s="22"/>
    </row>
    <row r="19" spans="1:12" ht="14.45">
      <c r="A19" s="22"/>
      <c r="B19" s="33"/>
      <c r="C19" s="22"/>
      <c r="D19" s="22"/>
      <c r="E19" s="22"/>
      <c r="F19" s="23"/>
      <c r="G19" s="22"/>
      <c r="H19" s="22"/>
      <c r="I19" s="23"/>
      <c r="J19" s="22"/>
      <c r="K19" s="22"/>
      <c r="L19" s="22"/>
    </row>
    <row r="20" spans="1:12" ht="14.45">
      <c r="A20" s="22"/>
      <c r="B20" s="33"/>
      <c r="C20" s="22"/>
      <c r="D20" s="22"/>
      <c r="E20" s="22"/>
      <c r="F20" s="23"/>
      <c r="G20" s="22"/>
      <c r="H20" s="22"/>
      <c r="I20" s="23"/>
      <c r="J20" s="22"/>
      <c r="K20" s="22"/>
      <c r="L20" s="22"/>
    </row>
    <row r="21" spans="1:12" ht="14.45">
      <c r="A21" s="22"/>
      <c r="B21" s="33"/>
      <c r="C21" s="22"/>
      <c r="D21" s="22"/>
      <c r="E21" s="22"/>
      <c r="F21" s="23"/>
      <c r="G21" s="22"/>
      <c r="H21" s="22"/>
      <c r="I21" s="23"/>
      <c r="J21" s="22"/>
      <c r="K21" s="22"/>
      <c r="L21" s="22"/>
    </row>
    <row r="22" spans="1:12" ht="14.45">
      <c r="A22" s="22"/>
      <c r="B22" s="33"/>
      <c r="C22" s="22"/>
      <c r="D22" s="22"/>
      <c r="E22" s="22"/>
      <c r="F22" s="23"/>
      <c r="G22" s="22"/>
      <c r="H22" s="22"/>
      <c r="I22" s="23"/>
      <c r="J22" s="22"/>
      <c r="K22" s="22"/>
      <c r="L22" s="22"/>
    </row>
    <row r="23" spans="1:12" ht="14.45">
      <c r="A23" s="22"/>
      <c r="B23" s="33"/>
      <c r="C23" s="22"/>
      <c r="D23" s="22"/>
      <c r="E23" s="22"/>
      <c r="F23" s="23"/>
      <c r="G23" s="22"/>
      <c r="H23" s="22"/>
      <c r="I23" s="23"/>
      <c r="J23" s="22"/>
      <c r="K23" s="22"/>
      <c r="L23" s="22"/>
    </row>
    <row r="24" spans="1:12" ht="14.45">
      <c r="A24" s="22"/>
      <c r="B24" s="33"/>
      <c r="C24" s="22"/>
      <c r="D24" s="22"/>
      <c r="E24" s="22"/>
      <c r="F24" s="23"/>
      <c r="G24" s="22"/>
      <c r="H24" s="22"/>
      <c r="I24" s="23"/>
      <c r="J24" s="22"/>
      <c r="K24" s="22"/>
      <c r="L24" s="22"/>
    </row>
    <row r="25" spans="1:12" ht="14.45">
      <c r="A25" s="22"/>
      <c r="B25" s="33"/>
      <c r="C25" s="22"/>
      <c r="D25" s="22"/>
      <c r="E25" s="22"/>
      <c r="F25" s="23"/>
      <c r="G25" s="22"/>
      <c r="H25" s="22"/>
      <c r="I25" s="23"/>
      <c r="J25" s="22"/>
      <c r="K25" s="22"/>
      <c r="L25" s="22"/>
    </row>
    <row r="26" spans="1:12" ht="14.45">
      <c r="A26" s="22"/>
      <c r="B26" s="33"/>
      <c r="C26" s="22"/>
      <c r="D26" s="22"/>
      <c r="E26" s="22"/>
      <c r="F26" s="23"/>
      <c r="G26" s="22"/>
      <c r="H26" s="22"/>
      <c r="I26" s="23"/>
      <c r="J26" s="22"/>
      <c r="K26" s="22"/>
      <c r="L26" s="22"/>
    </row>
    <row r="27" spans="1:12" ht="14.45">
      <c r="A27" s="22"/>
      <c r="B27" s="33"/>
      <c r="C27" s="22"/>
      <c r="D27" s="22"/>
      <c r="E27" s="22"/>
      <c r="F27" s="23"/>
      <c r="G27" s="22"/>
      <c r="H27" s="22"/>
      <c r="I27" s="23"/>
      <c r="J27" s="22"/>
      <c r="K27" s="22"/>
      <c r="L27" s="22"/>
    </row>
    <row r="28" spans="1:12" ht="14.45">
      <c r="A28" s="22"/>
      <c r="B28" s="33"/>
      <c r="C28" s="22"/>
      <c r="D28" s="22"/>
      <c r="E28" s="22"/>
      <c r="F28" s="23"/>
      <c r="G28" s="22"/>
      <c r="H28" s="22"/>
      <c r="I28" s="23"/>
      <c r="J28" s="22"/>
      <c r="K28" s="22"/>
      <c r="L28" s="22"/>
    </row>
    <row r="29" spans="1:12" ht="14.4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  <c r="L29" s="22"/>
    </row>
    <row r="30" spans="1:12" ht="14.4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  <c r="L30" s="22"/>
    </row>
    <row r="31" spans="1:12" ht="14.4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  <c r="L31" s="22"/>
    </row>
    <row r="32" spans="1:12" ht="14.4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  <c r="L32" s="22"/>
    </row>
    <row r="33" spans="1:12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  <c r="L33" s="22"/>
    </row>
    <row r="34" spans="1:12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  <c r="L34" s="22"/>
    </row>
    <row r="35" spans="1:12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  <c r="L35" s="22"/>
    </row>
    <row r="36" spans="1:12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  <c r="L36" s="22"/>
    </row>
    <row r="37" spans="1:12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  <c r="L37" s="22"/>
    </row>
    <row r="38" spans="1:12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  <c r="L38" s="22"/>
    </row>
    <row r="39" spans="1:12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  <c r="L39" s="22"/>
    </row>
    <row r="40" spans="1:12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  <c r="L40" s="22"/>
    </row>
    <row r="41" spans="1:12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  <c r="L41" s="22"/>
    </row>
    <row r="42" spans="1:12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  <c r="L42" s="22"/>
    </row>
    <row r="43" spans="1:12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  <c r="L43" s="22"/>
    </row>
    <row r="44" spans="1:12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  <c r="L44" s="22"/>
    </row>
    <row r="45" spans="1:12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  <c r="L45" s="22"/>
    </row>
    <row r="46" spans="1:12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  <c r="L46" s="22"/>
    </row>
    <row r="47" spans="1:12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  <c r="L47" s="22"/>
    </row>
    <row r="48" spans="1:12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  <c r="L48" s="22"/>
    </row>
    <row r="49" spans="1:12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  <c r="L49" s="22"/>
    </row>
    <row r="50" spans="1:12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  <c r="L50" s="22"/>
    </row>
    <row r="51" spans="1:12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  <c r="L51" s="22"/>
    </row>
    <row r="52" spans="1:12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  <c r="L52" s="22"/>
    </row>
    <row r="53" spans="1:12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  <c r="L53" s="22"/>
    </row>
    <row r="54" spans="1:12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  <c r="L54" s="22"/>
    </row>
    <row r="55" spans="1:12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  <c r="L55" s="22"/>
    </row>
    <row r="56" spans="1:12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  <c r="L56" s="22"/>
    </row>
    <row r="57" spans="1:12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  <c r="L57" s="22"/>
    </row>
    <row r="58" spans="1:12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  <c r="L58" s="22"/>
    </row>
    <row r="59" spans="1:12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  <c r="L59" s="22"/>
    </row>
    <row r="60" spans="1:12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  <c r="L60" s="22"/>
    </row>
    <row r="61" spans="1:12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  <c r="L61" s="22"/>
    </row>
    <row r="62" spans="1:12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  <c r="L62" s="22"/>
    </row>
    <row r="63" spans="1:12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  <c r="L63" s="22"/>
    </row>
    <row r="64" spans="1:12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  <c r="L64" s="22"/>
    </row>
    <row r="65" spans="1:12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  <c r="L65" s="22"/>
    </row>
    <row r="66" spans="1:12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  <c r="L66" s="22"/>
    </row>
    <row r="67" spans="1:12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  <c r="L67" s="22"/>
    </row>
    <row r="68" spans="1:12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  <c r="L68" s="22"/>
    </row>
    <row r="69" spans="1:12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  <c r="L69" s="22"/>
    </row>
    <row r="70" spans="1:12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  <c r="L70" s="22"/>
    </row>
    <row r="71" spans="1:12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  <c r="L71" s="22"/>
    </row>
    <row r="72" spans="1:12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  <c r="L72" s="22"/>
    </row>
    <row r="73" spans="1:12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  <c r="L73" s="22"/>
    </row>
    <row r="74" spans="1:12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  <c r="L74" s="22"/>
    </row>
    <row r="75" spans="1:12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  <c r="L75" s="22"/>
    </row>
    <row r="76" spans="1:12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  <c r="L76" s="22"/>
    </row>
    <row r="77" spans="1:12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  <c r="L77" s="22"/>
    </row>
    <row r="78" spans="1:12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  <c r="L78" s="22"/>
    </row>
    <row r="79" spans="1:12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  <c r="L79" s="22"/>
    </row>
    <row r="80" spans="1:12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  <c r="L80" s="22"/>
    </row>
    <row r="81" spans="1:12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  <c r="L81" s="22"/>
    </row>
    <row r="82" spans="1:12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  <c r="L82" s="22"/>
    </row>
    <row r="83" spans="1:12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  <c r="L83" s="22"/>
    </row>
    <row r="84" spans="1:12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  <c r="L84" s="22"/>
    </row>
    <row r="85" spans="1:12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  <c r="L85" s="22"/>
    </row>
    <row r="86" spans="1:12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  <c r="L86" s="22"/>
    </row>
    <row r="87" spans="1:12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  <c r="L87" s="22"/>
    </row>
    <row r="88" spans="1:12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  <c r="L88" s="22"/>
    </row>
    <row r="89" spans="1:12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  <c r="L89" s="22"/>
    </row>
    <row r="90" spans="1:12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  <c r="L90" s="22"/>
    </row>
    <row r="91" spans="1:12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  <c r="L91" s="22"/>
    </row>
    <row r="92" spans="1:12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  <c r="L92" s="22"/>
    </row>
    <row r="93" spans="1:12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  <c r="L93" s="22"/>
    </row>
    <row r="94" spans="1:12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  <c r="L94" s="22"/>
    </row>
    <row r="95" spans="1:12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  <c r="L95" s="22"/>
    </row>
    <row r="96" spans="1:12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  <c r="L96" s="22"/>
    </row>
    <row r="97" spans="1:12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  <c r="L97" s="22"/>
    </row>
    <row r="98" spans="1:12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  <c r="L98" s="22"/>
    </row>
    <row r="99" spans="1:12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  <c r="L99" s="22"/>
    </row>
    <row r="100" spans="1:12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  <c r="L100" s="22"/>
    </row>
    <row r="101" spans="1:12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  <c r="L101" s="22"/>
    </row>
    <row r="102" spans="1:12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  <c r="L102" s="22"/>
    </row>
    <row r="103" spans="1:12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  <c r="L103" s="22"/>
    </row>
    <row r="104" spans="1:12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  <c r="L104" s="22"/>
    </row>
    <row r="105" spans="1:12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  <c r="L105" s="22"/>
    </row>
    <row r="106" spans="1:12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  <c r="L106" s="22"/>
    </row>
    <row r="107" spans="1:12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  <c r="L107" s="22"/>
    </row>
    <row r="108" spans="1:12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  <c r="L108" s="22"/>
    </row>
    <row r="109" spans="1:12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  <c r="L109" s="22"/>
    </row>
    <row r="110" spans="1:12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  <c r="L110" s="22"/>
    </row>
    <row r="111" spans="1:12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  <c r="L111" s="22"/>
    </row>
    <row r="112" spans="1:12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  <c r="L112" s="22"/>
    </row>
    <row r="113" spans="1:12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  <c r="L113" s="22"/>
    </row>
    <row r="114" spans="1:12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  <c r="L114" s="22"/>
    </row>
    <row r="115" spans="1:12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  <c r="L115" s="22"/>
    </row>
    <row r="116" spans="1:12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  <c r="L116" s="22"/>
    </row>
    <row r="117" spans="1:12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  <c r="L117" s="22"/>
    </row>
    <row r="118" spans="1:12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  <c r="L118" s="22"/>
    </row>
    <row r="119" spans="1:12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  <c r="L119" s="22"/>
    </row>
    <row r="120" spans="1:12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  <c r="L120" s="22"/>
    </row>
    <row r="121" spans="1:12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  <c r="L121" s="22"/>
    </row>
    <row r="122" spans="1:12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  <c r="L122" s="22"/>
    </row>
    <row r="123" spans="1:12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  <c r="L123" s="22"/>
    </row>
    <row r="124" spans="1:12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  <c r="L124" s="22"/>
    </row>
    <row r="125" spans="1:12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  <c r="L125" s="22"/>
    </row>
    <row r="126" spans="1:12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  <c r="L126" s="22"/>
    </row>
    <row r="127" spans="1:12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  <c r="L127" s="22"/>
    </row>
    <row r="128" spans="1:12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  <c r="L128" s="22"/>
    </row>
    <row r="129" spans="1:12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  <c r="L129" s="22"/>
    </row>
    <row r="130" spans="1:12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  <c r="L130" s="22"/>
    </row>
    <row r="131" spans="1:12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  <c r="L131" s="22"/>
    </row>
    <row r="132" spans="1:12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  <c r="L132" s="22"/>
    </row>
    <row r="133" spans="1:12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  <c r="L133" s="22"/>
    </row>
    <row r="134" spans="1:12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  <c r="L134" s="22"/>
    </row>
    <row r="135" spans="1:12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  <c r="L135" s="22"/>
    </row>
    <row r="136" spans="1:12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  <c r="L136" s="22"/>
    </row>
    <row r="137" spans="1:12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  <c r="L137" s="22"/>
    </row>
    <row r="138" spans="1:12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  <c r="L138" s="22"/>
    </row>
    <row r="139" spans="1:12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  <c r="L139" s="22"/>
    </row>
    <row r="140" spans="1:12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  <c r="L140" s="22"/>
    </row>
    <row r="141" spans="1:12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  <c r="L141" s="22"/>
    </row>
    <row r="142" spans="1:12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  <c r="L142" s="22"/>
    </row>
    <row r="143" spans="1:12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  <c r="L143" s="22"/>
    </row>
    <row r="144" spans="1:12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  <c r="L144" s="22"/>
    </row>
    <row r="145" spans="1:12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  <c r="L145" s="22"/>
    </row>
    <row r="146" spans="1:12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  <c r="L146" s="22"/>
    </row>
    <row r="147" spans="1:12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  <c r="L147" s="22"/>
    </row>
    <row r="148" spans="1:12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  <c r="L148" s="22"/>
    </row>
    <row r="149" spans="1:12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  <c r="L149" s="22"/>
    </row>
    <row r="150" spans="1:12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  <c r="L150" s="22"/>
    </row>
    <row r="151" spans="1:12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  <c r="L151" s="22"/>
    </row>
    <row r="152" spans="1:12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  <c r="L152" s="22"/>
    </row>
    <row r="153" spans="1:12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  <c r="L153" s="22"/>
    </row>
    <row r="154" spans="1:12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  <c r="L154" s="22"/>
    </row>
    <row r="155" spans="1:12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  <c r="L155" s="22"/>
    </row>
    <row r="156" spans="1:12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  <c r="L156" s="22"/>
    </row>
    <row r="157" spans="1:12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  <c r="L157" s="22"/>
    </row>
    <row r="158" spans="1:12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  <c r="L158" s="22"/>
    </row>
    <row r="159" spans="1:12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  <c r="L159" s="22"/>
    </row>
    <row r="160" spans="1:12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  <c r="L160" s="22"/>
    </row>
    <row r="161" spans="1:12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  <c r="L161" s="22"/>
    </row>
    <row r="162" spans="1:12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  <c r="L162" s="22"/>
    </row>
    <row r="163" spans="1:12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  <c r="L163" s="22"/>
    </row>
    <row r="164" spans="1:12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  <c r="L164" s="22"/>
    </row>
    <row r="165" spans="1:12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  <c r="L165" s="22"/>
    </row>
    <row r="166" spans="1:12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  <c r="L166" s="22"/>
    </row>
    <row r="167" spans="1:12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  <c r="L167" s="22"/>
    </row>
    <row r="168" spans="1:12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  <c r="L168" s="22"/>
    </row>
    <row r="169" spans="1:12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  <c r="L169" s="22"/>
    </row>
    <row r="170" spans="1:12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  <c r="L170" s="22"/>
    </row>
    <row r="171" spans="1:12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  <c r="L171" s="22"/>
    </row>
    <row r="172" spans="1:12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  <c r="L172" s="22"/>
    </row>
    <row r="173" spans="1:12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  <c r="L173" s="22"/>
    </row>
    <row r="174" spans="1:12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  <c r="L174" s="22"/>
    </row>
    <row r="175" spans="1:12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  <c r="L175" s="22"/>
    </row>
    <row r="176" spans="1:12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  <c r="L176" s="22"/>
    </row>
    <row r="177" spans="1:12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  <c r="L177" s="22"/>
    </row>
    <row r="178" spans="1:12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  <c r="L178" s="22"/>
    </row>
    <row r="179" spans="1:12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  <c r="L179" s="22"/>
    </row>
    <row r="180" spans="1:12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  <c r="L180" s="22"/>
    </row>
    <row r="181" spans="1:12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  <c r="L181" s="22"/>
    </row>
    <row r="182" spans="1:12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  <c r="L182" s="22"/>
    </row>
    <row r="183" spans="1:12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  <c r="L183" s="22"/>
    </row>
    <row r="184" spans="1:12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  <c r="L184" s="22"/>
    </row>
    <row r="185" spans="1:12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  <c r="L185" s="22"/>
    </row>
    <row r="186" spans="1:12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  <c r="L186" s="22"/>
    </row>
    <row r="187" spans="1:12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  <c r="L187" s="22"/>
    </row>
    <row r="188" spans="1:12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  <c r="L188" s="22"/>
    </row>
    <row r="189" spans="1:12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  <c r="L189" s="22"/>
    </row>
    <row r="190" spans="1:12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  <c r="L190" s="22"/>
    </row>
    <row r="191" spans="1:12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  <c r="L191" s="22"/>
    </row>
    <row r="192" spans="1:12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  <c r="L192" s="22"/>
    </row>
    <row r="193" spans="1:12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  <c r="L193" s="22"/>
    </row>
    <row r="194" spans="1:12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  <c r="L194" s="22"/>
    </row>
    <row r="195" spans="1:12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  <c r="L195" s="22"/>
    </row>
    <row r="196" spans="1:12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  <c r="L196" s="22"/>
    </row>
    <row r="197" spans="1:12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  <c r="L197" s="22"/>
    </row>
    <row r="198" spans="1:12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  <c r="L198" s="22"/>
    </row>
    <row r="199" spans="1:12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  <c r="L199" s="22"/>
    </row>
    <row r="200" spans="1:12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  <c r="L200" s="22"/>
    </row>
    <row r="201" spans="1:12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  <c r="L201" s="22"/>
    </row>
    <row r="202" spans="1:12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  <c r="L202" s="22"/>
    </row>
    <row r="203" spans="1:12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  <c r="L203" s="22"/>
    </row>
    <row r="204" spans="1:12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  <c r="L204" s="22"/>
    </row>
    <row r="205" spans="1:12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  <c r="L205" s="22"/>
    </row>
    <row r="206" spans="1:12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  <c r="L206" s="22"/>
    </row>
    <row r="207" spans="1:12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  <c r="L207" s="22"/>
    </row>
    <row r="208" spans="1:12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  <c r="L208" s="22"/>
    </row>
    <row r="209" spans="1:12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  <c r="L209" s="22"/>
    </row>
    <row r="210" spans="1:12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  <c r="L210" s="22"/>
    </row>
    <row r="211" spans="1:12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  <c r="L211" s="22"/>
    </row>
    <row r="212" spans="1:12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  <c r="L212" s="22"/>
    </row>
    <row r="213" spans="1:12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  <c r="L213" s="22"/>
    </row>
    <row r="214" spans="1:12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  <c r="L214" s="22"/>
    </row>
    <row r="215" spans="1:12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  <c r="L215" s="22"/>
    </row>
    <row r="216" spans="1:12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  <c r="L216" s="22"/>
    </row>
    <row r="217" spans="1:12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  <c r="L217" s="22"/>
    </row>
    <row r="218" spans="1:12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  <c r="L218" s="22"/>
    </row>
    <row r="219" spans="1:12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  <c r="L219" s="22"/>
    </row>
    <row r="220" spans="1:12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  <c r="L220" s="22"/>
    </row>
    <row r="221" spans="1:12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  <c r="L221" s="22"/>
    </row>
    <row r="222" spans="1:12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  <c r="L222" s="22"/>
    </row>
    <row r="223" spans="1:12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  <c r="L223" s="22"/>
    </row>
    <row r="224" spans="1:12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  <c r="L224" s="22"/>
    </row>
    <row r="225" spans="1:12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  <c r="L225" s="22"/>
    </row>
    <row r="226" spans="1:12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  <c r="L226" s="22"/>
    </row>
    <row r="227" spans="1:12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  <c r="L227" s="22"/>
    </row>
    <row r="228" spans="1:12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  <c r="L228" s="22"/>
    </row>
    <row r="229" spans="1:12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  <c r="L229" s="22"/>
    </row>
    <row r="230" spans="1:12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  <c r="L230" s="22"/>
    </row>
    <row r="231" spans="1:12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  <c r="L231" s="22"/>
    </row>
    <row r="232" spans="1:12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  <c r="L232" s="22"/>
    </row>
    <row r="233" spans="1:12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  <c r="L233" s="22"/>
    </row>
    <row r="234" spans="1:12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  <c r="L234" s="22"/>
    </row>
    <row r="235" spans="1:12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  <c r="L235" s="22"/>
    </row>
    <row r="236" spans="1:12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  <c r="L236" s="22"/>
    </row>
    <row r="237" spans="1:12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  <c r="L237" s="22"/>
    </row>
    <row r="238" spans="1:12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  <c r="L238" s="22"/>
    </row>
    <row r="239" spans="1:12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  <c r="L239" s="22"/>
    </row>
    <row r="240" spans="1:12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  <c r="L240" s="22"/>
    </row>
    <row r="241" spans="1:12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  <c r="L241" s="22"/>
    </row>
    <row r="242" spans="1:12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  <c r="L242" s="22"/>
    </row>
    <row r="243" spans="1:12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  <c r="L243" s="22"/>
    </row>
    <row r="244" spans="1:12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  <c r="L244" s="22"/>
    </row>
    <row r="245" spans="1:12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  <c r="L245" s="22"/>
    </row>
    <row r="246" spans="1:12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  <c r="L246" s="22"/>
    </row>
    <row r="247" spans="1:12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  <c r="L247" s="22"/>
    </row>
    <row r="248" spans="1:12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  <c r="L248" s="22"/>
    </row>
    <row r="249" spans="1:12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  <c r="L249" s="22"/>
    </row>
    <row r="250" spans="1:12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  <c r="L250" s="22"/>
    </row>
    <row r="251" spans="1:12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  <c r="L251" s="22"/>
    </row>
    <row r="252" spans="1:12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  <c r="L252" s="22"/>
    </row>
    <row r="253" spans="1:12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  <c r="L253" s="22"/>
    </row>
    <row r="254" spans="1:12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  <c r="L254" s="22"/>
    </row>
    <row r="255" spans="1:12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  <c r="L255" s="22"/>
    </row>
    <row r="256" spans="1:12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  <c r="L256" s="22"/>
    </row>
    <row r="257" spans="1:12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  <c r="L257" s="22"/>
    </row>
    <row r="258" spans="1:12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  <c r="L258" s="22"/>
    </row>
    <row r="259" spans="1:12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  <c r="L259" s="22"/>
    </row>
    <row r="260" spans="1:12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  <c r="L260" s="22"/>
    </row>
    <row r="261" spans="1:12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  <c r="L261" s="22"/>
    </row>
    <row r="262" spans="1:12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  <c r="L262" s="22"/>
    </row>
    <row r="263" spans="1:12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  <c r="L263" s="22"/>
    </row>
    <row r="264" spans="1:12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  <c r="L264" s="22"/>
    </row>
    <row r="265" spans="1:12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  <c r="L265" s="22"/>
    </row>
    <row r="266" spans="1:12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  <c r="L266" s="22"/>
    </row>
    <row r="267" spans="1:12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  <c r="L267" s="22"/>
    </row>
    <row r="268" spans="1:12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  <c r="L268" s="22"/>
    </row>
    <row r="269" spans="1:12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  <c r="L269" s="22"/>
    </row>
    <row r="270" spans="1:12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  <c r="L270" s="22"/>
    </row>
    <row r="271" spans="1:12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  <c r="L271" s="22"/>
    </row>
    <row r="272" spans="1:12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  <c r="L272" s="22"/>
    </row>
    <row r="273" spans="1:12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  <c r="L273" s="22"/>
    </row>
    <row r="274" spans="1:12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  <c r="L274" s="22"/>
    </row>
    <row r="275" spans="1:12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  <c r="L275" s="22"/>
    </row>
    <row r="276" spans="1:12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  <c r="L276" s="22"/>
    </row>
    <row r="277" spans="1:12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  <c r="L277" s="22"/>
    </row>
    <row r="278" spans="1:12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  <c r="L278" s="22"/>
    </row>
    <row r="279" spans="1:12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  <c r="L279" s="22"/>
    </row>
    <row r="280" spans="1:12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  <c r="L280" s="22"/>
    </row>
    <row r="281" spans="1:12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  <c r="L281" s="22"/>
    </row>
    <row r="282" spans="1:12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  <c r="L282" s="22"/>
    </row>
    <row r="283" spans="1:12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  <c r="L283" s="22"/>
    </row>
    <row r="284" spans="1:12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  <c r="L284" s="22"/>
    </row>
    <row r="285" spans="1:12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  <c r="L285" s="22"/>
    </row>
    <row r="286" spans="1:12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  <c r="L286" s="22"/>
    </row>
    <row r="287" spans="1:12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  <c r="L287" s="22"/>
    </row>
    <row r="288" spans="1:12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  <c r="L288" s="22"/>
    </row>
    <row r="289" spans="1:12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  <c r="L289" s="22"/>
    </row>
    <row r="290" spans="1:12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  <c r="L290" s="22"/>
    </row>
    <row r="291" spans="1:12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  <c r="L291" s="22"/>
    </row>
    <row r="292" spans="1:12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  <c r="L292" s="22"/>
    </row>
    <row r="293" spans="1:12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  <c r="L293" s="22"/>
    </row>
    <row r="294" spans="1:12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  <c r="L294" s="22"/>
    </row>
    <row r="295" spans="1:12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  <c r="L295" s="22"/>
    </row>
    <row r="296" spans="1:12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  <c r="L296" s="22"/>
    </row>
    <row r="297" spans="1:12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  <c r="L297" s="22"/>
    </row>
    <row r="298" spans="1:12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  <c r="L298" s="22"/>
    </row>
    <row r="299" spans="1:12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  <c r="L299" s="22"/>
    </row>
    <row r="300" spans="1:12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  <c r="L300" s="22"/>
    </row>
    <row r="301" spans="1:12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  <c r="L301" s="22"/>
    </row>
    <row r="302" spans="1:12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  <c r="L302" s="22"/>
    </row>
    <row r="303" spans="1:12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  <c r="L303" s="22"/>
    </row>
    <row r="304" spans="1:12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  <c r="L304" s="22"/>
    </row>
    <row r="305" spans="1:12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  <c r="L305" s="22"/>
    </row>
    <row r="306" spans="1:12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  <c r="L306" s="22"/>
    </row>
    <row r="307" spans="1:12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  <c r="L307" s="22"/>
    </row>
    <row r="308" spans="1:12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  <c r="L308" s="22"/>
    </row>
    <row r="309" spans="1:12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  <c r="L309" s="22"/>
    </row>
    <row r="310" spans="1:12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  <c r="L310" s="22"/>
    </row>
    <row r="311" spans="1:12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  <c r="L311" s="22"/>
    </row>
    <row r="312" spans="1:12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  <c r="L312" s="22"/>
    </row>
    <row r="313" spans="1:12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  <c r="L313" s="22"/>
    </row>
    <row r="314" spans="1:12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  <c r="L314" s="22"/>
    </row>
    <row r="315" spans="1:12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  <c r="L315" s="22"/>
    </row>
    <row r="316" spans="1:12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  <c r="L316" s="22"/>
    </row>
    <row r="317" spans="1:12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  <c r="L317" s="22"/>
    </row>
    <row r="318" spans="1:12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  <c r="L318" s="22"/>
    </row>
    <row r="319" spans="1:12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  <c r="L319" s="22"/>
    </row>
  </sheetData>
  <mergeCells count="4">
    <mergeCell ref="D1:F1"/>
    <mergeCell ref="A1:C1"/>
    <mergeCell ref="G1:I1"/>
    <mergeCell ref="A2:B2"/>
  </mergeCells>
  <phoneticPr fontId="5" type="noConversion"/>
  <conditionalFormatting sqref="F2 I2 F4:F77 I4:I77">
    <cfRule type="cellIs" dxfId="40" priority="4" stopIfTrue="1" operator="lessThanOrEqual">
      <formula>-0.1</formula>
    </cfRule>
    <cfRule type="expression" dxfId="39" priority="5">
      <formula>AND(ISNUMBER(F2), F2&gt;=0.1)</formula>
    </cfRule>
  </conditionalFormatting>
  <hyperlinks>
    <hyperlink ref="K4" r:id="rId1" display="https://us3.assetplanner.com/service_request?ID=114184" xr:uid="{5AAABB9B-50F4-40D1-9801-C701A97A8991}"/>
    <hyperlink ref="K5" r:id="rId2" display="https://us3.assetplanner.com/service_request?ID=112674" xr:uid="{550E2EDE-285C-4B4A-ADC8-CC819E8CEAD5}"/>
  </hyperlinks>
  <pageMargins left="0.4" right="0.7" top="0.25" bottom="0.25" header="0.3" footer="0.3"/>
  <pageSetup fitToHeight="99" orientation="landscape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U333"/>
  <sheetViews>
    <sheetView zoomScale="60" zoomScaleNormal="60" workbookViewId="0">
      <pane xSplit="2" ySplit="3" topLeftCell="C9" activePane="bottomRight" state="frozen"/>
      <selection pane="bottomRight" activeCell="H31" sqref="H31"/>
      <selection pane="bottomLeft" activeCell="H31" sqref="H31"/>
      <selection pane="topRight" activeCell="H31" sqref="H31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21" ht="19.5" customHeight="1">
      <c r="A1" s="76" t="str" cm="1">
        <f t="array" ref="A1">portfolio</f>
        <v>Tortoise</v>
      </c>
      <c r="B1" s="76"/>
      <c r="C1" s="76"/>
      <c r="D1" s="77" t="s">
        <v>29</v>
      </c>
      <c r="E1" s="77"/>
      <c r="F1" s="77"/>
      <c r="G1" s="75" t="s">
        <v>30</v>
      </c>
      <c r="H1" s="75"/>
      <c r="I1" s="75"/>
      <c r="J1" s="5"/>
      <c r="K1" s="5"/>
    </row>
    <row r="2" spans="1:21" ht="19.5" customHeight="1">
      <c r="A2" s="78" t="s">
        <v>2</v>
      </c>
      <c r="B2" s="78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7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21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6" t="s">
        <v>20</v>
      </c>
      <c r="K3" s="26" t="s">
        <v>21</v>
      </c>
    </row>
    <row r="4" spans="1:21" ht="15.6">
      <c r="A4" s="32" t="str" cm="1">
        <f t="array" ref="A4:A7">Sites[Site]</f>
        <v>Alamosa School District</v>
      </c>
      <c r="B4" s="29" t="str" cm="1">
        <f t="array" ref="B4:B7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5"/>
      <c r="K4" s="58"/>
      <c r="L4" s="61"/>
      <c r="M4" s="61"/>
      <c r="N4" s="61"/>
      <c r="O4" s="61"/>
      <c r="P4" s="61"/>
      <c r="Q4" s="61"/>
      <c r="R4" s="61"/>
      <c r="S4" s="61"/>
      <c r="T4" s="61"/>
      <c r="U4" s="61"/>
    </row>
    <row r="5" spans="1:21" ht="15.6">
      <c r="A5" s="30" t="str">
        <v>San Luis Valley</v>
      </c>
      <c r="B5" s="31" t="str">
        <v>CO</v>
      </c>
      <c r="C5" s="12"/>
      <c r="D5" s="12"/>
      <c r="E5" s="19" t="str">
        <f>IF(AND(ISNUMBER(C5),ISNUMBER(D5)), C5-D5, "")</f>
        <v/>
      </c>
      <c r="F5" s="20" t="str">
        <f>IFERROR(E5/D5, "")</f>
        <v/>
      </c>
      <c r="G5" s="44"/>
      <c r="H5" s="21" t="str">
        <f t="shared" ref="H5:H13" si="0">IF(AND(ISNUMBER(C5),ISNUMBER(G5)), C5-G5, "")</f>
        <v/>
      </c>
      <c r="I5" s="20" t="str">
        <f t="shared" ref="I5:I13" si="1">IFERROR(H5/G5, "")</f>
        <v/>
      </c>
      <c r="J5" s="49"/>
      <c r="K5" s="49"/>
      <c r="L5" s="61"/>
      <c r="M5" s="61"/>
      <c r="N5" s="61"/>
      <c r="O5" s="61"/>
      <c r="P5" s="61"/>
      <c r="Q5" s="61"/>
      <c r="R5" s="61"/>
      <c r="S5" s="61"/>
      <c r="T5" s="61"/>
      <c r="U5" s="61"/>
    </row>
    <row r="6" spans="1:21" ht="15.6">
      <c r="A6" s="32" t="str">
        <v>Golden NREL 2</v>
      </c>
      <c r="B6" s="29" t="str">
        <v>CO</v>
      </c>
      <c r="C6" s="25"/>
      <c r="D6" s="14"/>
      <c r="E6" s="14" t="str">
        <f t="shared" ref="E6:E13" si="2">IF(AND(ISNUMBER(C6),ISNUMBER(D6)), C6-D6, "")</f>
        <v/>
      </c>
      <c r="F6" s="15" t="str">
        <f t="shared" ref="F6:F13" si="3">IFERROR(E6/D6, "")</f>
        <v/>
      </c>
      <c r="G6" s="16"/>
      <c r="H6" s="16" t="str">
        <f t="shared" si="0"/>
        <v/>
      </c>
      <c r="I6" s="17" t="str">
        <f t="shared" si="1"/>
        <v/>
      </c>
      <c r="J6" s="45"/>
      <c r="K6" s="45"/>
      <c r="L6" s="61"/>
      <c r="M6" s="61"/>
      <c r="N6" s="61"/>
      <c r="O6" s="61"/>
      <c r="P6" s="61"/>
      <c r="Q6" s="61"/>
      <c r="R6" s="61"/>
      <c r="S6" s="61"/>
      <c r="T6" s="61"/>
      <c r="U6" s="61"/>
    </row>
    <row r="7" spans="1:21" ht="15.6">
      <c r="A7" s="30" t="str">
        <v>Golden NREL Wind 3</v>
      </c>
      <c r="B7" s="31" t="str">
        <v>CO</v>
      </c>
      <c r="C7" s="12"/>
      <c r="D7" s="12"/>
      <c r="E7" s="19" t="str">
        <f t="shared" si="2"/>
        <v/>
      </c>
      <c r="F7" s="20" t="str">
        <f t="shared" si="3"/>
        <v/>
      </c>
      <c r="G7" s="44"/>
      <c r="H7" s="21" t="str">
        <f t="shared" si="0"/>
        <v/>
      </c>
      <c r="I7" s="20" t="str">
        <f t="shared" si="1"/>
        <v/>
      </c>
      <c r="J7" s="49"/>
      <c r="K7" s="59"/>
      <c r="L7" s="61"/>
      <c r="M7" s="61"/>
      <c r="N7" s="61"/>
      <c r="O7" s="61"/>
      <c r="P7" s="61"/>
      <c r="Q7" s="61"/>
      <c r="R7" s="61"/>
      <c r="S7" s="61"/>
      <c r="T7" s="61"/>
      <c r="U7" s="61"/>
    </row>
    <row r="8" spans="1:21" ht="15.6">
      <c r="A8" s="32"/>
      <c r="B8" s="29"/>
      <c r="C8" s="25"/>
      <c r="D8" s="14"/>
      <c r="E8" s="14" t="str">
        <f>IF(AND(ISNUMBER(C8),ISNUMBER(D8)), C8-D8, "")</f>
        <v/>
      </c>
      <c r="F8" s="15" t="str">
        <f t="shared" si="3"/>
        <v/>
      </c>
      <c r="G8" s="16"/>
      <c r="H8" s="16" t="str">
        <f t="shared" si="0"/>
        <v/>
      </c>
      <c r="I8" s="17" t="str">
        <f t="shared" si="1"/>
        <v/>
      </c>
      <c r="J8" s="62"/>
      <c r="K8" s="58"/>
      <c r="L8" s="61"/>
      <c r="M8" s="61"/>
      <c r="N8" s="61"/>
      <c r="O8" s="61"/>
      <c r="P8" s="61"/>
      <c r="Q8" s="61"/>
      <c r="R8" s="61"/>
      <c r="S8" s="61"/>
      <c r="T8" s="61"/>
      <c r="U8" s="61"/>
    </row>
    <row r="9" spans="1:21" ht="326.25" customHeight="1">
      <c r="A9" s="30"/>
      <c r="B9" s="31"/>
      <c r="C9" s="12"/>
      <c r="D9" s="64"/>
      <c r="E9" s="19" t="str">
        <f t="shared" si="2"/>
        <v/>
      </c>
      <c r="F9" s="20" t="str">
        <f t="shared" si="3"/>
        <v/>
      </c>
      <c r="G9" s="64"/>
      <c r="H9" s="21" t="str">
        <f t="shared" si="0"/>
        <v/>
      </c>
      <c r="I9" s="20" t="str">
        <f t="shared" si="1"/>
        <v/>
      </c>
      <c r="J9" s="63"/>
      <c r="K9" s="59"/>
      <c r="L9" s="60"/>
      <c r="M9" s="60"/>
      <c r="N9" s="60"/>
      <c r="O9" s="60"/>
      <c r="P9" s="60"/>
      <c r="Q9" s="60"/>
      <c r="R9" s="60"/>
      <c r="S9" s="60"/>
      <c r="T9" s="61"/>
      <c r="U9" s="61"/>
    </row>
    <row r="10" spans="1:21" ht="15.6">
      <c r="A10" s="32"/>
      <c r="B10" s="29"/>
      <c r="C10" s="25"/>
      <c r="D10" s="14"/>
      <c r="E10" s="14" t="str">
        <f t="shared" si="2"/>
        <v/>
      </c>
      <c r="F10" s="15" t="str">
        <f t="shared" si="3"/>
        <v/>
      </c>
      <c r="G10" s="16"/>
      <c r="H10" s="16" t="str">
        <f t="shared" si="0"/>
        <v/>
      </c>
      <c r="I10" s="17" t="str">
        <f t="shared" si="1"/>
        <v/>
      </c>
      <c r="J10" s="45"/>
      <c r="K10" s="58"/>
      <c r="L10" s="60"/>
      <c r="M10" s="61"/>
      <c r="N10" s="61"/>
      <c r="O10" s="61"/>
      <c r="P10" s="61"/>
      <c r="Q10" s="61"/>
      <c r="R10" s="61"/>
      <c r="S10" s="61"/>
      <c r="T10" s="61"/>
      <c r="U10" s="61"/>
    </row>
    <row r="11" spans="1:21" ht="143.25" customHeight="1">
      <c r="A11" s="30"/>
      <c r="B11" s="31"/>
      <c r="C11" s="12"/>
      <c r="D11" s="65"/>
      <c r="E11" s="19" t="str">
        <f t="shared" si="2"/>
        <v/>
      </c>
      <c r="F11" s="20" t="str">
        <f t="shared" si="3"/>
        <v/>
      </c>
      <c r="G11" s="65"/>
      <c r="H11" s="21" t="str">
        <f t="shared" si="0"/>
        <v/>
      </c>
      <c r="I11" s="20" t="str">
        <f t="shared" si="1"/>
        <v/>
      </c>
      <c r="J11" s="63"/>
      <c r="K11" s="59"/>
      <c r="L11" s="60"/>
      <c r="M11" s="60"/>
      <c r="N11" s="60"/>
      <c r="O11" s="61"/>
      <c r="P11" s="61"/>
      <c r="Q11" s="61"/>
      <c r="R11" s="61"/>
      <c r="S11" s="61"/>
      <c r="T11" s="61"/>
      <c r="U11" s="61"/>
    </row>
    <row r="12" spans="1:21" ht="15.6">
      <c r="A12" s="32"/>
      <c r="B12" s="29"/>
      <c r="C12" s="25"/>
      <c r="D12" s="14"/>
      <c r="E12" s="14" t="str">
        <f t="shared" si="2"/>
        <v/>
      </c>
      <c r="F12" s="15" t="str">
        <f t="shared" si="3"/>
        <v/>
      </c>
      <c r="G12" s="16"/>
      <c r="H12" s="16" t="str">
        <f t="shared" si="0"/>
        <v/>
      </c>
      <c r="I12" s="17" t="str">
        <f t="shared" si="1"/>
        <v/>
      </c>
      <c r="J12" s="45"/>
      <c r="K12" s="58"/>
      <c r="L12" s="60"/>
      <c r="M12" s="60"/>
      <c r="N12" s="61"/>
      <c r="O12" s="61"/>
      <c r="P12" s="61"/>
      <c r="Q12" s="61"/>
      <c r="R12" s="61"/>
      <c r="S12" s="61"/>
      <c r="T12" s="61"/>
      <c r="U12" s="61"/>
    </row>
    <row r="13" spans="1:21" ht="15.6">
      <c r="A13" s="30"/>
      <c r="B13" s="31"/>
      <c r="C13" s="12"/>
      <c r="D13" s="44"/>
      <c r="E13" s="19" t="str">
        <f t="shared" si="2"/>
        <v/>
      </c>
      <c r="F13" s="20" t="str">
        <f t="shared" si="3"/>
        <v/>
      </c>
      <c r="G13" s="44"/>
      <c r="H13" s="21" t="str">
        <f t="shared" si="0"/>
        <v/>
      </c>
      <c r="I13" s="20" t="str">
        <f t="shared" si="1"/>
        <v/>
      </c>
      <c r="J13" s="49"/>
      <c r="K13" s="66"/>
      <c r="L13" s="61"/>
      <c r="M13" s="61"/>
      <c r="N13" s="61"/>
      <c r="O13" s="61"/>
      <c r="P13" s="61"/>
      <c r="Q13" s="61"/>
      <c r="R13" s="61"/>
      <c r="S13" s="61"/>
      <c r="T13" s="61"/>
      <c r="U13" s="61"/>
    </row>
    <row r="14" spans="1:21" ht="14.45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21" ht="14.4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21" ht="14.4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3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3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3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3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3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C333" s="22"/>
      <c r="D333" s="22"/>
      <c r="E333" s="22"/>
      <c r="F333" s="23"/>
      <c r="G333" s="22"/>
      <c r="H333" s="22"/>
      <c r="I333" s="23"/>
      <c r="J333" s="22"/>
      <c r="K333" s="22"/>
    </row>
  </sheetData>
  <mergeCells count="4">
    <mergeCell ref="G1:I1"/>
    <mergeCell ref="A1:C1"/>
    <mergeCell ref="D1:F1"/>
    <mergeCell ref="A2:B2"/>
  </mergeCells>
  <conditionalFormatting sqref="F2 I2 F4:F91 I4:I91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P334"/>
  <sheetViews>
    <sheetView zoomScale="60" zoomScaleNormal="60" workbookViewId="0">
      <pane xSplit="2" ySplit="3" topLeftCell="C4" activePane="bottomRight" state="frozen"/>
      <selection pane="bottomRight" activeCell="H31" sqref="H31"/>
      <selection pane="bottomLeft" activeCell="H31" sqref="H31"/>
      <selection pane="topRight" activeCell="H31" sqref="H31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6" ht="19.5" customHeight="1">
      <c r="A1" s="76" t="str" cm="1">
        <f t="array" ref="A1">portfolio</f>
        <v>Tortoise</v>
      </c>
      <c r="B1" s="76"/>
      <c r="C1" s="76"/>
      <c r="D1" s="77" t="s">
        <v>31</v>
      </c>
      <c r="E1" s="77"/>
      <c r="F1" s="77"/>
      <c r="G1" s="75" t="s">
        <v>32</v>
      </c>
      <c r="H1" s="75"/>
      <c r="I1" s="75"/>
      <c r="J1" s="5"/>
      <c r="K1" s="5"/>
    </row>
    <row r="2" spans="1:16" ht="19.5" customHeight="1">
      <c r="A2" s="78" t="s">
        <v>2</v>
      </c>
      <c r="B2" s="78"/>
      <c r="C2" s="6">
        <f>SUM(C4:C92)</f>
        <v>0</v>
      </c>
      <c r="D2" s="6">
        <f>SUM(D4:D92)</f>
        <v>0</v>
      </c>
      <c r="E2" s="6">
        <f>C2-D2</f>
        <v>0</v>
      </c>
      <c r="F2" s="7">
        <f>IFERROR(E2/D2, 0)</f>
        <v>0</v>
      </c>
      <c r="G2" s="6">
        <f>SUM(G4:G92)</f>
        <v>0</v>
      </c>
      <c r="H2" s="8">
        <f>C2-G2</f>
        <v>0</v>
      </c>
      <c r="I2" s="7">
        <f>IFERROR(H2/G2, 0)</f>
        <v>0</v>
      </c>
      <c r="J2" s="27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6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6" t="s">
        <v>20</v>
      </c>
      <c r="K3" s="26" t="s">
        <v>21</v>
      </c>
    </row>
    <row r="4" spans="1:16" ht="15.6">
      <c r="A4" s="32" t="str" cm="1">
        <f t="array" ref="A4:A7">Sites[Site]</f>
        <v>Alamosa School District</v>
      </c>
      <c r="B4" s="29" t="str" cm="1">
        <f t="array" ref="B4:B7">Sites[State]</f>
        <v>CO</v>
      </c>
      <c r="C4" s="46"/>
      <c r="D4" s="14"/>
      <c r="E4" s="14" t="str">
        <f>IF(AND(ISNUMBER(C4),ISNUMBER(D4)), C4-D4, "")</f>
        <v/>
      </c>
      <c r="F4" s="15" t="str">
        <f>IFERROR(E4/D4, "")</f>
        <v/>
      </c>
      <c r="G4" s="47"/>
      <c r="H4" s="16" t="str">
        <f>IF(AND(ISNUMBER(C4),ISNUMBER(G4)), C4-G4, "")</f>
        <v/>
      </c>
      <c r="I4" s="17" t="str">
        <f>IFERROR(H4/G4, "")</f>
        <v/>
      </c>
      <c r="J4" s="41"/>
      <c r="K4" s="67"/>
      <c r="L4" s="61"/>
      <c r="M4" s="61"/>
      <c r="N4" s="61"/>
      <c r="O4" s="61"/>
      <c r="P4" s="61"/>
    </row>
    <row r="5" spans="1:16" ht="15.6">
      <c r="A5" s="30" t="str">
        <v>San Luis Valley</v>
      </c>
      <c r="B5" s="31" t="str">
        <v>CO</v>
      </c>
      <c r="C5" s="12"/>
      <c r="D5" s="19"/>
      <c r="E5" s="19" t="str">
        <f t="shared" ref="E5:E13" si="0">IF(AND(ISNUMBER(C5),ISNUMBER(D5)), C5-D5, "")</f>
        <v/>
      </c>
      <c r="F5" s="20" t="str">
        <f>IFERROR(E5/D5, "")</f>
        <v/>
      </c>
      <c r="G5" s="21"/>
      <c r="H5" s="21" t="str">
        <f t="shared" ref="H5:H13" si="1">IF(AND(ISNUMBER(C5),ISNUMBER(G5)), C5-G5, "")</f>
        <v/>
      </c>
      <c r="I5" s="20" t="str">
        <f t="shared" ref="I5:I13" si="2">IFERROR(H5/G5, "")</f>
        <v/>
      </c>
      <c r="J5" s="48"/>
      <c r="K5" s="59"/>
      <c r="L5" s="61"/>
      <c r="M5" s="61"/>
      <c r="N5" s="61"/>
      <c r="O5" s="61"/>
      <c r="P5" s="61"/>
    </row>
    <row r="6" spans="1:16" ht="15.6">
      <c r="A6" s="32" t="str">
        <v>Golden NREL 2</v>
      </c>
      <c r="B6" s="29" t="str">
        <v>CO</v>
      </c>
      <c r="C6" s="46"/>
      <c r="D6" s="14"/>
      <c r="E6" s="14" t="str">
        <f t="shared" si="0"/>
        <v/>
      </c>
      <c r="F6" s="15" t="str">
        <f t="shared" ref="F6:F13" si="3">IFERROR(E6/D6, "")</f>
        <v/>
      </c>
      <c r="G6" s="47"/>
      <c r="H6" s="16" t="str">
        <f t="shared" si="1"/>
        <v/>
      </c>
      <c r="I6" s="17" t="str">
        <f t="shared" si="2"/>
        <v/>
      </c>
      <c r="J6" s="41"/>
      <c r="K6" s="41"/>
      <c r="L6" s="61"/>
      <c r="M6" s="61"/>
      <c r="N6" s="61"/>
      <c r="O6" s="61"/>
      <c r="P6" s="61"/>
    </row>
    <row r="7" spans="1:16" ht="15.6">
      <c r="A7" s="30" t="str">
        <v>Golden NREL Wind 3</v>
      </c>
      <c r="B7" s="31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8"/>
      <c r="K7" s="59"/>
      <c r="L7" s="61"/>
      <c r="M7" s="61"/>
      <c r="N7" s="61"/>
      <c r="O7" s="61"/>
      <c r="P7" s="61"/>
    </row>
    <row r="8" spans="1:16" ht="15.6">
      <c r="A8" s="51"/>
      <c r="B8" s="29"/>
      <c r="C8" s="46"/>
      <c r="D8" s="14"/>
      <c r="E8" s="14" t="str">
        <f t="shared" si="0"/>
        <v/>
      </c>
      <c r="F8" s="15" t="str">
        <f t="shared" si="3"/>
        <v/>
      </c>
      <c r="G8" s="47"/>
      <c r="H8" s="16" t="str">
        <f t="shared" si="1"/>
        <v/>
      </c>
      <c r="I8" s="17" t="str">
        <f t="shared" si="2"/>
        <v/>
      </c>
      <c r="J8" s="41"/>
      <c r="K8" s="67"/>
      <c r="L8" s="60"/>
      <c r="M8" s="60"/>
      <c r="N8" s="60"/>
      <c r="O8" s="61"/>
      <c r="P8" s="61"/>
    </row>
    <row r="9" spans="1:16" ht="15.6">
      <c r="A9" s="30"/>
      <c r="B9" s="31"/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48"/>
      <c r="K9" s="59"/>
      <c r="L9" s="60"/>
      <c r="M9" s="60"/>
      <c r="N9" s="60"/>
      <c r="O9" s="60"/>
      <c r="P9" s="60"/>
    </row>
    <row r="10" spans="1:16" ht="106.5" customHeight="1">
      <c r="A10" s="32"/>
      <c r="B10" s="29"/>
      <c r="C10" s="46"/>
      <c r="D10" s="14"/>
      <c r="E10" s="14" t="str">
        <f t="shared" si="0"/>
        <v/>
      </c>
      <c r="F10" s="15" t="str">
        <f t="shared" si="3"/>
        <v/>
      </c>
      <c r="G10" s="47"/>
      <c r="H10" s="16" t="str">
        <f t="shared" si="1"/>
        <v/>
      </c>
      <c r="I10" s="17" t="str">
        <f t="shared" si="2"/>
        <v/>
      </c>
      <c r="J10" s="41"/>
      <c r="K10" s="67"/>
      <c r="L10" s="60"/>
      <c r="M10" s="61"/>
      <c r="N10" s="61"/>
      <c r="O10" s="61"/>
      <c r="P10" s="61"/>
    </row>
    <row r="11" spans="1:16" ht="15.6">
      <c r="A11" s="30"/>
      <c r="B11" s="31"/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48"/>
      <c r="K11" s="59"/>
      <c r="L11" s="60"/>
      <c r="M11" s="60"/>
      <c r="N11" s="60"/>
      <c r="O11" s="60"/>
      <c r="P11" s="61"/>
    </row>
    <row r="12" spans="1:16" ht="15.6">
      <c r="A12" s="32"/>
      <c r="B12" s="29"/>
      <c r="C12" s="46"/>
      <c r="D12" s="14"/>
      <c r="E12" s="14" t="str">
        <f t="shared" si="0"/>
        <v/>
      </c>
      <c r="F12" s="15" t="str">
        <f t="shared" si="3"/>
        <v/>
      </c>
      <c r="G12" s="47"/>
      <c r="H12" s="16" t="str">
        <f t="shared" si="1"/>
        <v/>
      </c>
      <c r="I12" s="17" t="str">
        <f t="shared" si="2"/>
        <v/>
      </c>
      <c r="J12" s="41"/>
      <c r="K12" s="67"/>
      <c r="L12" s="60"/>
      <c r="M12" s="60"/>
      <c r="N12" s="61"/>
      <c r="O12" s="61"/>
      <c r="P12" s="61"/>
    </row>
    <row r="13" spans="1:16" ht="15.6">
      <c r="A13" s="30"/>
      <c r="B13" s="31"/>
      <c r="C13" s="12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48"/>
      <c r="K13" s="59"/>
      <c r="L13" s="61"/>
      <c r="M13" s="61"/>
      <c r="N13" s="61"/>
      <c r="O13" s="61"/>
      <c r="P13" s="61"/>
    </row>
    <row r="14" spans="1:16" ht="14.45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6" ht="14.4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6" ht="14.4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3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3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3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3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C334" s="22"/>
      <c r="D334" s="22"/>
      <c r="E334" s="22"/>
      <c r="F334" s="23"/>
      <c r="G334" s="22"/>
      <c r="H334" s="22"/>
      <c r="I334" s="23"/>
      <c r="J334" s="22"/>
      <c r="K334" s="22"/>
    </row>
  </sheetData>
  <mergeCells count="4">
    <mergeCell ref="G1:I1"/>
    <mergeCell ref="A1:C1"/>
    <mergeCell ref="D1:F1"/>
    <mergeCell ref="A2:B2"/>
  </mergeCells>
  <conditionalFormatting sqref="F2 I2 F4:F92 I4:I92">
    <cfRule type="cellIs" dxfId="36" priority="3" stopIfTrue="1" operator="lessThanOrEqual">
      <formula>-0.1</formula>
    </cfRule>
    <cfRule type="expression" dxfId="3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N333"/>
  <sheetViews>
    <sheetView zoomScale="60" zoomScaleNormal="60" workbookViewId="0">
      <pane xSplit="2" ySplit="3" topLeftCell="C4" activePane="bottomRight" state="frozen"/>
      <selection pane="bottomRight" activeCell="J27" sqref="J27"/>
      <selection pane="bottomLeft" activeCell="H31" sqref="H31"/>
      <selection pane="topRight" activeCell="H31" sqref="H31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4" width="8.85546875" style="61"/>
  </cols>
  <sheetData>
    <row r="1" spans="1:13" ht="19.5" customHeight="1">
      <c r="A1" s="76" t="str" cm="1">
        <f t="array" ref="A1">portfolio</f>
        <v>Tortoise</v>
      </c>
      <c r="B1" s="76"/>
      <c r="C1" s="76"/>
      <c r="D1" s="77" t="s">
        <v>33</v>
      </c>
      <c r="E1" s="77"/>
      <c r="F1" s="77"/>
      <c r="G1" s="75" t="s">
        <v>34</v>
      </c>
      <c r="H1" s="75"/>
      <c r="I1" s="75"/>
      <c r="J1" s="5"/>
      <c r="K1" s="5"/>
    </row>
    <row r="2" spans="1:13" ht="19.5" customHeight="1">
      <c r="A2" s="78" t="s">
        <v>2</v>
      </c>
      <c r="B2" s="78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7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3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6" t="s">
        <v>20</v>
      </c>
      <c r="K3" s="26" t="s">
        <v>21</v>
      </c>
    </row>
    <row r="4" spans="1:13" ht="86.25" customHeight="1">
      <c r="A4" s="51" t="str" cm="1">
        <f t="array" ref="A4:A7">Sites[Site]</f>
        <v>Alamosa School District</v>
      </c>
      <c r="B4" s="29" t="str" cm="1">
        <f t="array" ref="B4:B7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1"/>
      <c r="K4" s="67"/>
      <c r="L4" s="60"/>
    </row>
    <row r="5" spans="1:13" ht="15.6">
      <c r="A5" s="30" t="str">
        <v>San Luis Valley</v>
      </c>
      <c r="B5" s="31" t="str">
        <v>CO</v>
      </c>
      <c r="C5" s="12"/>
      <c r="D5" s="19"/>
      <c r="E5" s="19" t="str">
        <f t="shared" ref="E5:E13" si="0">IF(AND(ISNUMBER(C5),ISNUMBER(D5)), C5-D5, "")</f>
        <v/>
      </c>
      <c r="F5" s="20" t="str">
        <f>IFERROR(E5/D5, "")</f>
        <v/>
      </c>
      <c r="G5" s="68"/>
      <c r="H5" s="21" t="str">
        <f t="shared" ref="H5:H8" si="1">IF(AND(ISNUMBER(C5),ISNUMBER(G5)), C5-G5, "")</f>
        <v/>
      </c>
      <c r="I5" s="20" t="str">
        <f t="shared" ref="I5:I8" si="2">IFERROR(H5/G5, "")</f>
        <v/>
      </c>
      <c r="J5" s="48"/>
      <c r="K5" s="59"/>
    </row>
    <row r="6" spans="1:13" ht="15.6">
      <c r="A6" s="32" t="str">
        <v>Golden NREL 2</v>
      </c>
      <c r="B6" s="29" t="str">
        <v>CO</v>
      </c>
      <c r="C6" s="25"/>
      <c r="D6" s="14"/>
      <c r="E6" s="14" t="str">
        <f t="shared" si="0"/>
        <v/>
      </c>
      <c r="F6" s="15" t="str">
        <f t="shared" ref="F6:F13" si="3">IFERROR(E6/D6, "")</f>
        <v/>
      </c>
      <c r="G6" s="16"/>
      <c r="H6" s="16" t="str">
        <f t="shared" si="1"/>
        <v/>
      </c>
      <c r="I6" s="17" t="str">
        <f t="shared" si="2"/>
        <v/>
      </c>
      <c r="J6" s="50"/>
      <c r="K6" s="50"/>
    </row>
    <row r="7" spans="1:13" ht="69" customHeight="1">
      <c r="A7" s="30" t="str">
        <v>Golden NREL Wind 3</v>
      </c>
      <c r="B7" s="31" t="str">
        <v>CO</v>
      </c>
      <c r="C7" s="12"/>
      <c r="D7" s="19"/>
      <c r="E7" s="19" t="str">
        <f>IF(AND(ISNUMBER(C7),ISNUMBER(D7)), C7-D7, "")</f>
        <v/>
      </c>
      <c r="F7" s="20">
        <v>0</v>
      </c>
      <c r="G7" s="68"/>
      <c r="H7" s="21" t="str">
        <f t="shared" si="1"/>
        <v/>
      </c>
      <c r="I7" s="20" t="str">
        <f t="shared" si="2"/>
        <v/>
      </c>
      <c r="J7" s="48"/>
      <c r="K7" s="59"/>
    </row>
    <row r="8" spans="1:13" ht="15.6">
      <c r="A8" s="51"/>
      <c r="B8" s="29"/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50"/>
      <c r="K8" s="58"/>
      <c r="L8" s="60"/>
      <c r="M8" s="60"/>
    </row>
    <row r="9" spans="1:13" ht="38.65" customHeight="1">
      <c r="A9" s="30"/>
      <c r="B9" s="31"/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ref="H9:H12" si="4">IF(AND(ISNUMBER(C9),ISNUMBER(G9)), C9-G9, "")</f>
        <v/>
      </c>
      <c r="I9" s="20" t="str">
        <f t="shared" ref="I9:I12" si="5">IFERROR(H9/G9, "")</f>
        <v/>
      </c>
      <c r="J9" s="48"/>
      <c r="K9" s="48"/>
    </row>
    <row r="10" spans="1:13" ht="15.6">
      <c r="A10" s="32"/>
      <c r="B10" s="29"/>
      <c r="C10" s="25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4"/>
        <v/>
      </c>
      <c r="I10" s="17" t="str">
        <f t="shared" si="5"/>
        <v/>
      </c>
      <c r="J10" s="50"/>
      <c r="K10" s="50"/>
    </row>
    <row r="11" spans="1:13" ht="15.6">
      <c r="A11" s="30"/>
      <c r="B11" s="31"/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4"/>
        <v/>
      </c>
      <c r="I11" s="20" t="str">
        <f t="shared" si="5"/>
        <v/>
      </c>
      <c r="J11" s="48"/>
      <c r="K11" s="48"/>
    </row>
    <row r="12" spans="1:13" ht="15.6">
      <c r="A12" s="32"/>
      <c r="B12" s="29"/>
      <c r="C12" s="25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4"/>
        <v/>
      </c>
      <c r="I12" s="17" t="str">
        <f t="shared" si="5"/>
        <v/>
      </c>
      <c r="J12" s="50"/>
      <c r="K12" s="50"/>
    </row>
    <row r="13" spans="1:13" ht="15.6">
      <c r="A13" s="30"/>
      <c r="B13" s="31"/>
      <c r="C13" s="12"/>
      <c r="D13" s="19"/>
      <c r="E13" s="19" t="str">
        <f t="shared" si="0"/>
        <v/>
      </c>
      <c r="F13" s="20" t="str">
        <f t="shared" si="3"/>
        <v/>
      </c>
      <c r="G13" s="21"/>
      <c r="H13" s="21"/>
      <c r="I13" s="20"/>
      <c r="J13" s="42"/>
      <c r="K13" s="42"/>
    </row>
    <row r="14" spans="1:13" ht="14.45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3" ht="14.4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3" ht="14.4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3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3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3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3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3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C333" s="22"/>
      <c r="D333" s="22"/>
      <c r="E333" s="22"/>
      <c r="F333" s="23"/>
      <c r="G333" s="22"/>
      <c r="H333" s="22"/>
      <c r="I333" s="23"/>
      <c r="J333" s="22"/>
      <c r="K333" s="22"/>
    </row>
  </sheetData>
  <mergeCells count="4">
    <mergeCell ref="G1:I1"/>
    <mergeCell ref="A1:C1"/>
    <mergeCell ref="D1:F1"/>
    <mergeCell ref="A2:B2"/>
  </mergeCells>
  <conditionalFormatting sqref="F2 I2 F4:F91 I4:I91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Q332"/>
  <sheetViews>
    <sheetView zoomScale="60" zoomScaleNormal="60" workbookViewId="0">
      <pane xSplit="2" ySplit="3" topLeftCell="C4" activePane="bottomRight" state="frozen"/>
      <selection pane="bottomRight" activeCell="H31" sqref="H31"/>
      <selection pane="bottomLeft" activeCell="H31" sqref="H31"/>
      <selection pane="topRight" activeCell="H31" sqref="H31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7" ht="19.5" customHeight="1">
      <c r="A1" s="76" t="str" cm="1">
        <f t="array" ref="A1">portfolio</f>
        <v>Tortoise</v>
      </c>
      <c r="B1" s="76"/>
      <c r="C1" s="76"/>
      <c r="D1" s="77" t="s">
        <v>35</v>
      </c>
      <c r="E1" s="77"/>
      <c r="F1" s="77"/>
      <c r="G1" s="75" t="s">
        <v>36</v>
      </c>
      <c r="H1" s="75"/>
      <c r="I1" s="75"/>
      <c r="J1" s="5"/>
      <c r="K1" s="5"/>
    </row>
    <row r="2" spans="1:17" ht="19.5" customHeight="1">
      <c r="A2" s="78" t="s">
        <v>2</v>
      </c>
      <c r="B2" s="7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7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7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6" t="s">
        <v>20</v>
      </c>
      <c r="K3" s="26" t="s">
        <v>21</v>
      </c>
    </row>
    <row r="4" spans="1:17" ht="71.25" customHeight="1">
      <c r="A4" s="32" t="str" cm="1">
        <f t="array" ref="A4:A7">Sites[Site]</f>
        <v>Alamosa School District</v>
      </c>
      <c r="B4" s="29" t="str" cm="1">
        <f t="array" ref="B4:B7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50"/>
      <c r="K4" s="58"/>
      <c r="L4" s="69"/>
      <c r="M4" s="69"/>
    </row>
    <row r="5" spans="1:17" ht="15.6">
      <c r="A5" s="30" t="str">
        <v>San Luis Valley</v>
      </c>
      <c r="B5" s="31" t="str">
        <v>CO</v>
      </c>
      <c r="C5" s="12"/>
      <c r="D5" s="19"/>
      <c r="E5" s="19" t="str">
        <f t="shared" ref="E5:E10" si="0">IF(AND(ISNUMBER(C5),ISNUMBER(D5)), C5-D5, "")</f>
        <v/>
      </c>
      <c r="F5" s="20" t="str">
        <f t="shared" ref="F5:F10" si="1">IFERROR(E5/D5, "")</f>
        <v/>
      </c>
      <c r="G5" s="70"/>
      <c r="H5" s="21" t="str">
        <f t="shared" ref="H5:H10" si="2">IF(AND(ISNUMBER(C5),ISNUMBER(G5)), C5-G5, "")</f>
        <v/>
      </c>
      <c r="I5" s="20" t="str">
        <f t="shared" ref="I5:I10" si="3">IFERROR(H5/G5, "")</f>
        <v/>
      </c>
      <c r="J5" s="48"/>
      <c r="K5" s="48"/>
    </row>
    <row r="6" spans="1:17" ht="15.6">
      <c r="A6" s="32" t="str">
        <v>Golden NREL 2</v>
      </c>
      <c r="B6" s="29" t="str">
        <v>CO</v>
      </c>
      <c r="C6" s="25"/>
      <c r="D6" s="14"/>
      <c r="E6" s="14" t="str">
        <f t="shared" si="0"/>
        <v/>
      </c>
      <c r="F6" s="15" t="str">
        <f t="shared" si="1"/>
        <v/>
      </c>
      <c r="G6" s="16"/>
      <c r="H6" s="16" t="str">
        <f t="shared" si="2"/>
        <v/>
      </c>
      <c r="I6" s="17" t="str">
        <f t="shared" si="3"/>
        <v/>
      </c>
      <c r="J6" s="50"/>
      <c r="K6" s="58"/>
    </row>
    <row r="7" spans="1:17" ht="15.6">
      <c r="A7" s="30" t="str">
        <v>Golden NREL Wind 3</v>
      </c>
      <c r="B7" s="31" t="str">
        <v>CO</v>
      </c>
      <c r="C7" s="12"/>
      <c r="D7" s="19"/>
      <c r="E7" s="19" t="str">
        <f t="shared" si="0"/>
        <v/>
      </c>
      <c r="F7" s="20" t="str">
        <f t="shared" si="1"/>
        <v/>
      </c>
      <c r="G7" s="68"/>
      <c r="H7" s="21" t="str">
        <f t="shared" si="2"/>
        <v/>
      </c>
      <c r="I7" s="20" t="str">
        <f t="shared" si="3"/>
        <v/>
      </c>
      <c r="J7" s="48"/>
      <c r="K7" s="59"/>
    </row>
    <row r="8" spans="1:17" ht="15.6">
      <c r="A8" s="32"/>
      <c r="B8" s="29"/>
      <c r="C8" s="25"/>
      <c r="D8" s="14"/>
      <c r="E8" s="14" t="str">
        <f t="shared" si="0"/>
        <v/>
      </c>
      <c r="F8" s="15" t="str">
        <f t="shared" si="1"/>
        <v/>
      </c>
      <c r="G8" s="16"/>
      <c r="H8" s="16" t="str">
        <f t="shared" si="2"/>
        <v/>
      </c>
      <c r="I8" s="17" t="str">
        <f t="shared" si="3"/>
        <v/>
      </c>
      <c r="J8" s="50"/>
      <c r="K8" s="58"/>
      <c r="L8" s="69"/>
      <c r="M8" s="69"/>
      <c r="N8" s="69"/>
      <c r="O8" s="69"/>
      <c r="P8" s="69"/>
      <c r="Q8" s="69"/>
    </row>
    <row r="9" spans="1:17" ht="22.5" customHeight="1">
      <c r="A9" s="30"/>
      <c r="B9" s="31"/>
      <c r="C9" s="12"/>
      <c r="D9" s="19"/>
      <c r="E9" s="19" t="str">
        <f t="shared" si="0"/>
        <v/>
      </c>
      <c r="F9" s="20" t="str">
        <f t="shared" si="1"/>
        <v/>
      </c>
      <c r="G9" s="21"/>
      <c r="H9" s="21" t="str">
        <f t="shared" si="2"/>
        <v/>
      </c>
      <c r="I9" s="20" t="str">
        <f t="shared" si="3"/>
        <v/>
      </c>
      <c r="J9" s="48"/>
      <c r="K9" s="48"/>
    </row>
    <row r="10" spans="1:17" ht="15.6">
      <c r="A10" s="32"/>
      <c r="B10" s="29"/>
      <c r="C10" s="25"/>
      <c r="D10" s="14"/>
      <c r="E10" s="14" t="str">
        <f t="shared" si="0"/>
        <v/>
      </c>
      <c r="F10" s="15" t="str">
        <f t="shared" si="1"/>
        <v/>
      </c>
      <c r="G10" s="16"/>
      <c r="H10" s="16" t="str">
        <f t="shared" si="2"/>
        <v/>
      </c>
      <c r="I10" s="17" t="str">
        <f t="shared" si="3"/>
        <v/>
      </c>
      <c r="J10" s="50"/>
      <c r="K10" s="50"/>
    </row>
    <row r="11" spans="1:17" ht="15.6">
      <c r="A11" s="30"/>
      <c r="B11" s="31"/>
      <c r="C11" s="12"/>
      <c r="D11" s="19"/>
      <c r="E11" s="19"/>
      <c r="F11" s="20"/>
      <c r="G11" s="21"/>
      <c r="H11" s="21"/>
      <c r="I11" s="20"/>
      <c r="J11" s="48"/>
      <c r="K11" s="48"/>
    </row>
    <row r="12" spans="1:17" ht="15.6">
      <c r="A12" s="32"/>
      <c r="B12" s="29"/>
      <c r="C12" s="25"/>
      <c r="D12" s="14"/>
      <c r="E12" s="14"/>
      <c r="F12" s="15"/>
      <c r="G12" s="16"/>
      <c r="H12" s="16"/>
      <c r="I12" s="17"/>
      <c r="J12" s="50"/>
      <c r="K12" s="50"/>
    </row>
    <row r="13" spans="1:17" ht="15.6">
      <c r="A13" s="30"/>
      <c r="B13" s="31"/>
      <c r="C13" s="12"/>
      <c r="D13" s="19"/>
      <c r="E13" s="19"/>
      <c r="F13" s="20"/>
      <c r="G13" s="21"/>
      <c r="H13" s="21"/>
      <c r="I13" s="20"/>
      <c r="J13" s="42"/>
      <c r="K13" s="42"/>
    </row>
    <row r="14" spans="1:17" ht="14.45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7" ht="14.4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7" ht="14.4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3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3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3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3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3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3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C332" s="22"/>
      <c r="D332" s="22"/>
      <c r="E332" s="22"/>
      <c r="F332" s="23"/>
      <c r="G332" s="22"/>
      <c r="H332" s="22"/>
      <c r="I332" s="23"/>
      <c r="J332" s="22"/>
      <c r="K332" s="22"/>
    </row>
  </sheetData>
  <mergeCells count="4">
    <mergeCell ref="G1:I1"/>
    <mergeCell ref="A1:C1"/>
    <mergeCell ref="D1:F1"/>
    <mergeCell ref="A2:B2"/>
  </mergeCells>
  <conditionalFormatting sqref="F2 I2 F4:F90 I4:I90">
    <cfRule type="cellIs" dxfId="32" priority="3" stopIfTrue="1" operator="lessThanOrEqual">
      <formula>-0.1</formula>
    </cfRule>
    <cfRule type="expression" dxfId="3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N342"/>
  <sheetViews>
    <sheetView zoomScale="60" zoomScaleNormal="60" workbookViewId="0">
      <pane xSplit="2" ySplit="3" topLeftCell="C4" activePane="bottomRight" state="frozen"/>
      <selection pane="bottomRight" activeCell="H31" sqref="H31"/>
      <selection pane="bottomLeft" activeCell="H31" sqref="H31"/>
      <selection pane="topRight" activeCell="H31" sqref="H31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2.7109375" customWidth="1"/>
    <col min="12" max="14" width="8.85546875" style="61"/>
  </cols>
  <sheetData>
    <row r="1" spans="1:14" ht="19.5" customHeight="1">
      <c r="A1" s="76" t="str" cm="1">
        <f t="array" ref="A1">portfolio</f>
        <v>Tortoise</v>
      </c>
      <c r="B1" s="76"/>
      <c r="C1" s="76"/>
      <c r="D1" s="77" t="s">
        <v>37</v>
      </c>
      <c r="E1" s="77"/>
      <c r="F1" s="77"/>
      <c r="G1" s="75" t="s">
        <v>38</v>
      </c>
      <c r="H1" s="75"/>
      <c r="I1" s="75"/>
      <c r="J1" s="5"/>
      <c r="K1" s="5"/>
    </row>
    <row r="2" spans="1:14" ht="19.5" customHeight="1">
      <c r="A2" s="78" t="s">
        <v>2</v>
      </c>
      <c r="B2" s="78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4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6" t="s">
        <v>20</v>
      </c>
      <c r="K3" s="26" t="s">
        <v>21</v>
      </c>
    </row>
    <row r="4" spans="1:14" ht="15.6">
      <c r="A4" s="51" t="str" cm="1">
        <f t="array" ref="A4:A7">Sites[Site]</f>
        <v>Alamosa School District</v>
      </c>
      <c r="B4" s="29" t="str" cm="1">
        <f t="array" ref="B4:B7">Sites[State]</f>
        <v>CO</v>
      </c>
      <c r="C4" s="25"/>
      <c r="D4" s="14"/>
      <c r="E4" s="14" t="str">
        <f t="shared" ref="E4:E17" si="0">IF(AND(ISNUMBER(C4),ISNUMBER(D4)), C4-D4, "")</f>
        <v/>
      </c>
      <c r="F4" s="15" t="str">
        <f>IFERROR(E4/D4, "")</f>
        <v/>
      </c>
      <c r="G4" s="16"/>
      <c r="H4" s="16" t="str">
        <f t="shared" ref="H4:H17" si="1">IF(AND(ISNUMBER(C4),ISNUMBER(G4)), C4-G4, "")</f>
        <v/>
      </c>
      <c r="I4" s="17" t="str">
        <f t="shared" ref="I4:I17" si="2">IFERROR(H4/G4, "")</f>
        <v/>
      </c>
      <c r="J4" s="50"/>
      <c r="K4" s="58"/>
      <c r="L4" s="60"/>
      <c r="M4" s="60"/>
    </row>
    <row r="5" spans="1:14" ht="15.6">
      <c r="A5" s="30" t="str">
        <v>San Luis Valley</v>
      </c>
      <c r="B5" s="31" t="str">
        <v>CO</v>
      </c>
      <c r="C5" s="12"/>
      <c r="D5" s="19"/>
      <c r="E5" s="19" t="str">
        <f t="shared" si="0"/>
        <v/>
      </c>
      <c r="F5" s="20" t="str">
        <f>IFERROR(E5/D5, "")</f>
        <v/>
      </c>
      <c r="G5" s="21"/>
      <c r="H5" s="21" t="str">
        <f t="shared" si="1"/>
        <v/>
      </c>
      <c r="I5" s="20" t="str">
        <f t="shared" si="2"/>
        <v/>
      </c>
      <c r="J5" s="48"/>
      <c r="K5" s="48"/>
    </row>
    <row r="6" spans="1:14" ht="15.6">
      <c r="A6" s="51" t="str">
        <v>Golden NREL 2</v>
      </c>
      <c r="B6" s="29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50"/>
      <c r="K6" s="50"/>
    </row>
    <row r="7" spans="1:14" ht="15.6">
      <c r="A7" s="30" t="str">
        <v>Golden NREL Wind 3</v>
      </c>
      <c r="B7" s="31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8"/>
      <c r="K7" s="59"/>
    </row>
    <row r="8" spans="1:14" ht="16.5" customHeight="1">
      <c r="A8" s="22"/>
      <c r="B8" s="22"/>
      <c r="C8" s="22"/>
      <c r="D8" s="22"/>
      <c r="E8" s="22" t="str">
        <f t="shared" si="0"/>
        <v/>
      </c>
      <c r="F8" s="22" t="str">
        <f t="shared" si="3"/>
        <v/>
      </c>
      <c r="G8" s="22"/>
      <c r="H8" s="22" t="str">
        <f t="shared" si="1"/>
        <v/>
      </c>
      <c r="I8" s="22" t="str">
        <f t="shared" si="2"/>
        <v/>
      </c>
      <c r="J8" s="22"/>
      <c r="K8" s="22"/>
      <c r="L8" s="71"/>
      <c r="M8" s="71"/>
      <c r="N8" s="71"/>
    </row>
    <row r="9" spans="1:14" ht="22.9" customHeight="1">
      <c r="A9" s="22"/>
      <c r="B9" s="22"/>
      <c r="C9" s="22"/>
      <c r="D9" s="22"/>
      <c r="E9" s="22" t="str">
        <f t="shared" si="0"/>
        <v/>
      </c>
      <c r="F9" s="22" t="str">
        <f t="shared" si="3"/>
        <v/>
      </c>
      <c r="G9" s="22"/>
      <c r="H9" s="22" t="str">
        <f t="shared" si="1"/>
        <v/>
      </c>
      <c r="I9" s="22" t="str">
        <f t="shared" si="2"/>
        <v/>
      </c>
      <c r="J9" s="22"/>
      <c r="K9" s="22"/>
      <c r="L9" s="71"/>
      <c r="M9" s="71"/>
      <c r="N9" s="71"/>
    </row>
    <row r="10" spans="1:14" ht="18.600000000000001" customHeight="1">
      <c r="A10" s="22"/>
      <c r="B10" s="22"/>
      <c r="C10" s="22"/>
      <c r="D10" s="22"/>
      <c r="E10" s="22" t="str">
        <f t="shared" si="0"/>
        <v/>
      </c>
      <c r="F10" s="22" t="str">
        <f t="shared" si="3"/>
        <v/>
      </c>
      <c r="G10" s="22"/>
      <c r="H10" s="22" t="str">
        <f t="shared" si="1"/>
        <v/>
      </c>
      <c r="I10" s="22" t="str">
        <f t="shared" si="2"/>
        <v/>
      </c>
      <c r="J10" s="22"/>
      <c r="K10" s="22"/>
      <c r="L10" s="71"/>
      <c r="M10" s="71"/>
      <c r="N10" s="71"/>
    </row>
    <row r="11" spans="1:14" ht="19.899999999999999" customHeight="1">
      <c r="A11" s="22"/>
      <c r="B11" s="22"/>
      <c r="C11" s="22"/>
      <c r="D11" s="22"/>
      <c r="E11" s="22" t="str">
        <f t="shared" si="0"/>
        <v/>
      </c>
      <c r="F11" s="22" t="str">
        <f t="shared" si="3"/>
        <v/>
      </c>
      <c r="G11" s="22"/>
      <c r="H11" s="22" t="str">
        <f t="shared" si="1"/>
        <v/>
      </c>
      <c r="I11" s="22" t="str">
        <f t="shared" si="2"/>
        <v/>
      </c>
      <c r="J11" s="22"/>
      <c r="K11" s="22"/>
      <c r="L11" s="71"/>
      <c r="M11" s="71"/>
      <c r="N11" s="71"/>
    </row>
    <row r="12" spans="1:14" ht="18.75" customHeight="1">
      <c r="A12" s="22"/>
      <c r="B12" s="22"/>
      <c r="C12" s="22"/>
      <c r="D12" s="22"/>
      <c r="E12" s="22" t="str">
        <f t="shared" si="0"/>
        <v/>
      </c>
      <c r="F12" s="22" t="str">
        <f t="shared" si="3"/>
        <v/>
      </c>
      <c r="G12" s="22"/>
      <c r="H12" s="22" t="str">
        <f t="shared" si="1"/>
        <v/>
      </c>
      <c r="I12" s="22" t="str">
        <f t="shared" si="2"/>
        <v/>
      </c>
      <c r="J12" s="22"/>
      <c r="K12" s="22"/>
      <c r="L12" s="71"/>
      <c r="M12" s="71"/>
      <c r="N12" s="71"/>
    </row>
    <row r="13" spans="1:14" ht="21.75" customHeight="1">
      <c r="A13" s="22"/>
      <c r="B13" s="22"/>
      <c r="C13" s="22"/>
      <c r="D13" s="22"/>
      <c r="E13" s="22" t="str">
        <f t="shared" si="0"/>
        <v/>
      </c>
      <c r="F13" s="22" t="str">
        <f t="shared" si="3"/>
        <v/>
      </c>
      <c r="G13" s="22"/>
      <c r="H13" s="22" t="str">
        <f t="shared" si="1"/>
        <v/>
      </c>
      <c r="I13" s="22" t="str">
        <f t="shared" si="2"/>
        <v/>
      </c>
      <c r="J13" s="22"/>
      <c r="K13" s="22"/>
      <c r="L13" s="71"/>
      <c r="M13" s="71"/>
      <c r="N13" s="71"/>
    </row>
    <row r="14" spans="1:14">
      <c r="A14" s="22"/>
      <c r="B14" s="22"/>
      <c r="C14" s="22"/>
      <c r="D14" s="22"/>
      <c r="E14" s="22" t="str">
        <f t="shared" si="0"/>
        <v/>
      </c>
      <c r="F14" s="22" t="str">
        <f t="shared" si="3"/>
        <v/>
      </c>
      <c r="G14" s="22"/>
      <c r="H14" s="22" t="str">
        <f t="shared" si="1"/>
        <v/>
      </c>
      <c r="I14" s="22" t="str">
        <f t="shared" si="2"/>
        <v/>
      </c>
      <c r="J14" s="22"/>
      <c r="K14" s="22"/>
      <c r="L14" s="71"/>
      <c r="M14" s="71"/>
      <c r="N14" s="71"/>
    </row>
    <row r="15" spans="1:14">
      <c r="A15" s="22"/>
      <c r="B15" s="22"/>
      <c r="C15" s="22"/>
      <c r="D15" s="22"/>
      <c r="E15" s="22" t="str">
        <f t="shared" si="0"/>
        <v/>
      </c>
      <c r="F15" s="22" t="str">
        <f t="shared" si="3"/>
        <v/>
      </c>
      <c r="G15" s="22"/>
      <c r="H15" s="22" t="str">
        <f t="shared" si="1"/>
        <v/>
      </c>
      <c r="I15" s="22" t="str">
        <f t="shared" si="2"/>
        <v/>
      </c>
      <c r="J15" s="22"/>
      <c r="K15" s="22"/>
      <c r="L15" s="71"/>
      <c r="M15" s="71"/>
      <c r="N15" s="71"/>
    </row>
    <row r="16" spans="1:14">
      <c r="A16" s="22"/>
      <c r="B16" s="22"/>
      <c r="C16" s="22"/>
      <c r="D16" s="22"/>
      <c r="E16" s="22" t="str">
        <f t="shared" si="0"/>
        <v/>
      </c>
      <c r="F16" s="22" t="str">
        <f t="shared" si="3"/>
        <v/>
      </c>
      <c r="G16" s="22"/>
      <c r="H16" s="22" t="str">
        <f t="shared" si="1"/>
        <v/>
      </c>
      <c r="I16" s="22" t="str">
        <f t="shared" si="2"/>
        <v/>
      </c>
      <c r="J16" s="22"/>
      <c r="K16" s="22"/>
      <c r="L16" s="71"/>
      <c r="M16" s="71"/>
      <c r="N16" s="71"/>
    </row>
    <row r="17" spans="1:14">
      <c r="A17" s="22"/>
      <c r="B17" s="22"/>
      <c r="C17" s="22"/>
      <c r="D17" s="22"/>
      <c r="E17" s="22" t="str">
        <f t="shared" si="0"/>
        <v/>
      </c>
      <c r="F17" s="22" t="str">
        <f t="shared" si="3"/>
        <v/>
      </c>
      <c r="G17" s="22"/>
      <c r="H17" s="22" t="str">
        <f t="shared" si="1"/>
        <v/>
      </c>
      <c r="I17" s="22" t="str">
        <f t="shared" si="2"/>
        <v/>
      </c>
      <c r="J17" s="22"/>
      <c r="K17" s="22"/>
      <c r="L17" s="71"/>
      <c r="M17" s="71"/>
      <c r="N17" s="71"/>
    </row>
    <row r="18" spans="1:14" ht="12.75" customHeight="1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4" ht="14.4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4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4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4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4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4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4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4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4" ht="14.4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4" ht="14.4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4" ht="14.45">
      <c r="A29" s="22"/>
      <c r="B29" s="33"/>
      <c r="C29" s="22"/>
      <c r="D29" s="22"/>
      <c r="E29" s="22"/>
      <c r="F29" s="22"/>
      <c r="G29" s="22"/>
      <c r="H29" s="22"/>
      <c r="I29" s="22"/>
      <c r="J29" s="22"/>
      <c r="K29" s="22"/>
    </row>
    <row r="30" spans="1:14" ht="14.45">
      <c r="A30" s="22"/>
      <c r="B30" s="33"/>
      <c r="C30" s="22"/>
      <c r="D30" s="22"/>
      <c r="E30" s="22"/>
      <c r="F30" s="22"/>
      <c r="G30" s="22"/>
      <c r="H30" s="22"/>
      <c r="I30" s="22"/>
      <c r="J30" s="22"/>
      <c r="K30" s="22"/>
    </row>
    <row r="31" spans="1:14" ht="14.45">
      <c r="A31" s="22"/>
      <c r="B31" s="33"/>
      <c r="C31" s="22"/>
      <c r="D31" s="22"/>
      <c r="E31" s="22"/>
      <c r="F31" s="22"/>
      <c r="G31" s="22"/>
      <c r="H31" s="22"/>
      <c r="I31" s="22"/>
      <c r="J31" s="22"/>
      <c r="K31" s="22"/>
    </row>
    <row r="32" spans="1:14" ht="14.45">
      <c r="A32" s="22"/>
      <c r="B32" s="33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3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3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3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3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30" priority="3" stopIfTrue="1" operator="lessThanOrEqual">
      <formula>-0.1</formula>
    </cfRule>
    <cfRule type="expression" dxfId="29" priority="4">
      <formula>AND(ISNUMBER(F2), F2&gt;=0.1)</formula>
    </cfRule>
  </conditionalFormatting>
  <conditionalFormatting sqref="F4:F7 I4:I7 F18:F100 I18:I100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O342"/>
  <sheetViews>
    <sheetView zoomScale="60" zoomScaleNormal="60" workbookViewId="0">
      <pane xSplit="2" ySplit="3" topLeftCell="F4" activePane="bottomRight" state="frozen"/>
      <selection pane="bottomRight" activeCell="H31" sqref="H31"/>
      <selection pane="bottomLeft" activeCell="H31" sqref="H31"/>
      <selection pane="topRight" activeCell="H31" sqref="H31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5" ht="19.5" customHeight="1">
      <c r="A1" s="76" t="str" cm="1">
        <f t="array" ref="A1">portfolio</f>
        <v>Tortoise</v>
      </c>
      <c r="B1" s="76"/>
      <c r="C1" s="76"/>
      <c r="D1" s="77" t="s">
        <v>39</v>
      </c>
      <c r="E1" s="77"/>
      <c r="F1" s="77"/>
      <c r="G1" s="75" t="s">
        <v>40</v>
      </c>
      <c r="H1" s="75"/>
      <c r="I1" s="75"/>
      <c r="J1" s="5"/>
      <c r="K1" s="5"/>
    </row>
    <row r="2" spans="1:15" ht="19.5" customHeight="1">
      <c r="A2" s="78" t="s">
        <v>2</v>
      </c>
      <c r="B2" s="78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5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6" t="s">
        <v>20</v>
      </c>
      <c r="K3" s="26" t="s">
        <v>21</v>
      </c>
    </row>
    <row r="4" spans="1:15" ht="15.6">
      <c r="A4" s="32" t="str" cm="1">
        <f t="array" ref="A4:A7">Sites[Site]</f>
        <v>Alamosa School District</v>
      </c>
      <c r="B4" s="29" t="str" cm="1">
        <f t="array" ref="B4:B7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1"/>
      <c r="K4" s="67"/>
    </row>
    <row r="5" spans="1:15" ht="15.6">
      <c r="A5" s="30" t="str">
        <v>San Luis Valley</v>
      </c>
      <c r="B5" s="31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2"/>
      <c r="K5" s="72"/>
    </row>
    <row r="6" spans="1:15" ht="15.6">
      <c r="A6" s="32" t="str">
        <v>Golden NREL 2</v>
      </c>
      <c r="B6" s="29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41"/>
      <c r="K6" s="41"/>
    </row>
    <row r="7" spans="1:15" ht="15.6">
      <c r="A7" s="30" t="str">
        <v>Golden NREL Wind 3</v>
      </c>
      <c r="B7" s="31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8"/>
      <c r="K7" s="59"/>
    </row>
    <row r="8" spans="1:15" hidden="1">
      <c r="A8" s="22"/>
      <c r="B8" s="22"/>
      <c r="C8" s="22"/>
      <c r="D8" s="22"/>
      <c r="E8" s="22" t="str">
        <f t="shared" si="0"/>
        <v/>
      </c>
      <c r="F8" s="22" t="str">
        <f t="shared" si="3"/>
        <v/>
      </c>
      <c r="G8" s="22"/>
      <c r="H8" s="22" t="str">
        <f t="shared" si="1"/>
        <v/>
      </c>
      <c r="I8" s="22" t="str">
        <f t="shared" si="2"/>
        <v/>
      </c>
      <c r="J8" s="22"/>
      <c r="K8" s="22"/>
      <c r="L8" s="22"/>
      <c r="M8" s="22"/>
      <c r="N8" s="22"/>
      <c r="O8" s="22"/>
    </row>
    <row r="9" spans="1:15" ht="18" hidden="1" customHeight="1">
      <c r="A9" s="22"/>
      <c r="B9" s="22"/>
      <c r="C9" s="22"/>
      <c r="D9" s="22"/>
      <c r="E9" s="22" t="str">
        <f t="shared" si="0"/>
        <v/>
      </c>
      <c r="F9" s="22" t="str">
        <f t="shared" si="3"/>
        <v/>
      </c>
      <c r="G9" s="22"/>
      <c r="H9" s="22" t="str">
        <f t="shared" si="1"/>
        <v/>
      </c>
      <c r="I9" s="22" t="str">
        <f t="shared" si="2"/>
        <v/>
      </c>
      <c r="J9" s="22"/>
      <c r="K9" s="22"/>
      <c r="L9" s="22"/>
      <c r="M9" s="22"/>
      <c r="N9" s="22"/>
      <c r="O9" s="22"/>
    </row>
    <row r="10" spans="1:15" hidden="1">
      <c r="A10" s="22"/>
      <c r="B10" s="22"/>
      <c r="C10" s="22"/>
      <c r="D10" s="22"/>
      <c r="E10" s="22" t="str">
        <f t="shared" si="0"/>
        <v/>
      </c>
      <c r="F10" s="22" t="str">
        <f t="shared" si="3"/>
        <v/>
      </c>
      <c r="G10" s="22"/>
      <c r="H10" s="22" t="str">
        <f t="shared" si="1"/>
        <v/>
      </c>
      <c r="I10" s="22" t="str">
        <f t="shared" si="2"/>
        <v/>
      </c>
      <c r="J10" s="22"/>
      <c r="K10" s="22"/>
      <c r="L10" s="22"/>
      <c r="M10" s="22"/>
      <c r="N10" s="22"/>
      <c r="O10" s="22"/>
    </row>
    <row r="11" spans="1:15" hidden="1">
      <c r="A11" s="22"/>
      <c r="B11" s="22"/>
      <c r="C11" s="22"/>
      <c r="D11" s="22"/>
      <c r="E11" s="22" t="str">
        <f t="shared" si="0"/>
        <v/>
      </c>
      <c r="F11" s="22" t="str">
        <f t="shared" si="3"/>
        <v/>
      </c>
      <c r="G11" s="22"/>
      <c r="H11" s="22" t="str">
        <f t="shared" si="1"/>
        <v/>
      </c>
      <c r="I11" s="22" t="str">
        <f t="shared" si="2"/>
        <v/>
      </c>
      <c r="J11" s="22"/>
      <c r="K11" s="22"/>
      <c r="L11" s="22"/>
      <c r="M11" s="22"/>
      <c r="N11" s="22"/>
      <c r="O11" s="22"/>
    </row>
    <row r="12" spans="1:15" hidden="1">
      <c r="A12" s="22"/>
      <c r="B12" s="22"/>
      <c r="C12" s="22"/>
      <c r="D12" s="22"/>
      <c r="E12" s="22" t="str">
        <f t="shared" si="0"/>
        <v/>
      </c>
      <c r="F12" s="22" t="str">
        <f t="shared" si="3"/>
        <v/>
      </c>
      <c r="G12" s="22"/>
      <c r="H12" s="22" t="str">
        <f t="shared" si="1"/>
        <v/>
      </c>
      <c r="I12" s="22" t="str">
        <f t="shared" si="2"/>
        <v/>
      </c>
      <c r="J12" s="22"/>
      <c r="K12" s="22"/>
      <c r="L12" s="22"/>
      <c r="M12" s="22"/>
      <c r="N12" s="22"/>
      <c r="O12" s="22"/>
    </row>
    <row r="13" spans="1:15" hidden="1">
      <c r="A13" s="22"/>
      <c r="B13" s="22"/>
      <c r="C13" s="22"/>
      <c r="D13" s="22"/>
      <c r="E13" s="22" t="str">
        <f t="shared" si="0"/>
        <v/>
      </c>
      <c r="F13" s="22" t="str">
        <f t="shared" si="3"/>
        <v/>
      </c>
      <c r="G13" s="22"/>
      <c r="H13" s="22" t="str">
        <f t="shared" si="1"/>
        <v/>
      </c>
      <c r="I13" s="22" t="str">
        <f t="shared" si="2"/>
        <v/>
      </c>
      <c r="J13" s="22"/>
      <c r="K13" s="22"/>
      <c r="L13" s="22"/>
      <c r="M13" s="22"/>
      <c r="N13" s="22"/>
      <c r="O13" s="22"/>
    </row>
    <row r="14" spans="1:15">
      <c r="A14" s="22"/>
      <c r="B14" s="22"/>
      <c r="C14" s="22"/>
      <c r="D14" s="22"/>
      <c r="E14" s="22" t="str">
        <f t="shared" si="0"/>
        <v/>
      </c>
      <c r="F14" s="22" t="str">
        <f t="shared" si="3"/>
        <v/>
      </c>
      <c r="G14" s="22"/>
      <c r="H14" s="22" t="str">
        <f t="shared" si="1"/>
        <v/>
      </c>
      <c r="I14" s="22" t="str">
        <f t="shared" si="2"/>
        <v/>
      </c>
      <c r="J14" s="22"/>
      <c r="K14" s="22"/>
      <c r="L14" s="22"/>
      <c r="M14" s="22"/>
      <c r="N14" s="22"/>
      <c r="O14" s="22"/>
    </row>
    <row r="15" spans="1:15">
      <c r="A15" s="22"/>
      <c r="B15" s="22"/>
      <c r="C15" s="22"/>
      <c r="D15" s="22"/>
      <c r="E15" s="22" t="str">
        <f t="shared" si="0"/>
        <v/>
      </c>
      <c r="F15" s="22" t="str">
        <f t="shared" si="3"/>
        <v/>
      </c>
      <c r="G15" s="22"/>
      <c r="H15" s="22" t="str">
        <f t="shared" si="1"/>
        <v/>
      </c>
      <c r="I15" s="22" t="str">
        <f t="shared" si="2"/>
        <v/>
      </c>
      <c r="J15" s="22"/>
      <c r="K15" s="22"/>
      <c r="L15" s="22"/>
      <c r="M15" s="22"/>
      <c r="N15" s="22"/>
      <c r="O15" s="22"/>
    </row>
    <row r="16" spans="1:15">
      <c r="A16" s="22"/>
      <c r="B16" s="22"/>
      <c r="C16" s="22"/>
      <c r="D16" s="22"/>
      <c r="E16" s="22" t="str">
        <f t="shared" si="0"/>
        <v/>
      </c>
      <c r="F16" s="22" t="str">
        <f t="shared" si="3"/>
        <v/>
      </c>
      <c r="G16" s="22"/>
      <c r="H16" s="22" t="str">
        <f t="shared" si="1"/>
        <v/>
      </c>
      <c r="I16" s="22" t="str">
        <f t="shared" si="2"/>
        <v/>
      </c>
      <c r="J16" s="22"/>
      <c r="K16" s="22"/>
      <c r="L16" s="22"/>
      <c r="M16" s="22"/>
      <c r="N16" s="22"/>
      <c r="O16" s="22"/>
    </row>
    <row r="17" spans="1:15">
      <c r="A17" s="22"/>
      <c r="B17" s="22"/>
      <c r="C17" s="22"/>
      <c r="D17" s="22"/>
      <c r="E17" s="22" t="str">
        <f t="shared" si="0"/>
        <v/>
      </c>
      <c r="F17" s="22" t="str">
        <f t="shared" si="3"/>
        <v/>
      </c>
      <c r="G17" s="22"/>
      <c r="H17" s="22" t="str">
        <f t="shared" si="1"/>
        <v/>
      </c>
      <c r="I17" s="22" t="str">
        <f t="shared" si="2"/>
        <v/>
      </c>
      <c r="J17" s="22"/>
      <c r="K17" s="22"/>
      <c r="L17" s="22"/>
      <c r="M17" s="22"/>
      <c r="N17" s="22"/>
      <c r="O17" s="22"/>
    </row>
    <row r="18" spans="1:15" ht="12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</row>
    <row r="19" spans="1:1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</row>
    <row r="20" spans="1:15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5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5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5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5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5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5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5" ht="14.4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5" ht="14.4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5" ht="14.45">
      <c r="A29" s="22"/>
      <c r="B29" s="33"/>
      <c r="C29" s="22"/>
      <c r="D29" s="22"/>
      <c r="E29" s="22"/>
      <c r="F29" s="22"/>
      <c r="G29" s="22"/>
      <c r="H29" s="22"/>
      <c r="I29" s="22"/>
      <c r="J29" s="22"/>
      <c r="K29" s="22"/>
    </row>
    <row r="30" spans="1:15" ht="14.45">
      <c r="A30" s="22"/>
      <c r="B30" s="33"/>
      <c r="C30" s="22"/>
      <c r="D30" s="22"/>
      <c r="E30" s="22"/>
      <c r="F30" s="22"/>
      <c r="G30" s="22"/>
      <c r="H30" s="22"/>
      <c r="I30" s="22"/>
      <c r="J30" s="22"/>
      <c r="K30" s="22"/>
    </row>
    <row r="31" spans="1:15" ht="14.45">
      <c r="A31" s="22"/>
      <c r="B31" s="33"/>
      <c r="C31" s="22"/>
      <c r="D31" s="22"/>
      <c r="E31" s="22"/>
      <c r="F31" s="22"/>
      <c r="G31" s="22"/>
      <c r="H31" s="22"/>
      <c r="I31" s="22"/>
      <c r="J31" s="22"/>
      <c r="K31" s="22"/>
    </row>
    <row r="32" spans="1:15" ht="14.45">
      <c r="A32" s="22"/>
      <c r="B32" s="33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3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3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3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3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4:F7 I4:I7 A8:K19 F20:F100 I20:I100">
    <cfRule type="cellIs" dxfId="24" priority="1" stopIfTrue="1" operator="lessThanOrEqual">
      <formula>-0.1</formula>
    </cfRule>
    <cfRule type="expression" dxfId="23" priority="2">
      <formula>AND(ISNUMBER(A4), A4&gt;=0.1)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42"/>
  <sheetViews>
    <sheetView zoomScale="60" zoomScaleNormal="60" workbookViewId="0">
      <pane xSplit="2" ySplit="3" topLeftCell="J4" activePane="bottomRight" state="frozen"/>
      <selection pane="bottomRight" activeCell="H31" sqref="H31"/>
      <selection pane="bottomLeft" activeCell="H31" sqref="H31"/>
      <selection pane="topRight" activeCell="H31" sqref="H31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6" t="str" cm="1">
        <f t="array" ref="A1">portfolio</f>
        <v>Tortoise</v>
      </c>
      <c r="B1" s="76"/>
      <c r="C1" s="76"/>
      <c r="D1" s="77" t="s">
        <v>41</v>
      </c>
      <c r="E1" s="77"/>
      <c r="F1" s="77"/>
      <c r="G1" s="75" t="s">
        <v>42</v>
      </c>
      <c r="H1" s="75"/>
      <c r="I1" s="75"/>
      <c r="J1" s="5"/>
      <c r="K1" s="5"/>
    </row>
    <row r="2" spans="1:12" ht="19.5" customHeight="1">
      <c r="A2" s="78" t="s">
        <v>2</v>
      </c>
      <c r="B2" s="78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2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6" t="s">
        <v>20</v>
      </c>
      <c r="K3" s="26" t="s">
        <v>21</v>
      </c>
    </row>
    <row r="4" spans="1:12" ht="15.6">
      <c r="A4" s="32" t="str" cm="1">
        <f t="array" ref="A4:A7">Sites[Site]</f>
        <v>Alamosa School District</v>
      </c>
      <c r="B4" s="29" t="str" cm="1">
        <f t="array" ref="B4:B7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 t="shared" ref="I4:I13" si="0">IFERROR(H4/G4, "")</f>
        <v/>
      </c>
      <c r="J4" s="41"/>
      <c r="K4" s="67"/>
    </row>
    <row r="5" spans="1:12" ht="15.6">
      <c r="A5" s="30" t="str">
        <v>San Luis Valley</v>
      </c>
      <c r="B5" s="31" t="str">
        <v>CO</v>
      </c>
      <c r="C5" s="12"/>
      <c r="D5" s="19"/>
      <c r="E5" s="19" t="str">
        <f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53" t="str">
        <f t="shared" si="0"/>
        <v/>
      </c>
      <c r="J5" s="42"/>
      <c r="K5" s="42"/>
    </row>
    <row r="6" spans="1:12" ht="15.6">
      <c r="A6" s="32" t="str">
        <v>Golden NREL 2</v>
      </c>
      <c r="B6" s="29" t="str">
        <v>CO</v>
      </c>
      <c r="C6" s="25"/>
      <c r="D6" s="14"/>
      <c r="E6" s="14" t="str">
        <f t="shared" ref="E6:E17" si="2">IF(AND(ISNUMBER(C6),ISNUMBER(D6)), C6-D6, "")</f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0"/>
        <v/>
      </c>
      <c r="J6" s="41"/>
      <c r="K6" s="41"/>
    </row>
    <row r="7" spans="1:12" ht="15.6">
      <c r="A7" s="30" t="str">
        <v>Golden NREL Wind 3</v>
      </c>
      <c r="B7" s="31" t="str">
        <v>CO</v>
      </c>
      <c r="C7" s="12"/>
      <c r="D7" s="19"/>
      <c r="E7" s="19" t="str">
        <f t="shared" si="2"/>
        <v/>
      </c>
      <c r="F7" s="20" t="str">
        <f t="shared" si="3"/>
        <v/>
      </c>
      <c r="G7" s="21"/>
      <c r="H7" s="21" t="str">
        <f t="shared" si="1"/>
        <v/>
      </c>
      <c r="I7" s="53" t="str">
        <f t="shared" si="0"/>
        <v/>
      </c>
      <c r="J7" s="48"/>
      <c r="K7" s="59"/>
    </row>
    <row r="8" spans="1:12" ht="15.6" hidden="1">
      <c r="A8" s="32"/>
      <c r="B8" s="29"/>
      <c r="C8" s="46"/>
      <c r="D8" s="14"/>
      <c r="E8" s="14" t="str">
        <f t="shared" si="2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0"/>
        <v/>
      </c>
      <c r="J8" s="41"/>
      <c r="K8" s="41"/>
    </row>
    <row r="9" spans="1:12" ht="15.6" hidden="1">
      <c r="A9" s="30"/>
      <c r="B9" s="31"/>
      <c r="C9" s="52"/>
      <c r="D9" s="19"/>
      <c r="E9" s="19" t="str">
        <f t="shared" si="2"/>
        <v/>
      </c>
      <c r="F9" s="20" t="str">
        <f t="shared" si="3"/>
        <v/>
      </c>
      <c r="G9" s="21"/>
      <c r="H9" s="21" t="str">
        <f t="shared" si="1"/>
        <v/>
      </c>
      <c r="I9" s="53" t="str">
        <f t="shared" si="0"/>
        <v/>
      </c>
      <c r="J9" s="48"/>
      <c r="K9" s="48"/>
      <c r="L9" s="22"/>
    </row>
    <row r="10" spans="1:12" ht="15.6" hidden="1">
      <c r="A10" s="32"/>
      <c r="B10" s="29"/>
      <c r="C10" s="25"/>
      <c r="D10" s="14"/>
      <c r="E10" s="14" t="str">
        <f t="shared" si="2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0"/>
        <v/>
      </c>
      <c r="J10" s="41"/>
      <c r="K10" s="41"/>
      <c r="L10" s="22"/>
    </row>
    <row r="11" spans="1:12" ht="15.6" hidden="1">
      <c r="A11" s="30"/>
      <c r="B11" s="31"/>
      <c r="C11" s="12"/>
      <c r="D11" s="19"/>
      <c r="E11" s="19" t="str">
        <f t="shared" si="2"/>
        <v/>
      </c>
      <c r="F11" s="20" t="str">
        <f t="shared" si="3"/>
        <v/>
      </c>
      <c r="G11" s="21"/>
      <c r="H11" s="21" t="str">
        <f t="shared" si="1"/>
        <v/>
      </c>
      <c r="I11" s="53" t="str">
        <f t="shared" si="0"/>
        <v/>
      </c>
      <c r="J11" s="42"/>
      <c r="K11" s="42"/>
      <c r="L11" s="22"/>
    </row>
    <row r="12" spans="1:12" ht="15.6" hidden="1">
      <c r="A12" s="32"/>
      <c r="B12" s="29"/>
      <c r="C12" s="25"/>
      <c r="D12" s="14"/>
      <c r="E12" s="14" t="str">
        <f>IF(AND(ISNUMBER(C12),ISNUMBER(D12)), C12-D12, "")</f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0"/>
        <v/>
      </c>
      <c r="J12" s="41"/>
      <c r="K12" s="41"/>
      <c r="L12" s="22"/>
    </row>
    <row r="13" spans="1:12" ht="15.6" hidden="1">
      <c r="A13" s="30"/>
      <c r="B13" s="31"/>
      <c r="C13" s="12"/>
      <c r="D13" s="19"/>
      <c r="E13" s="19" t="str">
        <f t="shared" si="2"/>
        <v/>
      </c>
      <c r="F13" s="20" t="str">
        <f t="shared" si="3"/>
        <v/>
      </c>
      <c r="G13" s="21"/>
      <c r="H13" s="21" t="str">
        <f t="shared" si="1"/>
        <v/>
      </c>
      <c r="I13" s="53" t="str">
        <f t="shared" si="0"/>
        <v/>
      </c>
      <c r="J13" s="42"/>
      <c r="K13" s="42"/>
      <c r="L13" s="22"/>
    </row>
    <row r="14" spans="1:12">
      <c r="A14" s="22"/>
      <c r="B14" s="22"/>
      <c r="C14" s="22"/>
      <c r="D14" s="22"/>
      <c r="E14" s="22" t="str">
        <f t="shared" si="2"/>
        <v/>
      </c>
      <c r="F14" s="22" t="str">
        <f t="shared" si="3"/>
        <v/>
      </c>
      <c r="G14" s="22"/>
      <c r="H14" s="22" t="str">
        <f t="shared" si="1"/>
        <v/>
      </c>
      <c r="I14" s="22" t="str">
        <f t="shared" ref="I14:I17" si="4">IFERROR(H14/G14, "")</f>
        <v/>
      </c>
      <c r="J14" s="22"/>
      <c r="K14" s="22"/>
      <c r="L14" s="22"/>
    </row>
    <row r="15" spans="1:12">
      <c r="A15" s="22"/>
      <c r="B15" s="22"/>
      <c r="C15" s="22"/>
      <c r="D15" s="22"/>
      <c r="E15" s="22" t="str">
        <f t="shared" si="2"/>
        <v/>
      </c>
      <c r="F15" s="22" t="str">
        <f t="shared" si="3"/>
        <v/>
      </c>
      <c r="G15" s="22"/>
      <c r="H15" s="22" t="str">
        <f t="shared" si="1"/>
        <v/>
      </c>
      <c r="I15" s="22" t="str">
        <f t="shared" si="4"/>
        <v/>
      </c>
      <c r="J15" s="22"/>
      <c r="K15" s="22"/>
      <c r="L15" s="22"/>
    </row>
    <row r="16" spans="1:12">
      <c r="A16" s="22"/>
      <c r="B16" s="22"/>
      <c r="C16" s="22"/>
      <c r="D16" s="22"/>
      <c r="E16" s="22" t="str">
        <f t="shared" si="2"/>
        <v/>
      </c>
      <c r="F16" s="22" t="str">
        <f t="shared" si="3"/>
        <v/>
      </c>
      <c r="G16" s="22"/>
      <c r="H16" s="22" t="str">
        <f t="shared" si="1"/>
        <v/>
      </c>
      <c r="I16" s="22" t="str">
        <f t="shared" si="4"/>
        <v/>
      </c>
      <c r="J16" s="22"/>
      <c r="K16" s="22"/>
      <c r="L16" s="22"/>
    </row>
    <row r="17" spans="1:12">
      <c r="A17" s="22"/>
      <c r="B17" s="22"/>
      <c r="C17" s="22"/>
      <c r="D17" s="22"/>
      <c r="E17" s="22" t="str">
        <f t="shared" si="2"/>
        <v/>
      </c>
      <c r="F17" s="22" t="str">
        <f t="shared" si="3"/>
        <v/>
      </c>
      <c r="G17" s="22"/>
      <c r="H17" s="22" t="str">
        <f t="shared" si="1"/>
        <v/>
      </c>
      <c r="I17" s="22" t="str">
        <f t="shared" si="4"/>
        <v/>
      </c>
      <c r="J17" s="22"/>
      <c r="K17" s="22"/>
      <c r="L17" s="22"/>
    </row>
    <row r="18" spans="1:12" ht="12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1:1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1:1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1:12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2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2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2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2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2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2" ht="14.4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2" ht="14.4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2" ht="14.45">
      <c r="A29" s="22"/>
      <c r="B29" s="33"/>
      <c r="C29" s="22"/>
      <c r="D29" s="22"/>
      <c r="E29" s="22"/>
      <c r="F29" s="22"/>
      <c r="G29" s="22"/>
      <c r="H29" s="22"/>
      <c r="I29" s="22"/>
      <c r="J29" s="22"/>
      <c r="K29" s="22"/>
    </row>
    <row r="30" spans="1:12" ht="14.45">
      <c r="A30" s="22"/>
      <c r="B30" s="33"/>
      <c r="C30" s="22"/>
      <c r="D30" s="22"/>
      <c r="E30" s="22"/>
      <c r="F30" s="22"/>
      <c r="G30" s="22"/>
      <c r="H30" s="22"/>
      <c r="I30" s="22"/>
      <c r="J30" s="22"/>
      <c r="K30" s="22"/>
    </row>
    <row r="31" spans="1:12" ht="14.45">
      <c r="A31" s="22"/>
      <c r="B31" s="33"/>
      <c r="C31" s="22"/>
      <c r="D31" s="22"/>
      <c r="E31" s="22"/>
      <c r="F31" s="22"/>
      <c r="G31" s="22"/>
      <c r="H31" s="22"/>
      <c r="I31" s="22"/>
      <c r="J31" s="22"/>
      <c r="K31" s="22"/>
    </row>
    <row r="32" spans="1:12" ht="14.45">
      <c r="A32" s="22"/>
      <c r="B32" s="33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3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3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3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3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conditionalFormatting sqref="F4:F100 I4:I100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M342"/>
  <sheetViews>
    <sheetView zoomScale="60" zoomScaleNormal="60" workbookViewId="0">
      <pane xSplit="2" ySplit="3" topLeftCell="C4" activePane="bottomRight" state="frozen"/>
      <selection pane="bottomRight" activeCell="H31" sqref="H31"/>
      <selection pane="bottomLeft" activeCell="H31" sqref="H31"/>
      <selection pane="topRight" activeCell="H31" sqref="H31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1"/>
  </cols>
  <sheetData>
    <row r="1" spans="1:13" ht="19.5" customHeight="1">
      <c r="A1" s="76" t="str" cm="1">
        <f t="array" ref="A1">portfolio</f>
        <v>Tortoise</v>
      </c>
      <c r="B1" s="76"/>
      <c r="C1" s="76"/>
      <c r="D1" s="77" t="s">
        <v>43</v>
      </c>
      <c r="E1" s="77"/>
      <c r="F1" s="77"/>
      <c r="G1" s="75" t="s">
        <v>44</v>
      </c>
      <c r="H1" s="75"/>
      <c r="I1" s="75"/>
      <c r="J1" s="5"/>
      <c r="K1" s="5"/>
    </row>
    <row r="2" spans="1:13" ht="19.5" customHeight="1">
      <c r="A2" s="78" t="s">
        <v>2</v>
      </c>
      <c r="B2" s="78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3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6" t="s">
        <v>20</v>
      </c>
      <c r="K3" s="26" t="s">
        <v>21</v>
      </c>
    </row>
    <row r="4" spans="1:13" ht="15.6">
      <c r="A4" s="32" t="str" cm="1">
        <f t="array" ref="A4:A7">Sites[Site]</f>
        <v>Alamosa School District</v>
      </c>
      <c r="B4" s="29" t="str" cm="1">
        <f t="array" ref="B4:B7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1"/>
      <c r="K4" s="67"/>
    </row>
    <row r="5" spans="1:13" ht="47.25" customHeight="1">
      <c r="A5" s="30" t="str">
        <v>San Luis Valley</v>
      </c>
      <c r="B5" s="31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55"/>
      <c r="K5" s="55"/>
    </row>
    <row r="6" spans="1:13" ht="15.6">
      <c r="A6" s="32" t="str">
        <v>Golden NREL 2</v>
      </c>
      <c r="B6" s="29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41"/>
      <c r="K6" s="67"/>
    </row>
    <row r="7" spans="1:13" ht="15.6">
      <c r="A7" s="30" t="str">
        <v>Golden NREL Wind 3</v>
      </c>
      <c r="B7" s="31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8"/>
      <c r="K7" s="59"/>
      <c r="L7" s="60"/>
    </row>
    <row r="8" spans="1:13" ht="15.6" hidden="1">
      <c r="A8" s="32"/>
      <c r="B8" s="29"/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1"/>
      <c r="K8" s="41"/>
    </row>
    <row r="9" spans="1:13" ht="96.75" hidden="1" customHeight="1">
      <c r="A9" s="30"/>
      <c r="B9" s="31"/>
      <c r="C9" s="12"/>
      <c r="D9" s="19"/>
      <c r="E9" s="19" t="str">
        <f t="shared" si="0"/>
        <v/>
      </c>
      <c r="F9" s="20" t="str">
        <f t="shared" si="3"/>
        <v/>
      </c>
      <c r="G9" s="54"/>
      <c r="H9" s="21" t="str">
        <f t="shared" si="1"/>
        <v/>
      </c>
      <c r="I9" s="20" t="str">
        <f t="shared" si="2"/>
        <v/>
      </c>
      <c r="J9" s="55"/>
      <c r="K9" s="55"/>
      <c r="L9" s="71"/>
      <c r="M9" s="22"/>
    </row>
    <row r="10" spans="1:13" ht="15.6" hidden="1">
      <c r="A10" s="32"/>
      <c r="B10" s="29"/>
      <c r="C10" s="25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41"/>
      <c r="K10" s="41"/>
      <c r="L10" s="71"/>
      <c r="M10" s="22"/>
    </row>
    <row r="11" spans="1:13" ht="15.6" hidden="1">
      <c r="A11" s="30"/>
      <c r="B11" s="31"/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42"/>
      <c r="K11" s="42"/>
      <c r="L11" s="71"/>
      <c r="M11" s="22"/>
    </row>
    <row r="12" spans="1:13" ht="15.6" hidden="1">
      <c r="A12" s="32"/>
      <c r="B12" s="29"/>
      <c r="C12" s="25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41"/>
      <c r="K12" s="41"/>
      <c r="L12" s="71"/>
      <c r="M12" s="22"/>
    </row>
    <row r="13" spans="1:13" ht="15.6" hidden="1">
      <c r="A13" s="30"/>
      <c r="B13" s="31"/>
      <c r="C13" s="12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42"/>
      <c r="K13" s="55"/>
      <c r="L13" s="71"/>
      <c r="M13" s="22"/>
    </row>
    <row r="14" spans="1:13">
      <c r="A14" s="22"/>
      <c r="B14" s="22"/>
      <c r="C14" s="22"/>
      <c r="D14" s="22"/>
      <c r="E14" s="22" t="str">
        <f t="shared" si="0"/>
        <v/>
      </c>
      <c r="F14" s="22" t="str">
        <f t="shared" si="3"/>
        <v/>
      </c>
      <c r="G14" s="22"/>
      <c r="H14" s="22" t="str">
        <f t="shared" si="1"/>
        <v/>
      </c>
      <c r="I14" s="22" t="str">
        <f t="shared" si="2"/>
        <v/>
      </c>
      <c r="J14" s="22"/>
      <c r="K14" s="22"/>
      <c r="L14" s="71"/>
      <c r="M14" s="22"/>
    </row>
    <row r="15" spans="1:13">
      <c r="A15" s="22"/>
      <c r="B15" s="22"/>
      <c r="C15" s="22"/>
      <c r="D15" s="22"/>
      <c r="E15" s="22" t="str">
        <f t="shared" si="0"/>
        <v/>
      </c>
      <c r="F15" s="22" t="str">
        <f t="shared" si="3"/>
        <v/>
      </c>
      <c r="G15" s="22"/>
      <c r="H15" s="22" t="str">
        <f t="shared" si="1"/>
        <v/>
      </c>
      <c r="I15" s="22" t="str">
        <f t="shared" si="2"/>
        <v/>
      </c>
      <c r="J15" s="22"/>
      <c r="K15" s="22"/>
      <c r="L15" s="71"/>
      <c r="M15" s="22"/>
    </row>
    <row r="16" spans="1:13">
      <c r="A16" s="22"/>
      <c r="B16" s="22"/>
      <c r="C16" s="22"/>
      <c r="D16" s="22"/>
      <c r="E16" s="22" t="str">
        <f t="shared" si="0"/>
        <v/>
      </c>
      <c r="F16" s="22" t="str">
        <f t="shared" si="3"/>
        <v/>
      </c>
      <c r="G16" s="22"/>
      <c r="H16" s="22" t="str">
        <f t="shared" si="1"/>
        <v/>
      </c>
      <c r="I16" s="22" t="str">
        <f t="shared" si="2"/>
        <v/>
      </c>
      <c r="J16" s="22"/>
      <c r="K16" s="22"/>
      <c r="L16" s="71"/>
      <c r="M16" s="22"/>
    </row>
    <row r="17" spans="1:13">
      <c r="A17" s="22"/>
      <c r="B17" s="22"/>
      <c r="C17" s="22"/>
      <c r="D17" s="22"/>
      <c r="E17" s="22" t="str">
        <f t="shared" si="0"/>
        <v/>
      </c>
      <c r="F17" s="22" t="str">
        <f t="shared" si="3"/>
        <v/>
      </c>
      <c r="G17" s="22"/>
      <c r="H17" s="22" t="str">
        <f t="shared" si="1"/>
        <v/>
      </c>
      <c r="I17" s="22" t="str">
        <f t="shared" si="2"/>
        <v/>
      </c>
      <c r="J17" s="22"/>
      <c r="K17" s="22"/>
      <c r="L17" s="71"/>
      <c r="M17" s="22"/>
    </row>
    <row r="18" spans="1:13" ht="12.75" customHeight="1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3" ht="14.4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3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3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3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3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3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3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3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3" ht="14.4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3" ht="14.4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3" ht="14.45">
      <c r="A29" s="22"/>
      <c r="B29" s="33"/>
      <c r="C29" s="22"/>
      <c r="D29" s="22"/>
      <c r="E29" s="22"/>
      <c r="F29" s="22"/>
      <c r="G29" s="22"/>
      <c r="H29" s="22"/>
      <c r="I29" s="22"/>
      <c r="J29" s="22"/>
      <c r="K29" s="22"/>
    </row>
    <row r="30" spans="1:13" ht="14.45">
      <c r="A30" s="22"/>
      <c r="B30" s="33"/>
      <c r="C30" s="22"/>
      <c r="D30" s="22"/>
      <c r="E30" s="22"/>
      <c r="F30" s="22"/>
      <c r="G30" s="22"/>
      <c r="H30" s="22"/>
      <c r="I30" s="22"/>
      <c r="J30" s="22"/>
      <c r="K30" s="22"/>
    </row>
    <row r="31" spans="1:13" ht="14.45">
      <c r="A31" s="22"/>
      <c r="B31" s="33"/>
      <c r="C31" s="22"/>
      <c r="D31" s="22"/>
      <c r="E31" s="22"/>
      <c r="F31" s="22"/>
      <c r="G31" s="22"/>
      <c r="H31" s="22"/>
      <c r="I31" s="22"/>
      <c r="J31" s="22"/>
      <c r="K31" s="22"/>
    </row>
    <row r="32" spans="1:13" ht="14.45">
      <c r="A32" s="22"/>
      <c r="B32" s="33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3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3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3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3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conditionalFormatting sqref="F4:F13 I4:I13 F18:F100 I18:I100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M342"/>
  <sheetViews>
    <sheetView zoomScale="60" zoomScaleNormal="60" workbookViewId="0">
      <pane xSplit="2" ySplit="3" topLeftCell="C4" activePane="bottomRight" state="frozen"/>
      <selection pane="bottomRight" activeCell="H31" sqref="H31"/>
      <selection pane="bottomLeft" activeCell="H31" sqref="H31"/>
      <selection pane="topRight" activeCell="H31" sqref="H31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3.5703125" customWidth="1"/>
  </cols>
  <sheetData>
    <row r="1" spans="1:13" ht="19.5" customHeight="1">
      <c r="A1" s="76" t="str" cm="1">
        <f t="array" ref="A1">portfolio</f>
        <v>Tortoise</v>
      </c>
      <c r="B1" s="76"/>
      <c r="C1" s="76"/>
      <c r="D1" s="77" t="s">
        <v>45</v>
      </c>
      <c r="E1" s="77"/>
      <c r="F1" s="77"/>
      <c r="G1" s="75" t="s">
        <v>46</v>
      </c>
      <c r="H1" s="75"/>
      <c r="I1" s="75"/>
      <c r="J1" s="5"/>
      <c r="K1" s="5"/>
    </row>
    <row r="2" spans="1:13" ht="19.5" customHeight="1">
      <c r="A2" s="78" t="s">
        <v>2</v>
      </c>
      <c r="B2" s="78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3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6" t="s">
        <v>20</v>
      </c>
      <c r="K3" s="26" t="s">
        <v>21</v>
      </c>
      <c r="L3" s="26" t="s">
        <v>47</v>
      </c>
    </row>
    <row r="4" spans="1:13" ht="15.6">
      <c r="A4" s="32" t="str" cm="1">
        <f t="array" ref="A4:A7">Sites[Site]</f>
        <v>Alamosa School District</v>
      </c>
      <c r="B4" s="29" t="str" cm="1">
        <f t="array" ref="B4:B7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1"/>
      <c r="K4" s="67"/>
      <c r="L4" s="41"/>
    </row>
    <row r="5" spans="1:13" ht="15.6">
      <c r="A5" s="30" t="str">
        <v>San Luis Valley</v>
      </c>
      <c r="B5" s="31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6" si="1">IF(AND(ISNUMBER(C5),ISNUMBER(G5)), C5-G5, "")</f>
        <v/>
      </c>
      <c r="I5" s="20" t="str">
        <f t="shared" ref="I5:I16" si="2">IFERROR(H5/G5, "")</f>
        <v/>
      </c>
      <c r="J5" s="55"/>
      <c r="K5" s="73"/>
      <c r="L5" s="55"/>
    </row>
    <row r="6" spans="1:13" ht="15.6">
      <c r="A6" s="32" t="str">
        <v>Golden NREL 2</v>
      </c>
      <c r="B6" s="29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>IF(AND(ISNUMBER(C6),ISNUMBER(G6)), C6-G6, "")</f>
        <v/>
      </c>
      <c r="I6" s="17" t="str">
        <f t="shared" si="2"/>
        <v/>
      </c>
      <c r="J6" s="41"/>
      <c r="K6" s="67"/>
      <c r="L6" s="41"/>
    </row>
    <row r="7" spans="1:13" ht="15.6">
      <c r="A7" s="30" t="str">
        <v>Golden NREL Wind 3</v>
      </c>
      <c r="B7" s="31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55"/>
      <c r="K7" s="73"/>
      <c r="L7" s="55"/>
      <c r="M7" s="74"/>
    </row>
    <row r="8" spans="1:13" ht="15.6" hidden="1">
      <c r="A8" s="32"/>
      <c r="B8" s="29"/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50"/>
      <c r="K8" s="50"/>
    </row>
    <row r="9" spans="1:13" ht="100.5" hidden="1" customHeight="1">
      <c r="A9" s="30"/>
      <c r="B9" s="31"/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48"/>
      <c r="K9" s="48"/>
      <c r="L9" s="22"/>
    </row>
    <row r="10" spans="1:13" ht="15.6" hidden="1">
      <c r="A10" s="32"/>
      <c r="B10" s="29"/>
      <c r="C10" s="25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50"/>
      <c r="K10" s="50"/>
      <c r="L10" s="22"/>
    </row>
    <row r="11" spans="1:13" ht="15.6" hidden="1">
      <c r="A11" s="30"/>
      <c r="B11" s="31"/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48"/>
      <c r="K11" s="48"/>
      <c r="L11" s="22"/>
    </row>
    <row r="12" spans="1:13" ht="15.6" hidden="1">
      <c r="A12" s="32"/>
      <c r="B12" s="29"/>
      <c r="C12" s="25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50"/>
      <c r="K12" s="50"/>
      <c r="L12" s="22"/>
    </row>
    <row r="13" spans="1:13" ht="15.6" hidden="1">
      <c r="A13" s="30"/>
      <c r="B13" s="31"/>
      <c r="C13" s="12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48"/>
      <c r="K13" s="48"/>
      <c r="L13" s="22"/>
    </row>
    <row r="14" spans="1:13" hidden="1">
      <c r="A14" s="22"/>
      <c r="B14" s="22"/>
      <c r="C14" s="22"/>
      <c r="D14" s="22"/>
      <c r="E14" s="22" t="str">
        <f t="shared" si="0"/>
        <v/>
      </c>
      <c r="F14" s="22" t="str">
        <f t="shared" si="3"/>
        <v/>
      </c>
      <c r="G14" s="22"/>
      <c r="H14" s="22" t="str">
        <f t="shared" si="1"/>
        <v/>
      </c>
      <c r="I14" s="22" t="str">
        <f t="shared" si="2"/>
        <v/>
      </c>
      <c r="J14" s="22"/>
      <c r="K14" s="22"/>
      <c r="L14" s="22"/>
    </row>
    <row r="15" spans="1:13">
      <c r="A15" s="22"/>
      <c r="B15" s="22"/>
      <c r="C15" s="22"/>
      <c r="D15" s="22"/>
      <c r="E15" s="22" t="str">
        <f t="shared" si="0"/>
        <v/>
      </c>
      <c r="F15" s="22" t="str">
        <f t="shared" si="3"/>
        <v/>
      </c>
      <c r="G15" s="22"/>
      <c r="H15" s="22" t="str">
        <f t="shared" si="1"/>
        <v/>
      </c>
      <c r="I15" s="22" t="str">
        <f t="shared" si="2"/>
        <v/>
      </c>
      <c r="J15" s="22"/>
      <c r="K15" s="22"/>
      <c r="L15" s="22"/>
    </row>
    <row r="16" spans="1:13">
      <c r="A16" s="22"/>
      <c r="B16" s="22"/>
      <c r="C16" s="22"/>
      <c r="D16" s="22"/>
      <c r="E16" s="22" t="str">
        <f t="shared" si="0"/>
        <v/>
      </c>
      <c r="F16" s="22" t="str">
        <f t="shared" si="3"/>
        <v/>
      </c>
      <c r="G16" s="22"/>
      <c r="H16" s="22" t="str">
        <f t="shared" si="1"/>
        <v/>
      </c>
      <c r="I16" s="22" t="str">
        <f t="shared" si="2"/>
        <v/>
      </c>
      <c r="J16" s="22"/>
      <c r="K16" s="22"/>
      <c r="L16" s="22"/>
    </row>
    <row r="17" spans="1:12">
      <c r="A17" s="22"/>
      <c r="B17" s="22"/>
      <c r="C17" s="22"/>
      <c r="D17" s="22"/>
      <c r="E17" s="22" t="str">
        <f t="shared" si="0"/>
        <v/>
      </c>
      <c r="F17" s="22" t="str">
        <f t="shared" si="3"/>
        <v/>
      </c>
      <c r="G17" s="22"/>
      <c r="H17" s="22" t="str">
        <f>IF(AND(ISNUMBER(C17),ISNUMBER(G17)), C17-G17, "")</f>
        <v/>
      </c>
      <c r="I17" s="22" t="str">
        <f>IFERROR(H17/G17, "")</f>
        <v/>
      </c>
      <c r="J17" s="22"/>
      <c r="K17" s="22"/>
      <c r="L17" s="22"/>
    </row>
    <row r="18" spans="1:12" ht="12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1:1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1:12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2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2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2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2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2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2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2" ht="14.4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2" ht="14.4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2" ht="14.45">
      <c r="A29" s="22"/>
      <c r="B29" s="33"/>
      <c r="C29" s="22"/>
      <c r="D29" s="22"/>
      <c r="E29" s="22"/>
      <c r="F29" s="22"/>
      <c r="G29" s="22"/>
      <c r="H29" s="22"/>
      <c r="I29" s="22"/>
      <c r="J29" s="22"/>
      <c r="K29" s="22"/>
    </row>
    <row r="30" spans="1:12" ht="14.45">
      <c r="A30" s="22"/>
      <c r="B30" s="33"/>
      <c r="C30" s="22"/>
      <c r="D30" s="22"/>
      <c r="E30" s="22"/>
      <c r="F30" s="22"/>
      <c r="G30" s="22"/>
      <c r="H30" s="22"/>
      <c r="I30" s="22"/>
      <c r="J30" s="22"/>
      <c r="K30" s="22"/>
    </row>
    <row r="31" spans="1:12" ht="14.45">
      <c r="A31" s="22"/>
      <c r="B31" s="33"/>
      <c r="C31" s="22"/>
      <c r="D31" s="22"/>
      <c r="E31" s="22"/>
      <c r="F31" s="22"/>
      <c r="G31" s="22"/>
      <c r="H31" s="22"/>
      <c r="I31" s="22"/>
      <c r="J31" s="22"/>
      <c r="K31" s="22"/>
    </row>
    <row r="32" spans="1:12" ht="14.45">
      <c r="A32" s="22"/>
      <c r="B32" s="33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3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3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3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3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conditionalFormatting sqref="F4:F13 I4:I13 F20:F100 I20:I100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M342"/>
  <sheetViews>
    <sheetView zoomScale="60" zoomScaleNormal="60" workbookViewId="0">
      <pane xSplit="2" ySplit="3" topLeftCell="C4" activePane="bottomRight" state="frozen"/>
      <selection pane="bottomRight" activeCell="H31" sqref="H31"/>
      <selection pane="bottomLeft" activeCell="H31" sqref="H31"/>
      <selection pane="topRight" activeCell="H31" sqref="H31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5.42578125" customWidth="1"/>
  </cols>
  <sheetData>
    <row r="1" spans="1:13" ht="19.5" customHeight="1">
      <c r="A1" s="76" t="str" cm="1">
        <f t="array" ref="A1">portfolio</f>
        <v>Tortoise</v>
      </c>
      <c r="B1" s="76"/>
      <c r="C1" s="76"/>
      <c r="D1" s="77" t="s">
        <v>48</v>
      </c>
      <c r="E1" s="77"/>
      <c r="F1" s="77"/>
      <c r="G1" s="75" t="s">
        <v>49</v>
      </c>
      <c r="H1" s="75"/>
      <c r="I1" s="75"/>
      <c r="J1" s="5"/>
      <c r="K1" s="5"/>
    </row>
    <row r="2" spans="1:13" ht="19.5" customHeight="1">
      <c r="A2" s="78" t="s">
        <v>2</v>
      </c>
      <c r="B2" s="78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3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6" t="s">
        <v>20</v>
      </c>
      <c r="K3" s="26" t="s">
        <v>21</v>
      </c>
      <c r="L3" s="26" t="s">
        <v>50</v>
      </c>
    </row>
    <row r="4" spans="1:13" ht="20.45" customHeight="1">
      <c r="A4" s="51" t="str" cm="1">
        <f t="array" ref="A4:A7">Sites[Site]</f>
        <v>Alamosa School District</v>
      </c>
      <c r="B4" s="29" t="str" cm="1">
        <f t="array" ref="B4:B7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50"/>
      <c r="K4" s="50"/>
      <c r="L4" s="50"/>
    </row>
    <row r="5" spans="1:13" ht="40.5" customHeight="1">
      <c r="A5" s="30" t="str">
        <v>San Luis Valley</v>
      </c>
      <c r="B5" s="31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8"/>
      <c r="K5" s="59"/>
      <c r="L5" s="48"/>
      <c r="M5" s="74"/>
    </row>
    <row r="6" spans="1:13" ht="15.6">
      <c r="A6" s="32" t="str">
        <v>Golden NREL 2</v>
      </c>
      <c r="B6" s="29" t="str">
        <v>CO</v>
      </c>
      <c r="C6" s="25"/>
      <c r="D6" s="14"/>
      <c r="E6" s="14" t="str">
        <f t="shared" si="0"/>
        <v/>
      </c>
      <c r="F6" s="15" t="str">
        <f t="shared" ref="F6:F13" si="3">IFERROR(E6/D6, "")</f>
        <v/>
      </c>
      <c r="G6" s="16"/>
      <c r="H6" s="16" t="str">
        <f t="shared" si="1"/>
        <v/>
      </c>
      <c r="I6" s="17" t="str">
        <f t="shared" si="2"/>
        <v/>
      </c>
      <c r="J6" s="50"/>
      <c r="K6" s="50"/>
      <c r="L6" s="50"/>
    </row>
    <row r="7" spans="1:13" ht="46.5" customHeight="1">
      <c r="A7" s="30" t="str">
        <v>Golden NREL Wind 3</v>
      </c>
      <c r="B7" s="31" t="str">
        <v>CO</v>
      </c>
      <c r="C7" s="12"/>
      <c r="D7" s="19"/>
      <c r="E7" s="19" t="str">
        <f t="shared" ref="E7:E13" si="4">IF(AND(ISNUMBER(C7),ISNUMBER(D7)), C7-D7, "")</f>
        <v/>
      </c>
      <c r="F7" s="20" t="str">
        <f t="shared" si="3"/>
        <v/>
      </c>
      <c r="G7" s="21"/>
      <c r="H7" s="21" t="str">
        <f t="shared" ref="H7:H13" si="5">IF(AND(ISNUMBER(C7),ISNUMBER(G7)), C7-G7, "")</f>
        <v/>
      </c>
      <c r="I7" s="20" t="str">
        <f t="shared" ref="I7:I13" si="6">IFERROR(H7/G7, "")</f>
        <v/>
      </c>
      <c r="J7" s="48"/>
      <c r="K7" s="59"/>
      <c r="L7" s="48"/>
      <c r="M7" s="74"/>
    </row>
    <row r="8" spans="1:13" ht="50.25" hidden="1" customHeight="1">
      <c r="A8" s="51"/>
      <c r="B8" s="29"/>
      <c r="C8" s="25"/>
      <c r="D8" s="14"/>
      <c r="E8" s="14" t="str">
        <f t="shared" si="4"/>
        <v/>
      </c>
      <c r="F8" s="15" t="str">
        <f t="shared" si="3"/>
        <v/>
      </c>
      <c r="G8" s="16"/>
      <c r="H8" s="16" t="str">
        <f t="shared" si="5"/>
        <v/>
      </c>
      <c r="I8" s="17" t="str">
        <f t="shared" si="6"/>
        <v/>
      </c>
      <c r="J8" s="50"/>
      <c r="K8" s="50"/>
    </row>
    <row r="9" spans="1:13" ht="22.5" hidden="1" customHeight="1">
      <c r="A9" s="30"/>
      <c r="B9" s="31"/>
      <c r="C9" s="12"/>
      <c r="D9" s="19"/>
      <c r="E9" s="19" t="str">
        <f t="shared" si="4"/>
        <v/>
      </c>
      <c r="F9" s="20" t="str">
        <f t="shared" si="3"/>
        <v/>
      </c>
      <c r="G9" s="21"/>
      <c r="H9" s="21" t="str">
        <f t="shared" si="5"/>
        <v/>
      </c>
      <c r="I9" s="20" t="str">
        <f t="shared" si="6"/>
        <v/>
      </c>
      <c r="J9" s="48"/>
      <c r="K9" s="48"/>
      <c r="L9" s="30"/>
    </row>
    <row r="10" spans="1:13" ht="15.6" hidden="1">
      <c r="A10" s="32"/>
      <c r="B10" s="29"/>
      <c r="C10" s="25"/>
      <c r="D10" s="14"/>
      <c r="E10" s="14" t="str">
        <f t="shared" si="4"/>
        <v/>
      </c>
      <c r="F10" s="15" t="str">
        <f t="shared" si="3"/>
        <v/>
      </c>
      <c r="G10" s="16"/>
      <c r="H10" s="16" t="str">
        <f t="shared" si="5"/>
        <v/>
      </c>
      <c r="I10" s="17" t="str">
        <f t="shared" si="6"/>
        <v/>
      </c>
      <c r="J10" s="50"/>
      <c r="K10" s="50"/>
      <c r="L10" s="30"/>
    </row>
    <row r="11" spans="1:13" ht="15.6" hidden="1">
      <c r="A11" s="30"/>
      <c r="B11" s="31"/>
      <c r="C11" s="12"/>
      <c r="D11" s="19"/>
      <c r="E11" s="19" t="str">
        <f t="shared" si="4"/>
        <v/>
      </c>
      <c r="F11" s="20" t="str">
        <f t="shared" si="3"/>
        <v/>
      </c>
      <c r="G11" s="21"/>
      <c r="H11" s="21" t="str">
        <f t="shared" si="5"/>
        <v/>
      </c>
      <c r="I11" s="20" t="str">
        <f t="shared" si="6"/>
        <v/>
      </c>
      <c r="J11" s="48"/>
      <c r="K11" s="48"/>
      <c r="L11" s="30"/>
    </row>
    <row r="12" spans="1:13" ht="15.6" hidden="1">
      <c r="A12" s="32"/>
      <c r="B12" s="29"/>
      <c r="C12" s="25"/>
      <c r="D12" s="14"/>
      <c r="E12" s="14" t="str">
        <f t="shared" si="4"/>
        <v/>
      </c>
      <c r="F12" s="15" t="str">
        <f t="shared" si="3"/>
        <v/>
      </c>
      <c r="G12" s="16"/>
      <c r="H12" s="16" t="str">
        <f t="shared" si="5"/>
        <v/>
      </c>
      <c r="I12" s="17" t="str">
        <f t="shared" si="6"/>
        <v/>
      </c>
      <c r="J12" s="50"/>
      <c r="K12" s="50"/>
      <c r="L12" s="30"/>
    </row>
    <row r="13" spans="1:13" ht="15.6" hidden="1">
      <c r="A13" s="30"/>
      <c r="B13" s="31"/>
      <c r="C13" s="12"/>
      <c r="D13" s="19"/>
      <c r="E13" s="19" t="str">
        <f t="shared" si="4"/>
        <v/>
      </c>
      <c r="F13" s="20" t="str">
        <f t="shared" si="3"/>
        <v/>
      </c>
      <c r="G13" s="21"/>
      <c r="H13" s="21" t="str">
        <f t="shared" si="5"/>
        <v/>
      </c>
      <c r="I13" s="20" t="str">
        <f t="shared" si="6"/>
        <v/>
      </c>
      <c r="J13" s="42"/>
      <c r="K13" s="42"/>
      <c r="L13" s="30"/>
    </row>
    <row r="14" spans="1:13" ht="15.6">
      <c r="A14" s="30"/>
      <c r="B14" s="30"/>
      <c r="C14" s="30"/>
      <c r="D14" s="30"/>
      <c r="E14" s="30" t="str">
        <f t="shared" si="0"/>
        <v/>
      </c>
      <c r="F14" s="30" t="str">
        <f t="shared" ref="F14:F17" si="7">IFERROR(E14/D14, "")</f>
        <v/>
      </c>
      <c r="G14" s="30"/>
      <c r="H14" s="30" t="str">
        <f t="shared" si="1"/>
        <v/>
      </c>
      <c r="I14" s="30" t="str">
        <f t="shared" si="2"/>
        <v/>
      </c>
      <c r="J14" s="30"/>
      <c r="K14" s="30"/>
      <c r="L14" s="30"/>
    </row>
    <row r="15" spans="1:13" ht="15.6">
      <c r="A15" s="30"/>
      <c r="B15" s="30"/>
      <c r="C15" s="30"/>
      <c r="D15" s="30"/>
      <c r="E15" s="30" t="str">
        <f t="shared" si="0"/>
        <v/>
      </c>
      <c r="F15" s="30" t="str">
        <f t="shared" si="7"/>
        <v/>
      </c>
      <c r="G15" s="30"/>
      <c r="H15" s="30" t="str">
        <f t="shared" si="1"/>
        <v/>
      </c>
      <c r="I15" s="30" t="str">
        <f t="shared" si="2"/>
        <v/>
      </c>
      <c r="J15" s="30"/>
      <c r="K15" s="30"/>
      <c r="L15" s="30"/>
    </row>
    <row r="16" spans="1:13" ht="15.6">
      <c r="A16" s="30"/>
      <c r="B16" s="30"/>
      <c r="C16" s="30"/>
      <c r="D16" s="30"/>
      <c r="E16" s="30" t="str">
        <f t="shared" si="0"/>
        <v/>
      </c>
      <c r="F16" s="30" t="str">
        <f t="shared" si="7"/>
        <v/>
      </c>
      <c r="G16" s="30"/>
      <c r="H16" s="30" t="str">
        <f t="shared" si="1"/>
        <v/>
      </c>
      <c r="I16" s="30" t="str">
        <f t="shared" si="2"/>
        <v/>
      </c>
      <c r="J16" s="30"/>
      <c r="K16" s="30"/>
      <c r="L16" s="30"/>
    </row>
    <row r="17" spans="1:12" ht="15.6">
      <c r="A17" s="30"/>
      <c r="B17" s="30"/>
      <c r="C17" s="30"/>
      <c r="D17" s="30"/>
      <c r="E17" s="30" t="str">
        <f t="shared" si="0"/>
        <v/>
      </c>
      <c r="F17" s="30" t="str">
        <f t="shared" si="7"/>
        <v/>
      </c>
      <c r="G17" s="30"/>
      <c r="H17" s="30" t="str">
        <f t="shared" si="1"/>
        <v/>
      </c>
      <c r="I17" s="30" t="str">
        <f t="shared" si="2"/>
        <v/>
      </c>
      <c r="J17" s="30"/>
      <c r="K17" s="30"/>
      <c r="L17" s="30"/>
    </row>
    <row r="18" spans="1:12" ht="12.7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</row>
    <row r="19" spans="1:12" ht="15.6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</row>
    <row r="20" spans="1:12" ht="15.6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</row>
    <row r="21" spans="1:12" ht="15.6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</row>
    <row r="22" spans="1:12" ht="15.6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</row>
    <row r="23" spans="1:12" ht="15.6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</row>
    <row r="24" spans="1:12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2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2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2" ht="14.4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2" ht="14.4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2" ht="14.45">
      <c r="A29" s="22"/>
      <c r="B29" s="33"/>
      <c r="C29" s="22"/>
      <c r="D29" s="22"/>
      <c r="E29" s="22"/>
      <c r="F29" s="22"/>
      <c r="G29" s="22"/>
      <c r="H29" s="22"/>
      <c r="I29" s="22"/>
      <c r="J29" s="22"/>
      <c r="K29" s="22"/>
    </row>
    <row r="30" spans="1:12" ht="14.45">
      <c r="A30" s="22"/>
      <c r="B30" s="33"/>
      <c r="C30" s="22"/>
      <c r="D30" s="22"/>
      <c r="E30" s="22"/>
      <c r="F30" s="22"/>
      <c r="G30" s="22"/>
      <c r="H30" s="22"/>
      <c r="I30" s="22"/>
      <c r="J30" s="22"/>
      <c r="K30" s="22"/>
    </row>
    <row r="31" spans="1:12" ht="14.45">
      <c r="A31" s="22"/>
      <c r="B31" s="33"/>
      <c r="C31" s="22"/>
      <c r="D31" s="22"/>
      <c r="E31" s="22"/>
      <c r="F31" s="22"/>
      <c r="G31" s="22"/>
      <c r="H31" s="22"/>
      <c r="I31" s="22"/>
      <c r="J31" s="22"/>
      <c r="K31" s="22"/>
    </row>
    <row r="32" spans="1:12" ht="14.45">
      <c r="A32" s="22"/>
      <c r="B32" s="33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3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3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3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3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conditionalFormatting sqref="F4:F100 I4:I100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O342"/>
  <sheetViews>
    <sheetView zoomScale="60" zoomScaleNormal="60" workbookViewId="0">
      <pane xSplit="2" ySplit="3" topLeftCell="C4" activePane="bottomRight" state="frozen"/>
      <selection pane="bottomRight" activeCell="H6" sqref="H6"/>
      <selection pane="bottomLeft" activeCell="S26" sqref="S26"/>
      <selection pane="topRight" activeCell="S26" sqref="S26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5" ht="19.5" customHeight="1">
      <c r="A1" s="76" t="str" cm="1">
        <f t="array" ref="A1">portfolio</f>
        <v>Tortoise</v>
      </c>
      <c r="B1" s="76"/>
      <c r="C1" s="76"/>
      <c r="D1" s="77" t="s">
        <v>51</v>
      </c>
      <c r="E1" s="77"/>
      <c r="F1" s="77"/>
      <c r="G1" s="75" t="s">
        <v>52</v>
      </c>
      <c r="H1" s="75"/>
      <c r="I1" s="75"/>
      <c r="J1" s="5"/>
      <c r="K1" s="5"/>
      <c r="L1" s="5"/>
    </row>
    <row r="2" spans="1:15" ht="19.5" customHeight="1">
      <c r="A2" s="78" t="s">
        <v>2</v>
      </c>
      <c r="B2" s="78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  <c r="L2" s="5"/>
    </row>
    <row r="3" spans="1:15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6" t="s">
        <v>20</v>
      </c>
      <c r="K3" s="26" t="s">
        <v>21</v>
      </c>
      <c r="L3" s="26"/>
    </row>
    <row r="4" spans="1:15" ht="35.25" customHeight="1">
      <c r="A4" s="32" t="str" cm="1">
        <f t="array" ref="A4:A7">Sites[Site]</f>
        <v>Alamosa School District</v>
      </c>
      <c r="B4" s="29" t="str" cm="1">
        <f t="array" ref="B4:B7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50"/>
      <c r="K4" s="58"/>
      <c r="L4" s="50"/>
    </row>
    <row r="5" spans="1:15" ht="15.6">
      <c r="A5" s="30" t="str">
        <v>San Luis Valley</v>
      </c>
      <c r="B5" s="31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8"/>
      <c r="K5" s="48"/>
      <c r="L5" s="48"/>
    </row>
    <row r="6" spans="1:15" ht="15.6">
      <c r="A6" s="32" t="str">
        <v>Golden NREL 2</v>
      </c>
      <c r="B6" s="29" t="str">
        <v>CO</v>
      </c>
      <c r="C6" s="25"/>
      <c r="D6" s="14"/>
      <c r="E6" s="14" t="str">
        <f t="shared" si="0"/>
        <v/>
      </c>
      <c r="F6" s="15" t="str">
        <f t="shared" ref="F6:F13" si="3">IFERROR(E6/D6, "")</f>
        <v/>
      </c>
      <c r="G6" s="16"/>
      <c r="H6" s="16"/>
      <c r="I6" s="17" t="str">
        <f t="shared" si="2"/>
        <v/>
      </c>
      <c r="J6" s="50"/>
      <c r="K6" s="50"/>
      <c r="L6" s="50"/>
    </row>
    <row r="7" spans="1:15" ht="15.6">
      <c r="A7" s="30" t="str">
        <v>Golden NREL Wind 3</v>
      </c>
      <c r="B7" s="31" t="str">
        <v>CO</v>
      </c>
      <c r="C7" s="12"/>
      <c r="D7" s="19"/>
      <c r="E7" s="19" t="str">
        <f t="shared" ref="E7:E13" si="4">IF(AND(ISNUMBER(C7),ISNUMBER(D7)), C7-D7, "")</f>
        <v/>
      </c>
      <c r="F7" s="20" t="str">
        <f t="shared" si="3"/>
        <v/>
      </c>
      <c r="G7" s="21"/>
      <c r="H7" s="21" t="str">
        <f t="shared" ref="H7:H13" si="5">IF(AND(ISNUMBER(C7),ISNUMBER(G7)), C7-G7, "")</f>
        <v/>
      </c>
      <c r="I7" s="20" t="str">
        <f t="shared" ref="I7:I13" si="6">IFERROR(H7/G7, "")</f>
        <v/>
      </c>
      <c r="J7" s="48"/>
      <c r="K7" s="59"/>
      <c r="L7" s="48"/>
      <c r="M7" s="74"/>
    </row>
    <row r="8" spans="1:15" ht="15.6" hidden="1">
      <c r="A8" s="32"/>
      <c r="B8" s="29"/>
      <c r="C8" s="25"/>
      <c r="D8" s="14"/>
      <c r="E8" s="14" t="str">
        <f t="shared" si="4"/>
        <v/>
      </c>
      <c r="F8" s="15" t="str">
        <f t="shared" si="3"/>
        <v/>
      </c>
      <c r="G8" s="16"/>
      <c r="H8" s="16" t="str">
        <f t="shared" si="5"/>
        <v/>
      </c>
      <c r="I8" s="17" t="str">
        <f t="shared" si="6"/>
        <v/>
      </c>
      <c r="J8" s="50"/>
      <c r="K8" s="50"/>
      <c r="L8" s="50"/>
    </row>
    <row r="9" spans="1:15" ht="15.6" hidden="1">
      <c r="A9" s="30"/>
      <c r="B9" s="31"/>
      <c r="C9" s="12"/>
      <c r="D9" s="19"/>
      <c r="E9" s="19" t="str">
        <f t="shared" si="4"/>
        <v/>
      </c>
      <c r="F9" s="20" t="str">
        <f t="shared" si="3"/>
        <v/>
      </c>
      <c r="G9" s="21"/>
      <c r="H9" s="21" t="str">
        <f t="shared" si="5"/>
        <v/>
      </c>
      <c r="I9" s="20" t="str">
        <f t="shared" si="6"/>
        <v/>
      </c>
      <c r="J9" s="48"/>
      <c r="K9" s="48"/>
      <c r="L9" s="48"/>
      <c r="N9" s="22"/>
      <c r="O9" s="22"/>
    </row>
    <row r="10" spans="1:15" ht="15.6" hidden="1">
      <c r="A10" s="32"/>
      <c r="B10" s="29"/>
      <c r="C10" s="25"/>
      <c r="D10" s="14"/>
      <c r="E10" s="14" t="str">
        <f t="shared" si="4"/>
        <v/>
      </c>
      <c r="F10" s="15" t="str">
        <f t="shared" si="3"/>
        <v/>
      </c>
      <c r="G10" s="16"/>
      <c r="H10" s="16" t="str">
        <f t="shared" si="5"/>
        <v/>
      </c>
      <c r="I10" s="17" t="str">
        <f t="shared" si="6"/>
        <v/>
      </c>
      <c r="J10" s="50"/>
      <c r="K10" s="50"/>
      <c r="L10" s="50"/>
      <c r="N10" s="22"/>
      <c r="O10" s="22"/>
    </row>
    <row r="11" spans="1:15" ht="15.6" hidden="1">
      <c r="A11" s="30"/>
      <c r="B11" s="31"/>
      <c r="C11" s="12"/>
      <c r="D11" s="19"/>
      <c r="E11" s="19" t="str">
        <f t="shared" si="4"/>
        <v/>
      </c>
      <c r="F11" s="20" t="str">
        <f t="shared" si="3"/>
        <v/>
      </c>
      <c r="G11" s="21"/>
      <c r="H11" s="21" t="str">
        <f t="shared" si="5"/>
        <v/>
      </c>
      <c r="I11" s="20" t="str">
        <f t="shared" si="6"/>
        <v/>
      </c>
      <c r="J11" s="48"/>
      <c r="K11" s="48"/>
      <c r="L11" s="48"/>
      <c r="N11" s="22"/>
      <c r="O11" s="22"/>
    </row>
    <row r="12" spans="1:15" ht="15.6" hidden="1">
      <c r="A12" s="32"/>
      <c r="B12" s="29"/>
      <c r="C12" s="25"/>
      <c r="D12" s="14"/>
      <c r="E12" s="14" t="str">
        <f t="shared" si="4"/>
        <v/>
      </c>
      <c r="F12" s="15" t="str">
        <f t="shared" si="3"/>
        <v/>
      </c>
      <c r="G12" s="16"/>
      <c r="H12" s="16" t="str">
        <f t="shared" si="5"/>
        <v/>
      </c>
      <c r="I12" s="17" t="str">
        <f t="shared" si="6"/>
        <v/>
      </c>
      <c r="J12" s="50"/>
      <c r="K12" s="50"/>
      <c r="L12" s="50"/>
      <c r="N12" s="22"/>
      <c r="O12" s="22"/>
    </row>
    <row r="13" spans="1:15" ht="15.6" hidden="1">
      <c r="A13" s="30"/>
      <c r="B13" s="31"/>
      <c r="C13" s="12"/>
      <c r="D13" s="19"/>
      <c r="E13" s="19" t="str">
        <f t="shared" si="4"/>
        <v/>
      </c>
      <c r="F13" s="20" t="str">
        <f t="shared" si="3"/>
        <v/>
      </c>
      <c r="G13" s="21"/>
      <c r="H13" s="21" t="str">
        <f t="shared" si="5"/>
        <v/>
      </c>
      <c r="I13" s="20" t="str">
        <f t="shared" si="6"/>
        <v/>
      </c>
      <c r="J13" s="48"/>
      <c r="K13" s="48"/>
      <c r="L13" s="48"/>
      <c r="N13" s="22"/>
      <c r="O13" s="22"/>
    </row>
    <row r="14" spans="1:15">
      <c r="A14" s="22"/>
      <c r="B14" s="22"/>
      <c r="C14" s="22"/>
      <c r="D14" s="22"/>
      <c r="E14" s="22" t="str">
        <f t="shared" si="0"/>
        <v/>
      </c>
      <c r="F14" s="22" t="str">
        <f t="shared" ref="F14:F17" si="7">IFERROR(E14/D14, "")</f>
        <v/>
      </c>
      <c r="G14" s="22"/>
      <c r="H14" s="22" t="str">
        <f t="shared" si="1"/>
        <v/>
      </c>
      <c r="I14" s="22" t="str">
        <f t="shared" si="2"/>
        <v/>
      </c>
      <c r="J14" s="22"/>
      <c r="K14" s="22"/>
      <c r="L14" s="22"/>
      <c r="N14" s="22"/>
      <c r="O14" s="22"/>
    </row>
    <row r="15" spans="1:15">
      <c r="A15" s="22"/>
      <c r="B15" s="22"/>
      <c r="C15" s="22"/>
      <c r="D15" s="22"/>
      <c r="E15" s="22" t="str">
        <f t="shared" si="0"/>
        <v/>
      </c>
      <c r="F15" s="22" t="str">
        <f t="shared" si="7"/>
        <v/>
      </c>
      <c r="G15" s="22"/>
      <c r="H15" s="22" t="str">
        <f t="shared" si="1"/>
        <v/>
      </c>
      <c r="I15" s="22" t="str">
        <f t="shared" si="2"/>
        <v/>
      </c>
      <c r="J15" s="22"/>
      <c r="K15" s="22"/>
      <c r="L15" s="22"/>
      <c r="N15" s="22"/>
      <c r="O15" s="22"/>
    </row>
    <row r="16" spans="1:15">
      <c r="A16" s="22"/>
      <c r="B16" s="22"/>
      <c r="C16" s="22"/>
      <c r="D16" s="22"/>
      <c r="E16" s="22" t="str">
        <f t="shared" si="0"/>
        <v/>
      </c>
      <c r="F16" s="22" t="str">
        <f t="shared" si="7"/>
        <v/>
      </c>
      <c r="G16" s="22"/>
      <c r="H16" s="22" t="str">
        <f t="shared" si="1"/>
        <v/>
      </c>
      <c r="I16" s="22" t="str">
        <f t="shared" si="2"/>
        <v/>
      </c>
      <c r="J16" s="22"/>
      <c r="K16" s="22"/>
      <c r="L16" s="22"/>
      <c r="N16" s="22"/>
      <c r="O16" s="22"/>
    </row>
    <row r="17" spans="1:15">
      <c r="A17" s="22"/>
      <c r="B17" s="22"/>
      <c r="C17" s="22"/>
      <c r="D17" s="22"/>
      <c r="E17" s="22" t="str">
        <f t="shared" si="0"/>
        <v/>
      </c>
      <c r="F17" s="22" t="str">
        <f t="shared" si="7"/>
        <v/>
      </c>
      <c r="G17" s="22"/>
      <c r="H17" s="22" t="str">
        <f t="shared" si="1"/>
        <v/>
      </c>
      <c r="I17" s="22" t="str">
        <f t="shared" si="2"/>
        <v/>
      </c>
      <c r="J17" s="22"/>
      <c r="K17" s="22"/>
      <c r="L17" s="22"/>
      <c r="N17" s="22"/>
      <c r="O17" s="22"/>
    </row>
    <row r="18" spans="1:15" ht="12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N18" s="22"/>
      <c r="O18" s="22"/>
    </row>
    <row r="19" spans="1:1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N19" s="22"/>
      <c r="O19" s="22"/>
    </row>
    <row r="20" spans="1:15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1:15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1:15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  <c r="L22" s="22"/>
    </row>
    <row r="23" spans="1:15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spans="1:15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5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spans="1:15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1:15" ht="14.4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1:15" ht="14.4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1:15" ht="14.45">
      <c r="A29" s="22"/>
      <c r="B29" s="33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1:15" ht="14.45">
      <c r="A30" s="22"/>
      <c r="B30" s="33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1:15" ht="14.45">
      <c r="A31" s="22"/>
      <c r="B31" s="33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1:15" ht="14.45">
      <c r="A32" s="22"/>
      <c r="B32" s="33"/>
      <c r="C32" s="22"/>
      <c r="D32" s="22"/>
      <c r="E32" s="22"/>
      <c r="F32" s="22"/>
      <c r="G32" s="22"/>
      <c r="H32" s="22"/>
      <c r="I32" s="22"/>
      <c r="J32" s="22"/>
      <c r="K32" s="22"/>
      <c r="L32" s="22"/>
    </row>
    <row r="33" spans="1:12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  <c r="L33" s="22"/>
    </row>
    <row r="34" spans="1:12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  <c r="L34" s="22"/>
    </row>
    <row r="35" spans="1:12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  <c r="L35" s="22"/>
    </row>
    <row r="36" spans="1:12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  <c r="L36" s="22"/>
    </row>
    <row r="37" spans="1:12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  <c r="L37" s="22"/>
    </row>
    <row r="38" spans="1:12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  <c r="L38" s="22"/>
    </row>
    <row r="39" spans="1:12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  <c r="L39" s="22"/>
    </row>
    <row r="40" spans="1:12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  <c r="L40" s="22"/>
    </row>
    <row r="41" spans="1:12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  <c r="L41" s="22"/>
    </row>
    <row r="42" spans="1:12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  <c r="L42" s="22"/>
    </row>
    <row r="43" spans="1:12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  <c r="L43" s="22"/>
    </row>
    <row r="44" spans="1:12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  <c r="L44" s="22"/>
    </row>
    <row r="45" spans="1:12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  <c r="L45" s="22"/>
    </row>
    <row r="46" spans="1:12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  <c r="L46" s="22"/>
    </row>
    <row r="47" spans="1:12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  <c r="L47" s="22"/>
    </row>
    <row r="48" spans="1:12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  <c r="L48" s="22"/>
    </row>
    <row r="49" spans="1:12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  <c r="L49" s="22"/>
    </row>
    <row r="50" spans="1:12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  <c r="L50" s="22"/>
    </row>
    <row r="51" spans="1:12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  <c r="L51" s="22"/>
    </row>
    <row r="52" spans="1:12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  <c r="L52" s="22"/>
    </row>
    <row r="53" spans="1:12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  <c r="L53" s="22"/>
    </row>
    <row r="54" spans="1:12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  <c r="L54" s="22"/>
    </row>
    <row r="55" spans="1:12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  <c r="L55" s="22"/>
    </row>
    <row r="56" spans="1:12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  <c r="L56" s="22"/>
    </row>
    <row r="57" spans="1:12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  <c r="L57" s="22"/>
    </row>
    <row r="58" spans="1:12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  <c r="L58" s="22"/>
    </row>
    <row r="59" spans="1:12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  <c r="L59" s="22"/>
    </row>
    <row r="60" spans="1:12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  <c r="L60" s="22"/>
    </row>
    <row r="61" spans="1:12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  <c r="L61" s="22"/>
    </row>
    <row r="62" spans="1:12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  <c r="L62" s="22"/>
    </row>
    <row r="63" spans="1:12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  <c r="L63" s="22"/>
    </row>
    <row r="64" spans="1:12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  <c r="L64" s="22"/>
    </row>
    <row r="65" spans="1:12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  <c r="L65" s="22"/>
    </row>
    <row r="66" spans="1:12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  <c r="L66" s="22"/>
    </row>
    <row r="67" spans="1:12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  <c r="L67" s="22"/>
    </row>
    <row r="68" spans="1:12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  <c r="L68" s="22"/>
    </row>
    <row r="69" spans="1:12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  <c r="L69" s="22"/>
    </row>
    <row r="70" spans="1:12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  <c r="L70" s="22"/>
    </row>
    <row r="71" spans="1:12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  <c r="L71" s="22"/>
    </row>
    <row r="72" spans="1:12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  <c r="L72" s="22"/>
    </row>
    <row r="73" spans="1:12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  <c r="L73" s="22"/>
    </row>
    <row r="74" spans="1:12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  <c r="L74" s="22"/>
    </row>
    <row r="75" spans="1:12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  <c r="L75" s="22"/>
    </row>
    <row r="76" spans="1:12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  <c r="L76" s="22"/>
    </row>
    <row r="77" spans="1:12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  <c r="L77" s="22"/>
    </row>
    <row r="78" spans="1:12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  <c r="L78" s="22"/>
    </row>
    <row r="79" spans="1:12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  <c r="L79" s="22"/>
    </row>
    <row r="80" spans="1:12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  <c r="L80" s="22"/>
    </row>
    <row r="81" spans="1:12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  <c r="L81" s="22"/>
    </row>
    <row r="82" spans="1:12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  <c r="L82" s="22"/>
    </row>
    <row r="83" spans="1:12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  <c r="L83" s="22"/>
    </row>
    <row r="84" spans="1:12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  <c r="L84" s="22"/>
    </row>
    <row r="85" spans="1:12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  <c r="L85" s="22"/>
    </row>
    <row r="86" spans="1:12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  <c r="L86" s="22"/>
    </row>
    <row r="87" spans="1:12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  <c r="L87" s="22"/>
    </row>
    <row r="88" spans="1:12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  <c r="L88" s="22"/>
    </row>
    <row r="89" spans="1:12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  <c r="L89" s="22"/>
    </row>
    <row r="90" spans="1:12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  <c r="L90" s="22"/>
    </row>
    <row r="91" spans="1:12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  <c r="L91" s="22"/>
    </row>
    <row r="92" spans="1:12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  <c r="L92" s="22"/>
    </row>
    <row r="93" spans="1:12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  <c r="L93" s="22"/>
    </row>
    <row r="94" spans="1:12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  <c r="L94" s="22"/>
    </row>
    <row r="95" spans="1:12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  <c r="L95" s="22"/>
    </row>
    <row r="96" spans="1:12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  <c r="L96" s="22"/>
    </row>
    <row r="97" spans="1:12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  <c r="L97" s="22"/>
    </row>
    <row r="98" spans="1:12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  <c r="L98" s="22"/>
    </row>
    <row r="99" spans="1:12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  <c r="L99" s="22"/>
    </row>
    <row r="100" spans="1:12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  <c r="L100" s="22"/>
    </row>
    <row r="101" spans="1:12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  <c r="L101" s="22"/>
    </row>
    <row r="102" spans="1:12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  <c r="L102" s="22"/>
    </row>
    <row r="103" spans="1:12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  <c r="L103" s="22"/>
    </row>
    <row r="104" spans="1:12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  <c r="L104" s="22"/>
    </row>
    <row r="105" spans="1:12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  <c r="L105" s="22"/>
    </row>
    <row r="106" spans="1:12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  <c r="L106" s="22"/>
    </row>
    <row r="107" spans="1:12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  <c r="L107" s="22"/>
    </row>
    <row r="108" spans="1:12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  <c r="L108" s="22"/>
    </row>
    <row r="109" spans="1:12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  <c r="L109" s="22"/>
    </row>
    <row r="110" spans="1:12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  <c r="L110" s="22"/>
    </row>
    <row r="111" spans="1:12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  <c r="L111" s="22"/>
    </row>
    <row r="112" spans="1:12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  <c r="L112" s="22"/>
    </row>
    <row r="113" spans="1:12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  <c r="L113" s="22"/>
    </row>
    <row r="114" spans="1:12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  <c r="L114" s="22"/>
    </row>
    <row r="115" spans="1:12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  <c r="L115" s="22"/>
    </row>
    <row r="116" spans="1:12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  <c r="L116" s="22"/>
    </row>
    <row r="117" spans="1:12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  <c r="L117" s="22"/>
    </row>
    <row r="118" spans="1:12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  <c r="L118" s="22"/>
    </row>
    <row r="119" spans="1:12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  <c r="L119" s="22"/>
    </row>
    <row r="120" spans="1:12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  <c r="L120" s="22"/>
    </row>
    <row r="121" spans="1:12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  <c r="L121" s="22"/>
    </row>
    <row r="122" spans="1:12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  <c r="L122" s="22"/>
    </row>
    <row r="123" spans="1:12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  <c r="L123" s="22"/>
    </row>
    <row r="124" spans="1:12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  <c r="L124" s="22"/>
    </row>
    <row r="125" spans="1:12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  <c r="L125" s="22"/>
    </row>
    <row r="126" spans="1:12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  <c r="L126" s="22"/>
    </row>
    <row r="127" spans="1:12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  <c r="L127" s="22"/>
    </row>
    <row r="128" spans="1:12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  <c r="L128" s="22"/>
    </row>
    <row r="129" spans="1:12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  <c r="L129" s="22"/>
    </row>
    <row r="130" spans="1:12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  <c r="L130" s="22"/>
    </row>
    <row r="131" spans="1:12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  <c r="L131" s="22"/>
    </row>
    <row r="132" spans="1:12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  <c r="L132" s="22"/>
    </row>
    <row r="133" spans="1:12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  <c r="L133" s="22"/>
    </row>
    <row r="134" spans="1:12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  <c r="L134" s="22"/>
    </row>
    <row r="135" spans="1:12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  <c r="L135" s="22"/>
    </row>
    <row r="136" spans="1:12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  <c r="L136" s="22"/>
    </row>
    <row r="137" spans="1:12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  <c r="L137" s="22"/>
    </row>
    <row r="138" spans="1:12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  <c r="L138" s="22"/>
    </row>
    <row r="139" spans="1:12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  <c r="L139" s="22"/>
    </row>
    <row r="140" spans="1:12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  <c r="L140" s="22"/>
    </row>
    <row r="141" spans="1:12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  <c r="L141" s="22"/>
    </row>
    <row r="142" spans="1:12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  <c r="L142" s="22"/>
    </row>
    <row r="143" spans="1:12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  <c r="L143" s="22"/>
    </row>
    <row r="144" spans="1:12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  <c r="L144" s="22"/>
    </row>
    <row r="145" spans="1:12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  <c r="L145" s="22"/>
    </row>
    <row r="146" spans="1:12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  <c r="L146" s="22"/>
    </row>
    <row r="147" spans="1:12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  <c r="L147" s="22"/>
    </row>
    <row r="148" spans="1:12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  <c r="L148" s="22"/>
    </row>
    <row r="149" spans="1:12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  <c r="L149" s="22"/>
    </row>
    <row r="150" spans="1:12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  <c r="L150" s="22"/>
    </row>
    <row r="151" spans="1:12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  <c r="L151" s="22"/>
    </row>
    <row r="152" spans="1:12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  <c r="L152" s="22"/>
    </row>
    <row r="153" spans="1:12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  <c r="L153" s="22"/>
    </row>
    <row r="154" spans="1:12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  <c r="L154" s="22"/>
    </row>
    <row r="155" spans="1:12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  <c r="L155" s="22"/>
    </row>
    <row r="156" spans="1:12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  <c r="L156" s="22"/>
    </row>
    <row r="157" spans="1:12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  <c r="L157" s="22"/>
    </row>
    <row r="158" spans="1:12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  <c r="L158" s="22"/>
    </row>
    <row r="159" spans="1:12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  <c r="L159" s="22"/>
    </row>
    <row r="160" spans="1:12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  <c r="L160" s="22"/>
    </row>
    <row r="161" spans="1:12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  <c r="L161" s="22"/>
    </row>
    <row r="162" spans="1:12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  <c r="L162" s="22"/>
    </row>
    <row r="163" spans="1:12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  <c r="L163" s="22"/>
    </row>
    <row r="164" spans="1:12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  <c r="L164" s="22"/>
    </row>
    <row r="165" spans="1:12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  <c r="L165" s="22"/>
    </row>
    <row r="166" spans="1:12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  <c r="L166" s="22"/>
    </row>
    <row r="167" spans="1:12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  <c r="L167" s="22"/>
    </row>
    <row r="168" spans="1:12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  <c r="L168" s="22"/>
    </row>
    <row r="169" spans="1:12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  <c r="L169" s="22"/>
    </row>
    <row r="170" spans="1:12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  <c r="L170" s="22"/>
    </row>
    <row r="171" spans="1:12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  <c r="L171" s="22"/>
    </row>
    <row r="172" spans="1:12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  <c r="L172" s="22"/>
    </row>
    <row r="173" spans="1:12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  <c r="L173" s="22"/>
    </row>
    <row r="174" spans="1:12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  <c r="L174" s="22"/>
    </row>
    <row r="175" spans="1:12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  <c r="L175" s="22"/>
    </row>
    <row r="176" spans="1:12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  <c r="L176" s="22"/>
    </row>
    <row r="177" spans="1:12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  <c r="L177" s="22"/>
    </row>
    <row r="178" spans="1:12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  <c r="L178" s="22"/>
    </row>
    <row r="179" spans="1:12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  <c r="L179" s="22"/>
    </row>
    <row r="180" spans="1:12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  <c r="L180" s="22"/>
    </row>
    <row r="181" spans="1:12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  <c r="L181" s="22"/>
    </row>
    <row r="182" spans="1:12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  <c r="L182" s="22"/>
    </row>
    <row r="183" spans="1:12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  <c r="L183" s="22"/>
    </row>
    <row r="184" spans="1:12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  <c r="L184" s="22"/>
    </row>
    <row r="185" spans="1:12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  <c r="L185" s="22"/>
    </row>
    <row r="186" spans="1:12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  <c r="L186" s="22"/>
    </row>
    <row r="187" spans="1:12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  <c r="L187" s="22"/>
    </row>
    <row r="188" spans="1:12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  <c r="L188" s="22"/>
    </row>
    <row r="189" spans="1:12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  <c r="L189" s="22"/>
    </row>
    <row r="190" spans="1:12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  <c r="L190" s="22"/>
    </row>
    <row r="191" spans="1:12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  <c r="L191" s="22"/>
    </row>
    <row r="192" spans="1:12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  <c r="L192" s="22"/>
    </row>
    <row r="193" spans="1:12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  <c r="L193" s="22"/>
    </row>
    <row r="194" spans="1:12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  <c r="L194" s="22"/>
    </row>
    <row r="195" spans="1:12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  <c r="L195" s="22"/>
    </row>
    <row r="196" spans="1:12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  <c r="L196" s="22"/>
    </row>
    <row r="197" spans="1:12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  <c r="L197" s="22"/>
    </row>
    <row r="198" spans="1:12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  <c r="L198" s="22"/>
    </row>
    <row r="199" spans="1:12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  <c r="L199" s="22"/>
    </row>
    <row r="200" spans="1:12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  <c r="L200" s="22"/>
    </row>
    <row r="201" spans="1:12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  <c r="L201" s="22"/>
    </row>
    <row r="202" spans="1:12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  <c r="L202" s="22"/>
    </row>
    <row r="203" spans="1:12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  <c r="L203" s="22"/>
    </row>
    <row r="204" spans="1:12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  <c r="L204" s="22"/>
    </row>
    <row r="205" spans="1:12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  <c r="L205" s="22"/>
    </row>
    <row r="206" spans="1:12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  <c r="L206" s="22"/>
    </row>
    <row r="207" spans="1:12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  <c r="L207" s="22"/>
    </row>
    <row r="208" spans="1:12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  <c r="L208" s="22"/>
    </row>
    <row r="209" spans="1:12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  <c r="L209" s="22"/>
    </row>
    <row r="210" spans="1:12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  <c r="L210" s="22"/>
    </row>
    <row r="211" spans="1:12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  <c r="L211" s="22"/>
    </row>
    <row r="212" spans="1:12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  <c r="L212" s="22"/>
    </row>
    <row r="213" spans="1:12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  <c r="L213" s="22"/>
    </row>
    <row r="214" spans="1:12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  <c r="L214" s="22"/>
    </row>
    <row r="215" spans="1:12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  <c r="L215" s="22"/>
    </row>
    <row r="216" spans="1:12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  <c r="L216" s="22"/>
    </row>
    <row r="217" spans="1:12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  <c r="L217" s="22"/>
    </row>
    <row r="218" spans="1:12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  <c r="L218" s="22"/>
    </row>
    <row r="219" spans="1:12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  <c r="L219" s="22"/>
    </row>
    <row r="220" spans="1:12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  <c r="L220" s="22"/>
    </row>
    <row r="221" spans="1:12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  <c r="L221" s="22"/>
    </row>
    <row r="222" spans="1:12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  <c r="L222" s="22"/>
    </row>
    <row r="223" spans="1:12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  <c r="L223" s="22"/>
    </row>
    <row r="224" spans="1:12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  <c r="L224" s="22"/>
    </row>
    <row r="225" spans="1:12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  <c r="L225" s="22"/>
    </row>
    <row r="226" spans="1:12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  <c r="L226" s="22"/>
    </row>
    <row r="227" spans="1:12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  <c r="L227" s="22"/>
    </row>
    <row r="228" spans="1:12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  <c r="L228" s="22"/>
    </row>
    <row r="229" spans="1:12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  <c r="L229" s="22"/>
    </row>
    <row r="230" spans="1:12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  <c r="L230" s="22"/>
    </row>
    <row r="231" spans="1:12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  <c r="L231" s="22"/>
    </row>
    <row r="232" spans="1:12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  <c r="L232" s="22"/>
    </row>
    <row r="233" spans="1:12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  <c r="L233" s="22"/>
    </row>
    <row r="234" spans="1:12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  <c r="L234" s="22"/>
    </row>
    <row r="235" spans="1:12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  <c r="L235" s="22"/>
    </row>
    <row r="236" spans="1:12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  <c r="L236" s="22"/>
    </row>
    <row r="237" spans="1:12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  <c r="L237" s="22"/>
    </row>
    <row r="238" spans="1:12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  <c r="L238" s="22"/>
    </row>
    <row r="239" spans="1:12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  <c r="L239" s="22"/>
    </row>
    <row r="240" spans="1:12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  <c r="L240" s="22"/>
    </row>
    <row r="241" spans="1:12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  <c r="L241" s="22"/>
    </row>
    <row r="242" spans="1:12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  <c r="L242" s="22"/>
    </row>
    <row r="243" spans="1:12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  <c r="L243" s="22"/>
    </row>
    <row r="244" spans="1:12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  <c r="L244" s="22"/>
    </row>
    <row r="245" spans="1:12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  <c r="L245" s="22"/>
    </row>
    <row r="246" spans="1:12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  <c r="L246" s="22"/>
    </row>
    <row r="247" spans="1:12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  <c r="L247" s="22"/>
    </row>
    <row r="248" spans="1:12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  <c r="L248" s="22"/>
    </row>
    <row r="249" spans="1:12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  <c r="L249" s="22"/>
    </row>
    <row r="250" spans="1:12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  <c r="L250" s="22"/>
    </row>
    <row r="251" spans="1:12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  <c r="L251" s="22"/>
    </row>
    <row r="252" spans="1:12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  <c r="L252" s="22"/>
    </row>
    <row r="253" spans="1:12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  <c r="L253" s="22"/>
    </row>
    <row r="254" spans="1:12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  <c r="L254" s="22"/>
    </row>
    <row r="255" spans="1:12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  <c r="L255" s="22"/>
    </row>
    <row r="256" spans="1:12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  <c r="L256" s="22"/>
    </row>
    <row r="257" spans="1:12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  <c r="L257" s="22"/>
    </row>
    <row r="258" spans="1:12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  <c r="L258" s="22"/>
    </row>
    <row r="259" spans="1:12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  <c r="L259" s="22"/>
    </row>
    <row r="260" spans="1:12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  <c r="L260" s="22"/>
    </row>
    <row r="261" spans="1:12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  <c r="L261" s="22"/>
    </row>
    <row r="262" spans="1:12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  <c r="L262" s="22"/>
    </row>
    <row r="263" spans="1:12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  <c r="L263" s="22"/>
    </row>
    <row r="264" spans="1:12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  <c r="L264" s="22"/>
    </row>
    <row r="265" spans="1:12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  <c r="L265" s="22"/>
    </row>
    <row r="266" spans="1:12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  <c r="L266" s="22"/>
    </row>
    <row r="267" spans="1:12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  <c r="L267" s="22"/>
    </row>
    <row r="268" spans="1:12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  <c r="L268" s="22"/>
    </row>
    <row r="269" spans="1:12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  <c r="L269" s="22"/>
    </row>
    <row r="270" spans="1:12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  <c r="L270" s="22"/>
    </row>
    <row r="271" spans="1:12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  <c r="L271" s="22"/>
    </row>
    <row r="272" spans="1:12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  <c r="L272" s="22"/>
    </row>
    <row r="273" spans="1:12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  <c r="L273" s="22"/>
    </row>
    <row r="274" spans="1:12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  <c r="L274" s="22"/>
    </row>
    <row r="275" spans="1:12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  <c r="L275" s="22"/>
    </row>
    <row r="276" spans="1:12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  <c r="L276" s="22"/>
    </row>
    <row r="277" spans="1:12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  <c r="L277" s="22"/>
    </row>
    <row r="278" spans="1:12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  <c r="L278" s="22"/>
    </row>
    <row r="279" spans="1:12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  <c r="L279" s="22"/>
    </row>
    <row r="280" spans="1:12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  <c r="L280" s="22"/>
    </row>
    <row r="281" spans="1:12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  <c r="L281" s="22"/>
    </row>
    <row r="282" spans="1:12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  <c r="L282" s="22"/>
    </row>
    <row r="283" spans="1:12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  <c r="L283" s="22"/>
    </row>
    <row r="284" spans="1:12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  <c r="L284" s="22"/>
    </row>
    <row r="285" spans="1:12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  <c r="L285" s="22"/>
    </row>
    <row r="286" spans="1:12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  <c r="L286" s="22"/>
    </row>
    <row r="287" spans="1:12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  <c r="L287" s="22"/>
    </row>
    <row r="288" spans="1:12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  <c r="L288" s="22"/>
    </row>
    <row r="289" spans="1:12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  <c r="L289" s="22"/>
    </row>
    <row r="290" spans="1:12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  <c r="L290" s="22"/>
    </row>
    <row r="291" spans="1:12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  <c r="L291" s="22"/>
    </row>
    <row r="292" spans="1:12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  <c r="L292" s="22"/>
    </row>
    <row r="293" spans="1:12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  <c r="L293" s="22"/>
    </row>
    <row r="294" spans="1:12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  <c r="L294" s="22"/>
    </row>
    <row r="295" spans="1:12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  <c r="L295" s="22"/>
    </row>
    <row r="296" spans="1:12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  <c r="L296" s="22"/>
    </row>
    <row r="297" spans="1:12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  <c r="L297" s="22"/>
    </row>
    <row r="298" spans="1:12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  <c r="L298" s="22"/>
    </row>
    <row r="299" spans="1:12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  <c r="L299" s="22"/>
    </row>
    <row r="300" spans="1:12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  <c r="L300" s="22"/>
    </row>
    <row r="301" spans="1:12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  <c r="L301" s="22"/>
    </row>
    <row r="302" spans="1:12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  <c r="L302" s="22"/>
    </row>
    <row r="303" spans="1:12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  <c r="L303" s="22"/>
    </row>
    <row r="304" spans="1:12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  <c r="L304" s="22"/>
    </row>
    <row r="305" spans="1:12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  <c r="L305" s="22"/>
    </row>
    <row r="306" spans="1:12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  <c r="L306" s="22"/>
    </row>
    <row r="307" spans="1:12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  <c r="L307" s="22"/>
    </row>
    <row r="308" spans="1:12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  <c r="L308" s="22"/>
    </row>
    <row r="309" spans="1:12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  <c r="L309" s="22"/>
    </row>
    <row r="310" spans="1:12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  <c r="L310" s="22"/>
    </row>
    <row r="311" spans="1:12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  <c r="L311" s="22"/>
    </row>
    <row r="312" spans="1:12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  <c r="L312" s="22"/>
    </row>
    <row r="313" spans="1:12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  <c r="L313" s="22"/>
    </row>
    <row r="314" spans="1:12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  <c r="L314" s="22"/>
    </row>
    <row r="315" spans="1:12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  <c r="L315" s="22"/>
    </row>
    <row r="316" spans="1:12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  <c r="L316" s="22"/>
    </row>
    <row r="317" spans="1:12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  <c r="L317" s="22"/>
    </row>
    <row r="318" spans="1:12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  <c r="L318" s="22"/>
    </row>
    <row r="319" spans="1:12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  <c r="L319" s="22"/>
    </row>
    <row r="320" spans="1:12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  <c r="L320" s="22"/>
    </row>
    <row r="321" spans="1:12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  <c r="L321" s="22"/>
    </row>
    <row r="322" spans="1:12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  <c r="L322" s="22"/>
    </row>
    <row r="323" spans="1:12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  <c r="L323" s="22"/>
    </row>
    <row r="324" spans="1:12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  <c r="L324" s="22"/>
    </row>
    <row r="325" spans="1:12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  <c r="L325" s="22"/>
    </row>
    <row r="326" spans="1:12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  <c r="L326" s="22"/>
    </row>
    <row r="327" spans="1:12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  <c r="L327" s="22"/>
    </row>
    <row r="328" spans="1:12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  <c r="L328" s="22"/>
    </row>
    <row r="329" spans="1:12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  <c r="L329" s="22"/>
    </row>
    <row r="330" spans="1:12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  <c r="L330" s="22"/>
    </row>
    <row r="331" spans="1:12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  <c r="L331" s="22"/>
    </row>
    <row r="332" spans="1:12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  <c r="L332" s="22"/>
    </row>
    <row r="333" spans="1:12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  <c r="L333" s="22"/>
    </row>
    <row r="334" spans="1:12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  <c r="L334" s="22"/>
    </row>
    <row r="335" spans="1:12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  <c r="L335" s="22"/>
    </row>
    <row r="336" spans="1:12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  <c r="L336" s="22"/>
    </row>
    <row r="337" spans="1:12" ht="14.4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  <c r="L337" s="22"/>
    </row>
    <row r="338" spans="1:12" ht="14.45">
      <c r="A338" s="22"/>
      <c r="B338" s="33"/>
      <c r="C338" s="22"/>
      <c r="D338" s="22"/>
      <c r="E338" s="22"/>
      <c r="F338" s="23"/>
      <c r="G338" s="22"/>
      <c r="H338" s="22"/>
      <c r="I338" s="23"/>
      <c r="J338" s="22"/>
      <c r="K338" s="22"/>
      <c r="L338" s="22"/>
    </row>
    <row r="339" spans="1:12" ht="14.45">
      <c r="A339" s="22"/>
      <c r="B339" s="33"/>
      <c r="C339" s="22"/>
      <c r="D339" s="22"/>
      <c r="E339" s="22"/>
      <c r="F339" s="23"/>
      <c r="G339" s="22"/>
      <c r="H339" s="22"/>
      <c r="I339" s="23"/>
      <c r="J339" s="22"/>
      <c r="K339" s="22"/>
      <c r="L339" s="22"/>
    </row>
    <row r="340" spans="1:12" ht="14.45">
      <c r="A340" s="22"/>
      <c r="B340" s="33"/>
      <c r="C340" s="22"/>
      <c r="D340" s="22"/>
      <c r="E340" s="22"/>
      <c r="F340" s="23"/>
      <c r="G340" s="22"/>
      <c r="H340" s="22"/>
      <c r="I340" s="23"/>
      <c r="J340" s="22"/>
      <c r="K340" s="22"/>
      <c r="L340" s="22"/>
    </row>
    <row r="341" spans="1:12" ht="14.45">
      <c r="A341" s="22"/>
      <c r="B341" s="33"/>
      <c r="C341" s="22"/>
      <c r="D341" s="22"/>
      <c r="E341" s="22"/>
      <c r="F341" s="23"/>
      <c r="G341" s="22"/>
      <c r="H341" s="22"/>
      <c r="I341" s="23"/>
      <c r="J341" s="22"/>
      <c r="K341" s="22"/>
      <c r="L341" s="22"/>
    </row>
    <row r="342" spans="1:12" ht="14.45">
      <c r="C342" s="22"/>
      <c r="D342" s="22"/>
      <c r="E342" s="22"/>
      <c r="F342" s="23"/>
      <c r="G342" s="22"/>
      <c r="H342" s="22"/>
      <c r="I342" s="23"/>
      <c r="J342" s="22"/>
      <c r="K342" s="22"/>
      <c r="L342" s="22"/>
    </row>
  </sheetData>
  <mergeCells count="4">
    <mergeCell ref="G1:I1"/>
    <mergeCell ref="A1:C1"/>
    <mergeCell ref="D1:F1"/>
    <mergeCell ref="A2:B2"/>
  </mergeCells>
  <conditionalFormatting sqref="F2 I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4:F13 I4:I13 F20:F100 I20:I100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13"/>
  <sheetViews>
    <sheetView workbookViewId="0">
      <pane ySplit="3" topLeftCell="A4" activePane="bottomLeft" state="frozen"/>
      <selection pane="bottomLeft" activeCell="E8" sqref="E8"/>
      <selection activeCell="C4" sqref="C4:D13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53</v>
      </c>
      <c r="B1" s="43" t="s">
        <v>54</v>
      </c>
    </row>
    <row r="3" spans="1:7" ht="13.15">
      <c r="A3" t="s">
        <v>55</v>
      </c>
      <c r="B3" t="s">
        <v>3</v>
      </c>
      <c r="C3" t="s">
        <v>4</v>
      </c>
      <c r="D3" t="s">
        <v>56</v>
      </c>
      <c r="E3" s="2" t="s">
        <v>57</v>
      </c>
    </row>
    <row r="4" spans="1:7" ht="14.45">
      <c r="A4" s="3" t="s">
        <v>58</v>
      </c>
      <c r="B4" t="s">
        <v>59</v>
      </c>
      <c r="C4" s="4" t="s">
        <v>60</v>
      </c>
      <c r="E4" t="s">
        <v>61</v>
      </c>
      <c r="G4" s="3"/>
    </row>
    <row r="5" spans="1:7" ht="14.45">
      <c r="A5" s="3" t="s">
        <v>62</v>
      </c>
      <c r="B5" t="s">
        <v>63</v>
      </c>
      <c r="C5" s="4" t="s">
        <v>60</v>
      </c>
      <c r="E5" t="s">
        <v>61</v>
      </c>
      <c r="G5" s="3"/>
    </row>
    <row r="6" spans="1:7" ht="14.45">
      <c r="A6" s="43" t="s">
        <v>64</v>
      </c>
      <c r="B6" t="s">
        <v>65</v>
      </c>
      <c r="C6" t="s">
        <v>60</v>
      </c>
      <c r="E6" t="s">
        <v>61</v>
      </c>
      <c r="G6" s="3"/>
    </row>
    <row r="7" spans="1:7" ht="12.75" customHeight="1">
      <c r="A7" s="43" t="s">
        <v>66</v>
      </c>
      <c r="B7" t="s">
        <v>67</v>
      </c>
      <c r="C7" t="s">
        <v>60</v>
      </c>
      <c r="E7" t="s">
        <v>61</v>
      </c>
    </row>
    <row r="8" spans="1:7" ht="12.75" customHeight="1">
      <c r="A8" s="4"/>
      <c r="B8" s="4"/>
      <c r="C8" s="4"/>
    </row>
    <row r="9" spans="1:7" ht="12.75" customHeight="1">
      <c r="A9" s="43"/>
    </row>
    <row r="10" spans="1:7" ht="12.75" customHeight="1">
      <c r="A10" s="4"/>
      <c r="B10" s="4"/>
      <c r="C10" s="4"/>
    </row>
    <row r="11" spans="1:7" ht="12.75" customHeight="1">
      <c r="A11" s="4"/>
      <c r="B11" s="4"/>
      <c r="C11" s="4"/>
    </row>
    <row r="12" spans="1:7" ht="12.75" customHeight="1">
      <c r="A12" s="4"/>
      <c r="B12" s="4"/>
      <c r="C12" s="4"/>
    </row>
    <row r="13" spans="1:7" ht="12.75" customHeight="1">
      <c r="A13" s="4"/>
      <c r="B13" s="4"/>
      <c r="C13" s="4"/>
    </row>
  </sheetData>
  <phoneticPr fontId="38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B52044A-5C0B-44A2-99D0-C1C315EC302D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BE26B669-A686-459C-A5E9-FEC3409C4C81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F6B2B1A1-1C4B-4AC9-9A7D-7A102DD1C942}"/>
</file>

<file path=customXml/itemProps8.xml><?xml version="1.0" encoding="utf-8"?>
<ds:datastoreItem xmlns:ds="http://schemas.openxmlformats.org/officeDocument/2006/customXml" ds:itemID="{1954BBA4-0359-438C-B0EC-A756015F7C02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D3A7101F-9A85-4235-8B03-415370C100B2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51BA3AE4-DAEE-4C53-AB86-BB0F885C570E}"/>
</file>

<file path=customXml/itemProps14.xml><?xml version="1.0" encoding="utf-8"?>
<ds:datastoreItem xmlns:ds="http://schemas.openxmlformats.org/officeDocument/2006/customXml" ds:itemID="{89CF5C07-45EB-4100-9AFB-2C6AF77FA787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2026-02-20T19:11:56Z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2024-09-18T22:54:06Z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de459e2a-2bc6-4866-836f-a6da970436d5</vt:lpwstr>
  </property>
  <property fmtid="{D5CDD505-2E9C-101B-9397-08002B2CF9AE}" pid="9" name="MSIP_Label_9d817c99-0b37-4a07-8277-96aa1f96b74b_ContentBits">
    <vt:lpwstr>0</vt:lpwstr>
  </property>
</Properties>
</file>