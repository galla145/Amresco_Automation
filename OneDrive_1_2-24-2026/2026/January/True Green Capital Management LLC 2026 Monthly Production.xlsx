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718B7E75-026F-4848-AD59-F90AE16843E7}" xr6:coauthVersionLast="47" xr6:coauthVersionMax="47" xr10:uidLastSave="{00000000-0000-0000-0000-000000000000}"/>
  <bookViews>
    <workbookView xWindow="-108" yWindow="-108" windowWidth="23256" windowHeight="12456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Jun" sheetId="19" r:id="rId10"/>
    <sheet name="May" sheetId="20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9" hidden="1">Jun!$A$2:$I$2</definedName>
    <definedName name="_xlnm._FilterDatabase" localSheetId="7" hidden="1">Mar!$A$2:$I$2</definedName>
    <definedName name="_xlnm._FilterDatabase" localSheetId="10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27" l="1"/>
  <c r="H4" i="27"/>
  <c r="H6" i="26"/>
  <c r="H7" i="26"/>
  <c r="H8" i="26"/>
  <c r="H6" i="19"/>
  <c r="I6" i="19" s="1"/>
  <c r="A4" i="19" a="1"/>
  <c r="A4" i="19"/>
  <c r="B4" i="33" a="1"/>
  <c r="B4" i="33" s="1"/>
  <c r="B4" i="32" a="1"/>
  <c r="B4" i="32" s="1"/>
  <c r="B4" i="31" a="1"/>
  <c r="B4" i="31" s="1"/>
  <c r="B4" i="28" a="1"/>
  <c r="B4" i="28" s="1"/>
  <c r="B4" i="27" a="1"/>
  <c r="B4" i="27" s="1"/>
  <c r="B4" i="26" a="1"/>
  <c r="B4" i="26" s="1"/>
  <c r="B4" i="19" a="1"/>
  <c r="B4" i="19" s="1"/>
  <c r="B4" i="20" a="1"/>
  <c r="B4" i="20" s="1"/>
  <c r="B4" i="21" a="1"/>
  <c r="B4" i="21" s="1"/>
  <c r="B4" i="4" a="1"/>
  <c r="B4" i="4" s="1"/>
  <c r="B4" i="72" a="1"/>
  <c r="B4" i="72" s="1"/>
  <c r="B4" i="3" a="1"/>
  <c r="B4" i="3" s="1"/>
  <c r="H6" i="20"/>
  <c r="I6" i="20" s="1"/>
  <c r="H7" i="20"/>
  <c r="I7" i="20" s="1"/>
  <c r="H8" i="20"/>
  <c r="I8" i="20" s="1"/>
  <c r="E6" i="20"/>
  <c r="F6" i="20" s="1"/>
  <c r="E7" i="20"/>
  <c r="F7" i="20" s="1"/>
  <c r="E8" i="20"/>
  <c r="F8" i="20" s="1"/>
  <c r="G5" i="18"/>
  <c r="G6" i="18"/>
  <c r="G7" i="18"/>
  <c r="G8" i="18"/>
  <c r="G4" i="18"/>
  <c r="D5" i="18"/>
  <c r="D6" i="18"/>
  <c r="D7" i="18"/>
  <c r="D8" i="18"/>
  <c r="D4" i="18"/>
  <c r="C5" i="18"/>
  <c r="C6" i="18"/>
  <c r="C7" i="18"/>
  <c r="C8" i="18"/>
  <c r="C4" i="18"/>
  <c r="G5" i="30"/>
  <c r="G6" i="30"/>
  <c r="G7" i="30"/>
  <c r="G8" i="30"/>
  <c r="G4" i="30"/>
  <c r="D5" i="30"/>
  <c r="D6" i="30"/>
  <c r="D7" i="30"/>
  <c r="D8" i="30"/>
  <c r="D4" i="30"/>
  <c r="C5" i="30"/>
  <c r="C6" i="30"/>
  <c r="C7" i="30"/>
  <c r="C8" i="30"/>
  <c r="C4" i="30"/>
  <c r="G5" i="29"/>
  <c r="G6" i="29"/>
  <c r="G7" i="29"/>
  <c r="G8" i="29"/>
  <c r="G4" i="29"/>
  <c r="D5" i="29"/>
  <c r="D6" i="29"/>
  <c r="D7" i="29"/>
  <c r="D8" i="29"/>
  <c r="D4" i="29"/>
  <c r="C5" i="29"/>
  <c r="C6" i="29"/>
  <c r="C7" i="29"/>
  <c r="C8" i="29"/>
  <c r="C4" i="29"/>
  <c r="G5" i="1"/>
  <c r="G6" i="1"/>
  <c r="G7" i="1"/>
  <c r="G8" i="1"/>
  <c r="G4" i="1"/>
  <c r="D5" i="1"/>
  <c r="D6" i="1"/>
  <c r="D7" i="1"/>
  <c r="D8" i="1"/>
  <c r="D4" i="1"/>
  <c r="C5" i="1"/>
  <c r="C6" i="1"/>
  <c r="C7" i="1"/>
  <c r="C8" i="1"/>
  <c r="C4" i="1"/>
  <c r="H5" i="4"/>
  <c r="I5" i="4" s="1"/>
  <c r="H6" i="4"/>
  <c r="I6" i="4" s="1"/>
  <c r="H7" i="4"/>
  <c r="I7" i="4" s="1"/>
  <c r="H8" i="4"/>
  <c r="I8" i="4" s="1"/>
  <c r="E5" i="4"/>
  <c r="F5" i="4" s="1"/>
  <c r="E6" i="4"/>
  <c r="F6" i="4" s="1"/>
  <c r="E7" i="4"/>
  <c r="F7" i="4" s="1"/>
  <c r="E8" i="4"/>
  <c r="F8" i="4" s="1"/>
  <c r="A4" i="20" a="1"/>
  <c r="A4" i="20" s="1"/>
  <c r="A4" i="26" a="1"/>
  <c r="A4" i="26"/>
  <c r="A4" i="27" a="1"/>
  <c r="A4" i="27"/>
  <c r="A4" i="28" a="1"/>
  <c r="A4" i="28"/>
  <c r="A4" i="31" a="1"/>
  <c r="A4" i="31" s="1"/>
  <c r="A4" i="32" a="1"/>
  <c r="A4" i="32" s="1"/>
  <c r="A4" i="33" a="1"/>
  <c r="A4" i="33" s="1"/>
  <c r="A4" i="21" a="1"/>
  <c r="A4" i="21"/>
  <c r="A4" i="4" a="1"/>
  <c r="A4" i="4" s="1"/>
  <c r="A4" i="72" a="1"/>
  <c r="A4" i="72" s="1"/>
  <c r="A4" i="3" a="1"/>
  <c r="A4" i="3" s="1"/>
  <c r="H4" i="3"/>
  <c r="I4" i="3" s="1"/>
  <c r="H5" i="3"/>
  <c r="I5" i="3" s="1"/>
  <c r="H6" i="3"/>
  <c r="I6" i="3" s="1"/>
  <c r="H7" i="3"/>
  <c r="I7" i="3" s="1"/>
  <c r="H8" i="3"/>
  <c r="I8" i="3" s="1"/>
  <c r="E4" i="3"/>
  <c r="F4" i="3" s="1"/>
  <c r="E5" i="3"/>
  <c r="F5" i="3" s="1"/>
  <c r="E6" i="3"/>
  <c r="F6" i="3" s="1"/>
  <c r="E7" i="3"/>
  <c r="F7" i="3" s="1"/>
  <c r="E8" i="3"/>
  <c r="F8" i="3" s="1"/>
  <c r="H4" i="72"/>
  <c r="H5" i="72"/>
  <c r="H6" i="72"/>
  <c r="H7" i="72"/>
  <c r="H8" i="72"/>
  <c r="E4" i="72"/>
  <c r="F4" i="72" s="1"/>
  <c r="E5" i="72"/>
  <c r="F5" i="72" s="1"/>
  <c r="E6" i="72"/>
  <c r="F6" i="72" s="1"/>
  <c r="E7" i="72"/>
  <c r="F7" i="72" s="1"/>
  <c r="E8" i="72"/>
  <c r="F8" i="72" s="1"/>
  <c r="H12" i="31"/>
  <c r="I12" i="31" s="1"/>
  <c r="G2" i="31"/>
  <c r="E7" i="27"/>
  <c r="F7" i="27" s="1"/>
  <c r="E6" i="19"/>
  <c r="F6" i="19" s="1"/>
  <c r="H5" i="19"/>
  <c r="I5" i="19" s="1"/>
  <c r="E5" i="19"/>
  <c r="F5" i="19" s="1"/>
  <c r="H4" i="19"/>
  <c r="I4" i="19" s="1"/>
  <c r="E4" i="19"/>
  <c r="F4" i="19" s="1"/>
  <c r="H12" i="19"/>
  <c r="I12" i="19" s="1"/>
  <c r="E12" i="19"/>
  <c r="F12" i="19" s="1"/>
  <c r="H11" i="19"/>
  <c r="E11" i="19"/>
  <c r="H10" i="19"/>
  <c r="E10" i="19"/>
  <c r="H9" i="19"/>
  <c r="E9" i="19"/>
  <c r="H8" i="19"/>
  <c r="I8" i="19" s="1"/>
  <c r="E8" i="19"/>
  <c r="F8" i="19" s="1"/>
  <c r="H7" i="19"/>
  <c r="I7" i="19" s="1"/>
  <c r="E7" i="19"/>
  <c r="F7" i="19" s="1"/>
  <c r="H4" i="21"/>
  <c r="I4" i="21" s="1"/>
  <c r="H5" i="21"/>
  <c r="I5" i="21" s="1"/>
  <c r="H6" i="21"/>
  <c r="I6" i="21" s="1"/>
  <c r="H7" i="21"/>
  <c r="I7" i="21" s="1"/>
  <c r="E4" i="21"/>
  <c r="F4" i="21" s="1"/>
  <c r="E5" i="21"/>
  <c r="F5" i="21" s="1"/>
  <c r="E6" i="21"/>
  <c r="F6" i="21" s="1"/>
  <c r="E7" i="21"/>
  <c r="F7" i="21" s="1"/>
  <c r="E4" i="32"/>
  <c r="F4" i="32" s="1"/>
  <c r="H4" i="32"/>
  <c r="I4" i="32" s="1"/>
  <c r="E5" i="32"/>
  <c r="F5" i="32" s="1"/>
  <c r="H5" i="32"/>
  <c r="I5" i="32" s="1"/>
  <c r="E6" i="32"/>
  <c r="F6" i="32" s="1"/>
  <c r="H6" i="32"/>
  <c r="I6" i="32" s="1"/>
  <c r="E7" i="32"/>
  <c r="F7" i="32" s="1"/>
  <c r="H7" i="32"/>
  <c r="I7" i="32" s="1"/>
  <c r="E8" i="32"/>
  <c r="F8" i="32" s="1"/>
  <c r="H8" i="32"/>
  <c r="I8" i="32" s="1"/>
  <c r="E4" i="33"/>
  <c r="F4" i="33" s="1"/>
  <c r="H4" i="33"/>
  <c r="I4" i="33" s="1"/>
  <c r="E5" i="33"/>
  <c r="F5" i="33" s="1"/>
  <c r="H5" i="33"/>
  <c r="I5" i="33" s="1"/>
  <c r="E6" i="33"/>
  <c r="F6" i="33" s="1"/>
  <c r="H6" i="33"/>
  <c r="I6" i="33" s="1"/>
  <c r="E7" i="33"/>
  <c r="F7" i="33" s="1"/>
  <c r="H7" i="33"/>
  <c r="I7" i="33" s="1"/>
  <c r="E8" i="33"/>
  <c r="F8" i="33" s="1"/>
  <c r="H8" i="33"/>
  <c r="I8" i="33" s="1"/>
  <c r="H4" i="20"/>
  <c r="I4" i="20" s="1"/>
  <c r="H5" i="20"/>
  <c r="I5" i="20" s="1"/>
  <c r="E4" i="20"/>
  <c r="F4" i="20" s="1"/>
  <c r="E5" i="20"/>
  <c r="F5" i="20" s="1"/>
  <c r="H12" i="33"/>
  <c r="I12" i="33" s="1"/>
  <c r="E12" i="33"/>
  <c r="F12" i="33" s="1"/>
  <c r="H11" i="33"/>
  <c r="I11" i="33" s="1"/>
  <c r="E11" i="33"/>
  <c r="F11" i="33" s="1"/>
  <c r="H12" i="32"/>
  <c r="I12" i="32" s="1"/>
  <c r="E12" i="32"/>
  <c r="F12" i="32" s="1"/>
  <c r="H11" i="32"/>
  <c r="I11" i="32" s="1"/>
  <c r="E11" i="32"/>
  <c r="F11" i="32" s="1"/>
  <c r="E12" i="31"/>
  <c r="F12" i="31" s="1"/>
  <c r="H11" i="31"/>
  <c r="I11" i="31" s="1"/>
  <c r="E11" i="31"/>
  <c r="F11" i="31" s="1"/>
  <c r="H12" i="28"/>
  <c r="I12" i="28" s="1"/>
  <c r="E12" i="28"/>
  <c r="F12" i="28" s="1"/>
  <c r="H11" i="28"/>
  <c r="I11" i="28" s="1"/>
  <c r="E11" i="28"/>
  <c r="F11" i="28" s="1"/>
  <c r="H12" i="27"/>
  <c r="I12" i="27" s="1"/>
  <c r="E12" i="27"/>
  <c r="F12" i="27" s="1"/>
  <c r="H11" i="27"/>
  <c r="I11" i="27" s="1"/>
  <c r="E11" i="27"/>
  <c r="F11" i="27" s="1"/>
  <c r="H12" i="26"/>
  <c r="I12" i="26" s="1"/>
  <c r="E12" i="26"/>
  <c r="F12" i="26" s="1"/>
  <c r="H11" i="26"/>
  <c r="I11" i="26" s="1"/>
  <c r="E11" i="26"/>
  <c r="F11" i="26" s="1"/>
  <c r="I11" i="19"/>
  <c r="F11" i="19"/>
  <c r="H4" i="4"/>
  <c r="I4" i="4" s="1"/>
  <c r="E4" i="4"/>
  <c r="F4" i="4" s="1"/>
  <c r="A4" i="30" a="1"/>
  <c r="A4" i="30" s="1"/>
  <c r="B4" i="34" a="1"/>
  <c r="B4" i="34" s="1"/>
  <c r="A4" i="34" a="1"/>
  <c r="A4" i="34" s="1"/>
  <c r="A1" i="34" a="1"/>
  <c r="A1" i="34" s="1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B4" i="1" a="1"/>
  <c r="B4" i="1" s="1"/>
  <c r="A4" i="1" a="1"/>
  <c r="A4" i="1" s="1"/>
  <c r="A1" i="1" a="1"/>
  <c r="A1" i="1" s="1"/>
  <c r="H10" i="33"/>
  <c r="I10" i="33" s="1"/>
  <c r="E10" i="33"/>
  <c r="F10" i="33" s="1"/>
  <c r="H9" i="33"/>
  <c r="I9" i="33" s="1"/>
  <c r="E9" i="33"/>
  <c r="F9" i="33" s="1"/>
  <c r="G2" i="33"/>
  <c r="D2" i="33"/>
  <c r="C2" i="33"/>
  <c r="A1" i="33" a="1"/>
  <c r="A1" i="33" s="1"/>
  <c r="H10" i="32"/>
  <c r="I10" i="32" s="1"/>
  <c r="E10" i="32"/>
  <c r="F10" i="32" s="1"/>
  <c r="H9" i="32"/>
  <c r="I9" i="32" s="1"/>
  <c r="E9" i="32"/>
  <c r="F9" i="32" s="1"/>
  <c r="G2" i="32"/>
  <c r="D2" i="32"/>
  <c r="C2" i="32"/>
  <c r="A1" i="32" a="1"/>
  <c r="A1" i="32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D2" i="31"/>
  <c r="C2" i="31"/>
  <c r="A1" i="31" a="1"/>
  <c r="A1" i="31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G2" i="28"/>
  <c r="D2" i="28"/>
  <c r="C2" i="28"/>
  <c r="A1" i="28" a="1"/>
  <c r="A1" i="28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I7" i="27"/>
  <c r="H6" i="27"/>
  <c r="I6" i="27" s="1"/>
  <c r="E6" i="27"/>
  <c r="F6" i="27" s="1"/>
  <c r="H5" i="27"/>
  <c r="I5" i="27" s="1"/>
  <c r="E5" i="27"/>
  <c r="F5" i="27" s="1"/>
  <c r="I4" i="27"/>
  <c r="E4" i="27"/>
  <c r="F4" i="27" s="1"/>
  <c r="G2" i="27"/>
  <c r="D2" i="27"/>
  <c r="C2" i="27"/>
  <c r="A1" i="27" a="1"/>
  <c r="A1" i="27" s="1"/>
  <c r="H10" i="26"/>
  <c r="E10" i="26"/>
  <c r="F10" i="26" s="1"/>
  <c r="H9" i="26"/>
  <c r="I9" i="26" s="1"/>
  <c r="E9" i="26"/>
  <c r="F9" i="26" s="1"/>
  <c r="E8" i="26"/>
  <c r="F8" i="26" s="1"/>
  <c r="E7" i="26"/>
  <c r="F7" i="26" s="1"/>
  <c r="E6" i="26"/>
  <c r="F6" i="26" s="1"/>
  <c r="H5" i="26"/>
  <c r="E5" i="26"/>
  <c r="F5" i="26" s="1"/>
  <c r="H4" i="26"/>
  <c r="E4" i="26"/>
  <c r="F4" i="26" s="1"/>
  <c r="G2" i="26"/>
  <c r="D2" i="26"/>
  <c r="C2" i="26"/>
  <c r="A1" i="26" a="1"/>
  <c r="A1" i="26" s="1"/>
  <c r="I10" i="19"/>
  <c r="F10" i="19"/>
  <c r="I9" i="19"/>
  <c r="F9" i="19"/>
  <c r="G2" i="19"/>
  <c r="D2" i="19"/>
  <c r="C2" i="19"/>
  <c r="J2" i="19" s="1"/>
  <c r="A1" i="19" a="1"/>
  <c r="A1" i="19" s="1"/>
  <c r="G2" i="20"/>
  <c r="D2" i="20"/>
  <c r="C2" i="20"/>
  <c r="A1" i="20" a="1"/>
  <c r="A1" i="20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C2" i="3"/>
  <c r="J2" i="3" s="1"/>
  <c r="A1" i="3" a="1"/>
  <c r="A1" i="3" s="1"/>
  <c r="G2" i="72"/>
  <c r="D2" i="72"/>
  <c r="C2" i="72"/>
  <c r="J2" i="72" s="1"/>
  <c r="A1" i="72" a="1"/>
  <c r="A1" i="72" s="1"/>
  <c r="H8" i="18" l="1"/>
  <c r="H7" i="29"/>
  <c r="H4" i="29"/>
  <c r="H4" i="30"/>
  <c r="H5" i="30"/>
  <c r="H8" i="30"/>
  <c r="H6" i="30"/>
  <c r="I6" i="30" s="1"/>
  <c r="H7" i="30"/>
  <c r="I8" i="26"/>
  <c r="H8" i="29"/>
  <c r="I8" i="29" s="1"/>
  <c r="I6" i="26"/>
  <c r="H6" i="29"/>
  <c r="I5" i="26"/>
  <c r="H5" i="29"/>
  <c r="I5" i="29" s="1"/>
  <c r="E5" i="29"/>
  <c r="F5" i="29" s="1"/>
  <c r="H7" i="18"/>
  <c r="I7" i="18" s="1"/>
  <c r="H6" i="18"/>
  <c r="I6" i="18" s="1"/>
  <c r="H5" i="18"/>
  <c r="I5" i="18" s="1"/>
  <c r="H4" i="18"/>
  <c r="I4" i="18" s="1"/>
  <c r="I8" i="72"/>
  <c r="H8" i="1"/>
  <c r="I7" i="72"/>
  <c r="H7" i="1"/>
  <c r="I7" i="1" s="1"/>
  <c r="I6" i="72"/>
  <c r="H6" i="1"/>
  <c r="I6" i="1" s="1"/>
  <c r="I5" i="72"/>
  <c r="H5" i="1"/>
  <c r="I5" i="1" s="1"/>
  <c r="I4" i="72"/>
  <c r="H4" i="1"/>
  <c r="E8" i="1"/>
  <c r="F8" i="1" s="1"/>
  <c r="I7" i="29"/>
  <c r="C5" i="34"/>
  <c r="C7" i="34"/>
  <c r="G7" i="34"/>
  <c r="G2" i="29"/>
  <c r="G6" i="34"/>
  <c r="D8" i="34"/>
  <c r="G5" i="34"/>
  <c r="C8" i="34"/>
  <c r="D5" i="34"/>
  <c r="G8" i="34"/>
  <c r="G2" i="30"/>
  <c r="D6" i="34"/>
  <c r="C6" i="34"/>
  <c r="G4" i="34"/>
  <c r="E7" i="30"/>
  <c r="F7" i="30" s="1"/>
  <c r="D7" i="34"/>
  <c r="E6" i="30"/>
  <c r="F6" i="30" s="1"/>
  <c r="E7" i="29"/>
  <c r="F7" i="29" s="1"/>
  <c r="E8" i="29"/>
  <c r="F8" i="29" s="1"/>
  <c r="E8" i="30"/>
  <c r="F8" i="30" s="1"/>
  <c r="E6" i="29"/>
  <c r="F6" i="29" s="1"/>
  <c r="E6" i="18"/>
  <c r="F6" i="18" s="1"/>
  <c r="E7" i="18"/>
  <c r="F7" i="18" s="1"/>
  <c r="I8" i="18"/>
  <c r="E8" i="18"/>
  <c r="F8" i="18" s="1"/>
  <c r="E6" i="1"/>
  <c r="F6" i="1" s="1"/>
  <c r="E7" i="1"/>
  <c r="F7" i="1" s="1"/>
  <c r="G2" i="18"/>
  <c r="D2" i="30"/>
  <c r="D2" i="18"/>
  <c r="E5" i="18"/>
  <c r="F5" i="18" s="1"/>
  <c r="E4" i="18"/>
  <c r="F4" i="18" s="1"/>
  <c r="D4" i="34"/>
  <c r="E4" i="30"/>
  <c r="F4" i="30" s="1"/>
  <c r="E5" i="30"/>
  <c r="F5" i="30" s="1"/>
  <c r="D2" i="29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E5" i="1"/>
  <c r="F5" i="1" s="1"/>
  <c r="I4" i="30"/>
  <c r="I4" i="26"/>
  <c r="I7" i="26"/>
  <c r="I10" i="26"/>
  <c r="I4" i="29"/>
  <c r="C4" i="34"/>
  <c r="C2" i="29"/>
  <c r="C2" i="30"/>
  <c r="E4" i="29"/>
  <c r="F4" i="29" s="1"/>
  <c r="C2" i="18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5" i="34" l="1"/>
  <c r="F5" i="34" s="1"/>
  <c r="E7" i="34"/>
  <c r="F7" i="34" s="1"/>
  <c r="G2" i="34"/>
  <c r="I5" i="30"/>
  <c r="H5" i="34"/>
  <c r="I5" i="34" s="1"/>
  <c r="I8" i="30"/>
  <c r="H8" i="34"/>
  <c r="I8" i="34" s="1"/>
  <c r="I7" i="30"/>
  <c r="H7" i="34"/>
  <c r="I7" i="34" s="1"/>
  <c r="I6" i="29"/>
  <c r="H6" i="34"/>
  <c r="I6" i="34" s="1"/>
  <c r="E6" i="34"/>
  <c r="F6" i="34" s="1"/>
  <c r="E2" i="29"/>
  <c r="F2" i="29" s="1"/>
  <c r="I8" i="1"/>
  <c r="E8" i="34"/>
  <c r="F8" i="34" s="1"/>
  <c r="D2" i="34"/>
  <c r="E4" i="34"/>
  <c r="F4" i="34" s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tc={50BBCCA5-A392-44CA-BF84-C025897859C2}</author>
  </authors>
  <commentList>
    <comment ref="C4" authorId="0" shapeId="0" xr:uid="{50BBCCA5-A392-44CA-BF84-C025897859C2}">
      <text>
        <t>[Threaded comment]
Your version of Excel allows you to read this threaded comment; however, any edits to it will get removed if the file is opened in a newer version of Excel. Learn more: https://go.microsoft.com/fwlink/?linkid=870924
Comment:
    As meter 2 was not communicating for whole month we have taken total inverters energy as actual energy.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tc={E99F417F-3E73-4329-BA61-B4F02F00BEF5}</author>
  </authors>
  <commentList>
    <comment ref="C4" authorId="0" shapeId="0" xr:uid="{E99F417F-3E73-4329-BA61-B4F02F00BEF5}">
      <text>
        <t>[Threaded comment]
Your version of Excel allows you to read this threaded comment; however, any edits to it will get removed if the file is opened in a newer version of Excel. Learn more: https://go.microsoft.com/fwlink/?linkid=870924
Comment:
    As meter 2 has regained its communication at 10:30 on 12/18, actual energy is taken from total inverters energy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<sst xmlns="http://schemas.openxmlformats.org/spreadsheetml/2006/main" count="282" uniqueCount="81">
  <si>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</si>
  <si>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</si>
  <si>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</si>
  <si>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</si>
  <si>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</si>
  <si>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</si>
  <si>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</si>
  <si>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</si>
  <si>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</si>
  <si>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</si>
  <si>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</si>
  <si>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</si>
  <si>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</si>
  <si>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</si>
  <si>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</si>
  <si>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</si>
  <si>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</si>
  <si>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</si>
  <si>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</si>
  <si>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</si>
  <si>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</si>
  <si>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</si>
  <si>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Status</t>
  </si>
  <si>
    <t>1.T01: Motor 14, 22, 24, 55, 77, 127, 138 are stuck.
T02: All motors are stuck.
T03: Motor 10, 13, 52 are stuck. 
T04: Motor 1, 11, 27, 28, 29, 32, 39, 49, 51, 57, 65, 75, 78, 88, 89, 94, 112, 113 are stuck.
2..Inverter 64 was being LOTO'd</t>
  </si>
  <si>
    <t>1.SR109898
2.	SR099221</t>
  </si>
  <si>
    <t>1.Pending
2.Closed</t>
  </si>
  <si>
    <t>SR099221</t>
  </si>
  <si>
    <t>1. 17 tracker motors currently stuck:
          Tracker 1 group C motor 2
          Tracker 1 group E motor 11
          Tracker 1 group F motor 11
          Tracker 1 group G motors 13 &amp; 16
          Tracker 1 group I motors 11 &amp; 14
          Tracker 2 group D motors 12 &amp; 14
          Tracker 2 group E motor 9
          Tracker 2 group F motor 1
          Tracker 3 group D motor 6
          Tracker 3 group E motor 11
          Tracker 4 group D motors 3 &amp; 4
          Tracker 4 group E motor 4
          Tracker 4 group F motor 10</t>
  </si>
  <si>
    <t>1.	SR114121</t>
  </si>
  <si>
    <t xml:space="preserve">1.pending
</t>
  </si>
  <si>
    <t>1. Trackes were not communicated for whole month.
2.Inverter 17 has evening shading</t>
  </si>
  <si>
    <t>1. SR101449 ,SR114122</t>
  </si>
  <si>
    <t>1.pending</t>
  </si>
  <si>
    <t>SR114122</t>
  </si>
  <si>
    <t>1. 5 trackers currently stuck on 01/01 
          Tracker 1 group F motors 7, 8, &amp; 12
          Tracker 2 group A motor 7 
          Tracker 2 group D motor 7
Tracker 1 group F motors 7&amp;8 self-resolved on 01/09 the rest remain stuck 
2.Weather station experiencing intermittent communication. On 01/02 Technician replaced bad cabling. This did not restore pyranometer comms.
3.Site tripped offline at 11:00 on 01/21 and came back online at 09:00 on 01/23</t>
  </si>
  <si>
    <t>1.SR114123
2.SR114832
3.	SR114832</t>
  </si>
  <si>
    <t>1.Pending
2.Closed
3.Closed</t>
  </si>
  <si>
    <t>SR114832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</si>
  <si>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</si>
  <si>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</si>
  <si>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</si>
  <si>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</si>
  <si>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</si>
  <si>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</si>
  <si>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SR099224</t>
  </si>
  <si>
    <t>June Actual v. Expected</t>
  </si>
  <si>
    <t>June Actual v. Forecasted</t>
  </si>
  <si>
    <t>May Actual v. Expected</t>
  </si>
  <si>
    <t>May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</si>
  <si>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</si>
  <si>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</si>
  <si>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</si>
  <si>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</si>
  <si>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</si>
  <si>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</si>
  <si>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</si>
  <si>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</si>
  <si>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SR109388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</si>
  <si>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</si>
  <si>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</si>
  <si>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</si>
  <si>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</si>
  <si>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</si>
  <si>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True Green Capital Management LLC</t>
  </si>
  <si>
    <t>Site DAS Name</t>
  </si>
  <si>
    <t>Update</t>
  </si>
  <si>
    <t>DAS</t>
  </si>
  <si>
    <t>Fund IV - WestSide Solar MN</t>
  </si>
  <si>
    <t>Rochester - 5516 Valleyhigh NW</t>
  </si>
  <si>
    <t>MN</t>
  </si>
  <si>
    <t>AEF</t>
  </si>
  <si>
    <t>Powertrack</t>
  </si>
  <si>
    <t>Fund IV - Hemings</t>
  </si>
  <si>
    <t>Warsaw - Hemings</t>
  </si>
  <si>
    <t>VA</t>
  </si>
  <si>
    <t>Fund IV - Randolf</t>
  </si>
  <si>
    <t>Mount Jackson - Randolf</t>
  </si>
  <si>
    <t>Fund IV -  Monroe Solar</t>
  </si>
  <si>
    <t>Callands Gretna - Monroe</t>
  </si>
  <si>
    <t>Fund IV - Smallmouth Bass</t>
  </si>
  <si>
    <t>Rockbridge Baths - Small Mouth Bass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</si>
</sst>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1"/>
      <name val="Calibri"/>
      <family val="2"/>
      <scheme val="minor"/>
    </font>
    <font>
      <sz val="8"/>
      <name val="Arial"/>
      <family val="2"/>
    </font>
    <font>
      <u/>
      <sz val="10"/>
      <color theme="1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8" fillId="0" borderId="0" applyNumberFormat="0" applyFill="0" applyBorder="0" applyAlignment="0" applyProtection="0"/>
  </cellStyleXfs>
  <cellXfs count="83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43" applyFont="1"/>
    <xf numFmtId="0" fontId="6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3" fillId="0" borderId="0" xfId="0" applyFont="1"/>
    <xf numFmtId="164" fontId="28" fillId="44" borderId="0" xfId="1" applyNumberFormat="1" applyFont="1" applyFill="1" applyAlignment="1">
      <alignment horizontal="center" vertical="center"/>
    </xf>
    <xf numFmtId="3" fontId="30" fillId="4" borderId="0" xfId="1" applyNumberFormat="1" applyFont="1" applyFill="1" applyBorder="1" applyAlignment="1">
      <alignment vertical="center" wrapText="1"/>
    </xf>
    <xf numFmtId="49" fontId="28" fillId="0" borderId="0" xfId="0" applyNumberFormat="1" applyFont="1" applyAlignment="1">
      <alignment horizontal="left" vertical="top" wrapText="1"/>
    </xf>
    <xf numFmtId="49" fontId="30" fillId="38" borderId="0" xfId="2" applyNumberFormat="1" applyFont="1" applyFill="1" applyBorder="1" applyAlignment="1">
      <alignment horizontal="left" vertical="top" wrapText="1"/>
    </xf>
    <xf numFmtId="0" fontId="34" fillId="40" borderId="0" xfId="0" applyFont="1" applyFill="1" applyAlignment="1">
      <alignment horizontal="center" vertical="center"/>
    </xf>
    <xf numFmtId="164" fontId="28" fillId="0" borderId="0" xfId="1" applyNumberFormat="1" applyFont="1" applyAlignment="1">
      <alignment horizontal="center" vertical="center"/>
    </xf>
    <xf numFmtId="3" fontId="30" fillId="0" borderId="0" xfId="1" applyNumberFormat="1" applyFont="1" applyFill="1" applyBorder="1" applyAlignment="1">
      <alignment vertical="center" wrapText="1"/>
    </xf>
    <xf numFmtId="49" fontId="28" fillId="0" borderId="0" xfId="0" applyNumberFormat="1" applyFont="1" applyAlignment="1">
      <alignment vertical="top" wrapText="1"/>
    </xf>
    <xf numFmtId="9" fontId="30" fillId="37" borderId="0" xfId="2" applyFont="1" applyFill="1" applyAlignment="1">
      <alignment horizontal="center" vertical="center"/>
    </xf>
    <xf numFmtId="3" fontId="30" fillId="0" borderId="0" xfId="1" applyNumberFormat="1" applyFont="1" applyAlignment="1">
      <alignment vertical="center"/>
    </xf>
    <xf numFmtId="0" fontId="6" fillId="45" borderId="1" xfId="0" applyFont="1" applyFill="1" applyBorder="1" applyAlignment="1">
      <alignment horizontal="left" vertical="top"/>
    </xf>
    <xf numFmtId="49" fontId="38" fillId="38" borderId="0" xfId="45" applyNumberFormat="1" applyFill="1" applyBorder="1" applyAlignment="1">
      <alignment horizontal="left" vertical="top" wrapText="1"/>
    </xf>
    <xf numFmtId="49" fontId="38" fillId="0" borderId="0" xfId="45" applyNumberFormat="1" applyAlignment="1">
      <alignment horizontal="left" vertical="top" wrapText="1"/>
    </xf>
    <xf numFmtId="0" fontId="38" fillId="0" borderId="0" xfId="45" applyAlignment="1">
      <alignment horizontal="left" vertical="top"/>
    </xf>
    <xf numFmtId="0" fontId="0" fillId="0" borderId="0" xfId="0" applyAlignment="1">
      <alignment horizontal="left" vertical="top"/>
    </xf>
    <xf numFmtId="0" fontId="35" fillId="0" borderId="0" xfId="0" applyFont="1" applyAlignment="1">
      <alignment horizontal="center" vertical="center"/>
    </xf>
    <xf numFmtId="0" fontId="38" fillId="0" borderId="0" xfId="45"/>
    <xf numFmtId="49" fontId="38" fillId="38" borderId="0" xfId="45" applyNumberFormat="1" applyFill="1" applyBorder="1" applyAlignment="1">
      <alignment vertical="top" wrapText="1"/>
    </xf>
    <xf numFmtId="49" fontId="38" fillId="38" borderId="0" xfId="45" applyNumberFormat="1" applyFill="1" applyAlignment="1">
      <alignment horizontal="left" vertical="top" wrapText="1"/>
    </xf>
    <xf numFmtId="49" fontId="36" fillId="38" borderId="0" xfId="2" applyNumberFormat="1" applyFont="1" applyFill="1" applyAlignment="1">
      <alignment horizontal="left" vertical="top" wrapText="1"/>
    </xf>
    <xf numFmtId="49" fontId="38" fillId="0" borderId="0" xfId="45" applyNumberFormat="1" applyAlignment="1">
      <alignment horizontal="left" vertical="center" wrapText="1"/>
    </xf>
    <xf numFmtId="3" fontId="30" fillId="4" borderId="0" xfId="1" applyNumberFormat="1" applyFont="1" applyFill="1" applyAlignment="1">
      <alignment vertical="center"/>
    </xf>
    <xf numFmtId="0" fontId="35" fillId="0" borderId="0" xfId="0" applyFont="1" applyAlignment="1">
      <alignment vertical="center"/>
    </xf>
    <xf numFmtId="0" fontId="35" fillId="0" borderId="0" xfId="0" applyFont="1" applyAlignment="1">
      <alignment horizontal="right" vertical="center"/>
    </xf>
    <xf numFmtId="0" fontId="38" fillId="0" borderId="0" xfId="45" applyAlignment="1">
      <alignment vertical="top"/>
    </xf>
    <xf numFmtId="0" fontId="3" fillId="0" borderId="0" xfId="0" applyFont="1" applyAlignment="1">
      <alignment horizontal="left" vertical="top"/>
    </xf>
    <xf numFmtId="0" fontId="32" fillId="0" borderId="0" xfId="0" applyFont="1" applyAlignment="1">
      <alignment horizontal="left" vertical="top"/>
    </xf>
    <xf numFmtId="49" fontId="38" fillId="0" borderId="0" xfId="45" applyNumberFormat="1" applyAlignment="1">
      <alignment vertical="top" wrapText="1"/>
    </xf>
    <xf numFmtId="49" fontId="38" fillId="0" borderId="0" xfId="45" applyNumberFormat="1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49" fontId="28" fillId="46" borderId="0" xfId="0" applyNumberFormat="1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horizontal="left" vertical="center" wrapText="1"/>
    </xf>
    <xf numFmtId="0" fontId="38" fillId="0" borderId="0" xfId="45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styles" Target="style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5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usuma Potlada [AGS]" id="{6F613E94-4CCF-4841-BA77-E3E91F8F08AE}" userId="S::kusumapotlada@amgsol.com::a4794fd0-fb2a-418d-b379-bb3c7e6c0e3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8" totalsRowShown="0">
  <autoFilter ref="A3:E8" xr:uid="{C9C95D9E-67ED-41E0-9F41-9C3DA4ACF4CD}"/>
  <sortState xmlns:xlrd2="http://schemas.microsoft.com/office/spreadsheetml/2017/richdata2" ref="A3:D4">
    <sortCondition ref="C3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5-12-03T07:45:27.94" personId="{6F613E94-4CCF-4841-BA77-E3E91F8F08AE}" id="{50BBCCA5-A392-44CA-BF84-C025897859C2}">
    <text>As meter 2 was not communicating for whole month we have taken total inverters energy as actual energy.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4" dT="2026-01-03T11:25:45.34" personId="{6F613E94-4CCF-4841-BA77-E3E91F8F08AE}" id="{E99F417F-3E73-4329-BA61-B4F02F00BEF5}">
    <text>As meter 2 has regained its communication at 10:30 on 12/18, actual energy is taken from total inverters energy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14832" TargetMode="External"/><Relationship Id="rId3" Type="http://schemas.openxmlformats.org/officeDocument/2006/relationships/hyperlink" Target="https://us3.assetplanner.com/service_request?ID=114121" TargetMode="External"/><Relationship Id="rId7" Type="http://schemas.openxmlformats.org/officeDocument/2006/relationships/hyperlink" Target="https://us3.assetplanner.com/service_request?ID=114832" TargetMode="External"/><Relationship Id="rId2" Type="http://schemas.openxmlformats.org/officeDocument/2006/relationships/hyperlink" Target="https://us3.assetplanner.com/service_request?ID=099221" TargetMode="External"/><Relationship Id="rId1" Type="http://schemas.openxmlformats.org/officeDocument/2006/relationships/hyperlink" Target="https://us3.assetplanner.com/service_request?ID=109898" TargetMode="External"/><Relationship Id="rId6" Type="http://schemas.openxmlformats.org/officeDocument/2006/relationships/hyperlink" Target="https://us3.assetplanner.com/service_request?ID=114123" TargetMode="External"/><Relationship Id="rId5" Type="http://schemas.openxmlformats.org/officeDocument/2006/relationships/hyperlink" Target="https://us3.assetplanner.com/service_request?ID=114122" TargetMode="External"/><Relationship Id="rId4" Type="http://schemas.openxmlformats.org/officeDocument/2006/relationships/hyperlink" Target="https://us3.assetplanner.com/service_request?ID=101449" TargetMode="External"/><Relationship Id="rId9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9224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9388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8"/>
  <sheetViews>
    <sheetView workbookViewId="0">
      <pane xSplit="2" ySplit="3" topLeftCell="C4" activePane="bottomRight" state="frozen"/>
      <selection pane="bottomRight" activeCell="F25" sqref="F25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0" t="str" cm="1">
        <f t="array" ref="A1">portfolio</f>
        <v>True Green Capital Management LLC</v>
      </c>
      <c r="B1" s="80"/>
      <c r="C1" s="80"/>
      <c r="D1" s="81" t="s">
        <v>0</v>
      </c>
      <c r="E1" s="81"/>
      <c r="F1" s="81"/>
      <c r="G1" s="79" t="s">
        <v>1</v>
      </c>
      <c r="H1" s="79"/>
      <c r="I1" s="79"/>
    </row>
    <row r="2" spans="1:9" ht="19.5" customHeight="1">
      <c r="A2" s="82" t="s">
        <v>2</v>
      </c>
      <c r="B2" s="82"/>
      <c r="C2" s="5">
        <f>SUM(C4:C86)</f>
        <v>2296917.6</v>
      </c>
      <c r="D2" s="5">
        <f>SUM(D4:D86)</f>
        <v>2120939.0999999996</v>
      </c>
      <c r="E2" s="5">
        <f>C2-D2</f>
        <v>175978.50000000047</v>
      </c>
      <c r="F2" s="6">
        <f>IFERROR(E2/D2, 0)</f>
        <v>8.2971972179682343E-2</v>
      </c>
      <c r="G2" s="5">
        <f>SUM(G4:G86)</f>
        <v>2324642.4</v>
      </c>
      <c r="H2" s="7">
        <f>C2-G2</f>
        <v>-27724.799999999814</v>
      </c>
      <c r="I2" s="6">
        <f>IFERROR(H2/G2, 0)</f>
        <v>-1.1926479530787107E-2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8">Sites[Site]</f>
        <v>Rochester - 5516 Valleyhigh NW</v>
      </c>
      <c r="B4" s="9" t="str" cm="1">
        <f t="array" ref="B4:B8">Sites[State]</f>
        <v>MN</v>
      </c>
      <c r="C4" s="24">
        <f>SUM('1st Qtr'!C4, '2nd Qtr'!C4, '3rd Qtr'!C4, '4th Qtr'!C4)</f>
        <v>925180</v>
      </c>
      <c r="D4" s="13">
        <f>SUM('1st Qtr'!D4, '2nd Qtr'!D4, '3rd Qtr'!D4, '4th Qtr'!D4)</f>
        <v>840291.6</v>
      </c>
      <c r="E4" s="13">
        <f>IF(AND(ISNUMBER(C4),ISNUMBER(D4)), C4-D4, "")</f>
        <v>84888.400000000023</v>
      </c>
      <c r="F4" s="14">
        <f>IFERROR(E4/D4, "")</f>
        <v>0.10102254979104876</v>
      </c>
      <c r="G4" s="15">
        <f>SUM('1st Qtr'!G4, '2nd Qtr'!G4, '3rd Qtr'!G4, '4th Qtr'!G4)</f>
        <v>880917.9</v>
      </c>
      <c r="H4" s="15">
        <f>SUM('1st Qtr'!H4, '2nd Qtr'!H4, '3rd Qtr'!H4, '4th Qtr'!H4)</f>
        <v>44262.099999999977</v>
      </c>
      <c r="I4" s="51">
        <f>IFERROR(H4/G4, "")</f>
        <v>5.0245431498213367E-2</v>
      </c>
    </row>
    <row r="5" spans="1:9" ht="15.6">
      <c r="A5" s="17" t="str">
        <v>Warsaw - Hemings</v>
      </c>
      <c r="B5" s="10" t="str">
        <v>VA</v>
      </c>
      <c r="C5" s="18">
        <f>SUM('1st Qtr'!C5, '2nd Qtr'!C5, '3rd Qtr'!C5, '4th Qtr'!C5)</f>
        <v>576598.5</v>
      </c>
      <c r="D5" s="18">
        <f>SUM('1st Qtr'!D5, '2nd Qtr'!D5, '3rd Qtr'!D5, '4th Qtr'!D5)</f>
        <v>605067.69999999995</v>
      </c>
      <c r="E5" s="18">
        <f t="shared" ref="E5:E6" si="0">IF(AND(ISNUMBER(C5),ISNUMBER(D5)), C5-D5, "")</f>
        <v>-28469.199999999953</v>
      </c>
      <c r="F5" s="19">
        <f>IFERROR(E5/D5, "")</f>
        <v>-4.7051263850309569E-2</v>
      </c>
      <c r="G5" s="20">
        <f>SUM('1st Qtr'!G5, '2nd Qtr'!G5, '3rd Qtr'!G5, '4th Qtr'!G5)</f>
        <v>548915</v>
      </c>
      <c r="H5" s="52">
        <f>SUM('1st Qtr'!H5, '2nd Qtr'!H5, '3rd Qtr'!H5, '4th Qtr'!H5)</f>
        <v>27683.5</v>
      </c>
      <c r="I5" s="19">
        <f>IFERROR(H5/G5, "")</f>
        <v>5.0433127169051677E-2</v>
      </c>
    </row>
    <row r="6" spans="1:9" ht="15.6">
      <c r="A6" s="12" t="str">
        <v>Mount Jackson - Randolf</v>
      </c>
      <c r="B6" s="9" t="str">
        <v>VA</v>
      </c>
      <c r="C6" s="24">
        <f>SUM('1st Qtr'!C6, '2nd Qtr'!C6, '3rd Qtr'!C6, '4th Qtr'!C6)</f>
        <v>380601.1</v>
      </c>
      <c r="D6" s="13">
        <f>SUM('1st Qtr'!D6, '2nd Qtr'!D6, '3rd Qtr'!D6, '4th Qtr'!D6)</f>
        <v>362070</v>
      </c>
      <c r="E6" s="13">
        <f t="shared" si="0"/>
        <v>18531.099999999977</v>
      </c>
      <c r="F6" s="14">
        <f t="shared" ref="F6:F8" si="1">IFERROR(E6/D6, "")</f>
        <v>5.118098710194155E-2</v>
      </c>
      <c r="G6" s="15">
        <f>SUM('1st Qtr'!G6, '2nd Qtr'!G6, '3rd Qtr'!G6, '4th Qtr'!G6)</f>
        <v>362660.3</v>
      </c>
      <c r="H6" s="15">
        <f>SUM('1st Qtr'!H6, '2nd Qtr'!H6, '3rd Qtr'!H6, '4th Qtr'!H6)</f>
        <v>17940.799999999988</v>
      </c>
      <c r="I6" s="16">
        <f t="shared" ref="I6:I8" si="2">IFERROR(H6/G6, "")</f>
        <v>4.9469986099939772E-2</v>
      </c>
    </row>
    <row r="7" spans="1:9" ht="15.6">
      <c r="A7" s="17" t="str">
        <v>Callands Gretna - Monroe</v>
      </c>
      <c r="B7" s="10" t="str">
        <v>VA</v>
      </c>
      <c r="C7" s="18">
        <f>SUM('1st Qtr'!C7, '2nd Qtr'!C7, '3rd Qtr'!C7, '4th Qtr'!C7)</f>
        <v>206433</v>
      </c>
      <c r="D7" s="18">
        <f>SUM('1st Qtr'!D7, '2nd Qtr'!D7, '3rd Qtr'!D7, '4th Qtr'!D7)</f>
        <v>313509.8</v>
      </c>
      <c r="E7" s="18">
        <f t="shared" ref="E7:E8" si="3">IF(AND(ISNUMBER(C7),ISNUMBER(D7)), C7-D7, "")</f>
        <v>-107076.79999999999</v>
      </c>
      <c r="F7" s="19">
        <f t="shared" si="1"/>
        <v>-0.34154211447297655</v>
      </c>
      <c r="G7" s="20">
        <f>SUM('1st Qtr'!G7, '2nd Qtr'!G7, '3rd Qtr'!G7, '4th Qtr'!G7)</f>
        <v>252259.20000000001</v>
      </c>
      <c r="H7" s="20">
        <f>SUM('1st Qtr'!H7, '2nd Qtr'!H7, '3rd Qtr'!H7, '4th Qtr'!H7)</f>
        <v>-45826.200000000012</v>
      </c>
      <c r="I7" s="19">
        <f t="shared" si="2"/>
        <v>-0.18166314647790849</v>
      </c>
    </row>
    <row r="8" spans="1:9" ht="15.6">
      <c r="A8" s="12" t="str">
        <v>Rockbridge Baths - Small Mouth Bass</v>
      </c>
      <c r="B8" s="9" t="str">
        <v>VA</v>
      </c>
      <c r="C8" s="24">
        <f>SUM('1st Qtr'!C8, '2nd Qtr'!C8, '3rd Qtr'!C8, '4th Qtr'!C8)</f>
        <v>208105</v>
      </c>
      <c r="D8" s="13">
        <f>SUM('1st Qtr'!D8, '2nd Qtr'!D8, '3rd Qtr'!D8, '4th Qtr'!D8)</f>
        <v>0</v>
      </c>
      <c r="E8" s="13">
        <f t="shared" si="3"/>
        <v>208105</v>
      </c>
      <c r="F8" s="14" t="str">
        <f t="shared" si="1"/>
        <v/>
      </c>
      <c r="G8" s="15">
        <f>SUM('1st Qtr'!G8, '2nd Qtr'!G8, '3rd Qtr'!G8, '4th Qtr'!G8)</f>
        <v>279890</v>
      </c>
      <c r="H8" s="15">
        <f>SUM('1st Qtr'!H8, '2nd Qtr'!H8, '3rd Qtr'!H8, '4th Qtr'!H8)</f>
        <v>-71785</v>
      </c>
      <c r="I8" s="16">
        <f t="shared" si="2"/>
        <v>-0.25647575833363107</v>
      </c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6 I4:I86">
    <cfRule type="cellIs" dxfId="54" priority="1" stopIfTrue="1" operator="lessThanOrEqual">
      <formula>-0.1</formula>
    </cfRule>
    <cfRule type="expression" dxfId="5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8"/>
  <sheetViews>
    <sheetView workbookViewId="0">
      <pane xSplit="2" ySplit="3" topLeftCell="C4" activePane="bottomRight" state="frozen"/>
      <selection pane="bottomRight" activeCell="E23" sqref="E23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0" t="str" cm="1">
        <f t="array" ref="A1">portfolio</f>
        <v>True Green Capital Management LLC</v>
      </c>
      <c r="B1" s="80"/>
      <c r="C1" s="80"/>
      <c r="D1" s="81" t="s">
        <v>10</v>
      </c>
      <c r="E1" s="81"/>
      <c r="F1" s="81"/>
      <c r="G1" s="79" t="s">
        <v>11</v>
      </c>
      <c r="H1" s="79"/>
      <c r="I1" s="79"/>
    </row>
    <row r="2" spans="1:9" ht="19.5" customHeight="1">
      <c r="A2" s="82" t="s">
        <v>2</v>
      </c>
      <c r="B2" s="82"/>
      <c r="C2" s="5">
        <f>SUM(C4:C86)</f>
        <v>2296917.6</v>
      </c>
      <c r="D2" s="5">
        <f>SUM(D4:D86)</f>
        <v>2120939.0999999996</v>
      </c>
      <c r="E2" s="5">
        <f>C2-D2</f>
        <v>175978.50000000047</v>
      </c>
      <c r="F2" s="6">
        <f>IFERROR(E2/D2, 0)</f>
        <v>8.2971972179682343E-2</v>
      </c>
      <c r="G2" s="5">
        <f>SUM(G4:G86)</f>
        <v>2324642.4</v>
      </c>
      <c r="H2" s="7">
        <f>C2-G2</f>
        <v>-27724.799999999814</v>
      </c>
      <c r="I2" s="6">
        <f>IFERROR(H2/G2, 0)</f>
        <v>-1.1926479530787107E-2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8">Sites[Site]</f>
        <v>Rochester - 5516 Valleyhigh NW</v>
      </c>
      <c r="B4" s="9" t="str" cm="1">
        <f t="array" ref="B4:B8">Sites[State]</f>
        <v>MN</v>
      </c>
      <c r="C4" s="24">
        <f>SUM(Jan!C4, Feb!C4, Mar!C4)</f>
        <v>925180</v>
      </c>
      <c r="D4" s="13">
        <f>SUM(Jan!D4, Feb!D4, Mar!D4)</f>
        <v>840291.6</v>
      </c>
      <c r="E4" s="13">
        <f>IF(AND(ISNUMBER(C4),ISNUMBER(D4)), C4-D4, "")</f>
        <v>84888.400000000023</v>
      </c>
      <c r="F4" s="14">
        <f>IFERROR(E4/D4, "")</f>
        <v>0.10102254979104876</v>
      </c>
      <c r="G4" s="15">
        <f>SUM(Jan!G4, Feb!G4, Mar!G4)</f>
        <v>880917.9</v>
      </c>
      <c r="H4" s="15">
        <f>SUM(Jan!H4, Feb!H4, Mar!H4)</f>
        <v>44262.099999999977</v>
      </c>
      <c r="I4" s="16">
        <f>IFERROR(H4/G4, "")</f>
        <v>5.0245431498213367E-2</v>
      </c>
    </row>
    <row r="5" spans="1:9" ht="15.6">
      <c r="A5" s="17" t="str">
        <v>Warsaw - Hemings</v>
      </c>
      <c r="B5" s="10" t="str">
        <v>VA</v>
      </c>
      <c r="C5" s="11">
        <f>SUM(Jan!C5, Feb!C5, Mar!C5)</f>
        <v>576598.5</v>
      </c>
      <c r="D5" s="18">
        <f>SUM(Jan!D5, Feb!D5, Mar!D5)</f>
        <v>605067.69999999995</v>
      </c>
      <c r="E5" s="18">
        <f t="shared" ref="E5:E6" si="0">IF(AND(ISNUMBER(C5),ISNUMBER(D5)), C5-D5, "")</f>
        <v>-28469.199999999953</v>
      </c>
      <c r="F5" s="19">
        <f>IFERROR(E5/D5, "")</f>
        <v>-4.7051263850309569E-2</v>
      </c>
      <c r="G5" s="20">
        <f>SUM(Jan!G5, Feb!G5, Mar!G5)</f>
        <v>548915</v>
      </c>
      <c r="H5" s="15">
        <f>SUM(Jan!H5, Feb!H5, Mar!H5)</f>
        <v>27683.5</v>
      </c>
      <c r="I5" s="19">
        <f>IFERROR(H5/G5, "")</f>
        <v>5.0433127169051677E-2</v>
      </c>
    </row>
    <row r="6" spans="1:9" ht="15.6">
      <c r="A6" s="12" t="str">
        <v>Mount Jackson - Randolf</v>
      </c>
      <c r="B6" s="9" t="str">
        <v>VA</v>
      </c>
      <c r="C6" s="24">
        <f>SUM(Jan!C6, Feb!C6, Mar!C6)</f>
        <v>380601.1</v>
      </c>
      <c r="D6" s="13">
        <f>SUM(Jan!D6, Feb!D6, Mar!D6)</f>
        <v>362070</v>
      </c>
      <c r="E6" s="13">
        <f t="shared" si="0"/>
        <v>18531.099999999977</v>
      </c>
      <c r="F6" s="14">
        <f t="shared" ref="F6:F8" si="1">IFERROR(E6/D6, "")</f>
        <v>5.118098710194155E-2</v>
      </c>
      <c r="G6" s="15">
        <f>SUM(Jan!G6, Feb!G6, Mar!G6)</f>
        <v>362660.3</v>
      </c>
      <c r="H6" s="15">
        <f>SUM(Jan!H6, Feb!H6, Mar!H6)</f>
        <v>17940.799999999988</v>
      </c>
      <c r="I6" s="16">
        <f t="shared" ref="I6:I8" si="2">IFERROR(H6/G6, "")</f>
        <v>4.9469986099939772E-2</v>
      </c>
    </row>
    <row r="7" spans="1:9" ht="15.6">
      <c r="A7" s="17" t="str">
        <v>Callands Gretna - Monroe</v>
      </c>
      <c r="B7" s="10" t="str">
        <v>VA</v>
      </c>
      <c r="C7" s="11">
        <f>SUM(Jan!C7, Feb!C7, Mar!C7)</f>
        <v>206433</v>
      </c>
      <c r="D7" s="18">
        <f>SUM(Jan!D7, Feb!D7, Mar!D7)</f>
        <v>313509.8</v>
      </c>
      <c r="E7" s="18">
        <f t="shared" ref="E7:E8" si="3">IF(AND(ISNUMBER(C7),ISNUMBER(D7)), C7-D7, "")</f>
        <v>-107076.79999999999</v>
      </c>
      <c r="F7" s="19">
        <f t="shared" si="1"/>
        <v>-0.34154211447297655</v>
      </c>
      <c r="G7" s="20">
        <f>SUM(Jan!G7, Feb!G7, Mar!G7)</f>
        <v>252259.20000000001</v>
      </c>
      <c r="H7" s="15">
        <f>SUM(Jan!H7, Feb!H7, Mar!H7)</f>
        <v>-45826.200000000012</v>
      </c>
      <c r="I7" s="19">
        <f t="shared" si="2"/>
        <v>-0.18166314647790849</v>
      </c>
    </row>
    <row r="8" spans="1:9" ht="15.6">
      <c r="A8" s="12" t="str">
        <v>Rockbridge Baths - Small Mouth Bass</v>
      </c>
      <c r="B8" s="9" t="str">
        <v>VA</v>
      </c>
      <c r="C8" s="24">
        <f>SUM(Jan!C8, Feb!C8, Mar!C8)</f>
        <v>208105</v>
      </c>
      <c r="D8" s="13">
        <f>SUM(Jan!D8, Feb!D8, Mar!D8)</f>
        <v>0</v>
      </c>
      <c r="E8" s="13">
        <f t="shared" si="3"/>
        <v>208105</v>
      </c>
      <c r="F8" s="14" t="str">
        <f t="shared" si="1"/>
        <v/>
      </c>
      <c r="G8" s="15">
        <f>SUM(Jan!G8, Feb!G8, Mar!G8)</f>
        <v>279890</v>
      </c>
      <c r="H8" s="15">
        <f>SUM(Jan!H8, Feb!H8, Mar!H8)</f>
        <v>-71785</v>
      </c>
      <c r="I8" s="16">
        <f t="shared" si="2"/>
        <v>-0.25647575833363107</v>
      </c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6 I4:I86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8"/>
  <sheetViews>
    <sheetView workbookViewId="0">
      <pane xSplit="2" ySplit="3" topLeftCell="C4" activePane="bottomRight" state="frozen"/>
      <selection pane="bottomRight" activeCell="H12" sqref="H12"/>
      <selection pane="bottomLeft" activeCell="D12" sqref="D12"/>
      <selection pane="topRight" activeCell="D12" sqref="D1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0" t="str" cm="1">
        <f t="array" ref="A1">portfolio</f>
        <v>True Green Capital Management LLC</v>
      </c>
      <c r="B1" s="80"/>
      <c r="C1" s="80"/>
      <c r="D1" s="81" t="s">
        <v>12</v>
      </c>
      <c r="E1" s="81"/>
      <c r="F1" s="81"/>
      <c r="G1" s="79" t="s">
        <v>13</v>
      </c>
      <c r="H1" s="79"/>
      <c r="I1" s="79"/>
    </row>
    <row r="2" spans="1:9" ht="19.5" customHeight="1">
      <c r="A2" s="82" t="s">
        <v>2</v>
      </c>
      <c r="B2" s="82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8">Sites[Site]</f>
        <v>Rochester - 5516 Valleyhigh NW</v>
      </c>
      <c r="B4" s="9" t="str" cm="1">
        <f t="array" ref="B4:B8">Sites[State]</f>
        <v>MN</v>
      </c>
      <c r="C4" s="24">
        <f>SUM(Apr!C4, May!C4, Jun!C4)</f>
        <v>0</v>
      </c>
      <c r="D4" s="13">
        <f>SUM(Apr!D4,May!D4,Jun!D4)</f>
        <v>0</v>
      </c>
      <c r="E4" s="13">
        <f>IF(AND(ISNUMBER(C4),ISNUMBER(D4)), C4-D4, "")</f>
        <v>0</v>
      </c>
      <c r="F4" s="14" t="str">
        <f>IFERROR(E4/D4, "")</f>
        <v/>
      </c>
      <c r="G4" s="15">
        <f>SUM(Apr!G4,May!G4,Jun!G4)</f>
        <v>0</v>
      </c>
      <c r="H4" s="15">
        <f>SUM(Apr!H4,May!H4,Jun!G4)</f>
        <v>0</v>
      </c>
      <c r="I4" s="16" t="str">
        <f>IFERROR(H4/G4, "")</f>
        <v/>
      </c>
    </row>
    <row r="5" spans="1:9" ht="15.6">
      <c r="A5" s="17" t="str">
        <v>Warsaw - Hemings</v>
      </c>
      <c r="B5" s="10" t="str">
        <v>VA</v>
      </c>
      <c r="C5" s="11">
        <f>SUM(Apr!C5, May!C5, Jun!C5)</f>
        <v>0</v>
      </c>
      <c r="D5" s="18">
        <f>SUM(Apr!D5,May!D5,Jun!D5)</f>
        <v>0</v>
      </c>
      <c r="E5" s="18">
        <f t="shared" ref="E5:E6" si="0">IF(AND(ISNUMBER(C5),ISNUMBER(D5)), C5-D5, "")</f>
        <v>0</v>
      </c>
      <c r="F5" s="19" t="str">
        <f>IFERROR(E5/D5, "")</f>
        <v/>
      </c>
      <c r="G5" s="20">
        <f>SUM(Apr!G5,May!G5,Jun!G5)</f>
        <v>0</v>
      </c>
      <c r="H5" s="20">
        <f>SUM(Apr!H5,May!H5,Jun!G5)</f>
        <v>0</v>
      </c>
      <c r="I5" s="19" t="str">
        <f>IFERROR(H5/G5, "")</f>
        <v/>
      </c>
    </row>
    <row r="6" spans="1:9" ht="15.6">
      <c r="A6" s="12" t="str">
        <v>Mount Jackson - Randolf</v>
      </c>
      <c r="B6" s="9" t="str">
        <v>VA</v>
      </c>
      <c r="C6" s="24">
        <f>SUM(Apr!C6, May!C6, Jun!C6)</f>
        <v>0</v>
      </c>
      <c r="D6" s="13">
        <f>SUM(Apr!D6,May!D6,Jun!D6)</f>
        <v>0</v>
      </c>
      <c r="E6" s="13">
        <f t="shared" si="0"/>
        <v>0</v>
      </c>
      <c r="F6" s="14" t="str">
        <f t="shared" ref="F6:F8" si="1">IFERROR(E6/D6, "")</f>
        <v/>
      </c>
      <c r="G6" s="15">
        <f>SUM(Apr!G6,May!G6,Jun!G6)</f>
        <v>0</v>
      </c>
      <c r="H6" s="15">
        <f>SUM(Apr!H6,May!H6,Jun!G6)</f>
        <v>0</v>
      </c>
      <c r="I6" s="16" t="str">
        <f t="shared" ref="I6:I8" si="2">IFERROR(H6/G6, "")</f>
        <v/>
      </c>
    </row>
    <row r="7" spans="1:9" ht="15.6">
      <c r="A7" s="17" t="str">
        <v>Callands Gretna - Monroe</v>
      </c>
      <c r="B7" s="10" t="str">
        <v>VA</v>
      </c>
      <c r="C7" s="11">
        <f>SUM(Apr!C7, May!C7, Jun!C7)</f>
        <v>0</v>
      </c>
      <c r="D7" s="18">
        <f>SUM(Apr!D7,May!D7,Jun!D7)</f>
        <v>0</v>
      </c>
      <c r="E7" s="18">
        <f t="shared" ref="E7:E8" si="3">IF(AND(ISNUMBER(C7),ISNUMBER(D7)), C7-D7, "")</f>
        <v>0</v>
      </c>
      <c r="F7" s="19" t="str">
        <f t="shared" si="1"/>
        <v/>
      </c>
      <c r="G7" s="20">
        <f>SUM(Apr!G7,May!G7,Jun!G7)</f>
        <v>0</v>
      </c>
      <c r="H7" s="20">
        <f>SUM(Apr!H7,May!H7,Jun!G7)</f>
        <v>0</v>
      </c>
      <c r="I7" s="19" t="str">
        <f t="shared" si="2"/>
        <v/>
      </c>
    </row>
    <row r="8" spans="1:9" ht="15.6">
      <c r="A8" s="12" t="str">
        <v>Rockbridge Baths - Small Mouth Bass</v>
      </c>
      <c r="B8" s="9" t="str">
        <v>VA</v>
      </c>
      <c r="C8" s="24">
        <f>SUM(Apr!C8, May!C8, Jun!C8)</f>
        <v>0</v>
      </c>
      <c r="D8" s="13">
        <f>SUM(Apr!D8,May!D8,Jun!D8)</f>
        <v>0</v>
      </c>
      <c r="E8" s="13">
        <f t="shared" si="3"/>
        <v>0</v>
      </c>
      <c r="F8" s="14" t="str">
        <f t="shared" si="1"/>
        <v/>
      </c>
      <c r="G8" s="15">
        <f>SUM(Apr!G8,May!G8,Jun!G8)</f>
        <v>0</v>
      </c>
      <c r="H8" s="15">
        <f>SUM(Apr!H8,May!H8,Jun!G8)</f>
        <v>0</v>
      </c>
      <c r="I8" s="16" t="str">
        <f t="shared" si="2"/>
        <v/>
      </c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6 I4:I86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8"/>
  <sheetViews>
    <sheetView workbookViewId="0">
      <pane xSplit="2" ySplit="3" topLeftCell="C4" activePane="bottomRight" state="frozen"/>
      <selection pane="bottomRight" activeCell="D20" sqref="D20"/>
      <selection pane="bottomLeft" activeCell="A16" sqref="A16"/>
      <selection pane="topRight" activeCell="A16" sqref="A1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0" t="str" cm="1">
        <f t="array" ref="A1">portfolio</f>
        <v>True Green Capital Management LLC</v>
      </c>
      <c r="B1" s="80"/>
      <c r="C1" s="80"/>
      <c r="D1" s="81" t="s">
        <v>14</v>
      </c>
      <c r="E1" s="81"/>
      <c r="F1" s="81"/>
      <c r="G1" s="79" t="s">
        <v>15</v>
      </c>
      <c r="H1" s="79"/>
      <c r="I1" s="79"/>
    </row>
    <row r="2" spans="1:9" ht="19.5" customHeight="1">
      <c r="A2" s="82" t="s">
        <v>2</v>
      </c>
      <c r="B2" s="82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8">Sites[Site]</f>
        <v>Rochester - 5516 Valleyhigh NW</v>
      </c>
      <c r="B4" s="9" t="str" cm="1">
        <f t="array" ref="B4:B8">Sites[State]</f>
        <v>MN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SUM(Jul!G4,Aug!G4,Sep!G4)</f>
        <v>0</v>
      </c>
      <c r="H4" s="15">
        <f>SUM(Jul!H4, Aug!H4, Sep!H4)</f>
        <v>0</v>
      </c>
      <c r="I4" s="16" t="str">
        <f>IFERROR(H4/G4, "")</f>
        <v/>
      </c>
    </row>
    <row r="5" spans="1:9" ht="15.6">
      <c r="A5" s="17" t="str">
        <v>Warsaw - Hemings</v>
      </c>
      <c r="B5" s="10" t="str">
        <v>VA</v>
      </c>
      <c r="C5" s="11">
        <f>SUM(Jul!C5, Aug!C5, Sep!C5)</f>
        <v>0</v>
      </c>
      <c r="D5" s="18">
        <f>SUM(Jul!D5, Aug!D5, Sep!D5)</f>
        <v>0</v>
      </c>
      <c r="E5" s="18">
        <f t="shared" ref="E5:E6" si="0">IF(AND(ISNUMBER(C5),ISNUMBER(D5)), C5-D5, "")</f>
        <v>0</v>
      </c>
      <c r="F5" s="19" t="str">
        <f>IFERROR(E5/D5, "")</f>
        <v/>
      </c>
      <c r="G5" s="52">
        <f>SUM(Jul!G5,Aug!G5,Sep!G5)</f>
        <v>0</v>
      </c>
      <c r="H5" s="20">
        <f>SUM(Jul!H5, Aug!H5, Sep!H5)</f>
        <v>0</v>
      </c>
      <c r="I5" s="19" t="str">
        <f>IFERROR(H5/G5, "")</f>
        <v/>
      </c>
    </row>
    <row r="6" spans="1:9" ht="15.6">
      <c r="A6" s="12" t="str">
        <v>Mount Jackson - Randolf</v>
      </c>
      <c r="B6" s="9" t="str">
        <v>VA</v>
      </c>
      <c r="C6" s="24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8" si="1">IFERROR(E6/D6, "")</f>
        <v/>
      </c>
      <c r="G6" s="15">
        <f>SUM(Jul!G6,Aug!G6,Sep!G6)</f>
        <v>0</v>
      </c>
      <c r="H6" s="15">
        <f>SUM(Jul!H6, Aug!H6, Sep!H6)</f>
        <v>0</v>
      </c>
      <c r="I6" s="16" t="str">
        <f t="shared" ref="I6:I8" si="2">IFERROR(H6/G6, "")</f>
        <v/>
      </c>
    </row>
    <row r="7" spans="1:9" ht="15.6">
      <c r="A7" s="17" t="str">
        <v>Callands Gretna - Monroe</v>
      </c>
      <c r="B7" s="10" t="str">
        <v>VA</v>
      </c>
      <c r="C7" s="11">
        <f>SUM(Jul!C7, Aug!C7, Sep!C7)</f>
        <v>0</v>
      </c>
      <c r="D7" s="18">
        <f>SUM(Jul!D7, Aug!D7, Sep!D7)</f>
        <v>0</v>
      </c>
      <c r="E7" s="18">
        <f t="shared" ref="E7:E8" si="3">IF(AND(ISNUMBER(C7),ISNUMBER(D7)), C7-D7, "")</f>
        <v>0</v>
      </c>
      <c r="F7" s="19" t="str">
        <f t="shared" si="1"/>
        <v/>
      </c>
      <c r="G7" s="52">
        <f>SUM(Jul!G7,Aug!G7,Sep!G7)</f>
        <v>0</v>
      </c>
      <c r="H7" s="20">
        <f>SUM(Jul!H7, Aug!H7, Sep!H7)</f>
        <v>0</v>
      </c>
      <c r="I7" s="19" t="str">
        <f t="shared" si="2"/>
        <v/>
      </c>
    </row>
    <row r="8" spans="1:9" ht="15.6">
      <c r="A8" s="12" t="str">
        <v>Rockbridge Baths - Small Mouth Bass</v>
      </c>
      <c r="B8" s="9" t="str">
        <v>VA</v>
      </c>
      <c r="C8" s="24">
        <f>SUM(Jul!C8, Aug!C8, Sep!C8)</f>
        <v>0</v>
      </c>
      <c r="D8" s="13">
        <f>SUM(Jul!D8, Aug!D8, Sep!D8)</f>
        <v>0</v>
      </c>
      <c r="E8" s="13">
        <f t="shared" si="3"/>
        <v>0</v>
      </c>
      <c r="F8" s="14" t="str">
        <f t="shared" si="1"/>
        <v/>
      </c>
      <c r="G8" s="15">
        <f>SUM(Jul!G8,Aug!G8,Sep!G8)</f>
        <v>0</v>
      </c>
      <c r="H8" s="15">
        <f>SUM(Jul!H8, Aug!H8, Sep!H8)</f>
        <v>0</v>
      </c>
      <c r="I8" s="16" t="str">
        <f t="shared" si="2"/>
        <v/>
      </c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48" priority="5" stopIfTrue="1" operator="lessThanOrEqual">
      <formula>-0.1</formula>
    </cfRule>
    <cfRule type="expression" dxfId="47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8"/>
  <sheetViews>
    <sheetView workbookViewId="0">
      <pane xSplit="2" ySplit="3" topLeftCell="C4" activePane="bottomRight" state="frozen"/>
      <selection pane="bottomRight" activeCell="H13" sqref="H13"/>
      <selection pane="bottomLeft" activeCell="A16" sqref="A16"/>
      <selection pane="topRight" activeCell="A16" sqref="A1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0" t="str" cm="1">
        <f t="array" ref="A1">portfolio</f>
        <v>True Green Capital Management LLC</v>
      </c>
      <c r="B1" s="80"/>
      <c r="C1" s="80"/>
      <c r="D1" s="81" t="s">
        <v>16</v>
      </c>
      <c r="E1" s="81"/>
      <c r="F1" s="81"/>
      <c r="G1" s="79" t="s">
        <v>17</v>
      </c>
      <c r="H1" s="79"/>
      <c r="I1" s="79"/>
    </row>
    <row r="2" spans="1:9" ht="19.5" customHeight="1">
      <c r="A2" s="82" t="s">
        <v>2</v>
      </c>
      <c r="B2" s="82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8">Sites[Site]</f>
        <v>Rochester - 5516 Valleyhigh NW</v>
      </c>
      <c r="B4" s="9" t="str" cm="1">
        <f t="array" ref="B4:B8">Sites[State]</f>
        <v>MN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SUM(Oct!G4,Nov!G4,Dec!G4)</f>
        <v>0</v>
      </c>
      <c r="H4" s="15">
        <f>SUM(Oct!H4, Nov!H4, Dec!H4)</f>
        <v>0</v>
      </c>
      <c r="I4" s="16" t="str">
        <f>IFERROR(H4/G4, "")</f>
        <v/>
      </c>
    </row>
    <row r="5" spans="1:9" ht="15.6">
      <c r="A5" s="17" t="str">
        <v>Warsaw - Hemings</v>
      </c>
      <c r="B5" s="10" t="str">
        <v>VA</v>
      </c>
      <c r="C5" s="11">
        <f>SUM(Oct!C5, Nov!C5, Dec!C5)</f>
        <v>0</v>
      </c>
      <c r="D5" s="18">
        <f>SUM(Oct!D5, Nov!D5, Dec!D5)</f>
        <v>0</v>
      </c>
      <c r="E5" s="18">
        <f t="shared" ref="E5:E6" si="0">IF(AND(ISNUMBER(C5),ISNUMBER(D5)), C5-D5, "")</f>
        <v>0</v>
      </c>
      <c r="F5" s="19" t="str">
        <f>IFERROR(E5/D5, "")</f>
        <v/>
      </c>
      <c r="G5" s="20">
        <f>SUM(Oct!G5,Nov!G5,Dec!G5)</f>
        <v>0</v>
      </c>
      <c r="H5" s="20">
        <f>SUM(Oct!H5, Nov!H5, Dec!H5)</f>
        <v>0</v>
      </c>
      <c r="I5" s="19" t="str">
        <f>IFERROR(H5/G5, "")</f>
        <v/>
      </c>
    </row>
    <row r="6" spans="1:9" ht="15.6">
      <c r="A6" s="12" t="str">
        <v>Mount Jackson - Randolf</v>
      </c>
      <c r="B6" s="9" t="str">
        <v>VA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8" si="1">IFERROR(E6/D6, "")</f>
        <v/>
      </c>
      <c r="G6" s="15">
        <f>SUM(Oct!G6,Nov!G6,Dec!G6)</f>
        <v>0</v>
      </c>
      <c r="H6" s="15">
        <f>SUM(Oct!H6, Nov!H6, Dec!H6)</f>
        <v>0</v>
      </c>
      <c r="I6" s="16" t="str">
        <f t="shared" ref="I6:I8" si="2">IFERROR(H6/G6, "")</f>
        <v/>
      </c>
    </row>
    <row r="7" spans="1:9" ht="15.6">
      <c r="A7" s="17" t="str">
        <v>Callands Gretna - Monroe</v>
      </c>
      <c r="B7" s="10" t="str">
        <v>VA</v>
      </c>
      <c r="C7" s="11">
        <f>SUM(Oct!C7, Nov!C7, Dec!C7)</f>
        <v>0</v>
      </c>
      <c r="D7" s="18">
        <f>SUM(Oct!D7, Nov!D7, Dec!D7)</f>
        <v>0</v>
      </c>
      <c r="E7" s="18">
        <f t="shared" ref="E7:E8" si="3">IF(AND(ISNUMBER(C7),ISNUMBER(D7)), C7-D7, "")</f>
        <v>0</v>
      </c>
      <c r="F7" s="19" t="str">
        <f t="shared" si="1"/>
        <v/>
      </c>
      <c r="G7" s="20">
        <f>SUM(Oct!G7,Nov!G7,Dec!G7)</f>
        <v>0</v>
      </c>
      <c r="H7" s="20">
        <f>SUM(Oct!H7, Nov!H7, Dec!H7)</f>
        <v>0</v>
      </c>
      <c r="I7" s="19" t="str">
        <f t="shared" si="2"/>
        <v/>
      </c>
    </row>
    <row r="8" spans="1:9" ht="15.6">
      <c r="A8" s="12" t="str">
        <v>Rockbridge Baths - Small Mouth Bass</v>
      </c>
      <c r="B8" s="9" t="str">
        <v>VA</v>
      </c>
      <c r="C8" s="24">
        <f>SUM(Oct!C8, Nov!C8, Dec!C8)</f>
        <v>0</v>
      </c>
      <c r="D8" s="13">
        <f>SUM(Oct!D8, Nov!D8, Dec!D8)</f>
        <v>0</v>
      </c>
      <c r="E8" s="13">
        <f t="shared" si="3"/>
        <v>0</v>
      </c>
      <c r="F8" s="14" t="str">
        <f t="shared" si="1"/>
        <v/>
      </c>
      <c r="G8" s="15">
        <f>SUM(Oct!G8,Nov!G8,Dec!G8)</f>
        <v>0</v>
      </c>
      <c r="H8" s="15">
        <f>SUM(Oct!H8, Nov!H8, Dec!H8)</f>
        <v>0</v>
      </c>
      <c r="I8" s="16" t="str">
        <f t="shared" si="2"/>
        <v/>
      </c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46" priority="1" stopIfTrue="1" operator="lessThanOrEqual">
      <formula>-0.1</formula>
    </cfRule>
    <cfRule type="expression" dxfId="4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R319"/>
  <sheetViews>
    <sheetView tabSelected="1" zoomScale="70" zoomScaleNormal="70" workbookViewId="0">
      <pane xSplit="2" ySplit="3" topLeftCell="C4" activePane="bottomRight" state="frozen"/>
      <selection pane="bottomRight" activeCell="S8" sqref="S8"/>
      <selection pane="bottomLeft" activeCell="H28" sqref="H28"/>
      <selection pane="topRight" activeCell="H28" sqref="H28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36.5703125" customWidth="1"/>
    <col min="12" max="12" width="12.85546875" customWidth="1"/>
    <col min="13" max="18" width="8.85546875" style="57"/>
  </cols>
  <sheetData>
    <row r="1" spans="1:14" ht="19.5" customHeight="1">
      <c r="A1" s="80" t="str" cm="1">
        <f t="array" ref="A1">portfolio</f>
        <v>True Green Capital Management LLC</v>
      </c>
      <c r="B1" s="80"/>
      <c r="C1" s="80"/>
      <c r="D1" s="81" t="s">
        <v>18</v>
      </c>
      <c r="E1" s="81"/>
      <c r="F1" s="81"/>
      <c r="G1" s="79" t="s">
        <v>19</v>
      </c>
      <c r="H1" s="79"/>
      <c r="I1" s="79"/>
      <c r="J1" s="4"/>
      <c r="K1" s="4"/>
      <c r="L1" s="4"/>
    </row>
    <row r="2" spans="1:14" ht="19.5" customHeight="1">
      <c r="A2" s="82" t="s">
        <v>2</v>
      </c>
      <c r="B2" s="82"/>
      <c r="C2" s="5">
        <f>SUM(C4:C77)</f>
        <v>2296917.6</v>
      </c>
      <c r="D2" s="5">
        <f>SUM(D4:D77)</f>
        <v>2120939.0999999996</v>
      </c>
      <c r="E2" s="5">
        <f>C2-D2</f>
        <v>175978.50000000047</v>
      </c>
      <c r="F2" s="6">
        <f>IFERROR(E2/D2, 0)</f>
        <v>8.2971972179682343E-2</v>
      </c>
      <c r="G2" s="5">
        <f>SUM(G4:G77)</f>
        <v>2324642.4</v>
      </c>
      <c r="H2" s="7">
        <f>C2-G2</f>
        <v>-27724.799999999814</v>
      </c>
      <c r="I2" s="6">
        <f>IFERROR(H2/G2, 0)</f>
        <v>-1.1926479530787107E-2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  <c r="L2" s="4"/>
    </row>
    <row r="3" spans="1:14" ht="14.25" customHeight="1">
      <c r="A3" s="27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53" t="s">
        <v>20</v>
      </c>
      <c r="K3" s="53" t="s">
        <v>21</v>
      </c>
      <c r="L3" s="53" t="s">
        <v>22</v>
      </c>
    </row>
    <row r="4" spans="1:14" ht="118.9" customHeight="1">
      <c r="A4" s="31" t="str" cm="1">
        <f t="array" ref="A4:A8">Sites[Site]</f>
        <v>Rochester - 5516 Valleyhigh NW</v>
      </c>
      <c r="B4" s="28" t="str" cm="1">
        <f t="array" ref="B4:B8">Sites[State]</f>
        <v>MN</v>
      </c>
      <c r="C4" s="24">
        <v>925180</v>
      </c>
      <c r="D4" s="13">
        <v>840291.6</v>
      </c>
      <c r="E4" s="13">
        <f t="shared" ref="E4:E8" si="0">IF(AND(ISNUMBER(C4),ISNUMBER(D4)), C4-D4, "")</f>
        <v>84888.400000000023</v>
      </c>
      <c r="F4" s="14">
        <f t="shared" ref="F4:F8" si="1">IFERROR(E4/D4, "")</f>
        <v>0.10102254979104876</v>
      </c>
      <c r="G4" s="15">
        <v>880917.9</v>
      </c>
      <c r="H4" s="15">
        <f t="shared" ref="H4:H8" si="2">IF(AND(ISNUMBER(C4),ISNUMBER(G4)), C4-G4, "")</f>
        <v>44262.099999999977</v>
      </c>
      <c r="I4" s="16">
        <f t="shared" ref="I4:I8" si="3">IFERROR(H4/G4, "")</f>
        <v>5.0245431498213367E-2</v>
      </c>
      <c r="J4" s="62" t="s">
        <v>23</v>
      </c>
      <c r="K4" s="61" t="s">
        <v>24</v>
      </c>
      <c r="L4" s="62" t="s">
        <v>25</v>
      </c>
      <c r="M4" s="56" t="s">
        <v>26</v>
      </c>
    </row>
    <row r="5" spans="1:14" ht="201.6">
      <c r="A5" s="29" t="str">
        <v>Warsaw - Hemings</v>
      </c>
      <c r="B5" s="30" t="str">
        <v>VA</v>
      </c>
      <c r="C5" s="11">
        <v>576598.5</v>
      </c>
      <c r="D5" s="18">
        <v>605067.69999999995</v>
      </c>
      <c r="E5" s="18">
        <f t="shared" si="0"/>
        <v>-28469.199999999953</v>
      </c>
      <c r="F5" s="19">
        <f t="shared" si="1"/>
        <v>-4.7051263850309569E-2</v>
      </c>
      <c r="G5" s="20">
        <v>548915</v>
      </c>
      <c r="H5" s="20">
        <f t="shared" si="2"/>
        <v>27683.5</v>
      </c>
      <c r="I5" s="19">
        <f t="shared" si="3"/>
        <v>5.0433127169051677E-2</v>
      </c>
      <c r="J5" s="76" t="s">
        <v>27</v>
      </c>
      <c r="K5" s="78" t="s">
        <v>28</v>
      </c>
      <c r="L5" s="75" t="s">
        <v>29</v>
      </c>
      <c r="N5" s="56"/>
    </row>
    <row r="6" spans="1:14" ht="15.6">
      <c r="A6" s="31" t="str">
        <v>Mount Jackson - Randolf</v>
      </c>
      <c r="B6" s="28" t="str">
        <v>VA</v>
      </c>
      <c r="C6" s="24">
        <v>380601.1</v>
      </c>
      <c r="D6" s="13">
        <v>362070</v>
      </c>
      <c r="E6" s="13">
        <f t="shared" si="0"/>
        <v>18531.099999999977</v>
      </c>
      <c r="F6" s="14">
        <f t="shared" si="1"/>
        <v>5.118098710194155E-2</v>
      </c>
      <c r="G6" s="15">
        <v>362660.3</v>
      </c>
      <c r="H6" s="15">
        <f t="shared" si="2"/>
        <v>17940.799999999988</v>
      </c>
      <c r="I6" s="16">
        <f t="shared" si="3"/>
        <v>4.9469986099939772E-2</v>
      </c>
      <c r="J6" s="62"/>
      <c r="K6" s="61"/>
      <c r="L6" s="61"/>
    </row>
    <row r="7" spans="1:14" ht="27.75" customHeight="1">
      <c r="A7" s="29" t="str">
        <v>Callands Gretna - Monroe</v>
      </c>
      <c r="B7" s="30" t="str">
        <v>VA</v>
      </c>
      <c r="C7" s="11">
        <v>206433</v>
      </c>
      <c r="D7" s="18">
        <v>313509.8</v>
      </c>
      <c r="E7" s="18">
        <f t="shared" si="0"/>
        <v>-107076.79999999999</v>
      </c>
      <c r="F7" s="19">
        <f t="shared" si="1"/>
        <v>-0.34154211447297655</v>
      </c>
      <c r="G7" s="20">
        <v>252259.20000000001</v>
      </c>
      <c r="H7" s="20">
        <f t="shared" si="2"/>
        <v>-45826.200000000012</v>
      </c>
      <c r="I7" s="19">
        <f t="shared" si="3"/>
        <v>-0.18166314647790849</v>
      </c>
      <c r="J7" s="77" t="s">
        <v>30</v>
      </c>
      <c r="K7" s="78" t="s">
        <v>31</v>
      </c>
      <c r="L7" s="75" t="s">
        <v>32</v>
      </c>
      <c r="M7" s="56" t="s">
        <v>33</v>
      </c>
      <c r="N7" s="56"/>
    </row>
    <row r="8" spans="1:14" ht="115.15">
      <c r="A8" s="31" t="str">
        <v>Rockbridge Baths - Small Mouth Bass</v>
      </c>
      <c r="B8" s="28" t="str">
        <v>VA</v>
      </c>
      <c r="C8" s="24">
        <v>208105</v>
      </c>
      <c r="D8" s="13">
        <v>0</v>
      </c>
      <c r="E8" s="13">
        <f t="shared" si="0"/>
        <v>208105</v>
      </c>
      <c r="F8" s="14" t="str">
        <f t="shared" si="1"/>
        <v/>
      </c>
      <c r="G8" s="15">
        <v>279890</v>
      </c>
      <c r="H8" s="15">
        <f t="shared" si="2"/>
        <v>-71785</v>
      </c>
      <c r="I8" s="16">
        <f t="shared" si="3"/>
        <v>-0.25647575833363107</v>
      </c>
      <c r="J8" s="62" t="s">
        <v>34</v>
      </c>
      <c r="K8" s="61" t="s">
        <v>35</v>
      </c>
      <c r="L8" s="62" t="s">
        <v>36</v>
      </c>
      <c r="M8" s="56" t="s">
        <v>37</v>
      </c>
      <c r="N8" s="56" t="s">
        <v>37</v>
      </c>
    </row>
    <row r="9" spans="1:14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  <c r="L9" s="21"/>
    </row>
    <row r="10" spans="1:14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  <c r="L10" s="21"/>
    </row>
    <row r="11" spans="1:14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  <c r="L11" s="21"/>
    </row>
    <row r="12" spans="1:14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  <c r="L12" s="21"/>
    </row>
    <row r="13" spans="1:14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  <c r="L13" s="21"/>
    </row>
    <row r="14" spans="1:14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  <c r="L14" s="21"/>
    </row>
    <row r="15" spans="1:14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  <c r="L15" s="21"/>
    </row>
    <row r="16" spans="1:14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  <c r="L16" s="21"/>
    </row>
    <row r="17" spans="1:12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  <c r="L17" s="21"/>
    </row>
    <row r="18" spans="1:12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  <c r="L18" s="21"/>
    </row>
    <row r="19" spans="1:12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  <c r="L19" s="21"/>
    </row>
    <row r="20" spans="1:12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  <c r="L20" s="21"/>
    </row>
    <row r="21" spans="1:12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  <c r="L21" s="21"/>
    </row>
    <row r="22" spans="1:12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  <c r="L22" s="21"/>
    </row>
    <row r="23" spans="1:12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  <c r="L23" s="21"/>
    </row>
    <row r="24" spans="1:12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  <c r="L24" s="21"/>
    </row>
    <row r="25" spans="1:12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  <c r="L25" s="21"/>
    </row>
    <row r="26" spans="1:12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  <c r="L26" s="21"/>
    </row>
    <row r="27" spans="1:12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  <c r="L27" s="21"/>
    </row>
    <row r="28" spans="1:12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  <c r="L28" s="21"/>
    </row>
    <row r="29" spans="1:12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  <c r="L29" s="21"/>
    </row>
    <row r="30" spans="1:12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  <c r="L30" s="21"/>
    </row>
    <row r="31" spans="1:12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  <c r="L31" s="21"/>
    </row>
    <row r="32" spans="1:12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  <c r="L32" s="21"/>
    </row>
    <row r="33" spans="1:12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  <c r="L33" s="21"/>
    </row>
    <row r="34" spans="1:12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  <c r="L34" s="21"/>
    </row>
    <row r="35" spans="1:12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  <c r="L35" s="21"/>
    </row>
    <row r="36" spans="1:12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  <c r="L36" s="21"/>
    </row>
    <row r="37" spans="1:12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  <c r="L37" s="21"/>
    </row>
    <row r="38" spans="1:12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  <c r="L38" s="21"/>
    </row>
    <row r="39" spans="1:12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  <c r="L39" s="21"/>
    </row>
    <row r="40" spans="1:12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  <c r="L40" s="21"/>
    </row>
    <row r="41" spans="1:12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  <c r="L41" s="21"/>
    </row>
    <row r="42" spans="1:12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  <c r="L42" s="21"/>
    </row>
    <row r="43" spans="1:12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  <c r="L43" s="21"/>
    </row>
    <row r="44" spans="1:12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  <c r="L44" s="21"/>
    </row>
    <row r="45" spans="1:12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  <c r="L45" s="21"/>
    </row>
    <row r="46" spans="1:12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  <c r="L46" s="21"/>
    </row>
    <row r="47" spans="1:12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  <c r="L47" s="21"/>
    </row>
    <row r="48" spans="1:12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  <c r="L48" s="21"/>
    </row>
    <row r="49" spans="1:12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  <c r="L49" s="21"/>
    </row>
    <row r="50" spans="1:12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  <c r="L50" s="21"/>
    </row>
    <row r="51" spans="1:12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  <c r="L51" s="21"/>
    </row>
    <row r="52" spans="1:12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  <c r="L52" s="21"/>
    </row>
    <row r="53" spans="1:12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  <c r="L53" s="21"/>
    </row>
    <row r="54" spans="1:12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  <c r="L54" s="21"/>
    </row>
    <row r="55" spans="1:12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  <c r="L55" s="21"/>
    </row>
    <row r="56" spans="1:12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  <c r="L56" s="21"/>
    </row>
    <row r="57" spans="1:12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  <c r="L57" s="21"/>
    </row>
    <row r="58" spans="1:12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  <c r="L58" s="21"/>
    </row>
    <row r="59" spans="1:12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  <c r="L59" s="21"/>
    </row>
    <row r="60" spans="1:12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  <c r="L60" s="21"/>
    </row>
    <row r="61" spans="1:12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  <c r="L61" s="21"/>
    </row>
    <row r="62" spans="1:12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  <c r="L62" s="21"/>
    </row>
    <row r="63" spans="1:12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  <c r="L63" s="21"/>
    </row>
    <row r="64" spans="1:12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  <c r="L64" s="21"/>
    </row>
    <row r="65" spans="1:12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  <c r="L65" s="21"/>
    </row>
    <row r="66" spans="1:12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  <c r="L66" s="21"/>
    </row>
    <row r="67" spans="1:12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  <c r="L67" s="21"/>
    </row>
    <row r="68" spans="1:12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  <c r="L68" s="21"/>
    </row>
    <row r="69" spans="1:12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  <c r="L69" s="21"/>
    </row>
    <row r="70" spans="1:12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  <c r="L70" s="21"/>
    </row>
    <row r="71" spans="1:12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  <c r="L71" s="21"/>
    </row>
    <row r="72" spans="1:12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  <c r="L72" s="21"/>
    </row>
    <row r="73" spans="1:12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  <c r="L73" s="21"/>
    </row>
    <row r="74" spans="1:12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  <c r="L74" s="21"/>
    </row>
    <row r="75" spans="1:12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  <c r="L75" s="21"/>
    </row>
    <row r="76" spans="1:12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  <c r="L76" s="21"/>
    </row>
    <row r="77" spans="1:12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  <c r="L77" s="21"/>
    </row>
    <row r="78" spans="1:12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  <c r="L78" s="21"/>
    </row>
    <row r="79" spans="1:12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  <c r="L79" s="21"/>
    </row>
    <row r="80" spans="1:12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  <c r="L80" s="21"/>
    </row>
    <row r="81" spans="1:12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  <c r="L81" s="21"/>
    </row>
    <row r="82" spans="1:12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  <c r="L82" s="21"/>
    </row>
    <row r="83" spans="1:12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  <c r="L83" s="21"/>
    </row>
    <row r="84" spans="1:12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  <c r="L84" s="21"/>
    </row>
    <row r="85" spans="1:12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  <c r="L85" s="21"/>
    </row>
    <row r="86" spans="1:12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  <c r="L86" s="21"/>
    </row>
    <row r="87" spans="1:12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  <c r="L87" s="21"/>
    </row>
    <row r="88" spans="1:12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  <c r="L88" s="21"/>
    </row>
    <row r="89" spans="1:12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  <c r="L89" s="21"/>
    </row>
    <row r="90" spans="1:12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  <c r="L90" s="21"/>
    </row>
    <row r="91" spans="1:12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  <c r="L91" s="21"/>
    </row>
    <row r="92" spans="1:12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  <c r="L92" s="21"/>
    </row>
    <row r="93" spans="1:12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  <c r="L93" s="21"/>
    </row>
    <row r="94" spans="1:12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  <c r="L94" s="21"/>
    </row>
    <row r="95" spans="1:12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  <c r="L95" s="21"/>
    </row>
    <row r="96" spans="1:12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  <c r="L96" s="21"/>
    </row>
    <row r="97" spans="1:12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  <c r="L97" s="21"/>
    </row>
    <row r="98" spans="1:12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  <c r="L98" s="21"/>
    </row>
    <row r="99" spans="1:12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  <c r="L99" s="21"/>
    </row>
    <row r="100" spans="1:12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  <c r="L100" s="21"/>
    </row>
    <row r="101" spans="1:12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  <c r="L101" s="21"/>
    </row>
    <row r="102" spans="1:12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  <c r="L102" s="21"/>
    </row>
    <row r="103" spans="1:12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  <c r="L103" s="21"/>
    </row>
    <row r="104" spans="1:12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  <c r="L104" s="21"/>
    </row>
    <row r="105" spans="1:12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  <c r="L105" s="21"/>
    </row>
    <row r="106" spans="1:12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  <c r="L106" s="21"/>
    </row>
    <row r="107" spans="1:12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  <c r="L107" s="21"/>
    </row>
    <row r="108" spans="1:12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  <c r="L108" s="21"/>
    </row>
    <row r="109" spans="1:12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  <c r="L109" s="21"/>
    </row>
    <row r="110" spans="1:12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  <c r="L110" s="21"/>
    </row>
    <row r="111" spans="1:12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  <c r="L111" s="21"/>
    </row>
    <row r="112" spans="1:12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  <c r="L112" s="21"/>
    </row>
    <row r="113" spans="1:12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  <c r="L113" s="21"/>
    </row>
    <row r="114" spans="1:12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  <c r="L114" s="21"/>
    </row>
    <row r="115" spans="1:12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  <c r="L115" s="21"/>
    </row>
    <row r="116" spans="1:12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  <c r="L116" s="21"/>
    </row>
    <row r="117" spans="1:12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  <c r="L117" s="21"/>
    </row>
    <row r="118" spans="1:12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  <c r="L118" s="21"/>
    </row>
    <row r="119" spans="1:12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  <c r="L119" s="21"/>
    </row>
    <row r="120" spans="1:12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  <c r="L120" s="21"/>
    </row>
    <row r="121" spans="1:12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  <c r="L121" s="21"/>
    </row>
    <row r="122" spans="1:12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  <c r="L122" s="21"/>
    </row>
    <row r="123" spans="1:12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  <c r="L123" s="21"/>
    </row>
    <row r="124" spans="1:12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  <c r="L124" s="21"/>
    </row>
    <row r="125" spans="1:12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  <c r="L125" s="21"/>
    </row>
    <row r="126" spans="1:12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  <c r="L126" s="21"/>
    </row>
    <row r="127" spans="1:12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  <c r="L127" s="21"/>
    </row>
    <row r="128" spans="1:12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  <c r="L128" s="21"/>
    </row>
    <row r="129" spans="1:12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  <c r="L129" s="21"/>
    </row>
    <row r="130" spans="1:12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  <c r="L130" s="21"/>
    </row>
    <row r="131" spans="1:12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  <c r="L131" s="21"/>
    </row>
    <row r="132" spans="1:12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  <c r="L132" s="21"/>
    </row>
    <row r="133" spans="1:12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  <c r="L133" s="21"/>
    </row>
    <row r="134" spans="1:12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  <c r="L134" s="21"/>
    </row>
    <row r="135" spans="1:12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  <c r="L135" s="21"/>
    </row>
    <row r="136" spans="1:12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  <c r="L136" s="21"/>
    </row>
    <row r="137" spans="1:12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  <c r="L137" s="21"/>
    </row>
    <row r="138" spans="1:12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  <c r="L138" s="21"/>
    </row>
    <row r="139" spans="1:12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  <c r="L139" s="21"/>
    </row>
    <row r="140" spans="1:12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  <c r="L140" s="21"/>
    </row>
    <row r="141" spans="1:12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  <c r="L141" s="21"/>
    </row>
    <row r="142" spans="1:12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  <c r="L142" s="21"/>
    </row>
    <row r="143" spans="1:12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  <c r="L143" s="21"/>
    </row>
    <row r="144" spans="1:12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  <c r="L144" s="21"/>
    </row>
    <row r="145" spans="1:12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  <c r="L145" s="21"/>
    </row>
    <row r="146" spans="1:12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  <c r="L146" s="21"/>
    </row>
    <row r="147" spans="1:12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  <c r="L147" s="21"/>
    </row>
    <row r="148" spans="1:12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  <c r="L148" s="21"/>
    </row>
    <row r="149" spans="1:12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  <c r="L149" s="21"/>
    </row>
    <row r="150" spans="1:12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  <c r="L150" s="21"/>
    </row>
    <row r="151" spans="1:12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  <c r="L151" s="21"/>
    </row>
    <row r="152" spans="1:12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  <c r="L152" s="21"/>
    </row>
    <row r="153" spans="1:12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  <c r="L153" s="21"/>
    </row>
    <row r="154" spans="1:12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  <c r="L154" s="21"/>
    </row>
    <row r="155" spans="1:12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  <c r="L155" s="21"/>
    </row>
    <row r="156" spans="1:12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  <c r="L156" s="21"/>
    </row>
    <row r="157" spans="1:12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  <c r="L157" s="21"/>
    </row>
    <row r="158" spans="1:12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  <c r="L158" s="21"/>
    </row>
    <row r="159" spans="1:12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  <c r="L159" s="21"/>
    </row>
    <row r="160" spans="1:12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  <c r="L160" s="21"/>
    </row>
    <row r="161" spans="1:12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  <c r="L161" s="21"/>
    </row>
    <row r="162" spans="1:12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  <c r="L162" s="21"/>
    </row>
    <row r="163" spans="1:12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  <c r="L163" s="21"/>
    </row>
    <row r="164" spans="1:12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  <c r="L164" s="21"/>
    </row>
    <row r="165" spans="1:12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  <c r="L165" s="21"/>
    </row>
    <row r="166" spans="1:12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  <c r="L166" s="21"/>
    </row>
    <row r="167" spans="1:12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  <c r="L167" s="21"/>
    </row>
    <row r="168" spans="1:12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  <c r="L168" s="21"/>
    </row>
    <row r="169" spans="1:12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  <c r="L169" s="21"/>
    </row>
    <row r="170" spans="1:12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  <c r="L170" s="21"/>
    </row>
    <row r="171" spans="1:12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  <c r="L171" s="21"/>
    </row>
    <row r="172" spans="1:12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  <c r="L172" s="21"/>
    </row>
    <row r="173" spans="1:12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  <c r="L173" s="21"/>
    </row>
    <row r="174" spans="1:12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  <c r="L174" s="21"/>
    </row>
    <row r="175" spans="1:12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  <c r="L175" s="21"/>
    </row>
    <row r="176" spans="1:12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  <c r="L176" s="21"/>
    </row>
    <row r="177" spans="1:12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  <c r="L177" s="21"/>
    </row>
    <row r="178" spans="1:12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  <c r="L178" s="21"/>
    </row>
    <row r="179" spans="1:12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  <c r="L179" s="21"/>
    </row>
    <row r="180" spans="1:12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  <c r="L180" s="21"/>
    </row>
    <row r="181" spans="1:12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  <c r="L181" s="21"/>
    </row>
    <row r="182" spans="1:12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  <c r="L182" s="21"/>
    </row>
    <row r="183" spans="1:12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  <c r="L183" s="21"/>
    </row>
    <row r="184" spans="1:12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  <c r="L184" s="21"/>
    </row>
    <row r="185" spans="1:12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  <c r="L185" s="21"/>
    </row>
    <row r="186" spans="1:12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  <c r="L186" s="21"/>
    </row>
    <row r="187" spans="1:12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  <c r="L187" s="21"/>
    </row>
    <row r="188" spans="1:12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  <c r="L188" s="21"/>
    </row>
    <row r="189" spans="1:12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  <c r="L189" s="21"/>
    </row>
    <row r="190" spans="1:12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  <c r="L190" s="21"/>
    </row>
    <row r="191" spans="1:12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  <c r="L191" s="21"/>
    </row>
    <row r="192" spans="1:12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  <c r="L192" s="21"/>
    </row>
    <row r="193" spans="1:12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  <c r="L193" s="21"/>
    </row>
    <row r="194" spans="1:12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  <c r="L194" s="21"/>
    </row>
    <row r="195" spans="1:12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  <c r="L195" s="21"/>
    </row>
    <row r="196" spans="1:12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  <c r="L196" s="21"/>
    </row>
    <row r="197" spans="1:12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  <c r="L197" s="21"/>
    </row>
    <row r="198" spans="1:12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  <c r="L198" s="21"/>
    </row>
    <row r="199" spans="1:12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  <c r="L199" s="21"/>
    </row>
    <row r="200" spans="1:12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  <c r="L200" s="21"/>
    </row>
    <row r="201" spans="1:12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  <c r="L201" s="21"/>
    </row>
    <row r="202" spans="1:12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  <c r="L202" s="21"/>
    </row>
    <row r="203" spans="1:12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  <c r="L203" s="21"/>
    </row>
    <row r="204" spans="1:12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  <c r="L204" s="21"/>
    </row>
    <row r="205" spans="1:12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  <c r="L205" s="21"/>
    </row>
    <row r="206" spans="1:12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  <c r="L206" s="21"/>
    </row>
    <row r="207" spans="1:12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  <c r="L207" s="21"/>
    </row>
    <row r="208" spans="1:12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  <c r="L208" s="21"/>
    </row>
    <row r="209" spans="1:12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  <c r="L209" s="21"/>
    </row>
    <row r="210" spans="1:12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  <c r="L210" s="21"/>
    </row>
    <row r="211" spans="1:12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  <c r="L211" s="21"/>
    </row>
    <row r="212" spans="1:12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  <c r="L212" s="21"/>
    </row>
    <row r="213" spans="1:12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  <c r="L213" s="21"/>
    </row>
    <row r="214" spans="1:12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  <c r="L214" s="21"/>
    </row>
    <row r="215" spans="1:12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  <c r="L215" s="21"/>
    </row>
    <row r="216" spans="1:12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  <c r="L216" s="21"/>
    </row>
    <row r="217" spans="1:12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  <c r="L217" s="21"/>
    </row>
    <row r="218" spans="1:12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  <c r="L218" s="21"/>
    </row>
    <row r="219" spans="1:12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  <c r="L219" s="21"/>
    </row>
    <row r="220" spans="1:12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  <c r="L220" s="21"/>
    </row>
    <row r="221" spans="1:12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  <c r="L221" s="21"/>
    </row>
    <row r="222" spans="1:12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  <c r="L222" s="21"/>
    </row>
    <row r="223" spans="1:12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  <c r="L223" s="21"/>
    </row>
    <row r="224" spans="1:12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  <c r="L224" s="21"/>
    </row>
    <row r="225" spans="1:12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  <c r="L225" s="21"/>
    </row>
    <row r="226" spans="1:12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  <c r="L226" s="21"/>
    </row>
    <row r="227" spans="1:12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  <c r="L227" s="21"/>
    </row>
    <row r="228" spans="1:12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  <c r="L228" s="21"/>
    </row>
    <row r="229" spans="1:12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  <c r="L229" s="21"/>
    </row>
    <row r="230" spans="1:12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  <c r="L230" s="21"/>
    </row>
    <row r="231" spans="1:12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  <c r="L231" s="21"/>
    </row>
    <row r="232" spans="1:12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  <c r="L232" s="21"/>
    </row>
    <row r="233" spans="1:12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  <c r="L233" s="21"/>
    </row>
    <row r="234" spans="1:12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  <c r="L234" s="21"/>
    </row>
    <row r="235" spans="1:12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  <c r="L235" s="21"/>
    </row>
    <row r="236" spans="1:12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  <c r="L236" s="21"/>
    </row>
    <row r="237" spans="1:12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  <c r="L237" s="21"/>
    </row>
    <row r="238" spans="1:12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  <c r="L238" s="21"/>
    </row>
    <row r="239" spans="1:12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  <c r="L239" s="21"/>
    </row>
    <row r="240" spans="1:12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  <c r="L240" s="21"/>
    </row>
    <row r="241" spans="1:12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  <c r="L241" s="21"/>
    </row>
    <row r="242" spans="1:12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  <c r="L242" s="21"/>
    </row>
    <row r="243" spans="1:12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  <c r="L243" s="21"/>
    </row>
    <row r="244" spans="1:12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  <c r="L244" s="21"/>
    </row>
    <row r="245" spans="1:12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  <c r="L245" s="21"/>
    </row>
    <row r="246" spans="1:12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  <c r="L246" s="21"/>
    </row>
    <row r="247" spans="1:12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  <c r="L247" s="21"/>
    </row>
    <row r="248" spans="1:12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  <c r="L248" s="21"/>
    </row>
    <row r="249" spans="1:12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  <c r="L249" s="21"/>
    </row>
    <row r="250" spans="1:12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  <c r="L250" s="21"/>
    </row>
    <row r="251" spans="1:12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  <c r="L251" s="21"/>
    </row>
    <row r="252" spans="1:12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  <c r="L252" s="21"/>
    </row>
    <row r="253" spans="1:12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  <c r="L253" s="21"/>
    </row>
    <row r="254" spans="1:12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  <c r="L254" s="21"/>
    </row>
    <row r="255" spans="1:12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  <c r="L255" s="21"/>
    </row>
    <row r="256" spans="1:12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  <c r="L256" s="21"/>
    </row>
    <row r="257" spans="1:12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  <c r="L257" s="21"/>
    </row>
    <row r="258" spans="1:12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  <c r="L258" s="21"/>
    </row>
    <row r="259" spans="1:12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  <c r="L259" s="21"/>
    </row>
    <row r="260" spans="1:12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  <c r="L260" s="21"/>
    </row>
    <row r="261" spans="1:12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  <c r="L261" s="21"/>
    </row>
    <row r="262" spans="1:12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  <c r="L262" s="21"/>
    </row>
    <row r="263" spans="1:12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  <c r="L263" s="21"/>
    </row>
    <row r="264" spans="1:12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  <c r="L264" s="21"/>
    </row>
    <row r="265" spans="1:12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  <c r="L265" s="21"/>
    </row>
    <row r="266" spans="1:12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  <c r="L266" s="21"/>
    </row>
    <row r="267" spans="1:12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  <c r="L267" s="21"/>
    </row>
    <row r="268" spans="1:12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  <c r="L268" s="21"/>
    </row>
    <row r="269" spans="1:12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  <c r="L269" s="21"/>
    </row>
    <row r="270" spans="1:12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  <c r="L270" s="21"/>
    </row>
    <row r="271" spans="1:12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  <c r="L271" s="21"/>
    </row>
    <row r="272" spans="1:12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  <c r="L272" s="21"/>
    </row>
    <row r="273" spans="1:12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  <c r="L273" s="21"/>
    </row>
    <row r="274" spans="1:12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  <c r="L274" s="21"/>
    </row>
    <row r="275" spans="1:12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  <c r="L275" s="21"/>
    </row>
    <row r="276" spans="1:12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  <c r="L276" s="21"/>
    </row>
    <row r="277" spans="1:12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  <c r="L277" s="21"/>
    </row>
    <row r="278" spans="1:12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  <c r="L278" s="21"/>
    </row>
    <row r="279" spans="1:12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  <c r="L279" s="21"/>
    </row>
    <row r="280" spans="1:12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  <c r="L280" s="21"/>
    </row>
    <row r="281" spans="1:12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  <c r="L281" s="21"/>
    </row>
    <row r="282" spans="1:12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  <c r="L282" s="21"/>
    </row>
    <row r="283" spans="1:12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  <c r="L283" s="21"/>
    </row>
    <row r="284" spans="1:12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  <c r="L284" s="21"/>
    </row>
    <row r="285" spans="1:12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  <c r="L285" s="21"/>
    </row>
    <row r="286" spans="1:12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  <c r="L286" s="21"/>
    </row>
    <row r="287" spans="1:12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  <c r="L287" s="21"/>
    </row>
    <row r="288" spans="1:12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  <c r="L288" s="21"/>
    </row>
    <row r="289" spans="1:12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  <c r="L289" s="21"/>
    </row>
    <row r="290" spans="1:12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  <c r="L290" s="21"/>
    </row>
    <row r="291" spans="1:12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  <c r="L291" s="21"/>
    </row>
    <row r="292" spans="1:12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  <c r="L292" s="21"/>
    </row>
    <row r="293" spans="1:12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  <c r="L293" s="21"/>
    </row>
    <row r="294" spans="1:12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  <c r="L294" s="21"/>
    </row>
    <row r="295" spans="1:12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  <c r="L295" s="21"/>
    </row>
    <row r="296" spans="1:12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  <c r="L296" s="21"/>
    </row>
    <row r="297" spans="1:12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  <c r="L297" s="21"/>
    </row>
    <row r="298" spans="1:12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  <c r="L298" s="21"/>
    </row>
    <row r="299" spans="1:12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  <c r="L299" s="21"/>
    </row>
    <row r="300" spans="1:12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  <c r="L300" s="21"/>
    </row>
    <row r="301" spans="1:12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  <c r="L301" s="21"/>
    </row>
    <row r="302" spans="1:12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  <c r="L302" s="21"/>
    </row>
    <row r="303" spans="1:12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  <c r="L303" s="21"/>
    </row>
    <row r="304" spans="1:12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  <c r="L304" s="21"/>
    </row>
    <row r="305" spans="1:12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  <c r="L305" s="21"/>
    </row>
    <row r="306" spans="1:12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  <c r="L306" s="21"/>
    </row>
    <row r="307" spans="1:12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  <c r="L307" s="21"/>
    </row>
    <row r="308" spans="1:12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  <c r="L308" s="21"/>
    </row>
    <row r="309" spans="1:12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  <c r="L309" s="21"/>
    </row>
    <row r="310" spans="1:12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  <c r="L310" s="21"/>
    </row>
    <row r="311" spans="1:12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  <c r="L311" s="21"/>
    </row>
    <row r="312" spans="1:12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  <c r="L312" s="21"/>
    </row>
    <row r="313" spans="1:12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  <c r="L313" s="21"/>
    </row>
    <row r="314" spans="1:12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  <c r="L314" s="21"/>
    </row>
    <row r="315" spans="1:12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  <c r="L315" s="21"/>
    </row>
    <row r="316" spans="1:12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  <c r="L316" s="21"/>
    </row>
    <row r="317" spans="1:12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  <c r="L317" s="21"/>
    </row>
    <row r="318" spans="1:12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  <c r="L318" s="21"/>
    </row>
    <row r="319" spans="1:12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  <c r="L319" s="21"/>
    </row>
  </sheetData>
  <mergeCells count="4">
    <mergeCell ref="D1:F1"/>
    <mergeCell ref="A1:C1"/>
    <mergeCell ref="G1:I1"/>
    <mergeCell ref="A2:B2"/>
  </mergeCells>
  <phoneticPr fontId="5" type="noConversion"/>
  <conditionalFormatting sqref="F2 I2 F4:F77 I4:I77">
    <cfRule type="cellIs" dxfId="44" priority="4" stopIfTrue="1" operator="lessThanOrEqual">
      <formula>-0.1</formula>
    </cfRule>
    <cfRule type="expression" dxfId="43" priority="5">
      <formula>AND(ISNUMBER(F2), F2&gt;=0.1)</formula>
    </cfRule>
  </conditionalFormatting>
  <hyperlinks>
    <hyperlink ref="K4" r:id="rId1" display="https://us3.assetplanner.com/service_request?ID=109898" xr:uid="{E79CA63F-C10A-45D1-B5A7-F007E60CB119}"/>
    <hyperlink ref="M4" r:id="rId2" display="https://us3.assetplanner.com/service_request?ID=099221" xr:uid="{4D7C8D1B-B803-4A9D-81A0-DB771F8166D3}"/>
    <hyperlink ref="K5" r:id="rId3" display="https://us3.assetplanner.com/service_request?ID=114121" xr:uid="{5F607714-66C9-42F3-B8B0-F9BA5578C28C}"/>
    <hyperlink ref="K7" r:id="rId4" display="https://us3.assetplanner.com/service_request?ID=101449" xr:uid="{8677A830-FECD-453F-BCAC-F8B463CBDEC5}"/>
    <hyperlink ref="M7" r:id="rId5" display="https://us3.assetplanner.com/service_request?ID=114122" xr:uid="{A0EC0369-E78E-46F7-AC95-6A58A5FDA4C0}"/>
    <hyperlink ref="K8" r:id="rId6" display="https://us3.assetplanner.com/service_request?ID=114123" xr:uid="{C495B89A-07D1-4DA8-A999-4B48B96B1929}"/>
    <hyperlink ref="M8" r:id="rId7" display="https://us3.assetplanner.com/service_request?ID=114832" xr:uid="{4337B103-A011-4B6E-AB15-628C185EB9F8}"/>
    <hyperlink ref="N8" r:id="rId8" display="https://us3.assetplanner.com/service_request?ID=114832" xr:uid="{11E33058-DF11-4F97-8BF1-43DF369DDDF1}"/>
  </hyperlinks>
  <pageMargins left="0.4" right="0.7" top="0.25" bottom="0.25" header="0.3" footer="0.3"/>
  <pageSetup fitToHeight="99" orientation="landscape" r:id="rId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28"/>
  <sheetViews>
    <sheetView zoomScale="60" zoomScaleNormal="60" workbookViewId="0">
      <pane xSplit="2" ySplit="3" topLeftCell="C4" activePane="bottomRight" state="frozen"/>
      <selection pane="bottomRight" activeCell="H28" sqref="H28"/>
      <selection pane="bottomLeft" activeCell="H28" sqref="H28"/>
      <selection pane="topRight" activeCell="H28" sqref="H28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80" t="str" cm="1">
        <f t="array" ref="A1">portfolio</f>
        <v>True Green Capital Management LLC</v>
      </c>
      <c r="B1" s="80"/>
      <c r="C1" s="80"/>
      <c r="D1" s="81" t="s">
        <v>38</v>
      </c>
      <c r="E1" s="81"/>
      <c r="F1" s="81"/>
      <c r="G1" s="79" t="s">
        <v>39</v>
      </c>
      <c r="H1" s="79"/>
      <c r="I1" s="79"/>
      <c r="J1" s="4"/>
      <c r="K1" s="4"/>
    </row>
    <row r="2" spans="1:14" ht="19.5" customHeight="1">
      <c r="A2" s="82" t="s">
        <v>2</v>
      </c>
      <c r="B2" s="82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4" ht="327" customHeight="1">
      <c r="A4" s="31" t="str" cm="1">
        <f t="array" ref="A4:A8">Sites[Site]</f>
        <v>Rochester - 5516 Valleyhigh NW</v>
      </c>
      <c r="B4" s="28" t="str" cm="1">
        <f t="array" ref="B4:B8">Sites[State]</f>
        <v>MN</v>
      </c>
      <c r="C4" s="43"/>
      <c r="D4" s="13"/>
      <c r="E4" s="13" t="str">
        <f t="shared" ref="E4:E8" si="0">IF(AND(ISNUMBER(C4),ISNUMBER(D4)), C4-D4, "")</f>
        <v/>
      </c>
      <c r="F4" s="14" t="str">
        <f t="shared" ref="F4:F8" si="1">IFERROR(E4/D4, "")</f>
        <v/>
      </c>
      <c r="G4" s="64"/>
      <c r="H4" s="15" t="str">
        <f t="shared" ref="H4:H8" si="2">IF(AND(ISNUMBER(C4),ISNUMBER(G4)), C4-G4, "")</f>
        <v/>
      </c>
      <c r="I4" s="16" t="str">
        <f t="shared" ref="I4:I8" si="3">IFERROR(H4/G4, "")</f>
        <v/>
      </c>
      <c r="J4" s="62"/>
      <c r="K4" s="61"/>
      <c r="L4" s="59"/>
    </row>
    <row r="5" spans="1:14" ht="139.15" customHeight="1">
      <c r="A5" s="29" t="str">
        <v>Warsaw - Hemings</v>
      </c>
      <c r="B5" s="30" t="str">
        <v>VA</v>
      </c>
      <c r="C5" s="48"/>
      <c r="D5" s="58"/>
      <c r="E5" s="18" t="str">
        <f t="shared" si="0"/>
        <v/>
      </c>
      <c r="F5" s="19" t="str">
        <f t="shared" si="1"/>
        <v/>
      </c>
      <c r="G5" s="65"/>
      <c r="H5" s="20" t="str">
        <f t="shared" si="2"/>
        <v/>
      </c>
      <c r="I5" s="19" t="str">
        <f t="shared" si="3"/>
        <v/>
      </c>
      <c r="J5" s="76"/>
      <c r="K5" s="63"/>
      <c r="L5" s="59"/>
      <c r="M5" s="59"/>
      <c r="N5" s="59"/>
    </row>
    <row r="6" spans="1:14" ht="15.6">
      <c r="A6" s="31" t="str">
        <v>Mount Jackson - Randolf</v>
      </c>
      <c r="B6" s="28" t="str">
        <v>VA</v>
      </c>
      <c r="C6" s="43"/>
      <c r="D6" s="13"/>
      <c r="E6" s="13" t="str">
        <f t="shared" si="0"/>
        <v/>
      </c>
      <c r="F6" s="14" t="str">
        <f t="shared" si="1"/>
        <v/>
      </c>
      <c r="G6" s="64"/>
      <c r="H6" s="15" t="str">
        <f t="shared" si="2"/>
        <v/>
      </c>
      <c r="I6" s="16" t="str">
        <f t="shared" si="3"/>
        <v/>
      </c>
      <c r="J6" s="62"/>
      <c r="K6" s="61"/>
      <c r="L6" s="59"/>
    </row>
    <row r="7" spans="1:14" ht="143.25" customHeight="1">
      <c r="A7" s="29" t="str">
        <v>Callands Gretna - Monroe</v>
      </c>
      <c r="B7" s="30" t="str">
        <v>VA</v>
      </c>
      <c r="C7" s="48"/>
      <c r="D7" s="65"/>
      <c r="E7" s="18" t="str">
        <f t="shared" si="0"/>
        <v/>
      </c>
      <c r="F7" s="19" t="str">
        <f t="shared" si="1"/>
        <v/>
      </c>
      <c r="G7" s="66"/>
      <c r="H7" s="20" t="str">
        <f t="shared" si="2"/>
        <v/>
      </c>
      <c r="I7" s="19" t="str">
        <f t="shared" si="3"/>
        <v/>
      </c>
      <c r="J7" s="77"/>
      <c r="K7" s="63"/>
      <c r="L7" s="59"/>
      <c r="M7" s="59"/>
      <c r="N7" s="59"/>
    </row>
    <row r="8" spans="1:14" ht="15.6">
      <c r="A8" s="31" t="str">
        <v>Rockbridge Baths - Small Mouth Bass</v>
      </c>
      <c r="B8" s="28" t="str">
        <v>VA</v>
      </c>
      <c r="C8" s="43"/>
      <c r="D8" s="13"/>
      <c r="E8" s="13" t="str">
        <f t="shared" si="0"/>
        <v/>
      </c>
      <c r="F8" s="14" t="str">
        <f t="shared" si="1"/>
        <v/>
      </c>
      <c r="G8" s="64"/>
      <c r="H8" s="15" t="str">
        <f t="shared" si="2"/>
        <v/>
      </c>
      <c r="I8" s="16" t="str">
        <f t="shared" si="3"/>
        <v/>
      </c>
      <c r="J8" s="62"/>
      <c r="K8" s="61"/>
      <c r="L8" s="59"/>
    </row>
    <row r="9" spans="1:14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4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4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4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4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4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4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4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 F4:F86 I4:I86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Q329"/>
  <sheetViews>
    <sheetView zoomScale="60" zoomScaleNormal="60" workbookViewId="0">
      <pane xSplit="2" ySplit="3" topLeftCell="C4" activePane="bottomRight" state="frozen"/>
      <selection pane="bottomRight" activeCell="H28" sqref="H28"/>
      <selection pane="bottomLeft" activeCell="H28" sqref="H28"/>
      <selection pane="topRight" activeCell="H28" sqref="H28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6.28515625" customWidth="1"/>
    <col min="11" max="11" width="20.5703125" bestFit="1" customWidth="1"/>
  </cols>
  <sheetData>
    <row r="1" spans="1:17" ht="19.5" customHeight="1">
      <c r="A1" s="80" t="str" cm="1">
        <f t="array" ref="A1">portfolio</f>
        <v>True Green Capital Management LLC</v>
      </c>
      <c r="B1" s="80"/>
      <c r="C1" s="80"/>
      <c r="D1" s="81" t="s">
        <v>40</v>
      </c>
      <c r="E1" s="81"/>
      <c r="F1" s="81"/>
      <c r="G1" s="79" t="s">
        <v>41</v>
      </c>
      <c r="H1" s="79"/>
      <c r="I1" s="79"/>
      <c r="J1" s="4"/>
      <c r="K1" s="4"/>
    </row>
    <row r="2" spans="1:17" ht="19.5" customHeight="1">
      <c r="A2" s="82" t="s">
        <v>2</v>
      </c>
      <c r="B2" s="82"/>
      <c r="C2" s="5">
        <f>SUM(C4:C87)</f>
        <v>0</v>
      </c>
      <c r="D2" s="5">
        <f>SUM(D4:D87)</f>
        <v>0</v>
      </c>
      <c r="E2" s="5">
        <f>C2-D2</f>
        <v>0</v>
      </c>
      <c r="F2" s="6">
        <f>IFERROR(E2/D2, 0)</f>
        <v>0</v>
      </c>
      <c r="G2" s="5">
        <f>SUM(G4:G87)</f>
        <v>0</v>
      </c>
      <c r="H2" s="7">
        <f>C2-G2</f>
        <v>0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7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7" ht="313.5" customHeight="1">
      <c r="A4" s="47" t="str" cm="1">
        <f t="array" ref="A4:A8">Sites[Site]</f>
        <v>Rochester - 5516 Valleyhigh NW</v>
      </c>
      <c r="B4" s="28" t="str" cm="1">
        <f t="array" ref="B4:B8">Sites[State]</f>
        <v>MN</v>
      </c>
      <c r="C4" s="43"/>
      <c r="D4" s="13"/>
      <c r="E4" s="13" t="str">
        <f t="shared" ref="E4:E8" si="0">IF(AND(ISNUMBER(C4),ISNUMBER(D4)), C4-D4, "")</f>
        <v/>
      </c>
      <c r="F4" s="14" t="str">
        <f t="shared" ref="F4:F8" si="1">IFERROR(E4/D4, "")</f>
        <v/>
      </c>
      <c r="G4" s="44"/>
      <c r="H4" s="15" t="str">
        <f t="shared" ref="H4:H8" si="2">IF(AND(ISNUMBER(C4),ISNUMBER(G4)), C4-G4, "")</f>
        <v/>
      </c>
      <c r="I4" s="16" t="str">
        <f t="shared" ref="I4:I8" si="3">IFERROR(H4/G4, "")</f>
        <v/>
      </c>
      <c r="J4" s="40"/>
      <c r="K4" s="60"/>
      <c r="L4" s="67"/>
      <c r="M4" s="67"/>
      <c r="N4" s="67"/>
      <c r="O4" s="67"/>
      <c r="P4" s="67"/>
      <c r="Q4" s="67"/>
    </row>
    <row r="5" spans="1:17" ht="76.5" customHeight="1">
      <c r="A5" s="29" t="str">
        <v>Warsaw - Hemings</v>
      </c>
      <c r="B5" s="30" t="str">
        <v>VA</v>
      </c>
      <c r="C5" s="11"/>
      <c r="D5" s="18"/>
      <c r="E5" s="18" t="str">
        <f t="shared" si="0"/>
        <v/>
      </c>
      <c r="F5" s="19" t="str">
        <f t="shared" si="1"/>
        <v/>
      </c>
      <c r="G5" s="20"/>
      <c r="H5" s="20" t="str">
        <f t="shared" si="2"/>
        <v/>
      </c>
      <c r="I5" s="19" t="str">
        <f t="shared" si="3"/>
        <v/>
      </c>
      <c r="J5" s="45"/>
      <c r="K5" s="55"/>
      <c r="L5" s="56"/>
      <c r="M5" s="56"/>
      <c r="N5" s="56"/>
      <c r="O5" s="57"/>
    </row>
    <row r="6" spans="1:17" ht="286.5" customHeight="1">
      <c r="A6" s="47" t="str">
        <v>Mount Jackson - Randolf</v>
      </c>
      <c r="B6" s="28" t="str">
        <v>VA</v>
      </c>
      <c r="C6" s="43"/>
      <c r="D6" s="13"/>
      <c r="E6" s="13" t="str">
        <f t="shared" si="0"/>
        <v/>
      </c>
      <c r="F6" s="14" t="str">
        <f t="shared" si="1"/>
        <v/>
      </c>
      <c r="G6" s="44"/>
      <c r="H6" s="15" t="str">
        <f t="shared" si="2"/>
        <v/>
      </c>
      <c r="I6" s="16" t="str">
        <f t="shared" si="3"/>
        <v/>
      </c>
      <c r="J6" s="40"/>
      <c r="K6" s="60"/>
      <c r="L6" s="56"/>
      <c r="M6" s="56"/>
      <c r="N6" s="56"/>
      <c r="O6" s="56"/>
    </row>
    <row r="7" spans="1:17" ht="168.75" customHeight="1">
      <c r="A7" s="29" t="str">
        <v>Callands Gretna - Monroe</v>
      </c>
      <c r="B7" s="30" t="str">
        <v>VA</v>
      </c>
      <c r="C7" s="11"/>
      <c r="D7" s="18"/>
      <c r="E7" s="18" t="str">
        <f t="shared" si="0"/>
        <v/>
      </c>
      <c r="F7" s="19" t="str">
        <f t="shared" si="1"/>
        <v/>
      </c>
      <c r="G7" s="20"/>
      <c r="H7" s="20" t="str">
        <f t="shared" si="2"/>
        <v/>
      </c>
      <c r="I7" s="19" t="str">
        <f t="shared" si="3"/>
        <v/>
      </c>
      <c r="J7" s="45"/>
      <c r="K7" s="55"/>
      <c r="L7" s="57"/>
      <c r="M7" s="57"/>
      <c r="N7" s="57"/>
      <c r="O7" s="57"/>
    </row>
    <row r="8" spans="1:17" ht="38.25" customHeight="1">
      <c r="A8" s="31" t="str">
        <v>Rockbridge Baths - Small Mouth Bass</v>
      </c>
      <c r="B8" s="28" t="str">
        <v>VA</v>
      </c>
      <c r="C8" s="43"/>
      <c r="D8" s="13"/>
      <c r="E8" s="13" t="str">
        <f t="shared" si="0"/>
        <v/>
      </c>
      <c r="F8" s="14" t="str">
        <f t="shared" si="1"/>
        <v/>
      </c>
      <c r="G8" s="44"/>
      <c r="H8" s="15" t="str">
        <f t="shared" si="2"/>
        <v/>
      </c>
      <c r="I8" s="16" t="str">
        <f t="shared" si="3"/>
        <v/>
      </c>
      <c r="J8" s="40"/>
      <c r="K8" s="60"/>
      <c r="L8" s="56"/>
      <c r="M8" s="57"/>
      <c r="N8" s="57"/>
      <c r="O8" s="57"/>
    </row>
    <row r="9" spans="1:17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7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7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7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7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7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7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7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C329" s="21"/>
      <c r="D329" s="21"/>
      <c r="E329" s="21"/>
      <c r="F329" s="22"/>
      <c r="G329" s="21"/>
      <c r="H329" s="21"/>
      <c r="I329" s="22"/>
      <c r="J329" s="21"/>
      <c r="K329" s="21"/>
    </row>
  </sheetData>
  <mergeCells count="4">
    <mergeCell ref="G1:I1"/>
    <mergeCell ref="A1:C1"/>
    <mergeCell ref="D1:F1"/>
    <mergeCell ref="A2:B2"/>
  </mergeCells>
  <conditionalFormatting sqref="F2 I2 F4:F87 I4:I87">
    <cfRule type="cellIs" dxfId="40" priority="3" stopIfTrue="1" operator="lessThanOrEqual">
      <formula>-0.1</formula>
    </cfRule>
    <cfRule type="expression" dxfId="3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R328"/>
  <sheetViews>
    <sheetView zoomScale="60" zoomScaleNormal="60" workbookViewId="0">
      <pane xSplit="2" ySplit="3" topLeftCell="C4" activePane="bottomRight" state="frozen"/>
      <selection pane="bottomRight" activeCell="H28" sqref="H28"/>
      <selection pane="bottomLeft" activeCell="H28" sqref="H28"/>
      <selection pane="topRight" activeCell="H28" sqref="H28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8" width="8.85546875" style="57"/>
  </cols>
  <sheetData>
    <row r="1" spans="1:18" ht="19.5" customHeight="1">
      <c r="A1" s="80" t="str" cm="1">
        <f t="array" ref="A1">portfolio</f>
        <v>True Green Capital Management LLC</v>
      </c>
      <c r="B1" s="80"/>
      <c r="C1" s="80"/>
      <c r="D1" s="81" t="s">
        <v>42</v>
      </c>
      <c r="E1" s="81"/>
      <c r="F1" s="81"/>
      <c r="G1" s="79" t="s">
        <v>43</v>
      </c>
      <c r="H1" s="79"/>
      <c r="I1" s="79"/>
      <c r="J1" s="4"/>
      <c r="K1" s="4"/>
    </row>
    <row r="2" spans="1:18" ht="19.5" customHeight="1">
      <c r="A2" s="82" t="s">
        <v>2</v>
      </c>
      <c r="B2" s="82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8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8" ht="246.75" customHeight="1">
      <c r="A4" s="31" t="str" cm="1">
        <f t="array" ref="A4:A8">Sites[Site]</f>
        <v>Rochester - 5516 Valleyhigh NW</v>
      </c>
      <c r="B4" s="28" t="str" cm="1">
        <f t="array" ref="B4:B8">Sites[State]</f>
        <v>MN</v>
      </c>
      <c r="C4" s="24"/>
      <c r="D4" s="13"/>
      <c r="E4" s="13" t="str">
        <f t="shared" ref="E4:E7" si="0">IF(AND(ISNUMBER(C4),ISNUMBER(D4)), C4-D4, "")</f>
        <v/>
      </c>
      <c r="F4" s="14" t="str">
        <f t="shared" ref="F4:F7" si="1">IFERROR(E4/D4, "")</f>
        <v/>
      </c>
      <c r="G4" s="15"/>
      <c r="H4" s="15" t="str">
        <f t="shared" ref="H4:H7" si="2">IF(AND(ISNUMBER(C4),ISNUMBER(G4)), C4-G4, "")</f>
        <v/>
      </c>
      <c r="I4" s="16" t="str">
        <f t="shared" ref="I4:I7" si="3">IFERROR(H4/G4, "")</f>
        <v/>
      </c>
      <c r="J4" s="46"/>
      <c r="K4" s="61"/>
      <c r="L4" s="56"/>
      <c r="M4" s="56"/>
      <c r="N4" s="56"/>
      <c r="O4" s="56"/>
      <c r="P4" s="56"/>
      <c r="Q4" s="56"/>
      <c r="R4" s="56" t="s">
        <v>44</v>
      </c>
    </row>
    <row r="5" spans="1:18" ht="15.6">
      <c r="A5" s="29" t="str">
        <v>Warsaw - Hemings</v>
      </c>
      <c r="B5" s="30" t="str">
        <v>VA</v>
      </c>
      <c r="C5" s="11"/>
      <c r="D5" s="18"/>
      <c r="E5" s="18" t="str">
        <f t="shared" si="0"/>
        <v/>
      </c>
      <c r="F5" s="19" t="str">
        <f t="shared" si="1"/>
        <v/>
      </c>
      <c r="G5" s="20"/>
      <c r="H5" s="20" t="str">
        <f t="shared" si="2"/>
        <v/>
      </c>
      <c r="I5" s="19" t="str">
        <f t="shared" si="3"/>
        <v/>
      </c>
      <c r="J5" s="45"/>
      <c r="K5" s="55"/>
      <c r="L5" s="56"/>
      <c r="M5" s="56"/>
      <c r="N5" s="56"/>
    </row>
    <row r="6" spans="1:18" ht="15.6">
      <c r="A6" s="31" t="str">
        <v>Mount Jackson - Randolf</v>
      </c>
      <c r="B6" s="28" t="str">
        <v>VA</v>
      </c>
      <c r="C6" s="24"/>
      <c r="D6" s="13"/>
      <c r="E6" s="13" t="str">
        <f t="shared" si="0"/>
        <v/>
      </c>
      <c r="F6" s="14" t="str">
        <f t="shared" si="1"/>
        <v/>
      </c>
      <c r="G6" s="15"/>
      <c r="H6" s="15" t="str">
        <f t="shared" si="2"/>
        <v/>
      </c>
      <c r="I6" s="16" t="str">
        <f t="shared" si="3"/>
        <v/>
      </c>
      <c r="J6" s="46"/>
      <c r="K6" s="61"/>
      <c r="L6" s="56"/>
      <c r="M6" s="56"/>
      <c r="N6" s="56"/>
      <c r="O6" s="56"/>
      <c r="P6" s="56"/>
      <c r="Q6" s="56"/>
    </row>
    <row r="7" spans="1:18" ht="15.6">
      <c r="A7" s="29" t="str">
        <v>Callands Gretna - Monroe</v>
      </c>
      <c r="B7" s="30" t="str">
        <v>VA</v>
      </c>
      <c r="C7" s="11"/>
      <c r="D7" s="18"/>
      <c r="E7" s="18" t="str">
        <f t="shared" si="0"/>
        <v/>
      </c>
      <c r="F7" s="19" t="str">
        <f t="shared" si="1"/>
        <v/>
      </c>
      <c r="G7" s="20"/>
      <c r="H7" s="20" t="str">
        <f t="shared" si="2"/>
        <v/>
      </c>
      <c r="I7" s="19" t="str">
        <f t="shared" si="3"/>
        <v/>
      </c>
      <c r="J7" s="45"/>
      <c r="K7" s="55"/>
      <c r="L7" s="56"/>
      <c r="M7" s="56"/>
    </row>
    <row r="8" spans="1:18" ht="201.75" customHeight="1">
      <c r="A8" s="31" t="str">
        <v>Rockbridge Baths - Small Mouth Bass</v>
      </c>
      <c r="B8" s="28" t="str">
        <v>VA</v>
      </c>
      <c r="C8" s="24"/>
      <c r="D8" s="13"/>
      <c r="E8" s="13"/>
      <c r="F8" s="14"/>
      <c r="G8" s="15"/>
      <c r="H8" s="15"/>
      <c r="I8" s="16"/>
      <c r="J8" s="46"/>
      <c r="K8" s="54"/>
      <c r="L8" s="56"/>
      <c r="M8" s="56"/>
      <c r="N8" s="56"/>
      <c r="O8" s="56"/>
    </row>
    <row r="9" spans="1:18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8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8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8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8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8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8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8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 F4:F86 I4:I86">
    <cfRule type="cellIs" dxfId="38" priority="3" stopIfTrue="1" operator="lessThanOrEqual">
      <formula>-0.1</formula>
    </cfRule>
    <cfRule type="expression" dxfId="37" priority="4">
      <formula>AND(ISNUMBER(F2), F2&gt;=0.1)</formula>
    </cfRule>
  </conditionalFormatting>
  <hyperlinks>
    <hyperlink ref="R4" r:id="rId1" display="https://us3.assetplanner.com/service_request?ID=099224" xr:uid="{6462D3E9-8DA1-4E49-AFAC-C3FE07278708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N337"/>
  <sheetViews>
    <sheetView zoomScale="70" zoomScaleNormal="70" workbookViewId="0">
      <pane xSplit="2" ySplit="3" topLeftCell="C4" activePane="bottomRight" state="frozen"/>
      <selection pane="bottomRight" activeCell="H28" sqref="H28"/>
      <selection pane="bottomLeft" activeCell="H28" sqref="H28"/>
      <selection pane="topRight" activeCell="H28" sqref="H28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2.7109375" customWidth="1"/>
  </cols>
  <sheetData>
    <row r="1" spans="1:14" ht="19.5" customHeight="1">
      <c r="A1" s="80" t="str" cm="1">
        <f t="array" ref="A1">portfolio</f>
        <v>True Green Capital Management LLC</v>
      </c>
      <c r="B1" s="80"/>
      <c r="C1" s="80"/>
      <c r="D1" s="81" t="s">
        <v>45</v>
      </c>
      <c r="E1" s="81"/>
      <c r="F1" s="81"/>
      <c r="G1" s="79" t="s">
        <v>46</v>
      </c>
      <c r="H1" s="79"/>
      <c r="I1" s="79"/>
      <c r="J1" s="4"/>
      <c r="K1" s="4"/>
    </row>
    <row r="2" spans="1:14" ht="19.5" customHeight="1">
      <c r="A2" s="82" t="s">
        <v>2</v>
      </c>
      <c r="B2" s="82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4" ht="224.25" customHeight="1">
      <c r="A4" s="47" t="str" cm="1">
        <f t="array" ref="A4:A8">Sites[Site]</f>
        <v>Rochester - 5516 Valleyhigh NW</v>
      </c>
      <c r="B4" s="28" t="str" cm="1">
        <f t="array" ref="B4:B8">Sites[State]</f>
        <v>MN</v>
      </c>
      <c r="C4" s="24"/>
      <c r="D4" s="13"/>
      <c r="E4" s="13" t="str">
        <f t="shared" ref="E4:E12" si="0">IF(AND(ISNUMBER(C4),ISNUMBER(D4)), C4-D4, "")</f>
        <v/>
      </c>
      <c r="F4" s="14" t="str">
        <f t="shared" ref="F4:F12" si="1">IFERROR(E4/D4, "")</f>
        <v/>
      </c>
      <c r="G4" s="15"/>
      <c r="H4" s="15" t="str">
        <f t="shared" ref="H4:H12" si="2">IF(AND(ISNUMBER(C4),ISNUMBER(G4)), C4-G4, "")</f>
        <v/>
      </c>
      <c r="I4" s="16" t="str">
        <f t="shared" ref="I4:I12" si="3">IFERROR(H4/G4, "")</f>
        <v/>
      </c>
      <c r="J4" s="46"/>
      <c r="K4" s="61"/>
      <c r="L4" s="56"/>
      <c r="M4" s="56"/>
      <c r="N4" s="56"/>
    </row>
    <row r="5" spans="1:14" ht="50.25" customHeight="1">
      <c r="A5" s="29" t="str">
        <v>Warsaw - Hemings</v>
      </c>
      <c r="B5" s="30" t="str">
        <v>VA</v>
      </c>
      <c r="C5" s="11"/>
      <c r="D5" s="18"/>
      <c r="E5" s="18" t="str">
        <f t="shared" si="0"/>
        <v/>
      </c>
      <c r="F5" s="19" t="str">
        <f t="shared" si="1"/>
        <v/>
      </c>
      <c r="G5" s="20"/>
      <c r="H5" s="20" t="str">
        <f t="shared" si="2"/>
        <v/>
      </c>
      <c r="I5" s="19" t="str">
        <f t="shared" si="3"/>
        <v/>
      </c>
      <c r="J5" s="45"/>
      <c r="K5" s="55"/>
      <c r="L5" s="56"/>
      <c r="M5" s="57"/>
      <c r="N5" s="57"/>
    </row>
    <row r="6" spans="1:14" ht="87.75" customHeight="1">
      <c r="A6" s="47" t="str">
        <v>Mount Jackson - Randolf</v>
      </c>
      <c r="B6" s="28" t="str">
        <v>VA</v>
      </c>
      <c r="C6" s="24"/>
      <c r="D6" s="13"/>
      <c r="E6" s="13" t="str">
        <f t="shared" si="0"/>
        <v/>
      </c>
      <c r="F6" s="14" t="str">
        <f t="shared" si="1"/>
        <v/>
      </c>
      <c r="G6" s="15"/>
      <c r="H6" s="15" t="str">
        <f>IF(AND(ISNUMBER(C6),ISNUMBER(G6)), C6-G6, "")</f>
        <v/>
      </c>
      <c r="I6" s="16" t="str">
        <f t="shared" si="3"/>
        <v/>
      </c>
      <c r="J6" s="46"/>
      <c r="K6" s="54"/>
      <c r="L6" s="56"/>
      <c r="M6" s="57"/>
      <c r="N6" s="57"/>
    </row>
    <row r="7" spans="1:14" ht="61.5" customHeight="1">
      <c r="A7" s="29" t="str">
        <v>Callands Gretna - Monroe</v>
      </c>
      <c r="B7" s="30" t="str">
        <v>VA</v>
      </c>
      <c r="C7" s="11"/>
      <c r="D7" s="18"/>
      <c r="E7" s="18" t="str">
        <f t="shared" si="0"/>
        <v/>
      </c>
      <c r="F7" s="19" t="str">
        <f t="shared" si="1"/>
        <v/>
      </c>
      <c r="G7" s="20"/>
      <c r="H7" s="20" t="str">
        <f t="shared" si="2"/>
        <v/>
      </c>
      <c r="I7" s="19" t="str">
        <f t="shared" si="3"/>
        <v/>
      </c>
      <c r="J7" s="45"/>
      <c r="K7" s="54"/>
      <c r="L7" s="57"/>
      <c r="M7" s="57"/>
      <c r="N7" s="57"/>
    </row>
    <row r="8" spans="1:14" ht="54" customHeight="1">
      <c r="A8" s="31" t="str">
        <v>Rockbridge Baths - Small Mouth Bass</v>
      </c>
      <c r="B8" s="28" t="str">
        <v>VA</v>
      </c>
      <c r="C8" s="24"/>
      <c r="D8" s="13"/>
      <c r="E8" s="13" t="str">
        <f t="shared" si="0"/>
        <v/>
      </c>
      <c r="F8" s="14" t="str">
        <f t="shared" si="1"/>
        <v/>
      </c>
      <c r="G8" s="15"/>
      <c r="H8" s="15" t="str">
        <f t="shared" si="2"/>
        <v/>
      </c>
      <c r="I8" s="16" t="str">
        <f t="shared" si="3"/>
        <v/>
      </c>
      <c r="J8" s="46"/>
      <c r="K8" s="54"/>
      <c r="L8" s="56"/>
      <c r="M8" s="57"/>
      <c r="N8" s="57"/>
    </row>
    <row r="9" spans="1:14">
      <c r="A9" s="21"/>
      <c r="B9" s="21"/>
      <c r="C9" s="21"/>
      <c r="D9" s="21"/>
      <c r="E9" s="21" t="str">
        <f t="shared" si="0"/>
        <v/>
      </c>
      <c r="F9" s="21" t="str">
        <f t="shared" si="1"/>
        <v/>
      </c>
      <c r="G9" s="21"/>
      <c r="H9" s="21" t="str">
        <f t="shared" si="2"/>
        <v/>
      </c>
      <c r="I9" s="21" t="str">
        <f t="shared" si="3"/>
        <v/>
      </c>
      <c r="J9" s="21"/>
      <c r="K9" s="21"/>
      <c r="L9" s="21"/>
      <c r="M9" s="21"/>
      <c r="N9" s="21"/>
    </row>
    <row r="10" spans="1:14">
      <c r="A10" s="21"/>
      <c r="B10" s="21"/>
      <c r="C10" s="21"/>
      <c r="D10" s="21"/>
      <c r="E10" s="21" t="str">
        <f t="shared" si="0"/>
        <v/>
      </c>
      <c r="F10" s="21" t="str">
        <f t="shared" si="1"/>
        <v/>
      </c>
      <c r="G10" s="21"/>
      <c r="H10" s="21" t="str">
        <f t="shared" si="2"/>
        <v/>
      </c>
      <c r="I10" s="21" t="str">
        <f t="shared" si="3"/>
        <v/>
      </c>
      <c r="J10" s="21"/>
      <c r="K10" s="21"/>
      <c r="L10" s="21"/>
      <c r="M10" s="21"/>
      <c r="N10" s="21"/>
    </row>
    <row r="11" spans="1:14">
      <c r="A11" s="21"/>
      <c r="B11" s="21"/>
      <c r="C11" s="21"/>
      <c r="D11" s="21"/>
      <c r="E11" s="21" t="str">
        <f t="shared" si="0"/>
        <v/>
      </c>
      <c r="F11" s="21" t="str">
        <f t="shared" si="1"/>
        <v/>
      </c>
      <c r="G11" s="21"/>
      <c r="H11" s="21" t="str">
        <f t="shared" si="2"/>
        <v/>
      </c>
      <c r="I11" s="21" t="str">
        <f t="shared" si="3"/>
        <v/>
      </c>
      <c r="J11" s="21"/>
      <c r="K11" s="21"/>
      <c r="L11" s="21"/>
      <c r="M11" s="21"/>
      <c r="N11" s="21"/>
    </row>
    <row r="12" spans="1:14">
      <c r="A12" s="21"/>
      <c r="B12" s="21"/>
      <c r="C12" s="21"/>
      <c r="D12" s="21"/>
      <c r="E12" s="21" t="str">
        <f t="shared" si="0"/>
        <v/>
      </c>
      <c r="F12" s="21" t="str">
        <f t="shared" si="1"/>
        <v/>
      </c>
      <c r="G12" s="21"/>
      <c r="H12" s="21" t="str">
        <f t="shared" si="2"/>
        <v/>
      </c>
      <c r="I12" s="21" t="str">
        <f t="shared" si="3"/>
        <v/>
      </c>
      <c r="J12" s="21"/>
      <c r="K12" s="21"/>
      <c r="L12" s="21"/>
      <c r="M12" s="21"/>
      <c r="N12" s="21"/>
    </row>
    <row r="13" spans="1:14" ht="12.75" customHeight="1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4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4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4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45">
      <c r="A23" s="21"/>
      <c r="B23" s="32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45">
      <c r="A24" s="21"/>
      <c r="B24" s="32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45">
      <c r="A25" s="21"/>
      <c r="B25" s="32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45">
      <c r="A26" s="21"/>
      <c r="B26" s="32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2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2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2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2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2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2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2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3:11" ht="14.45">
      <c r="C337" s="21"/>
      <c r="D337" s="21"/>
      <c r="E337" s="21"/>
      <c r="F337" s="22"/>
      <c r="G337" s="21"/>
      <c r="H337" s="21"/>
      <c r="I337" s="22"/>
      <c r="J337" s="21"/>
      <c r="K337" s="21"/>
    </row>
  </sheetData>
  <mergeCells count="4">
    <mergeCell ref="G1:I1"/>
    <mergeCell ref="A1:C1"/>
    <mergeCell ref="D1:F1"/>
    <mergeCell ref="A2:B2"/>
  </mergeCells>
  <conditionalFormatting sqref="F2 I2">
    <cfRule type="cellIs" dxfId="36" priority="19" stopIfTrue="1" operator="lessThanOrEqual">
      <formula>-0.1</formula>
    </cfRule>
    <cfRule type="expression" dxfId="35" priority="20">
      <formula>AND(ISNUMBER(F2), F2&gt;=0.1)</formula>
    </cfRule>
  </conditionalFormatting>
  <conditionalFormatting sqref="F4:F8 I4:I8">
    <cfRule type="cellIs" dxfId="34" priority="1" stopIfTrue="1" operator="lessThanOrEqual">
      <formula>-0.1</formula>
    </cfRule>
    <cfRule type="expression" dxfId="33" priority="2">
      <formula>AND(ISNUMBER(F4), F4&gt;=0.1)</formula>
    </cfRule>
  </conditionalFormatting>
  <conditionalFormatting sqref="F13:F95 I13:I95">
    <cfRule type="cellIs" dxfId="32" priority="17" stopIfTrue="1" operator="lessThanOrEqual">
      <formula>-0.1</formula>
    </cfRule>
    <cfRule type="expression" dxfId="31" priority="18">
      <formula>AND(ISNUMBER(F13), F13&gt;=0.1)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7"/>
  <sheetViews>
    <sheetView zoomScale="60" zoomScaleNormal="60" workbookViewId="0">
      <pane xSplit="2" ySplit="3" topLeftCell="C4" activePane="bottomRight" state="frozen"/>
      <selection pane="bottomRight" activeCell="H28" sqref="H28"/>
      <selection pane="bottomLeft" activeCell="H28" sqref="H28"/>
      <selection pane="topRight" activeCell="H28" sqref="H28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0" t="str" cm="1">
        <f t="array" ref="A1">portfolio</f>
        <v>True Green Capital Management LLC</v>
      </c>
      <c r="B1" s="80"/>
      <c r="C1" s="80"/>
      <c r="D1" s="81" t="s">
        <v>47</v>
      </c>
      <c r="E1" s="81"/>
      <c r="F1" s="81"/>
      <c r="G1" s="79" t="s">
        <v>48</v>
      </c>
      <c r="H1" s="79"/>
      <c r="I1" s="79"/>
      <c r="J1" s="4"/>
      <c r="K1" s="4"/>
    </row>
    <row r="2" spans="1:11" ht="19.5" customHeight="1">
      <c r="A2" s="82" t="s">
        <v>2</v>
      </c>
      <c r="B2" s="82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277.5" customHeight="1">
      <c r="A4" s="47" t="str" cm="1">
        <f t="array" ref="A4:A8">Sites[Site]</f>
        <v>Rochester - 5516 Valleyhigh NW</v>
      </c>
      <c r="B4" s="28" t="str" cm="1">
        <f t="array" ref="B4:B8">Sites[State]</f>
        <v>MN</v>
      </c>
      <c r="C4" s="24"/>
      <c r="D4" s="13"/>
      <c r="E4" s="13" t="str">
        <f t="shared" ref="E4:E8" si="0">IF(AND(ISNUMBER(C4),ISNUMBER(D4)), C4-D4, "")</f>
        <v/>
      </c>
      <c r="F4" s="14" t="str">
        <f t="shared" ref="F4:F8" si="1">IFERROR(E4/D4, "")</f>
        <v/>
      </c>
      <c r="G4" s="15"/>
      <c r="H4" s="15" t="str">
        <f t="shared" ref="H4:H8" si="2">IF(AND(ISNUMBER(C4),ISNUMBER(G4)), C4-G4, "")</f>
        <v/>
      </c>
      <c r="I4" s="16" t="str">
        <f t="shared" ref="I4:I8" si="3">IFERROR(H4/G4, "")</f>
        <v/>
      </c>
      <c r="J4" s="46"/>
      <c r="K4" s="61"/>
    </row>
    <row r="5" spans="1:11" ht="15.6">
      <c r="A5" s="29" t="str">
        <v>Warsaw - Hemings</v>
      </c>
      <c r="B5" s="30" t="str">
        <v>VA</v>
      </c>
      <c r="C5" s="11"/>
      <c r="D5" s="18"/>
      <c r="E5" s="18" t="str">
        <f t="shared" si="0"/>
        <v/>
      </c>
      <c r="F5" s="19" t="str">
        <f t="shared" si="1"/>
        <v/>
      </c>
      <c r="G5" s="20"/>
      <c r="H5" s="20" t="str">
        <f t="shared" si="2"/>
        <v/>
      </c>
      <c r="I5" s="19" t="str">
        <f t="shared" si="3"/>
        <v/>
      </c>
      <c r="J5" s="45"/>
      <c r="K5" s="55"/>
    </row>
    <row r="6" spans="1:11" ht="15.6">
      <c r="A6" s="31" t="str">
        <v>Mount Jackson - Randolf</v>
      </c>
      <c r="B6" s="28" t="str">
        <v>VA</v>
      </c>
      <c r="C6" s="24"/>
      <c r="D6" s="13"/>
      <c r="E6" s="13" t="str">
        <f t="shared" si="0"/>
        <v/>
      </c>
      <c r="F6" s="14" t="str">
        <f t="shared" si="1"/>
        <v/>
      </c>
      <c r="G6" s="15"/>
      <c r="H6" s="15" t="str">
        <f t="shared" si="2"/>
        <v/>
      </c>
      <c r="I6" s="16" t="str">
        <f t="shared" si="3"/>
        <v/>
      </c>
      <c r="J6" s="46"/>
      <c r="K6" s="61"/>
    </row>
    <row r="7" spans="1:11" ht="61.5" customHeight="1">
      <c r="A7" s="29" t="str">
        <v>Callands Gretna - Monroe</v>
      </c>
      <c r="B7" s="30" t="str">
        <v>VA</v>
      </c>
      <c r="C7" s="11"/>
      <c r="D7" s="18"/>
      <c r="E7" s="18" t="str">
        <f t="shared" si="0"/>
        <v/>
      </c>
      <c r="F7" s="19" t="str">
        <f t="shared" si="1"/>
        <v/>
      </c>
      <c r="G7" s="20"/>
      <c r="H7" s="20" t="str">
        <f t="shared" si="2"/>
        <v/>
      </c>
      <c r="I7" s="19" t="str">
        <f t="shared" si="3"/>
        <v/>
      </c>
      <c r="J7" s="45"/>
      <c r="K7" s="55"/>
    </row>
    <row r="8" spans="1:11" ht="37.5" customHeight="1">
      <c r="A8" s="31" t="str">
        <v>Rockbridge Baths - Small Mouth Bass</v>
      </c>
      <c r="B8" s="28" t="str">
        <v>VA</v>
      </c>
      <c r="C8" s="24"/>
      <c r="D8" s="13"/>
      <c r="E8" s="13" t="str">
        <f t="shared" si="0"/>
        <v/>
      </c>
      <c r="F8" s="14" t="str">
        <f t="shared" si="1"/>
        <v/>
      </c>
      <c r="G8" s="15"/>
      <c r="H8" s="15" t="str">
        <f t="shared" si="2"/>
        <v/>
      </c>
      <c r="I8" s="16" t="str">
        <f t="shared" si="3"/>
        <v/>
      </c>
      <c r="J8" s="46"/>
      <c r="K8" s="6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 F4:F85 I4:I85">
    <cfRule type="cellIs" dxfId="30" priority="3" stopIfTrue="1" operator="lessThanOrEqual">
      <formula>-0.1</formula>
    </cfRule>
    <cfRule type="expression" dxfId="2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O337"/>
  <sheetViews>
    <sheetView zoomScale="60" zoomScaleNormal="60" workbookViewId="0">
      <pane xSplit="2" ySplit="3" topLeftCell="C4" activePane="bottomRight" state="frozen"/>
      <selection pane="bottomRight" activeCell="H28" sqref="H28"/>
      <selection pane="bottomLeft" activeCell="H28" sqref="H28"/>
      <selection pane="topRight" activeCell="H28" sqref="H28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22" customWidth="1"/>
  </cols>
  <sheetData>
    <row r="1" spans="1:15" ht="19.5" customHeight="1">
      <c r="A1" s="80" t="str" cm="1">
        <f t="array" ref="A1">portfolio</f>
        <v>True Green Capital Management LLC</v>
      </c>
      <c r="B1" s="80"/>
      <c r="C1" s="80"/>
      <c r="D1" s="81" t="s">
        <v>49</v>
      </c>
      <c r="E1" s="81"/>
      <c r="F1" s="81"/>
      <c r="G1" s="79" t="s">
        <v>50</v>
      </c>
      <c r="H1" s="79"/>
      <c r="I1" s="79"/>
      <c r="J1" s="4"/>
      <c r="K1" s="4"/>
    </row>
    <row r="2" spans="1:15" ht="19.5" customHeight="1">
      <c r="A2" s="82" t="s">
        <v>2</v>
      </c>
      <c r="B2" s="82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5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5" ht="267.75" customHeight="1">
      <c r="A4" s="47" t="str" cm="1">
        <f t="array" ref="A4:A8">Sites[Site]</f>
        <v>Rochester - 5516 Valleyhigh NW</v>
      </c>
      <c r="B4" s="28" t="str" cm="1">
        <f t="array" ref="B4:B8">Sites[State]</f>
        <v>MN</v>
      </c>
      <c r="C4" s="24"/>
      <c r="D4" s="13"/>
      <c r="E4" s="13" t="str">
        <f t="shared" ref="E4:E12" si="0">IF(AND(ISNUMBER(C4),ISNUMBER(D4)), C4-D4, "")</f>
        <v/>
      </c>
      <c r="F4" s="14" t="str">
        <f t="shared" ref="F4:F12" si="1">IFERROR(E4/D4, "")</f>
        <v/>
      </c>
      <c r="G4" s="15"/>
      <c r="H4" s="15" t="str">
        <f t="shared" ref="H4:H12" si="2">IF(AND(ISNUMBER(C4),ISNUMBER(G4)), C4-G4, "")</f>
        <v/>
      </c>
      <c r="I4" s="16" t="str">
        <f t="shared" ref="I4:I12" si="3">IFERROR(H4/G4, "")</f>
        <v/>
      </c>
      <c r="J4" s="46"/>
      <c r="K4" s="61"/>
      <c r="L4" s="56"/>
      <c r="M4" s="56"/>
      <c r="N4" s="56"/>
    </row>
    <row r="5" spans="1:15" ht="70.5" customHeight="1">
      <c r="A5" s="29" t="str">
        <v>Warsaw - Hemings</v>
      </c>
      <c r="B5" s="30" t="str">
        <v>VA</v>
      </c>
      <c r="C5" s="11"/>
      <c r="D5" s="18"/>
      <c r="E5" s="18" t="str">
        <f t="shared" si="0"/>
        <v/>
      </c>
      <c r="F5" s="19" t="str">
        <f t="shared" si="1"/>
        <v/>
      </c>
      <c r="G5" s="20"/>
      <c r="H5" s="20" t="str">
        <f t="shared" si="2"/>
        <v/>
      </c>
      <c r="I5" s="19" t="str">
        <f t="shared" si="3"/>
        <v/>
      </c>
      <c r="J5" s="45"/>
      <c r="K5" s="55"/>
      <c r="L5" s="56"/>
      <c r="M5" s="57"/>
      <c r="N5" s="57"/>
    </row>
    <row r="6" spans="1:15" ht="87.75" customHeight="1">
      <c r="A6" s="47" t="str">
        <v>Mount Jackson - Randolf</v>
      </c>
      <c r="B6" s="28" t="str">
        <v>VA</v>
      </c>
      <c r="C6" s="24"/>
      <c r="D6" s="13"/>
      <c r="E6" s="13" t="str">
        <f t="shared" si="0"/>
        <v/>
      </c>
      <c r="F6" s="14" t="str">
        <f t="shared" si="1"/>
        <v/>
      </c>
      <c r="G6" s="15"/>
      <c r="H6" s="15" t="str">
        <f t="shared" si="2"/>
        <v/>
      </c>
      <c r="I6" s="16" t="str">
        <f t="shared" si="3"/>
        <v/>
      </c>
      <c r="J6" s="46"/>
      <c r="K6" s="54"/>
      <c r="L6" s="56"/>
      <c r="M6" s="57"/>
      <c r="N6" s="57"/>
    </row>
    <row r="7" spans="1:15" ht="61.5" customHeight="1">
      <c r="A7" s="29" t="str">
        <v>Callands Gretna - Monroe</v>
      </c>
      <c r="B7" s="30" t="str">
        <v>VA</v>
      </c>
      <c r="C7" s="11"/>
      <c r="D7" s="18"/>
      <c r="E7" s="18" t="str">
        <f t="shared" si="0"/>
        <v/>
      </c>
      <c r="F7" s="19" t="str">
        <f t="shared" si="1"/>
        <v/>
      </c>
      <c r="G7" s="20"/>
      <c r="H7" s="20" t="str">
        <f t="shared" si="2"/>
        <v/>
      </c>
      <c r="I7" s="19" t="str">
        <f t="shared" si="3"/>
        <v/>
      </c>
      <c r="J7" s="45"/>
      <c r="K7" s="55"/>
      <c r="L7" s="57"/>
      <c r="M7" s="68"/>
      <c r="N7" s="21"/>
    </row>
    <row r="8" spans="1:15" ht="54" customHeight="1">
      <c r="A8" s="31" t="str">
        <v>Rockbridge Baths - Small Mouth Bass</v>
      </c>
      <c r="B8" s="28" t="str">
        <v>VA</v>
      </c>
      <c r="C8" s="24"/>
      <c r="D8" s="13"/>
      <c r="E8" s="13" t="str">
        <f t="shared" si="0"/>
        <v/>
      </c>
      <c r="F8" s="14" t="str">
        <f t="shared" si="1"/>
        <v/>
      </c>
      <c r="G8" s="15"/>
      <c r="H8" s="15" t="str">
        <f t="shared" si="2"/>
        <v/>
      </c>
      <c r="I8" s="16" t="str">
        <f t="shared" si="3"/>
        <v/>
      </c>
      <c r="J8" s="46"/>
      <c r="K8" s="54"/>
      <c r="L8" s="56"/>
      <c r="M8" s="57"/>
      <c r="N8" s="57"/>
    </row>
    <row r="9" spans="1:15">
      <c r="A9" s="21"/>
      <c r="B9" s="21"/>
      <c r="C9" s="21"/>
      <c r="D9" s="21"/>
      <c r="E9" s="21" t="str">
        <f t="shared" si="0"/>
        <v/>
      </c>
      <c r="F9" s="21" t="str">
        <f t="shared" si="1"/>
        <v/>
      </c>
      <c r="G9" s="21"/>
      <c r="H9" s="21" t="str">
        <f t="shared" si="2"/>
        <v/>
      </c>
      <c r="I9" s="21" t="str">
        <f t="shared" si="3"/>
        <v/>
      </c>
      <c r="J9" s="21"/>
      <c r="K9" s="21"/>
      <c r="L9" s="21"/>
      <c r="M9" s="21"/>
      <c r="N9" s="21"/>
      <c r="O9" s="21"/>
    </row>
    <row r="10" spans="1:15">
      <c r="A10" s="21"/>
      <c r="B10" s="21"/>
      <c r="C10" s="21"/>
      <c r="D10" s="21"/>
      <c r="E10" s="21" t="str">
        <f t="shared" si="0"/>
        <v/>
      </c>
      <c r="F10" s="21" t="str">
        <f t="shared" si="1"/>
        <v/>
      </c>
      <c r="G10" s="21"/>
      <c r="H10" s="21" t="str">
        <f t="shared" si="2"/>
        <v/>
      </c>
      <c r="I10" s="21" t="str">
        <f t="shared" si="3"/>
        <v/>
      </c>
      <c r="J10" s="21"/>
      <c r="K10" s="21"/>
      <c r="L10" s="21"/>
      <c r="M10" s="21"/>
      <c r="N10" s="21"/>
      <c r="O10" s="21"/>
    </row>
    <row r="11" spans="1:15">
      <c r="A11" s="21"/>
      <c r="B11" s="21"/>
      <c r="C11" s="21"/>
      <c r="D11" s="21"/>
      <c r="E11" s="21" t="str">
        <f t="shared" si="0"/>
        <v/>
      </c>
      <c r="F11" s="21" t="str">
        <f t="shared" si="1"/>
        <v/>
      </c>
      <c r="G11" s="21"/>
      <c r="H11" s="21" t="str">
        <f t="shared" si="2"/>
        <v/>
      </c>
      <c r="I11" s="21" t="str">
        <f t="shared" si="3"/>
        <v/>
      </c>
      <c r="J11" s="21"/>
      <c r="K11" s="21"/>
      <c r="L11" s="21"/>
      <c r="M11" s="21"/>
      <c r="N11" s="21"/>
      <c r="O11" s="21"/>
    </row>
    <row r="12" spans="1:15">
      <c r="A12" s="21"/>
      <c r="B12" s="21"/>
      <c r="C12" s="21"/>
      <c r="D12" s="21"/>
      <c r="E12" s="21" t="str">
        <f t="shared" si="0"/>
        <v/>
      </c>
      <c r="F12" s="21" t="str">
        <f t="shared" si="1"/>
        <v/>
      </c>
      <c r="G12" s="21"/>
      <c r="H12" s="21" t="str">
        <f t="shared" si="2"/>
        <v/>
      </c>
      <c r="I12" s="21" t="str">
        <f t="shared" si="3"/>
        <v/>
      </c>
      <c r="J12" s="21"/>
      <c r="K12" s="21"/>
      <c r="L12" s="21"/>
      <c r="M12" s="21"/>
      <c r="N12" s="21"/>
      <c r="O12" s="21"/>
    </row>
    <row r="13" spans="1:15" ht="12.7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</row>
    <row r="14" spans="1:1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spans="1:15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5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45">
      <c r="A23" s="21"/>
      <c r="B23" s="32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45">
      <c r="A24" s="21"/>
      <c r="B24" s="32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45">
      <c r="A25" s="21"/>
      <c r="B25" s="32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45">
      <c r="A26" s="21"/>
      <c r="B26" s="32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2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2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2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2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2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2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2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3:11" ht="14.45">
      <c r="C337" s="21"/>
      <c r="D337" s="21"/>
      <c r="E337" s="21"/>
      <c r="F337" s="22"/>
      <c r="G337" s="21"/>
      <c r="H337" s="21"/>
      <c r="I337" s="22"/>
      <c r="J337" s="21"/>
      <c r="K337" s="21"/>
    </row>
  </sheetData>
  <sortState xmlns:xlrd2="http://schemas.microsoft.com/office/spreadsheetml/2017/richdata2" ref="A3:K10">
    <sortCondition ref="A3:A10"/>
  </sortState>
  <mergeCells count="4">
    <mergeCell ref="G1:I1"/>
    <mergeCell ref="A1:C1"/>
    <mergeCell ref="D1:F1"/>
    <mergeCell ref="A2:B2"/>
  </mergeCells>
  <conditionalFormatting sqref="A9:K14 F15:F95 I15:I95">
    <cfRule type="cellIs" dxfId="28" priority="13" stopIfTrue="1" operator="lessThanOrEqual">
      <formula>-0.1</formula>
    </cfRule>
    <cfRule type="expression" dxfId="27" priority="14">
      <formula>AND(ISNUMBER(A9), A9&gt;=0.1)</formula>
    </cfRule>
  </conditionalFormatting>
  <conditionalFormatting sqref="F2 I2">
    <cfRule type="cellIs" dxfId="26" priority="15" stopIfTrue="1" operator="lessThanOrEqual">
      <formula>-0.1</formula>
    </cfRule>
    <cfRule type="expression" dxfId="25" priority="16">
      <formula>AND(ISNUMBER(F2), F2&gt;=0.1)</formula>
    </cfRule>
  </conditionalFormatting>
  <conditionalFormatting sqref="F4:F8 I4:I8">
    <cfRule type="cellIs" dxfId="24" priority="3" stopIfTrue="1" operator="lessThanOrEqual">
      <formula>-0.1</formula>
    </cfRule>
    <cfRule type="expression" dxfId="23" priority="4">
      <formula>AND(ISNUMBER(F4), F4&gt;=0.1)</formula>
    </cfRule>
  </conditionalFormatting>
  <conditionalFormatting sqref="N7">
    <cfRule type="cellIs" dxfId="22" priority="1" stopIfTrue="1" operator="lessThanOrEqual">
      <formula>-0.1</formula>
    </cfRule>
    <cfRule type="expression" dxfId="21" priority="2">
      <formula>AND(ISNUMBER(N7), N7&gt;=0.1)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S337"/>
  <sheetViews>
    <sheetView zoomScale="60" zoomScaleNormal="60" workbookViewId="0">
      <pane xSplit="2" ySplit="3" topLeftCell="D4" activePane="bottomRight" state="frozen"/>
      <selection pane="bottomRight" activeCell="H28" sqref="H28"/>
      <selection pane="bottomLeft" activeCell="H28" sqref="H28"/>
      <selection pane="topRight" activeCell="H28" sqref="H28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9" width="8.85546875" style="57"/>
  </cols>
  <sheetData>
    <row r="1" spans="1:17" ht="19.5" customHeight="1">
      <c r="A1" s="80" t="str" cm="1">
        <f t="array" ref="A1">portfolio</f>
        <v>True Green Capital Management LLC</v>
      </c>
      <c r="B1" s="80"/>
      <c r="C1" s="80"/>
      <c r="D1" s="81" t="s">
        <v>51</v>
      </c>
      <c r="E1" s="81"/>
      <c r="F1" s="81"/>
      <c r="G1" s="79" t="s">
        <v>52</v>
      </c>
      <c r="H1" s="79"/>
      <c r="I1" s="79"/>
      <c r="J1" s="4"/>
      <c r="K1" s="4"/>
    </row>
    <row r="2" spans="1:17" ht="19.5" customHeight="1">
      <c r="A2" s="82" t="s">
        <v>2</v>
      </c>
      <c r="B2" s="82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7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7" ht="15.6">
      <c r="A4" s="47" t="str" cm="1">
        <f t="array" ref="A4:A8">Sites[Site]</f>
        <v>Rochester - 5516 Valleyhigh NW</v>
      </c>
      <c r="B4" s="28" t="str" cm="1">
        <f t="array" ref="B4:B8">Sites[State]</f>
        <v>MN</v>
      </c>
      <c r="C4" s="24"/>
      <c r="D4" s="13"/>
      <c r="E4" s="13" t="str">
        <f t="shared" ref="E4:E12" si="0">IF(AND(ISNUMBER(C4),ISNUMBER(D4)), C4-D4, "")</f>
        <v/>
      </c>
      <c r="F4" s="14" t="str">
        <f t="shared" ref="F4:F12" si="1">IFERROR(E4/D4, "")</f>
        <v/>
      </c>
      <c r="G4" s="15"/>
      <c r="H4" s="15" t="str">
        <f>IF(AND(ISNUMBER(C4),ISNUMBER(G4)), C4-G4, "")</f>
        <v/>
      </c>
      <c r="I4" s="16" t="str">
        <f t="shared" ref="I4:I8" si="2">IFERROR(H4/G4, "")</f>
        <v/>
      </c>
      <c r="J4" s="46"/>
      <c r="K4" s="54"/>
      <c r="L4" s="56"/>
      <c r="M4" s="56"/>
      <c r="N4" s="56"/>
      <c r="O4" s="56"/>
      <c r="P4" s="56"/>
      <c r="Q4" s="56"/>
    </row>
    <row r="5" spans="1:17" ht="15.6">
      <c r="A5" s="29" t="str">
        <v>Warsaw - Hemings</v>
      </c>
      <c r="B5" s="30" t="str">
        <v>VA</v>
      </c>
      <c r="C5" s="11"/>
      <c r="D5" s="18"/>
      <c r="E5" s="18" t="str">
        <f t="shared" si="0"/>
        <v/>
      </c>
      <c r="F5" s="19" t="str">
        <f t="shared" si="1"/>
        <v/>
      </c>
      <c r="G5" s="20"/>
      <c r="H5" s="20" t="str">
        <f t="shared" ref="H5:H12" si="3">IF(AND(ISNUMBER(C5),ISNUMBER(G5)), C5-G5, "")</f>
        <v/>
      </c>
      <c r="I5" s="19" t="str">
        <f t="shared" si="2"/>
        <v/>
      </c>
      <c r="J5" s="45"/>
      <c r="K5" s="55"/>
      <c r="L5" s="56"/>
      <c r="M5" s="56"/>
      <c r="N5" s="56"/>
    </row>
    <row r="6" spans="1:17" ht="15.6">
      <c r="A6" s="47" t="str">
        <v>Mount Jackson - Randolf</v>
      </c>
      <c r="B6" s="28" t="str">
        <v>VA</v>
      </c>
      <c r="C6" s="24"/>
      <c r="D6" s="13"/>
      <c r="E6" s="13" t="str">
        <f t="shared" si="0"/>
        <v/>
      </c>
      <c r="F6" s="14" t="str">
        <f t="shared" si="1"/>
        <v/>
      </c>
      <c r="G6" s="15"/>
      <c r="H6" s="15" t="str">
        <f t="shared" si="3"/>
        <v/>
      </c>
      <c r="I6" s="16" t="str">
        <f t="shared" si="2"/>
        <v/>
      </c>
      <c r="J6" s="46"/>
      <c r="K6" s="54"/>
      <c r="L6" s="56"/>
    </row>
    <row r="7" spans="1:17" ht="15.6">
      <c r="A7" s="29" t="str">
        <v>Callands Gretna - Monroe</v>
      </c>
      <c r="B7" s="30" t="str">
        <v>VA</v>
      </c>
      <c r="C7" s="11"/>
      <c r="D7" s="18"/>
      <c r="E7" s="18" t="str">
        <f>IF(AND(ISNUMBER(C7),ISNUMBER(D7)), C7-D7, "")</f>
        <v/>
      </c>
      <c r="F7" s="19" t="str">
        <f t="shared" si="1"/>
        <v/>
      </c>
      <c r="G7" s="20"/>
      <c r="H7" s="20" t="str">
        <f t="shared" si="3"/>
        <v/>
      </c>
      <c r="I7" s="19" t="str">
        <f t="shared" si="2"/>
        <v/>
      </c>
      <c r="J7" s="45"/>
      <c r="K7" s="55"/>
      <c r="L7" s="56"/>
    </row>
    <row r="8" spans="1:17" ht="15.6">
      <c r="A8" s="31" t="str">
        <v>Rockbridge Baths - Small Mouth Bass</v>
      </c>
      <c r="B8" s="28" t="str">
        <v>VA</v>
      </c>
      <c r="C8" s="24"/>
      <c r="D8" s="13"/>
      <c r="E8" s="13" t="str">
        <f t="shared" si="0"/>
        <v/>
      </c>
      <c r="F8" s="14" t="str">
        <f t="shared" si="1"/>
        <v/>
      </c>
      <c r="G8" s="15"/>
      <c r="H8" s="15" t="str">
        <f t="shared" si="3"/>
        <v/>
      </c>
      <c r="I8" s="16" t="str">
        <f t="shared" si="2"/>
        <v/>
      </c>
      <c r="J8" s="46"/>
      <c r="K8" s="54"/>
      <c r="L8" s="56"/>
      <c r="M8" s="56"/>
      <c r="N8" s="56"/>
      <c r="O8" s="56"/>
    </row>
    <row r="9" spans="1:17">
      <c r="A9" s="21"/>
      <c r="B9" s="21"/>
      <c r="C9" s="21"/>
      <c r="D9" s="21"/>
      <c r="E9" s="21" t="str">
        <f t="shared" si="0"/>
        <v/>
      </c>
      <c r="F9" s="21" t="str">
        <f t="shared" si="1"/>
        <v/>
      </c>
      <c r="G9" s="21"/>
      <c r="H9" s="21" t="str">
        <f t="shared" si="3"/>
        <v/>
      </c>
      <c r="I9" s="21" t="str">
        <f t="shared" ref="I9:I12" si="4">IFERROR(H9/G9, "")</f>
        <v/>
      </c>
      <c r="J9" s="21"/>
      <c r="K9" s="21"/>
      <c r="L9" s="69"/>
    </row>
    <row r="10" spans="1:17">
      <c r="A10" s="21"/>
      <c r="B10" s="21"/>
      <c r="C10" s="21"/>
      <c r="D10" s="21"/>
      <c r="E10" s="21" t="str">
        <f t="shared" si="0"/>
        <v/>
      </c>
      <c r="F10" s="21" t="str">
        <f t="shared" si="1"/>
        <v/>
      </c>
      <c r="G10" s="21"/>
      <c r="H10" s="21" t="str">
        <f t="shared" si="3"/>
        <v/>
      </c>
      <c r="I10" s="21" t="str">
        <f t="shared" si="4"/>
        <v/>
      </c>
      <c r="J10" s="21"/>
      <c r="K10" s="21"/>
      <c r="L10" s="69"/>
    </row>
    <row r="11" spans="1:17">
      <c r="A11" s="21"/>
      <c r="B11" s="21"/>
      <c r="C11" s="21"/>
      <c r="D11" s="21"/>
      <c r="E11" s="21" t="str">
        <f t="shared" si="0"/>
        <v/>
      </c>
      <c r="F11" s="21" t="str">
        <f t="shared" si="1"/>
        <v/>
      </c>
      <c r="G11" s="21"/>
      <c r="H11" s="21" t="str">
        <f t="shared" si="3"/>
        <v/>
      </c>
      <c r="I11" s="21" t="str">
        <f t="shared" si="4"/>
        <v/>
      </c>
      <c r="J11" s="21"/>
      <c r="K11" s="21"/>
      <c r="L11" s="69"/>
    </row>
    <row r="12" spans="1:17">
      <c r="A12" s="21"/>
      <c r="B12" s="21"/>
      <c r="C12" s="21"/>
      <c r="D12" s="21"/>
      <c r="E12" s="21" t="str">
        <f t="shared" si="0"/>
        <v/>
      </c>
      <c r="F12" s="21" t="str">
        <f t="shared" si="1"/>
        <v/>
      </c>
      <c r="G12" s="21"/>
      <c r="H12" s="21" t="str">
        <f t="shared" si="3"/>
        <v/>
      </c>
      <c r="I12" s="21" t="str">
        <f t="shared" si="4"/>
        <v/>
      </c>
      <c r="J12" s="21"/>
      <c r="K12" s="21"/>
      <c r="L12" s="69"/>
    </row>
    <row r="13" spans="1:17" ht="12.7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69"/>
    </row>
    <row r="14" spans="1:17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69"/>
    </row>
    <row r="15" spans="1:17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69"/>
    </row>
    <row r="16" spans="1:17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45">
      <c r="A23" s="21"/>
      <c r="B23" s="32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45">
      <c r="A24" s="21"/>
      <c r="B24" s="32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45">
      <c r="A25" s="21"/>
      <c r="B25" s="32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45">
      <c r="A26" s="21"/>
      <c r="B26" s="32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2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2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2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2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2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2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2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3:11" ht="14.45">
      <c r="C337" s="21"/>
      <c r="D337" s="21"/>
      <c r="E337" s="21"/>
      <c r="F337" s="22"/>
      <c r="G337" s="21"/>
      <c r="H337" s="21"/>
      <c r="I337" s="22"/>
      <c r="J337" s="21"/>
      <c r="K337" s="21"/>
    </row>
  </sheetData>
  <mergeCells count="4">
    <mergeCell ref="G1:I1"/>
    <mergeCell ref="A1:C1"/>
    <mergeCell ref="D1:F1"/>
    <mergeCell ref="A2:B2"/>
  </mergeCells>
  <conditionalFormatting sqref="F2 I2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conditionalFormatting sqref="F4:F95 I4:I95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O337"/>
  <sheetViews>
    <sheetView zoomScale="70" zoomScaleNormal="70" workbookViewId="0">
      <pane xSplit="2" ySplit="3" topLeftCell="J15" activePane="bottomRight" state="frozen"/>
      <selection pane="bottomRight" activeCell="H28" sqref="H28"/>
      <selection pane="bottomLeft" activeCell="H28" sqref="H28"/>
      <selection pane="topRight" activeCell="H28" sqref="H28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5" width="8.85546875" style="57"/>
  </cols>
  <sheetData>
    <row r="1" spans="1:14" ht="19.5" customHeight="1">
      <c r="A1" s="80" t="str" cm="1">
        <f t="array" ref="A1">portfolio</f>
        <v>True Green Capital Management LLC</v>
      </c>
      <c r="B1" s="80"/>
      <c r="C1" s="80"/>
      <c r="D1" s="81" t="s">
        <v>53</v>
      </c>
      <c r="E1" s="81"/>
      <c r="F1" s="81"/>
      <c r="G1" s="79" t="s">
        <v>54</v>
      </c>
      <c r="H1" s="79"/>
      <c r="I1" s="79"/>
      <c r="J1" s="4"/>
      <c r="K1" s="4"/>
    </row>
    <row r="2" spans="1:14" ht="19.5" customHeight="1">
      <c r="A2" s="82" t="s">
        <v>2</v>
      </c>
      <c r="B2" s="82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4" ht="90.75" customHeight="1">
      <c r="A4" s="29" t="str" cm="1">
        <f t="array" ref="A4:A8">Sites[Site]</f>
        <v>Rochester - 5516 Valleyhigh NW</v>
      </c>
      <c r="B4" s="30" t="str" cm="1">
        <f t="array" ref="B4:B8">Sites[State]</f>
        <v>MN</v>
      </c>
      <c r="C4" s="11"/>
      <c r="D4" s="18"/>
      <c r="E4" s="18" t="str">
        <f t="shared" ref="E4:E12" si="0">IF(AND(ISNUMBER(C4),ISNUMBER(D4)), C4-D4, "")</f>
        <v/>
      </c>
      <c r="F4" s="19" t="str">
        <f t="shared" ref="F4:F12" si="1">IFERROR(E4/D4, "")</f>
        <v/>
      </c>
      <c r="G4" s="49"/>
      <c r="H4" s="20" t="str">
        <f t="shared" ref="H4:H12" si="2">IF(AND(ISNUMBER(C4),ISNUMBER(G4)), C4-G4, "")</f>
        <v/>
      </c>
      <c r="I4" s="19" t="str">
        <f t="shared" ref="I4:I12" si="3">IFERROR(H4/G4, "")</f>
        <v/>
      </c>
      <c r="J4" s="50"/>
      <c r="K4" s="70"/>
      <c r="L4" s="56"/>
      <c r="M4" s="56"/>
      <c r="N4" s="56"/>
    </row>
    <row r="5" spans="1:14" ht="45" customHeight="1">
      <c r="A5" s="31" t="str">
        <v>Warsaw - Hemings</v>
      </c>
      <c r="B5" s="28" t="str">
        <v>VA</v>
      </c>
      <c r="C5" s="24"/>
      <c r="D5" s="13"/>
      <c r="E5" s="13" t="str">
        <f t="shared" si="0"/>
        <v/>
      </c>
      <c r="F5" s="14" t="str">
        <f t="shared" si="1"/>
        <v/>
      </c>
      <c r="G5" s="15"/>
      <c r="H5" s="15" t="str">
        <f t="shared" si="2"/>
        <v/>
      </c>
      <c r="I5" s="16" t="str">
        <f t="shared" si="3"/>
        <v/>
      </c>
      <c r="J5" s="40"/>
      <c r="K5" s="60"/>
      <c r="L5" s="56"/>
      <c r="M5" s="56"/>
    </row>
    <row r="6" spans="1:14" ht="34.5" customHeight="1">
      <c r="A6" s="29" t="str">
        <v>Mount Jackson - Randolf</v>
      </c>
      <c r="B6" s="30" t="str">
        <v>VA</v>
      </c>
      <c r="C6" s="11"/>
      <c r="D6" s="18"/>
      <c r="E6" s="18" t="str">
        <f t="shared" si="0"/>
        <v/>
      </c>
      <c r="F6" s="19" t="str">
        <f t="shared" si="1"/>
        <v/>
      </c>
      <c r="G6" s="20"/>
      <c r="H6" s="20" t="str">
        <f t="shared" si="2"/>
        <v/>
      </c>
      <c r="I6" s="19" t="str">
        <f t="shared" si="3"/>
        <v/>
      </c>
      <c r="J6" s="50"/>
      <c r="K6" s="71"/>
      <c r="L6" s="56"/>
      <c r="M6" s="69"/>
    </row>
    <row r="7" spans="1:14" ht="15.6">
      <c r="A7" s="31" t="str">
        <v>Callands Gretna - Monroe</v>
      </c>
      <c r="B7" s="28" t="str">
        <v>VA</v>
      </c>
      <c r="C7" s="24"/>
      <c r="D7" s="13"/>
      <c r="E7" s="13" t="str">
        <f t="shared" si="0"/>
        <v/>
      </c>
      <c r="F7" s="14" t="str">
        <f t="shared" si="1"/>
        <v/>
      </c>
      <c r="G7" s="15"/>
      <c r="H7" s="15" t="str">
        <f t="shared" si="2"/>
        <v/>
      </c>
      <c r="I7" s="16" t="str">
        <f t="shared" si="3"/>
        <v/>
      </c>
      <c r="J7" s="40"/>
      <c r="K7" s="60"/>
      <c r="L7" s="56"/>
      <c r="M7" s="56"/>
    </row>
    <row r="8" spans="1:14" ht="15.6">
      <c r="A8" s="29" t="str">
        <v>Rockbridge Baths - Small Mouth Bass</v>
      </c>
      <c r="B8" s="30" t="str">
        <v>VA</v>
      </c>
      <c r="C8" s="11"/>
      <c r="D8" s="18"/>
      <c r="E8" s="18" t="str">
        <f t="shared" si="0"/>
        <v/>
      </c>
      <c r="F8" s="19" t="str">
        <f t="shared" si="1"/>
        <v/>
      </c>
      <c r="G8" s="20"/>
      <c r="H8" s="20" t="str">
        <f t="shared" si="2"/>
        <v/>
      </c>
      <c r="I8" s="19" t="str">
        <f t="shared" si="3"/>
        <v/>
      </c>
      <c r="J8" s="41"/>
      <c r="K8" s="70"/>
      <c r="L8" s="56"/>
      <c r="M8" s="56"/>
    </row>
    <row r="9" spans="1:14">
      <c r="A9" s="21"/>
      <c r="B9" s="21"/>
      <c r="C9" s="21"/>
      <c r="D9" s="21"/>
      <c r="E9" s="21" t="str">
        <f t="shared" si="0"/>
        <v/>
      </c>
      <c r="F9" s="21" t="str">
        <f t="shared" si="1"/>
        <v/>
      </c>
      <c r="G9" s="21"/>
      <c r="H9" s="21" t="str">
        <f t="shared" si="2"/>
        <v/>
      </c>
      <c r="I9" s="21" t="str">
        <f t="shared" si="3"/>
        <v/>
      </c>
      <c r="J9" s="21"/>
      <c r="K9" s="21"/>
      <c r="L9" s="69"/>
      <c r="M9" s="69"/>
    </row>
    <row r="10" spans="1:14">
      <c r="A10" s="21"/>
      <c r="B10" s="21"/>
      <c r="C10" s="21"/>
      <c r="D10" s="21"/>
      <c r="E10" s="21" t="str">
        <f t="shared" si="0"/>
        <v/>
      </c>
      <c r="F10" s="21" t="str">
        <f t="shared" si="1"/>
        <v/>
      </c>
      <c r="G10" s="21"/>
      <c r="H10" s="21" t="str">
        <f t="shared" si="2"/>
        <v/>
      </c>
      <c r="I10" s="21" t="str">
        <f t="shared" si="3"/>
        <v/>
      </c>
      <c r="J10" s="21"/>
      <c r="K10" s="21"/>
      <c r="L10" s="69"/>
      <c r="M10" s="69"/>
    </row>
    <row r="11" spans="1:14">
      <c r="A11" s="21"/>
      <c r="B11" s="21"/>
      <c r="C11" s="21"/>
      <c r="D11" s="21"/>
      <c r="E11" s="21" t="str">
        <f t="shared" si="0"/>
        <v/>
      </c>
      <c r="F11" s="21" t="str">
        <f t="shared" si="1"/>
        <v/>
      </c>
      <c r="G11" s="21"/>
      <c r="H11" s="21" t="str">
        <f t="shared" si="2"/>
        <v/>
      </c>
      <c r="I11" s="21" t="str">
        <f t="shared" si="3"/>
        <v/>
      </c>
      <c r="J11" s="21"/>
      <c r="K11" s="21"/>
      <c r="L11" s="69"/>
      <c r="M11" s="69"/>
    </row>
    <row r="12" spans="1:14">
      <c r="A12" s="21"/>
      <c r="B12" s="21"/>
      <c r="C12" s="21"/>
      <c r="D12" s="21"/>
      <c r="E12" s="21" t="str">
        <f t="shared" si="0"/>
        <v/>
      </c>
      <c r="F12" s="21" t="str">
        <f t="shared" si="1"/>
        <v/>
      </c>
      <c r="G12" s="21"/>
      <c r="H12" s="21" t="str">
        <f t="shared" si="2"/>
        <v/>
      </c>
      <c r="I12" s="21" t="str">
        <f t="shared" si="3"/>
        <v/>
      </c>
      <c r="J12" s="21"/>
      <c r="K12" s="21"/>
      <c r="L12" s="69"/>
      <c r="M12" s="69"/>
    </row>
    <row r="13" spans="1:14" ht="12.75" customHeight="1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4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4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4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45">
      <c r="A23" s="21"/>
      <c r="B23" s="32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45">
      <c r="A24" s="21"/>
      <c r="B24" s="32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45">
      <c r="A25" s="21"/>
      <c r="B25" s="32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45">
      <c r="A26" s="21"/>
      <c r="B26" s="32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2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2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2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2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2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2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2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3:11" ht="14.45">
      <c r="C337" s="21"/>
      <c r="D337" s="21"/>
      <c r="E337" s="21"/>
      <c r="F337" s="22"/>
      <c r="G337" s="21"/>
      <c r="H337" s="21"/>
      <c r="I337" s="22"/>
      <c r="J337" s="21"/>
      <c r="K337" s="21"/>
    </row>
  </sheetData>
  <mergeCells count="4">
    <mergeCell ref="G1:I1"/>
    <mergeCell ref="A1:C1"/>
    <mergeCell ref="D1:F1"/>
    <mergeCell ref="A2:B2"/>
  </mergeCells>
  <conditionalFormatting sqref="F2 I2 F4:F8 I4:I8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conditionalFormatting sqref="F13:F95 I13:I95">
    <cfRule type="cellIs" dxfId="14" priority="1" stopIfTrue="1" operator="lessThanOrEqual">
      <formula>-0.1</formula>
    </cfRule>
    <cfRule type="expression" dxfId="13" priority="2">
      <formula>AND(ISNUMBER(F13), F13&gt;=0.1)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R337"/>
  <sheetViews>
    <sheetView zoomScale="70" zoomScaleNormal="70" workbookViewId="0">
      <pane xSplit="2" ySplit="3" topLeftCell="C4" activePane="bottomRight" state="frozen"/>
      <selection pane="bottomRight" activeCell="H28" sqref="H28"/>
      <selection pane="bottomLeft" activeCell="H28" sqref="H28"/>
      <selection pane="topRight" activeCell="H28" sqref="H28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3.5703125" customWidth="1"/>
    <col min="12" max="12" width="23.5703125" style="57" customWidth="1"/>
  </cols>
  <sheetData>
    <row r="1" spans="1:18" ht="19.5" customHeight="1">
      <c r="A1" s="80" t="str" cm="1">
        <f t="array" ref="A1">portfolio</f>
        <v>True Green Capital Management LLC</v>
      </c>
      <c r="B1" s="80"/>
      <c r="C1" s="80"/>
      <c r="D1" s="81" t="s">
        <v>55</v>
      </c>
      <c r="E1" s="81"/>
      <c r="F1" s="81"/>
      <c r="G1" s="79" t="s">
        <v>56</v>
      </c>
      <c r="H1" s="79"/>
      <c r="I1" s="79"/>
      <c r="J1" s="4"/>
      <c r="K1" s="4"/>
    </row>
    <row r="2" spans="1:18" ht="19.5" customHeight="1">
      <c r="A2" s="82" t="s">
        <v>2</v>
      </c>
      <c r="B2" s="82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8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  <c r="L3" s="53" t="s">
        <v>22</v>
      </c>
    </row>
    <row r="4" spans="1:18" ht="253.9" customHeight="1">
      <c r="A4" s="29" t="str" cm="1">
        <f t="array" ref="A4:A8">Sites[Site]</f>
        <v>Rochester - 5516 Valleyhigh NW</v>
      </c>
      <c r="B4" s="30" t="str" cm="1">
        <f t="array" ref="B4:B8">Sites[State]</f>
        <v>MN</v>
      </c>
      <c r="C4" s="11"/>
      <c r="D4" s="18"/>
      <c r="E4" s="18" t="str">
        <f t="shared" ref="E4:E12" si="0">IF(AND(ISNUMBER(C4),ISNUMBER(D4)), C4-D4, "")</f>
        <v/>
      </c>
      <c r="F4" s="19" t="str">
        <f t="shared" ref="F4:F12" si="1">IFERROR(E4/D4, "")</f>
        <v/>
      </c>
      <c r="G4" s="20"/>
      <c r="H4" s="20" t="str">
        <f t="shared" ref="H4:H11" si="2">IF(AND(ISNUMBER(C4),ISNUMBER(G4)), C4-G4, "")</f>
        <v/>
      </c>
      <c r="I4" s="19" t="str">
        <f t="shared" ref="I4:I11" si="3">IFERROR(H4/G4, "")</f>
        <v/>
      </c>
      <c r="J4" s="50"/>
      <c r="K4" s="55"/>
      <c r="L4" s="72"/>
      <c r="M4" s="59"/>
      <c r="N4" s="59"/>
      <c r="O4" s="59"/>
      <c r="P4" s="59"/>
      <c r="Q4" s="59"/>
      <c r="R4" s="59" t="s">
        <v>57</v>
      </c>
    </row>
    <row r="5" spans="1:18" ht="66.400000000000006" customHeight="1">
      <c r="A5" s="31" t="str">
        <v>Warsaw - Hemings</v>
      </c>
      <c r="B5" s="28" t="str">
        <v>VA</v>
      </c>
      <c r="C5" s="24"/>
      <c r="D5" s="13"/>
      <c r="E5" s="13" t="str">
        <f t="shared" si="0"/>
        <v/>
      </c>
      <c r="F5" s="14" t="str">
        <f t="shared" si="1"/>
        <v/>
      </c>
      <c r="G5" s="15"/>
      <c r="H5" s="15" t="str">
        <f t="shared" si="2"/>
        <v/>
      </c>
      <c r="I5" s="16" t="str">
        <f t="shared" si="3"/>
        <v/>
      </c>
      <c r="J5" s="46"/>
      <c r="K5" s="54"/>
      <c r="L5" s="46"/>
      <c r="M5" s="59"/>
    </row>
    <row r="6" spans="1:18" ht="15.6">
      <c r="A6" s="29" t="str">
        <v>Mount Jackson - Randolf</v>
      </c>
      <c r="B6" s="30" t="str">
        <v>VA</v>
      </c>
      <c r="C6" s="11"/>
      <c r="D6" s="18"/>
      <c r="E6" s="18" t="str">
        <f t="shared" si="0"/>
        <v/>
      </c>
      <c r="F6" s="19" t="str">
        <f t="shared" si="1"/>
        <v/>
      </c>
      <c r="G6" s="20"/>
      <c r="H6" s="20" t="str">
        <f t="shared" si="2"/>
        <v/>
      </c>
      <c r="I6" s="19" t="str">
        <f t="shared" si="3"/>
        <v/>
      </c>
      <c r="J6" s="45"/>
      <c r="K6" s="45"/>
    </row>
    <row r="7" spans="1:18" ht="15.6">
      <c r="A7" s="31" t="str">
        <v>Callands Gretna - Monroe</v>
      </c>
      <c r="B7" s="28" t="str">
        <v>VA</v>
      </c>
      <c r="C7" s="24"/>
      <c r="D7" s="13"/>
      <c r="E7" s="13" t="str">
        <f t="shared" si="0"/>
        <v/>
      </c>
      <c r="F7" s="14" t="str">
        <f t="shared" si="1"/>
        <v/>
      </c>
      <c r="G7" s="15"/>
      <c r="H7" s="15" t="str">
        <f t="shared" si="2"/>
        <v/>
      </c>
      <c r="I7" s="16" t="str">
        <f t="shared" si="3"/>
        <v/>
      </c>
      <c r="J7" s="46"/>
      <c r="K7" s="54"/>
      <c r="L7" s="46"/>
    </row>
    <row r="8" spans="1:18" ht="15.6">
      <c r="A8" s="29" t="str">
        <v>Rockbridge Baths - Small Mouth Bass</v>
      </c>
      <c r="B8" s="30" t="str">
        <v>VA</v>
      </c>
      <c r="C8" s="11"/>
      <c r="D8" s="18"/>
      <c r="E8" s="18" t="str">
        <f t="shared" si="0"/>
        <v/>
      </c>
      <c r="F8" s="19" t="str">
        <f t="shared" si="1"/>
        <v/>
      </c>
      <c r="G8" s="20"/>
      <c r="H8" s="20" t="str">
        <f t="shared" si="2"/>
        <v/>
      </c>
      <c r="I8" s="19" t="str">
        <f t="shared" si="3"/>
        <v/>
      </c>
      <c r="J8" s="45"/>
      <c r="K8" s="55"/>
      <c r="L8" s="72"/>
      <c r="M8" s="59"/>
    </row>
    <row r="9" spans="1:18">
      <c r="A9" s="21"/>
      <c r="B9" s="21"/>
      <c r="C9" s="21"/>
      <c r="D9" s="21"/>
      <c r="E9" s="21" t="str">
        <f t="shared" si="0"/>
        <v/>
      </c>
      <c r="F9" s="21" t="str">
        <f t="shared" si="1"/>
        <v/>
      </c>
      <c r="G9" s="21"/>
      <c r="H9" s="21" t="str">
        <f t="shared" si="2"/>
        <v/>
      </c>
      <c r="I9" s="21" t="str">
        <f t="shared" si="3"/>
        <v/>
      </c>
      <c r="J9" s="21"/>
      <c r="K9" s="21"/>
    </row>
    <row r="10" spans="1:18">
      <c r="A10" s="21"/>
      <c r="B10" s="21"/>
      <c r="C10" s="21"/>
      <c r="D10" s="21"/>
      <c r="E10" s="21" t="str">
        <f t="shared" si="0"/>
        <v/>
      </c>
      <c r="F10" s="21" t="str">
        <f t="shared" si="1"/>
        <v/>
      </c>
      <c r="G10" s="21"/>
      <c r="H10" s="21" t="str">
        <f t="shared" si="2"/>
        <v/>
      </c>
      <c r="I10" s="21" t="str">
        <f t="shared" si="3"/>
        <v/>
      </c>
      <c r="J10" s="21"/>
      <c r="K10" s="21"/>
    </row>
    <row r="11" spans="1:18">
      <c r="A11" s="21"/>
      <c r="B11" s="21"/>
      <c r="C11" s="21"/>
      <c r="D11" s="21"/>
      <c r="E11" s="21" t="str">
        <f t="shared" si="0"/>
        <v/>
      </c>
      <c r="F11" s="21" t="str">
        <f t="shared" si="1"/>
        <v/>
      </c>
      <c r="G11" s="21"/>
      <c r="H11" s="21" t="str">
        <f t="shared" si="2"/>
        <v/>
      </c>
      <c r="I11" s="21" t="str">
        <f t="shared" si="3"/>
        <v/>
      </c>
      <c r="J11" s="21"/>
      <c r="K11" s="21"/>
    </row>
    <row r="12" spans="1:18">
      <c r="A12" s="21"/>
      <c r="B12" s="21"/>
      <c r="C12" s="21"/>
      <c r="D12" s="21"/>
      <c r="E12" s="21" t="str">
        <f t="shared" si="0"/>
        <v/>
      </c>
      <c r="F12" s="21" t="str">
        <f t="shared" si="1"/>
        <v/>
      </c>
      <c r="G12" s="21"/>
      <c r="H12" s="21" t="str">
        <f>IF(AND(ISNUMBER(C12),ISNUMBER(G12)), C12-G12, "")</f>
        <v/>
      </c>
      <c r="I12" s="21" t="str">
        <f>IFERROR(H12/G12, "")</f>
        <v/>
      </c>
      <c r="J12" s="21"/>
      <c r="K12" s="21"/>
    </row>
    <row r="13" spans="1:18" ht="12.7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</row>
    <row r="14" spans="1:18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spans="1:18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8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45">
      <c r="A23" s="21"/>
      <c r="B23" s="32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45">
      <c r="A24" s="21"/>
      <c r="B24" s="32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45">
      <c r="A25" s="21"/>
      <c r="B25" s="32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45">
      <c r="A26" s="21"/>
      <c r="B26" s="32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2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2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2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2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2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2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2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3:11" ht="14.45">
      <c r="C337" s="21"/>
      <c r="D337" s="21"/>
      <c r="E337" s="21"/>
      <c r="F337" s="22"/>
      <c r="G337" s="21"/>
      <c r="H337" s="21"/>
      <c r="I337" s="22"/>
      <c r="J337" s="21"/>
      <c r="K337" s="21"/>
    </row>
  </sheetData>
  <mergeCells count="4">
    <mergeCell ref="G1:I1"/>
    <mergeCell ref="A1:C1"/>
    <mergeCell ref="D1:F1"/>
    <mergeCell ref="A2:B2"/>
  </mergeCells>
  <conditionalFormatting sqref="F2 I2 F4:F8 I4:I8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conditionalFormatting sqref="F15:F95 I15:I95">
    <cfRule type="cellIs" dxfId="10" priority="1" stopIfTrue="1" operator="lessThanOrEqual">
      <formula>-0.1</formula>
    </cfRule>
    <cfRule type="expression" dxfId="9" priority="2">
      <formula>AND(ISNUMBER(F15), F15&gt;=0.1)</formula>
    </cfRule>
  </conditionalFormatting>
  <hyperlinks>
    <hyperlink ref="R4" r:id="rId1" display="https://us3.assetplanner.com/service_request?ID=109388" xr:uid="{81CE8221-AE8D-4833-BD92-EC252D907094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Q337"/>
  <sheetViews>
    <sheetView zoomScale="70" zoomScaleNormal="70" workbookViewId="0">
      <pane xSplit="2" ySplit="3" topLeftCell="C4" activePane="bottomRight" state="frozen"/>
      <selection pane="bottomRight" activeCell="H28" sqref="H28"/>
      <selection pane="bottomLeft" activeCell="H28" sqref="H28"/>
      <selection pane="topRight" activeCell="H28" sqref="H28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2.7109375" customWidth="1"/>
    <col min="13" max="17" width="9.140625" style="73"/>
  </cols>
  <sheetData>
    <row r="1" spans="1:17" ht="19.5" customHeight="1">
      <c r="A1" s="80" t="str" cm="1">
        <f t="array" ref="A1">portfolio</f>
        <v>True Green Capital Management LLC</v>
      </c>
      <c r="B1" s="80"/>
      <c r="C1" s="80"/>
      <c r="D1" s="81" t="s">
        <v>58</v>
      </c>
      <c r="E1" s="81"/>
      <c r="F1" s="81"/>
      <c r="G1" s="79" t="s">
        <v>59</v>
      </c>
      <c r="H1" s="79"/>
      <c r="I1" s="79"/>
      <c r="J1" s="4"/>
      <c r="K1" s="4"/>
    </row>
    <row r="2" spans="1:17" ht="19.5" customHeight="1">
      <c r="A2" s="82" t="s">
        <v>2</v>
      </c>
      <c r="B2" s="82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7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  <c r="L3" s="25" t="s">
        <v>22</v>
      </c>
    </row>
    <row r="4" spans="1:17" ht="190.5" customHeight="1">
      <c r="A4" s="29" t="str" cm="1">
        <f t="array" ref="A4:A8">Sites[Site]</f>
        <v>Rochester - 5516 Valleyhigh NW</v>
      </c>
      <c r="B4" s="30" t="str" cm="1">
        <f t="array" ref="B4:B8">Sites[State]</f>
        <v>MN</v>
      </c>
      <c r="C4" s="18"/>
      <c r="D4" s="18"/>
      <c r="E4" s="18" t="str">
        <f t="shared" ref="E4:E8" si="0">IF(AND(ISNUMBER(C4),ISNUMBER(D4)), C4-D4, "")</f>
        <v/>
      </c>
      <c r="F4" s="19" t="str">
        <f t="shared" ref="F4:F8" si="1">IFERROR(E4/D4, "")</f>
        <v/>
      </c>
      <c r="G4" s="20"/>
      <c r="H4" s="20" t="str">
        <f t="shared" ref="H4:H8" si="2">IF(AND(ISNUMBER(C4),ISNUMBER(G4)), C4-G4, "")</f>
        <v/>
      </c>
      <c r="I4" s="19" t="str">
        <f t="shared" ref="I4:I8" si="3">IFERROR(H4/G4, "")</f>
        <v/>
      </c>
      <c r="J4" s="50"/>
      <c r="K4" s="70"/>
      <c r="L4" s="50"/>
      <c r="M4" s="67"/>
      <c r="N4" s="67"/>
      <c r="O4" s="67"/>
      <c r="P4" s="67"/>
      <c r="Q4" s="67"/>
    </row>
    <row r="5" spans="1:17" ht="15.6">
      <c r="A5" s="31" t="str">
        <v>Warsaw - Hemings</v>
      </c>
      <c r="B5" s="28" t="str">
        <v>VA</v>
      </c>
      <c r="C5" s="24"/>
      <c r="D5" s="13"/>
      <c r="E5" s="13" t="str">
        <f t="shared" si="0"/>
        <v/>
      </c>
      <c r="F5" s="14" t="str">
        <f t="shared" si="1"/>
        <v/>
      </c>
      <c r="G5" s="15"/>
      <c r="H5" s="15" t="str">
        <f t="shared" si="2"/>
        <v/>
      </c>
      <c r="I5" s="16" t="str">
        <f t="shared" si="3"/>
        <v/>
      </c>
      <c r="J5" s="40"/>
      <c r="K5" s="60"/>
      <c r="L5" s="40"/>
      <c r="M5" s="67"/>
    </row>
    <row r="6" spans="1:17" ht="15.6">
      <c r="A6" s="29" t="str">
        <v>Mount Jackson - Randolf</v>
      </c>
      <c r="B6" s="30" t="str">
        <v>VA</v>
      </c>
      <c r="C6" s="11"/>
      <c r="D6" s="18"/>
      <c r="E6" s="18" t="str">
        <f t="shared" si="0"/>
        <v/>
      </c>
      <c r="F6" s="19" t="str">
        <f t="shared" si="1"/>
        <v/>
      </c>
      <c r="G6" s="20"/>
      <c r="H6" s="20" t="str">
        <f t="shared" si="2"/>
        <v/>
      </c>
      <c r="I6" s="19" t="str">
        <f t="shared" si="3"/>
        <v/>
      </c>
      <c r="J6" s="50"/>
      <c r="K6" s="70"/>
      <c r="L6" s="50"/>
    </row>
    <row r="7" spans="1:17" ht="15.6">
      <c r="A7" s="31" t="str">
        <v>Callands Gretna - Monroe</v>
      </c>
      <c r="B7" s="28" t="str">
        <v>VA</v>
      </c>
      <c r="C7" s="24"/>
      <c r="D7" s="13"/>
      <c r="E7" s="13" t="str">
        <f t="shared" si="0"/>
        <v/>
      </c>
      <c r="F7" s="14" t="str">
        <f t="shared" si="1"/>
        <v/>
      </c>
      <c r="G7" s="15"/>
      <c r="H7" s="15" t="str">
        <f t="shared" si="2"/>
        <v/>
      </c>
      <c r="I7" s="16" t="str">
        <f t="shared" si="3"/>
        <v/>
      </c>
      <c r="J7" s="40"/>
      <c r="K7" s="60"/>
      <c r="L7" s="40"/>
    </row>
    <row r="8" spans="1:17" ht="15.6">
      <c r="A8" s="29" t="str">
        <v>Rockbridge Baths - Small Mouth Bass</v>
      </c>
      <c r="B8" s="30" t="str">
        <v>VA</v>
      </c>
      <c r="C8" s="11"/>
      <c r="D8" s="18"/>
      <c r="E8" s="18" t="str">
        <f t="shared" si="0"/>
        <v/>
      </c>
      <c r="F8" s="19" t="str">
        <f t="shared" si="1"/>
        <v/>
      </c>
      <c r="G8" s="20"/>
      <c r="H8" s="20" t="str">
        <f t="shared" si="2"/>
        <v/>
      </c>
      <c r="I8" s="19" t="str">
        <f t="shared" si="3"/>
        <v/>
      </c>
      <c r="J8" s="50"/>
      <c r="K8" s="70"/>
      <c r="L8" s="50"/>
      <c r="M8" s="67"/>
    </row>
    <row r="9" spans="1:17" ht="15.6">
      <c r="A9" s="29"/>
      <c r="B9" s="29"/>
      <c r="C9" s="29"/>
      <c r="D9" s="29"/>
      <c r="E9" s="29" t="str">
        <f t="shared" ref="E9:E12" si="4">IF(AND(ISNUMBER(C9),ISNUMBER(D9)), C9-D9, "")</f>
        <v/>
      </c>
      <c r="F9" s="29" t="str">
        <f t="shared" ref="F9:F12" si="5">IFERROR(E9/D9, "")</f>
        <v/>
      </c>
      <c r="G9" s="29"/>
      <c r="H9" s="29" t="str">
        <f t="shared" ref="H9:H12" si="6">IF(AND(ISNUMBER(C9),ISNUMBER(G9)), C9-G9, "")</f>
        <v/>
      </c>
      <c r="I9" s="29" t="str">
        <f t="shared" ref="I9:I12" si="7">IFERROR(H9/G9, "")</f>
        <v/>
      </c>
      <c r="J9" s="29"/>
      <c r="K9" s="29"/>
      <c r="L9" s="29"/>
    </row>
    <row r="10" spans="1:17" ht="15.6">
      <c r="A10" s="29"/>
      <c r="B10" s="29"/>
      <c r="C10" s="29"/>
      <c r="D10" s="29"/>
      <c r="E10" s="29" t="str">
        <f t="shared" si="4"/>
        <v/>
      </c>
      <c r="F10" s="29" t="str">
        <f t="shared" si="5"/>
        <v/>
      </c>
      <c r="G10" s="29"/>
      <c r="H10" s="29" t="str">
        <f t="shared" si="6"/>
        <v/>
      </c>
      <c r="I10" s="29" t="str">
        <f t="shared" si="7"/>
        <v/>
      </c>
      <c r="J10" s="29"/>
      <c r="K10" s="29"/>
      <c r="L10" s="29"/>
    </row>
    <row r="11" spans="1:17" ht="15.6">
      <c r="A11" s="29"/>
      <c r="B11" s="29"/>
      <c r="C11" s="29"/>
      <c r="D11" s="29"/>
      <c r="E11" s="29" t="str">
        <f t="shared" si="4"/>
        <v/>
      </c>
      <c r="F11" s="29" t="str">
        <f t="shared" si="5"/>
        <v/>
      </c>
      <c r="G11" s="29"/>
      <c r="H11" s="29" t="str">
        <f t="shared" si="6"/>
        <v/>
      </c>
      <c r="I11" s="29" t="str">
        <f t="shared" si="7"/>
        <v/>
      </c>
      <c r="J11" s="29"/>
      <c r="K11" s="29"/>
      <c r="L11" s="29"/>
    </row>
    <row r="12" spans="1:17" ht="15.6">
      <c r="A12" s="29"/>
      <c r="B12" s="29"/>
      <c r="C12" s="29"/>
      <c r="D12" s="29"/>
      <c r="E12" s="29" t="str">
        <f t="shared" si="4"/>
        <v/>
      </c>
      <c r="F12" s="29" t="str">
        <f t="shared" si="5"/>
        <v/>
      </c>
      <c r="G12" s="29"/>
      <c r="H12" s="29" t="str">
        <f t="shared" si="6"/>
        <v/>
      </c>
      <c r="I12" s="29" t="str">
        <f t="shared" si="7"/>
        <v/>
      </c>
      <c r="J12" s="29"/>
      <c r="K12" s="29"/>
      <c r="L12" s="29"/>
    </row>
    <row r="13" spans="1:17" ht="12.7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</row>
    <row r="14" spans="1:17" ht="15.6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</row>
    <row r="15" spans="1:17" ht="15.6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</row>
    <row r="16" spans="1:17" ht="15.6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</row>
    <row r="17" spans="1:12" ht="15.6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</row>
    <row r="18" spans="1:12" ht="15.6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</row>
    <row r="19" spans="1:12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2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2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2" ht="14.45">
      <c r="A22" s="21"/>
      <c r="B22" s="32"/>
      <c r="C22" s="21"/>
      <c r="D22" s="21"/>
      <c r="E22" s="21"/>
      <c r="F22" s="21"/>
      <c r="G22" s="21"/>
      <c r="H22" s="21"/>
      <c r="I22" s="21"/>
      <c r="J22" s="21"/>
      <c r="K22" s="21"/>
    </row>
    <row r="23" spans="1:12" ht="14.45">
      <c r="A23" s="21"/>
      <c r="B23" s="32"/>
      <c r="C23" s="21"/>
      <c r="D23" s="21"/>
      <c r="E23" s="21"/>
      <c r="F23" s="21"/>
      <c r="G23" s="21"/>
      <c r="H23" s="21"/>
      <c r="I23" s="21"/>
      <c r="J23" s="21"/>
      <c r="K23" s="21"/>
    </row>
    <row r="24" spans="1:12" ht="14.45">
      <c r="A24" s="21"/>
      <c r="B24" s="32"/>
      <c r="C24" s="21"/>
      <c r="D24" s="21"/>
      <c r="E24" s="21"/>
      <c r="F24" s="21"/>
      <c r="G24" s="21"/>
      <c r="H24" s="21"/>
      <c r="I24" s="21"/>
      <c r="J24" s="21"/>
      <c r="K24" s="21"/>
    </row>
    <row r="25" spans="1:12" ht="14.45">
      <c r="A25" s="21"/>
      <c r="B25" s="32"/>
      <c r="C25" s="21"/>
      <c r="D25" s="21"/>
      <c r="E25" s="21"/>
      <c r="F25" s="21"/>
      <c r="G25" s="21"/>
      <c r="H25" s="21"/>
      <c r="I25" s="21"/>
      <c r="J25" s="21"/>
      <c r="K25" s="21"/>
    </row>
    <row r="26" spans="1:12" ht="14.45">
      <c r="A26" s="21"/>
      <c r="B26" s="32"/>
      <c r="C26" s="21"/>
      <c r="D26" s="21"/>
      <c r="E26" s="21"/>
      <c r="F26" s="21"/>
      <c r="G26" s="21"/>
      <c r="H26" s="21"/>
      <c r="I26" s="21"/>
      <c r="J26" s="21"/>
      <c r="K26" s="21"/>
    </row>
    <row r="27" spans="1:12" ht="14.45">
      <c r="A27" s="21"/>
      <c r="B27" s="32"/>
      <c r="C27" s="21"/>
      <c r="D27" s="21"/>
      <c r="E27" s="21"/>
      <c r="F27" s="21"/>
      <c r="G27" s="21"/>
      <c r="H27" s="21"/>
      <c r="I27" s="21"/>
      <c r="J27" s="21"/>
      <c r="K27" s="21"/>
    </row>
    <row r="28" spans="1:12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2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2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2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2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2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2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2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3:11" ht="14.45">
      <c r="C337" s="21"/>
      <c r="D337" s="21"/>
      <c r="E337" s="21"/>
      <c r="F337" s="22"/>
      <c r="G337" s="21"/>
      <c r="H337" s="21"/>
      <c r="I337" s="22"/>
      <c r="J337" s="21"/>
      <c r="K337" s="21"/>
    </row>
  </sheetData>
  <mergeCells count="4">
    <mergeCell ref="G1:I1"/>
    <mergeCell ref="A1:C1"/>
    <mergeCell ref="D1:F1"/>
    <mergeCell ref="A2:B2"/>
  </mergeCells>
  <conditionalFormatting sqref="F2 I2 F4:F95 I4:I9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N337"/>
  <sheetViews>
    <sheetView zoomScale="70" zoomScaleNormal="70" workbookViewId="0">
      <pane xSplit="2" ySplit="3" topLeftCell="C4" activePane="bottomRight" state="frozen"/>
      <selection pane="bottomRight" activeCell="H28" sqref="H28"/>
      <selection pane="bottomLeft" activeCell="S5" sqref="S5"/>
      <selection pane="topRight" activeCell="S5" sqref="S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6.85546875" style="57" customWidth="1"/>
  </cols>
  <sheetData>
    <row r="1" spans="1:14" ht="19.5" customHeight="1">
      <c r="A1" s="80" t="str" cm="1">
        <f t="array" ref="A1">portfolio</f>
        <v>True Green Capital Management LLC</v>
      </c>
      <c r="B1" s="80"/>
      <c r="C1" s="80"/>
      <c r="D1" s="81" t="s">
        <v>60</v>
      </c>
      <c r="E1" s="81"/>
      <c r="F1" s="81"/>
      <c r="G1" s="79" t="s">
        <v>61</v>
      </c>
      <c r="H1" s="79"/>
      <c r="I1" s="79"/>
      <c r="J1" s="4"/>
      <c r="K1" s="4"/>
      <c r="L1" s="4"/>
    </row>
    <row r="2" spans="1:14" ht="19.5" customHeight="1">
      <c r="A2" s="82" t="s">
        <v>2</v>
      </c>
      <c r="B2" s="82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  <c r="L2" s="26"/>
    </row>
    <row r="3" spans="1:14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  <c r="L3" s="25" t="s">
        <v>22</v>
      </c>
    </row>
    <row r="4" spans="1:14" ht="15.6">
      <c r="A4" s="29" t="str" cm="1">
        <f t="array" ref="A4:A8">Sites[Site]</f>
        <v>Rochester - 5516 Valleyhigh NW</v>
      </c>
      <c r="B4" s="30" t="str" cm="1">
        <f t="array" ref="B4:B8">Sites[State]</f>
        <v>MN</v>
      </c>
      <c r="C4" s="11"/>
      <c r="D4" s="18"/>
      <c r="E4" s="18" t="str">
        <f t="shared" ref="E4:E8" si="0">IF(AND(ISNUMBER(C4),ISNUMBER(D4)), C4-D4, "")</f>
        <v/>
      </c>
      <c r="F4" s="19" t="str">
        <f t="shared" ref="F4:F8" si="1">IFERROR(E4/D4, "")</f>
        <v/>
      </c>
      <c r="G4" s="20"/>
      <c r="H4" s="20" t="str">
        <f t="shared" ref="H4:H8" si="2">IF(AND(ISNUMBER(C4),ISNUMBER(G4)), C4-G4, "")</f>
        <v/>
      </c>
      <c r="I4" s="19" t="str">
        <f t="shared" ref="I4:I8" si="3">IFERROR(H4/G4, "")</f>
        <v/>
      </c>
      <c r="J4" s="45"/>
      <c r="K4" s="55"/>
      <c r="L4" s="45"/>
      <c r="M4" s="59"/>
      <c r="N4" s="59"/>
    </row>
    <row r="5" spans="1:14" ht="15.6">
      <c r="A5" s="31" t="str">
        <v>Warsaw - Hemings</v>
      </c>
      <c r="B5" s="28" t="str">
        <v>VA</v>
      </c>
      <c r="C5" s="24"/>
      <c r="D5" s="13"/>
      <c r="E5" s="13" t="str">
        <f t="shared" si="0"/>
        <v/>
      </c>
      <c r="F5" s="14" t="str">
        <f t="shared" si="1"/>
        <v/>
      </c>
      <c r="G5" s="15"/>
      <c r="H5" s="15" t="str">
        <f t="shared" si="2"/>
        <v/>
      </c>
      <c r="I5" s="16" t="str">
        <f t="shared" si="3"/>
        <v/>
      </c>
      <c r="J5" s="46"/>
      <c r="K5" s="46"/>
      <c r="L5" s="46"/>
      <c r="M5" s="21"/>
      <c r="N5" s="21"/>
    </row>
    <row r="6" spans="1:14" ht="15.6">
      <c r="A6" s="29" t="str">
        <v>Mount Jackson - Randolf</v>
      </c>
      <c r="B6" s="30" t="str">
        <v>VA</v>
      </c>
      <c r="C6" s="11"/>
      <c r="D6" s="18"/>
      <c r="E6" s="18" t="str">
        <f t="shared" si="0"/>
        <v/>
      </c>
      <c r="F6" s="19" t="str">
        <f t="shared" si="1"/>
        <v/>
      </c>
      <c r="G6" s="20"/>
      <c r="H6" s="20" t="str">
        <f t="shared" si="2"/>
        <v/>
      </c>
      <c r="I6" s="19" t="str">
        <f t="shared" si="3"/>
        <v/>
      </c>
      <c r="J6" s="45"/>
      <c r="K6" s="45"/>
      <c r="L6" s="45"/>
      <c r="M6" s="21"/>
      <c r="N6" s="21"/>
    </row>
    <row r="7" spans="1:14" ht="15.6">
      <c r="A7" s="31" t="str">
        <v>Callands Gretna - Monroe</v>
      </c>
      <c r="B7" s="28" t="str">
        <v>VA</v>
      </c>
      <c r="C7" s="24"/>
      <c r="D7" s="13"/>
      <c r="E7" s="13" t="str">
        <f t="shared" si="0"/>
        <v/>
      </c>
      <c r="F7" s="14" t="str">
        <f t="shared" si="1"/>
        <v/>
      </c>
      <c r="G7" s="15"/>
      <c r="H7" s="15" t="str">
        <f t="shared" si="2"/>
        <v/>
      </c>
      <c r="I7" s="16" t="str">
        <f t="shared" si="3"/>
        <v/>
      </c>
      <c r="J7" s="46"/>
      <c r="K7" s="54"/>
      <c r="L7" s="46"/>
      <c r="M7" s="21"/>
      <c r="N7" s="21"/>
    </row>
    <row r="8" spans="1:14" ht="111.75" customHeight="1">
      <c r="A8" s="29" t="str">
        <v>Rockbridge Baths - Small Mouth Bass</v>
      </c>
      <c r="B8" s="30" t="str">
        <v>VA</v>
      </c>
      <c r="C8" s="11"/>
      <c r="D8" s="18"/>
      <c r="E8" s="18" t="str">
        <f t="shared" si="0"/>
        <v/>
      </c>
      <c r="F8" s="19" t="str">
        <f t="shared" si="1"/>
        <v/>
      </c>
      <c r="G8" s="20"/>
      <c r="H8" s="20" t="str">
        <f t="shared" si="2"/>
        <v/>
      </c>
      <c r="I8" s="19" t="str">
        <f t="shared" si="3"/>
        <v/>
      </c>
      <c r="J8" s="74"/>
      <c r="K8" s="55"/>
      <c r="L8" s="45"/>
      <c r="M8" s="21"/>
      <c r="N8" s="21"/>
    </row>
    <row r="9" spans="1:14">
      <c r="A9" s="21"/>
      <c r="B9" s="21"/>
      <c r="C9" s="21"/>
      <c r="D9" s="21"/>
      <c r="E9" s="21" t="str">
        <f t="shared" ref="E9:E12" si="4">IF(AND(ISNUMBER(C9),ISNUMBER(D9)), C9-D9, "")</f>
        <v/>
      </c>
      <c r="F9" s="21" t="str">
        <f t="shared" ref="F9:F12" si="5">IFERROR(E9/D9, "")</f>
        <v/>
      </c>
      <c r="G9" s="21"/>
      <c r="H9" s="21" t="str">
        <f t="shared" ref="H9:H12" si="6">IF(AND(ISNUMBER(C9),ISNUMBER(G9)), C9-G9, "")</f>
        <v/>
      </c>
      <c r="I9" s="21" t="str">
        <f t="shared" ref="I9:I12" si="7">IFERROR(H9/G9, "")</f>
        <v/>
      </c>
      <c r="J9" s="21"/>
      <c r="K9" s="21"/>
      <c r="L9" s="21"/>
      <c r="M9" s="21"/>
      <c r="N9" s="21"/>
    </row>
    <row r="10" spans="1:14">
      <c r="A10" s="21"/>
      <c r="B10" s="21"/>
      <c r="C10" s="21"/>
      <c r="D10" s="21"/>
      <c r="E10" s="21" t="str">
        <f t="shared" si="4"/>
        <v/>
      </c>
      <c r="F10" s="21" t="str">
        <f t="shared" si="5"/>
        <v/>
      </c>
      <c r="G10" s="21"/>
      <c r="H10" s="21" t="str">
        <f t="shared" si="6"/>
        <v/>
      </c>
      <c r="I10" s="21" t="str">
        <f t="shared" si="7"/>
        <v/>
      </c>
      <c r="J10" s="21"/>
      <c r="K10" s="21"/>
      <c r="L10" s="21"/>
      <c r="M10" s="21"/>
      <c r="N10" s="21"/>
    </row>
    <row r="11" spans="1:14">
      <c r="A11" s="21"/>
      <c r="B11" s="21"/>
      <c r="C11" s="21"/>
      <c r="D11" s="21"/>
      <c r="E11" s="21" t="str">
        <f t="shared" si="4"/>
        <v/>
      </c>
      <c r="F11" s="21" t="str">
        <f t="shared" si="5"/>
        <v/>
      </c>
      <c r="G11" s="21"/>
      <c r="H11" s="21" t="str">
        <f t="shared" si="6"/>
        <v/>
      </c>
      <c r="I11" s="21" t="str">
        <f t="shared" si="7"/>
        <v/>
      </c>
      <c r="J11" s="21"/>
      <c r="K11" s="21"/>
      <c r="L11" s="21"/>
      <c r="M11" s="21"/>
      <c r="N11" s="21"/>
    </row>
    <row r="12" spans="1:14">
      <c r="A12" s="21"/>
      <c r="B12" s="21"/>
      <c r="C12" s="21"/>
      <c r="D12" s="21"/>
      <c r="E12" s="21" t="str">
        <f t="shared" si="4"/>
        <v/>
      </c>
      <c r="F12" s="21" t="str">
        <f t="shared" si="5"/>
        <v/>
      </c>
      <c r="G12" s="21"/>
      <c r="H12" s="21" t="str">
        <f t="shared" si="6"/>
        <v/>
      </c>
      <c r="I12" s="21" t="str">
        <f t="shared" si="7"/>
        <v/>
      </c>
      <c r="J12" s="21"/>
      <c r="K12" s="21"/>
      <c r="L12" s="21"/>
      <c r="M12" s="21"/>
      <c r="N12" s="21"/>
    </row>
    <row r="13" spans="1:14" ht="12.7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  <c r="L15" s="21"/>
    </row>
    <row r="16" spans="1:14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  <c r="L16" s="21"/>
    </row>
    <row r="17" spans="1:12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  <c r="L17" s="21"/>
    </row>
    <row r="18" spans="1:12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  <c r="L18" s="21"/>
    </row>
    <row r="19" spans="1:12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  <c r="L19" s="21"/>
    </row>
    <row r="20" spans="1:12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  <c r="L20" s="21"/>
    </row>
    <row r="21" spans="1:12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ht="14.45">
      <c r="A22" s="21"/>
      <c r="B22" s="32"/>
      <c r="C22" s="21"/>
      <c r="D22" s="21"/>
      <c r="E22" s="21"/>
      <c r="F22" s="21"/>
      <c r="G22" s="21"/>
      <c r="H22" s="21"/>
      <c r="I22" s="21"/>
      <c r="J22" s="21"/>
      <c r="K22" s="21"/>
      <c r="L22" s="21"/>
    </row>
    <row r="23" spans="1:12" ht="14.45">
      <c r="A23" s="21"/>
      <c r="B23" s="32"/>
      <c r="C23" s="21"/>
      <c r="D23" s="21"/>
      <c r="E23" s="21"/>
      <c r="F23" s="21"/>
      <c r="G23" s="21"/>
      <c r="H23" s="21"/>
      <c r="I23" s="21"/>
      <c r="J23" s="21"/>
      <c r="K23" s="21"/>
      <c r="L23" s="21"/>
    </row>
    <row r="24" spans="1:12" ht="14.45">
      <c r="A24" s="21"/>
      <c r="B24" s="32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12" ht="14.45">
      <c r="A25" s="21"/>
      <c r="B25" s="32"/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6" spans="1:12" ht="14.45">
      <c r="A26" s="21"/>
      <c r="B26" s="32"/>
      <c r="C26" s="21"/>
      <c r="D26" s="21"/>
      <c r="E26" s="21"/>
      <c r="F26" s="21"/>
      <c r="G26" s="21"/>
      <c r="H26" s="21"/>
      <c r="I26" s="21"/>
      <c r="J26" s="21"/>
      <c r="K26" s="21"/>
      <c r="L26" s="21"/>
    </row>
    <row r="27" spans="1:12" ht="14.45">
      <c r="A27" s="21"/>
      <c r="B27" s="32"/>
      <c r="C27" s="21"/>
      <c r="D27" s="21"/>
      <c r="E27" s="21"/>
      <c r="F27" s="21"/>
      <c r="G27" s="21"/>
      <c r="H27" s="21"/>
      <c r="I27" s="21"/>
      <c r="J27" s="21"/>
      <c r="K27" s="21"/>
      <c r="L27" s="21"/>
    </row>
    <row r="28" spans="1:12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  <c r="L28" s="21"/>
    </row>
    <row r="29" spans="1:12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  <c r="L29" s="21"/>
    </row>
    <row r="30" spans="1:12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  <c r="L30" s="21"/>
    </row>
    <row r="31" spans="1:12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  <c r="L31" s="21"/>
    </row>
    <row r="32" spans="1:12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  <c r="L32" s="21"/>
    </row>
    <row r="33" spans="1:12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  <c r="L33" s="21"/>
    </row>
    <row r="34" spans="1:12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  <c r="L34" s="21"/>
    </row>
    <row r="35" spans="1:12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  <c r="L35" s="21"/>
    </row>
    <row r="36" spans="1:12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  <c r="L36" s="21"/>
    </row>
    <row r="37" spans="1:12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  <c r="L37" s="21"/>
    </row>
    <row r="38" spans="1:12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  <c r="L38" s="21"/>
    </row>
    <row r="39" spans="1:12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  <c r="L39" s="21"/>
    </row>
    <row r="40" spans="1:12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  <c r="L40" s="21"/>
    </row>
    <row r="41" spans="1:12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  <c r="L41" s="21"/>
    </row>
    <row r="42" spans="1:12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  <c r="L42" s="21"/>
    </row>
    <row r="43" spans="1:12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  <c r="L43" s="21"/>
    </row>
    <row r="44" spans="1:12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  <c r="L44" s="21"/>
    </row>
    <row r="45" spans="1:12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  <c r="L45" s="21"/>
    </row>
    <row r="46" spans="1:12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  <c r="L46" s="21"/>
    </row>
    <row r="47" spans="1:12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  <c r="L47" s="21"/>
    </row>
    <row r="48" spans="1:12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  <c r="L48" s="21"/>
    </row>
    <row r="49" spans="1:12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  <c r="L49" s="21"/>
    </row>
    <row r="50" spans="1:12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  <c r="L50" s="21"/>
    </row>
    <row r="51" spans="1:12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  <c r="L51" s="21"/>
    </row>
    <row r="52" spans="1:12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  <c r="L52" s="21"/>
    </row>
    <row r="53" spans="1:12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  <c r="L53" s="21"/>
    </row>
    <row r="54" spans="1:12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  <c r="L54" s="21"/>
    </row>
    <row r="55" spans="1:12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  <c r="L55" s="21"/>
    </row>
    <row r="56" spans="1:12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  <c r="L56" s="21"/>
    </row>
    <row r="57" spans="1:12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  <c r="L57" s="21"/>
    </row>
    <row r="58" spans="1:12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  <c r="L58" s="21"/>
    </row>
    <row r="59" spans="1:12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  <c r="L59" s="21"/>
    </row>
    <row r="60" spans="1:12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  <c r="L60" s="21"/>
    </row>
    <row r="61" spans="1:12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  <c r="L61" s="21"/>
    </row>
    <row r="62" spans="1:12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  <c r="L62" s="21"/>
    </row>
    <row r="63" spans="1:12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  <c r="L63" s="21"/>
    </row>
    <row r="64" spans="1:12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  <c r="L64" s="21"/>
    </row>
    <row r="65" spans="1:12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  <c r="L65" s="21"/>
    </row>
    <row r="66" spans="1:12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  <c r="L66" s="21"/>
    </row>
    <row r="67" spans="1:12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  <c r="L67" s="21"/>
    </row>
    <row r="68" spans="1:12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  <c r="L68" s="21"/>
    </row>
    <row r="69" spans="1:12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  <c r="L69" s="21"/>
    </row>
    <row r="70" spans="1:12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  <c r="L70" s="21"/>
    </row>
    <row r="71" spans="1:12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  <c r="L71" s="21"/>
    </row>
    <row r="72" spans="1:12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  <c r="L72" s="21"/>
    </row>
    <row r="73" spans="1:12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  <c r="L73" s="21"/>
    </row>
    <row r="74" spans="1:12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  <c r="L74" s="21"/>
    </row>
    <row r="75" spans="1:12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  <c r="L75" s="21"/>
    </row>
    <row r="76" spans="1:12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  <c r="L76" s="21"/>
    </row>
    <row r="77" spans="1:12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  <c r="L77" s="21"/>
    </row>
    <row r="78" spans="1:12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  <c r="L78" s="21"/>
    </row>
    <row r="79" spans="1:12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  <c r="L79" s="21"/>
    </row>
    <row r="80" spans="1:12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  <c r="L80" s="21"/>
    </row>
    <row r="81" spans="1:12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  <c r="L81" s="21"/>
    </row>
    <row r="82" spans="1:12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  <c r="L82" s="21"/>
    </row>
    <row r="83" spans="1:12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  <c r="L83" s="21"/>
    </row>
    <row r="84" spans="1:12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  <c r="L84" s="21"/>
    </row>
    <row r="85" spans="1:12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  <c r="L85" s="21"/>
    </row>
    <row r="86" spans="1:12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  <c r="L86" s="21"/>
    </row>
    <row r="87" spans="1:12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  <c r="L87" s="21"/>
    </row>
    <row r="88" spans="1:12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  <c r="L88" s="21"/>
    </row>
    <row r="89" spans="1:12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  <c r="L89" s="21"/>
    </row>
    <row r="90" spans="1:12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  <c r="L90" s="21"/>
    </row>
    <row r="91" spans="1:12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  <c r="L91" s="21"/>
    </row>
    <row r="92" spans="1:12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  <c r="L92" s="21"/>
    </row>
    <row r="93" spans="1:12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  <c r="L93" s="21"/>
    </row>
    <row r="94" spans="1:12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  <c r="L94" s="21"/>
    </row>
    <row r="95" spans="1:12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  <c r="L95" s="21"/>
    </row>
    <row r="96" spans="1:12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  <c r="L96" s="21"/>
    </row>
    <row r="97" spans="1:12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  <c r="L97" s="21"/>
    </row>
    <row r="98" spans="1:12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  <c r="L98" s="21"/>
    </row>
    <row r="99" spans="1:12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  <c r="L99" s="21"/>
    </row>
    <row r="100" spans="1:12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  <c r="L100" s="21"/>
    </row>
    <row r="101" spans="1:12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  <c r="L101" s="21"/>
    </row>
    <row r="102" spans="1:12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  <c r="L102" s="21"/>
    </row>
    <row r="103" spans="1:12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  <c r="L103" s="21"/>
    </row>
    <row r="104" spans="1:12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  <c r="L104" s="21"/>
    </row>
    <row r="105" spans="1:12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  <c r="L105" s="21"/>
    </row>
    <row r="106" spans="1:12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  <c r="L106" s="21"/>
    </row>
    <row r="107" spans="1:12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  <c r="L107" s="21"/>
    </row>
    <row r="108" spans="1:12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  <c r="L108" s="21"/>
    </row>
    <row r="109" spans="1:12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  <c r="L109" s="21"/>
    </row>
    <row r="110" spans="1:12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  <c r="L110" s="21"/>
    </row>
    <row r="111" spans="1:12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  <c r="L111" s="21"/>
    </row>
    <row r="112" spans="1:12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  <c r="L112" s="21"/>
    </row>
    <row r="113" spans="1:12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  <c r="L113" s="21"/>
    </row>
    <row r="114" spans="1:12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  <c r="L114" s="21"/>
    </row>
    <row r="115" spans="1:12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  <c r="L115" s="21"/>
    </row>
    <row r="116" spans="1:12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  <c r="L116" s="21"/>
    </row>
    <row r="117" spans="1:12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  <c r="L117" s="21"/>
    </row>
    <row r="118" spans="1:12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  <c r="L118" s="21"/>
    </row>
    <row r="119" spans="1:12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  <c r="L119" s="21"/>
    </row>
    <row r="120" spans="1:12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  <c r="L120" s="21"/>
    </row>
    <row r="121" spans="1:12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  <c r="L121" s="21"/>
    </row>
    <row r="122" spans="1:12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  <c r="L122" s="21"/>
    </row>
    <row r="123" spans="1:12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  <c r="L123" s="21"/>
    </row>
    <row r="124" spans="1:12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  <c r="L124" s="21"/>
    </row>
    <row r="125" spans="1:12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  <c r="L125" s="21"/>
    </row>
    <row r="126" spans="1:12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  <c r="L126" s="21"/>
    </row>
    <row r="127" spans="1:12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  <c r="L127" s="21"/>
    </row>
    <row r="128" spans="1:12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  <c r="L128" s="21"/>
    </row>
    <row r="129" spans="1:12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  <c r="L129" s="21"/>
    </row>
    <row r="130" spans="1:12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  <c r="L130" s="21"/>
    </row>
    <row r="131" spans="1:12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  <c r="L131" s="21"/>
    </row>
    <row r="132" spans="1:12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  <c r="L132" s="21"/>
    </row>
    <row r="133" spans="1:12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  <c r="L133" s="21"/>
    </row>
    <row r="134" spans="1:12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  <c r="L134" s="21"/>
    </row>
    <row r="135" spans="1:12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  <c r="L135" s="21"/>
    </row>
    <row r="136" spans="1:12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  <c r="L136" s="21"/>
    </row>
    <row r="137" spans="1:12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  <c r="L137" s="21"/>
    </row>
    <row r="138" spans="1:12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  <c r="L138" s="21"/>
    </row>
    <row r="139" spans="1:12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  <c r="L139" s="21"/>
    </row>
    <row r="140" spans="1:12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  <c r="L140" s="21"/>
    </row>
    <row r="141" spans="1:12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  <c r="L141" s="21"/>
    </row>
    <row r="142" spans="1:12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  <c r="L142" s="21"/>
    </row>
    <row r="143" spans="1:12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  <c r="L143" s="21"/>
    </row>
    <row r="144" spans="1:12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  <c r="L144" s="21"/>
    </row>
    <row r="145" spans="1:12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  <c r="L145" s="21"/>
    </row>
    <row r="146" spans="1:12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  <c r="L146" s="21"/>
    </row>
    <row r="147" spans="1:12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  <c r="L147" s="21"/>
    </row>
    <row r="148" spans="1:12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  <c r="L148" s="21"/>
    </row>
    <row r="149" spans="1:12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  <c r="L149" s="21"/>
    </row>
    <row r="150" spans="1:12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  <c r="L150" s="21"/>
    </row>
    <row r="151" spans="1:12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  <c r="L151" s="21"/>
    </row>
    <row r="152" spans="1:12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  <c r="L152" s="21"/>
    </row>
    <row r="153" spans="1:12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  <c r="L153" s="21"/>
    </row>
    <row r="154" spans="1:12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  <c r="L154" s="21"/>
    </row>
    <row r="155" spans="1:12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  <c r="L155" s="21"/>
    </row>
    <row r="156" spans="1:12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  <c r="L156" s="21"/>
    </row>
    <row r="157" spans="1:12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  <c r="L157" s="21"/>
    </row>
    <row r="158" spans="1:12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  <c r="L158" s="21"/>
    </row>
    <row r="159" spans="1:12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  <c r="L159" s="21"/>
    </row>
    <row r="160" spans="1:12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  <c r="L160" s="21"/>
    </row>
    <row r="161" spans="1:12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  <c r="L161" s="21"/>
    </row>
    <row r="162" spans="1:12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  <c r="L162" s="21"/>
    </row>
    <row r="163" spans="1:12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  <c r="L163" s="21"/>
    </row>
    <row r="164" spans="1:12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  <c r="L164" s="21"/>
    </row>
    <row r="165" spans="1:12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  <c r="L165" s="21"/>
    </row>
    <row r="166" spans="1:12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  <c r="L166" s="21"/>
    </row>
    <row r="167" spans="1:12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  <c r="L167" s="21"/>
    </row>
    <row r="168" spans="1:12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  <c r="L168" s="21"/>
    </row>
    <row r="169" spans="1:12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  <c r="L169" s="21"/>
    </row>
    <row r="170" spans="1:12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  <c r="L170" s="21"/>
    </row>
    <row r="171" spans="1:12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  <c r="L171" s="21"/>
    </row>
    <row r="172" spans="1:12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  <c r="L172" s="21"/>
    </row>
    <row r="173" spans="1:12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  <c r="L173" s="21"/>
    </row>
    <row r="174" spans="1:12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  <c r="L174" s="21"/>
    </row>
    <row r="175" spans="1:12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  <c r="L175" s="21"/>
    </row>
    <row r="176" spans="1:12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  <c r="L176" s="21"/>
    </row>
    <row r="177" spans="1:12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  <c r="L177" s="21"/>
    </row>
    <row r="178" spans="1:12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  <c r="L178" s="21"/>
    </row>
    <row r="179" spans="1:12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  <c r="L179" s="21"/>
    </row>
    <row r="180" spans="1:12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  <c r="L180" s="21"/>
    </row>
    <row r="181" spans="1:12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  <c r="L181" s="21"/>
    </row>
    <row r="182" spans="1:12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  <c r="L182" s="21"/>
    </row>
    <row r="183" spans="1:12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  <c r="L183" s="21"/>
    </row>
    <row r="184" spans="1:12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  <c r="L184" s="21"/>
    </row>
    <row r="185" spans="1:12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  <c r="L185" s="21"/>
    </row>
    <row r="186" spans="1:12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  <c r="L186" s="21"/>
    </row>
    <row r="187" spans="1:12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  <c r="L187" s="21"/>
    </row>
    <row r="188" spans="1:12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  <c r="L188" s="21"/>
    </row>
    <row r="189" spans="1:12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  <c r="L189" s="21"/>
    </row>
    <row r="190" spans="1:12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  <c r="L190" s="21"/>
    </row>
    <row r="191" spans="1:12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  <c r="L191" s="21"/>
    </row>
    <row r="192" spans="1:12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  <c r="L192" s="21"/>
    </row>
    <row r="193" spans="1:12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  <c r="L193" s="21"/>
    </row>
    <row r="194" spans="1:12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  <c r="L194" s="21"/>
    </row>
    <row r="195" spans="1:12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  <c r="L195" s="21"/>
    </row>
    <row r="196" spans="1:12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  <c r="L196" s="21"/>
    </row>
    <row r="197" spans="1:12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  <c r="L197" s="21"/>
    </row>
    <row r="198" spans="1:12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  <c r="L198" s="21"/>
    </row>
    <row r="199" spans="1:12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  <c r="L199" s="21"/>
    </row>
    <row r="200" spans="1:12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  <c r="L200" s="21"/>
    </row>
    <row r="201" spans="1:12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  <c r="L201" s="21"/>
    </row>
    <row r="202" spans="1:12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  <c r="L202" s="21"/>
    </row>
    <row r="203" spans="1:12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  <c r="L203" s="21"/>
    </row>
    <row r="204" spans="1:12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  <c r="L204" s="21"/>
    </row>
    <row r="205" spans="1:12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  <c r="L205" s="21"/>
    </row>
    <row r="206" spans="1:12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  <c r="L206" s="21"/>
    </row>
    <row r="207" spans="1:12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  <c r="L207" s="21"/>
    </row>
    <row r="208" spans="1:12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  <c r="L208" s="21"/>
    </row>
    <row r="209" spans="1:12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  <c r="L209" s="21"/>
    </row>
    <row r="210" spans="1:12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  <c r="L210" s="21"/>
    </row>
    <row r="211" spans="1:12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  <c r="L211" s="21"/>
    </row>
    <row r="212" spans="1:12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  <c r="L212" s="21"/>
    </row>
    <row r="213" spans="1:12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  <c r="L213" s="21"/>
    </row>
    <row r="214" spans="1:12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  <c r="L214" s="21"/>
    </row>
    <row r="215" spans="1:12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  <c r="L215" s="21"/>
    </row>
    <row r="216" spans="1:12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  <c r="L216" s="21"/>
    </row>
    <row r="217" spans="1:12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  <c r="L217" s="21"/>
    </row>
    <row r="218" spans="1:12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  <c r="L218" s="21"/>
    </row>
    <row r="219" spans="1:12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  <c r="L219" s="21"/>
    </row>
    <row r="220" spans="1:12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  <c r="L220" s="21"/>
    </row>
    <row r="221" spans="1:12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  <c r="L221" s="21"/>
    </row>
    <row r="222" spans="1:12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  <c r="L222" s="21"/>
    </row>
    <row r="223" spans="1:12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  <c r="L223" s="21"/>
    </row>
    <row r="224" spans="1:12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  <c r="L224" s="21"/>
    </row>
    <row r="225" spans="1:12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  <c r="L225" s="21"/>
    </row>
    <row r="226" spans="1:12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  <c r="L226" s="21"/>
    </row>
    <row r="227" spans="1:12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  <c r="L227" s="21"/>
    </row>
    <row r="228" spans="1:12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  <c r="L228" s="21"/>
    </row>
    <row r="229" spans="1:12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  <c r="L229" s="21"/>
    </row>
    <row r="230" spans="1:12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  <c r="L230" s="21"/>
    </row>
    <row r="231" spans="1:12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  <c r="L231" s="21"/>
    </row>
    <row r="232" spans="1:12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  <c r="L232" s="21"/>
    </row>
    <row r="233" spans="1:12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  <c r="L233" s="21"/>
    </row>
    <row r="234" spans="1:12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  <c r="L234" s="21"/>
    </row>
    <row r="235" spans="1:12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  <c r="L235" s="21"/>
    </row>
    <row r="236" spans="1:12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  <c r="L236" s="21"/>
    </row>
    <row r="237" spans="1:12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  <c r="L237" s="21"/>
    </row>
    <row r="238" spans="1:12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  <c r="L238" s="21"/>
    </row>
    <row r="239" spans="1:12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  <c r="L239" s="21"/>
    </row>
    <row r="240" spans="1:12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  <c r="L240" s="21"/>
    </row>
    <row r="241" spans="1:12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  <c r="L241" s="21"/>
    </row>
    <row r="242" spans="1:12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  <c r="L242" s="21"/>
    </row>
    <row r="243" spans="1:12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  <c r="L243" s="21"/>
    </row>
    <row r="244" spans="1:12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  <c r="L244" s="21"/>
    </row>
    <row r="245" spans="1:12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  <c r="L245" s="21"/>
    </row>
    <row r="246" spans="1:12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  <c r="L246" s="21"/>
    </row>
    <row r="247" spans="1:12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  <c r="L247" s="21"/>
    </row>
    <row r="248" spans="1:12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  <c r="L248" s="21"/>
    </row>
    <row r="249" spans="1:12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  <c r="L249" s="21"/>
    </row>
    <row r="250" spans="1:12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  <c r="L250" s="21"/>
    </row>
    <row r="251" spans="1:12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  <c r="L251" s="21"/>
    </row>
    <row r="252" spans="1:12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  <c r="L252" s="21"/>
    </row>
    <row r="253" spans="1:12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  <c r="L253" s="21"/>
    </row>
    <row r="254" spans="1:12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  <c r="L254" s="21"/>
    </row>
    <row r="255" spans="1:12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  <c r="L255" s="21"/>
    </row>
    <row r="256" spans="1:12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  <c r="L256" s="21"/>
    </row>
    <row r="257" spans="1:12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  <c r="L257" s="21"/>
    </row>
    <row r="258" spans="1:12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  <c r="L258" s="21"/>
    </row>
    <row r="259" spans="1:12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  <c r="L259" s="21"/>
    </row>
    <row r="260" spans="1:12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  <c r="L260" s="21"/>
    </row>
    <row r="261" spans="1:12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  <c r="L261" s="21"/>
    </row>
    <row r="262" spans="1:12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  <c r="L262" s="21"/>
    </row>
    <row r="263" spans="1:12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  <c r="L263" s="21"/>
    </row>
    <row r="264" spans="1:12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  <c r="L264" s="21"/>
    </row>
    <row r="265" spans="1:12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  <c r="L265" s="21"/>
    </row>
    <row r="266" spans="1:12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  <c r="L266" s="21"/>
    </row>
    <row r="267" spans="1:12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  <c r="L267" s="21"/>
    </row>
    <row r="268" spans="1:12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  <c r="L268" s="21"/>
    </row>
    <row r="269" spans="1:12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  <c r="L269" s="21"/>
    </row>
    <row r="270" spans="1:12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  <c r="L270" s="21"/>
    </row>
    <row r="271" spans="1:12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  <c r="L271" s="21"/>
    </row>
    <row r="272" spans="1:12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  <c r="L272" s="21"/>
    </row>
    <row r="273" spans="1:12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  <c r="L273" s="21"/>
    </row>
    <row r="274" spans="1:12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  <c r="L274" s="21"/>
    </row>
    <row r="275" spans="1:12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  <c r="L275" s="21"/>
    </row>
    <row r="276" spans="1:12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  <c r="L276" s="21"/>
    </row>
    <row r="277" spans="1:12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  <c r="L277" s="21"/>
    </row>
    <row r="278" spans="1:12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  <c r="L278" s="21"/>
    </row>
    <row r="279" spans="1:12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  <c r="L279" s="21"/>
    </row>
    <row r="280" spans="1:12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  <c r="L280" s="21"/>
    </row>
    <row r="281" spans="1:12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  <c r="L281" s="21"/>
    </row>
    <row r="282" spans="1:12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  <c r="L282" s="21"/>
    </row>
    <row r="283" spans="1:12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  <c r="L283" s="21"/>
    </row>
    <row r="284" spans="1:12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  <c r="L284" s="21"/>
    </row>
    <row r="285" spans="1:12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  <c r="L285" s="21"/>
    </row>
    <row r="286" spans="1:12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  <c r="L286" s="21"/>
    </row>
    <row r="287" spans="1:12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  <c r="L287" s="21"/>
    </row>
    <row r="288" spans="1:12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  <c r="L288" s="21"/>
    </row>
    <row r="289" spans="1:12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  <c r="L289" s="21"/>
    </row>
    <row r="290" spans="1:12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  <c r="L290" s="21"/>
    </row>
    <row r="291" spans="1:12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  <c r="L291" s="21"/>
    </row>
    <row r="292" spans="1:12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  <c r="L292" s="21"/>
    </row>
    <row r="293" spans="1:12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  <c r="L293" s="21"/>
    </row>
    <row r="294" spans="1:12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  <c r="L294" s="21"/>
    </row>
    <row r="295" spans="1:12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  <c r="L295" s="21"/>
    </row>
    <row r="296" spans="1:12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  <c r="L296" s="21"/>
    </row>
    <row r="297" spans="1:12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  <c r="L297" s="21"/>
    </row>
    <row r="298" spans="1:12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  <c r="L298" s="21"/>
    </row>
    <row r="299" spans="1:12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  <c r="L299" s="21"/>
    </row>
    <row r="300" spans="1:12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  <c r="L300" s="21"/>
    </row>
    <row r="301" spans="1:12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  <c r="L301" s="21"/>
    </row>
    <row r="302" spans="1:12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  <c r="L302" s="21"/>
    </row>
    <row r="303" spans="1:12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  <c r="L303" s="21"/>
    </row>
    <row r="304" spans="1:12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  <c r="L304" s="21"/>
    </row>
    <row r="305" spans="1:12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  <c r="L305" s="21"/>
    </row>
    <row r="306" spans="1:12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  <c r="L306" s="21"/>
    </row>
    <row r="307" spans="1:12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  <c r="L307" s="21"/>
    </row>
    <row r="308" spans="1:12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  <c r="L308" s="21"/>
    </row>
    <row r="309" spans="1:12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  <c r="L309" s="21"/>
    </row>
    <row r="310" spans="1:12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  <c r="L310" s="21"/>
    </row>
    <row r="311" spans="1:12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  <c r="L311" s="21"/>
    </row>
    <row r="312" spans="1:12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  <c r="L312" s="21"/>
    </row>
    <row r="313" spans="1:12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  <c r="L313" s="21"/>
    </row>
    <row r="314" spans="1:12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  <c r="L314" s="21"/>
    </row>
    <row r="315" spans="1:12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  <c r="L315" s="21"/>
    </row>
    <row r="316" spans="1:12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  <c r="L316" s="21"/>
    </row>
    <row r="317" spans="1:12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  <c r="L317" s="21"/>
    </row>
    <row r="318" spans="1:12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  <c r="L318" s="21"/>
    </row>
    <row r="319" spans="1:12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  <c r="L319" s="21"/>
    </row>
    <row r="320" spans="1:12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  <c r="L320" s="21"/>
    </row>
    <row r="321" spans="1:12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  <c r="L321" s="21"/>
    </row>
    <row r="322" spans="1:12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  <c r="L322" s="21"/>
    </row>
    <row r="323" spans="1:12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  <c r="L323" s="21"/>
    </row>
    <row r="324" spans="1:12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  <c r="L324" s="21"/>
    </row>
    <row r="325" spans="1:12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  <c r="L325" s="21"/>
    </row>
    <row r="326" spans="1:12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  <c r="L326" s="21"/>
    </row>
    <row r="327" spans="1:12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  <c r="L327" s="21"/>
    </row>
    <row r="328" spans="1:12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  <c r="L328" s="21"/>
    </row>
    <row r="329" spans="1:12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  <c r="L329" s="21"/>
    </row>
    <row r="330" spans="1:12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  <c r="L330" s="21"/>
    </row>
    <row r="331" spans="1:12" ht="14.45">
      <c r="A331" s="21"/>
      <c r="B331" s="32"/>
      <c r="C331" s="21"/>
      <c r="D331" s="21"/>
      <c r="E331" s="21"/>
      <c r="F331" s="22"/>
      <c r="G331" s="21"/>
      <c r="H331" s="21"/>
      <c r="I331" s="22"/>
      <c r="J331" s="21"/>
      <c r="K331" s="21"/>
      <c r="L331" s="21"/>
    </row>
    <row r="332" spans="1:12" ht="14.45">
      <c r="A332" s="21"/>
      <c r="B332" s="32"/>
      <c r="C332" s="21"/>
      <c r="D332" s="21"/>
      <c r="E332" s="21"/>
      <c r="F332" s="22"/>
      <c r="G332" s="21"/>
      <c r="H332" s="21"/>
      <c r="I332" s="22"/>
      <c r="J332" s="21"/>
      <c r="K332" s="21"/>
      <c r="L332" s="21"/>
    </row>
    <row r="333" spans="1:12" ht="14.45">
      <c r="A333" s="21"/>
      <c r="B333" s="32"/>
      <c r="C333" s="21"/>
      <c r="D333" s="21"/>
      <c r="E333" s="21"/>
      <c r="F333" s="22"/>
      <c r="G333" s="21"/>
      <c r="H333" s="21"/>
      <c r="I333" s="22"/>
      <c r="J333" s="21"/>
      <c r="K333" s="21"/>
      <c r="L333" s="21"/>
    </row>
    <row r="334" spans="1:12" ht="14.45">
      <c r="A334" s="21"/>
      <c r="B334" s="32"/>
      <c r="C334" s="21"/>
      <c r="D334" s="21"/>
      <c r="E334" s="21"/>
      <c r="F334" s="22"/>
      <c r="G334" s="21"/>
      <c r="H334" s="21"/>
      <c r="I334" s="22"/>
      <c r="J334" s="21"/>
      <c r="K334" s="21"/>
      <c r="L334" s="21"/>
    </row>
    <row r="335" spans="1:12" ht="14.45">
      <c r="A335" s="21"/>
      <c r="B335" s="32"/>
      <c r="C335" s="21"/>
      <c r="D335" s="21"/>
      <c r="E335" s="21"/>
      <c r="F335" s="22"/>
      <c r="G335" s="21"/>
      <c r="H335" s="21"/>
      <c r="I335" s="22"/>
      <c r="J335" s="21"/>
      <c r="K335" s="21"/>
      <c r="L335" s="21"/>
    </row>
    <row r="336" spans="1:12" ht="14.45">
      <c r="A336" s="21"/>
      <c r="B336" s="32"/>
      <c r="C336" s="21"/>
      <c r="D336" s="21"/>
      <c r="E336" s="21"/>
      <c r="F336" s="22"/>
      <c r="G336" s="21"/>
      <c r="H336" s="21"/>
      <c r="I336" s="22"/>
      <c r="J336" s="21"/>
      <c r="K336" s="21"/>
      <c r="L336" s="21"/>
    </row>
    <row r="337" spans="3:12" ht="14.45">
      <c r="C337" s="21"/>
      <c r="D337" s="21"/>
      <c r="E337" s="21"/>
      <c r="F337" s="22"/>
      <c r="G337" s="21"/>
      <c r="H337" s="21"/>
      <c r="I337" s="22"/>
      <c r="J337" s="21"/>
      <c r="K337" s="21"/>
      <c r="L337" s="21"/>
    </row>
  </sheetData>
  <mergeCells count="4">
    <mergeCell ref="G1:I1"/>
    <mergeCell ref="A1:C1"/>
    <mergeCell ref="D1:F1"/>
    <mergeCell ref="A2:B2"/>
  </mergeCells>
  <conditionalFormatting sqref="F2 I2 F4:F8 I4:I8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conditionalFormatting sqref="F15:F95 I15:I95">
    <cfRule type="cellIs" dxfId="4" priority="1" stopIfTrue="1" operator="lessThanOrEqual">
      <formula>-0.1</formula>
    </cfRule>
    <cfRule type="expression" dxfId="3" priority="2">
      <formula>AND(ISNUMBER(F15), F15&gt;=0.1)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E8"/>
  <sheetViews>
    <sheetView workbookViewId="0">
      <pane ySplit="3" topLeftCell="A4" activePane="bottomLeft" state="frozen"/>
      <selection pane="bottomLeft" activeCell="B16" sqref="B16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5" ht="12.75" customHeight="1">
      <c r="A1" t="s">
        <v>62</v>
      </c>
      <c r="B1" s="42" t="s">
        <v>63</v>
      </c>
    </row>
    <row r="3" spans="1:5" ht="13.15">
      <c r="A3" t="s">
        <v>64</v>
      </c>
      <c r="B3" t="s">
        <v>3</v>
      </c>
      <c r="C3" t="s">
        <v>4</v>
      </c>
      <c r="D3" t="s">
        <v>65</v>
      </c>
      <c r="E3" s="2" t="s">
        <v>66</v>
      </c>
    </row>
    <row r="4" spans="1:5" ht="12.75" customHeight="1">
      <c r="A4" s="42" t="s">
        <v>67</v>
      </c>
      <c r="B4" s="42" t="s">
        <v>68</v>
      </c>
      <c r="C4" t="s">
        <v>69</v>
      </c>
      <c r="D4" t="s">
        <v>70</v>
      </c>
      <c r="E4" s="42" t="s">
        <v>71</v>
      </c>
    </row>
    <row r="5" spans="1:5" ht="12.75" customHeight="1">
      <c r="A5" s="3" t="s">
        <v>72</v>
      </c>
      <c r="B5" s="3" t="s">
        <v>73</v>
      </c>
      <c r="C5" s="3" t="s">
        <v>74</v>
      </c>
      <c r="D5" t="s">
        <v>70</v>
      </c>
      <c r="E5" s="42" t="s">
        <v>71</v>
      </c>
    </row>
    <row r="6" spans="1:5" ht="12.75" customHeight="1">
      <c r="A6" s="3" t="s">
        <v>75</v>
      </c>
      <c r="B6" s="3" t="s">
        <v>76</v>
      </c>
      <c r="C6" s="3" t="s">
        <v>74</v>
      </c>
      <c r="D6" t="s">
        <v>70</v>
      </c>
      <c r="E6" s="42" t="s">
        <v>71</v>
      </c>
    </row>
    <row r="7" spans="1:5" ht="12.75" customHeight="1">
      <c r="A7" s="3" t="s">
        <v>77</v>
      </c>
      <c r="B7" s="3" t="s">
        <v>78</v>
      </c>
      <c r="C7" s="3" t="s">
        <v>74</v>
      </c>
      <c r="D7" t="s">
        <v>70</v>
      </c>
      <c r="E7" s="42" t="s">
        <v>71</v>
      </c>
    </row>
    <row r="8" spans="1:5" ht="12.75" customHeight="1">
      <c r="A8" s="3" t="s">
        <v>79</v>
      </c>
      <c r="B8" s="3" t="s">
        <v>80</v>
      </c>
      <c r="C8" s="3" t="s">
        <v>74</v>
      </c>
      <c r="D8" t="s">
        <v>70</v>
      </c>
      <c r="E8" s="42" t="s">
        <v>71</v>
      </c>
    </row>
  </sheetData>
  <phoneticPr fontId="37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5.xml>��
</file>

<file path=customXml/item6.xml>��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��
</file>

<file path=customXml/item11.xml>��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98A113BB-8B7A-453C-8BD4-8EFC67FC2D3F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E20E8303-6A67-485C-B6F4-303542CC295C}"/>
</file>

<file path=customXml/itemProps4.xml><?xml version="1.0" encoding="utf-8"?>
<ds:datastoreItem xmlns:ds="http://schemas.openxmlformats.org/officeDocument/2006/customXml" ds:itemID="{8D732231-4216-4543-A665-18A2886B0EB7}"/>
</file>

<file path=customXml/itemProps5.xml><?xml version="1.0" encoding="utf-8"?>
<ds:datastoreItem xmlns:ds="http://schemas.openxmlformats.org/officeDocument/2006/customXml" ds:itemID="{F12EFA50-0068-4A8C-85A0-F1B26389EBC3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66B09F59-6532-46F8-924A-9A02417E070D}"/>
</file>

<file path=customXml/itemProps8.xml><?xml version="1.0" encoding="utf-8"?>
<ds:datastoreItem xmlns:ds="http://schemas.openxmlformats.org/officeDocument/2006/customXml" ds:itemID="{EDFA1AE7-FE93-49F8-9488-D461F9FD3BBF}"/>
</file>

<file path=customXml/itemProps9.xml><?xml version="1.0" encoding="utf-8"?>
<ds:datastoreItem xmlns:ds="http://schemas.openxmlformats.org/officeDocument/2006/customXml" ds:itemID="{D3A7101F-9A85-4235-8B03-415370C100B2}"/>
</file>

<file path=customXml/itemProps10.xml><?xml version="1.0" encoding="utf-8"?>
<ds:datastoreItem xmlns:ds="http://schemas.openxmlformats.org/officeDocument/2006/customXml" ds:itemID="{078388C9-06F9-42F4-B857-EF76B5CAF1FD}"/>
</file>

<file path=customXml/itemProps11.xml><?xml version="1.0" encoding="utf-8"?>
<ds:datastoreItem xmlns:ds="http://schemas.openxmlformats.org/officeDocument/2006/customXml" ds:itemID="{3AEAA9D8-2182-46BA-A58E-96C72DDA1C54}"/>
</file>

<file path=customXml/itemProps12.xml><?xml version="1.0" encoding="utf-8"?>
<ds:datastoreItem xmlns:ds="http://schemas.openxmlformats.org/officeDocument/2006/customXml" ds:itemID="{7946C510-7D04-49D8-9B25-EEC04582A1CA}"/>
</file>

<file path=customXml/itemProps13.xml><?xml version="1.0" encoding="utf-8"?>
<ds:datastoreItem xmlns:ds="http://schemas.openxmlformats.org/officeDocument/2006/customXml" ds:itemID="{89CF5C07-45EB-4100-9AFB-2C6AF77FA787}"/>
</file>

<file path=customXml/itemProps14.xml><?xml version="1.0" encoding="utf-8"?>
<ds:datastoreItem xmlns:ds="http://schemas.openxmlformats.org/officeDocument/2006/customXml" ds:itemID="{E3716282-BFD2-4ED2-BA47-BFA1123827F0}"/>
</file>

<file path=customXml/itemProps15.xml><?xml version="1.0" encoding="utf-8"?>
<ds:datastoreItem xmlns:ds="http://schemas.openxmlformats.org/officeDocument/2006/customXml" ds:itemID="{0389C43E-394D-44C0-87DC-4780FCFCFB40}"/>
</file>

<file path=customXml/itemProps16.xml><?xml version="1.0" encoding="utf-8"?>
<ds:datastoreItem xmlns:ds="http://schemas.openxmlformats.org/officeDocument/2006/customXml" ds:itemID="{F6B2B1A1-1C4B-4AC9-9A7D-7A102DD1C942}"/>
</file>

<file path=customXml/itemProps17.xml><?xml version="1.0" encoding="utf-8"?>
<ds:datastoreItem xmlns:ds="http://schemas.openxmlformats.org/officeDocument/2006/customXml" ds:itemID="{14966E4F-347B-477B-B74C-9DAC05405806}"/>
</file>

<file path=customXml/itemProps18.xml><?xml version="1.0" encoding="utf-8"?>
<ds:datastoreItem xmlns:ds="http://schemas.openxmlformats.org/officeDocument/2006/customXml" ds:itemID="{BE26B669-A686-459C-A5E9-FEC3409C4C81}"/>
</file>

<file path=customXml/itemProps19.xml><?xml version="1.0" encoding="utf-8"?>
<ds:datastoreItem xmlns:ds="http://schemas.openxmlformats.org/officeDocument/2006/customXml" ds:itemID="{1954BBA4-0359-438C-B0EC-A756015F7C02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2026-02-20T19:12:49Z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2024-09-18T22:54:06Z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de459e2a-2bc6-4866-836f-a6da970436d5</vt:lpwstr>
  </property>
  <property fmtid="{D5CDD505-2E9C-101B-9397-08002B2CF9AE}" pid="9" name="MSIP_Label_9d817c99-0b37-4a07-8277-96aa1f96b74b_ContentBits">
    <vt:lpwstr>0</vt:lpwstr>
  </property>
</Properties>
</file>