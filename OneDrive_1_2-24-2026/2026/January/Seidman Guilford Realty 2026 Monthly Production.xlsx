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F7408AE-44C8-4A3C-A4EA-019B4577EEC4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G4" i="29" s="1"/>
  <c r="B4" i="26" a="1"/>
  <c r="B4" i="26" s="1"/>
  <c r="H4" i="21"/>
  <c r="I4" i="21" s="1"/>
  <c r="H4" i="4"/>
  <c r="C4" i="1"/>
  <c r="C2" i="1" s="1"/>
  <c r="G4" i="30"/>
  <c r="G2" i="30" s="1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/>
  <c r="A4" i="4" a="1"/>
  <c r="A4" i="4" s="1"/>
  <c r="B4" i="3" a="1"/>
  <c r="B4" i="3"/>
  <c r="A4" i="3" a="1"/>
  <c r="A4" i="3" s="1"/>
  <c r="B4" i="27" a="1"/>
  <c r="B4" i="27" s="1"/>
  <c r="A4" i="27" a="1"/>
  <c r="A4" i="27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2" i="1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C2" i="29" s="1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/>
  <c r="A1" i="18" a="1"/>
  <c r="A1" i="18" s="1"/>
  <c r="D4" i="1"/>
  <c r="D2" i="1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/>
  <c r="E4" i="32"/>
  <c r="F4" i="32" s="1"/>
  <c r="G2" i="32"/>
  <c r="D2" i="32"/>
  <c r="C2" i="32"/>
  <c r="E2" i="32" s="1"/>
  <c r="F2" i="32" s="1"/>
  <c r="A1" i="32" a="1"/>
  <c r="A1" i="32" s="1"/>
  <c r="G2" i="31"/>
  <c r="D2" i="31"/>
  <c r="C2" i="31"/>
  <c r="J2" i="31" s="1"/>
  <c r="A1" i="31" a="1"/>
  <c r="A1" i="31" s="1"/>
  <c r="H4" i="28"/>
  <c r="I4" i="28" s="1"/>
  <c r="E4" i="28"/>
  <c r="F4" i="28" s="1"/>
  <c r="B4" i="28" a="1"/>
  <c r="B4" i="28" s="1"/>
  <c r="A4" i="28" a="1"/>
  <c r="A4" i="28"/>
  <c r="G2" i="28"/>
  <c r="D2" i="28"/>
  <c r="C2" i="28"/>
  <c r="E2" i="28" s="1"/>
  <c r="F2" i="28" s="1"/>
  <c r="A1" i="28" a="1"/>
  <c r="A1" i="28" s="1"/>
  <c r="E4" i="27"/>
  <c r="F4" i="27" s="1"/>
  <c r="G2" i="27"/>
  <c r="D2" i="27"/>
  <c r="C2" i="27"/>
  <c r="J2" i="27" s="1"/>
  <c r="A1" i="27" a="1"/>
  <c r="A1" i="27"/>
  <c r="H4" i="26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 s="1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 s="1"/>
  <c r="G2" i="3"/>
  <c r="D2" i="3"/>
  <c r="C2" i="3"/>
  <c r="J2" i="3"/>
  <c r="A1" i="3" a="1"/>
  <c r="A1" i="3" s="1"/>
  <c r="H4" i="72"/>
  <c r="I4" i="72"/>
  <c r="G2" i="72"/>
  <c r="D2" i="72"/>
  <c r="C2" i="72"/>
  <c r="J2" i="72"/>
  <c r="A1" i="72" a="1"/>
  <c r="A1" i="72" s="1"/>
  <c r="D2" i="30"/>
  <c r="H4" i="29" l="1"/>
  <c r="H2" i="33"/>
  <c r="I2" i="33" s="1"/>
  <c r="I4" i="26"/>
  <c r="I4" i="27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<sst xmlns="http://schemas.openxmlformats.org/spreadsheetml/2006/main" count="249" uniqueCount="57">
  <si>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</si>
  <si>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</si>
  <si>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</si>
  <si>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</si>
  <si>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</si>
  <si>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</si>
  <si>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</si>
  <si>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</si>
  <si>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</si>
  <si>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</si>
  <si>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</si>
  <si>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</si>
  <si>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</si>
  <si>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</si>
  <si>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</si>
  <si>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</si>
  <si>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</si>
  <si>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</si>
  <si>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</si>
  <si>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</si>
  <si>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</si>
  <si>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</si>
  <si>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</si>
  <si>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N/A</t>
  </si>
  <si>
    <t>1. The plant is performing as expected. The forecasted (theoretical) values may appear higher and they are based on long-term average weather data (typically over 10–15 years). In contrast, the actual vs. expected generation reflects real-time weather conditions during the period, offering a more accurate representation of current performance.
2.Site was bearly producing from 01/25 to rest of the month due to 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</si>
  <si>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</si>
  <si>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</si>
  <si>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</si>
  <si>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</si>
  <si>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</si>
  <si>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</si>
  <si>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</si>
  <si>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</si>
  <si>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</si>
  <si>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</si>
  <si>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</si>
  <si>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</si>
  <si>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</si>
  <si>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</si>
  <si>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</si>
  <si>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</si>
  <si>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</si>
  <si>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</si>
  <si>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/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</si>
  <si>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</si>
  <si>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</si>
  <si>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</si>
  <si>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</si>
  <si>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</si>
  <si>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Seidman Guilford Realty</t>
  </si>
  <si>
    <t>Site DAS Name</t>
  </si>
  <si>
    <t>Update</t>
  </si>
  <si>
    <t>DAS</t>
  </si>
  <si>
    <t>CT: Guilford - Seidman Guilford Realty</t>
  </si>
  <si>
    <t>CT</t>
  </si>
  <si>
    <t>AF</t>
  </si>
  <si>
    <t>PoweTrack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</si>
</sst>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I4" sqref="I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9529</v>
      </c>
      <c r="D2" s="5">
        <f>SUM(D4:D79)</f>
        <v>0</v>
      </c>
      <c r="E2" s="5">
        <f>C2-D2</f>
        <v>9529</v>
      </c>
      <c r="F2" s="6">
        <f>IFERROR(E2/D2, 0)</f>
        <v>0</v>
      </c>
      <c r="G2" s="5">
        <f>SUM(G4:G79)</f>
        <v>13569.723</v>
      </c>
      <c r="H2" s="7">
        <f>C2-G2</f>
        <v>-4040.723</v>
      </c>
      <c r="I2" s="6">
        <f>IFERROR(H2/G2, 0)</f>
        <v>-0.29777490668011425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SUM('1st Qtr'!C4, '2nd Qtr'!C4, '3rd Qtr'!C4, '4th Qtr'!C4)</f>
        <v>9529</v>
      </c>
      <c r="D4" s="12">
        <f>SUM('1st Qtr'!D4, '2nd Qtr'!D4, '3rd Qtr'!D4, '4th Qtr'!D4)</f>
        <v>0</v>
      </c>
      <c r="E4" s="12">
        <f>IF(AND(ISNUMBER(C4),ISNUMBER(D4)), C4-D4, "")</f>
        <v>9529</v>
      </c>
      <c r="F4" s="13" t="str">
        <f>IFERROR(E4/D4, "")</f>
        <v/>
      </c>
      <c r="G4" s="14">
        <f>SUM('1st Qtr'!G4, '2nd Qtr'!G4, '3rd Qtr'!G4, '4th Qtr'!G4)</f>
        <v>13569.723</v>
      </c>
      <c r="H4" s="14">
        <f>SUM('1st Qtr'!H4, '2nd Qtr'!H4, '3rd Qtr'!H4, '4th Qtr'!H4)</f>
        <v>-4040.723</v>
      </c>
      <c r="I4" s="15">
        <f>IFERROR(H4/G4, "")</f>
        <v>-0.29777490668011425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9529</v>
      </c>
      <c r="D2" s="5">
        <f>SUM(D4:D79)</f>
        <v>0</v>
      </c>
      <c r="E2" s="5">
        <f>C2-D2</f>
        <v>9529</v>
      </c>
      <c r="F2" s="6">
        <f>IFERROR(E2/D2, 0)</f>
        <v>0</v>
      </c>
      <c r="G2" s="5">
        <f>SUM(G4:G79)</f>
        <v>13569.723</v>
      </c>
      <c r="H2" s="7">
        <f>C2-G2</f>
        <v>-4040.723</v>
      </c>
      <c r="I2" s="6">
        <f>IFERROR(H2/G2, 0)</f>
        <v>-0.29777490668011425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SUM(Jan!C4, Feb!C4, Mar!C4)</f>
        <v>9529</v>
      </c>
      <c r="D4" s="12">
        <f>SUM(Jan!D4, Feb!D4, Mar!D4)</f>
        <v>0</v>
      </c>
      <c r="E4" s="12">
        <f>IF(AND(ISNUMBER(C4),ISNUMBER(D4)), C4-D4, "")</f>
        <v>9529</v>
      </c>
      <c r="F4" s="13" t="str">
        <f>IFERROR(E4/D4, "")</f>
        <v/>
      </c>
      <c r="G4" s="14">
        <f>SUM(Jan!G4, Feb!G4, Mar!G4)</f>
        <v>13569.723</v>
      </c>
      <c r="H4" s="14">
        <f>SUM(Jan!H4, Feb!H4, Mar!H4)</f>
        <v>-4040.723</v>
      </c>
      <c r="I4" s="15">
        <f>IFERROR(H4/G4, "")</f>
        <v>-0.29777490668011425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4" sqref="H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0"/>
  <sheetViews>
    <sheetView tabSelected="1" zoomScale="70" zoomScaleNormal="70" workbookViewId="0">
      <pane xSplit="2" ySplit="3" topLeftCell="C4" activePane="bottomRight" state="frozen"/>
      <selection pane="bottomRight" activeCell="J18" sqref="J1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" customWidth="1"/>
  </cols>
  <sheetData>
    <row r="1" spans="1:12" ht="19.5" customHeight="1">
      <c r="A1" s="60" t="str" cm="1">
        <f t="array" ref="A1">portfolio</f>
        <v>Seidman Guilford Realty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  <c r="L1" s="4"/>
    </row>
    <row r="2" spans="1:12" ht="19.5" customHeight="1">
      <c r="A2" s="62" t="s">
        <v>2</v>
      </c>
      <c r="B2" s="62"/>
      <c r="C2" s="5">
        <f>SUM(C4:C78)</f>
        <v>9529</v>
      </c>
      <c r="D2" s="5">
        <f>SUM(D4:D78)</f>
        <v>0</v>
      </c>
      <c r="E2" s="5">
        <f>C2-D2</f>
        <v>9529</v>
      </c>
      <c r="F2" s="6">
        <f>IFERROR(E2/D2, 0)</f>
        <v>0</v>
      </c>
      <c r="G2" s="5">
        <f>SUM(G4:G78)</f>
        <v>13569.723</v>
      </c>
      <c r="H2" s="7">
        <f>C2-G2</f>
        <v>-4040.723</v>
      </c>
      <c r="I2" s="6">
        <f>IFERROR(H2/G2, 0)</f>
        <v>-0.29777490668011425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22</v>
      </c>
    </row>
    <row r="4" spans="1:12" ht="107.25" customHeight="1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v>9529</v>
      </c>
      <c r="D4" s="12" t="s">
        <v>23</v>
      </c>
      <c r="E4" s="12" t="str">
        <f>IF(AND(ISNUMBER(C4),ISNUMBER(D4)), C4-D4, "")</f>
        <v/>
      </c>
      <c r="F4" s="13" t="str">
        <f>IFERROR(E4/D4, "")</f>
        <v/>
      </c>
      <c r="G4" s="14">
        <v>13569.723</v>
      </c>
      <c r="H4" s="14">
        <f>IF(AND(ISNUMBER(C4),ISNUMBER(G4)), C4-G4, "")</f>
        <v>-4040.723</v>
      </c>
      <c r="I4" s="15">
        <f>IFERROR(H4/G4, "")</f>
        <v>-0.29777490668011425</v>
      </c>
      <c r="J4" s="36" t="s">
        <v>24</v>
      </c>
      <c r="K4" s="36"/>
      <c r="L4" s="36"/>
    </row>
    <row r="5" spans="1:12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  <c r="L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  <c r="L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  <c r="L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25</v>
      </c>
      <c r="E1" s="61"/>
      <c r="F1" s="61"/>
      <c r="G1" s="59" t="s">
        <v>26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0" t="str" cm="1">
        <f t="array" ref="A1">portfolio</f>
        <v>Seidman Guilford Realty</v>
      </c>
      <c r="B1" s="60"/>
      <c r="C1" s="60"/>
      <c r="D1" s="61" t="s">
        <v>27</v>
      </c>
      <c r="E1" s="61"/>
      <c r="F1" s="61"/>
      <c r="G1" s="59" t="s">
        <v>28</v>
      </c>
      <c r="H1" s="59"/>
      <c r="I1" s="59"/>
      <c r="J1" s="4"/>
      <c r="K1" s="4"/>
    </row>
    <row r="2" spans="1:15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Seidman Guilford Realty</v>
      </c>
      <c r="B1" s="60"/>
      <c r="C1" s="60"/>
      <c r="D1" s="61" t="s">
        <v>29</v>
      </c>
      <c r="E1" s="61"/>
      <c r="F1" s="61"/>
      <c r="G1" s="59" t="s">
        <v>30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4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0" t="str" cm="1">
        <f t="array" ref="A1">portfolio</f>
        <v>Seidman Guilford Realty</v>
      </c>
      <c r="B1" s="60"/>
      <c r="C1" s="60"/>
      <c r="D1" s="61" t="s">
        <v>31</v>
      </c>
      <c r="E1" s="61"/>
      <c r="F1" s="61"/>
      <c r="G1" s="59" t="s">
        <v>32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C4" activePane="bottomRight" state="frozen"/>
      <selection pane="bottomRight" activeCell="I19" sqref="I19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33</v>
      </c>
      <c r="E1" s="61"/>
      <c r="F1" s="61"/>
      <c r="G1" s="59" t="s">
        <v>34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22" sqref="J22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Seidman Guilford Realty</v>
      </c>
      <c r="B1" s="60"/>
      <c r="C1" s="60"/>
      <c r="D1" s="61" t="s">
        <v>35</v>
      </c>
      <c r="E1" s="61"/>
      <c r="F1" s="61"/>
      <c r="G1" s="59" t="s">
        <v>36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6.2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  <c r="L4" s="54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J22" sqref="J22"/>
      <selection pane="bottomLeft" activeCell="J22" sqref="J22"/>
      <selection pane="topRight" activeCell="J22" sqref="J22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37</v>
      </c>
      <c r="E1" s="61"/>
      <c r="F1" s="61"/>
      <c r="G1" s="59" t="s">
        <v>38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22" sqref="J22"/>
      <selection pane="bottomLeft" activeCell="J22" sqref="J22"/>
      <selection pane="topRight" activeCell="J22" sqref="J22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39</v>
      </c>
      <c r="E1" s="61"/>
      <c r="F1" s="61"/>
      <c r="G1" s="59" t="s">
        <v>40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 t="s">
        <v>23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J22" sqref="J22"/>
      <selection pane="topRight" activeCell="J22" sqref="J22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 t="s">
        <v>23</v>
      </c>
      <c r="E4" s="12" t="s">
        <v>43</v>
      </c>
      <c r="F4" s="13" t="s">
        <v>43</v>
      </c>
      <c r="G4" s="14"/>
      <c r="H4" s="14"/>
      <c r="I4" s="15"/>
      <c r="J4" s="36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2" sqref="J22"/>
      <selection pane="bottomLeft" activeCell="J22" sqref="J22"/>
      <selection pane="topRight" activeCell="J22" sqref="J22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 t="s">
        <v>23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2" sqref="J22"/>
      <selection pane="bottomLeft" activeCell="J22" sqref="J22"/>
      <selection pane="topRight" activeCell="J22" sqref="J22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 t="s">
        <v>23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3" sqref="B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4" t="s">
        <v>49</v>
      </c>
      <c r="B4" t="s">
        <v>53</v>
      </c>
      <c r="C4" s="42" t="s">
        <v>54</v>
      </c>
      <c r="D4" s="41" t="s">
        <v>55</v>
      </c>
      <c r="E4" t="s">
        <v>56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23827E52-E291-4023-AEAC-B292928CF299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