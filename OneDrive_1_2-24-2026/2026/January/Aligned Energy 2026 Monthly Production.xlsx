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72C86D6-8D8A-4DCD-B865-6400F0578DC9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2" l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2" i="19"/>
  <c r="F12" i="19" s="1"/>
  <c r="H12" i="19"/>
  <c r="I12" i="19"/>
  <c r="E13" i="19"/>
  <c r="F13" i="19" s="1"/>
  <c r="H13" i="19"/>
  <c r="I13" i="19" s="1"/>
  <c r="E11" i="20"/>
  <c r="F11" i="20"/>
  <c r="H11" i="20"/>
  <c r="I11" i="20"/>
  <c r="E12" i="20"/>
  <c r="F12" i="20" s="1"/>
  <c r="H12" i="20"/>
  <c r="I12" i="20"/>
  <c r="E13" i="20"/>
  <c r="F13" i="20"/>
  <c r="H13" i="20"/>
  <c r="I13" i="20"/>
  <c r="E11" i="21"/>
  <c r="F11" i="21" s="1"/>
  <c r="H11" i="21"/>
  <c r="I11" i="21" s="1"/>
  <c r="E12" i="21"/>
  <c r="F12" i="21" s="1"/>
  <c r="H12" i="21"/>
  <c r="H12" i="18" s="1"/>
  <c r="I12" i="21"/>
  <c r="E13" i="21"/>
  <c r="F13" i="21" s="1"/>
  <c r="H13" i="21"/>
  <c r="H13" i="18" s="1"/>
  <c r="E14" i="21"/>
  <c r="F14" i="21" s="1"/>
  <c r="H14" i="21"/>
  <c r="I14" i="21"/>
  <c r="E7" i="4"/>
  <c r="F7" i="4" s="1"/>
  <c r="H7" i="4"/>
  <c r="I7" i="4" s="1"/>
  <c r="E8" i="4"/>
  <c r="F8" i="4" s="1"/>
  <c r="H8" i="4"/>
  <c r="I8" i="4"/>
  <c r="E9" i="4"/>
  <c r="F9" i="4" s="1"/>
  <c r="H9" i="4"/>
  <c r="I9" i="4" s="1"/>
  <c r="E10" i="4"/>
  <c r="F10" i="4" s="1"/>
  <c r="H10" i="4"/>
  <c r="I10" i="4" s="1"/>
  <c r="E11" i="4"/>
  <c r="F11" i="4" s="1"/>
  <c r="H11" i="4"/>
  <c r="I11" i="4" s="1"/>
  <c r="E12" i="4"/>
  <c r="F12" i="4" s="1"/>
  <c r="H12" i="4"/>
  <c r="I12" i="4"/>
  <c r="E13" i="4"/>
  <c r="F13" i="4" s="1"/>
  <c r="H13" i="4"/>
  <c r="I13" i="4" s="1"/>
  <c r="E7" i="3"/>
  <c r="F7" i="3" s="1"/>
  <c r="H7" i="3"/>
  <c r="I7" i="3"/>
  <c r="E8" i="3"/>
  <c r="F8" i="3" s="1"/>
  <c r="H8" i="3"/>
  <c r="E9" i="3"/>
  <c r="F9" i="3" s="1"/>
  <c r="H9" i="3"/>
  <c r="I9" i="3"/>
  <c r="E10" i="3"/>
  <c r="F10" i="3" s="1"/>
  <c r="H10" i="3"/>
  <c r="I10" i="3" s="1"/>
  <c r="E11" i="3"/>
  <c r="F11" i="3" s="1"/>
  <c r="H11" i="3"/>
  <c r="I11" i="3"/>
  <c r="E12" i="3"/>
  <c r="F12" i="3" s="1"/>
  <c r="H12" i="3"/>
  <c r="I12" i="3" s="1"/>
  <c r="E13" i="3"/>
  <c r="F13" i="3" s="1"/>
  <c r="H13" i="3"/>
  <c r="I13" i="3"/>
  <c r="E8" i="33"/>
  <c r="F8" i="33" s="1"/>
  <c r="H8" i="33"/>
  <c r="I8" i="33" s="1"/>
  <c r="E9" i="33"/>
  <c r="F9" i="33"/>
  <c r="H9" i="33"/>
  <c r="I9" i="33" s="1"/>
  <c r="E10" i="33"/>
  <c r="F10" i="33"/>
  <c r="H10" i="33"/>
  <c r="I10" i="33" s="1"/>
  <c r="E11" i="33"/>
  <c r="F11" i="33"/>
  <c r="H11" i="33"/>
  <c r="I11" i="33" s="1"/>
  <c r="E12" i="33"/>
  <c r="F12" i="33"/>
  <c r="H12" i="33"/>
  <c r="I12" i="33" s="1"/>
  <c r="E13" i="33"/>
  <c r="F13" i="33"/>
  <c r="H13" i="33"/>
  <c r="I13" i="33" s="1"/>
  <c r="E8" i="32"/>
  <c r="F8" i="32"/>
  <c r="H8" i="32"/>
  <c r="I8" i="32" s="1"/>
  <c r="E9" i="32"/>
  <c r="F9" i="32"/>
  <c r="H9" i="32"/>
  <c r="I9" i="32" s="1"/>
  <c r="E10" i="32"/>
  <c r="F10" i="32"/>
  <c r="H10" i="32"/>
  <c r="I10" i="32" s="1"/>
  <c r="E11" i="32"/>
  <c r="F11" i="32"/>
  <c r="H11" i="32"/>
  <c r="I11" i="32" s="1"/>
  <c r="E12" i="32"/>
  <c r="F12" i="32"/>
  <c r="H12" i="32"/>
  <c r="I12" i="32" s="1"/>
  <c r="E13" i="32"/>
  <c r="F13" i="32"/>
  <c r="H13" i="32"/>
  <c r="I13" i="32" s="1"/>
  <c r="E8" i="31"/>
  <c r="F8" i="31"/>
  <c r="H8" i="31"/>
  <c r="I8" i="31" s="1"/>
  <c r="E9" i="31"/>
  <c r="F9" i="31"/>
  <c r="H9" i="31"/>
  <c r="I9" i="31" s="1"/>
  <c r="E10" i="31"/>
  <c r="F10" i="31"/>
  <c r="H10" i="31"/>
  <c r="I10" i="31" s="1"/>
  <c r="E11" i="31"/>
  <c r="F11" i="31"/>
  <c r="H11" i="31"/>
  <c r="I11" i="31" s="1"/>
  <c r="E12" i="31"/>
  <c r="F12" i="31"/>
  <c r="H12" i="31"/>
  <c r="I12" i="31" s="1"/>
  <c r="E13" i="31"/>
  <c r="F13" i="31"/>
  <c r="H13" i="31"/>
  <c r="I13" i="31" s="1"/>
  <c r="E8" i="28"/>
  <c r="F8" i="28"/>
  <c r="H8" i="28"/>
  <c r="I8" i="28" s="1"/>
  <c r="E9" i="28"/>
  <c r="F9" i="28"/>
  <c r="H9" i="28"/>
  <c r="I9" i="28" s="1"/>
  <c r="E10" i="28"/>
  <c r="F10" i="28"/>
  <c r="H10" i="28"/>
  <c r="I10" i="28" s="1"/>
  <c r="E11" i="28"/>
  <c r="F11" i="28"/>
  <c r="H11" i="28"/>
  <c r="I11" i="28" s="1"/>
  <c r="E12" i="28"/>
  <c r="F12" i="28"/>
  <c r="H12" i="28"/>
  <c r="I12" i="28" s="1"/>
  <c r="E13" i="28"/>
  <c r="F13" i="28"/>
  <c r="H13" i="28"/>
  <c r="I13" i="28" s="1"/>
  <c r="E8" i="27"/>
  <c r="F8" i="27"/>
  <c r="H8" i="27"/>
  <c r="I8" i="27" s="1"/>
  <c r="E9" i="27"/>
  <c r="F9" i="27"/>
  <c r="H9" i="27"/>
  <c r="I9" i="27" s="1"/>
  <c r="E10" i="27"/>
  <c r="F10" i="27"/>
  <c r="H10" i="27"/>
  <c r="I10" i="27" s="1"/>
  <c r="E11" i="27"/>
  <c r="F11" i="27"/>
  <c r="H11" i="27"/>
  <c r="I11" i="27" s="1"/>
  <c r="E8" i="26"/>
  <c r="F8" i="26"/>
  <c r="H8" i="26"/>
  <c r="I8" i="26" s="1"/>
  <c r="E9" i="26"/>
  <c r="F9" i="26"/>
  <c r="H9" i="26"/>
  <c r="I9" i="26" s="1"/>
  <c r="E10" i="26"/>
  <c r="F10" i="26"/>
  <c r="H10" i="26"/>
  <c r="I10" i="26" s="1"/>
  <c r="E11" i="26"/>
  <c r="F11" i="26"/>
  <c r="H11" i="26"/>
  <c r="H11" i="29" s="1"/>
  <c r="E8" i="19"/>
  <c r="F8" i="19"/>
  <c r="H8" i="19"/>
  <c r="I8" i="19" s="1"/>
  <c r="E9" i="19"/>
  <c r="F9" i="19"/>
  <c r="H9" i="19"/>
  <c r="I9" i="19" s="1"/>
  <c r="E10" i="19"/>
  <c r="F10" i="19"/>
  <c r="H10" i="19"/>
  <c r="I10" i="19" s="1"/>
  <c r="E11" i="19"/>
  <c r="F11" i="19"/>
  <c r="H11" i="19"/>
  <c r="I11" i="19" s="1"/>
  <c r="E8" i="20"/>
  <c r="F8" i="20"/>
  <c r="H8" i="20"/>
  <c r="I8" i="20" s="1"/>
  <c r="E9" i="20"/>
  <c r="F9" i="20"/>
  <c r="H9" i="20"/>
  <c r="I9" i="20" s="1"/>
  <c r="E10" i="20"/>
  <c r="F10" i="20"/>
  <c r="H10" i="20"/>
  <c r="I10" i="20" s="1"/>
  <c r="E8" i="21"/>
  <c r="F8" i="21"/>
  <c r="H8" i="21"/>
  <c r="I8" i="21" s="1"/>
  <c r="E9" i="21"/>
  <c r="F9" i="21"/>
  <c r="H9" i="21"/>
  <c r="I9" i="21" s="1"/>
  <c r="E10" i="21"/>
  <c r="F10" i="21"/>
  <c r="H10" i="21"/>
  <c r="H10" i="18" s="1"/>
  <c r="E7" i="33"/>
  <c r="F7" i="33" s="1"/>
  <c r="H7" i="33"/>
  <c r="I7" i="33" s="1"/>
  <c r="G13" i="18"/>
  <c r="D13" i="18"/>
  <c r="C13" i="18"/>
  <c r="E13" i="18" s="1"/>
  <c r="F13" i="18" s="1"/>
  <c r="G13" i="1"/>
  <c r="D13" i="1"/>
  <c r="C13" i="1"/>
  <c r="H13" i="29"/>
  <c r="G13" i="29"/>
  <c r="D13" i="29"/>
  <c r="C13" i="29"/>
  <c r="E13" i="29" s="1"/>
  <c r="F13" i="29" s="1"/>
  <c r="G8" i="30"/>
  <c r="G9" i="30"/>
  <c r="G10" i="30"/>
  <c r="G11" i="30"/>
  <c r="G12" i="30"/>
  <c r="G13" i="30"/>
  <c r="D8" i="30"/>
  <c r="D9" i="30"/>
  <c r="D10" i="30"/>
  <c r="D11" i="30"/>
  <c r="D12" i="30"/>
  <c r="D13" i="30"/>
  <c r="C8" i="30"/>
  <c r="C9" i="30"/>
  <c r="C10" i="30"/>
  <c r="C11" i="30"/>
  <c r="C12" i="30"/>
  <c r="C13" i="30"/>
  <c r="H6" i="31"/>
  <c r="G12" i="29"/>
  <c r="D12" i="29"/>
  <c r="C11" i="29"/>
  <c r="C12" i="29"/>
  <c r="G12" i="18"/>
  <c r="D12" i="18"/>
  <c r="C12" i="18"/>
  <c r="H11" i="1"/>
  <c r="G11" i="1"/>
  <c r="G12" i="1"/>
  <c r="D12" i="1"/>
  <c r="C12" i="1"/>
  <c r="H12" i="29"/>
  <c r="I12" i="29" s="1"/>
  <c r="H6" i="28"/>
  <c r="I6" i="28" s="1"/>
  <c r="H7" i="28"/>
  <c r="I7" i="28" s="1"/>
  <c r="E6" i="28"/>
  <c r="F6" i="28" s="1"/>
  <c r="E7" i="28"/>
  <c r="F7" i="28" s="1"/>
  <c r="H6" i="27"/>
  <c r="I6" i="27" s="1"/>
  <c r="H7" i="27"/>
  <c r="I7" i="27" s="1"/>
  <c r="E6" i="27"/>
  <c r="F6" i="27" s="1"/>
  <c r="E7" i="27"/>
  <c r="F7" i="27" s="1"/>
  <c r="H9" i="1"/>
  <c r="G8" i="1"/>
  <c r="G9" i="1"/>
  <c r="G10" i="1"/>
  <c r="D8" i="1"/>
  <c r="D9" i="1"/>
  <c r="D10" i="1"/>
  <c r="D11" i="1"/>
  <c r="C8" i="1"/>
  <c r="C9" i="1"/>
  <c r="C10" i="1"/>
  <c r="C11" i="1"/>
  <c r="H9" i="29"/>
  <c r="G8" i="29"/>
  <c r="G9" i="29"/>
  <c r="G10" i="29"/>
  <c r="G11" i="29"/>
  <c r="D8" i="29"/>
  <c r="D9" i="29"/>
  <c r="D10" i="29"/>
  <c r="D11" i="29"/>
  <c r="C8" i="29"/>
  <c r="C9" i="29"/>
  <c r="C10" i="29"/>
  <c r="G8" i="18"/>
  <c r="G9" i="18"/>
  <c r="G10" i="18"/>
  <c r="G11" i="18"/>
  <c r="D8" i="18"/>
  <c r="D9" i="18"/>
  <c r="D10" i="18"/>
  <c r="D11" i="18"/>
  <c r="C8" i="18"/>
  <c r="E8" i="18" s="1"/>
  <c r="F8" i="18" s="1"/>
  <c r="C9" i="18"/>
  <c r="E9" i="18" s="1"/>
  <c r="F9" i="18" s="1"/>
  <c r="C10" i="18"/>
  <c r="E10" i="18" s="1"/>
  <c r="F10" i="18" s="1"/>
  <c r="C11" i="18"/>
  <c r="A4" i="21" a="1"/>
  <c r="A4" i="21" s="1"/>
  <c r="I6" i="21"/>
  <c r="I7" i="21"/>
  <c r="H6" i="21"/>
  <c r="H7" i="21"/>
  <c r="H8" i="18"/>
  <c r="I8" i="18" s="1"/>
  <c r="H5" i="3"/>
  <c r="I5" i="3" s="1"/>
  <c r="G6" i="30"/>
  <c r="G7" i="30"/>
  <c r="G5" i="30"/>
  <c r="G4" i="30"/>
  <c r="G4" i="29"/>
  <c r="G5" i="29"/>
  <c r="G6" i="29"/>
  <c r="G7" i="29"/>
  <c r="G5" i="18"/>
  <c r="G6" i="18"/>
  <c r="G7" i="18"/>
  <c r="G4" i="18"/>
  <c r="H6" i="3"/>
  <c r="I6" i="3" s="1"/>
  <c r="H13" i="1" l="1"/>
  <c r="I13" i="72"/>
  <c r="H12" i="1"/>
  <c r="I12" i="1" s="1"/>
  <c r="E13" i="1"/>
  <c r="F13" i="1" s="1"/>
  <c r="E12" i="18"/>
  <c r="F12" i="18" s="1"/>
  <c r="E11" i="18"/>
  <c r="F11" i="18" s="1"/>
  <c r="I12" i="18"/>
  <c r="I13" i="21"/>
  <c r="I9" i="1"/>
  <c r="H10" i="1"/>
  <c r="I10" i="1" s="1"/>
  <c r="I11" i="1"/>
  <c r="H8" i="1"/>
  <c r="I8" i="1" s="1"/>
  <c r="E12" i="1"/>
  <c r="F12" i="1" s="1"/>
  <c r="I8" i="3"/>
  <c r="E11" i="1"/>
  <c r="F11" i="1" s="1"/>
  <c r="E9" i="1"/>
  <c r="F9" i="1" s="1"/>
  <c r="I13" i="1"/>
  <c r="I10" i="21"/>
  <c r="I11" i="26"/>
  <c r="E12" i="29"/>
  <c r="F12" i="29" s="1"/>
  <c r="H8" i="29"/>
  <c r="I13" i="18"/>
  <c r="D12" i="34"/>
  <c r="I10" i="18"/>
  <c r="H11" i="18"/>
  <c r="I11" i="18" s="1"/>
  <c r="G13" i="34"/>
  <c r="I13" i="29"/>
  <c r="H10" i="29"/>
  <c r="G12" i="34"/>
  <c r="E10" i="1"/>
  <c r="F10" i="1" s="1"/>
  <c r="E9" i="29"/>
  <c r="F9" i="29" s="1"/>
  <c r="E8" i="1"/>
  <c r="F8" i="1" s="1"/>
  <c r="I10" i="29"/>
  <c r="H9" i="18"/>
  <c r="I9" i="18" s="1"/>
  <c r="D13" i="34"/>
  <c r="G9" i="34"/>
  <c r="H9" i="30"/>
  <c r="H13" i="30"/>
  <c r="H13" i="34" s="1"/>
  <c r="H8" i="30"/>
  <c r="I8" i="30" s="1"/>
  <c r="H10" i="30"/>
  <c r="I10" i="30" s="1"/>
  <c r="H12" i="30"/>
  <c r="H12" i="34" s="1"/>
  <c r="H11" i="30"/>
  <c r="H11" i="34" s="1"/>
  <c r="E9" i="30"/>
  <c r="F9" i="30" s="1"/>
  <c r="G8" i="34"/>
  <c r="D8" i="34"/>
  <c r="E8" i="30"/>
  <c r="F8" i="30" s="1"/>
  <c r="H10" i="34"/>
  <c r="E12" i="30"/>
  <c r="F12" i="30" s="1"/>
  <c r="E11" i="30"/>
  <c r="F11" i="30" s="1"/>
  <c r="C12" i="34"/>
  <c r="E10" i="30"/>
  <c r="F10" i="30" s="1"/>
  <c r="C13" i="34"/>
  <c r="E13" i="30"/>
  <c r="F13" i="30" s="1"/>
  <c r="D10" i="34"/>
  <c r="D9" i="34"/>
  <c r="C11" i="34"/>
  <c r="G11" i="34"/>
  <c r="C10" i="34"/>
  <c r="D11" i="34"/>
  <c r="E11" i="29"/>
  <c r="F11" i="29" s="1"/>
  <c r="G10" i="34"/>
  <c r="C9" i="34"/>
  <c r="I11" i="29"/>
  <c r="I8" i="29"/>
  <c r="E8" i="29"/>
  <c r="F8" i="29" s="1"/>
  <c r="I9" i="29"/>
  <c r="E10" i="29"/>
  <c r="F10" i="29" s="1"/>
  <c r="C8" i="34"/>
  <c r="E4" i="4"/>
  <c r="E4" i="72"/>
  <c r="F4" i="72" s="1"/>
  <c r="E5" i="72"/>
  <c r="F5" i="72" s="1"/>
  <c r="E6" i="72"/>
  <c r="F6" i="72" s="1"/>
  <c r="E12" i="34" l="1"/>
  <c r="F12" i="34" s="1"/>
  <c r="I12" i="34"/>
  <c r="I12" i="30"/>
  <c r="I13" i="34"/>
  <c r="E13" i="34"/>
  <c r="F13" i="34" s="1"/>
  <c r="H9" i="34"/>
  <c r="I9" i="34" s="1"/>
  <c r="I11" i="30"/>
  <c r="I9" i="30"/>
  <c r="H8" i="34"/>
  <c r="I8" i="34" s="1"/>
  <c r="E8" i="34"/>
  <c r="F8" i="34" s="1"/>
  <c r="I11" i="34"/>
  <c r="I13" i="30"/>
  <c r="E10" i="34"/>
  <c r="F10" i="34" s="1"/>
  <c r="I10" i="34"/>
  <c r="E11" i="34"/>
  <c r="F11" i="34" s="1"/>
  <c r="E9" i="34"/>
  <c r="F9" i="34" s="1"/>
  <c r="C2" i="3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E6" i="3"/>
  <c r="F6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I6" i="3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E7" i="21"/>
  <c r="F7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I7" i="72"/>
  <c r="H5" i="72"/>
  <c r="I5" i="72" s="1"/>
  <c r="H4" i="72"/>
  <c r="I4" i="72" s="1"/>
  <c r="G2" i="72"/>
  <c r="D2" i="72"/>
  <c r="C2" i="72"/>
  <c r="J2" i="72" s="1"/>
  <c r="A1" i="72" a="1"/>
  <c r="A1" i="72" s="1"/>
  <c r="E5" i="30" l="1"/>
  <c r="F5" i="30" s="1"/>
  <c r="D6" i="34"/>
  <c r="C7" i="34"/>
  <c r="C5" i="34"/>
  <c r="D5" i="34"/>
  <c r="D7" i="34"/>
  <c r="E7" i="34" s="1"/>
  <c r="F7" i="34" s="1"/>
  <c r="C4" i="34"/>
  <c r="E6" i="29"/>
  <c r="F6" i="29" s="1"/>
  <c r="C6" i="34"/>
  <c r="E7" i="18"/>
  <c r="F7" i="18" s="1"/>
  <c r="E5" i="18"/>
  <c r="F5" i="18" s="1"/>
  <c r="D2" i="18"/>
  <c r="H6" i="29"/>
  <c r="E4" i="18"/>
  <c r="F4" i="18" s="1"/>
  <c r="E6" i="30"/>
  <c r="F6" i="30" s="1"/>
  <c r="H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7" i="26"/>
  <c r="H6" i="18"/>
  <c r="I6" i="18" s="1"/>
  <c r="H4" i="18"/>
  <c r="I4" i="18" s="1"/>
  <c r="H7" i="18"/>
  <c r="I7" i="18" s="1"/>
  <c r="H5" i="18"/>
  <c r="I5" i="18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6" i="34" l="1"/>
  <c r="F6" i="34" s="1"/>
  <c r="D2" i="34"/>
  <c r="E5" i="34"/>
  <c r="F5" i="34" s="1"/>
  <c r="I7" i="29"/>
  <c r="H7" i="34"/>
  <c r="I7" i="34" s="1"/>
  <c r="I6" i="29"/>
  <c r="H6" i="34"/>
  <c r="I6" i="34" s="1"/>
  <c r="I5" i="29"/>
  <c r="H5" i="34"/>
  <c r="I5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<sst xmlns="http://schemas.openxmlformats.org/spreadsheetml/2006/main" count="306" uniqueCount="95">
  <si>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</si>
  <si>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</si>
  <si>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</si>
  <si>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</si>
  <si>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</si>
  <si>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</si>
  <si>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</si>
  <si>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</si>
  <si>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</si>
  <si>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</si>
  <si>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</si>
  <si>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</si>
  <si>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</si>
  <si>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</si>
  <si>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</si>
  <si>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</si>
  <si>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</si>
  <si>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</si>
  <si>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</si>
  <si>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</si>
  <si>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</si>
  <si>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</si>
  <si>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</si>
  <si>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1.Site production was low on 01/15,01/17,01/18,01/25,01/26 due to snow</t>
  </si>
  <si>
    <t>1.Site production was low on 01/07,01/17,01/18,01/19,01/25 to 01/27 due to snow</t>
  </si>
  <si>
    <t>1.Weather station is experiencing seasonal shading from 2023. Production is not being impacted but the expected energy value reporting low due to shading.GHI has not communicated since 10/15/24.
2. Site tripped offline at 16:35 on 01/18 and it came back online at 13:00 on 01/19
3.Site tripped offline from 00:30 to 11:45 on 01/21</t>
  </si>
  <si>
    <t>1.SR107541
2.	SR114719
3.SR114802</t>
  </si>
  <si>
    <t xml:space="preserve">1.Pending
2.Closed
3.Closed </t>
  </si>
  <si>
    <t>SR114719</t>
  </si>
  <si>
    <t>SR114802</t>
  </si>
  <si>
    <t>1.ALB pyranometer is being RMA'd, on 11/14 weather station has removed for RMA'd process
2.Site tripped offline at 17:15 on 01/18 and it came back online at 14:00 on 01/19
3.Site tripped offline from 00:30 to 10:00 on 01/21</t>
  </si>
  <si>
    <t>1.SR110034
2.SR114720
3.SR114803</t>
  </si>
  <si>
    <t>1.Closed
2.Closed
 3.Closed</t>
  </si>
  <si>
    <t>SR114720</t>
  </si>
  <si>
    <t>SR114803</t>
  </si>
  <si>
    <t>1.Site tripped offline from 11:15 to 11:45 on 01/13 due to technician was on site</t>
  </si>
  <si>
    <t>1.	SR113647</t>
  </si>
  <si>
    <t>1.Closed</t>
  </si>
  <si>
    <t>1.Site production was low on 01/01, 01/07,01/11,01/15,01/17,01/18,01/25 due to snow</t>
  </si>
  <si>
    <t>1.Site production was low on 01/07,01/17,01/18,01/19,01/25 to 01/27 due to snow
2.Weather station reading constant values during non production hours on 01/07 and again on 01/17</t>
  </si>
  <si>
    <t>1.Site tripped offline from 06:45 to 11:15 on 01/28
2.Site production was low on 01/01,01/07,01/17/01/18 due to snow</t>
  </si>
  <si>
    <t>1.SR115445,SR115446</t>
  </si>
  <si>
    <t>SR115446</t>
  </si>
  <si>
    <t>1.Site started production at 11:45 on 01/01 and again at 13:15 on 01/07
2.Site production was low on 01/01, 01/07,01/11,01/15,01/17,01/18,01/25 due to snow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</si>
  <si>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</si>
  <si>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</si>
  <si>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</si>
  <si>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</si>
  <si>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</si>
  <si>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</si>
  <si>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</si>
  <si>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</si>
  <si>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</si>
  <si>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</si>
  <si>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</si>
  <si>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</si>
  <si>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</si>
  <si>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</si>
  <si>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</si>
  <si>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</si>
  <si>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</si>
  <si>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</si>
  <si>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</si>
  <si>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</si>
  <si>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</si>
  <si>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</si>
  <si>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</si>
  <si>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</si>
  <si>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</si>
  <si>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</si>
  <si>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</si>
  <si>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</si>
  <si>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</si>
  <si>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</si>
  <si>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</si>
  <si>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</si>
  <si>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</si>
  <si>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</si>
  <si>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</si>
  <si>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</si>
  <si>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</si>
  <si>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</si>
  <si>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Boothbay Solar</t>
  </si>
  <si>
    <t>Boothbay - Wiscasset Road</t>
  </si>
  <si>
    <t>ME</t>
  </si>
  <si>
    <t>Thorndike Solar</t>
  </si>
  <si>
    <t>Thorndike -  Leonard Road</t>
  </si>
  <si>
    <t>Topsham Solar</t>
  </si>
  <si>
    <t>Topsham - Solarize LLC</t>
  </si>
  <si>
    <t>Cherryfield</t>
  </si>
  <si>
    <t>Cherryfield - 727 North Main St (IRA)</t>
  </si>
  <si>
    <t xml:space="preserve">Bucksport Solar 1, LLC </t>
  </si>
  <si>
    <t>ME: Bucksport - 258 Route 1 (IRA)</t>
  </si>
  <si>
    <t>Union ME 1, LLC</t>
  </si>
  <si>
    <t>ME: Union - Route 131 (IRA)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</si>
</sst>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5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0"/>
      <color theme="10"/>
      <name val="Arial"/>
    </font>
    <font>
      <sz val="11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2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28" fillId="40" borderId="0" xfId="0" applyFont="1" applyFill="1" applyAlignment="1">
      <alignment horizontal="left" vertical="center"/>
    </xf>
    <xf numFmtId="0" fontId="36" fillId="46" borderId="0" xfId="0" applyFont="1" applyFill="1"/>
    <xf numFmtId="49" fontId="31" fillId="38" borderId="0" xfId="2" applyNumberFormat="1" applyFont="1" applyFill="1" applyBorder="1" applyAlignment="1">
      <alignment horizontal="left" vertical="top" wrapText="1"/>
    </xf>
    <xf numFmtId="49" fontId="29" fillId="0" borderId="0" xfId="0" applyNumberFormat="1" applyFont="1" applyAlignment="1">
      <alignment horizontal="left" vertical="top" wrapText="1"/>
    </xf>
    <xf numFmtId="49" fontId="29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37" fillId="47" borderId="0" xfId="0" applyNumberFormat="1" applyFont="1" applyFill="1" applyAlignment="1">
      <alignment horizontal="center" vertical="center"/>
    </xf>
    <xf numFmtId="3" fontId="3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horizontal="right" vertical="top"/>
    </xf>
    <xf numFmtId="0" fontId="24" fillId="46" borderId="0" xfId="0" applyFont="1" applyFill="1" applyAlignment="1">
      <alignment horizontal="center" vertical="center"/>
    </xf>
    <xf numFmtId="3" fontId="31" fillId="49" borderId="0" xfId="0" applyNumberFormat="1" applyFont="1" applyFill="1" applyAlignment="1">
      <alignment horizontal="right" vertical="center"/>
    </xf>
    <xf numFmtId="9" fontId="38" fillId="50" borderId="0" xfId="0" applyNumberFormat="1" applyFont="1" applyFill="1" applyAlignment="1">
      <alignment horizontal="center" vertical="center"/>
    </xf>
    <xf numFmtId="3" fontId="31" fillId="51" borderId="0" xfId="0" applyNumberFormat="1" applyFont="1" applyFill="1" applyAlignment="1">
      <alignment vertical="center"/>
    </xf>
    <xf numFmtId="0" fontId="31" fillId="52" borderId="0" xfId="0" applyFont="1" applyFill="1" applyAlignment="1">
      <alignment vertical="top" wrapText="1"/>
    </xf>
    <xf numFmtId="0" fontId="35" fillId="46" borderId="0" xfId="0" applyFont="1" applyFill="1" applyAlignment="1">
      <alignment horizontal="center" vertical="center"/>
    </xf>
    <xf numFmtId="3" fontId="24" fillId="48" borderId="0" xfId="0" applyNumberFormat="1" applyFont="1" applyFill="1" applyAlignment="1">
      <alignment horizontal="right" vertical="center"/>
    </xf>
    <xf numFmtId="0" fontId="35" fillId="40" borderId="0" xfId="0" applyFont="1" applyFill="1" applyAlignment="1">
      <alignment horizontal="center" vertical="center"/>
    </xf>
    <xf numFmtId="3" fontId="31" fillId="51" borderId="0" xfId="0" applyNumberFormat="1" applyFont="1" applyFill="1" applyAlignment="1">
      <alignment horizontal="right" vertical="center"/>
    </xf>
    <xf numFmtId="3" fontId="31" fillId="0" borderId="0" xfId="1" applyNumberFormat="1" applyFont="1" applyFill="1" applyBorder="1" applyAlignment="1">
      <alignment horizontal="right" vertical="center"/>
    </xf>
    <xf numFmtId="3" fontId="31" fillId="4" borderId="0" xfId="1" applyNumberFormat="1" applyFont="1" applyFill="1" applyBorder="1" applyAlignment="1">
      <alignment horizontal="right" vertical="center"/>
    </xf>
    <xf numFmtId="0" fontId="39" fillId="52" borderId="0" xfId="45" applyFill="1" applyAlignment="1">
      <alignment vertical="top" wrapText="1"/>
    </xf>
    <xf numFmtId="49" fontId="39" fillId="38" borderId="0" xfId="45" applyNumberFormat="1" applyFill="1" applyBorder="1" applyAlignment="1">
      <alignment vertical="top" wrapText="1"/>
    </xf>
    <xf numFmtId="49" fontId="39" fillId="38" borderId="0" xfId="45" applyNumberFormat="1" applyFill="1" applyBorder="1" applyAlignment="1">
      <alignment horizontal="left" vertical="top" wrapText="1"/>
    </xf>
    <xf numFmtId="49" fontId="39" fillId="0" borderId="0" xfId="45" applyNumberFormat="1" applyAlignment="1">
      <alignment horizontal="left" vertical="top" wrapText="1"/>
    </xf>
    <xf numFmtId="0" fontId="39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23" fillId="0" borderId="0" xfId="43" applyFont="1" applyAlignment="1">
      <alignment horizontal="left" wrapText="1"/>
    </xf>
    <xf numFmtId="0" fontId="23" fillId="0" borderId="0" xfId="43" applyFont="1"/>
    <xf numFmtId="0" fontId="40" fillId="0" borderId="0" xfId="0" applyFont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37" borderId="0" xfId="2" applyFont="1" applyFill="1" applyAlignment="1">
      <alignment horizontal="center" vertical="center"/>
    </xf>
    <xf numFmtId="49" fontId="31" fillId="38" borderId="0" xfId="2" applyNumberFormat="1" applyFont="1" applyFill="1" applyAlignment="1">
      <alignment vertical="top" wrapText="1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35" fillId="40" borderId="0" xfId="0" applyFont="1" applyFill="1" applyAlignment="1">
      <alignment vertical="center"/>
    </xf>
    <xf numFmtId="0" fontId="0" fillId="0" borderId="0" xfId="0" applyAlignment="1">
      <alignment wrapText="1"/>
    </xf>
    <xf numFmtId="49" fontId="39" fillId="0" borderId="0" xfId="45" applyNumberFormat="1" applyAlignment="1">
      <alignment vertical="top" wrapText="1"/>
    </xf>
    <xf numFmtId="49" fontId="39" fillId="38" borderId="0" xfId="45" applyNumberFormat="1" applyFill="1" applyAlignment="1">
      <alignment vertical="top" wrapText="1"/>
    </xf>
    <xf numFmtId="0" fontId="40" fillId="0" borderId="0" xfId="0" applyFont="1" applyAlignment="1">
      <alignment vertical="center"/>
    </xf>
    <xf numFmtId="0" fontId="41" fillId="2" borderId="1" xfId="0" applyFont="1" applyFill="1" applyBorder="1" applyAlignment="1">
      <alignment vertical="center" wrapText="1"/>
    </xf>
    <xf numFmtId="0" fontId="42" fillId="40" borderId="0" xfId="0" applyFont="1" applyFill="1" applyAlignment="1">
      <alignment vertical="center"/>
    </xf>
    <xf numFmtId="49" fontId="40" fillId="38" borderId="0" xfId="2" applyNumberFormat="1" applyFont="1" applyFill="1" applyBorder="1" applyAlignment="1">
      <alignment vertical="top" wrapText="1"/>
    </xf>
    <xf numFmtId="0" fontId="43" fillId="0" borderId="0" xfId="0" applyFont="1" applyAlignment="1">
      <alignment vertical="top"/>
    </xf>
    <xf numFmtId="0" fontId="43" fillId="45" borderId="1" xfId="0" applyFont="1" applyFill="1" applyBorder="1" applyAlignment="1">
      <alignment horizontal="center" vertical="top"/>
    </xf>
    <xf numFmtId="0" fontId="40" fillId="0" borderId="0" xfId="0" applyFont="1" applyAlignment="1">
      <alignment vertical="top"/>
    </xf>
    <xf numFmtId="0" fontId="44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4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3" fontId="31" fillId="0" borderId="0" xfId="1" applyNumberFormat="1" applyFont="1" applyAlignment="1">
      <alignment horizontal="right" vertical="center"/>
    </xf>
    <xf numFmtId="0" fontId="30" fillId="2" borderId="1" xfId="0" applyFont="1" applyFill="1" applyBorder="1" applyAlignment="1">
      <alignment vertical="center" wrapText="1"/>
    </xf>
    <xf numFmtId="0" fontId="29" fillId="40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49" fontId="24" fillId="0" borderId="0" xfId="0" applyNumberFormat="1" applyFont="1" applyAlignment="1">
      <alignment horizontal="left" vertical="top" wrapText="1"/>
    </xf>
    <xf numFmtId="0" fontId="39" fillId="0" borderId="0" xfId="45"/>
    <xf numFmtId="0" fontId="39" fillId="0" borderId="0" xfId="45" applyAlignment="1">
      <alignment vertical="top"/>
    </xf>
    <xf numFmtId="49" fontId="39" fillId="0" borderId="0" xfId="45" applyNumberFormat="1" applyAlignment="1">
      <alignment vertical="center" wrapText="1"/>
    </xf>
    <xf numFmtId="0" fontId="6" fillId="0" borderId="0" xfId="0" applyFont="1" applyAlignment="1">
      <alignment horizontal="left" vertical="top"/>
    </xf>
    <xf numFmtId="49" fontId="23" fillId="0" borderId="0" xfId="45" applyNumberFormat="1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top" wrapText="1"/>
    </xf>
    <xf numFmtId="0" fontId="1" fillId="40" borderId="0" xfId="0" applyFont="1" applyFill="1" applyAlignment="1">
      <alignment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" totalsRowShown="0">
  <autoFilter ref="A3:E13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15445" TargetMode="External"/><Relationship Id="rId3" Type="http://schemas.openxmlformats.org/officeDocument/2006/relationships/hyperlink" Target="https://us3.assetplanner.com/service_request?ID=114802" TargetMode="External"/><Relationship Id="rId7" Type="http://schemas.openxmlformats.org/officeDocument/2006/relationships/hyperlink" Target="https://us3.assetplanner.com/service_request?ID=113647" TargetMode="External"/><Relationship Id="rId2" Type="http://schemas.openxmlformats.org/officeDocument/2006/relationships/hyperlink" Target="https://us3.assetplanner.com/service_request?ID=114719" TargetMode="External"/><Relationship Id="rId1" Type="http://schemas.openxmlformats.org/officeDocument/2006/relationships/hyperlink" Target="https://us3.assetplanner.com/service_request?ID=107541" TargetMode="External"/><Relationship Id="rId6" Type="http://schemas.openxmlformats.org/officeDocument/2006/relationships/hyperlink" Target="https://us3.assetplanner.com/service_request?ID=114803" TargetMode="External"/><Relationship Id="rId5" Type="http://schemas.openxmlformats.org/officeDocument/2006/relationships/hyperlink" Target="https://us3.assetplanner.com/service_request?ID=114720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110034" TargetMode="External"/><Relationship Id="rId9" Type="http://schemas.openxmlformats.org/officeDocument/2006/relationships/hyperlink" Target="https://us3.assetplanner.com/service_request?ID=11544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24" sqref="F24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ALIGNED</v>
      </c>
      <c r="B1" s="117"/>
      <c r="C1" s="117"/>
      <c r="D1" s="118" t="s">
        <v>0</v>
      </c>
      <c r="E1" s="118"/>
      <c r="F1" s="118"/>
      <c r="G1" s="116" t="s">
        <v>1</v>
      </c>
      <c r="H1" s="116"/>
      <c r="I1" s="116"/>
    </row>
    <row r="2" spans="1:9" ht="19.5" customHeight="1">
      <c r="A2" s="119" t="s">
        <v>2</v>
      </c>
      <c r="B2" s="119"/>
      <c r="C2" s="5">
        <f>SUM(C4:C79)</f>
        <v>819670.38937810855</v>
      </c>
      <c r="D2" s="5">
        <f>SUM(D4:D79)</f>
        <v>1203231.1540000001</v>
      </c>
      <c r="E2" s="5">
        <f>C2-D2</f>
        <v>-383560.76462189155</v>
      </c>
      <c r="F2" s="6">
        <f>IFERROR(E2/D2, 0)</f>
        <v>-0.31877562623506633</v>
      </c>
      <c r="G2" s="5">
        <f>SUM(G4:G79)</f>
        <v>1250277.4180000001</v>
      </c>
      <c r="H2" s="7">
        <f>C2-G2</f>
        <v>-430607.02862189151</v>
      </c>
      <c r="I2" s="6">
        <f>IFERROR(H2/G2, 0)</f>
        <v>-0.34440918665131925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SUM('1st Qtr'!C4, '2nd Qtr'!C4, '3rd Qtr'!C4, '4th Qtr'!C4)</f>
        <v>57554.104999999501</v>
      </c>
      <c r="D4" s="12">
        <f>SUM('1st Qtr'!D4, '2nd Qtr'!D4, '3rd Qtr'!D4, '4th Qtr'!D4)</f>
        <v>57564.45</v>
      </c>
      <c r="E4" s="12">
        <f>IF(AND(ISNUMBER(C4),ISNUMBER(D4)), C4-D4, "")</f>
        <v>-10.345000000495929</v>
      </c>
      <c r="F4" s="13">
        <f>IFERROR(E4/D4, "")</f>
        <v>-1.7971161021248236E-4</v>
      </c>
      <c r="G4" s="14">
        <f>SUM('1st Qtr'!G4, '2nd Qtr'!G4, '3rd Qtr'!G4, '4th Qtr'!G4)</f>
        <v>116039.2</v>
      </c>
      <c r="H4" s="14">
        <f>SUM('1st Qtr'!H4, '2nd Qtr'!H4, '3rd Qtr'!H4, '4th Qtr'!H4)</f>
        <v>-58485.095000000496</v>
      </c>
      <c r="I4" s="15">
        <f>IFERROR(H4/G4, "")</f>
        <v>-0.50401153230977547</v>
      </c>
    </row>
    <row r="5" spans="1:9" ht="15.6">
      <c r="A5" s="46" t="str">
        <v>Loudon - 7046 Pleasant Street</v>
      </c>
      <c r="B5" s="10" t="str">
        <v>NH</v>
      </c>
      <c r="C5" s="18">
        <f>SUM('1st Qtr'!C5, '2nd Qtr'!C5, '3rd Qtr'!C5, '4th Qtr'!C5)</f>
        <v>59981.361878109201</v>
      </c>
      <c r="D5" s="18">
        <f>SUM('1st Qtr'!D5, '2nd Qtr'!D5, '3rd Qtr'!D5, '4th Qtr'!D5)</f>
        <v>98620.42</v>
      </c>
      <c r="E5" s="16">
        <f t="shared" ref="E5:E12" si="0">IF(AND(ISNUMBER(C5),ISNUMBER(D5)), C5-D5, "")</f>
        <v>-38639.058121890797</v>
      </c>
      <c r="F5" s="17">
        <f>IFERROR(E5/D5, "")</f>
        <v>-0.39179571656550233</v>
      </c>
      <c r="G5" s="18">
        <f>SUM('1st Qtr'!G5, '2nd Qtr'!G5, '3rd Qtr'!G5, '4th Qtr'!G5)</f>
        <v>109453.8</v>
      </c>
      <c r="H5" s="18">
        <f>SUM('1st Qtr'!H5, '2nd Qtr'!H5, '3rd Qtr'!H5, '4th Qtr'!H5)</f>
        <v>-49472.438121890802</v>
      </c>
      <c r="I5" s="17">
        <f>IFERROR(H5/G5, "")</f>
        <v>-0.45199379210124091</v>
      </c>
    </row>
    <row r="6" spans="1:9" ht="15.6">
      <c r="A6" s="45" t="str">
        <v>Nashua - Pennichuck Water  East</v>
      </c>
      <c r="B6" s="9" t="str">
        <v>NH</v>
      </c>
      <c r="C6" s="22">
        <f>SUM('1st Qtr'!C6, '2nd Qtr'!C6, '3rd Qtr'!C6, '4th Qtr'!C6)</f>
        <v>75347</v>
      </c>
      <c r="D6" s="12">
        <f>SUM('1st Qtr'!D6, '2nd Qtr'!D6, '3rd Qtr'!D6, '4th Qtr'!D6)</f>
        <v>55415.74</v>
      </c>
      <c r="E6" s="12">
        <f t="shared" si="0"/>
        <v>19931.260000000002</v>
      </c>
      <c r="F6" s="13">
        <f t="shared" ref="F6:F12" si="1">IFERROR(E6/D6, "")</f>
        <v>0.35966784888192421</v>
      </c>
      <c r="G6" s="14">
        <f>SUM('1st Qtr'!G6, '2nd Qtr'!G6, '3rd Qtr'!G6, '4th Qtr'!G6)</f>
        <v>72464</v>
      </c>
      <c r="H6" s="14">
        <f>SUM('1st Qtr'!H6, '2nd Qtr'!H6, '3rd Qtr'!H6, '4th Qtr'!H6)</f>
        <v>2883</v>
      </c>
      <c r="I6" s="15">
        <f t="shared" ref="I6:I12" si="2">IFERROR(H6/G6, "")</f>
        <v>3.97852726871274E-2</v>
      </c>
    </row>
    <row r="7" spans="1:9" ht="15.6">
      <c r="A7" s="46" t="str">
        <v>Nashua - Pennichuck Water West</v>
      </c>
      <c r="B7" s="10" t="str">
        <v>NH</v>
      </c>
      <c r="C7" s="18">
        <f>SUM('1st Qtr'!C7, '2nd Qtr'!C7, '3rd Qtr'!C7, '4th Qtr'!C7)</f>
        <v>56099.172499999899</v>
      </c>
      <c r="D7" s="18">
        <f>SUM('1st Qtr'!D7, '2nd Qtr'!D7, '3rd Qtr'!D7, '4th Qtr'!D7)</f>
        <v>0</v>
      </c>
      <c r="E7" s="16">
        <f t="shared" si="0"/>
        <v>56099.172499999899</v>
      </c>
      <c r="F7" s="17" t="str">
        <f t="shared" si="1"/>
        <v/>
      </c>
      <c r="G7" s="18">
        <f>SUM('1st Qtr'!G7, '2nd Qtr'!G7, '3rd Qtr'!G7, '4th Qtr'!G7)</f>
        <v>86600</v>
      </c>
      <c r="H7" s="18">
        <f>SUM('1st Qtr'!H7, '2nd Qtr'!H7, '3rd Qtr'!H7, '4th Qtr'!H7)</f>
        <v>-30500.827500000101</v>
      </c>
      <c r="I7" s="17">
        <f t="shared" si="2"/>
        <v>-0.35220355080831528</v>
      </c>
    </row>
    <row r="8" spans="1:9" ht="15.6">
      <c r="A8" s="45" t="str">
        <v>Boothbay - Wiscasset Road</v>
      </c>
      <c r="B8" s="9" t="str">
        <v>ME</v>
      </c>
      <c r="C8" s="22">
        <f>SUM('1st Qtr'!C8, '2nd Qtr'!C8, '3rd Qtr'!C8, '4th Qtr'!C8)</f>
        <v>49011.5</v>
      </c>
      <c r="D8" s="12">
        <f>SUM('1st Qtr'!D8, '2nd Qtr'!D8, '3rd Qtr'!D8, '4th Qtr'!D8)</f>
        <v>119498</v>
      </c>
      <c r="E8" s="12">
        <f t="shared" si="0"/>
        <v>-70486.5</v>
      </c>
      <c r="F8" s="13">
        <f t="shared" si="1"/>
        <v>-0.58985506033573787</v>
      </c>
      <c r="G8" s="14">
        <f>SUM('1st Qtr'!G8, '2nd Qtr'!G8, '3rd Qtr'!G8, '4th Qtr'!G8)</f>
        <v>86567</v>
      </c>
      <c r="H8" s="14">
        <f>SUM('1st Qtr'!H8, '2nd Qtr'!H8, '3rd Qtr'!H8, '4th Qtr'!H8)</f>
        <v>-37555.5</v>
      </c>
      <c r="I8" s="15">
        <f t="shared" si="2"/>
        <v>-0.43383159864613535</v>
      </c>
    </row>
    <row r="9" spans="1:9" ht="15.6">
      <c r="A9" s="46" t="str">
        <v>Thorndike -  Leonard Road</v>
      </c>
      <c r="B9" s="10" t="str">
        <v>ME</v>
      </c>
      <c r="C9" s="18">
        <f>SUM('1st Qtr'!C9, '2nd Qtr'!C9, '3rd Qtr'!C9, '4th Qtr'!C9)</f>
        <v>51355</v>
      </c>
      <c r="D9" s="18">
        <f>SUM('1st Qtr'!D9, '2nd Qtr'!D9, '3rd Qtr'!D9, '4th Qtr'!D9)</f>
        <v>122402.4</v>
      </c>
      <c r="E9" s="16">
        <f t="shared" si="0"/>
        <v>-71047.399999999994</v>
      </c>
      <c r="F9" s="17">
        <f t="shared" si="1"/>
        <v>-0.58044123317843443</v>
      </c>
      <c r="G9" s="18">
        <f>SUM('1st Qtr'!G9, '2nd Qtr'!G9, '3rd Qtr'!G9, '4th Qtr'!G9)</f>
        <v>123797.8</v>
      </c>
      <c r="H9" s="18">
        <f>SUM('1st Qtr'!H9, '2nd Qtr'!H9, '3rd Qtr'!H9, '4th Qtr'!H9)</f>
        <v>-72442.8</v>
      </c>
      <c r="I9" s="17">
        <f t="shared" si="2"/>
        <v>-0.58517033420626219</v>
      </c>
    </row>
    <row r="10" spans="1:9" ht="15.6">
      <c r="A10" s="45" t="str">
        <v>Topsham - Solarize LLC</v>
      </c>
      <c r="B10" s="9" t="str">
        <v>ME</v>
      </c>
      <c r="C10" s="22">
        <f>SUM('1st Qtr'!C10, '2nd Qtr'!C10, '3rd Qtr'!C10, '4th Qtr'!C10)</f>
        <v>58384</v>
      </c>
      <c r="D10" s="12">
        <f>SUM('1st Qtr'!D10, '2nd Qtr'!D10, '3rd Qtr'!D10, '4th Qtr'!D10)</f>
        <v>86203.839999999997</v>
      </c>
      <c r="E10" s="12">
        <f t="shared" si="0"/>
        <v>-27819.839999999997</v>
      </c>
      <c r="F10" s="13">
        <f t="shared" si="1"/>
        <v>-0.32272158641656795</v>
      </c>
      <c r="G10" s="14">
        <f>SUM('1st Qtr'!G10, '2nd Qtr'!G10, '3rd Qtr'!G10, '4th Qtr'!G10)</f>
        <v>76396</v>
      </c>
      <c r="H10" s="14">
        <f>SUM('1st Qtr'!H10, '2nd Qtr'!H10, '3rd Qtr'!H10, '4th Qtr'!H10)</f>
        <v>-18012</v>
      </c>
      <c r="I10" s="15">
        <f t="shared" si="2"/>
        <v>-0.23577150636158961</v>
      </c>
    </row>
    <row r="11" spans="1:9" ht="15.6">
      <c r="A11" s="46" t="str">
        <v>Cherryfield - 727 North Main St (IRA)</v>
      </c>
      <c r="B11" s="10" t="str">
        <v>ME</v>
      </c>
      <c r="C11" s="18">
        <f>SUM('1st Qtr'!C11, '2nd Qtr'!C11, '3rd Qtr'!C11, '4th Qtr'!C11)</f>
        <v>140386</v>
      </c>
      <c r="D11" s="18">
        <f>SUM('1st Qtr'!D11, '2nd Qtr'!D11, '3rd Qtr'!D11, '4th Qtr'!D11)</f>
        <v>200499</v>
      </c>
      <c r="E11" s="16">
        <f t="shared" si="0"/>
        <v>-60113</v>
      </c>
      <c r="F11" s="17">
        <f t="shared" si="1"/>
        <v>-0.29981695669305086</v>
      </c>
      <c r="G11" s="18">
        <f>SUM('1st Qtr'!G11, '2nd Qtr'!G11, '3rd Qtr'!G11, '4th Qtr'!G11)</f>
        <v>150911.29999999999</v>
      </c>
      <c r="H11" s="18">
        <f>SUM('1st Qtr'!H11, '2nd Qtr'!H11, '3rd Qtr'!H11, '4th Qtr'!H11)</f>
        <v>-10525.299999999988</v>
      </c>
      <c r="I11" s="17">
        <f t="shared" si="2"/>
        <v>-6.974494289029376E-2</v>
      </c>
    </row>
    <row r="12" spans="1:9" ht="15.6">
      <c r="A12" s="45" t="str">
        <v>ME: Bucksport - 258 Route 1 (IRA)</v>
      </c>
      <c r="B12" s="9" t="str">
        <v>ME</v>
      </c>
      <c r="C12" s="22">
        <f>SUM('1st Qtr'!C12, '2nd Qtr'!C12, '3rd Qtr'!C12, '4th Qtr'!C12)</f>
        <v>123392</v>
      </c>
      <c r="D12" s="12">
        <f>SUM('1st Qtr'!D12, '2nd Qtr'!D12, '3rd Qtr'!D12, '4th Qtr'!D12)</f>
        <v>238592.704</v>
      </c>
      <c r="E12" s="12">
        <f t="shared" si="0"/>
        <v>-115200.704</v>
      </c>
      <c r="F12" s="13">
        <f t="shared" si="1"/>
        <v>-0.48283414399796565</v>
      </c>
      <c r="G12" s="14">
        <f>SUM('1st Qtr'!G12, '2nd Qtr'!G12, '3rd Qtr'!G12, '4th Qtr'!G12)</f>
        <v>280249.31800000003</v>
      </c>
      <c r="H12" s="14">
        <f>SUM('1st Qtr'!H12, '2nd Qtr'!H12, '3rd Qtr'!H12, '4th Qtr'!H12)</f>
        <v>-156857.31800000003</v>
      </c>
      <c r="I12" s="15">
        <f t="shared" si="2"/>
        <v>-0.55970633263057579</v>
      </c>
    </row>
    <row r="13" spans="1:9" ht="15.6">
      <c r="A13" s="46" t="str">
        <v>ME: Union - Route 131 (IRA)</v>
      </c>
      <c r="B13" s="10" t="str">
        <v>ME</v>
      </c>
      <c r="C13" s="87">
        <f>SUM('1st Qtr'!C13, '2nd Qtr'!C13, '3rd Qtr'!C13, '4th Qtr'!C13)</f>
        <v>148160.25</v>
      </c>
      <c r="D13" s="87">
        <f>SUM('1st Qtr'!D13, '2nd Qtr'!D13, '3rd Qtr'!D13, '4th Qtr'!D13)</f>
        <v>224434.6</v>
      </c>
      <c r="E13" s="16">
        <f>IF(AND(ISNUMBER(C13),ISNUMBER(D13)), C13-D13, "")</f>
        <v>-76274.350000000006</v>
      </c>
      <c r="F13" s="86">
        <f>IFERROR(E13/D13, "")</f>
        <v>-0.33985111921245659</v>
      </c>
      <c r="G13" s="87">
        <f>SUM('1st Qtr'!G13, '2nd Qtr'!G13, '3rd Qtr'!G13, '4th Qtr'!G13)</f>
        <v>147799</v>
      </c>
      <c r="H13" s="87">
        <f>SUM('1st Qtr'!H13, '2nd Qtr'!H13, '3rd Qtr'!H13, '4th Qtr'!H13)</f>
        <v>361.25</v>
      </c>
      <c r="I13" s="86">
        <f>IFERROR(H13/G13, "")</f>
        <v>2.4441978633143661E-3</v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46" priority="5" stopIfTrue="1" operator="lessThanOrEqual">
      <formula>-0.1</formula>
    </cfRule>
    <cfRule type="expression" dxfId="45" priority="6">
      <formula>AND(ISNUMBER(F2), F2&gt;=0.1)</formula>
    </cfRule>
  </conditionalFormatting>
  <conditionalFormatting sqref="F4:F79 I4:I79">
    <cfRule type="cellIs" dxfId="44" priority="1" stopIfTrue="1" operator="lessThanOrEqual">
      <formula>-0.1</formula>
    </cfRule>
    <cfRule type="expression" dxfId="43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16" sqref="G16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ALIGNED</v>
      </c>
      <c r="B1" s="117"/>
      <c r="C1" s="117"/>
      <c r="D1" s="118" t="s">
        <v>10</v>
      </c>
      <c r="E1" s="118"/>
      <c r="F1" s="118"/>
      <c r="G1" s="116" t="s">
        <v>11</v>
      </c>
      <c r="H1" s="116"/>
      <c r="I1" s="116"/>
    </row>
    <row r="2" spans="1:9" ht="19.5" customHeight="1">
      <c r="A2" s="119" t="s">
        <v>2</v>
      </c>
      <c r="B2" s="119"/>
      <c r="C2" s="5">
        <f>SUM(C4:C79)</f>
        <v>819670.38937810855</v>
      </c>
      <c r="D2" s="5">
        <f>SUM(D4:D79)</f>
        <v>1203231.1540000001</v>
      </c>
      <c r="E2" s="5">
        <f>C2-D2</f>
        <v>-383560.76462189155</v>
      </c>
      <c r="F2" s="6">
        <f>IFERROR(E2/D2, 0)</f>
        <v>-0.31877562623506633</v>
      </c>
      <c r="G2" s="5">
        <f>SUM(G4:G79)</f>
        <v>1250277.4180000001</v>
      </c>
      <c r="H2" s="7">
        <f>C2-G2</f>
        <v>-430607.02862189151</v>
      </c>
      <c r="I2" s="6">
        <f>IFERROR(H2/G2, 0)</f>
        <v>-0.34440918665131925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SUM(Jan!C4, Feb!C4, Mar!C4)</f>
        <v>57554.104999999501</v>
      </c>
      <c r="D4" s="12">
        <f>SUM(Jan!D4, Feb!D4, Mar!D4)</f>
        <v>57564.45</v>
      </c>
      <c r="E4" s="12">
        <f>IF(AND(ISNUMBER(C4),ISNUMBER(D4)), C4-D4, "")</f>
        <v>-10.345000000495929</v>
      </c>
      <c r="F4" s="13">
        <f>IFERROR(E4/D4, "")</f>
        <v>-1.7971161021248236E-4</v>
      </c>
      <c r="G4" s="14">
        <f>SUM(Jan!G4, Feb!G4, Mar!G4)</f>
        <v>116039.2</v>
      </c>
      <c r="H4" s="14">
        <f>SUM(Jan!H4, Feb!H4, Mar!H4)</f>
        <v>-58485.095000000496</v>
      </c>
      <c r="I4" s="15">
        <f>IFERROR(H4/G4, "")</f>
        <v>-0.50401153230977547</v>
      </c>
    </row>
    <row r="5" spans="1:9" ht="15.6">
      <c r="A5" s="46" t="str">
        <v>Loudon - 7046 Pleasant Street</v>
      </c>
      <c r="B5" s="10" t="str">
        <v>NH</v>
      </c>
      <c r="C5" s="11">
        <f>SUM(Jan!C5, Feb!C5, Mar!C5)</f>
        <v>59981.361878109201</v>
      </c>
      <c r="D5" s="16">
        <f>SUM(Jan!D5, Feb!D5, Mar!D5)</f>
        <v>98620.42</v>
      </c>
      <c r="E5" s="16">
        <f t="shared" ref="E5:E9" si="0">IF(AND(ISNUMBER(C5),ISNUMBER(D5)), C5-D5, "")</f>
        <v>-38639.058121890797</v>
      </c>
      <c r="F5" s="17">
        <f>IFERROR(E5/D5, "")</f>
        <v>-0.39179571656550233</v>
      </c>
      <c r="G5" s="18">
        <f>SUM(Jan!G5, Feb!G5, Mar!G5)</f>
        <v>109453.8</v>
      </c>
      <c r="H5" s="18">
        <f>SUM(Jan!H5, Feb!H5, Mar!H5)</f>
        <v>-49472.438121890802</v>
      </c>
      <c r="I5" s="17">
        <f>IFERROR(H5/G5, "")</f>
        <v>-0.45199379210124091</v>
      </c>
    </row>
    <row r="6" spans="1:9" ht="15.6">
      <c r="A6" s="45" t="str">
        <v>Nashua - Pennichuck Water  East</v>
      </c>
      <c r="B6" s="9" t="str">
        <v>NH</v>
      </c>
      <c r="C6" s="22">
        <f>SUM(Jan!C6, Feb!C6, Mar!C6)</f>
        <v>75347</v>
      </c>
      <c r="D6" s="12">
        <f>SUM(Jan!D6, Feb!D6, Mar!D6)</f>
        <v>55415.74</v>
      </c>
      <c r="E6" s="12">
        <f t="shared" si="0"/>
        <v>19931.260000000002</v>
      </c>
      <c r="F6" s="13">
        <f t="shared" ref="F6:F9" si="1">IFERROR(E6/D6, "")</f>
        <v>0.35966784888192421</v>
      </c>
      <c r="G6" s="14">
        <f>SUM(Jan!G6, Feb!G6, Mar!G6)</f>
        <v>72464</v>
      </c>
      <c r="H6" s="14">
        <f>SUM(Jan!H6, Feb!H6, Mar!H6)</f>
        <v>2883</v>
      </c>
      <c r="I6" s="15">
        <f t="shared" ref="I6:I12" si="2">IFERROR(H6/G6, "")</f>
        <v>3.97852726871274E-2</v>
      </c>
    </row>
    <row r="7" spans="1:9" ht="15.6">
      <c r="A7" s="46" t="str">
        <v>Nashua - Pennichuck Water West</v>
      </c>
      <c r="B7" s="10" t="str">
        <v>NH</v>
      </c>
      <c r="C7" s="11">
        <f>SUM(Jan!C7, Feb!C7, Mar!C7)</f>
        <v>56099.172499999899</v>
      </c>
      <c r="D7" s="16">
        <f>SUM(Jan!D7, Feb!D7, Mar!D7)</f>
        <v>0</v>
      </c>
      <c r="E7" s="16">
        <f t="shared" si="0"/>
        <v>56099.172499999899</v>
      </c>
      <c r="F7" s="17" t="str">
        <f t="shared" si="1"/>
        <v/>
      </c>
      <c r="G7" s="18">
        <f>SUM(Jan!G7, Feb!G7, Mar!G7)</f>
        <v>86600</v>
      </c>
      <c r="H7" s="18">
        <f>SUM(Jan!H7, Feb!H7, Mar!H7)</f>
        <v>-30500.827500000101</v>
      </c>
      <c r="I7" s="17">
        <f t="shared" si="2"/>
        <v>-0.35220355080831528</v>
      </c>
    </row>
    <row r="8" spans="1:9" ht="15.6">
      <c r="A8" s="45" t="str">
        <v>Boothbay - Wiscasset Road</v>
      </c>
      <c r="B8" s="9" t="str">
        <v>ME</v>
      </c>
      <c r="C8" s="22">
        <f>SUM(Jan!C8, Feb!C8, Mar!C8)</f>
        <v>49011.5</v>
      </c>
      <c r="D8" s="12">
        <f>SUM(Jan!D8, Feb!D8, Mar!D8)</f>
        <v>119498</v>
      </c>
      <c r="E8" s="12">
        <f t="shared" si="0"/>
        <v>-70486.5</v>
      </c>
      <c r="F8" s="13">
        <f t="shared" si="1"/>
        <v>-0.58985506033573787</v>
      </c>
      <c r="G8" s="14">
        <f>SUM(Jan!G8, Feb!G8, Mar!G8)</f>
        <v>86567</v>
      </c>
      <c r="H8" s="14">
        <f>SUM(Jan!H8, Feb!H8, Mar!H8)</f>
        <v>-37555.5</v>
      </c>
      <c r="I8" s="15">
        <f t="shared" si="2"/>
        <v>-0.43383159864613535</v>
      </c>
    </row>
    <row r="9" spans="1:9" ht="15.6">
      <c r="A9" s="46" t="str">
        <v>Thorndike -  Leonard Road</v>
      </c>
      <c r="B9" s="10" t="str">
        <v>ME</v>
      </c>
      <c r="C9" s="11">
        <f>SUM(Jan!C9, Feb!C9, Mar!C9)</f>
        <v>51355</v>
      </c>
      <c r="D9" s="16">
        <f>SUM(Jan!D9, Feb!D9, Mar!D9)</f>
        <v>122402.4</v>
      </c>
      <c r="E9" s="16">
        <f t="shared" si="0"/>
        <v>-71047.399999999994</v>
      </c>
      <c r="F9" s="17">
        <f t="shared" si="1"/>
        <v>-0.58044123317843443</v>
      </c>
      <c r="G9" s="18">
        <f>SUM(Jan!G9, Feb!G9, Mar!G9)</f>
        <v>123797.8</v>
      </c>
      <c r="H9" s="18">
        <f>SUM(Jan!H9, Feb!H9, Mar!H9)</f>
        <v>-72442.8</v>
      </c>
      <c r="I9" s="17">
        <f t="shared" si="2"/>
        <v>-0.58517033420626219</v>
      </c>
    </row>
    <row r="10" spans="1:9" ht="15.6">
      <c r="A10" s="45" t="str">
        <v>Topsham - Solarize LLC</v>
      </c>
      <c r="B10" s="9" t="str">
        <v>ME</v>
      </c>
      <c r="C10" s="22">
        <f>SUM(Jan!C10, Feb!C10, Mar!C10)</f>
        <v>58384</v>
      </c>
      <c r="D10" s="12">
        <f>SUM(Jan!D10, Feb!D10, Mar!D10)</f>
        <v>86203.839999999997</v>
      </c>
      <c r="E10" s="12">
        <f>IF(AND(ISNUMBER(C10),ISNUMBER(D10)), C10-D10, "")</f>
        <v>-27819.839999999997</v>
      </c>
      <c r="F10" s="13">
        <f>IFERROR(E10/D10, "")</f>
        <v>-0.32272158641656795</v>
      </c>
      <c r="G10" s="14">
        <f>SUM(Jan!G10, Feb!G10, Mar!G10)</f>
        <v>76396</v>
      </c>
      <c r="H10" s="14">
        <f>SUM(Jan!H10, Feb!H10, Mar!H10)</f>
        <v>-18012</v>
      </c>
      <c r="I10" s="15">
        <f t="shared" si="2"/>
        <v>-0.23577150636158961</v>
      </c>
    </row>
    <row r="11" spans="1:9" ht="15.6">
      <c r="A11" s="46" t="str">
        <v>Cherryfield - 727 North Main St (IRA)</v>
      </c>
      <c r="B11" s="10" t="str">
        <v>ME</v>
      </c>
      <c r="C11" s="11">
        <f>SUM(Jan!C11, Feb!C11, Mar!C11)</f>
        <v>140386</v>
      </c>
      <c r="D11" s="16">
        <f>SUM(Jan!D11, Feb!D11, Mar!D11)</f>
        <v>200499</v>
      </c>
      <c r="E11" s="16">
        <f>IF(AND(ISNUMBER(C11),ISNUMBER(D11)), C11-D11, "")</f>
        <v>-60113</v>
      </c>
      <c r="F11" s="86">
        <f>IFERROR(E11/D11, "")</f>
        <v>-0.29981695669305086</v>
      </c>
      <c r="G11" s="18">
        <f>SUM(Jan!G11, Feb!G11, Mar!G11)</f>
        <v>150911.29999999999</v>
      </c>
      <c r="H11" s="18">
        <f>SUM(Jan!H11, Feb!H11, Mar!H11)</f>
        <v>-10525.299999999988</v>
      </c>
      <c r="I11" s="17">
        <f t="shared" si="2"/>
        <v>-6.974494289029376E-2</v>
      </c>
    </row>
    <row r="12" spans="1:9" ht="15.6">
      <c r="A12" s="45" t="str">
        <v>ME: Bucksport - 258 Route 1 (IRA)</v>
      </c>
      <c r="B12" s="9" t="str">
        <v>ME</v>
      </c>
      <c r="C12" s="22">
        <f>SUM(Jan!C12, Feb!C12, Mar!C12)</f>
        <v>123392</v>
      </c>
      <c r="D12" s="12">
        <f>SUM(Jan!D12, Feb!D12, Mar!D12)</f>
        <v>238592.704</v>
      </c>
      <c r="E12" s="12">
        <f>IF(AND(ISNUMBER(C12),ISNUMBER(D12)), C12-D12, "")</f>
        <v>-115200.704</v>
      </c>
      <c r="F12" s="81">
        <f>IFERROR(E12/D12, "")</f>
        <v>-0.48283414399796565</v>
      </c>
      <c r="G12" s="14">
        <f>SUM(Jan!G12, Feb!G12, Mar!G12)</f>
        <v>280249.31800000003</v>
      </c>
      <c r="H12" s="14">
        <f>SUM(Jan!H12, Feb!H12, Mar!H12)</f>
        <v>-156857.31800000003</v>
      </c>
      <c r="I12" s="15">
        <f t="shared" si="2"/>
        <v>-0.55970633263057579</v>
      </c>
    </row>
    <row r="13" spans="1:9" ht="15.6">
      <c r="A13" s="46" t="str">
        <v>ME: Union - Route 131 (IRA)</v>
      </c>
      <c r="B13" s="10" t="str">
        <v>ME</v>
      </c>
      <c r="C13" s="85">
        <f>SUM(Jan!C13, Feb!C13, Mar!C13)</f>
        <v>148160.25</v>
      </c>
      <c r="D13" s="16">
        <f>SUM(Jan!D13, Feb!D13, Mar!D13)</f>
        <v>224434.6</v>
      </c>
      <c r="E13" s="16">
        <f>IF(AND(ISNUMBER(C13),ISNUMBER(D13)), C13-D13, "")</f>
        <v>-76274.350000000006</v>
      </c>
      <c r="F13" s="86">
        <f>IFERROR(E13/D13, "")</f>
        <v>-0.33985111921245659</v>
      </c>
      <c r="G13" s="87">
        <f>SUM(Jan!G13, Feb!G13, Mar!G13)</f>
        <v>147799</v>
      </c>
      <c r="H13" s="87">
        <f>SUM(Jan!H13, Feb!H13, Mar!H13)</f>
        <v>361.25</v>
      </c>
      <c r="I13" s="86">
        <f>IFERROR(H13/G13, "")</f>
        <v>2.4441978633143661E-3</v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2" priority="5" stopIfTrue="1" operator="lessThanOrEqual">
      <formula>-0.1</formula>
    </cfRule>
    <cfRule type="expression" dxfId="41" priority="6">
      <formula>AND(ISNUMBER(F2), F2&gt;=0.1)</formula>
    </cfRule>
  </conditionalFormatting>
  <conditionalFormatting sqref="F4:F79 I4:I79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F21" sqref="F21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ALIGNED</v>
      </c>
      <c r="B1" s="117"/>
      <c r="C1" s="117"/>
      <c r="D1" s="118" t="s">
        <v>12</v>
      </c>
      <c r="E1" s="118"/>
      <c r="F1" s="118"/>
      <c r="G1" s="116" t="s">
        <v>13</v>
      </c>
      <c r="H1" s="116"/>
      <c r="I1" s="116"/>
    </row>
    <row r="2" spans="1:9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6" t="str">
        <v>Loudon - 7046 Pleasant Street</v>
      </c>
      <c r="B5" s="10" t="str">
        <v>NH</v>
      </c>
      <c r="C5" s="11">
        <f>SUM(Apr!C5, May!C5, Jun!C5)</f>
        <v>0</v>
      </c>
      <c r="D5" s="16">
        <f>SUM(Apr!D5, May!D5, Jun!D5)</f>
        <v>0</v>
      </c>
      <c r="E5" s="16">
        <f t="shared" ref="E5:E12" si="0">IF(AND(ISNUMBER(C5),ISNUMBER(D5)), C5-D5, "")</f>
        <v>0</v>
      </c>
      <c r="F5" s="17" t="str">
        <f>IFERROR(E5/D5, "")</f>
        <v/>
      </c>
      <c r="G5" s="18">
        <f>SUM(Apr!G5,May!G5,Jun!G5)</f>
        <v>0</v>
      </c>
      <c r="H5" s="18">
        <f>SUM(Apr!H5, May!H5, Jun!H5)</f>
        <v>0</v>
      </c>
      <c r="I5" s="17" t="str">
        <f>IFERROR(H5/G5, "")</f>
        <v/>
      </c>
    </row>
    <row r="6" spans="1:9" ht="15.6">
      <c r="A6" s="45" t="str">
        <v>Nashua - Pennichuck Water  East</v>
      </c>
      <c r="B6" s="9" t="str">
        <v>NH</v>
      </c>
      <c r="C6" s="22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12" si="1">IFERROR(E6/D6, "")</f>
        <v/>
      </c>
      <c r="G6" s="14">
        <f>SUM(Apr!G6,May!G6,Jun!G6)</f>
        <v>0</v>
      </c>
      <c r="H6" s="14">
        <f>SUM(Apr!H6, May!H6, Jun!H6)</f>
        <v>0</v>
      </c>
      <c r="I6" s="15" t="str">
        <f t="shared" ref="I6:I12" si="2">IFERROR(H6/G6, "")</f>
        <v/>
      </c>
    </row>
    <row r="7" spans="1:9" ht="15.6">
      <c r="A7" s="46" t="str">
        <v>Nashua - Pennichuck Water West</v>
      </c>
      <c r="B7" s="10" t="str">
        <v>NH</v>
      </c>
      <c r="C7" s="11">
        <f>SUM(Apr!C7, May!C7, Jun!C7)</f>
        <v>0</v>
      </c>
      <c r="D7" s="16">
        <f>SUM(Apr!D7, May!D7, Jun!D7)</f>
        <v>0</v>
      </c>
      <c r="E7" s="16">
        <f t="shared" si="0"/>
        <v>0</v>
      </c>
      <c r="F7" s="17" t="str">
        <f t="shared" si="1"/>
        <v/>
      </c>
      <c r="G7" s="18">
        <f>SUM(Apr!G7,May!G7,Jun!G7)</f>
        <v>0</v>
      </c>
      <c r="H7" s="18">
        <f>SUM(Apr!H7, May!H7, Jun!H7)</f>
        <v>0</v>
      </c>
      <c r="I7" s="17" t="str">
        <f t="shared" si="2"/>
        <v/>
      </c>
    </row>
    <row r="8" spans="1:9" ht="15.6">
      <c r="A8" s="45" t="str">
        <v>Boothbay - Wiscasset Road</v>
      </c>
      <c r="B8" s="9" t="str">
        <v>ME</v>
      </c>
      <c r="C8" s="22">
        <f>SUM(Apr!C8, May!C8, Jun!C8)</f>
        <v>0</v>
      </c>
      <c r="D8" s="12">
        <f>SUM(Apr!D8, May!D8, Jun!D8)</f>
        <v>0</v>
      </c>
      <c r="E8" s="12">
        <f t="shared" si="0"/>
        <v>0</v>
      </c>
      <c r="F8" s="13" t="str">
        <f t="shared" si="1"/>
        <v/>
      </c>
      <c r="G8" s="14">
        <f>SUM(Apr!G8,May!G8,Jun!G8)</f>
        <v>0</v>
      </c>
      <c r="H8" s="14">
        <f>SUM(Apr!H8, May!H8, Jun!H8)</f>
        <v>0</v>
      </c>
      <c r="I8" s="15" t="str">
        <f t="shared" si="2"/>
        <v/>
      </c>
    </row>
    <row r="9" spans="1:9" ht="15.6">
      <c r="A9" s="46" t="str">
        <v>Thorndike -  Leonard Road</v>
      </c>
      <c r="B9" s="10" t="str">
        <v>ME</v>
      </c>
      <c r="C9" s="11">
        <f>SUM(Apr!C9, May!C9, Jun!C9)</f>
        <v>0</v>
      </c>
      <c r="D9" s="16">
        <f>SUM(Apr!D9, May!D9, Jun!D9)</f>
        <v>0</v>
      </c>
      <c r="E9" s="16">
        <f t="shared" si="0"/>
        <v>0</v>
      </c>
      <c r="F9" s="17" t="str">
        <f t="shared" si="1"/>
        <v/>
      </c>
      <c r="G9" s="18">
        <f>SUM(Apr!G9,May!G9,Jun!G9)</f>
        <v>0</v>
      </c>
      <c r="H9" s="18">
        <f>SUM(Apr!H9, May!H9, Jun!H9)</f>
        <v>0</v>
      </c>
      <c r="I9" s="17" t="str">
        <f t="shared" si="2"/>
        <v/>
      </c>
    </row>
    <row r="10" spans="1:9" ht="15.6">
      <c r="A10" s="45" t="str">
        <v>Topsham - Solarize LLC</v>
      </c>
      <c r="B10" s="9" t="str">
        <v>ME</v>
      </c>
      <c r="C10" s="22">
        <f>SUM(Apr!C10, May!C10, Jun!C10)</f>
        <v>0</v>
      </c>
      <c r="D10" s="12">
        <f>SUM(Apr!D10, May!D10, Jun!D10)</f>
        <v>0</v>
      </c>
      <c r="E10" s="12">
        <f t="shared" si="0"/>
        <v>0</v>
      </c>
      <c r="F10" s="13" t="str">
        <f t="shared" si="1"/>
        <v/>
      </c>
      <c r="G10" s="14">
        <f>SUM(Apr!G10,May!G10,Jun!G10)</f>
        <v>0</v>
      </c>
      <c r="H10" s="14">
        <f>SUM(Apr!H10, May!H10, Jun!H10)</f>
        <v>0</v>
      </c>
      <c r="I10" s="15" t="str">
        <f t="shared" si="2"/>
        <v/>
      </c>
    </row>
    <row r="11" spans="1:9" ht="15.6">
      <c r="A11" s="46" t="str">
        <v>Cherryfield - 727 North Main St (IRA)</v>
      </c>
      <c r="B11" s="10" t="str">
        <v>ME</v>
      </c>
      <c r="C11" s="11">
        <f>SUM(Apr!C11, May!C11, Jun!C11)</f>
        <v>0</v>
      </c>
      <c r="D11" s="16">
        <f>SUM(Apr!D11, May!D11, Jun!D11)</f>
        <v>0</v>
      </c>
      <c r="E11" s="16">
        <f t="shared" si="0"/>
        <v>0</v>
      </c>
      <c r="F11" s="17" t="str">
        <f t="shared" si="1"/>
        <v/>
      </c>
      <c r="G11" s="18">
        <f>SUM(Apr!G11,May!G11,Jun!G11)</f>
        <v>0</v>
      </c>
      <c r="H11" s="18">
        <f>SUM(Apr!H11, May!H11, Jun!H11)</f>
        <v>0</v>
      </c>
      <c r="I11" s="17" t="str">
        <f t="shared" si="2"/>
        <v/>
      </c>
    </row>
    <row r="12" spans="1:9" ht="15.6">
      <c r="A12" s="45" t="str">
        <v>ME: Bucksport - 258 Route 1 (IRA)</v>
      </c>
      <c r="B12" s="9" t="str">
        <v>ME</v>
      </c>
      <c r="C12" s="22">
        <f>SUM(Apr!C12, May!C12, Jun!C12)</f>
        <v>0</v>
      </c>
      <c r="D12" s="12">
        <f>SUM(Apr!D12, May!D12, Jun!D12)</f>
        <v>0</v>
      </c>
      <c r="E12" s="12">
        <f t="shared" si="0"/>
        <v>0</v>
      </c>
      <c r="F12" s="13" t="str">
        <f t="shared" si="1"/>
        <v/>
      </c>
      <c r="G12" s="14">
        <f>SUM(Apr!G12,May!G12,Jun!G12)</f>
        <v>0</v>
      </c>
      <c r="H12" s="14">
        <f>SUM(Apr!H12, May!H12, Jun!H12)</f>
        <v>0</v>
      </c>
      <c r="I12" s="15" t="str">
        <f t="shared" si="2"/>
        <v/>
      </c>
    </row>
    <row r="13" spans="1:9" ht="15.6">
      <c r="A13" s="46" t="str">
        <v>ME: Union - Route 131 (IRA)</v>
      </c>
      <c r="B13" s="10" t="str">
        <v>ME</v>
      </c>
      <c r="C13" s="85">
        <f>SUM(Apr!C13, May!C13, Jun!C13)</f>
        <v>0</v>
      </c>
      <c r="D13" s="16">
        <f>SUM(Apr!D13, May!D13, Jun!D13)</f>
        <v>0</v>
      </c>
      <c r="E13" s="16">
        <f>IF(AND(ISNUMBER(C13),ISNUMBER(D13)), C13-D13, "")</f>
        <v>0</v>
      </c>
      <c r="F13" s="86" t="str">
        <f>IFERROR(E13/D13, "")</f>
        <v/>
      </c>
      <c r="G13" s="87">
        <f>SUM(Apr!G13,May!G13,Jun!G13)</f>
        <v>0</v>
      </c>
      <c r="H13" s="87">
        <f>SUM(Apr!H13, May!H13, Jun!H13)</f>
        <v>0</v>
      </c>
      <c r="I13" s="86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27" sqref="D26:D2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ALIGNED</v>
      </c>
      <c r="B1" s="117"/>
      <c r="C1" s="117"/>
      <c r="D1" s="118" t="s">
        <v>14</v>
      </c>
      <c r="E1" s="118"/>
      <c r="F1" s="118"/>
      <c r="G1" s="116" t="s">
        <v>15</v>
      </c>
      <c r="H1" s="116"/>
      <c r="I1" s="116"/>
    </row>
    <row r="2" spans="1:9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46" t="str">
        <v>Loudon - 7046 Pleasant Street</v>
      </c>
      <c r="B5" s="10" t="str">
        <v>NH</v>
      </c>
      <c r="C5" s="11">
        <f>SUM(Jul!C5, Aug!C5, Sep!C5)</f>
        <v>0</v>
      </c>
      <c r="D5" s="16">
        <f>SUM(Jul!D5, Aug!D5, Sep!D5)</f>
        <v>0</v>
      </c>
      <c r="E5" s="16">
        <f t="shared" ref="E5:E12" si="0">IF(AND(ISNUMBER(C5),ISNUMBER(D5)), C5-D5, "")</f>
        <v>0</v>
      </c>
      <c r="F5" s="17" t="str">
        <f>IFERROR(E5/D5, "")</f>
        <v/>
      </c>
      <c r="G5" s="18">
        <f>SUM(Jul!G5,Aug!G5,Sep!G5)</f>
        <v>0</v>
      </c>
      <c r="H5" s="18">
        <f>SUM(Jul!H5, Aug!H5, Sep!H5)</f>
        <v>0</v>
      </c>
      <c r="I5" s="17" t="str">
        <f>IFERROR(H5/G5, "")</f>
        <v/>
      </c>
    </row>
    <row r="6" spans="1:9" ht="15.6">
      <c r="A6" s="45" t="str">
        <v>Nashua - Pennichuck Water  East</v>
      </c>
      <c r="B6" s="9" t="str">
        <v>NH</v>
      </c>
      <c r="C6" s="22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12" si="1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ref="I6:I12" si="2">IFERROR(H6/G6, "")</f>
        <v/>
      </c>
    </row>
    <row r="7" spans="1:9" ht="15.6">
      <c r="A7" s="46" t="str">
        <v>Nashua - Pennichuck Water West</v>
      </c>
      <c r="B7" s="10" t="str">
        <v>NH</v>
      </c>
      <c r="C7" s="11">
        <f>SUM(Jul!C7, Aug!C7, Sep!C7)</f>
        <v>0</v>
      </c>
      <c r="D7" s="16">
        <f>SUM(Jul!D7, Aug!D7, Sep!D7)</f>
        <v>0</v>
      </c>
      <c r="E7" s="16">
        <f t="shared" si="0"/>
        <v>0</v>
      </c>
      <c r="F7" s="17" t="str">
        <f t="shared" si="1"/>
        <v/>
      </c>
      <c r="G7" s="18">
        <f>SUM(Jul!G7,Aug!G7,Sep!G7)</f>
        <v>0</v>
      </c>
      <c r="H7" s="18">
        <f>SUM(Jul!H7, Aug!H7, Sep!H7)</f>
        <v>0</v>
      </c>
      <c r="I7" s="17" t="str">
        <f t="shared" si="2"/>
        <v/>
      </c>
    </row>
    <row r="8" spans="1:9" ht="15.6">
      <c r="A8" s="45" t="str">
        <v>Boothbay - Wiscasset Road</v>
      </c>
      <c r="B8" s="9" t="str">
        <v>ME</v>
      </c>
      <c r="C8" s="22">
        <f>SUM(Jul!C8, Aug!C8, Sep!C8)</f>
        <v>0</v>
      </c>
      <c r="D8" s="12">
        <f>SUM(Jul!D8, Aug!D8, Sep!D8)</f>
        <v>0</v>
      </c>
      <c r="E8" s="12">
        <f t="shared" si="0"/>
        <v>0</v>
      </c>
      <c r="F8" s="13" t="str">
        <f t="shared" si="1"/>
        <v/>
      </c>
      <c r="G8" s="14">
        <f>SUM(Jul!G8,Aug!G8,Sep!G8)</f>
        <v>0</v>
      </c>
      <c r="H8" s="14">
        <f>SUM(Jul!H8, Aug!H8, Sep!H8)</f>
        <v>0</v>
      </c>
      <c r="I8" s="15" t="str">
        <f t="shared" si="2"/>
        <v/>
      </c>
    </row>
    <row r="9" spans="1:9" ht="15.6">
      <c r="A9" s="46" t="str">
        <v>Thorndike -  Leonard Road</v>
      </c>
      <c r="B9" s="10" t="str">
        <v>ME</v>
      </c>
      <c r="C9" s="11">
        <f>SUM(Jul!C9, Aug!C9, Sep!C9)</f>
        <v>0</v>
      </c>
      <c r="D9" s="16">
        <f>SUM(Jul!D9, Aug!D9, Sep!D9)</f>
        <v>0</v>
      </c>
      <c r="E9" s="16">
        <f t="shared" si="0"/>
        <v>0</v>
      </c>
      <c r="F9" s="17" t="str">
        <f t="shared" si="1"/>
        <v/>
      </c>
      <c r="G9" s="18">
        <f>SUM(Jul!G9,Aug!G9,Sep!G9)</f>
        <v>0</v>
      </c>
      <c r="H9" s="18">
        <f>SUM(Jul!H9, Aug!H9, Sep!H9)</f>
        <v>0</v>
      </c>
      <c r="I9" s="17" t="str">
        <f t="shared" si="2"/>
        <v/>
      </c>
    </row>
    <row r="10" spans="1:9" ht="15.6">
      <c r="A10" s="45" t="str">
        <v>Topsham - Solarize LLC</v>
      </c>
      <c r="B10" s="9" t="str">
        <v>ME</v>
      </c>
      <c r="C10" s="22">
        <f>SUM(Jul!C10, Aug!C10, Sep!C10)</f>
        <v>0</v>
      </c>
      <c r="D10" s="12">
        <f>SUM(Jul!D10, Aug!D10, Sep!D10)</f>
        <v>0</v>
      </c>
      <c r="E10" s="12">
        <f t="shared" si="0"/>
        <v>0</v>
      </c>
      <c r="F10" s="13" t="str">
        <f t="shared" si="1"/>
        <v/>
      </c>
      <c r="G10" s="14">
        <f>SUM(Jul!G10,Aug!G10,Sep!G10)</f>
        <v>0</v>
      </c>
      <c r="H10" s="14">
        <f>SUM(Jul!H10, Aug!H10, Sep!H10)</f>
        <v>0</v>
      </c>
      <c r="I10" s="15" t="str">
        <f t="shared" si="2"/>
        <v/>
      </c>
    </row>
    <row r="11" spans="1:9" ht="15.6">
      <c r="A11" s="46" t="str">
        <v>Cherryfield - 727 North Main St (IRA)</v>
      </c>
      <c r="B11" s="10" t="str">
        <v>ME</v>
      </c>
      <c r="C11" s="11">
        <f>SUM(Jul!C11, Aug!C11, Sep!C11)</f>
        <v>0</v>
      </c>
      <c r="D11" s="16">
        <f>SUM(Jul!D11, Aug!D11, Sep!D11)</f>
        <v>0</v>
      </c>
      <c r="E11" s="16">
        <f t="shared" si="0"/>
        <v>0</v>
      </c>
      <c r="F11" s="17" t="str">
        <f t="shared" si="1"/>
        <v/>
      </c>
      <c r="G11" s="18">
        <f>SUM(Jul!G11,Aug!G11,Sep!G11)</f>
        <v>0</v>
      </c>
      <c r="H11" s="18">
        <f>SUM(Jul!H11, Aug!H11, Sep!H11)</f>
        <v>0</v>
      </c>
      <c r="I11" s="17" t="str">
        <f t="shared" si="2"/>
        <v/>
      </c>
    </row>
    <row r="12" spans="1:9" ht="15.6">
      <c r="A12" s="45" t="str">
        <v>ME: Bucksport - 258 Route 1 (IRA)</v>
      </c>
      <c r="B12" s="9" t="str">
        <v>ME</v>
      </c>
      <c r="C12" s="22">
        <f>SUM(Jul!C12, Aug!C12, Sep!C12)</f>
        <v>0</v>
      </c>
      <c r="D12" s="12">
        <f>SUM(Jul!D12, Aug!D12, Sep!D12)</f>
        <v>0</v>
      </c>
      <c r="E12" s="12">
        <f t="shared" si="0"/>
        <v>0</v>
      </c>
      <c r="F12" s="13" t="str">
        <f t="shared" si="1"/>
        <v/>
      </c>
      <c r="G12" s="14">
        <f>SUM(Jul!G12,Aug!G12,Sep!G12)</f>
        <v>0</v>
      </c>
      <c r="H12" s="14">
        <f>SUM(Jul!H12, Aug!H12, Sep!H12)</f>
        <v>0</v>
      </c>
      <c r="I12" s="15" t="str">
        <f t="shared" si="2"/>
        <v/>
      </c>
    </row>
    <row r="13" spans="1:9" ht="15.6">
      <c r="A13" s="46" t="str">
        <v>ME: Union - Route 131 (IRA)</v>
      </c>
      <c r="B13" s="10" t="str">
        <v>ME</v>
      </c>
      <c r="C13" s="85">
        <f>SUM(Jul!C13, Aug!C13, Sep!C13)</f>
        <v>0</v>
      </c>
      <c r="D13" s="16">
        <f>SUM(Jul!D13, Aug!D13, Sep!D13)</f>
        <v>0</v>
      </c>
      <c r="E13" s="16">
        <f>IF(AND(ISNUMBER(C13),ISNUMBER(D13)), C13-D13, "")</f>
        <v>0</v>
      </c>
      <c r="F13" s="86" t="str">
        <f>IFERROR(E13/D13, "")</f>
        <v/>
      </c>
      <c r="G13" s="87">
        <f>SUM(Jul!G13,Aug!G13,Sep!G13)</f>
        <v>0</v>
      </c>
      <c r="H13" s="87">
        <f>SUM(Jul!H13, Aug!H13, Sep!H13)</f>
        <v>0</v>
      </c>
      <c r="I13" s="86" t="str">
        <f>IFERROR(H13/G13, "")</f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4:F79 I4:I79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G21" sqref="G21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7" t="str" cm="1">
        <f t="array" ref="A1">portfolio</f>
        <v>ALIGNED</v>
      </c>
      <c r="B1" s="117"/>
      <c r="C1" s="117"/>
      <c r="D1" s="118" t="s">
        <v>16</v>
      </c>
      <c r="E1" s="118"/>
      <c r="F1" s="118"/>
      <c r="G1" s="116" t="s">
        <v>17</v>
      </c>
      <c r="H1" s="116"/>
      <c r="I1" s="116"/>
    </row>
    <row r="2" spans="1:9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13">Sites[Site]</f>
        <v>Conway -US 302 and Stirch Road</v>
      </c>
      <c r="B4" s="9" t="str" cm="1">
        <f t="array" ref="B4:B13">Sites[State]</f>
        <v>NH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6" t="str">
        <v>Loudon - 7046 Pleasant Street</v>
      </c>
      <c r="B5" s="10" t="str">
        <v>NH</v>
      </c>
      <c r="C5" s="11">
        <f>SUM(Oct!C5, Nov!C5, Dec!C5)</f>
        <v>0</v>
      </c>
      <c r="D5" s="16">
        <f>SUM(Oct!D5, Nov!D5, Dec!D5)</f>
        <v>0</v>
      </c>
      <c r="E5" s="16">
        <f t="shared" ref="E5:E7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5" t="str">
        <v>Nashua - Pennichuck Water  East</v>
      </c>
      <c r="B6" s="9" t="str">
        <v>NH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7" si="2">IFERROR(H6/G6, "")</f>
        <v/>
      </c>
    </row>
    <row r="7" spans="1:9" ht="15.6">
      <c r="A7" s="46" t="str">
        <v>Nashua - Pennichuck Water West</v>
      </c>
      <c r="B7" s="10" t="str">
        <v>NH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5" t="str">
        <v>Boothbay - Wiscasset Road</v>
      </c>
      <c r="B8" s="9" t="str">
        <v>ME</v>
      </c>
      <c r="C8" s="80">
        <f>SUM(Oct!C8, Nov!C8, Dec!C8)</f>
        <v>0</v>
      </c>
      <c r="D8" s="12">
        <f>SUM(Oct!D8, Nov!D8, Dec!D8)</f>
        <v>0</v>
      </c>
      <c r="E8" s="12">
        <f t="shared" ref="E8:E13" si="3">IF(AND(ISNUMBER(C8),ISNUMBER(D8)), C8-D8, "")</f>
        <v>0</v>
      </c>
      <c r="F8" s="81" t="str">
        <f t="shared" ref="F8:F13" si="4">IFERROR(E8/D8, "")</f>
        <v/>
      </c>
      <c r="G8" s="82">
        <f>SUM(Oct!G8,Nov!G8,Dec!G8)</f>
        <v>0</v>
      </c>
      <c r="H8" s="82">
        <f>SUM(Oct!H8, Nov!H8, Dec!H8)</f>
        <v>0</v>
      </c>
      <c r="I8" s="83" t="str">
        <f t="shared" ref="I8:I13" si="5">IFERROR(H8/G8, "")</f>
        <v/>
      </c>
    </row>
    <row r="9" spans="1:9" ht="15.6">
      <c r="A9" s="46" t="str">
        <v>Thorndike -  Leonard Road</v>
      </c>
      <c r="B9" s="10" t="str">
        <v>ME</v>
      </c>
      <c r="C9" s="85">
        <f>SUM(Oct!C9, Nov!C9, Dec!C9)</f>
        <v>0</v>
      </c>
      <c r="D9" s="16">
        <f>SUM(Oct!D9, Nov!D9, Dec!D9)</f>
        <v>0</v>
      </c>
      <c r="E9" s="16">
        <f t="shared" si="3"/>
        <v>0</v>
      </c>
      <c r="F9" s="17" t="str">
        <f t="shared" si="4"/>
        <v/>
      </c>
      <c r="G9" s="16">
        <f>SUM(Oct!G9,Nov!G9,Dec!G9)</f>
        <v>0</v>
      </c>
      <c r="H9" s="18">
        <f>SUM(Oct!H9, Nov!H9, Dec!H9)</f>
        <v>0</v>
      </c>
      <c r="I9" s="17" t="str">
        <f t="shared" si="5"/>
        <v/>
      </c>
    </row>
    <row r="10" spans="1:9" ht="15.6">
      <c r="A10" s="45" t="str">
        <v>Topsham - Solarize LLC</v>
      </c>
      <c r="B10" s="9" t="str">
        <v>ME</v>
      </c>
      <c r="C10" s="80">
        <f>SUM(Oct!C10, Nov!C10, Dec!C10)</f>
        <v>0</v>
      </c>
      <c r="D10" s="12">
        <f>SUM(Oct!D10, Nov!D10, Dec!D10)</f>
        <v>0</v>
      </c>
      <c r="E10" s="12">
        <f t="shared" si="3"/>
        <v>0</v>
      </c>
      <c r="F10" s="81" t="str">
        <f t="shared" si="4"/>
        <v/>
      </c>
      <c r="G10" s="82">
        <f>SUM(Oct!G10,Nov!G10,Dec!G10)</f>
        <v>0</v>
      </c>
      <c r="H10" s="82">
        <f>SUM(Oct!H10, Nov!H10, Dec!H10)</f>
        <v>0</v>
      </c>
      <c r="I10" s="83" t="str">
        <f t="shared" si="5"/>
        <v/>
      </c>
    </row>
    <row r="11" spans="1:9" ht="15.6">
      <c r="A11" s="46" t="str">
        <v>Cherryfield - 727 North Main St (IRA)</v>
      </c>
      <c r="B11" s="10" t="str">
        <v>ME</v>
      </c>
      <c r="C11" s="85">
        <f>SUM(Oct!C11, Nov!C11, Dec!C11)</f>
        <v>0</v>
      </c>
      <c r="D11" s="16">
        <f>SUM(Oct!D11, Nov!D11, Dec!D11)</f>
        <v>0</v>
      </c>
      <c r="E11" s="16">
        <f t="shared" si="3"/>
        <v>0</v>
      </c>
      <c r="F11" s="86" t="str">
        <f t="shared" si="4"/>
        <v/>
      </c>
      <c r="G11" s="16">
        <f>SUM(Oct!G11,Nov!G11,Dec!G11)</f>
        <v>0</v>
      </c>
      <c r="H11" s="87">
        <f>SUM(Oct!H11, Nov!H11, Dec!H11)</f>
        <v>0</v>
      </c>
      <c r="I11" s="86" t="str">
        <f t="shared" si="5"/>
        <v/>
      </c>
    </row>
    <row r="12" spans="1:9" ht="15.6">
      <c r="A12" s="45" t="str">
        <v>ME: Bucksport - 258 Route 1 (IRA)</v>
      </c>
      <c r="B12" s="9" t="str">
        <v>ME</v>
      </c>
      <c r="C12" s="80">
        <f>SUM(Oct!C12, Nov!C12, Dec!C12)</f>
        <v>0</v>
      </c>
      <c r="D12" s="12">
        <f>SUM(Oct!D12, Nov!D12, Dec!D12)</f>
        <v>0</v>
      </c>
      <c r="E12" s="12">
        <f t="shared" si="3"/>
        <v>0</v>
      </c>
      <c r="F12" s="81" t="str">
        <f t="shared" si="4"/>
        <v/>
      </c>
      <c r="G12" s="82">
        <f>SUM(Oct!G12,Nov!G12,Dec!G12)</f>
        <v>0</v>
      </c>
      <c r="H12" s="82">
        <f>SUM(Oct!H12, Nov!H12, Dec!H12)</f>
        <v>0</v>
      </c>
      <c r="I12" s="83" t="str">
        <f t="shared" si="5"/>
        <v/>
      </c>
    </row>
    <row r="13" spans="1:9" ht="15.6">
      <c r="A13" s="46" t="str">
        <v>ME: Union - Route 131 (IRA)</v>
      </c>
      <c r="B13" s="10" t="str">
        <v>ME</v>
      </c>
      <c r="C13" s="85">
        <f>SUM(Oct!C13, Nov!C13, Dec!C13)</f>
        <v>0</v>
      </c>
      <c r="D13" s="16">
        <f>SUM(Oct!D13, Nov!D13, Dec!D13)</f>
        <v>0</v>
      </c>
      <c r="E13" s="16">
        <f t="shared" si="3"/>
        <v>0</v>
      </c>
      <c r="F13" s="86" t="str">
        <f t="shared" si="4"/>
        <v/>
      </c>
      <c r="G13" s="16">
        <f>SUM(Oct!G13,Nov!G13,Dec!G13)</f>
        <v>0</v>
      </c>
      <c r="H13" s="87">
        <f>SUM(Oct!H13, Nov!H13, Dec!H13)</f>
        <v>0</v>
      </c>
      <c r="I13" s="86" t="str">
        <f t="shared" si="5"/>
        <v/>
      </c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O320"/>
  <sheetViews>
    <sheetView tabSelected="1" zoomScale="80" zoomScaleNormal="80" workbookViewId="0">
      <pane xSplit="2" ySplit="3" topLeftCell="J4" activePane="bottomRight" state="frozen"/>
      <selection pane="bottomRight" activeCell="K3" sqref="K3:L3"/>
      <selection pane="bottomLeft" activeCell="I31" sqref="I31"/>
      <selection pane="topRight" activeCell="I31" sqref="I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76" bestFit="1" customWidth="1"/>
    <col min="12" max="12" width="19.85546875" style="76" customWidth="1"/>
    <col min="13" max="14" width="8.85546875" style="76"/>
  </cols>
  <sheetData>
    <row r="1" spans="1:15" ht="19.5" customHeight="1">
      <c r="A1" s="117" t="str" cm="1">
        <f t="array" ref="A1">portfolio</f>
        <v>ALIGNED</v>
      </c>
      <c r="B1" s="117"/>
      <c r="C1" s="117"/>
      <c r="D1" s="118" t="s">
        <v>18</v>
      </c>
      <c r="E1" s="118"/>
      <c r="F1" s="118"/>
      <c r="G1" s="116" t="s">
        <v>19</v>
      </c>
      <c r="H1" s="116"/>
      <c r="I1" s="116"/>
      <c r="J1" s="4"/>
      <c r="K1" s="113"/>
      <c r="L1" s="113"/>
    </row>
    <row r="2" spans="1:15" ht="19.5" customHeight="1">
      <c r="A2" s="119" t="s">
        <v>2</v>
      </c>
      <c r="B2" s="119"/>
      <c r="C2" s="5">
        <f>SUM(C4:C78)</f>
        <v>819670.38937810855</v>
      </c>
      <c r="D2" s="5">
        <f>SUM(D4:D78)</f>
        <v>1203231.1540000001</v>
      </c>
      <c r="E2" s="5">
        <f>C2-D2</f>
        <v>-383560.76462189155</v>
      </c>
      <c r="F2" s="6">
        <f>IFERROR(E2/D2, 0)</f>
        <v>-0.31877562623506633</v>
      </c>
      <c r="G2" s="5">
        <f>SUM(G4:G78)</f>
        <v>1250277.4180000001</v>
      </c>
      <c r="H2" s="7">
        <f>C2-G2</f>
        <v>-430607.02862189151</v>
      </c>
      <c r="I2" s="6">
        <f>IFERROR(H2/G2, 0)</f>
        <v>-0.34440918665131925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113"/>
      <c r="L2" s="113"/>
    </row>
    <row r="3" spans="1:15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5" ht="15.6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>
        <v>57554.104999999501</v>
      </c>
      <c r="D4" s="12">
        <v>57564.45</v>
      </c>
      <c r="E4" s="12">
        <f>IF(AND(ISNUMBER(C4),ISNUMBER(D4)), C4-D4, "")</f>
        <v>-10.345000000495929</v>
      </c>
      <c r="F4" s="13">
        <f>IFERROR(E4/D4, "")</f>
        <v>-1.7971161021248236E-4</v>
      </c>
      <c r="G4" s="14">
        <v>116039.2</v>
      </c>
      <c r="H4" s="14">
        <f>IF(AND(ISNUMBER(C4),ISNUMBER(G4)), C4-G4, "")</f>
        <v>-58485.095000000496</v>
      </c>
      <c r="I4" s="15">
        <f>IFERROR(H4/G4, "")</f>
        <v>-0.50401153230977547</v>
      </c>
      <c r="J4" s="39" t="s">
        <v>23</v>
      </c>
      <c r="K4" s="73"/>
      <c r="L4" s="50"/>
      <c r="N4" s="75"/>
      <c r="O4" s="110"/>
    </row>
    <row r="5" spans="1:15" ht="24" customHeight="1">
      <c r="A5" s="28" t="str">
        <v>Loudon - 7046 Pleasant Street</v>
      </c>
      <c r="B5" s="29" t="str">
        <v>NH</v>
      </c>
      <c r="C5" s="11">
        <v>59981.361878109201</v>
      </c>
      <c r="D5" s="16">
        <v>98620.42</v>
      </c>
      <c r="E5" s="16">
        <f t="shared" ref="E5:E13" si="0">IF(AND(ISNUMBER(C5),ISNUMBER(D5)), C5-D5, "")</f>
        <v>-38639.058121890797</v>
      </c>
      <c r="F5" s="17">
        <f t="shared" ref="F5:F13" si="1">IFERROR(E5/D5, "")</f>
        <v>-0.39179571656550233</v>
      </c>
      <c r="G5" s="18">
        <v>109453.8</v>
      </c>
      <c r="H5" s="18">
        <f t="shared" ref="H5:H13" si="2">IF(AND(ISNUMBER(C5),ISNUMBER(G5)), C5-G5, "")</f>
        <v>-49472.438121890802</v>
      </c>
      <c r="I5" s="17">
        <f t="shared" ref="I5:I12" si="3">IFERROR(H5/G5, "")</f>
        <v>-0.45199379210124091</v>
      </c>
      <c r="J5" s="40" t="s">
        <v>24</v>
      </c>
      <c r="K5" s="74"/>
      <c r="L5" s="74"/>
    </row>
    <row r="6" spans="1:15" ht="90" customHeight="1">
      <c r="A6" s="30" t="str">
        <v>Nashua - Pennichuck Water  East</v>
      </c>
      <c r="B6" s="27" t="str">
        <v>NH</v>
      </c>
      <c r="C6" s="22">
        <v>75347</v>
      </c>
      <c r="D6" s="12">
        <v>55415.74</v>
      </c>
      <c r="E6" s="12">
        <f t="shared" si="0"/>
        <v>19931.260000000002</v>
      </c>
      <c r="F6" s="13">
        <f>IFERROR(E6/D6, "")</f>
        <v>0.35966784888192421</v>
      </c>
      <c r="G6" s="14">
        <v>72464</v>
      </c>
      <c r="H6" s="14">
        <f t="shared" si="2"/>
        <v>2883</v>
      </c>
      <c r="I6" s="15">
        <f t="shared" si="3"/>
        <v>3.97852726871274E-2</v>
      </c>
      <c r="J6" s="39" t="s">
        <v>25</v>
      </c>
      <c r="K6" s="73" t="s">
        <v>26</v>
      </c>
      <c r="L6" s="50" t="s">
        <v>27</v>
      </c>
      <c r="M6" s="75" t="s">
        <v>28</v>
      </c>
      <c r="N6" s="75" t="s">
        <v>29</v>
      </c>
      <c r="O6" s="110"/>
    </row>
    <row r="7" spans="1:15" ht="85.5" customHeight="1">
      <c r="A7" s="28" t="str">
        <v>Nashua - Pennichuck Water West</v>
      </c>
      <c r="B7" s="29" t="str">
        <v>NH</v>
      </c>
      <c r="C7" s="11">
        <v>56099.172499999899</v>
      </c>
      <c r="D7" s="16">
        <v>0</v>
      </c>
      <c r="E7" s="16">
        <f t="shared" si="0"/>
        <v>56099.172499999899</v>
      </c>
      <c r="F7" s="17" t="str">
        <f t="shared" si="1"/>
        <v/>
      </c>
      <c r="G7" s="18">
        <v>86600</v>
      </c>
      <c r="H7" s="18">
        <f t="shared" si="2"/>
        <v>-30500.827500000101</v>
      </c>
      <c r="I7" s="17">
        <f t="shared" ref="I7:I13" si="4">IFERROR(H7/G7, "")</f>
        <v>-0.35220355080831528</v>
      </c>
      <c r="J7" s="52" t="s">
        <v>30</v>
      </c>
      <c r="K7" s="74" t="s">
        <v>31</v>
      </c>
      <c r="L7" s="114" t="s">
        <v>32</v>
      </c>
      <c r="M7" s="75" t="s">
        <v>33</v>
      </c>
      <c r="N7" s="75" t="s">
        <v>34</v>
      </c>
    </row>
    <row r="8" spans="1:15" ht="15.6">
      <c r="A8" s="30" t="str">
        <v>Boothbay - Wiscasset Road</v>
      </c>
      <c r="B8" s="27" t="str">
        <v>ME</v>
      </c>
      <c r="C8" s="22">
        <v>49011.5</v>
      </c>
      <c r="D8" s="12">
        <v>119498</v>
      </c>
      <c r="E8" s="12">
        <f t="shared" si="0"/>
        <v>-70486.5</v>
      </c>
      <c r="F8" s="13">
        <f t="shared" si="1"/>
        <v>-0.58985506033573787</v>
      </c>
      <c r="G8" s="14">
        <v>86567</v>
      </c>
      <c r="H8" s="14">
        <f t="shared" si="2"/>
        <v>-37555.5</v>
      </c>
      <c r="I8" s="15">
        <f t="shared" si="3"/>
        <v>-0.43383159864613535</v>
      </c>
      <c r="J8" s="39" t="s">
        <v>35</v>
      </c>
      <c r="K8" s="73" t="s">
        <v>36</v>
      </c>
      <c r="L8" s="50" t="s">
        <v>37</v>
      </c>
      <c r="N8" s="75"/>
      <c r="O8" s="110"/>
    </row>
    <row r="9" spans="1:15" ht="28.9">
      <c r="A9" s="28" t="str">
        <v>Thorndike -  Leonard Road</v>
      </c>
      <c r="B9" s="29" t="str">
        <v>ME</v>
      </c>
      <c r="C9" s="11">
        <v>51355</v>
      </c>
      <c r="D9" s="16">
        <v>122402.4</v>
      </c>
      <c r="E9" s="16">
        <f t="shared" si="0"/>
        <v>-71047.399999999994</v>
      </c>
      <c r="F9" s="17">
        <f t="shared" si="1"/>
        <v>-0.58044123317843443</v>
      </c>
      <c r="G9" s="18">
        <v>123797.8</v>
      </c>
      <c r="H9" s="18">
        <f t="shared" si="2"/>
        <v>-72442.8</v>
      </c>
      <c r="I9" s="17">
        <f t="shared" si="4"/>
        <v>-0.58517033420626219</v>
      </c>
      <c r="J9" s="40" t="s">
        <v>38</v>
      </c>
      <c r="K9" s="74"/>
      <c r="L9" s="74"/>
    </row>
    <row r="10" spans="1:15" ht="43.15">
      <c r="A10" s="30" t="str">
        <v>Topsham - Solarize LLC</v>
      </c>
      <c r="B10" s="27" t="str">
        <v>ME</v>
      </c>
      <c r="C10" s="22">
        <v>58384</v>
      </c>
      <c r="D10" s="12">
        <v>86203.839999999997</v>
      </c>
      <c r="E10" s="12">
        <f t="shared" si="0"/>
        <v>-27819.839999999997</v>
      </c>
      <c r="F10" s="13">
        <f t="shared" si="1"/>
        <v>-0.32272158641656795</v>
      </c>
      <c r="G10" s="14">
        <v>76396</v>
      </c>
      <c r="H10" s="14">
        <f t="shared" si="2"/>
        <v>-18012</v>
      </c>
      <c r="I10" s="15">
        <f t="shared" si="3"/>
        <v>-0.23577150636158961</v>
      </c>
      <c r="J10" s="39" t="s">
        <v>39</v>
      </c>
      <c r="K10" s="73"/>
      <c r="L10" s="50"/>
      <c r="N10" s="75"/>
      <c r="O10" s="110"/>
    </row>
    <row r="11" spans="1:15" ht="28.9">
      <c r="A11" s="28" t="str">
        <v>Cherryfield - 727 North Main St (IRA)</v>
      </c>
      <c r="B11" s="29" t="str">
        <v>ME</v>
      </c>
      <c r="C11" s="11">
        <v>140386</v>
      </c>
      <c r="D11" s="16">
        <v>200499</v>
      </c>
      <c r="E11" s="16">
        <f t="shared" si="0"/>
        <v>-60113</v>
      </c>
      <c r="F11" s="17">
        <f t="shared" si="1"/>
        <v>-0.29981695669305086</v>
      </c>
      <c r="G11" s="18">
        <v>150911.29999999999</v>
      </c>
      <c r="H11" s="18">
        <f t="shared" si="2"/>
        <v>-10525.299999999988</v>
      </c>
      <c r="I11" s="17">
        <f t="shared" si="4"/>
        <v>-6.974494289029376E-2</v>
      </c>
      <c r="J11" s="40" t="s">
        <v>40</v>
      </c>
      <c r="K11" s="74" t="s">
        <v>41</v>
      </c>
      <c r="L11" s="114" t="s">
        <v>37</v>
      </c>
      <c r="M11" s="75" t="s">
        <v>42</v>
      </c>
    </row>
    <row r="12" spans="1:15" ht="28.9">
      <c r="A12" s="30" t="str">
        <v>ME: Bucksport - 258 Route 1 (IRA)</v>
      </c>
      <c r="B12" s="27" t="str">
        <v>ME</v>
      </c>
      <c r="C12" s="22">
        <v>123392</v>
      </c>
      <c r="D12" s="12">
        <v>238592.704</v>
      </c>
      <c r="E12" s="12">
        <f t="shared" si="0"/>
        <v>-115200.704</v>
      </c>
      <c r="F12" s="13">
        <f t="shared" si="1"/>
        <v>-0.48283414399796565</v>
      </c>
      <c r="G12" s="14">
        <v>280249.31800000003</v>
      </c>
      <c r="H12" s="14">
        <f t="shared" si="2"/>
        <v>-156857.31800000003</v>
      </c>
      <c r="I12" s="15">
        <f t="shared" si="3"/>
        <v>-0.55970633263057579</v>
      </c>
      <c r="J12" s="39" t="s">
        <v>38</v>
      </c>
      <c r="K12" s="73"/>
      <c r="L12" s="50"/>
      <c r="N12" s="75"/>
      <c r="O12" s="110"/>
    </row>
    <row r="13" spans="1:15" ht="43.15">
      <c r="A13" s="28" t="str">
        <v>ME: Union - Route 131 (IRA)</v>
      </c>
      <c r="B13" s="29" t="str">
        <v>ME</v>
      </c>
      <c r="C13" s="11">
        <v>148160.25</v>
      </c>
      <c r="D13" s="16">
        <v>224434.6</v>
      </c>
      <c r="E13" s="16">
        <f t="shared" si="0"/>
        <v>-76274.350000000006</v>
      </c>
      <c r="F13" s="17">
        <f t="shared" si="1"/>
        <v>-0.33985111921245659</v>
      </c>
      <c r="G13" s="18">
        <v>147799</v>
      </c>
      <c r="H13" s="18">
        <f t="shared" si="2"/>
        <v>361.25</v>
      </c>
      <c r="I13" s="17">
        <f t="shared" si="4"/>
        <v>2.4441978633143661E-3</v>
      </c>
      <c r="J13" s="40" t="s">
        <v>43</v>
      </c>
      <c r="K13" s="74"/>
      <c r="L13" s="74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15"/>
      <c r="L14" s="115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15"/>
      <c r="L15" s="115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15"/>
      <c r="L16" s="115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15"/>
      <c r="L17" s="115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15"/>
      <c r="L18" s="115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15"/>
      <c r="L19" s="115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15"/>
      <c r="L20" s="115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15"/>
      <c r="L21" s="115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15"/>
      <c r="L22" s="115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15"/>
      <c r="L23" s="115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15"/>
      <c r="L24" s="115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15"/>
      <c r="L25" s="115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15"/>
      <c r="L26" s="115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15"/>
      <c r="L27" s="115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15"/>
      <c r="L28" s="115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15"/>
      <c r="L29" s="115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15"/>
      <c r="L30" s="115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15"/>
      <c r="L31" s="115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15"/>
      <c r="L32" s="115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15"/>
      <c r="L33" s="115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15"/>
      <c r="L34" s="115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15"/>
      <c r="L35" s="115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15"/>
      <c r="L36" s="115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15"/>
      <c r="L37" s="115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15"/>
      <c r="L38" s="115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15"/>
      <c r="L39" s="115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15"/>
      <c r="L40" s="115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15"/>
      <c r="L41" s="115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15"/>
      <c r="L42" s="115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15"/>
      <c r="L43" s="115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15"/>
      <c r="L44" s="115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15"/>
      <c r="L45" s="115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15"/>
      <c r="L46" s="115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15"/>
      <c r="L47" s="115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15"/>
      <c r="L48" s="115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15"/>
      <c r="L49" s="115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15"/>
      <c r="L50" s="115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15"/>
      <c r="L51" s="115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15"/>
      <c r="L52" s="115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15"/>
      <c r="L53" s="115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15"/>
      <c r="L54" s="115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15"/>
      <c r="L55" s="115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15"/>
      <c r="L56" s="115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15"/>
      <c r="L57" s="115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15"/>
      <c r="L58" s="115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15"/>
      <c r="L59" s="115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15"/>
      <c r="L60" s="115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15"/>
      <c r="L61" s="115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15"/>
      <c r="L62" s="115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15"/>
      <c r="L63" s="115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15"/>
      <c r="L64" s="115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15"/>
      <c r="L65" s="115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15"/>
      <c r="L66" s="115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15"/>
      <c r="L67" s="115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15"/>
      <c r="L68" s="115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15"/>
      <c r="L69" s="115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15"/>
      <c r="L70" s="115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15"/>
      <c r="L71" s="115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15"/>
      <c r="L72" s="115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15"/>
      <c r="L73" s="115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15"/>
      <c r="L74" s="115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15"/>
      <c r="L75" s="115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15"/>
      <c r="L76" s="115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15"/>
      <c r="L77" s="115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15"/>
      <c r="L78" s="115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15"/>
      <c r="L79" s="115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15"/>
      <c r="L80" s="115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15"/>
      <c r="L81" s="115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15"/>
      <c r="L82" s="115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15"/>
      <c r="L83" s="115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15"/>
      <c r="L84" s="115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15"/>
      <c r="L85" s="115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15"/>
      <c r="L86" s="115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15"/>
      <c r="L87" s="115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15"/>
      <c r="L88" s="115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15"/>
      <c r="L89" s="115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15"/>
      <c r="L90" s="115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15"/>
      <c r="L91" s="115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15"/>
      <c r="L92" s="115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15"/>
      <c r="L93" s="115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15"/>
      <c r="L94" s="115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15"/>
      <c r="L95" s="115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15"/>
      <c r="L96" s="115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15"/>
      <c r="L97" s="115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15"/>
      <c r="L98" s="115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15"/>
      <c r="L99" s="115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15"/>
      <c r="L100" s="115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15"/>
      <c r="L101" s="115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15"/>
      <c r="L102" s="115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15"/>
      <c r="L103" s="115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15"/>
      <c r="L104" s="115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15"/>
      <c r="L105" s="115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15"/>
      <c r="L106" s="115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15"/>
      <c r="L107" s="115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15"/>
      <c r="L108" s="115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15"/>
      <c r="L109" s="115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15"/>
      <c r="L110" s="115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15"/>
      <c r="L111" s="115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15"/>
      <c r="L112" s="115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15"/>
      <c r="L113" s="115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15"/>
      <c r="L114" s="115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15"/>
      <c r="L115" s="115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15"/>
      <c r="L116" s="115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15"/>
      <c r="L117" s="115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15"/>
      <c r="L118" s="115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15"/>
      <c r="L119" s="115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15"/>
      <c r="L120" s="115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15"/>
      <c r="L121" s="115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15"/>
      <c r="L122" s="115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15"/>
      <c r="L123" s="115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15"/>
      <c r="L124" s="115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15"/>
      <c r="L125" s="115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15"/>
      <c r="L126" s="115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15"/>
      <c r="L127" s="115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15"/>
      <c r="L128" s="115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15"/>
      <c r="L129" s="115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15"/>
      <c r="L130" s="115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15"/>
      <c r="L131" s="115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15"/>
      <c r="L132" s="115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15"/>
      <c r="L133" s="115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15"/>
      <c r="L134" s="115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15"/>
      <c r="L135" s="115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15"/>
      <c r="L136" s="115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15"/>
      <c r="L137" s="115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15"/>
      <c r="L138" s="115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15"/>
      <c r="L139" s="115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15"/>
      <c r="L140" s="115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15"/>
      <c r="L141" s="115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15"/>
      <c r="L142" s="115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15"/>
      <c r="L143" s="115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15"/>
      <c r="L144" s="115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15"/>
      <c r="L145" s="115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15"/>
      <c r="L146" s="115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15"/>
      <c r="L147" s="115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15"/>
      <c r="L148" s="115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15"/>
      <c r="L149" s="115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15"/>
      <c r="L150" s="115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15"/>
      <c r="L151" s="115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15"/>
      <c r="L152" s="115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15"/>
      <c r="L153" s="115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15"/>
      <c r="L154" s="115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15"/>
      <c r="L155" s="115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15"/>
      <c r="L156" s="115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15"/>
      <c r="L157" s="115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15"/>
      <c r="L158" s="115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15"/>
      <c r="L159" s="115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15"/>
      <c r="L160" s="115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15"/>
      <c r="L161" s="115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15"/>
      <c r="L162" s="115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15"/>
      <c r="L163" s="115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15"/>
      <c r="L164" s="115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15"/>
      <c r="L165" s="115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15"/>
      <c r="L166" s="115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15"/>
      <c r="L167" s="115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15"/>
      <c r="L168" s="115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15"/>
      <c r="L169" s="115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15"/>
      <c r="L170" s="115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15"/>
      <c r="L171" s="115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15"/>
      <c r="L172" s="115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15"/>
      <c r="L173" s="115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15"/>
      <c r="L174" s="115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15"/>
      <c r="L175" s="115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15"/>
      <c r="L176" s="115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15"/>
      <c r="L177" s="115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15"/>
      <c r="L178" s="115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15"/>
      <c r="L179" s="115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15"/>
      <c r="L180" s="115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15"/>
      <c r="L181" s="115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15"/>
      <c r="L182" s="115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15"/>
      <c r="L183" s="115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15"/>
      <c r="L184" s="115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15"/>
      <c r="L185" s="115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15"/>
      <c r="L186" s="115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15"/>
      <c r="L187" s="115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15"/>
      <c r="L188" s="115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15"/>
      <c r="L189" s="115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15"/>
      <c r="L190" s="115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15"/>
      <c r="L191" s="115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15"/>
      <c r="L192" s="115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15"/>
      <c r="L193" s="115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15"/>
      <c r="L194" s="115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15"/>
      <c r="L195" s="115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15"/>
      <c r="L196" s="115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15"/>
      <c r="L197" s="115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15"/>
      <c r="L198" s="115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15"/>
      <c r="L199" s="115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15"/>
      <c r="L200" s="115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15"/>
      <c r="L201" s="115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15"/>
      <c r="L202" s="115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15"/>
      <c r="L203" s="115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15"/>
      <c r="L204" s="115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15"/>
      <c r="L205" s="115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15"/>
      <c r="L206" s="115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15"/>
      <c r="L207" s="115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15"/>
      <c r="L208" s="115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15"/>
      <c r="L209" s="115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15"/>
      <c r="L210" s="115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15"/>
      <c r="L211" s="115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15"/>
      <c r="L212" s="115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15"/>
      <c r="L213" s="115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15"/>
      <c r="L214" s="115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15"/>
      <c r="L215" s="115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15"/>
      <c r="L216" s="115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15"/>
      <c r="L217" s="115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15"/>
      <c r="L218" s="115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15"/>
      <c r="L219" s="115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15"/>
      <c r="L220" s="115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15"/>
      <c r="L221" s="115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15"/>
      <c r="L222" s="115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15"/>
      <c r="L223" s="115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15"/>
      <c r="L224" s="115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15"/>
      <c r="L225" s="115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15"/>
      <c r="L226" s="115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15"/>
      <c r="L227" s="115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15"/>
      <c r="L228" s="115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15"/>
      <c r="L229" s="115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15"/>
      <c r="L230" s="115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15"/>
      <c r="L231" s="115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15"/>
      <c r="L232" s="115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15"/>
      <c r="L233" s="115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15"/>
      <c r="L234" s="115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15"/>
      <c r="L235" s="115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15"/>
      <c r="L236" s="115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15"/>
      <c r="L237" s="115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15"/>
      <c r="L238" s="115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15"/>
      <c r="L239" s="115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15"/>
      <c r="L240" s="115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15"/>
      <c r="L241" s="115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15"/>
      <c r="L242" s="115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15"/>
      <c r="L243" s="115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15"/>
      <c r="L244" s="115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15"/>
      <c r="L245" s="115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15"/>
      <c r="L246" s="115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15"/>
      <c r="L247" s="115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15"/>
      <c r="L248" s="115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15"/>
      <c r="L249" s="115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15"/>
      <c r="L250" s="115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15"/>
      <c r="L251" s="115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15"/>
      <c r="L252" s="115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15"/>
      <c r="L253" s="115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15"/>
      <c r="L254" s="115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15"/>
      <c r="L255" s="115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15"/>
      <c r="L256" s="115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15"/>
      <c r="L257" s="115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15"/>
      <c r="L258" s="115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15"/>
      <c r="L259" s="115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15"/>
      <c r="L260" s="115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15"/>
      <c r="L261" s="115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15"/>
      <c r="L262" s="115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15"/>
      <c r="L263" s="115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15"/>
      <c r="L264" s="115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15"/>
      <c r="L265" s="115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15"/>
      <c r="L266" s="115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15"/>
      <c r="L267" s="115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15"/>
      <c r="L268" s="115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15"/>
      <c r="L269" s="115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15"/>
      <c r="L270" s="115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15"/>
      <c r="L271" s="115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15"/>
      <c r="L272" s="115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15"/>
      <c r="L273" s="115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15"/>
      <c r="L274" s="115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15"/>
      <c r="L275" s="115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15"/>
      <c r="L276" s="115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15"/>
      <c r="L277" s="115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15"/>
      <c r="L278" s="115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15"/>
      <c r="L279" s="115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15"/>
      <c r="L280" s="115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15"/>
      <c r="L281" s="115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15"/>
      <c r="L282" s="115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15"/>
      <c r="L283" s="115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15"/>
      <c r="L284" s="115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15"/>
      <c r="L285" s="115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15"/>
      <c r="L286" s="115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15"/>
      <c r="L287" s="115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15"/>
      <c r="L288" s="115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15"/>
      <c r="L289" s="115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15"/>
      <c r="L290" s="115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15"/>
      <c r="L291" s="115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15"/>
      <c r="L292" s="115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15"/>
      <c r="L293" s="115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15"/>
      <c r="L294" s="115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15"/>
      <c r="L295" s="115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15"/>
      <c r="L296" s="115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15"/>
      <c r="L297" s="115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15"/>
      <c r="L298" s="115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15"/>
      <c r="L299" s="115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15"/>
      <c r="L300" s="115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15"/>
      <c r="L301" s="115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15"/>
      <c r="L302" s="115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15"/>
      <c r="L303" s="115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15"/>
      <c r="L304" s="115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15"/>
      <c r="L305" s="115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15"/>
      <c r="L306" s="115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15"/>
      <c r="L307" s="115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15"/>
      <c r="L308" s="115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15"/>
      <c r="L309" s="115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15"/>
      <c r="L310" s="115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15"/>
      <c r="L311" s="115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15"/>
      <c r="L312" s="115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15"/>
      <c r="L313" s="115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15"/>
      <c r="L314" s="115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15"/>
      <c r="L315" s="115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15"/>
      <c r="L316" s="115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15"/>
      <c r="L317" s="115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15"/>
      <c r="L318" s="115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15"/>
      <c r="L319" s="115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15"/>
      <c r="L320" s="115"/>
    </row>
  </sheetData>
  <mergeCells count="4">
    <mergeCell ref="D1:F1"/>
    <mergeCell ref="A1:C1"/>
    <mergeCell ref="G1:I1"/>
    <mergeCell ref="A2:B2"/>
  </mergeCells>
  <conditionalFormatting sqref="F2 I2">
    <cfRule type="cellIs" dxfId="30" priority="28" stopIfTrue="1" operator="lessThanOrEqual">
      <formula>-0.1</formula>
    </cfRule>
    <cfRule type="expression" dxfId="29" priority="29">
      <formula>AND(ISNUMBER(F2), F2&gt;=0.1)</formula>
    </cfRule>
  </conditionalFormatting>
  <conditionalFormatting sqref="F4:F78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hyperlinks>
    <hyperlink ref="K6" r:id="rId1" display="https://us3.assetplanner.com/service_request?ID=107541" xr:uid="{4E606068-C65F-4F59-98C9-C73F4E82C6AB}"/>
    <hyperlink ref="M6" r:id="rId2" display="https://us3.assetplanner.com/service_request?ID=114719" xr:uid="{35156A73-F5E2-43CB-A906-84471B07C389}"/>
    <hyperlink ref="N6" r:id="rId3" display="https://us3.assetplanner.com/service_request?ID=114802" xr:uid="{E420622A-495E-45BD-8BDA-989AD3BD4D70}"/>
    <hyperlink ref="K7" r:id="rId4" display="https://us3.assetplanner.com/service_request?ID=110034" xr:uid="{99670733-7934-411A-B91F-92FAB21AF994}"/>
    <hyperlink ref="M7" r:id="rId5" display="https://us3.assetplanner.com/service_request?ID=114720" xr:uid="{A31AB315-1128-4B7E-9860-B9F9D0DC6DB1}"/>
    <hyperlink ref="N7" r:id="rId6" display="https://us3.assetplanner.com/service_request?ID=114803" xr:uid="{448337C6-A852-4352-9F68-DA03B9AE6523}"/>
    <hyperlink ref="K8" r:id="rId7" display="https://us3.assetplanner.com/service_request?ID=113647" xr:uid="{48213F8E-80AC-4287-8257-A01805BAE910}"/>
    <hyperlink ref="K11" r:id="rId8" display="https://us3.assetplanner.com/service_request?ID=115445" xr:uid="{42368E6D-44E0-4CB4-9877-137080331ABE}"/>
    <hyperlink ref="M11" r:id="rId9" display="https://us3.assetplanner.com/service_request?ID=115446" xr:uid="{C5E625A7-789E-491D-B4A1-11F1C77DB2DB}"/>
  </hyperlinks>
  <pageMargins left="0.4" right="0.7" top="0.25" bottom="0.25" header="0.3" footer="0.3"/>
  <pageSetup fitToHeight="99" orientation="landscape"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60" zoomScaleNormal="60" workbookViewId="0">
      <pane xSplit="2" ySplit="3" topLeftCell="C4" activePane="bottomRight" state="frozen"/>
      <selection pane="bottomRight" activeCell="A4" sqref="A4:XFD4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ALIGNED</v>
      </c>
      <c r="B1" s="117"/>
      <c r="C1" s="117"/>
      <c r="D1" s="118" t="s">
        <v>44</v>
      </c>
      <c r="E1" s="118"/>
      <c r="F1" s="118"/>
      <c r="G1" s="116" t="s">
        <v>45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65" t="str" cm="1">
        <f t="array" ref="A4:A13">Sites[Site]</f>
        <v>Conway -US 302 and Stirch Road</v>
      </c>
      <c r="B4" s="60" t="str" cm="1">
        <f t="array" ref="B4:B13">Sites[State]</f>
        <v>NH</v>
      </c>
      <c r="C4" s="66"/>
      <c r="D4" s="61"/>
      <c r="E4" s="61" t="str">
        <f>IF(AND(ISNUMBER(C4),ISNUMBER(D4)), C4-D4, "")</f>
        <v/>
      </c>
      <c r="F4" s="56" t="str">
        <f>IFERROR(E4/D4, "")</f>
        <v/>
      </c>
      <c r="G4" s="68"/>
      <c r="H4" s="63" t="str">
        <f>IF(AND(ISNUMBER(C4),ISNUMBER(G4)), C4-G4, "")</f>
        <v/>
      </c>
      <c r="I4" s="62" t="str">
        <f>IFERROR(H4/G4, "")</f>
        <v/>
      </c>
      <c r="J4" s="64"/>
      <c r="K4" s="71"/>
    </row>
    <row r="5" spans="1:11" ht="15.6">
      <c r="A5" s="54" t="str">
        <v>Loudon - 7046 Pleasant Street</v>
      </c>
      <c r="B5" s="55" t="str">
        <v>NH</v>
      </c>
      <c r="C5" s="59"/>
      <c r="D5" s="16"/>
      <c r="E5" s="16" t="str">
        <f t="shared" ref="E5:E6" si="0">IF(AND(ISNUMBER(C5),ISNUMBER(D5)), C5-D5, "")</f>
        <v/>
      </c>
      <c r="F5" s="56" t="str">
        <f t="shared" ref="F5:F6" si="1">IFERROR(E5/D5, "")</f>
        <v/>
      </c>
      <c r="G5" s="57"/>
      <c r="H5" s="57" t="str">
        <f t="shared" ref="H5:H6" si="2">IF(AND(ISNUMBER(C5),ISNUMBER(G5)), C5-G5, "")</f>
        <v/>
      </c>
      <c r="I5" s="56" t="str">
        <f t="shared" ref="I5:I6" si="3">IFERROR(H5/G5, "")</f>
        <v/>
      </c>
      <c r="J5" s="58"/>
      <c r="K5" s="58"/>
    </row>
    <row r="6" spans="1:11" ht="15.6">
      <c r="A6" s="48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7" t="str">
        <f t="shared" si="1"/>
        <v/>
      </c>
      <c r="G6" s="14"/>
      <c r="H6" s="14" t="str">
        <f t="shared" si="2"/>
        <v/>
      </c>
      <c r="I6" s="15" t="str">
        <f t="shared" si="3"/>
        <v/>
      </c>
      <c r="J6" s="39"/>
      <c r="K6" s="72"/>
    </row>
    <row r="7" spans="1:11" ht="15.6">
      <c r="A7" s="54" t="str">
        <v>Nashua - Pennichuck Water West</v>
      </c>
      <c r="B7" s="55" t="str">
        <v>NH</v>
      </c>
      <c r="C7" s="59"/>
      <c r="D7" s="16"/>
      <c r="E7" s="16" t="str">
        <f t="shared" ref="E7:E13" si="4">IF(AND(ISNUMBER(C7),ISNUMBER(D7)), C7-D7, "")</f>
        <v/>
      </c>
      <c r="F7" s="56" t="str">
        <f t="shared" ref="F7:F13" si="5">IFERROR(E7/D7, "")</f>
        <v/>
      </c>
      <c r="G7" s="57"/>
      <c r="H7" s="57" t="str">
        <f t="shared" ref="H7:H13" si="6">IF(AND(ISNUMBER(C7),ISNUMBER(G7)), C7-G7, "")</f>
        <v/>
      </c>
      <c r="I7" s="56" t="str">
        <f t="shared" ref="I7:I13" si="7">IFERROR(H7/G7, "")</f>
        <v/>
      </c>
      <c r="J7" s="58"/>
      <c r="K7" s="58"/>
    </row>
    <row r="8" spans="1:11" ht="15.6">
      <c r="A8" s="48" t="str">
        <v>Boothbay - Wiscasset Road</v>
      </c>
      <c r="B8" s="27" t="str">
        <v>ME</v>
      </c>
      <c r="C8" s="22"/>
      <c r="D8" s="12"/>
      <c r="E8" s="12" t="str">
        <f t="shared" si="4"/>
        <v/>
      </c>
      <c r="F8" s="17" t="str">
        <f t="shared" si="5"/>
        <v/>
      </c>
      <c r="G8" s="14"/>
      <c r="H8" s="14" t="str">
        <f t="shared" si="6"/>
        <v/>
      </c>
      <c r="I8" s="15" t="str">
        <f t="shared" si="7"/>
        <v/>
      </c>
      <c r="J8" s="39"/>
      <c r="K8" s="72"/>
    </row>
    <row r="9" spans="1:11" ht="15.6">
      <c r="A9" s="54" t="str">
        <v>Thorndike -  Leonard Road</v>
      </c>
      <c r="B9" s="55" t="str">
        <v>ME</v>
      </c>
      <c r="C9" s="59"/>
      <c r="D9" s="16"/>
      <c r="E9" s="16" t="str">
        <f t="shared" si="4"/>
        <v/>
      </c>
      <c r="F9" s="56" t="str">
        <f t="shared" si="5"/>
        <v/>
      </c>
      <c r="G9" s="57"/>
      <c r="H9" s="57" t="str">
        <f t="shared" si="6"/>
        <v/>
      </c>
      <c r="I9" s="56" t="str">
        <f t="shared" si="7"/>
        <v/>
      </c>
      <c r="J9" s="58"/>
      <c r="K9" s="58"/>
    </row>
    <row r="10" spans="1:11" ht="15.6">
      <c r="A10" s="48" t="str">
        <v>Topsham - Solarize LLC</v>
      </c>
      <c r="B10" s="27" t="str">
        <v>ME</v>
      </c>
      <c r="C10" s="22"/>
      <c r="D10" s="12"/>
      <c r="E10" s="12" t="str">
        <f t="shared" si="4"/>
        <v/>
      </c>
      <c r="F10" s="17" t="str">
        <f t="shared" si="5"/>
        <v/>
      </c>
      <c r="G10" s="14"/>
      <c r="H10" s="14" t="str">
        <f t="shared" si="6"/>
        <v/>
      </c>
      <c r="I10" s="15" t="str">
        <f t="shared" si="7"/>
        <v/>
      </c>
      <c r="J10" s="39"/>
      <c r="K10" s="72"/>
    </row>
    <row r="11" spans="1:11" ht="15.6">
      <c r="A11" s="54" t="str">
        <v>Cherryfield - 727 North Main St (IRA)</v>
      </c>
      <c r="B11" s="55" t="str">
        <v>ME</v>
      </c>
      <c r="C11" s="59"/>
      <c r="D11" s="16"/>
      <c r="E11" s="16" t="str">
        <f t="shared" si="4"/>
        <v/>
      </c>
      <c r="F11" s="56" t="str">
        <f t="shared" si="5"/>
        <v/>
      </c>
      <c r="G11" s="57"/>
      <c r="H11" s="57" t="str">
        <f t="shared" si="6"/>
        <v/>
      </c>
      <c r="I11" s="56" t="str">
        <f t="shared" si="7"/>
        <v/>
      </c>
      <c r="J11" s="58"/>
      <c r="K11" s="58"/>
    </row>
    <row r="12" spans="1:11" ht="15.6">
      <c r="A12" s="48" t="str">
        <v>ME: Bucksport - 258 Route 1 (IRA)</v>
      </c>
      <c r="B12" s="27" t="str">
        <v>ME</v>
      </c>
      <c r="C12" s="22"/>
      <c r="D12" s="12"/>
      <c r="E12" s="12" t="str">
        <f t="shared" si="4"/>
        <v/>
      </c>
      <c r="F12" s="17" t="str">
        <f t="shared" si="5"/>
        <v/>
      </c>
      <c r="G12" s="14"/>
      <c r="H12" s="14" t="str">
        <f t="shared" si="6"/>
        <v/>
      </c>
      <c r="I12" s="15" t="str">
        <f t="shared" si="7"/>
        <v/>
      </c>
      <c r="J12" s="39"/>
      <c r="K12" s="72"/>
    </row>
    <row r="13" spans="1:11" ht="15.6">
      <c r="A13" s="54" t="str">
        <v>ME: Union - Route 131 (IRA)</v>
      </c>
      <c r="B13" s="55" t="str">
        <v>ME</v>
      </c>
      <c r="C13" s="59"/>
      <c r="D13" s="16"/>
      <c r="E13" s="16" t="str">
        <f t="shared" si="4"/>
        <v/>
      </c>
      <c r="F13" s="56" t="str">
        <f t="shared" si="5"/>
        <v/>
      </c>
      <c r="G13" s="57"/>
      <c r="H13" s="57" t="str">
        <f t="shared" si="6"/>
        <v/>
      </c>
      <c r="I13" s="56" t="str">
        <f t="shared" si="7"/>
        <v/>
      </c>
      <c r="J13" s="58"/>
      <c r="K13" s="58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C319" s="19"/>
      <c r="D319" s="19"/>
      <c r="E319" s="19"/>
      <c r="F319" s="20"/>
      <c r="G319" s="19"/>
      <c r="H319" s="19"/>
      <c r="I319" s="20"/>
      <c r="J319" s="19"/>
      <c r="K319" s="19"/>
    </row>
  </sheetData>
  <mergeCells count="4">
    <mergeCell ref="G1:I1"/>
    <mergeCell ref="A1:C1"/>
    <mergeCell ref="D1:F1"/>
    <mergeCell ref="A2:B2"/>
  </mergeCells>
  <conditionalFormatting sqref="F2 I2 I6 I8 I10 I12 F14:F77 I14:I77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6 F8 F10 F12">
    <cfRule type="cellIs" dxfId="24" priority="1" stopIfTrue="1" operator="lessThanOrEqual">
      <formula>-0.1</formula>
    </cfRule>
    <cfRule type="expression" dxfId="23" priority="2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="60" zoomScaleNormal="60" workbookViewId="0">
      <pane xSplit="2" ySplit="3" topLeftCell="C4" activePane="bottomRight" state="frozen"/>
      <selection pane="bottomRight" activeCell="J32" sqref="J32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117" t="str" cm="1">
        <f t="array" ref="A1">portfolio</f>
        <v>ALIGNED</v>
      </c>
      <c r="B1" s="117"/>
      <c r="C1" s="117"/>
      <c r="D1" s="118" t="s">
        <v>46</v>
      </c>
      <c r="E1" s="118"/>
      <c r="F1" s="118"/>
      <c r="G1" s="116" t="s">
        <v>47</v>
      </c>
      <c r="H1" s="116"/>
      <c r="I1" s="116"/>
      <c r="J1" s="4"/>
      <c r="K1" s="4"/>
    </row>
    <row r="2" spans="1:13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67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70"/>
      <c r="H4" s="14" t="str">
        <f>IF(AND(ISNUMBER(C4),ISNUMBER(G4)), C4-G4, "")</f>
        <v/>
      </c>
      <c r="I4" s="15" t="str">
        <f>IFERROR(H4/G4, "")</f>
        <v/>
      </c>
      <c r="J4" s="50"/>
      <c r="K4" s="73"/>
      <c r="L4" s="75"/>
      <c r="M4" s="75"/>
    </row>
    <row r="5" spans="1:13" ht="15.6">
      <c r="A5" s="28" t="str">
        <v>Loudon - 7046 Pleasant Street</v>
      </c>
      <c r="B5" s="29" t="str">
        <v>NH</v>
      </c>
      <c r="C5" s="11"/>
      <c r="D5" s="16"/>
      <c r="E5" s="16" t="str">
        <f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 t="shared" ref="I5:I6" si="0">IFERROR(H5/G5, "")</f>
        <v/>
      </c>
      <c r="J5" s="40"/>
      <c r="K5" s="74"/>
      <c r="L5" s="76"/>
      <c r="M5" s="76"/>
    </row>
    <row r="6" spans="1:13" ht="15.6">
      <c r="A6" s="26" t="str">
        <v>Nashua - Pennichuck Water  East</v>
      </c>
      <c r="B6" s="27" t="str">
        <v>NH</v>
      </c>
      <c r="C6" s="22"/>
      <c r="D6" s="12"/>
      <c r="E6" s="12" t="str">
        <f>IF(AND(ISNUMBER(C6),ISNUMBER(D6)), C6-D6, "")</f>
        <v/>
      </c>
      <c r="F6" s="13" t="str">
        <f>IFERROR(E6/D6, "")</f>
        <v/>
      </c>
      <c r="G6" s="14"/>
      <c r="H6" s="14" t="str">
        <f>IF(AND(ISNUMBER(C6),ISNUMBER(G6)), C6-G6, "")</f>
        <v/>
      </c>
      <c r="I6" s="15" t="str">
        <f t="shared" si="0"/>
        <v/>
      </c>
      <c r="J6" s="39"/>
      <c r="K6" s="72"/>
      <c r="L6" s="76"/>
      <c r="M6" s="76"/>
    </row>
    <row r="7" spans="1:13" ht="15.6">
      <c r="A7" s="28" t="str">
        <v>Nashua - Pennichuck Water West</v>
      </c>
      <c r="B7" s="29" t="str">
        <v>NH</v>
      </c>
      <c r="C7" s="11"/>
      <c r="D7" s="16"/>
      <c r="E7" s="16" t="str">
        <f t="shared" ref="E7:E13" si="1">IF(AND(ISNUMBER(C7),ISNUMBER(D7)), C7-D7, "")</f>
        <v/>
      </c>
      <c r="F7" s="17" t="str">
        <f t="shared" ref="F7:F13" si="2">IFERROR(E7/D7, "")</f>
        <v/>
      </c>
      <c r="G7" s="18"/>
      <c r="H7" s="18" t="str">
        <f t="shared" ref="H7:H13" si="3">IF(AND(ISNUMBER(C7),ISNUMBER(G7)), C7-G7, "")</f>
        <v/>
      </c>
      <c r="I7" s="17" t="str">
        <f t="shared" ref="I7:I13" si="4">IFERROR(H7/G7, "")</f>
        <v/>
      </c>
      <c r="J7" s="40"/>
      <c r="K7" s="74"/>
      <c r="L7" s="76"/>
      <c r="M7" s="76"/>
    </row>
    <row r="8" spans="1:13" ht="15.6">
      <c r="A8" s="26" t="str">
        <v>Boothbay - Wiscasset Road</v>
      </c>
      <c r="B8" s="27" t="str">
        <v>ME</v>
      </c>
      <c r="C8" s="22"/>
      <c r="D8" s="12"/>
      <c r="E8" s="12" t="str">
        <f t="shared" si="1"/>
        <v/>
      </c>
      <c r="F8" s="13" t="str">
        <f t="shared" si="2"/>
        <v/>
      </c>
      <c r="G8" s="14"/>
      <c r="H8" s="14" t="str">
        <f t="shared" si="3"/>
        <v/>
      </c>
      <c r="I8" s="15" t="str">
        <f t="shared" si="4"/>
        <v/>
      </c>
      <c r="J8" s="39"/>
      <c r="K8" s="72"/>
    </row>
    <row r="9" spans="1:13" ht="15.6">
      <c r="A9" s="28" t="str">
        <v>Thorndike -  Leonard Road</v>
      </c>
      <c r="B9" s="29" t="str">
        <v>ME</v>
      </c>
      <c r="C9" s="11"/>
      <c r="D9" s="16"/>
      <c r="E9" s="16" t="str">
        <f t="shared" si="1"/>
        <v/>
      </c>
      <c r="F9" s="17" t="str">
        <f t="shared" si="2"/>
        <v/>
      </c>
      <c r="G9" s="18"/>
      <c r="H9" s="18" t="str">
        <f t="shared" si="3"/>
        <v/>
      </c>
      <c r="I9" s="17" t="str">
        <f t="shared" si="4"/>
        <v/>
      </c>
      <c r="J9" s="40"/>
      <c r="K9" s="74"/>
    </row>
    <row r="10" spans="1:13" ht="15.6">
      <c r="A10" s="26" t="str">
        <v>Topsham - Solarize LLC</v>
      </c>
      <c r="B10" s="27" t="str">
        <v>ME</v>
      </c>
      <c r="C10" s="22"/>
      <c r="D10" s="12"/>
      <c r="E10" s="12" t="str">
        <f t="shared" si="1"/>
        <v/>
      </c>
      <c r="F10" s="13" t="str">
        <f t="shared" si="2"/>
        <v/>
      </c>
      <c r="G10" s="14"/>
      <c r="H10" s="14" t="str">
        <f t="shared" si="3"/>
        <v/>
      </c>
      <c r="I10" s="15" t="str">
        <f t="shared" si="4"/>
        <v/>
      </c>
      <c r="J10" s="39"/>
      <c r="K10" s="72"/>
    </row>
    <row r="11" spans="1:13" ht="15.6">
      <c r="A11" s="28" t="str">
        <v>Cherryfield - 727 North Main St (IRA)</v>
      </c>
      <c r="B11" s="29" t="str">
        <v>ME</v>
      </c>
      <c r="C11" s="11"/>
      <c r="D11" s="16"/>
      <c r="E11" s="16" t="str">
        <f t="shared" si="1"/>
        <v/>
      </c>
      <c r="F11" s="17" t="str">
        <f t="shared" si="2"/>
        <v/>
      </c>
      <c r="G11" s="18"/>
      <c r="H11" s="18" t="str">
        <f t="shared" si="3"/>
        <v/>
      </c>
      <c r="I11" s="17" t="str">
        <f t="shared" si="4"/>
        <v/>
      </c>
      <c r="J11" s="40"/>
      <c r="K11" s="74"/>
    </row>
    <row r="12" spans="1:13" ht="15.6">
      <c r="A12" s="26" t="str">
        <v>ME: Bucksport - 258 Route 1 (IRA)</v>
      </c>
      <c r="B12" s="27" t="str">
        <v>ME</v>
      </c>
      <c r="C12" s="22"/>
      <c r="D12" s="12"/>
      <c r="E12" s="12" t="str">
        <f t="shared" si="1"/>
        <v/>
      </c>
      <c r="F12" s="13" t="str">
        <f t="shared" si="2"/>
        <v/>
      </c>
      <c r="G12" s="14"/>
      <c r="H12" s="14" t="str">
        <f t="shared" si="3"/>
        <v/>
      </c>
      <c r="I12" s="15" t="str">
        <f t="shared" si="4"/>
        <v/>
      </c>
      <c r="J12" s="39"/>
      <c r="K12" s="72"/>
    </row>
    <row r="13" spans="1:13" ht="15.6">
      <c r="A13" s="28" t="str">
        <v>ME: Union - Route 131 (IRA)</v>
      </c>
      <c r="B13" s="29" t="str">
        <v>ME</v>
      </c>
      <c r="C13" s="11"/>
      <c r="D13" s="16"/>
      <c r="E13" s="16" t="str">
        <f t="shared" si="1"/>
        <v/>
      </c>
      <c r="F13" s="17" t="str">
        <f t="shared" si="2"/>
        <v/>
      </c>
      <c r="G13" s="18"/>
      <c r="H13" s="18" t="str">
        <f t="shared" si="3"/>
        <v/>
      </c>
      <c r="I13" s="17" t="str">
        <f t="shared" si="4"/>
        <v/>
      </c>
      <c r="J13" s="40"/>
      <c r="K13" s="74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60" zoomScaleNormal="60" workbookViewId="0">
      <pane xSplit="2" ySplit="3" topLeftCell="C4" activePane="bottomRight" state="frozen"/>
      <selection pane="bottomRight" activeCell="E27" sqref="E27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117" t="str" cm="1">
        <f t="array" ref="A1">portfolio</f>
        <v>ALIGNED</v>
      </c>
      <c r="B1" s="117"/>
      <c r="C1" s="117"/>
      <c r="D1" s="118" t="s">
        <v>48</v>
      </c>
      <c r="E1" s="118"/>
      <c r="F1" s="118"/>
      <c r="G1" s="116" t="s">
        <v>49</v>
      </c>
      <c r="H1" s="116"/>
      <c r="I1" s="116"/>
      <c r="J1" s="4"/>
      <c r="K1" s="4"/>
    </row>
    <row r="2" spans="1:11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33.7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70"/>
      <c r="H4" s="14" t="str">
        <f>IF(AND(ISNUMBER(C4),ISNUMBER(G4)), C4-G4, "")</f>
        <v/>
      </c>
      <c r="I4" s="15" t="str">
        <f>IFERROR(H4/G4, "")</f>
        <v/>
      </c>
      <c r="J4" s="50"/>
      <c r="K4" s="73"/>
    </row>
    <row r="5" spans="1:11" ht="15.6">
      <c r="A5" s="28" t="str">
        <v>Loudon - 7046 Pleasant Street</v>
      </c>
      <c r="B5" s="29" t="str">
        <v>NH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51"/>
      <c r="K5" s="74"/>
    </row>
    <row r="6" spans="1:11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50"/>
      <c r="K6" s="73"/>
    </row>
    <row r="7" spans="1:11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9"/>
      <c r="H7" s="18" t="str">
        <f t="shared" si="1"/>
        <v/>
      </c>
      <c r="I7" s="17" t="str">
        <f t="shared" si="2"/>
        <v/>
      </c>
      <c r="J7" s="79"/>
      <c r="K7" s="74"/>
    </row>
    <row r="8" spans="1:11" ht="15.6">
      <c r="A8" s="26" t="str">
        <v>Boothbay - Wiscasset Road</v>
      </c>
      <c r="B8" s="27" t="str">
        <v>ME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50"/>
      <c r="K8" s="50"/>
    </row>
    <row r="9" spans="1:11" ht="15.6">
      <c r="A9" s="28" t="str">
        <v>Thorndike -  Leonard Road</v>
      </c>
      <c r="B9" s="29" t="str">
        <v>ME</v>
      </c>
      <c r="C9" s="11"/>
      <c r="D9" s="16"/>
      <c r="E9" s="16" t="str">
        <f t="shared" si="0"/>
        <v/>
      </c>
      <c r="F9" s="17" t="str">
        <f t="shared" si="3"/>
        <v/>
      </c>
      <c r="G9" s="69"/>
      <c r="H9" s="18" t="str">
        <f t="shared" si="1"/>
        <v/>
      </c>
      <c r="I9" s="17" t="str">
        <f t="shared" si="2"/>
        <v/>
      </c>
      <c r="J9" s="79"/>
      <c r="K9" s="74"/>
    </row>
    <row r="10" spans="1:11" ht="15.6">
      <c r="A10" s="26" t="str">
        <v>Topsham - Solarize LLC</v>
      </c>
      <c r="B10" s="27" t="str">
        <v>ME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50"/>
      <c r="K10" s="73"/>
    </row>
    <row r="11" spans="1:11" ht="15.6">
      <c r="A11" s="28" t="str">
        <v>Cherryfield - 727 North Main St (IRA)</v>
      </c>
      <c r="B11" s="29" t="str">
        <v>ME</v>
      </c>
      <c r="C11" s="11"/>
      <c r="D11" s="16"/>
      <c r="E11" s="16" t="str">
        <f t="shared" ref="E11:E14" si="4">IF(AND(ISNUMBER(C11),ISNUMBER(D11)), C11-D11, "")</f>
        <v/>
      </c>
      <c r="F11" s="17" t="str">
        <f t="shared" ref="F11:F14" si="5">IFERROR(E11/D11, "")</f>
        <v/>
      </c>
      <c r="G11" s="69"/>
      <c r="H11" s="18" t="str">
        <f t="shared" ref="H11:H14" si="6">IF(AND(ISNUMBER(C11),ISNUMBER(G11)), C11-G11, "")</f>
        <v/>
      </c>
      <c r="I11" s="17" t="str">
        <f t="shared" ref="I11:I14" si="7">IFERROR(H11/G11, "")</f>
        <v/>
      </c>
      <c r="J11" s="79"/>
      <c r="K11" s="74"/>
    </row>
    <row r="12" spans="1:11" ht="15.6">
      <c r="A12" s="26" t="str">
        <v>ME: Bucksport - 258 Route 1 (IRA)</v>
      </c>
      <c r="B12" s="27" t="str">
        <v>ME</v>
      </c>
      <c r="C12" s="22"/>
      <c r="D12" s="12"/>
      <c r="E12" s="12" t="str">
        <f t="shared" si="4"/>
        <v/>
      </c>
      <c r="F12" s="13" t="str">
        <f t="shared" si="5"/>
        <v/>
      </c>
      <c r="G12" s="14"/>
      <c r="H12" s="14" t="str">
        <f t="shared" si="6"/>
        <v/>
      </c>
      <c r="I12" s="15" t="str">
        <f t="shared" si="7"/>
        <v/>
      </c>
      <c r="J12" s="50"/>
      <c r="K12" s="73"/>
    </row>
    <row r="13" spans="1:11" ht="15.6">
      <c r="A13" s="28" t="str">
        <v>ME: Union - Route 131 (IRA)</v>
      </c>
      <c r="B13" s="29" t="str">
        <v>ME</v>
      </c>
      <c r="C13" s="11"/>
      <c r="D13" s="16"/>
      <c r="E13" s="16" t="str">
        <f t="shared" si="4"/>
        <v/>
      </c>
      <c r="F13" s="17" t="str">
        <f t="shared" si="5"/>
        <v/>
      </c>
      <c r="G13" s="69"/>
      <c r="H13" s="18" t="str">
        <f t="shared" si="6"/>
        <v/>
      </c>
      <c r="I13" s="17" t="str">
        <f t="shared" si="7"/>
        <v/>
      </c>
      <c r="J13" s="79"/>
      <c r="K13" s="74"/>
    </row>
    <row r="14" spans="1:11" ht="15.6">
      <c r="A14" s="26"/>
      <c r="B14" s="27"/>
      <c r="C14" s="22"/>
      <c r="D14" s="12"/>
      <c r="E14" s="12" t="str">
        <f t="shared" si="4"/>
        <v/>
      </c>
      <c r="F14" s="13" t="str">
        <f t="shared" si="5"/>
        <v/>
      </c>
      <c r="G14" s="14"/>
      <c r="H14" s="14" t="str">
        <f t="shared" si="6"/>
        <v/>
      </c>
      <c r="I14" s="15" t="str">
        <f t="shared" si="7"/>
        <v/>
      </c>
      <c r="J14" s="50"/>
      <c r="K14" s="73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zoomScale="60" zoomScaleNormal="60" workbookViewId="0">
      <pane xSplit="2" ySplit="3" topLeftCell="C4" activePane="bottomRight" state="frozen"/>
      <selection pane="bottomRight" activeCell="J31" sqref="J31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76"/>
  </cols>
  <sheetData>
    <row r="1" spans="1:13" ht="19.5" customHeight="1">
      <c r="A1" s="117" t="str" cm="1">
        <f t="array" ref="A1">portfolio</f>
        <v>ALIGNED</v>
      </c>
      <c r="B1" s="117"/>
      <c r="C1" s="117"/>
      <c r="D1" s="118" t="s">
        <v>50</v>
      </c>
      <c r="E1" s="118"/>
      <c r="F1" s="118"/>
      <c r="G1" s="116" t="s">
        <v>51</v>
      </c>
      <c r="H1" s="116"/>
      <c r="I1" s="116"/>
      <c r="J1" s="4"/>
      <c r="K1" s="4"/>
    </row>
    <row r="2" spans="1:13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5" customHeight="1">
      <c r="A4" s="67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72"/>
    </row>
    <row r="5" spans="1:13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52"/>
      <c r="K5" s="52"/>
    </row>
    <row r="6" spans="1:13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72"/>
      <c r="L6" s="75"/>
    </row>
    <row r="7" spans="1:13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9"/>
      <c r="H7" s="18" t="str">
        <f t="shared" si="1"/>
        <v/>
      </c>
      <c r="I7" s="17" t="str">
        <f t="shared" si="2"/>
        <v/>
      </c>
      <c r="J7" s="40"/>
      <c r="K7" s="74"/>
      <c r="L7" s="75"/>
      <c r="M7" s="75"/>
    </row>
    <row r="8" spans="1:13" ht="15.6">
      <c r="A8" s="26" t="str">
        <v>Boothbay - Wiscasset Road</v>
      </c>
      <c r="B8" s="27" t="str">
        <v>ME</v>
      </c>
      <c r="C8" s="80"/>
      <c r="D8" s="12"/>
      <c r="E8" s="12" t="str">
        <f>IF(AND(ISNUMBER(C8),ISNUMBER(D8)), C8-D8, "")</f>
        <v/>
      </c>
      <c r="F8" s="81" t="str">
        <f>IFERROR(E8/D8, "")</f>
        <v/>
      </c>
      <c r="G8" s="82"/>
      <c r="H8" s="82" t="str">
        <f>IF(AND(ISNUMBER(C8),ISNUMBER(G8)), C8-G8, "")</f>
        <v/>
      </c>
      <c r="I8" s="83" t="str">
        <f>IFERROR(H8/G8, "")</f>
        <v/>
      </c>
      <c r="J8" s="84"/>
      <c r="K8" s="84"/>
    </row>
    <row r="9" spans="1:13" ht="15.6">
      <c r="A9" s="28" t="str">
        <v>Thorndike -  Leonard Road</v>
      </c>
      <c r="B9" s="29" t="str">
        <v>ME</v>
      </c>
      <c r="C9" s="85"/>
      <c r="D9" s="16"/>
      <c r="E9" s="16" t="str">
        <f>IF(AND(ISNUMBER(C9),ISNUMBER(D9)), C9-D9, "")</f>
        <v/>
      </c>
      <c r="F9" s="86" t="str">
        <f>IFERROR(E9/D9, "")</f>
        <v/>
      </c>
      <c r="G9" s="87"/>
      <c r="H9" s="87" t="str">
        <f>IF(AND(ISNUMBER(C9),ISNUMBER(G9)), C9-G9, "")</f>
        <v/>
      </c>
      <c r="I9" s="86" t="str">
        <f>IFERROR(H9/G9, "")</f>
        <v/>
      </c>
      <c r="J9" s="40"/>
      <c r="K9" s="90"/>
    </row>
    <row r="10" spans="1:13" ht="15.6">
      <c r="A10" s="26" t="str">
        <v>Topsham - Solarize LLC</v>
      </c>
      <c r="B10" s="27" t="str">
        <v>ME</v>
      </c>
      <c r="C10" s="80"/>
      <c r="D10" s="12"/>
      <c r="E10" s="12" t="str">
        <f>IF(AND(ISNUMBER(C10),ISNUMBER(D10)), C10-D10, "")</f>
        <v/>
      </c>
      <c r="F10" s="81" t="str">
        <f>IFERROR(E10/D10, "")</f>
        <v/>
      </c>
      <c r="G10" s="82"/>
      <c r="H10" s="82" t="str">
        <f>IF(AND(ISNUMBER(C10),ISNUMBER(G10)), C10-G10, "")</f>
        <v/>
      </c>
      <c r="I10" s="83" t="str">
        <f>IFERROR(H10/G10, "")</f>
        <v/>
      </c>
      <c r="J10" s="84"/>
      <c r="K10" s="91"/>
    </row>
    <row r="11" spans="1:13" ht="15.6">
      <c r="A11" s="28" t="str">
        <v>Cherryfield - 727 North Main St (IRA)</v>
      </c>
      <c r="B11" s="29" t="str">
        <v>ME</v>
      </c>
      <c r="C11" s="85"/>
      <c r="D11" s="16"/>
      <c r="E11" s="16" t="str">
        <f t="shared" ref="E11:E13" si="4">IF(AND(ISNUMBER(C11),ISNUMBER(D11)), C11-D11, "")</f>
        <v/>
      </c>
      <c r="F11" s="86" t="str">
        <f t="shared" ref="F11:F13" si="5">IFERROR(E11/D11, "")</f>
        <v/>
      </c>
      <c r="G11" s="87"/>
      <c r="H11" s="87" t="str">
        <f t="shared" ref="H11:H13" si="6">IF(AND(ISNUMBER(C11),ISNUMBER(G11)), C11-G11, "")</f>
        <v/>
      </c>
      <c r="I11" s="86" t="str">
        <f t="shared" ref="I11:I13" si="7">IFERROR(H11/G11, "")</f>
        <v/>
      </c>
      <c r="J11" s="40"/>
      <c r="K11" s="90"/>
    </row>
    <row r="12" spans="1:13" ht="15.6">
      <c r="A12" s="26" t="str">
        <v>ME: Bucksport - 258 Route 1 (IRA)</v>
      </c>
      <c r="B12" s="27" t="str">
        <v>ME</v>
      </c>
      <c r="C12" s="80"/>
      <c r="D12" s="12"/>
      <c r="E12" s="12" t="str">
        <f t="shared" si="4"/>
        <v/>
      </c>
      <c r="F12" s="81" t="str">
        <f t="shared" si="5"/>
        <v/>
      </c>
      <c r="G12" s="82"/>
      <c r="H12" s="82" t="str">
        <f t="shared" si="6"/>
        <v/>
      </c>
      <c r="I12" s="83" t="str">
        <f t="shared" si="7"/>
        <v/>
      </c>
      <c r="J12" s="84"/>
      <c r="K12" s="91"/>
    </row>
    <row r="13" spans="1:13" ht="15.6">
      <c r="A13" s="28" t="str">
        <v>ME: Union - Route 131 (IRA)</v>
      </c>
      <c r="B13" s="29" t="str">
        <v>ME</v>
      </c>
      <c r="C13" s="85"/>
      <c r="D13" s="16"/>
      <c r="E13" s="16" t="str">
        <f t="shared" si="4"/>
        <v/>
      </c>
      <c r="F13" s="86" t="str">
        <f t="shared" si="5"/>
        <v/>
      </c>
      <c r="G13" s="87"/>
      <c r="H13" s="87" t="str">
        <f t="shared" si="6"/>
        <v/>
      </c>
      <c r="I13" s="86" t="str">
        <f t="shared" si="7"/>
        <v/>
      </c>
      <c r="J13" s="40"/>
      <c r="K13" s="90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zoomScale="60" zoomScaleNormal="60" workbookViewId="0">
      <pane xSplit="2" ySplit="3" topLeftCell="C4" activePane="bottomRight" state="frozen"/>
      <selection pane="bottomRight" activeCell="I21" sqref="I21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76"/>
  </cols>
  <sheetData>
    <row r="1" spans="1:13" ht="19.5" customHeight="1">
      <c r="A1" s="117" t="str" cm="1">
        <f t="array" ref="A1">portfolio</f>
        <v>ALIGNED</v>
      </c>
      <c r="B1" s="117"/>
      <c r="C1" s="117"/>
      <c r="D1" s="118" t="s">
        <v>52</v>
      </c>
      <c r="E1" s="118"/>
      <c r="F1" s="118"/>
      <c r="G1" s="116" t="s">
        <v>53</v>
      </c>
      <c r="H1" s="116"/>
      <c r="I1" s="116"/>
      <c r="J1" s="4"/>
      <c r="K1" s="4"/>
    </row>
    <row r="2" spans="1:13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96" customHeight="1">
      <c r="A4" s="88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72"/>
      <c r="L4" s="75"/>
      <c r="M4" s="75"/>
    </row>
    <row r="5" spans="1:13" ht="29.25" customHeight="1">
      <c r="A5" s="28" t="str">
        <v>Loudon - 7046 Pleasant Street</v>
      </c>
      <c r="B5" s="29" t="str">
        <v>NH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 t="shared" ref="H5:H11" si="1">IF(AND(ISNUMBER(C5),ISNUMBER(G5)), C5-G5, "")</f>
        <v/>
      </c>
      <c r="I5" s="17" t="str">
        <f t="shared" ref="I5:I11" si="2">IFERROR(H5/G5, "")</f>
        <v/>
      </c>
      <c r="J5" s="89"/>
      <c r="K5" s="90"/>
    </row>
    <row r="6" spans="1:13" ht="52.5" customHeight="1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11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72"/>
    </row>
    <row r="7" spans="1:13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3" ht="105.75" customHeight="1">
      <c r="A8" s="26" t="str">
        <v>Boothbay - Wiscasset Road</v>
      </c>
      <c r="B8" s="27" t="str">
        <v>ME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72"/>
      <c r="L8" s="75"/>
      <c r="M8" s="75"/>
    </row>
    <row r="9" spans="1:13" ht="15.6">
      <c r="A9" s="28" t="str">
        <v>Thorndike -  Leonard Road</v>
      </c>
      <c r="B9" s="29" t="str">
        <v>ME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74"/>
      <c r="L9" s="75"/>
      <c r="M9" s="75"/>
    </row>
    <row r="10" spans="1:13" ht="72.75" customHeight="1">
      <c r="A10" s="26" t="str">
        <v>Topsham - Solarize LLC</v>
      </c>
      <c r="B10" s="27" t="str">
        <v>ME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39"/>
      <c r="K10" s="72"/>
      <c r="L10" s="75"/>
    </row>
    <row r="11" spans="1:13" ht="32.25" customHeight="1">
      <c r="A11" s="28" t="str">
        <v>Cherryfield - 727 North Main St (IRA)</v>
      </c>
      <c r="B11" s="29" t="str">
        <v>ME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90"/>
    </row>
    <row r="12" spans="1:13" ht="15.6">
      <c r="A12" s="26" t="str">
        <v>ME: Bucksport - 258 Route 1 (IRA)</v>
      </c>
      <c r="B12" s="27" t="str">
        <v>ME</v>
      </c>
      <c r="C12" s="22"/>
      <c r="D12" s="12"/>
      <c r="E12" s="12" t="str">
        <f t="shared" ref="E12:E13" si="4">IF(AND(ISNUMBER(C12),ISNUMBER(D12)), C12-D12, "")</f>
        <v/>
      </c>
      <c r="F12" s="13" t="str">
        <f t="shared" ref="F12:F13" si="5">IFERROR(E12/D12, "")</f>
        <v/>
      </c>
      <c r="G12" s="14"/>
      <c r="H12" s="14" t="str">
        <f t="shared" ref="H12:H13" si="6">IF(AND(ISNUMBER(C12),ISNUMBER(G12)), C12-G12, "")</f>
        <v/>
      </c>
      <c r="I12" s="15" t="str">
        <f t="shared" ref="I12:I13" si="7">IFERROR(H12/G12, "")</f>
        <v/>
      </c>
      <c r="J12" s="39"/>
      <c r="K12" s="72"/>
    </row>
    <row r="13" spans="1:13" ht="15.6">
      <c r="A13" s="28" t="str">
        <v>ME: Union - Route 131 (IRA)</v>
      </c>
      <c r="B13" s="29" t="str">
        <v>ME</v>
      </c>
      <c r="C13" s="11"/>
      <c r="D13" s="16"/>
      <c r="E13" s="16" t="str">
        <f t="shared" si="4"/>
        <v/>
      </c>
      <c r="F13" s="17" t="str">
        <f t="shared" si="5"/>
        <v/>
      </c>
      <c r="G13" s="18"/>
      <c r="H13" s="18" t="str">
        <f t="shared" si="6"/>
        <v/>
      </c>
      <c r="I13" s="17" t="str">
        <f t="shared" si="7"/>
        <v/>
      </c>
      <c r="J13" s="40"/>
      <c r="K13" s="90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1"/>
  <sheetViews>
    <sheetView zoomScale="60" zoomScaleNormal="60" workbookViewId="0">
      <pane xSplit="2" ySplit="3" topLeftCell="C4" activePane="bottomRight" state="frozen"/>
      <selection pane="bottomRight" activeCell="G21" sqref="G21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9" width="8.85546875" style="76"/>
  </cols>
  <sheetData>
    <row r="1" spans="1:13" ht="19.5" customHeight="1">
      <c r="A1" s="117" t="str" cm="1">
        <f t="array" ref="A1">portfolio</f>
        <v>ALIGNED</v>
      </c>
      <c r="B1" s="117"/>
      <c r="C1" s="117"/>
      <c r="D1" s="118" t="s">
        <v>54</v>
      </c>
      <c r="E1" s="118"/>
      <c r="F1" s="118"/>
      <c r="G1" s="116" t="s">
        <v>55</v>
      </c>
      <c r="H1" s="116"/>
      <c r="I1" s="116"/>
      <c r="J1" s="4"/>
      <c r="K1" s="4"/>
    </row>
    <row r="2" spans="1:13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47.2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3" ht="15.6">
      <c r="A5" s="28" t="str">
        <v>Loudon - 7046 Pleasant Street</v>
      </c>
      <c r="B5" s="29" t="str">
        <v>NH</v>
      </c>
      <c r="C5" s="11"/>
      <c r="D5" s="16"/>
      <c r="E5" s="16" t="str">
        <f t="shared" ref="E5:E11" si="0">IF(AND(ISNUMBER(C5),ISNUMBER(D5)), C5-D5, "")</f>
        <v/>
      </c>
      <c r="F5" s="17" t="str">
        <f>IFERROR(E5/D5, "")</f>
        <v/>
      </c>
      <c r="G5" s="18"/>
      <c r="H5" s="18" t="str">
        <f t="shared" ref="H5:H11" si="1">IF(AND(ISNUMBER(C5),ISNUMBER(G5)), C5-G5, "")</f>
        <v/>
      </c>
      <c r="I5" s="17" t="str">
        <f t="shared" ref="I5:I11" si="2">IFERROR(H5/G5, "")</f>
        <v/>
      </c>
      <c r="J5" s="52"/>
      <c r="K5" s="52"/>
    </row>
    <row r="6" spans="1:13" ht="61.5" customHeight="1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11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72"/>
    </row>
    <row r="7" spans="1:13" ht="51.75" customHeight="1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1"/>
      <c r="K7" s="74"/>
    </row>
    <row r="8" spans="1:13" ht="100.5" customHeight="1">
      <c r="A8" s="26" t="str">
        <v>Boothbay - Wiscasset Road</v>
      </c>
      <c r="B8" s="27" t="str">
        <v>ME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72"/>
      <c r="L8" s="75"/>
      <c r="M8" s="75"/>
    </row>
    <row r="9" spans="1:13" ht="15.6">
      <c r="A9" s="28" t="str">
        <v>Thorndike -  Leonard Road</v>
      </c>
      <c r="B9" s="29" t="str">
        <v>ME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90"/>
      <c r="L9" s="75"/>
    </row>
    <row r="10" spans="1:13" ht="30" customHeight="1">
      <c r="A10" s="26" t="str">
        <v>Topsham - Solarize LLC</v>
      </c>
      <c r="B10" s="27" t="str">
        <v>ME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39"/>
      <c r="K10" s="39"/>
    </row>
    <row r="11" spans="1:13" ht="15.6">
      <c r="A11" s="28" t="str">
        <v>Cherryfield - 727 North Main St (IRA)</v>
      </c>
      <c r="B11" s="29" t="str">
        <v>ME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52"/>
      <c r="K11" s="52"/>
    </row>
    <row r="12" spans="1:13" ht="28.9" customHeight="1">
      <c r="A12" s="26" t="str">
        <v>ME: Bucksport - 258 Route 1 (IRA)</v>
      </c>
      <c r="B12" s="27" t="str">
        <v>ME</v>
      </c>
      <c r="C12" s="22"/>
      <c r="D12" s="12"/>
      <c r="E12" s="12"/>
      <c r="F12" s="13"/>
      <c r="G12" s="14"/>
      <c r="H12" s="14"/>
      <c r="I12" s="15"/>
      <c r="J12" s="39"/>
      <c r="K12" s="39"/>
    </row>
    <row r="13" spans="1:13" ht="15.6">
      <c r="A13" s="28" t="str">
        <v>ME: Union - Route 131 (IRA)</v>
      </c>
      <c r="B13" s="29" t="str">
        <v>ME</v>
      </c>
      <c r="C13" s="11"/>
      <c r="D13" s="16"/>
      <c r="E13" s="16"/>
      <c r="F13" s="17"/>
      <c r="G13" s="18"/>
      <c r="H13" s="18"/>
      <c r="I13" s="17"/>
      <c r="J13" s="52"/>
      <c r="K13" s="52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21"/>
  <sheetViews>
    <sheetView zoomScale="60" zoomScaleNormal="60" workbookViewId="0">
      <pane xSplit="2" ySplit="3" topLeftCell="C4" activePane="bottomRight" state="frozen"/>
      <selection pane="bottomRight" activeCell="I26" sqref="I26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76"/>
  </cols>
  <sheetData>
    <row r="1" spans="1:13" ht="19.5" customHeight="1">
      <c r="A1" s="117" t="str" cm="1">
        <f t="array" ref="A1">portfolio</f>
        <v>ALIGNED</v>
      </c>
      <c r="B1" s="117"/>
      <c r="C1" s="117"/>
      <c r="D1" s="118" t="s">
        <v>56</v>
      </c>
      <c r="E1" s="118"/>
      <c r="F1" s="118"/>
      <c r="G1" s="116" t="s">
        <v>57</v>
      </c>
      <c r="H1" s="116"/>
      <c r="I1" s="116"/>
      <c r="J1" s="4"/>
      <c r="K1" s="4"/>
    </row>
    <row r="2" spans="1:13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70.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 t="shared" ref="F4:F11" si="0"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3" ht="57" customHeight="1">
      <c r="A5" s="28" t="str">
        <v>Loudon - 7046 Pleasant Street</v>
      </c>
      <c r="B5" s="29" t="str">
        <v>NH</v>
      </c>
      <c r="C5" s="11"/>
      <c r="D5" s="16"/>
      <c r="E5" s="16" t="str">
        <f t="shared" ref="E5" si="1">IF(AND(ISNUMBER(C5),ISNUMBER(D5)), C5-D5, "")</f>
        <v/>
      </c>
      <c r="F5" s="17" t="str">
        <f t="shared" si="0"/>
        <v/>
      </c>
      <c r="G5" s="18"/>
      <c r="H5" s="18" t="str">
        <f t="shared" ref="H5" si="2">IF(AND(ISNUMBER(C5),ISNUMBER(G5)), C5-G5, "")</f>
        <v/>
      </c>
      <c r="I5" s="17" t="str">
        <f t="shared" ref="I5" si="3">IFERROR(H5/G5, "")</f>
        <v/>
      </c>
      <c r="J5" s="52"/>
      <c r="K5" s="52"/>
    </row>
    <row r="6" spans="1:13" ht="66" customHeight="1">
      <c r="A6" s="26" t="str">
        <v>Nashua - Pennichuck Water  East</v>
      </c>
      <c r="B6" s="27" t="str">
        <v>NH</v>
      </c>
      <c r="C6" s="22"/>
      <c r="D6" s="12"/>
      <c r="E6" s="12" t="str">
        <f t="shared" ref="E6:E11" si="4">IF(AND(ISNUMBER(C6),ISNUMBER(D6)), C6-D6, "")</f>
        <v/>
      </c>
      <c r="F6" s="13" t="str">
        <f t="shared" si="0"/>
        <v/>
      </c>
      <c r="G6" s="14"/>
      <c r="H6" s="14" t="str">
        <f t="shared" ref="H6:H11" si="5">IF(AND(ISNUMBER(C6),ISNUMBER(G6)), C6-G6, "")</f>
        <v/>
      </c>
      <c r="I6" s="15" t="str">
        <f t="shared" ref="I6:I11" si="6">IFERROR(H6/G6, "")</f>
        <v/>
      </c>
      <c r="J6" s="39"/>
      <c r="K6" s="39"/>
    </row>
    <row r="7" spans="1:13" ht="35.25" customHeight="1">
      <c r="A7" s="28" t="str">
        <v>Nashua - Pennichuck Water West</v>
      </c>
      <c r="B7" s="29" t="str">
        <v>NH</v>
      </c>
      <c r="C7" s="11"/>
      <c r="D7" s="16"/>
      <c r="E7" s="16" t="str">
        <f t="shared" si="4"/>
        <v/>
      </c>
      <c r="F7" s="17" t="str">
        <f t="shared" si="0"/>
        <v/>
      </c>
      <c r="G7" s="18"/>
      <c r="H7" s="18" t="str">
        <f t="shared" si="5"/>
        <v/>
      </c>
      <c r="I7" s="17" t="str">
        <f t="shared" si="6"/>
        <v/>
      </c>
      <c r="J7" s="51"/>
      <c r="K7" s="51"/>
    </row>
    <row r="8" spans="1:13" ht="15.6">
      <c r="A8" s="26" t="str">
        <v>Boothbay - Wiscasset Road</v>
      </c>
      <c r="B8" s="27" t="str">
        <v>ME</v>
      </c>
      <c r="C8" s="80"/>
      <c r="D8" s="12"/>
      <c r="E8" s="12" t="str">
        <f t="shared" si="4"/>
        <v/>
      </c>
      <c r="F8" s="81" t="str">
        <f t="shared" si="0"/>
        <v/>
      </c>
      <c r="G8" s="82"/>
      <c r="H8" s="82" t="str">
        <f t="shared" si="5"/>
        <v/>
      </c>
      <c r="I8" s="83" t="str">
        <f t="shared" si="6"/>
        <v/>
      </c>
      <c r="J8" s="84"/>
      <c r="K8" s="84"/>
    </row>
    <row r="9" spans="1:13" ht="15.6">
      <c r="A9" s="28" t="str">
        <v>Thorndike -  Leonard Road</v>
      </c>
      <c r="B9" s="29" t="str">
        <v>ME</v>
      </c>
      <c r="C9" s="85"/>
      <c r="D9" s="16"/>
      <c r="E9" s="16" t="str">
        <f t="shared" si="4"/>
        <v/>
      </c>
      <c r="F9" s="86" t="str">
        <f t="shared" si="0"/>
        <v/>
      </c>
      <c r="G9" s="87"/>
      <c r="H9" s="87" t="str">
        <f t="shared" si="5"/>
        <v/>
      </c>
      <c r="I9" s="86" t="str">
        <f t="shared" si="6"/>
        <v/>
      </c>
      <c r="J9" s="52"/>
      <c r="K9" s="90"/>
      <c r="L9" s="75"/>
      <c r="M9" s="75"/>
    </row>
    <row r="10" spans="1:13" ht="15.6">
      <c r="A10" s="26" t="str">
        <v>Topsham - Solarize LLC</v>
      </c>
      <c r="B10" s="27" t="str">
        <v>ME</v>
      </c>
      <c r="C10" s="80"/>
      <c r="D10" s="12"/>
      <c r="E10" s="12" t="str">
        <f t="shared" si="4"/>
        <v/>
      </c>
      <c r="F10" s="81" t="str">
        <f t="shared" si="0"/>
        <v/>
      </c>
      <c r="G10" s="82"/>
      <c r="H10" s="82" t="str">
        <f t="shared" si="5"/>
        <v/>
      </c>
      <c r="I10" s="83" t="str">
        <f t="shared" si="6"/>
        <v/>
      </c>
      <c r="J10" s="84"/>
      <c r="K10" s="84"/>
    </row>
    <row r="11" spans="1:13" ht="15.6">
      <c r="A11" s="28" t="str">
        <v>Cherryfield - 727 North Main St (IRA)</v>
      </c>
      <c r="B11" s="29" t="str">
        <v>ME</v>
      </c>
      <c r="C11" s="85"/>
      <c r="D11" s="16"/>
      <c r="E11" s="16" t="str">
        <f t="shared" si="4"/>
        <v/>
      </c>
      <c r="F11" s="86" t="str">
        <f t="shared" si="0"/>
        <v/>
      </c>
      <c r="G11" s="87"/>
      <c r="H11" s="87" t="str">
        <f t="shared" si="5"/>
        <v/>
      </c>
      <c r="I11" s="86" t="str">
        <f t="shared" si="6"/>
        <v/>
      </c>
      <c r="J11" s="52"/>
      <c r="K11" s="90"/>
    </row>
    <row r="12" spans="1:13" ht="15.6">
      <c r="A12" s="26" t="str">
        <v>ME: Bucksport - 258 Route 1 (IRA)</v>
      </c>
      <c r="B12" s="27" t="str">
        <v>ME</v>
      </c>
      <c r="C12" s="80"/>
      <c r="D12" s="12"/>
      <c r="E12" s="12"/>
      <c r="F12" s="81"/>
      <c r="G12" s="82"/>
      <c r="H12" s="82"/>
      <c r="I12" s="83"/>
      <c r="J12" s="84"/>
      <c r="K12" s="84"/>
    </row>
    <row r="13" spans="1:13" ht="15.6">
      <c r="A13" s="28" t="str">
        <v>ME: Union - Route 131 (IRA)</v>
      </c>
      <c r="B13" s="29" t="str">
        <v>ME</v>
      </c>
      <c r="C13" s="85"/>
      <c r="D13" s="16"/>
      <c r="E13" s="16"/>
      <c r="F13" s="86"/>
      <c r="G13" s="87"/>
      <c r="H13" s="87"/>
      <c r="I13" s="86"/>
      <c r="J13" s="52"/>
      <c r="K13" s="90"/>
      <c r="L13" s="75"/>
      <c r="M13" s="75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21"/>
  <sheetViews>
    <sheetView zoomScale="60" zoomScaleNormal="60" workbookViewId="0">
      <pane xSplit="2" ySplit="3" topLeftCell="C4" activePane="bottomRight" state="frozen"/>
      <selection pane="bottomRight" activeCell="E35" sqref="E35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76"/>
  </cols>
  <sheetData>
    <row r="1" spans="1:12" ht="19.5" customHeight="1">
      <c r="A1" s="117" t="str" cm="1">
        <f t="array" ref="A1">portfolio</f>
        <v>ALIGNED</v>
      </c>
      <c r="B1" s="117"/>
      <c r="C1" s="117"/>
      <c r="D1" s="118" t="s">
        <v>58</v>
      </c>
      <c r="E1" s="118"/>
      <c r="F1" s="118"/>
      <c r="G1" s="116" t="s">
        <v>59</v>
      </c>
      <c r="H1" s="116"/>
      <c r="I1" s="116"/>
      <c r="J1" s="4"/>
      <c r="K1" s="4"/>
    </row>
    <row r="2" spans="1:12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80.2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73"/>
      <c r="L4" s="75"/>
    </row>
    <row r="5" spans="1:12" ht="15.6">
      <c r="A5" s="28" t="str">
        <v>Loudon - 7046 Pleasant Street</v>
      </c>
      <c r="B5" s="29" t="str">
        <v>NH</v>
      </c>
      <c r="C5" s="11"/>
      <c r="D5" s="16"/>
      <c r="E5" s="16" t="str">
        <f t="shared" ref="E5:E12" si="0">IF(AND(ISNUMBER(C5),ISNUMBER(D5)), C5-D5, "")</f>
        <v/>
      </c>
      <c r="F5" s="17" t="str">
        <f>IFERROR(E5/D5, "")</f>
        <v/>
      </c>
      <c r="G5" s="18"/>
      <c r="H5" s="18" t="str">
        <f t="shared" ref="H5:H12" si="1">IF(AND(ISNUMBER(C5),ISNUMBER(G5)), C5-G5, "")</f>
        <v/>
      </c>
      <c r="I5" s="17" t="str">
        <f t="shared" ref="I5:I12" si="2">IFERROR(H5/G5, "")</f>
        <v/>
      </c>
      <c r="J5" s="51"/>
      <c r="K5" s="51"/>
    </row>
    <row r="6" spans="1:12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12" si="3">IFERROR(E6/D6, "")</f>
        <v/>
      </c>
      <c r="G6" s="14"/>
      <c r="H6" s="14" t="str">
        <f t="shared" si="1"/>
        <v/>
      </c>
      <c r="I6" s="15" t="str">
        <f t="shared" si="2"/>
        <v/>
      </c>
      <c r="J6" s="50"/>
      <c r="K6" s="73"/>
      <c r="L6" s="75"/>
    </row>
    <row r="7" spans="1:12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51"/>
      <c r="K7" s="74"/>
    </row>
    <row r="8" spans="1:12" ht="15.6">
      <c r="A8" s="26" t="str">
        <v>Boothbay - Wiscasset Road</v>
      </c>
      <c r="B8" s="27" t="str">
        <v>ME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50"/>
      <c r="K8" s="50"/>
    </row>
    <row r="9" spans="1:12" ht="15.6">
      <c r="A9" s="28" t="str">
        <v>Thorndike -  Leonard Road</v>
      </c>
      <c r="B9" s="29" t="str">
        <v>ME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1"/>
      <c r="K9" s="74"/>
    </row>
    <row r="10" spans="1:12" ht="15.6">
      <c r="A10" s="26" t="str">
        <v>Topsham - Solarize LLC</v>
      </c>
      <c r="B10" s="27" t="str">
        <v>ME</v>
      </c>
      <c r="C10" s="22"/>
      <c r="D10" s="12"/>
      <c r="E10" s="12" t="str">
        <f t="shared" si="0"/>
        <v/>
      </c>
      <c r="F10" s="13" t="str">
        <f t="shared" si="3"/>
        <v/>
      </c>
      <c r="G10" s="14"/>
      <c r="H10" s="14" t="str">
        <f t="shared" si="1"/>
        <v/>
      </c>
      <c r="I10" s="15" t="str">
        <f t="shared" si="2"/>
        <v/>
      </c>
      <c r="J10" s="50"/>
      <c r="K10" s="50"/>
    </row>
    <row r="11" spans="1:12" ht="15.6">
      <c r="A11" s="28" t="str">
        <v>Cherryfield - 727 North Main St (IRA)</v>
      </c>
      <c r="B11" s="29" t="str">
        <v>ME</v>
      </c>
      <c r="C11" s="11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51"/>
      <c r="K11" s="74"/>
    </row>
    <row r="12" spans="1:12" ht="15.6">
      <c r="A12" s="26" t="str">
        <v>ME: Bucksport - 258 Route 1 (IRA)</v>
      </c>
      <c r="B12" s="27" t="str">
        <v>ME</v>
      </c>
      <c r="C12" s="22"/>
      <c r="D12" s="12"/>
      <c r="E12" s="12" t="str">
        <f t="shared" si="0"/>
        <v/>
      </c>
      <c r="F12" s="13" t="str">
        <f t="shared" si="3"/>
        <v/>
      </c>
      <c r="G12" s="14"/>
      <c r="H12" s="14" t="str">
        <f t="shared" si="1"/>
        <v/>
      </c>
      <c r="I12" s="15" t="str">
        <f t="shared" si="2"/>
        <v/>
      </c>
      <c r="J12" s="50"/>
      <c r="K12" s="50"/>
    </row>
    <row r="13" spans="1:12" ht="15.6">
      <c r="A13" s="28" t="str">
        <v>ME: Union - Route 131 (IRA)</v>
      </c>
      <c r="B13" s="29" t="str">
        <v>ME</v>
      </c>
      <c r="C13" s="85"/>
      <c r="D13" s="16"/>
      <c r="E13" s="16" t="str">
        <f>IF(AND(ISNUMBER(C13),ISNUMBER(D13)), C13-D13, "")</f>
        <v/>
      </c>
      <c r="F13" s="86" t="str">
        <f>IFERROR(E13/D13, "")</f>
        <v/>
      </c>
      <c r="G13" s="87"/>
      <c r="H13" s="87" t="str">
        <f>IF(AND(ISNUMBER(C13),ISNUMBER(G13)), C13-G13, "")</f>
        <v/>
      </c>
      <c r="I13" s="86" t="str">
        <f>IFERROR(H13/G13, "")</f>
        <v/>
      </c>
      <c r="J13" s="51"/>
      <c r="K13" s="74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3:11" ht="14.45"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P321"/>
  <sheetViews>
    <sheetView zoomScale="60" zoomScaleNormal="60" workbookViewId="0">
      <pane xSplit="2" ySplit="3" topLeftCell="H4" activePane="bottomRight" state="frozen"/>
      <selection pane="bottomRight" activeCell="E35" sqref="E35"/>
      <selection pane="bottomLeft" activeCell="E35" sqref="E35"/>
      <selection pane="topRight" activeCell="E35" sqref="E35"/>
    </sheetView>
  </sheetViews>
  <sheetFormatPr defaultRowHeight="14.45"/>
  <cols>
    <col min="1" max="1" width="35.85546875" style="92" bestFit="1" customWidth="1"/>
    <col min="2" max="2" width="8.42578125" style="10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98" customWidth="1"/>
    <col min="11" max="11" width="20.5703125" style="98" bestFit="1" customWidth="1"/>
    <col min="12" max="12" width="15.42578125" style="98" customWidth="1"/>
  </cols>
  <sheetData>
    <row r="1" spans="1:16" ht="19.5" customHeight="1">
      <c r="A1" s="117" t="str" cm="1">
        <f t="array" ref="A1">portfolio</f>
        <v>ALIGNED</v>
      </c>
      <c r="B1" s="117"/>
      <c r="C1" s="117"/>
      <c r="D1" s="118" t="s">
        <v>60</v>
      </c>
      <c r="E1" s="118"/>
      <c r="F1" s="118"/>
      <c r="G1" s="116" t="s">
        <v>61</v>
      </c>
      <c r="H1" s="116"/>
      <c r="I1" s="116"/>
      <c r="J1" s="96"/>
      <c r="K1" s="96"/>
    </row>
    <row r="2" spans="1:16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99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96"/>
    </row>
    <row r="3" spans="1:16" ht="14.25" customHeight="1">
      <c r="A3" s="93" t="s">
        <v>3</v>
      </c>
      <c r="B3" s="106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97" t="s">
        <v>20</v>
      </c>
      <c r="K3" s="97" t="s">
        <v>21</v>
      </c>
      <c r="L3" s="97" t="s">
        <v>22</v>
      </c>
    </row>
    <row r="4" spans="1:16">
      <c r="A4" s="94" t="str" cm="1">
        <f t="array" ref="A4:A13">Sites[Site]</f>
        <v>Conway -US 302 and Stirch Road</v>
      </c>
      <c r="B4" s="10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95"/>
      <c r="K4" s="72"/>
      <c r="L4" s="95"/>
      <c r="M4" s="110"/>
    </row>
    <row r="5" spans="1:16">
      <c r="A5" s="120" t="str">
        <v>Loudon - 7046 Pleasant Street</v>
      </c>
      <c r="B5" s="108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121"/>
      <c r="K5" s="90"/>
      <c r="L5" s="121"/>
    </row>
    <row r="6" spans="1:16">
      <c r="A6" s="122" t="str">
        <v>Nashua - Pennichuck Water  East</v>
      </c>
      <c r="B6" s="10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>IF(AND(ISNUMBER(C6),ISNUMBER(G6)), C6-G6, "")</f>
        <v/>
      </c>
      <c r="I6" s="15" t="str">
        <f t="shared" si="2"/>
        <v/>
      </c>
      <c r="J6" s="95"/>
      <c r="K6" s="72"/>
      <c r="L6" s="95"/>
      <c r="M6" s="110"/>
      <c r="N6" s="110"/>
      <c r="O6" s="110"/>
      <c r="P6" s="110"/>
    </row>
    <row r="7" spans="1:16">
      <c r="A7" s="120" t="str">
        <v>Nashua - Pennichuck Water West</v>
      </c>
      <c r="B7" s="108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121"/>
      <c r="K7" s="90"/>
      <c r="L7" s="121"/>
      <c r="M7" s="110"/>
    </row>
    <row r="8" spans="1:16">
      <c r="A8" s="122" t="str">
        <v>Boothbay - Wiscasset Road</v>
      </c>
      <c r="B8" s="107" t="str">
        <v>ME</v>
      </c>
      <c r="C8" s="22"/>
      <c r="D8" s="12"/>
      <c r="E8" s="12" t="str">
        <f t="shared" ref="E8:E13" si="4">IF(AND(ISNUMBER(C8),ISNUMBER(D8)), C8-D8, "")</f>
        <v/>
      </c>
      <c r="F8" s="13" t="str">
        <f t="shared" ref="F8:F13" si="5">IFERROR(E8/D8, "")</f>
        <v/>
      </c>
      <c r="G8" s="14"/>
      <c r="H8" s="14" t="str">
        <f t="shared" ref="H8:H13" si="6">IF(AND(ISNUMBER(C8),ISNUMBER(G8)), C8-G8, "")</f>
        <v/>
      </c>
      <c r="I8" s="15" t="str">
        <f t="shared" ref="I8:I13" si="7">IFERROR(H8/G8, "")</f>
        <v/>
      </c>
      <c r="J8" s="95"/>
      <c r="K8" s="95"/>
      <c r="L8" s="95"/>
    </row>
    <row r="9" spans="1:16">
      <c r="A9" s="92" t="str">
        <v>Thorndike -  Leonard Road</v>
      </c>
      <c r="B9" s="102" t="str">
        <v>ME</v>
      </c>
      <c r="C9" s="19"/>
      <c r="D9" s="19"/>
      <c r="E9" s="16" t="str">
        <f t="shared" si="4"/>
        <v/>
      </c>
      <c r="F9" s="86" t="str">
        <f t="shared" si="5"/>
        <v/>
      </c>
      <c r="G9" s="19"/>
      <c r="H9" s="87" t="str">
        <f t="shared" si="6"/>
        <v/>
      </c>
      <c r="I9" s="86" t="str">
        <f t="shared" si="7"/>
        <v/>
      </c>
      <c r="K9" s="111"/>
      <c r="L9" s="121"/>
    </row>
    <row r="10" spans="1:16">
      <c r="A10" s="122" t="str">
        <v>Topsham - Solarize LLC</v>
      </c>
      <c r="B10" s="107" t="str">
        <v>ME</v>
      </c>
      <c r="C10" s="22"/>
      <c r="D10" s="12"/>
      <c r="E10" s="12" t="str">
        <f t="shared" si="4"/>
        <v/>
      </c>
      <c r="F10" s="13" t="str">
        <f t="shared" si="5"/>
        <v/>
      </c>
      <c r="G10" s="14"/>
      <c r="H10" s="14" t="str">
        <f t="shared" si="6"/>
        <v/>
      </c>
      <c r="I10" s="15" t="str">
        <f t="shared" si="7"/>
        <v/>
      </c>
      <c r="J10" s="95"/>
      <c r="K10" s="72"/>
      <c r="L10" s="95"/>
    </row>
    <row r="11" spans="1:16">
      <c r="A11" s="92" t="str">
        <v>Cherryfield - 727 North Main St (IRA)</v>
      </c>
      <c r="B11" s="102" t="str">
        <v>ME</v>
      </c>
      <c r="C11" s="19"/>
      <c r="D11" s="19"/>
      <c r="E11" s="16" t="str">
        <f t="shared" si="4"/>
        <v/>
      </c>
      <c r="F11" s="86" t="str">
        <f t="shared" si="5"/>
        <v/>
      </c>
      <c r="G11" s="19"/>
      <c r="H11" s="87" t="str">
        <f t="shared" si="6"/>
        <v/>
      </c>
      <c r="I11" s="86" t="str">
        <f t="shared" si="7"/>
        <v/>
      </c>
      <c r="L11" s="121"/>
    </row>
    <row r="12" spans="1:16">
      <c r="A12" s="122" t="str">
        <v>ME: Bucksport - 258 Route 1 (IRA)</v>
      </c>
      <c r="B12" s="107" t="str">
        <v>ME</v>
      </c>
      <c r="C12" s="22"/>
      <c r="D12" s="12"/>
      <c r="E12" s="12" t="str">
        <f t="shared" si="4"/>
        <v/>
      </c>
      <c r="F12" s="13" t="str">
        <f t="shared" si="5"/>
        <v/>
      </c>
      <c r="G12" s="14"/>
      <c r="H12" s="14" t="str">
        <f t="shared" si="6"/>
        <v/>
      </c>
      <c r="I12" s="15" t="str">
        <f t="shared" si="7"/>
        <v/>
      </c>
      <c r="J12" s="95"/>
      <c r="K12" s="72"/>
      <c r="L12" s="95"/>
    </row>
    <row r="13" spans="1:16" s="100" customFormat="1" ht="46.5" customHeight="1">
      <c r="A13" s="101" t="str">
        <v>ME: Union - Route 131 (IRA)</v>
      </c>
      <c r="B13" s="102" t="str">
        <v>ME</v>
      </c>
      <c r="C13" s="104"/>
      <c r="D13" s="104"/>
      <c r="E13" s="16" t="str">
        <f t="shared" si="4"/>
        <v/>
      </c>
      <c r="F13" s="86" t="str">
        <f t="shared" si="5"/>
        <v/>
      </c>
      <c r="G13" s="104"/>
      <c r="H13" s="105" t="str">
        <f t="shared" si="6"/>
        <v/>
      </c>
      <c r="I13" s="86" t="str">
        <f t="shared" si="7"/>
        <v/>
      </c>
      <c r="J13" s="79"/>
      <c r="K13" s="75"/>
      <c r="L13" s="121"/>
    </row>
    <row r="14" spans="1:16">
      <c r="B14" s="102"/>
      <c r="C14" s="19"/>
      <c r="D14" s="19"/>
      <c r="E14" s="19"/>
      <c r="F14" s="20"/>
      <c r="G14" s="19"/>
      <c r="H14" s="19"/>
      <c r="I14" s="20"/>
    </row>
    <row r="15" spans="1:16">
      <c r="B15" s="102"/>
      <c r="C15" s="19"/>
      <c r="D15" s="19"/>
      <c r="E15" s="19"/>
      <c r="F15" s="20"/>
      <c r="G15" s="19"/>
      <c r="H15" s="19"/>
      <c r="I15" s="20"/>
    </row>
    <row r="16" spans="1:16">
      <c r="B16" s="102"/>
      <c r="C16" s="19"/>
      <c r="D16" s="19"/>
      <c r="E16" s="19"/>
      <c r="F16" s="20"/>
      <c r="G16" s="19"/>
      <c r="H16" s="19"/>
      <c r="I16" s="20"/>
    </row>
    <row r="17" spans="2:9">
      <c r="B17" s="102"/>
      <c r="C17" s="19"/>
      <c r="D17" s="19"/>
      <c r="E17" s="19"/>
      <c r="F17" s="20"/>
      <c r="G17" s="19"/>
      <c r="H17" s="19"/>
      <c r="I17" s="20"/>
    </row>
    <row r="18" spans="2:9">
      <c r="B18" s="102"/>
      <c r="C18" s="19"/>
      <c r="D18" s="19"/>
      <c r="E18" s="19"/>
      <c r="F18" s="20"/>
      <c r="G18" s="19"/>
      <c r="H18" s="19"/>
      <c r="I18" s="20"/>
    </row>
    <row r="19" spans="2:9">
      <c r="B19" s="102"/>
      <c r="C19" s="19"/>
      <c r="D19" s="19"/>
      <c r="E19" s="19"/>
      <c r="F19" s="20"/>
      <c r="G19" s="19"/>
      <c r="H19" s="19"/>
      <c r="I19" s="20"/>
    </row>
    <row r="20" spans="2:9">
      <c r="B20" s="102"/>
      <c r="C20" s="19"/>
      <c r="D20" s="19"/>
      <c r="E20" s="19"/>
      <c r="F20" s="20"/>
      <c r="G20" s="19"/>
      <c r="H20" s="19"/>
      <c r="I20" s="20"/>
    </row>
    <row r="21" spans="2:9">
      <c r="B21" s="102"/>
      <c r="C21" s="19"/>
      <c r="D21" s="19"/>
      <c r="E21" s="19"/>
      <c r="F21" s="20"/>
      <c r="G21" s="19"/>
      <c r="H21" s="19"/>
      <c r="I21" s="20"/>
    </row>
    <row r="22" spans="2:9">
      <c r="B22" s="102"/>
      <c r="C22" s="19"/>
      <c r="D22" s="19"/>
      <c r="E22" s="19"/>
      <c r="F22" s="20"/>
      <c r="G22" s="19"/>
      <c r="H22" s="19"/>
      <c r="I22" s="20"/>
    </row>
    <row r="23" spans="2:9">
      <c r="B23" s="102"/>
      <c r="C23" s="19"/>
      <c r="D23" s="19"/>
      <c r="E23" s="19"/>
      <c r="F23" s="20"/>
      <c r="G23" s="19"/>
      <c r="H23" s="19"/>
      <c r="I23" s="20"/>
    </row>
    <row r="24" spans="2:9">
      <c r="B24" s="102"/>
      <c r="C24" s="19"/>
      <c r="D24" s="19"/>
      <c r="E24" s="19"/>
      <c r="F24" s="20"/>
      <c r="G24" s="19"/>
      <c r="H24" s="19"/>
      <c r="I24" s="20"/>
    </row>
    <row r="25" spans="2:9">
      <c r="B25" s="102"/>
      <c r="C25" s="19"/>
      <c r="D25" s="19"/>
      <c r="E25" s="19"/>
      <c r="F25" s="20"/>
      <c r="G25" s="19"/>
      <c r="H25" s="19"/>
      <c r="I25" s="20"/>
    </row>
    <row r="26" spans="2:9">
      <c r="B26" s="102"/>
      <c r="C26" s="19"/>
      <c r="D26" s="19"/>
      <c r="E26" s="19"/>
      <c r="F26" s="20"/>
      <c r="G26" s="19"/>
      <c r="H26" s="19"/>
      <c r="I26" s="20"/>
    </row>
    <row r="27" spans="2:9">
      <c r="B27" s="102"/>
      <c r="C27" s="19"/>
      <c r="D27" s="19"/>
      <c r="E27" s="19"/>
      <c r="F27" s="20"/>
      <c r="G27" s="19"/>
      <c r="H27" s="19"/>
      <c r="I27" s="20"/>
    </row>
    <row r="28" spans="2:9">
      <c r="B28" s="102"/>
      <c r="C28" s="19"/>
      <c r="D28" s="19"/>
      <c r="E28" s="19"/>
      <c r="F28" s="20"/>
      <c r="G28" s="19"/>
      <c r="H28" s="19"/>
      <c r="I28" s="20"/>
    </row>
    <row r="29" spans="2:9">
      <c r="B29" s="102"/>
      <c r="C29" s="19"/>
      <c r="D29" s="19"/>
      <c r="E29" s="19"/>
      <c r="F29" s="20"/>
      <c r="G29" s="19"/>
      <c r="H29" s="19"/>
      <c r="I29" s="20"/>
    </row>
    <row r="30" spans="2:9">
      <c r="B30" s="102"/>
      <c r="C30" s="19"/>
      <c r="D30" s="19"/>
      <c r="E30" s="19"/>
      <c r="F30" s="20"/>
      <c r="G30" s="19"/>
      <c r="H30" s="19"/>
      <c r="I30" s="20"/>
    </row>
    <row r="31" spans="2:9">
      <c r="B31" s="102"/>
      <c r="C31" s="19"/>
      <c r="D31" s="19"/>
      <c r="E31" s="19"/>
      <c r="F31" s="20"/>
      <c r="G31" s="19"/>
      <c r="H31" s="19"/>
      <c r="I31" s="20"/>
    </row>
    <row r="32" spans="2:9">
      <c r="B32" s="102"/>
      <c r="C32" s="19"/>
      <c r="D32" s="19"/>
      <c r="E32" s="19"/>
      <c r="F32" s="20"/>
      <c r="G32" s="19"/>
      <c r="H32" s="19"/>
      <c r="I32" s="20"/>
    </row>
    <row r="33" spans="2:9">
      <c r="B33" s="102"/>
      <c r="C33" s="19"/>
      <c r="D33" s="19"/>
      <c r="E33" s="19"/>
      <c r="F33" s="20"/>
      <c r="G33" s="19"/>
      <c r="H33" s="19"/>
      <c r="I33" s="20"/>
    </row>
    <row r="34" spans="2:9">
      <c r="B34" s="102"/>
      <c r="C34" s="19"/>
      <c r="D34" s="19"/>
      <c r="E34" s="19"/>
      <c r="F34" s="20"/>
      <c r="G34" s="19"/>
      <c r="H34" s="19"/>
      <c r="I34" s="20"/>
    </row>
    <row r="35" spans="2:9">
      <c r="B35" s="102"/>
      <c r="C35" s="19"/>
      <c r="D35" s="19"/>
      <c r="E35" s="19"/>
      <c r="F35" s="20"/>
      <c r="G35" s="19"/>
      <c r="H35" s="19"/>
      <c r="I35" s="20"/>
    </row>
    <row r="36" spans="2:9">
      <c r="B36" s="102"/>
      <c r="C36" s="19"/>
      <c r="D36" s="19"/>
      <c r="E36" s="19"/>
      <c r="F36" s="20"/>
      <c r="G36" s="19"/>
      <c r="H36" s="19"/>
      <c r="I36" s="20"/>
    </row>
    <row r="37" spans="2:9">
      <c r="B37" s="102"/>
      <c r="C37" s="19"/>
      <c r="D37" s="19"/>
      <c r="E37" s="19"/>
      <c r="F37" s="20"/>
      <c r="G37" s="19"/>
      <c r="H37" s="19"/>
      <c r="I37" s="20"/>
    </row>
    <row r="38" spans="2:9">
      <c r="B38" s="102"/>
      <c r="C38" s="19"/>
      <c r="D38" s="19"/>
      <c r="E38" s="19"/>
      <c r="F38" s="20"/>
      <c r="G38" s="19"/>
      <c r="H38" s="19"/>
      <c r="I38" s="20"/>
    </row>
    <row r="39" spans="2:9">
      <c r="B39" s="102"/>
      <c r="C39" s="19"/>
      <c r="D39" s="19"/>
      <c r="E39" s="19"/>
      <c r="F39" s="20"/>
      <c r="G39" s="19"/>
      <c r="H39" s="19"/>
      <c r="I39" s="20"/>
    </row>
    <row r="40" spans="2:9">
      <c r="B40" s="102"/>
      <c r="C40" s="19"/>
      <c r="D40" s="19"/>
      <c r="E40" s="19"/>
      <c r="F40" s="20"/>
      <c r="G40" s="19"/>
      <c r="H40" s="19"/>
      <c r="I40" s="20"/>
    </row>
    <row r="41" spans="2:9">
      <c r="B41" s="102"/>
      <c r="C41" s="19"/>
      <c r="D41" s="19"/>
      <c r="E41" s="19"/>
      <c r="F41" s="20"/>
      <c r="G41" s="19"/>
      <c r="H41" s="19"/>
      <c r="I41" s="20"/>
    </row>
    <row r="42" spans="2:9">
      <c r="B42" s="102"/>
      <c r="C42" s="19"/>
      <c r="D42" s="19"/>
      <c r="E42" s="19"/>
      <c r="F42" s="20"/>
      <c r="G42" s="19"/>
      <c r="H42" s="19"/>
      <c r="I42" s="20"/>
    </row>
    <row r="43" spans="2:9">
      <c r="B43" s="102"/>
      <c r="C43" s="19"/>
      <c r="D43" s="19"/>
      <c r="E43" s="19"/>
      <c r="F43" s="20"/>
      <c r="G43" s="19"/>
      <c r="H43" s="19"/>
      <c r="I43" s="20"/>
    </row>
    <row r="44" spans="2:9">
      <c r="B44" s="102"/>
      <c r="C44" s="19"/>
      <c r="D44" s="19"/>
      <c r="E44" s="19"/>
      <c r="F44" s="20"/>
      <c r="G44" s="19"/>
      <c r="H44" s="19"/>
      <c r="I44" s="20"/>
    </row>
    <row r="45" spans="2:9">
      <c r="B45" s="102"/>
      <c r="C45" s="19"/>
      <c r="D45" s="19"/>
      <c r="E45" s="19"/>
      <c r="F45" s="20"/>
      <c r="G45" s="19"/>
      <c r="H45" s="19"/>
      <c r="I45" s="20"/>
    </row>
    <row r="46" spans="2:9">
      <c r="B46" s="102"/>
      <c r="C46" s="19"/>
      <c r="D46" s="19"/>
      <c r="E46" s="19"/>
      <c r="F46" s="20"/>
      <c r="G46" s="19"/>
      <c r="H46" s="19"/>
      <c r="I46" s="20"/>
    </row>
    <row r="47" spans="2:9">
      <c r="B47" s="102"/>
      <c r="C47" s="19"/>
      <c r="D47" s="19"/>
      <c r="E47" s="19"/>
      <c r="F47" s="20"/>
      <c r="G47" s="19"/>
      <c r="H47" s="19"/>
      <c r="I47" s="20"/>
    </row>
    <row r="48" spans="2:9">
      <c r="B48" s="102"/>
      <c r="C48" s="19"/>
      <c r="D48" s="19"/>
      <c r="E48" s="19"/>
      <c r="F48" s="20"/>
      <c r="G48" s="19"/>
      <c r="H48" s="19"/>
      <c r="I48" s="20"/>
    </row>
    <row r="49" spans="2:9">
      <c r="B49" s="102"/>
      <c r="C49" s="19"/>
      <c r="D49" s="19"/>
      <c r="E49" s="19"/>
      <c r="F49" s="20"/>
      <c r="G49" s="19"/>
      <c r="H49" s="19"/>
      <c r="I49" s="20"/>
    </row>
    <row r="50" spans="2:9">
      <c r="B50" s="102"/>
      <c r="C50" s="19"/>
      <c r="D50" s="19"/>
      <c r="E50" s="19"/>
      <c r="F50" s="20"/>
      <c r="G50" s="19"/>
      <c r="H50" s="19"/>
      <c r="I50" s="20"/>
    </row>
    <row r="51" spans="2:9">
      <c r="B51" s="102"/>
      <c r="C51" s="19"/>
      <c r="D51" s="19"/>
      <c r="E51" s="19"/>
      <c r="F51" s="20"/>
      <c r="G51" s="19"/>
      <c r="H51" s="19"/>
      <c r="I51" s="20"/>
    </row>
    <row r="52" spans="2:9">
      <c r="B52" s="102"/>
      <c r="C52" s="19"/>
      <c r="D52" s="19"/>
      <c r="E52" s="19"/>
      <c r="F52" s="20"/>
      <c r="G52" s="19"/>
      <c r="H52" s="19"/>
      <c r="I52" s="20"/>
    </row>
    <row r="53" spans="2:9">
      <c r="B53" s="102"/>
      <c r="C53" s="19"/>
      <c r="D53" s="19"/>
      <c r="E53" s="19"/>
      <c r="F53" s="20"/>
      <c r="G53" s="19"/>
      <c r="H53" s="19"/>
      <c r="I53" s="20"/>
    </row>
    <row r="54" spans="2:9">
      <c r="B54" s="102"/>
      <c r="C54" s="19"/>
      <c r="D54" s="19"/>
      <c r="E54" s="19"/>
      <c r="F54" s="20"/>
      <c r="G54" s="19"/>
      <c r="H54" s="19"/>
      <c r="I54" s="20"/>
    </row>
    <row r="55" spans="2:9">
      <c r="B55" s="102"/>
      <c r="C55" s="19"/>
      <c r="D55" s="19"/>
      <c r="E55" s="19"/>
      <c r="F55" s="20"/>
      <c r="G55" s="19"/>
      <c r="H55" s="19"/>
      <c r="I55" s="20"/>
    </row>
    <row r="56" spans="2:9">
      <c r="B56" s="102"/>
      <c r="C56" s="19"/>
      <c r="D56" s="19"/>
      <c r="E56" s="19"/>
      <c r="F56" s="20"/>
      <c r="G56" s="19"/>
      <c r="H56" s="19"/>
      <c r="I56" s="20"/>
    </row>
    <row r="57" spans="2:9">
      <c r="B57" s="102"/>
      <c r="C57" s="19"/>
      <c r="D57" s="19"/>
      <c r="E57" s="19"/>
      <c r="F57" s="20"/>
      <c r="G57" s="19"/>
      <c r="H57" s="19"/>
      <c r="I57" s="20"/>
    </row>
    <row r="58" spans="2:9">
      <c r="B58" s="102"/>
      <c r="C58" s="19"/>
      <c r="D58" s="19"/>
      <c r="E58" s="19"/>
      <c r="F58" s="20"/>
      <c r="G58" s="19"/>
      <c r="H58" s="19"/>
      <c r="I58" s="20"/>
    </row>
    <row r="59" spans="2:9">
      <c r="B59" s="102"/>
      <c r="C59" s="19"/>
      <c r="D59" s="19"/>
      <c r="E59" s="19"/>
      <c r="F59" s="20"/>
      <c r="G59" s="19"/>
      <c r="H59" s="19"/>
      <c r="I59" s="20"/>
    </row>
    <row r="60" spans="2:9">
      <c r="B60" s="102"/>
      <c r="C60" s="19"/>
      <c r="D60" s="19"/>
      <c r="E60" s="19"/>
      <c r="F60" s="20"/>
      <c r="G60" s="19"/>
      <c r="H60" s="19"/>
      <c r="I60" s="20"/>
    </row>
    <row r="61" spans="2:9">
      <c r="B61" s="102"/>
      <c r="C61" s="19"/>
      <c r="D61" s="19"/>
      <c r="E61" s="19"/>
      <c r="F61" s="20"/>
      <c r="G61" s="19"/>
      <c r="H61" s="19"/>
      <c r="I61" s="20"/>
    </row>
    <row r="62" spans="2:9">
      <c r="B62" s="102"/>
      <c r="C62" s="19"/>
      <c r="D62" s="19"/>
      <c r="E62" s="19"/>
      <c r="F62" s="20"/>
      <c r="G62" s="19"/>
      <c r="H62" s="19"/>
      <c r="I62" s="20"/>
    </row>
    <row r="63" spans="2:9">
      <c r="B63" s="102"/>
      <c r="C63" s="19"/>
      <c r="D63" s="19"/>
      <c r="E63" s="19"/>
      <c r="F63" s="20"/>
      <c r="G63" s="19"/>
      <c r="H63" s="19"/>
      <c r="I63" s="20"/>
    </row>
    <row r="64" spans="2:9">
      <c r="B64" s="102"/>
      <c r="C64" s="19"/>
      <c r="D64" s="19"/>
      <c r="E64" s="19"/>
      <c r="F64" s="20"/>
      <c r="G64" s="19"/>
      <c r="H64" s="19"/>
      <c r="I64" s="20"/>
    </row>
    <row r="65" spans="2:9">
      <c r="B65" s="102"/>
      <c r="C65" s="19"/>
      <c r="D65" s="19"/>
      <c r="E65" s="19"/>
      <c r="F65" s="20"/>
      <c r="G65" s="19"/>
      <c r="H65" s="19"/>
      <c r="I65" s="20"/>
    </row>
    <row r="66" spans="2:9">
      <c r="B66" s="102"/>
      <c r="C66" s="19"/>
      <c r="D66" s="19"/>
      <c r="E66" s="19"/>
      <c r="F66" s="20"/>
      <c r="G66" s="19"/>
      <c r="H66" s="19"/>
      <c r="I66" s="20"/>
    </row>
    <row r="67" spans="2:9">
      <c r="B67" s="102"/>
      <c r="C67" s="19"/>
      <c r="D67" s="19"/>
      <c r="E67" s="19"/>
      <c r="F67" s="20"/>
      <c r="G67" s="19"/>
      <c r="H67" s="19"/>
      <c r="I67" s="20"/>
    </row>
    <row r="68" spans="2:9">
      <c r="B68" s="102"/>
      <c r="C68" s="19"/>
      <c r="D68" s="19"/>
      <c r="E68" s="19"/>
      <c r="F68" s="20"/>
      <c r="G68" s="19"/>
      <c r="H68" s="19"/>
      <c r="I68" s="20"/>
    </row>
    <row r="69" spans="2:9">
      <c r="B69" s="102"/>
      <c r="C69" s="19"/>
      <c r="D69" s="19"/>
      <c r="E69" s="19"/>
      <c r="F69" s="20"/>
      <c r="G69" s="19"/>
      <c r="H69" s="19"/>
      <c r="I69" s="20"/>
    </row>
    <row r="70" spans="2:9">
      <c r="B70" s="102"/>
      <c r="C70" s="19"/>
      <c r="D70" s="19"/>
      <c r="E70" s="19"/>
      <c r="F70" s="20"/>
      <c r="G70" s="19"/>
      <c r="H70" s="19"/>
      <c r="I70" s="20"/>
    </row>
    <row r="71" spans="2:9">
      <c r="B71" s="102"/>
      <c r="C71" s="19"/>
      <c r="D71" s="19"/>
      <c r="E71" s="19"/>
      <c r="F71" s="20"/>
      <c r="G71" s="19"/>
      <c r="H71" s="19"/>
      <c r="I71" s="20"/>
    </row>
    <row r="72" spans="2:9">
      <c r="B72" s="102"/>
      <c r="C72" s="19"/>
      <c r="D72" s="19"/>
      <c r="E72" s="19"/>
      <c r="F72" s="20"/>
      <c r="G72" s="19"/>
      <c r="H72" s="19"/>
      <c r="I72" s="20"/>
    </row>
    <row r="73" spans="2:9">
      <c r="B73" s="102"/>
      <c r="C73" s="19"/>
      <c r="D73" s="19"/>
      <c r="E73" s="19"/>
      <c r="F73" s="20"/>
      <c r="G73" s="19"/>
      <c r="H73" s="19"/>
      <c r="I73" s="20"/>
    </row>
    <row r="74" spans="2:9">
      <c r="B74" s="102"/>
      <c r="C74" s="19"/>
      <c r="D74" s="19"/>
      <c r="E74" s="19"/>
      <c r="F74" s="20"/>
      <c r="G74" s="19"/>
      <c r="H74" s="19"/>
      <c r="I74" s="20"/>
    </row>
    <row r="75" spans="2:9">
      <c r="B75" s="102"/>
      <c r="C75" s="19"/>
      <c r="D75" s="19"/>
      <c r="E75" s="19"/>
      <c r="F75" s="20"/>
      <c r="G75" s="19"/>
      <c r="H75" s="19"/>
      <c r="I75" s="20"/>
    </row>
    <row r="76" spans="2:9">
      <c r="B76" s="102"/>
      <c r="C76" s="19"/>
      <c r="D76" s="19"/>
      <c r="E76" s="19"/>
      <c r="F76" s="20"/>
      <c r="G76" s="19"/>
      <c r="H76" s="19"/>
      <c r="I76" s="20"/>
    </row>
    <row r="77" spans="2:9">
      <c r="B77" s="102"/>
      <c r="C77" s="19"/>
      <c r="D77" s="19"/>
      <c r="E77" s="19"/>
      <c r="F77" s="20"/>
      <c r="G77" s="19"/>
      <c r="H77" s="19"/>
      <c r="I77" s="20"/>
    </row>
    <row r="78" spans="2:9">
      <c r="B78" s="102"/>
      <c r="C78" s="19"/>
      <c r="D78" s="19"/>
      <c r="E78" s="19"/>
      <c r="F78" s="20"/>
      <c r="G78" s="19"/>
      <c r="H78" s="19"/>
      <c r="I78" s="20"/>
    </row>
    <row r="79" spans="2:9">
      <c r="B79" s="102"/>
      <c r="C79" s="19"/>
      <c r="D79" s="19"/>
      <c r="E79" s="19"/>
      <c r="F79" s="20"/>
      <c r="G79" s="19"/>
      <c r="H79" s="19"/>
      <c r="I79" s="20"/>
    </row>
    <row r="80" spans="2:9">
      <c r="B80" s="102"/>
      <c r="C80" s="19"/>
      <c r="D80" s="19"/>
      <c r="E80" s="19"/>
      <c r="F80" s="20"/>
      <c r="G80" s="19"/>
      <c r="H80" s="19"/>
      <c r="I80" s="20"/>
    </row>
    <row r="81" spans="2:9">
      <c r="B81" s="102"/>
      <c r="C81" s="19"/>
      <c r="D81" s="19"/>
      <c r="E81" s="19"/>
      <c r="F81" s="20"/>
      <c r="G81" s="19"/>
      <c r="H81" s="19"/>
      <c r="I81" s="20"/>
    </row>
    <row r="82" spans="2:9">
      <c r="B82" s="102"/>
      <c r="C82" s="19"/>
      <c r="D82" s="19"/>
      <c r="E82" s="19"/>
      <c r="F82" s="20"/>
      <c r="G82" s="19"/>
      <c r="H82" s="19"/>
      <c r="I82" s="20"/>
    </row>
    <row r="83" spans="2:9">
      <c r="B83" s="102"/>
      <c r="C83" s="19"/>
      <c r="D83" s="19"/>
      <c r="E83" s="19"/>
      <c r="F83" s="20"/>
      <c r="G83" s="19"/>
      <c r="H83" s="19"/>
      <c r="I83" s="20"/>
    </row>
    <row r="84" spans="2:9">
      <c r="B84" s="102"/>
      <c r="C84" s="19"/>
      <c r="D84" s="19"/>
      <c r="E84" s="19"/>
      <c r="F84" s="20"/>
      <c r="G84" s="19"/>
      <c r="H84" s="19"/>
      <c r="I84" s="20"/>
    </row>
    <row r="85" spans="2:9">
      <c r="B85" s="102"/>
      <c r="C85" s="19"/>
      <c r="D85" s="19"/>
      <c r="E85" s="19"/>
      <c r="F85" s="20"/>
      <c r="G85" s="19"/>
      <c r="H85" s="19"/>
      <c r="I85" s="20"/>
    </row>
    <row r="86" spans="2:9">
      <c r="B86" s="102"/>
      <c r="C86" s="19"/>
      <c r="D86" s="19"/>
      <c r="E86" s="19"/>
      <c r="F86" s="20"/>
      <c r="G86" s="19"/>
      <c r="H86" s="19"/>
      <c r="I86" s="20"/>
    </row>
    <row r="87" spans="2:9">
      <c r="B87" s="102"/>
      <c r="C87" s="19"/>
      <c r="D87" s="19"/>
      <c r="E87" s="19"/>
      <c r="F87" s="20"/>
      <c r="G87" s="19"/>
      <c r="H87" s="19"/>
      <c r="I87" s="20"/>
    </row>
    <row r="88" spans="2:9">
      <c r="B88" s="102"/>
      <c r="C88" s="19"/>
      <c r="D88" s="19"/>
      <c r="E88" s="19"/>
      <c r="F88" s="20"/>
      <c r="G88" s="19"/>
      <c r="H88" s="19"/>
      <c r="I88" s="20"/>
    </row>
    <row r="89" spans="2:9">
      <c r="B89" s="102"/>
      <c r="C89" s="19"/>
      <c r="D89" s="19"/>
      <c r="E89" s="19"/>
      <c r="F89" s="20"/>
      <c r="G89" s="19"/>
      <c r="H89" s="19"/>
      <c r="I89" s="20"/>
    </row>
    <row r="90" spans="2:9">
      <c r="B90" s="102"/>
      <c r="C90" s="19"/>
      <c r="D90" s="19"/>
      <c r="E90" s="19"/>
      <c r="F90" s="20"/>
      <c r="G90" s="19"/>
      <c r="H90" s="19"/>
      <c r="I90" s="20"/>
    </row>
    <row r="91" spans="2:9">
      <c r="B91" s="102"/>
      <c r="C91" s="19"/>
      <c r="D91" s="19"/>
      <c r="E91" s="19"/>
      <c r="F91" s="20"/>
      <c r="G91" s="19"/>
      <c r="H91" s="19"/>
      <c r="I91" s="20"/>
    </row>
    <row r="92" spans="2:9">
      <c r="B92" s="102"/>
      <c r="C92" s="19"/>
      <c r="D92" s="19"/>
      <c r="E92" s="19"/>
      <c r="F92" s="20"/>
      <c r="G92" s="19"/>
      <c r="H92" s="19"/>
      <c r="I92" s="20"/>
    </row>
    <row r="93" spans="2:9">
      <c r="B93" s="102"/>
      <c r="C93" s="19"/>
      <c r="D93" s="19"/>
      <c r="E93" s="19"/>
      <c r="F93" s="20"/>
      <c r="G93" s="19"/>
      <c r="H93" s="19"/>
      <c r="I93" s="20"/>
    </row>
    <row r="94" spans="2:9">
      <c r="B94" s="102"/>
      <c r="C94" s="19"/>
      <c r="D94" s="19"/>
      <c r="E94" s="19"/>
      <c r="F94" s="20"/>
      <c r="G94" s="19"/>
      <c r="H94" s="19"/>
      <c r="I94" s="20"/>
    </row>
    <row r="95" spans="2:9">
      <c r="B95" s="102"/>
      <c r="C95" s="19"/>
      <c r="D95" s="19"/>
      <c r="E95" s="19"/>
      <c r="F95" s="20"/>
      <c r="G95" s="19"/>
      <c r="H95" s="19"/>
      <c r="I95" s="20"/>
    </row>
    <row r="96" spans="2:9">
      <c r="B96" s="102"/>
      <c r="C96" s="19"/>
      <c r="D96" s="19"/>
      <c r="E96" s="19"/>
      <c r="F96" s="20"/>
      <c r="G96" s="19"/>
      <c r="H96" s="19"/>
      <c r="I96" s="20"/>
    </row>
    <row r="97" spans="2:9">
      <c r="B97" s="102"/>
      <c r="C97" s="19"/>
      <c r="D97" s="19"/>
      <c r="E97" s="19"/>
      <c r="F97" s="20"/>
      <c r="G97" s="19"/>
      <c r="H97" s="19"/>
      <c r="I97" s="20"/>
    </row>
    <row r="98" spans="2:9">
      <c r="B98" s="102"/>
      <c r="C98" s="19"/>
      <c r="D98" s="19"/>
      <c r="E98" s="19"/>
      <c r="F98" s="20"/>
      <c r="G98" s="19"/>
      <c r="H98" s="19"/>
      <c r="I98" s="20"/>
    </row>
    <row r="99" spans="2:9">
      <c r="B99" s="102"/>
      <c r="C99" s="19"/>
      <c r="D99" s="19"/>
      <c r="E99" s="19"/>
      <c r="F99" s="20"/>
      <c r="G99" s="19"/>
      <c r="H99" s="19"/>
      <c r="I99" s="20"/>
    </row>
    <row r="100" spans="2:9">
      <c r="B100" s="102"/>
      <c r="C100" s="19"/>
      <c r="D100" s="19"/>
      <c r="E100" s="19"/>
      <c r="F100" s="20"/>
      <c r="G100" s="19"/>
      <c r="H100" s="19"/>
      <c r="I100" s="20"/>
    </row>
    <row r="101" spans="2:9">
      <c r="B101" s="102"/>
      <c r="C101" s="19"/>
      <c r="D101" s="19"/>
      <c r="E101" s="19"/>
      <c r="F101" s="20"/>
      <c r="G101" s="19"/>
      <c r="H101" s="19"/>
      <c r="I101" s="20"/>
    </row>
    <row r="102" spans="2:9">
      <c r="B102" s="102"/>
      <c r="C102" s="19"/>
      <c r="D102" s="19"/>
      <c r="E102" s="19"/>
      <c r="F102" s="20"/>
      <c r="G102" s="19"/>
      <c r="H102" s="19"/>
      <c r="I102" s="20"/>
    </row>
    <row r="103" spans="2:9">
      <c r="B103" s="102"/>
      <c r="C103" s="19"/>
      <c r="D103" s="19"/>
      <c r="E103" s="19"/>
      <c r="F103" s="20"/>
      <c r="G103" s="19"/>
      <c r="H103" s="19"/>
      <c r="I103" s="20"/>
    </row>
    <row r="104" spans="2:9">
      <c r="B104" s="102"/>
      <c r="C104" s="19"/>
      <c r="D104" s="19"/>
      <c r="E104" s="19"/>
      <c r="F104" s="20"/>
      <c r="G104" s="19"/>
      <c r="H104" s="19"/>
      <c r="I104" s="20"/>
    </row>
    <row r="105" spans="2:9">
      <c r="B105" s="102"/>
      <c r="C105" s="19"/>
      <c r="D105" s="19"/>
      <c r="E105" s="19"/>
      <c r="F105" s="20"/>
      <c r="G105" s="19"/>
      <c r="H105" s="19"/>
      <c r="I105" s="20"/>
    </row>
    <row r="106" spans="2:9">
      <c r="B106" s="102"/>
      <c r="C106" s="19"/>
      <c r="D106" s="19"/>
      <c r="E106" s="19"/>
      <c r="F106" s="20"/>
      <c r="G106" s="19"/>
      <c r="H106" s="19"/>
      <c r="I106" s="20"/>
    </row>
    <row r="107" spans="2:9">
      <c r="B107" s="102"/>
      <c r="C107" s="19"/>
      <c r="D107" s="19"/>
      <c r="E107" s="19"/>
      <c r="F107" s="20"/>
      <c r="G107" s="19"/>
      <c r="H107" s="19"/>
      <c r="I107" s="20"/>
    </row>
    <row r="108" spans="2:9">
      <c r="B108" s="102"/>
      <c r="C108" s="19"/>
      <c r="D108" s="19"/>
      <c r="E108" s="19"/>
      <c r="F108" s="20"/>
      <c r="G108" s="19"/>
      <c r="H108" s="19"/>
      <c r="I108" s="20"/>
    </row>
    <row r="109" spans="2:9">
      <c r="B109" s="102"/>
      <c r="C109" s="19"/>
      <c r="D109" s="19"/>
      <c r="E109" s="19"/>
      <c r="F109" s="20"/>
      <c r="G109" s="19"/>
      <c r="H109" s="19"/>
      <c r="I109" s="20"/>
    </row>
    <row r="110" spans="2:9">
      <c r="B110" s="102"/>
      <c r="C110" s="19"/>
      <c r="D110" s="19"/>
      <c r="E110" s="19"/>
      <c r="F110" s="20"/>
      <c r="G110" s="19"/>
      <c r="H110" s="19"/>
      <c r="I110" s="20"/>
    </row>
    <row r="111" spans="2:9">
      <c r="B111" s="102"/>
      <c r="C111" s="19"/>
      <c r="D111" s="19"/>
      <c r="E111" s="19"/>
      <c r="F111" s="20"/>
      <c r="G111" s="19"/>
      <c r="H111" s="19"/>
      <c r="I111" s="20"/>
    </row>
    <row r="112" spans="2:9">
      <c r="B112" s="102"/>
      <c r="C112" s="19"/>
      <c r="D112" s="19"/>
      <c r="E112" s="19"/>
      <c r="F112" s="20"/>
      <c r="G112" s="19"/>
      <c r="H112" s="19"/>
      <c r="I112" s="20"/>
    </row>
    <row r="113" spans="2:9">
      <c r="B113" s="102"/>
      <c r="C113" s="19"/>
      <c r="D113" s="19"/>
      <c r="E113" s="19"/>
      <c r="F113" s="20"/>
      <c r="G113" s="19"/>
      <c r="H113" s="19"/>
      <c r="I113" s="20"/>
    </row>
    <row r="114" spans="2:9">
      <c r="B114" s="102"/>
      <c r="C114" s="19"/>
      <c r="D114" s="19"/>
      <c r="E114" s="19"/>
      <c r="F114" s="20"/>
      <c r="G114" s="19"/>
      <c r="H114" s="19"/>
      <c r="I114" s="20"/>
    </row>
    <row r="115" spans="2:9">
      <c r="B115" s="102"/>
      <c r="C115" s="19"/>
      <c r="D115" s="19"/>
      <c r="E115" s="19"/>
      <c r="F115" s="20"/>
      <c r="G115" s="19"/>
      <c r="H115" s="19"/>
      <c r="I115" s="20"/>
    </row>
    <row r="116" spans="2:9">
      <c r="B116" s="102"/>
      <c r="C116" s="19"/>
      <c r="D116" s="19"/>
      <c r="E116" s="19"/>
      <c r="F116" s="20"/>
      <c r="G116" s="19"/>
      <c r="H116" s="19"/>
      <c r="I116" s="20"/>
    </row>
    <row r="117" spans="2:9">
      <c r="B117" s="102"/>
      <c r="C117" s="19"/>
      <c r="D117" s="19"/>
      <c r="E117" s="19"/>
      <c r="F117" s="20"/>
      <c r="G117" s="19"/>
      <c r="H117" s="19"/>
      <c r="I117" s="20"/>
    </row>
    <row r="118" spans="2:9">
      <c r="B118" s="102"/>
      <c r="C118" s="19"/>
      <c r="D118" s="19"/>
      <c r="E118" s="19"/>
      <c r="F118" s="20"/>
      <c r="G118" s="19"/>
      <c r="H118" s="19"/>
      <c r="I118" s="20"/>
    </row>
    <row r="119" spans="2:9">
      <c r="B119" s="102"/>
      <c r="C119" s="19"/>
      <c r="D119" s="19"/>
      <c r="E119" s="19"/>
      <c r="F119" s="20"/>
      <c r="G119" s="19"/>
      <c r="H119" s="19"/>
      <c r="I119" s="20"/>
    </row>
    <row r="120" spans="2:9">
      <c r="B120" s="102"/>
      <c r="C120" s="19"/>
      <c r="D120" s="19"/>
      <c r="E120" s="19"/>
      <c r="F120" s="20"/>
      <c r="G120" s="19"/>
      <c r="H120" s="19"/>
      <c r="I120" s="20"/>
    </row>
    <row r="121" spans="2:9">
      <c r="B121" s="102"/>
      <c r="C121" s="19"/>
      <c r="D121" s="19"/>
      <c r="E121" s="19"/>
      <c r="F121" s="20"/>
      <c r="G121" s="19"/>
      <c r="H121" s="19"/>
      <c r="I121" s="20"/>
    </row>
    <row r="122" spans="2:9">
      <c r="B122" s="102"/>
      <c r="C122" s="19"/>
      <c r="D122" s="19"/>
      <c r="E122" s="19"/>
      <c r="F122" s="20"/>
      <c r="G122" s="19"/>
      <c r="H122" s="19"/>
      <c r="I122" s="20"/>
    </row>
    <row r="123" spans="2:9">
      <c r="B123" s="102"/>
      <c r="C123" s="19"/>
      <c r="D123" s="19"/>
      <c r="E123" s="19"/>
      <c r="F123" s="20"/>
      <c r="G123" s="19"/>
      <c r="H123" s="19"/>
      <c r="I123" s="20"/>
    </row>
    <row r="124" spans="2:9">
      <c r="B124" s="102"/>
      <c r="C124" s="19"/>
      <c r="D124" s="19"/>
      <c r="E124" s="19"/>
      <c r="F124" s="20"/>
      <c r="G124" s="19"/>
      <c r="H124" s="19"/>
      <c r="I124" s="20"/>
    </row>
    <row r="125" spans="2:9">
      <c r="B125" s="102"/>
      <c r="C125" s="19"/>
      <c r="D125" s="19"/>
      <c r="E125" s="19"/>
      <c r="F125" s="20"/>
      <c r="G125" s="19"/>
      <c r="H125" s="19"/>
      <c r="I125" s="20"/>
    </row>
    <row r="126" spans="2:9">
      <c r="B126" s="102"/>
      <c r="C126" s="19"/>
      <c r="D126" s="19"/>
      <c r="E126" s="19"/>
      <c r="F126" s="20"/>
      <c r="G126" s="19"/>
      <c r="H126" s="19"/>
      <c r="I126" s="20"/>
    </row>
    <row r="127" spans="2:9">
      <c r="B127" s="102"/>
      <c r="C127" s="19"/>
      <c r="D127" s="19"/>
      <c r="E127" s="19"/>
      <c r="F127" s="20"/>
      <c r="G127" s="19"/>
      <c r="H127" s="19"/>
      <c r="I127" s="20"/>
    </row>
    <row r="128" spans="2:9">
      <c r="B128" s="102"/>
      <c r="C128" s="19"/>
      <c r="D128" s="19"/>
      <c r="E128" s="19"/>
      <c r="F128" s="20"/>
      <c r="G128" s="19"/>
      <c r="H128" s="19"/>
      <c r="I128" s="20"/>
    </row>
    <row r="129" spans="2:9">
      <c r="B129" s="102"/>
      <c r="C129" s="19"/>
      <c r="D129" s="19"/>
      <c r="E129" s="19"/>
      <c r="F129" s="20"/>
      <c r="G129" s="19"/>
      <c r="H129" s="19"/>
      <c r="I129" s="20"/>
    </row>
    <row r="130" spans="2:9">
      <c r="B130" s="102"/>
      <c r="C130" s="19"/>
      <c r="D130" s="19"/>
      <c r="E130" s="19"/>
      <c r="F130" s="20"/>
      <c r="G130" s="19"/>
      <c r="H130" s="19"/>
      <c r="I130" s="20"/>
    </row>
    <row r="131" spans="2:9">
      <c r="B131" s="102"/>
      <c r="C131" s="19"/>
      <c r="D131" s="19"/>
      <c r="E131" s="19"/>
      <c r="F131" s="20"/>
      <c r="G131" s="19"/>
      <c r="H131" s="19"/>
      <c r="I131" s="20"/>
    </row>
    <row r="132" spans="2:9">
      <c r="B132" s="102"/>
      <c r="C132" s="19"/>
      <c r="D132" s="19"/>
      <c r="E132" s="19"/>
      <c r="F132" s="20"/>
      <c r="G132" s="19"/>
      <c r="H132" s="19"/>
      <c r="I132" s="20"/>
    </row>
    <row r="133" spans="2:9">
      <c r="B133" s="102"/>
      <c r="C133" s="19"/>
      <c r="D133" s="19"/>
      <c r="E133" s="19"/>
      <c r="F133" s="20"/>
      <c r="G133" s="19"/>
      <c r="H133" s="19"/>
      <c r="I133" s="20"/>
    </row>
    <row r="134" spans="2:9">
      <c r="B134" s="102"/>
      <c r="C134" s="19"/>
      <c r="D134" s="19"/>
      <c r="E134" s="19"/>
      <c r="F134" s="20"/>
      <c r="G134" s="19"/>
      <c r="H134" s="19"/>
      <c r="I134" s="20"/>
    </row>
    <row r="135" spans="2:9">
      <c r="B135" s="102"/>
      <c r="C135" s="19"/>
      <c r="D135" s="19"/>
      <c r="E135" s="19"/>
      <c r="F135" s="20"/>
      <c r="G135" s="19"/>
      <c r="H135" s="19"/>
      <c r="I135" s="20"/>
    </row>
    <row r="136" spans="2:9">
      <c r="B136" s="102"/>
      <c r="C136" s="19"/>
      <c r="D136" s="19"/>
      <c r="E136" s="19"/>
      <c r="F136" s="20"/>
      <c r="G136" s="19"/>
      <c r="H136" s="19"/>
      <c r="I136" s="20"/>
    </row>
    <row r="137" spans="2:9">
      <c r="B137" s="102"/>
      <c r="C137" s="19"/>
      <c r="D137" s="19"/>
      <c r="E137" s="19"/>
      <c r="F137" s="20"/>
      <c r="G137" s="19"/>
      <c r="H137" s="19"/>
      <c r="I137" s="20"/>
    </row>
    <row r="138" spans="2:9">
      <c r="B138" s="102"/>
      <c r="C138" s="19"/>
      <c r="D138" s="19"/>
      <c r="E138" s="19"/>
      <c r="F138" s="20"/>
      <c r="G138" s="19"/>
      <c r="H138" s="19"/>
      <c r="I138" s="20"/>
    </row>
    <row r="139" spans="2:9">
      <c r="B139" s="102"/>
      <c r="C139" s="19"/>
      <c r="D139" s="19"/>
      <c r="E139" s="19"/>
      <c r="F139" s="20"/>
      <c r="G139" s="19"/>
      <c r="H139" s="19"/>
      <c r="I139" s="20"/>
    </row>
    <row r="140" spans="2:9">
      <c r="B140" s="102"/>
      <c r="C140" s="19"/>
      <c r="D140" s="19"/>
      <c r="E140" s="19"/>
      <c r="F140" s="20"/>
      <c r="G140" s="19"/>
      <c r="H140" s="19"/>
      <c r="I140" s="20"/>
    </row>
    <row r="141" spans="2:9">
      <c r="B141" s="102"/>
      <c r="C141" s="19"/>
      <c r="D141" s="19"/>
      <c r="E141" s="19"/>
      <c r="F141" s="20"/>
      <c r="G141" s="19"/>
      <c r="H141" s="19"/>
      <c r="I141" s="20"/>
    </row>
    <row r="142" spans="2:9">
      <c r="B142" s="102"/>
      <c r="C142" s="19"/>
      <c r="D142" s="19"/>
      <c r="E142" s="19"/>
      <c r="F142" s="20"/>
      <c r="G142" s="19"/>
      <c r="H142" s="19"/>
      <c r="I142" s="20"/>
    </row>
    <row r="143" spans="2:9">
      <c r="B143" s="102"/>
      <c r="C143" s="19"/>
      <c r="D143" s="19"/>
      <c r="E143" s="19"/>
      <c r="F143" s="20"/>
      <c r="G143" s="19"/>
      <c r="H143" s="19"/>
      <c r="I143" s="20"/>
    </row>
    <row r="144" spans="2:9">
      <c r="B144" s="102"/>
      <c r="C144" s="19"/>
      <c r="D144" s="19"/>
      <c r="E144" s="19"/>
      <c r="F144" s="20"/>
      <c r="G144" s="19"/>
      <c r="H144" s="19"/>
      <c r="I144" s="20"/>
    </row>
    <row r="145" spans="2:9">
      <c r="B145" s="102"/>
      <c r="C145" s="19"/>
      <c r="D145" s="19"/>
      <c r="E145" s="19"/>
      <c r="F145" s="20"/>
      <c r="G145" s="19"/>
      <c r="H145" s="19"/>
      <c r="I145" s="20"/>
    </row>
    <row r="146" spans="2:9">
      <c r="B146" s="102"/>
      <c r="C146" s="19"/>
      <c r="D146" s="19"/>
      <c r="E146" s="19"/>
      <c r="F146" s="20"/>
      <c r="G146" s="19"/>
      <c r="H146" s="19"/>
      <c r="I146" s="20"/>
    </row>
    <row r="147" spans="2:9">
      <c r="B147" s="102"/>
      <c r="C147" s="19"/>
      <c r="D147" s="19"/>
      <c r="E147" s="19"/>
      <c r="F147" s="20"/>
      <c r="G147" s="19"/>
      <c r="H147" s="19"/>
      <c r="I147" s="20"/>
    </row>
    <row r="148" spans="2:9">
      <c r="B148" s="102"/>
      <c r="C148" s="19"/>
      <c r="D148" s="19"/>
      <c r="E148" s="19"/>
      <c r="F148" s="20"/>
      <c r="G148" s="19"/>
      <c r="H148" s="19"/>
      <c r="I148" s="20"/>
    </row>
    <row r="149" spans="2:9">
      <c r="B149" s="102"/>
      <c r="C149" s="19"/>
      <c r="D149" s="19"/>
      <c r="E149" s="19"/>
      <c r="F149" s="20"/>
      <c r="G149" s="19"/>
      <c r="H149" s="19"/>
      <c r="I149" s="20"/>
    </row>
    <row r="150" spans="2:9">
      <c r="B150" s="102"/>
      <c r="C150" s="19"/>
      <c r="D150" s="19"/>
      <c r="E150" s="19"/>
      <c r="F150" s="20"/>
      <c r="G150" s="19"/>
      <c r="H150" s="19"/>
      <c r="I150" s="20"/>
    </row>
    <row r="151" spans="2:9">
      <c r="B151" s="102"/>
      <c r="C151" s="19"/>
      <c r="D151" s="19"/>
      <c r="E151" s="19"/>
      <c r="F151" s="20"/>
      <c r="G151" s="19"/>
      <c r="H151" s="19"/>
      <c r="I151" s="20"/>
    </row>
    <row r="152" spans="2:9">
      <c r="B152" s="102"/>
      <c r="C152" s="19"/>
      <c r="D152" s="19"/>
      <c r="E152" s="19"/>
      <c r="F152" s="20"/>
      <c r="G152" s="19"/>
      <c r="H152" s="19"/>
      <c r="I152" s="20"/>
    </row>
    <row r="153" spans="2:9">
      <c r="B153" s="102"/>
      <c r="C153" s="19"/>
      <c r="D153" s="19"/>
      <c r="E153" s="19"/>
      <c r="F153" s="20"/>
      <c r="G153" s="19"/>
      <c r="H153" s="19"/>
      <c r="I153" s="20"/>
    </row>
    <row r="154" spans="2:9">
      <c r="B154" s="102"/>
      <c r="C154" s="19"/>
      <c r="D154" s="19"/>
      <c r="E154" s="19"/>
      <c r="F154" s="20"/>
      <c r="G154" s="19"/>
      <c r="H154" s="19"/>
      <c r="I154" s="20"/>
    </row>
    <row r="155" spans="2:9">
      <c r="B155" s="102"/>
      <c r="C155" s="19"/>
      <c r="D155" s="19"/>
      <c r="E155" s="19"/>
      <c r="F155" s="20"/>
      <c r="G155" s="19"/>
      <c r="H155" s="19"/>
      <c r="I155" s="20"/>
    </row>
    <row r="156" spans="2:9">
      <c r="B156" s="102"/>
      <c r="C156" s="19"/>
      <c r="D156" s="19"/>
      <c r="E156" s="19"/>
      <c r="F156" s="20"/>
      <c r="G156" s="19"/>
      <c r="H156" s="19"/>
      <c r="I156" s="20"/>
    </row>
    <row r="157" spans="2:9">
      <c r="B157" s="102"/>
      <c r="C157" s="19"/>
      <c r="D157" s="19"/>
      <c r="E157" s="19"/>
      <c r="F157" s="20"/>
      <c r="G157" s="19"/>
      <c r="H157" s="19"/>
      <c r="I157" s="20"/>
    </row>
    <row r="158" spans="2:9">
      <c r="B158" s="102"/>
      <c r="C158" s="19"/>
      <c r="D158" s="19"/>
      <c r="E158" s="19"/>
      <c r="F158" s="20"/>
      <c r="G158" s="19"/>
      <c r="H158" s="19"/>
      <c r="I158" s="20"/>
    </row>
    <row r="159" spans="2:9">
      <c r="B159" s="102"/>
      <c r="C159" s="19"/>
      <c r="D159" s="19"/>
      <c r="E159" s="19"/>
      <c r="F159" s="20"/>
      <c r="G159" s="19"/>
      <c r="H159" s="19"/>
      <c r="I159" s="20"/>
    </row>
    <row r="160" spans="2:9">
      <c r="B160" s="102"/>
      <c r="C160" s="19"/>
      <c r="D160" s="19"/>
      <c r="E160" s="19"/>
      <c r="F160" s="20"/>
      <c r="G160" s="19"/>
      <c r="H160" s="19"/>
      <c r="I160" s="20"/>
    </row>
    <row r="161" spans="2:9">
      <c r="B161" s="102"/>
      <c r="C161" s="19"/>
      <c r="D161" s="19"/>
      <c r="E161" s="19"/>
      <c r="F161" s="20"/>
      <c r="G161" s="19"/>
      <c r="H161" s="19"/>
      <c r="I161" s="20"/>
    </row>
    <row r="162" spans="2:9">
      <c r="B162" s="102"/>
      <c r="C162" s="19"/>
      <c r="D162" s="19"/>
      <c r="E162" s="19"/>
      <c r="F162" s="20"/>
      <c r="G162" s="19"/>
      <c r="H162" s="19"/>
      <c r="I162" s="20"/>
    </row>
    <row r="163" spans="2:9">
      <c r="B163" s="102"/>
      <c r="C163" s="19"/>
      <c r="D163" s="19"/>
      <c r="E163" s="19"/>
      <c r="F163" s="20"/>
      <c r="G163" s="19"/>
      <c r="H163" s="19"/>
      <c r="I163" s="20"/>
    </row>
    <row r="164" spans="2:9">
      <c r="B164" s="102"/>
      <c r="C164" s="19"/>
      <c r="D164" s="19"/>
      <c r="E164" s="19"/>
      <c r="F164" s="20"/>
      <c r="G164" s="19"/>
      <c r="H164" s="19"/>
      <c r="I164" s="20"/>
    </row>
    <row r="165" spans="2:9">
      <c r="B165" s="102"/>
      <c r="C165" s="19"/>
      <c r="D165" s="19"/>
      <c r="E165" s="19"/>
      <c r="F165" s="20"/>
      <c r="G165" s="19"/>
      <c r="H165" s="19"/>
      <c r="I165" s="20"/>
    </row>
    <row r="166" spans="2:9">
      <c r="B166" s="102"/>
      <c r="C166" s="19"/>
      <c r="D166" s="19"/>
      <c r="E166" s="19"/>
      <c r="F166" s="20"/>
      <c r="G166" s="19"/>
      <c r="H166" s="19"/>
      <c r="I166" s="20"/>
    </row>
    <row r="167" spans="2:9">
      <c r="B167" s="102"/>
      <c r="C167" s="19"/>
      <c r="D167" s="19"/>
      <c r="E167" s="19"/>
      <c r="F167" s="20"/>
      <c r="G167" s="19"/>
      <c r="H167" s="19"/>
      <c r="I167" s="20"/>
    </row>
    <row r="168" spans="2:9">
      <c r="B168" s="102"/>
      <c r="C168" s="19"/>
      <c r="D168" s="19"/>
      <c r="E168" s="19"/>
      <c r="F168" s="20"/>
      <c r="G168" s="19"/>
      <c r="H168" s="19"/>
      <c r="I168" s="20"/>
    </row>
    <row r="169" spans="2:9">
      <c r="B169" s="102"/>
      <c r="C169" s="19"/>
      <c r="D169" s="19"/>
      <c r="E169" s="19"/>
      <c r="F169" s="20"/>
      <c r="G169" s="19"/>
      <c r="H169" s="19"/>
      <c r="I169" s="20"/>
    </row>
    <row r="170" spans="2:9">
      <c r="B170" s="102"/>
      <c r="C170" s="19"/>
      <c r="D170" s="19"/>
      <c r="E170" s="19"/>
      <c r="F170" s="20"/>
      <c r="G170" s="19"/>
      <c r="H170" s="19"/>
      <c r="I170" s="20"/>
    </row>
    <row r="171" spans="2:9">
      <c r="B171" s="102"/>
      <c r="C171" s="19"/>
      <c r="D171" s="19"/>
      <c r="E171" s="19"/>
      <c r="F171" s="20"/>
      <c r="G171" s="19"/>
      <c r="H171" s="19"/>
      <c r="I171" s="20"/>
    </row>
    <row r="172" spans="2:9">
      <c r="B172" s="102"/>
      <c r="C172" s="19"/>
      <c r="D172" s="19"/>
      <c r="E172" s="19"/>
      <c r="F172" s="20"/>
      <c r="G172" s="19"/>
      <c r="H172" s="19"/>
      <c r="I172" s="20"/>
    </row>
    <row r="173" spans="2:9">
      <c r="B173" s="102"/>
      <c r="C173" s="19"/>
      <c r="D173" s="19"/>
      <c r="E173" s="19"/>
      <c r="F173" s="20"/>
      <c r="G173" s="19"/>
      <c r="H173" s="19"/>
      <c r="I173" s="20"/>
    </row>
    <row r="174" spans="2:9">
      <c r="B174" s="102"/>
      <c r="C174" s="19"/>
      <c r="D174" s="19"/>
      <c r="E174" s="19"/>
      <c r="F174" s="20"/>
      <c r="G174" s="19"/>
      <c r="H174" s="19"/>
      <c r="I174" s="20"/>
    </row>
    <row r="175" spans="2:9">
      <c r="B175" s="102"/>
      <c r="C175" s="19"/>
      <c r="D175" s="19"/>
      <c r="E175" s="19"/>
      <c r="F175" s="20"/>
      <c r="G175" s="19"/>
      <c r="H175" s="19"/>
      <c r="I175" s="20"/>
    </row>
    <row r="176" spans="2:9">
      <c r="B176" s="102"/>
      <c r="C176" s="19"/>
      <c r="D176" s="19"/>
      <c r="E176" s="19"/>
      <c r="F176" s="20"/>
      <c r="G176" s="19"/>
      <c r="H176" s="19"/>
      <c r="I176" s="20"/>
    </row>
    <row r="177" spans="2:9">
      <c r="B177" s="102"/>
      <c r="C177" s="19"/>
      <c r="D177" s="19"/>
      <c r="E177" s="19"/>
      <c r="F177" s="20"/>
      <c r="G177" s="19"/>
      <c r="H177" s="19"/>
      <c r="I177" s="20"/>
    </row>
    <row r="178" spans="2:9">
      <c r="B178" s="102"/>
      <c r="C178" s="19"/>
      <c r="D178" s="19"/>
      <c r="E178" s="19"/>
      <c r="F178" s="20"/>
      <c r="G178" s="19"/>
      <c r="H178" s="19"/>
      <c r="I178" s="20"/>
    </row>
    <row r="179" spans="2:9">
      <c r="B179" s="102"/>
      <c r="C179" s="19"/>
      <c r="D179" s="19"/>
      <c r="E179" s="19"/>
      <c r="F179" s="20"/>
      <c r="G179" s="19"/>
      <c r="H179" s="19"/>
      <c r="I179" s="20"/>
    </row>
    <row r="180" spans="2:9">
      <c r="B180" s="102"/>
      <c r="C180" s="19"/>
      <c r="D180" s="19"/>
      <c r="E180" s="19"/>
      <c r="F180" s="20"/>
      <c r="G180" s="19"/>
      <c r="H180" s="19"/>
      <c r="I180" s="20"/>
    </row>
    <row r="181" spans="2:9">
      <c r="B181" s="102"/>
      <c r="C181" s="19"/>
      <c r="D181" s="19"/>
      <c r="E181" s="19"/>
      <c r="F181" s="20"/>
      <c r="G181" s="19"/>
      <c r="H181" s="19"/>
      <c r="I181" s="20"/>
    </row>
    <row r="182" spans="2:9">
      <c r="B182" s="102"/>
      <c r="C182" s="19"/>
      <c r="D182" s="19"/>
      <c r="E182" s="19"/>
      <c r="F182" s="20"/>
      <c r="G182" s="19"/>
      <c r="H182" s="19"/>
      <c r="I182" s="20"/>
    </row>
    <row r="183" spans="2:9">
      <c r="B183" s="102"/>
      <c r="C183" s="19"/>
      <c r="D183" s="19"/>
      <c r="E183" s="19"/>
      <c r="F183" s="20"/>
      <c r="G183" s="19"/>
      <c r="H183" s="19"/>
      <c r="I183" s="20"/>
    </row>
    <row r="184" spans="2:9">
      <c r="B184" s="102"/>
      <c r="C184" s="19"/>
      <c r="D184" s="19"/>
      <c r="E184" s="19"/>
      <c r="F184" s="20"/>
      <c r="G184" s="19"/>
      <c r="H184" s="19"/>
      <c r="I184" s="20"/>
    </row>
    <row r="185" spans="2:9">
      <c r="B185" s="102"/>
      <c r="C185" s="19"/>
      <c r="D185" s="19"/>
      <c r="E185" s="19"/>
      <c r="F185" s="20"/>
      <c r="G185" s="19"/>
      <c r="H185" s="19"/>
      <c r="I185" s="20"/>
    </row>
    <row r="186" spans="2:9">
      <c r="B186" s="102"/>
      <c r="C186" s="19"/>
      <c r="D186" s="19"/>
      <c r="E186" s="19"/>
      <c r="F186" s="20"/>
      <c r="G186" s="19"/>
      <c r="H186" s="19"/>
      <c r="I186" s="20"/>
    </row>
    <row r="187" spans="2:9">
      <c r="B187" s="102"/>
      <c r="C187" s="19"/>
      <c r="D187" s="19"/>
      <c r="E187" s="19"/>
      <c r="F187" s="20"/>
      <c r="G187" s="19"/>
      <c r="H187" s="19"/>
      <c r="I187" s="20"/>
    </row>
    <row r="188" spans="2:9">
      <c r="B188" s="102"/>
      <c r="C188" s="19"/>
      <c r="D188" s="19"/>
      <c r="E188" s="19"/>
      <c r="F188" s="20"/>
      <c r="G188" s="19"/>
      <c r="H188" s="19"/>
      <c r="I188" s="20"/>
    </row>
    <row r="189" spans="2:9">
      <c r="B189" s="102"/>
      <c r="C189" s="19"/>
      <c r="D189" s="19"/>
      <c r="E189" s="19"/>
      <c r="F189" s="20"/>
      <c r="G189" s="19"/>
      <c r="H189" s="19"/>
      <c r="I189" s="20"/>
    </row>
    <row r="190" spans="2:9">
      <c r="B190" s="102"/>
      <c r="C190" s="19"/>
      <c r="D190" s="19"/>
      <c r="E190" s="19"/>
      <c r="F190" s="20"/>
      <c r="G190" s="19"/>
      <c r="H190" s="19"/>
      <c r="I190" s="20"/>
    </row>
    <row r="191" spans="2:9">
      <c r="B191" s="102"/>
      <c r="C191" s="19"/>
      <c r="D191" s="19"/>
      <c r="E191" s="19"/>
      <c r="F191" s="20"/>
      <c r="G191" s="19"/>
      <c r="H191" s="19"/>
      <c r="I191" s="20"/>
    </row>
    <row r="192" spans="2:9">
      <c r="B192" s="102"/>
      <c r="C192" s="19"/>
      <c r="D192" s="19"/>
      <c r="E192" s="19"/>
      <c r="F192" s="20"/>
      <c r="G192" s="19"/>
      <c r="H192" s="19"/>
      <c r="I192" s="20"/>
    </row>
    <row r="193" spans="2:9">
      <c r="B193" s="102"/>
      <c r="C193" s="19"/>
      <c r="D193" s="19"/>
      <c r="E193" s="19"/>
      <c r="F193" s="20"/>
      <c r="G193" s="19"/>
      <c r="H193" s="19"/>
      <c r="I193" s="20"/>
    </row>
    <row r="194" spans="2:9">
      <c r="B194" s="102"/>
      <c r="C194" s="19"/>
      <c r="D194" s="19"/>
      <c r="E194" s="19"/>
      <c r="F194" s="20"/>
      <c r="G194" s="19"/>
      <c r="H194" s="19"/>
      <c r="I194" s="20"/>
    </row>
    <row r="195" spans="2:9">
      <c r="B195" s="102"/>
      <c r="C195" s="19"/>
      <c r="D195" s="19"/>
      <c r="E195" s="19"/>
      <c r="F195" s="20"/>
      <c r="G195" s="19"/>
      <c r="H195" s="19"/>
      <c r="I195" s="20"/>
    </row>
    <row r="196" spans="2:9">
      <c r="B196" s="102"/>
      <c r="C196" s="19"/>
      <c r="D196" s="19"/>
      <c r="E196" s="19"/>
      <c r="F196" s="20"/>
      <c r="G196" s="19"/>
      <c r="H196" s="19"/>
      <c r="I196" s="20"/>
    </row>
    <row r="197" spans="2:9">
      <c r="B197" s="102"/>
      <c r="C197" s="19"/>
      <c r="D197" s="19"/>
      <c r="E197" s="19"/>
      <c r="F197" s="20"/>
      <c r="G197" s="19"/>
      <c r="H197" s="19"/>
      <c r="I197" s="20"/>
    </row>
    <row r="198" spans="2:9">
      <c r="B198" s="102"/>
      <c r="C198" s="19"/>
      <c r="D198" s="19"/>
      <c r="E198" s="19"/>
      <c r="F198" s="20"/>
      <c r="G198" s="19"/>
      <c r="H198" s="19"/>
      <c r="I198" s="20"/>
    </row>
    <row r="199" spans="2:9">
      <c r="B199" s="102"/>
      <c r="C199" s="19"/>
      <c r="D199" s="19"/>
      <c r="E199" s="19"/>
      <c r="F199" s="20"/>
      <c r="G199" s="19"/>
      <c r="H199" s="19"/>
      <c r="I199" s="20"/>
    </row>
    <row r="200" spans="2:9">
      <c r="B200" s="102"/>
      <c r="C200" s="19"/>
      <c r="D200" s="19"/>
      <c r="E200" s="19"/>
      <c r="F200" s="20"/>
      <c r="G200" s="19"/>
      <c r="H200" s="19"/>
      <c r="I200" s="20"/>
    </row>
    <row r="201" spans="2:9">
      <c r="B201" s="102"/>
      <c r="C201" s="19"/>
      <c r="D201" s="19"/>
      <c r="E201" s="19"/>
      <c r="F201" s="20"/>
      <c r="G201" s="19"/>
      <c r="H201" s="19"/>
      <c r="I201" s="20"/>
    </row>
    <row r="202" spans="2:9">
      <c r="B202" s="102"/>
      <c r="C202" s="19"/>
      <c r="D202" s="19"/>
      <c r="E202" s="19"/>
      <c r="F202" s="20"/>
      <c r="G202" s="19"/>
      <c r="H202" s="19"/>
      <c r="I202" s="20"/>
    </row>
    <row r="203" spans="2:9">
      <c r="B203" s="102"/>
      <c r="C203" s="19"/>
      <c r="D203" s="19"/>
      <c r="E203" s="19"/>
      <c r="F203" s="20"/>
      <c r="G203" s="19"/>
      <c r="H203" s="19"/>
      <c r="I203" s="20"/>
    </row>
    <row r="204" spans="2:9">
      <c r="B204" s="102"/>
      <c r="C204" s="19"/>
      <c r="D204" s="19"/>
      <c r="E204" s="19"/>
      <c r="F204" s="20"/>
      <c r="G204" s="19"/>
      <c r="H204" s="19"/>
      <c r="I204" s="20"/>
    </row>
    <row r="205" spans="2:9">
      <c r="B205" s="102"/>
      <c r="C205" s="19"/>
      <c r="D205" s="19"/>
      <c r="E205" s="19"/>
      <c r="F205" s="20"/>
      <c r="G205" s="19"/>
      <c r="H205" s="19"/>
      <c r="I205" s="20"/>
    </row>
    <row r="206" spans="2:9">
      <c r="B206" s="102"/>
      <c r="C206" s="19"/>
      <c r="D206" s="19"/>
      <c r="E206" s="19"/>
      <c r="F206" s="20"/>
      <c r="G206" s="19"/>
      <c r="H206" s="19"/>
      <c r="I206" s="20"/>
    </row>
    <row r="207" spans="2:9">
      <c r="B207" s="102"/>
      <c r="C207" s="19"/>
      <c r="D207" s="19"/>
      <c r="E207" s="19"/>
      <c r="F207" s="20"/>
      <c r="G207" s="19"/>
      <c r="H207" s="19"/>
      <c r="I207" s="20"/>
    </row>
    <row r="208" spans="2:9">
      <c r="B208" s="102"/>
      <c r="C208" s="19"/>
      <c r="D208" s="19"/>
      <c r="E208" s="19"/>
      <c r="F208" s="20"/>
      <c r="G208" s="19"/>
      <c r="H208" s="19"/>
      <c r="I208" s="20"/>
    </row>
    <row r="209" spans="2:9">
      <c r="B209" s="102"/>
      <c r="C209" s="19"/>
      <c r="D209" s="19"/>
      <c r="E209" s="19"/>
      <c r="F209" s="20"/>
      <c r="G209" s="19"/>
      <c r="H209" s="19"/>
      <c r="I209" s="20"/>
    </row>
    <row r="210" spans="2:9">
      <c r="B210" s="102"/>
      <c r="C210" s="19"/>
      <c r="D210" s="19"/>
      <c r="E210" s="19"/>
      <c r="F210" s="20"/>
      <c r="G210" s="19"/>
      <c r="H210" s="19"/>
      <c r="I210" s="20"/>
    </row>
    <row r="211" spans="2:9">
      <c r="B211" s="102"/>
      <c r="C211" s="19"/>
      <c r="D211" s="19"/>
      <c r="E211" s="19"/>
      <c r="F211" s="20"/>
      <c r="G211" s="19"/>
      <c r="H211" s="19"/>
      <c r="I211" s="20"/>
    </row>
    <row r="212" spans="2:9">
      <c r="B212" s="102"/>
      <c r="C212" s="19"/>
      <c r="D212" s="19"/>
      <c r="E212" s="19"/>
      <c r="F212" s="20"/>
      <c r="G212" s="19"/>
      <c r="H212" s="19"/>
      <c r="I212" s="20"/>
    </row>
    <row r="213" spans="2:9">
      <c r="B213" s="102"/>
      <c r="C213" s="19"/>
      <c r="D213" s="19"/>
      <c r="E213" s="19"/>
      <c r="F213" s="20"/>
      <c r="G213" s="19"/>
      <c r="H213" s="19"/>
      <c r="I213" s="20"/>
    </row>
    <row r="214" spans="2:9">
      <c r="B214" s="102"/>
      <c r="C214" s="19"/>
      <c r="D214" s="19"/>
      <c r="E214" s="19"/>
      <c r="F214" s="20"/>
      <c r="G214" s="19"/>
      <c r="H214" s="19"/>
      <c r="I214" s="20"/>
    </row>
    <row r="215" spans="2:9">
      <c r="B215" s="102"/>
      <c r="C215" s="19"/>
      <c r="D215" s="19"/>
      <c r="E215" s="19"/>
      <c r="F215" s="20"/>
      <c r="G215" s="19"/>
      <c r="H215" s="19"/>
      <c r="I215" s="20"/>
    </row>
    <row r="216" spans="2:9">
      <c r="B216" s="102"/>
      <c r="C216" s="19"/>
      <c r="D216" s="19"/>
      <c r="E216" s="19"/>
      <c r="F216" s="20"/>
      <c r="G216" s="19"/>
      <c r="H216" s="19"/>
      <c r="I216" s="20"/>
    </row>
    <row r="217" spans="2:9">
      <c r="B217" s="102"/>
      <c r="C217" s="19"/>
      <c r="D217" s="19"/>
      <c r="E217" s="19"/>
      <c r="F217" s="20"/>
      <c r="G217" s="19"/>
      <c r="H217" s="19"/>
      <c r="I217" s="20"/>
    </row>
    <row r="218" spans="2:9">
      <c r="B218" s="102"/>
      <c r="C218" s="19"/>
      <c r="D218" s="19"/>
      <c r="E218" s="19"/>
      <c r="F218" s="20"/>
      <c r="G218" s="19"/>
      <c r="H218" s="19"/>
      <c r="I218" s="20"/>
    </row>
    <row r="219" spans="2:9">
      <c r="B219" s="102"/>
      <c r="C219" s="19"/>
      <c r="D219" s="19"/>
      <c r="E219" s="19"/>
      <c r="F219" s="20"/>
      <c r="G219" s="19"/>
      <c r="H219" s="19"/>
      <c r="I219" s="20"/>
    </row>
    <row r="220" spans="2:9">
      <c r="B220" s="102"/>
      <c r="C220" s="19"/>
      <c r="D220" s="19"/>
      <c r="E220" s="19"/>
      <c r="F220" s="20"/>
      <c r="G220" s="19"/>
      <c r="H220" s="19"/>
      <c r="I220" s="20"/>
    </row>
    <row r="221" spans="2:9">
      <c r="B221" s="102"/>
      <c r="C221" s="19"/>
      <c r="D221" s="19"/>
      <c r="E221" s="19"/>
      <c r="F221" s="20"/>
      <c r="G221" s="19"/>
      <c r="H221" s="19"/>
      <c r="I221" s="20"/>
    </row>
    <row r="222" spans="2:9">
      <c r="B222" s="102"/>
      <c r="C222" s="19"/>
      <c r="D222" s="19"/>
      <c r="E222" s="19"/>
      <c r="F222" s="20"/>
      <c r="G222" s="19"/>
      <c r="H222" s="19"/>
      <c r="I222" s="20"/>
    </row>
    <row r="223" spans="2:9">
      <c r="B223" s="102"/>
      <c r="C223" s="19"/>
      <c r="D223" s="19"/>
      <c r="E223" s="19"/>
      <c r="F223" s="20"/>
      <c r="G223" s="19"/>
      <c r="H223" s="19"/>
      <c r="I223" s="20"/>
    </row>
    <row r="224" spans="2:9">
      <c r="B224" s="102"/>
      <c r="C224" s="19"/>
      <c r="D224" s="19"/>
      <c r="E224" s="19"/>
      <c r="F224" s="20"/>
      <c r="G224" s="19"/>
      <c r="H224" s="19"/>
      <c r="I224" s="20"/>
    </row>
    <row r="225" spans="2:9">
      <c r="B225" s="102"/>
      <c r="C225" s="19"/>
      <c r="D225" s="19"/>
      <c r="E225" s="19"/>
      <c r="F225" s="20"/>
      <c r="G225" s="19"/>
      <c r="H225" s="19"/>
      <c r="I225" s="20"/>
    </row>
    <row r="226" spans="2:9">
      <c r="B226" s="102"/>
      <c r="C226" s="19"/>
      <c r="D226" s="19"/>
      <c r="E226" s="19"/>
      <c r="F226" s="20"/>
      <c r="G226" s="19"/>
      <c r="H226" s="19"/>
      <c r="I226" s="20"/>
    </row>
    <row r="227" spans="2:9">
      <c r="B227" s="102"/>
      <c r="C227" s="19"/>
      <c r="D227" s="19"/>
      <c r="E227" s="19"/>
      <c r="F227" s="20"/>
      <c r="G227" s="19"/>
      <c r="H227" s="19"/>
      <c r="I227" s="20"/>
    </row>
    <row r="228" spans="2:9">
      <c r="B228" s="102"/>
      <c r="C228" s="19"/>
      <c r="D228" s="19"/>
      <c r="E228" s="19"/>
      <c r="F228" s="20"/>
      <c r="G228" s="19"/>
      <c r="H228" s="19"/>
      <c r="I228" s="20"/>
    </row>
    <row r="229" spans="2:9">
      <c r="B229" s="102"/>
      <c r="C229" s="19"/>
      <c r="D229" s="19"/>
      <c r="E229" s="19"/>
      <c r="F229" s="20"/>
      <c r="G229" s="19"/>
      <c r="H229" s="19"/>
      <c r="I229" s="20"/>
    </row>
    <row r="230" spans="2:9">
      <c r="B230" s="102"/>
      <c r="C230" s="19"/>
      <c r="D230" s="19"/>
      <c r="E230" s="19"/>
      <c r="F230" s="20"/>
      <c r="G230" s="19"/>
      <c r="H230" s="19"/>
      <c r="I230" s="20"/>
    </row>
    <row r="231" spans="2:9">
      <c r="B231" s="102"/>
      <c r="C231" s="19"/>
      <c r="D231" s="19"/>
      <c r="E231" s="19"/>
      <c r="F231" s="20"/>
      <c r="G231" s="19"/>
      <c r="H231" s="19"/>
      <c r="I231" s="20"/>
    </row>
    <row r="232" spans="2:9">
      <c r="B232" s="102"/>
      <c r="C232" s="19"/>
      <c r="D232" s="19"/>
      <c r="E232" s="19"/>
      <c r="F232" s="20"/>
      <c r="G232" s="19"/>
      <c r="H232" s="19"/>
      <c r="I232" s="20"/>
    </row>
    <row r="233" spans="2:9">
      <c r="B233" s="102"/>
      <c r="C233" s="19"/>
      <c r="D233" s="19"/>
      <c r="E233" s="19"/>
      <c r="F233" s="20"/>
      <c r="G233" s="19"/>
      <c r="H233" s="19"/>
      <c r="I233" s="20"/>
    </row>
    <row r="234" spans="2:9">
      <c r="B234" s="102"/>
      <c r="C234" s="19"/>
      <c r="D234" s="19"/>
      <c r="E234" s="19"/>
      <c r="F234" s="20"/>
      <c r="G234" s="19"/>
      <c r="H234" s="19"/>
      <c r="I234" s="20"/>
    </row>
    <row r="235" spans="2:9">
      <c r="B235" s="102"/>
      <c r="C235" s="19"/>
      <c r="D235" s="19"/>
      <c r="E235" s="19"/>
      <c r="F235" s="20"/>
      <c r="G235" s="19"/>
      <c r="H235" s="19"/>
      <c r="I235" s="20"/>
    </row>
    <row r="236" spans="2:9">
      <c r="B236" s="102"/>
      <c r="C236" s="19"/>
      <c r="D236" s="19"/>
      <c r="E236" s="19"/>
      <c r="F236" s="20"/>
      <c r="G236" s="19"/>
      <c r="H236" s="19"/>
      <c r="I236" s="20"/>
    </row>
    <row r="237" spans="2:9">
      <c r="B237" s="102"/>
      <c r="C237" s="19"/>
      <c r="D237" s="19"/>
      <c r="E237" s="19"/>
      <c r="F237" s="20"/>
      <c r="G237" s="19"/>
      <c r="H237" s="19"/>
      <c r="I237" s="20"/>
    </row>
    <row r="238" spans="2:9">
      <c r="B238" s="102"/>
      <c r="C238" s="19"/>
      <c r="D238" s="19"/>
      <c r="E238" s="19"/>
      <c r="F238" s="20"/>
      <c r="G238" s="19"/>
      <c r="H238" s="19"/>
      <c r="I238" s="20"/>
    </row>
    <row r="239" spans="2:9">
      <c r="B239" s="102"/>
      <c r="C239" s="19"/>
      <c r="D239" s="19"/>
      <c r="E239" s="19"/>
      <c r="F239" s="20"/>
      <c r="G239" s="19"/>
      <c r="H239" s="19"/>
      <c r="I239" s="20"/>
    </row>
    <row r="240" spans="2:9">
      <c r="B240" s="102"/>
      <c r="C240" s="19"/>
      <c r="D240" s="19"/>
      <c r="E240" s="19"/>
      <c r="F240" s="20"/>
      <c r="G240" s="19"/>
      <c r="H240" s="19"/>
      <c r="I240" s="20"/>
    </row>
    <row r="241" spans="2:9">
      <c r="B241" s="102"/>
      <c r="C241" s="19"/>
      <c r="D241" s="19"/>
      <c r="E241" s="19"/>
      <c r="F241" s="20"/>
      <c r="G241" s="19"/>
      <c r="H241" s="19"/>
      <c r="I241" s="20"/>
    </row>
    <row r="242" spans="2:9">
      <c r="B242" s="102"/>
      <c r="C242" s="19"/>
      <c r="D242" s="19"/>
      <c r="E242" s="19"/>
      <c r="F242" s="20"/>
      <c r="G242" s="19"/>
      <c r="H242" s="19"/>
      <c r="I242" s="20"/>
    </row>
    <row r="243" spans="2:9">
      <c r="B243" s="102"/>
      <c r="C243" s="19"/>
      <c r="D243" s="19"/>
      <c r="E243" s="19"/>
      <c r="F243" s="20"/>
      <c r="G243" s="19"/>
      <c r="H243" s="19"/>
      <c r="I243" s="20"/>
    </row>
    <row r="244" spans="2:9">
      <c r="B244" s="102"/>
      <c r="C244" s="19"/>
      <c r="D244" s="19"/>
      <c r="E244" s="19"/>
      <c r="F244" s="20"/>
      <c r="G244" s="19"/>
      <c r="H244" s="19"/>
      <c r="I244" s="20"/>
    </row>
    <row r="245" spans="2:9">
      <c r="B245" s="102"/>
      <c r="C245" s="19"/>
      <c r="D245" s="19"/>
      <c r="E245" s="19"/>
      <c r="F245" s="20"/>
      <c r="G245" s="19"/>
      <c r="H245" s="19"/>
      <c r="I245" s="20"/>
    </row>
    <row r="246" spans="2:9">
      <c r="B246" s="102"/>
      <c r="C246" s="19"/>
      <c r="D246" s="19"/>
      <c r="E246" s="19"/>
      <c r="F246" s="20"/>
      <c r="G246" s="19"/>
      <c r="H246" s="19"/>
      <c r="I246" s="20"/>
    </row>
    <row r="247" spans="2:9">
      <c r="B247" s="102"/>
      <c r="C247" s="19"/>
      <c r="D247" s="19"/>
      <c r="E247" s="19"/>
      <c r="F247" s="20"/>
      <c r="G247" s="19"/>
      <c r="H247" s="19"/>
      <c r="I247" s="20"/>
    </row>
    <row r="248" spans="2:9">
      <c r="B248" s="102"/>
      <c r="C248" s="19"/>
      <c r="D248" s="19"/>
      <c r="E248" s="19"/>
      <c r="F248" s="20"/>
      <c r="G248" s="19"/>
      <c r="H248" s="19"/>
      <c r="I248" s="20"/>
    </row>
    <row r="249" spans="2:9">
      <c r="B249" s="102"/>
      <c r="C249" s="19"/>
      <c r="D249" s="19"/>
      <c r="E249" s="19"/>
      <c r="F249" s="20"/>
      <c r="G249" s="19"/>
      <c r="H249" s="19"/>
      <c r="I249" s="20"/>
    </row>
    <row r="250" spans="2:9">
      <c r="B250" s="102"/>
      <c r="C250" s="19"/>
      <c r="D250" s="19"/>
      <c r="E250" s="19"/>
      <c r="F250" s="20"/>
      <c r="G250" s="19"/>
      <c r="H250" s="19"/>
      <c r="I250" s="20"/>
    </row>
    <row r="251" spans="2:9">
      <c r="B251" s="102"/>
      <c r="C251" s="19"/>
      <c r="D251" s="19"/>
      <c r="E251" s="19"/>
      <c r="F251" s="20"/>
      <c r="G251" s="19"/>
      <c r="H251" s="19"/>
      <c r="I251" s="20"/>
    </row>
    <row r="252" spans="2:9">
      <c r="B252" s="102"/>
      <c r="C252" s="19"/>
      <c r="D252" s="19"/>
      <c r="E252" s="19"/>
      <c r="F252" s="20"/>
      <c r="G252" s="19"/>
      <c r="H252" s="19"/>
      <c r="I252" s="20"/>
    </row>
    <row r="253" spans="2:9">
      <c r="B253" s="102"/>
      <c r="C253" s="19"/>
      <c r="D253" s="19"/>
      <c r="E253" s="19"/>
      <c r="F253" s="20"/>
      <c r="G253" s="19"/>
      <c r="H253" s="19"/>
      <c r="I253" s="20"/>
    </row>
    <row r="254" spans="2:9">
      <c r="B254" s="102"/>
      <c r="C254" s="19"/>
      <c r="D254" s="19"/>
      <c r="E254" s="19"/>
      <c r="F254" s="20"/>
      <c r="G254" s="19"/>
      <c r="H254" s="19"/>
      <c r="I254" s="20"/>
    </row>
    <row r="255" spans="2:9">
      <c r="B255" s="102"/>
      <c r="C255" s="19"/>
      <c r="D255" s="19"/>
      <c r="E255" s="19"/>
      <c r="F255" s="20"/>
      <c r="G255" s="19"/>
      <c r="H255" s="19"/>
      <c r="I255" s="20"/>
    </row>
    <row r="256" spans="2:9">
      <c r="B256" s="102"/>
      <c r="C256" s="19"/>
      <c r="D256" s="19"/>
      <c r="E256" s="19"/>
      <c r="F256" s="20"/>
      <c r="G256" s="19"/>
      <c r="H256" s="19"/>
      <c r="I256" s="20"/>
    </row>
    <row r="257" spans="2:9">
      <c r="B257" s="102"/>
      <c r="C257" s="19"/>
      <c r="D257" s="19"/>
      <c r="E257" s="19"/>
      <c r="F257" s="20"/>
      <c r="G257" s="19"/>
      <c r="H257" s="19"/>
      <c r="I257" s="20"/>
    </row>
    <row r="258" spans="2:9">
      <c r="B258" s="102"/>
      <c r="C258" s="19"/>
      <c r="D258" s="19"/>
      <c r="E258" s="19"/>
      <c r="F258" s="20"/>
      <c r="G258" s="19"/>
      <c r="H258" s="19"/>
      <c r="I258" s="20"/>
    </row>
    <row r="259" spans="2:9">
      <c r="B259" s="102"/>
      <c r="C259" s="19"/>
      <c r="D259" s="19"/>
      <c r="E259" s="19"/>
      <c r="F259" s="20"/>
      <c r="G259" s="19"/>
      <c r="H259" s="19"/>
      <c r="I259" s="20"/>
    </row>
    <row r="260" spans="2:9">
      <c r="B260" s="102"/>
      <c r="C260" s="19"/>
      <c r="D260" s="19"/>
      <c r="E260" s="19"/>
      <c r="F260" s="20"/>
      <c r="G260" s="19"/>
      <c r="H260" s="19"/>
      <c r="I260" s="20"/>
    </row>
    <row r="261" spans="2:9">
      <c r="B261" s="102"/>
      <c r="C261" s="19"/>
      <c r="D261" s="19"/>
      <c r="E261" s="19"/>
      <c r="F261" s="20"/>
      <c r="G261" s="19"/>
      <c r="H261" s="19"/>
      <c r="I261" s="20"/>
    </row>
    <row r="262" spans="2:9">
      <c r="B262" s="102"/>
      <c r="C262" s="19"/>
      <c r="D262" s="19"/>
      <c r="E262" s="19"/>
      <c r="F262" s="20"/>
      <c r="G262" s="19"/>
      <c r="H262" s="19"/>
      <c r="I262" s="20"/>
    </row>
    <row r="263" spans="2:9">
      <c r="B263" s="102"/>
      <c r="C263" s="19"/>
      <c r="D263" s="19"/>
      <c r="E263" s="19"/>
      <c r="F263" s="20"/>
      <c r="G263" s="19"/>
      <c r="H263" s="19"/>
      <c r="I263" s="20"/>
    </row>
    <row r="264" spans="2:9">
      <c r="B264" s="102"/>
      <c r="C264" s="19"/>
      <c r="D264" s="19"/>
      <c r="E264" s="19"/>
      <c r="F264" s="20"/>
      <c r="G264" s="19"/>
      <c r="H264" s="19"/>
      <c r="I264" s="20"/>
    </row>
    <row r="265" spans="2:9">
      <c r="B265" s="102"/>
      <c r="C265" s="19"/>
      <c r="D265" s="19"/>
      <c r="E265" s="19"/>
      <c r="F265" s="20"/>
      <c r="G265" s="19"/>
      <c r="H265" s="19"/>
      <c r="I265" s="20"/>
    </row>
    <row r="266" spans="2:9">
      <c r="B266" s="102"/>
      <c r="C266" s="19"/>
      <c r="D266" s="19"/>
      <c r="E266" s="19"/>
      <c r="F266" s="20"/>
      <c r="G266" s="19"/>
      <c r="H266" s="19"/>
      <c r="I266" s="20"/>
    </row>
    <row r="267" spans="2:9">
      <c r="B267" s="102"/>
      <c r="C267" s="19"/>
      <c r="D267" s="19"/>
      <c r="E267" s="19"/>
      <c r="F267" s="20"/>
      <c r="G267" s="19"/>
      <c r="H267" s="19"/>
      <c r="I267" s="20"/>
    </row>
    <row r="268" spans="2:9">
      <c r="B268" s="102"/>
      <c r="C268" s="19"/>
      <c r="D268" s="19"/>
      <c r="E268" s="19"/>
      <c r="F268" s="20"/>
      <c r="G268" s="19"/>
      <c r="H268" s="19"/>
      <c r="I268" s="20"/>
    </row>
    <row r="269" spans="2:9">
      <c r="B269" s="102"/>
      <c r="C269" s="19"/>
      <c r="D269" s="19"/>
      <c r="E269" s="19"/>
      <c r="F269" s="20"/>
      <c r="G269" s="19"/>
      <c r="H269" s="19"/>
      <c r="I269" s="20"/>
    </row>
    <row r="270" spans="2:9">
      <c r="B270" s="102"/>
      <c r="C270" s="19"/>
      <c r="D270" s="19"/>
      <c r="E270" s="19"/>
      <c r="F270" s="20"/>
      <c r="G270" s="19"/>
      <c r="H270" s="19"/>
      <c r="I270" s="20"/>
    </row>
    <row r="271" spans="2:9">
      <c r="B271" s="102"/>
      <c r="C271" s="19"/>
      <c r="D271" s="19"/>
      <c r="E271" s="19"/>
      <c r="F271" s="20"/>
      <c r="G271" s="19"/>
      <c r="H271" s="19"/>
      <c r="I271" s="20"/>
    </row>
    <row r="272" spans="2:9">
      <c r="B272" s="102"/>
      <c r="C272" s="19"/>
      <c r="D272" s="19"/>
      <c r="E272" s="19"/>
      <c r="F272" s="20"/>
      <c r="G272" s="19"/>
      <c r="H272" s="19"/>
      <c r="I272" s="20"/>
    </row>
    <row r="273" spans="2:9">
      <c r="B273" s="102"/>
      <c r="C273" s="19"/>
      <c r="D273" s="19"/>
      <c r="E273" s="19"/>
      <c r="F273" s="20"/>
      <c r="G273" s="19"/>
      <c r="H273" s="19"/>
      <c r="I273" s="20"/>
    </row>
    <row r="274" spans="2:9">
      <c r="B274" s="102"/>
      <c r="C274" s="19"/>
      <c r="D274" s="19"/>
      <c r="E274" s="19"/>
      <c r="F274" s="20"/>
      <c r="G274" s="19"/>
      <c r="H274" s="19"/>
      <c r="I274" s="20"/>
    </row>
    <row r="275" spans="2:9">
      <c r="B275" s="102"/>
      <c r="C275" s="19"/>
      <c r="D275" s="19"/>
      <c r="E275" s="19"/>
      <c r="F275" s="20"/>
      <c r="G275" s="19"/>
      <c r="H275" s="19"/>
      <c r="I275" s="20"/>
    </row>
    <row r="276" spans="2:9">
      <c r="B276" s="102"/>
      <c r="C276" s="19"/>
      <c r="D276" s="19"/>
      <c r="E276" s="19"/>
      <c r="F276" s="20"/>
      <c r="G276" s="19"/>
      <c r="H276" s="19"/>
      <c r="I276" s="20"/>
    </row>
    <row r="277" spans="2:9">
      <c r="B277" s="102"/>
      <c r="C277" s="19"/>
      <c r="D277" s="19"/>
      <c r="E277" s="19"/>
      <c r="F277" s="20"/>
      <c r="G277" s="19"/>
      <c r="H277" s="19"/>
      <c r="I277" s="20"/>
    </row>
    <row r="278" spans="2:9">
      <c r="B278" s="102"/>
      <c r="C278" s="19"/>
      <c r="D278" s="19"/>
      <c r="E278" s="19"/>
      <c r="F278" s="20"/>
      <c r="G278" s="19"/>
      <c r="H278" s="19"/>
      <c r="I278" s="20"/>
    </row>
    <row r="279" spans="2:9">
      <c r="B279" s="102"/>
      <c r="C279" s="19"/>
      <c r="D279" s="19"/>
      <c r="E279" s="19"/>
      <c r="F279" s="20"/>
      <c r="G279" s="19"/>
      <c r="H279" s="19"/>
      <c r="I279" s="20"/>
    </row>
    <row r="280" spans="2:9">
      <c r="B280" s="102"/>
      <c r="C280" s="19"/>
      <c r="D280" s="19"/>
      <c r="E280" s="19"/>
      <c r="F280" s="20"/>
      <c r="G280" s="19"/>
      <c r="H280" s="19"/>
      <c r="I280" s="20"/>
    </row>
    <row r="281" spans="2:9">
      <c r="B281" s="102"/>
      <c r="C281" s="19"/>
      <c r="D281" s="19"/>
      <c r="E281" s="19"/>
      <c r="F281" s="20"/>
      <c r="G281" s="19"/>
      <c r="H281" s="19"/>
      <c r="I281" s="20"/>
    </row>
    <row r="282" spans="2:9">
      <c r="B282" s="102"/>
      <c r="C282" s="19"/>
      <c r="D282" s="19"/>
      <c r="E282" s="19"/>
      <c r="F282" s="20"/>
      <c r="G282" s="19"/>
      <c r="H282" s="19"/>
      <c r="I282" s="20"/>
    </row>
    <row r="283" spans="2:9">
      <c r="B283" s="102"/>
      <c r="C283" s="19"/>
      <c r="D283" s="19"/>
      <c r="E283" s="19"/>
      <c r="F283" s="20"/>
      <c r="G283" s="19"/>
      <c r="H283" s="19"/>
      <c r="I283" s="20"/>
    </row>
    <row r="284" spans="2:9">
      <c r="B284" s="102"/>
      <c r="C284" s="19"/>
      <c r="D284" s="19"/>
      <c r="E284" s="19"/>
      <c r="F284" s="20"/>
      <c r="G284" s="19"/>
      <c r="H284" s="19"/>
      <c r="I284" s="20"/>
    </row>
    <row r="285" spans="2:9">
      <c r="B285" s="102"/>
      <c r="C285" s="19"/>
      <c r="D285" s="19"/>
      <c r="E285" s="19"/>
      <c r="F285" s="20"/>
      <c r="G285" s="19"/>
      <c r="H285" s="19"/>
      <c r="I285" s="20"/>
    </row>
    <row r="286" spans="2:9">
      <c r="B286" s="102"/>
      <c r="C286" s="19"/>
      <c r="D286" s="19"/>
      <c r="E286" s="19"/>
      <c r="F286" s="20"/>
      <c r="G286" s="19"/>
      <c r="H286" s="19"/>
      <c r="I286" s="20"/>
    </row>
    <row r="287" spans="2:9">
      <c r="B287" s="102"/>
      <c r="C287" s="19"/>
      <c r="D287" s="19"/>
      <c r="E287" s="19"/>
      <c r="F287" s="20"/>
      <c r="G287" s="19"/>
      <c r="H287" s="19"/>
      <c r="I287" s="20"/>
    </row>
    <row r="288" spans="2:9">
      <c r="B288" s="102"/>
      <c r="C288" s="19"/>
      <c r="D288" s="19"/>
      <c r="E288" s="19"/>
      <c r="F288" s="20"/>
      <c r="G288" s="19"/>
      <c r="H288" s="19"/>
      <c r="I288" s="20"/>
    </row>
    <row r="289" spans="2:9">
      <c r="B289" s="102"/>
      <c r="C289" s="19"/>
      <c r="D289" s="19"/>
      <c r="E289" s="19"/>
      <c r="F289" s="20"/>
      <c r="G289" s="19"/>
      <c r="H289" s="19"/>
      <c r="I289" s="20"/>
    </row>
    <row r="290" spans="2:9">
      <c r="B290" s="102"/>
      <c r="C290" s="19"/>
      <c r="D290" s="19"/>
      <c r="E290" s="19"/>
      <c r="F290" s="20"/>
      <c r="G290" s="19"/>
      <c r="H290" s="19"/>
      <c r="I290" s="20"/>
    </row>
    <row r="291" spans="2:9">
      <c r="B291" s="102"/>
      <c r="C291" s="19"/>
      <c r="D291" s="19"/>
      <c r="E291" s="19"/>
      <c r="F291" s="20"/>
      <c r="G291" s="19"/>
      <c r="H291" s="19"/>
      <c r="I291" s="20"/>
    </row>
    <row r="292" spans="2:9">
      <c r="B292" s="102"/>
      <c r="C292" s="19"/>
      <c r="D292" s="19"/>
      <c r="E292" s="19"/>
      <c r="F292" s="20"/>
      <c r="G292" s="19"/>
      <c r="H292" s="19"/>
      <c r="I292" s="20"/>
    </row>
    <row r="293" spans="2:9">
      <c r="B293" s="102"/>
      <c r="C293" s="19"/>
      <c r="D293" s="19"/>
      <c r="E293" s="19"/>
      <c r="F293" s="20"/>
      <c r="G293" s="19"/>
      <c r="H293" s="19"/>
      <c r="I293" s="20"/>
    </row>
    <row r="294" spans="2:9">
      <c r="B294" s="102"/>
      <c r="C294" s="19"/>
      <c r="D294" s="19"/>
      <c r="E294" s="19"/>
      <c r="F294" s="20"/>
      <c r="G294" s="19"/>
      <c r="H294" s="19"/>
      <c r="I294" s="20"/>
    </row>
    <row r="295" spans="2:9">
      <c r="B295" s="102"/>
      <c r="C295" s="19"/>
      <c r="D295" s="19"/>
      <c r="E295" s="19"/>
      <c r="F295" s="20"/>
      <c r="G295" s="19"/>
      <c r="H295" s="19"/>
      <c r="I295" s="20"/>
    </row>
    <row r="296" spans="2:9">
      <c r="B296" s="102"/>
      <c r="C296" s="19"/>
      <c r="D296" s="19"/>
      <c r="E296" s="19"/>
      <c r="F296" s="20"/>
      <c r="G296" s="19"/>
      <c r="H296" s="19"/>
      <c r="I296" s="20"/>
    </row>
    <row r="297" spans="2:9">
      <c r="B297" s="102"/>
      <c r="C297" s="19"/>
      <c r="D297" s="19"/>
      <c r="E297" s="19"/>
      <c r="F297" s="20"/>
      <c r="G297" s="19"/>
      <c r="H297" s="19"/>
      <c r="I297" s="20"/>
    </row>
    <row r="298" spans="2:9">
      <c r="B298" s="102"/>
      <c r="C298" s="19"/>
      <c r="D298" s="19"/>
      <c r="E298" s="19"/>
      <c r="F298" s="20"/>
      <c r="G298" s="19"/>
      <c r="H298" s="19"/>
      <c r="I298" s="20"/>
    </row>
    <row r="299" spans="2:9">
      <c r="B299" s="102"/>
      <c r="C299" s="19"/>
      <c r="D299" s="19"/>
      <c r="E299" s="19"/>
      <c r="F299" s="20"/>
      <c r="G299" s="19"/>
      <c r="H299" s="19"/>
      <c r="I299" s="20"/>
    </row>
    <row r="300" spans="2:9">
      <c r="B300" s="102"/>
      <c r="C300" s="19"/>
      <c r="D300" s="19"/>
      <c r="E300" s="19"/>
      <c r="F300" s="20"/>
      <c r="G300" s="19"/>
      <c r="H300" s="19"/>
      <c r="I300" s="20"/>
    </row>
    <row r="301" spans="2:9">
      <c r="B301" s="102"/>
      <c r="C301" s="19"/>
      <c r="D301" s="19"/>
      <c r="E301" s="19"/>
      <c r="F301" s="20"/>
      <c r="G301" s="19"/>
      <c r="H301" s="19"/>
      <c r="I301" s="20"/>
    </row>
    <row r="302" spans="2:9">
      <c r="B302" s="102"/>
      <c r="C302" s="19"/>
      <c r="D302" s="19"/>
      <c r="E302" s="19"/>
      <c r="F302" s="20"/>
      <c r="G302" s="19"/>
      <c r="H302" s="19"/>
      <c r="I302" s="20"/>
    </row>
    <row r="303" spans="2:9">
      <c r="B303" s="102"/>
      <c r="C303" s="19"/>
      <c r="D303" s="19"/>
      <c r="E303" s="19"/>
      <c r="F303" s="20"/>
      <c r="G303" s="19"/>
      <c r="H303" s="19"/>
      <c r="I303" s="20"/>
    </row>
    <row r="304" spans="2:9">
      <c r="B304" s="102"/>
      <c r="C304" s="19"/>
      <c r="D304" s="19"/>
      <c r="E304" s="19"/>
      <c r="F304" s="20"/>
      <c r="G304" s="19"/>
      <c r="H304" s="19"/>
      <c r="I304" s="20"/>
    </row>
    <row r="305" spans="2:9">
      <c r="B305" s="102"/>
      <c r="C305" s="19"/>
      <c r="D305" s="19"/>
      <c r="E305" s="19"/>
      <c r="F305" s="20"/>
      <c r="G305" s="19"/>
      <c r="H305" s="19"/>
      <c r="I305" s="20"/>
    </row>
    <row r="306" spans="2:9">
      <c r="B306" s="102"/>
      <c r="C306" s="19"/>
      <c r="D306" s="19"/>
      <c r="E306" s="19"/>
      <c r="F306" s="20"/>
      <c r="G306" s="19"/>
      <c r="H306" s="19"/>
      <c r="I306" s="20"/>
    </row>
    <row r="307" spans="2:9">
      <c r="B307" s="102"/>
      <c r="C307" s="19"/>
      <c r="D307" s="19"/>
      <c r="E307" s="19"/>
      <c r="F307" s="20"/>
      <c r="G307" s="19"/>
      <c r="H307" s="19"/>
      <c r="I307" s="20"/>
    </row>
    <row r="308" spans="2:9">
      <c r="B308" s="102"/>
      <c r="C308" s="19"/>
      <c r="D308" s="19"/>
      <c r="E308" s="19"/>
      <c r="F308" s="20"/>
      <c r="G308" s="19"/>
      <c r="H308" s="19"/>
      <c r="I308" s="20"/>
    </row>
    <row r="309" spans="2:9">
      <c r="B309" s="102"/>
      <c r="C309" s="19"/>
      <c r="D309" s="19"/>
      <c r="E309" s="19"/>
      <c r="F309" s="20"/>
      <c r="G309" s="19"/>
      <c r="H309" s="19"/>
      <c r="I309" s="20"/>
    </row>
    <row r="310" spans="2:9">
      <c r="B310" s="102"/>
      <c r="C310" s="19"/>
      <c r="D310" s="19"/>
      <c r="E310" s="19"/>
      <c r="F310" s="20"/>
      <c r="G310" s="19"/>
      <c r="H310" s="19"/>
      <c r="I310" s="20"/>
    </row>
    <row r="311" spans="2:9">
      <c r="B311" s="102"/>
      <c r="C311" s="19"/>
      <c r="D311" s="19"/>
      <c r="E311" s="19"/>
      <c r="F311" s="20"/>
      <c r="G311" s="19"/>
      <c r="H311" s="19"/>
      <c r="I311" s="20"/>
    </row>
    <row r="312" spans="2:9">
      <c r="B312" s="102"/>
      <c r="C312" s="19"/>
      <c r="D312" s="19"/>
      <c r="E312" s="19"/>
      <c r="F312" s="20"/>
      <c r="G312" s="19"/>
      <c r="H312" s="19"/>
      <c r="I312" s="20"/>
    </row>
    <row r="313" spans="2:9">
      <c r="B313" s="102"/>
      <c r="C313" s="19"/>
      <c r="D313" s="19"/>
      <c r="E313" s="19"/>
      <c r="F313" s="20"/>
      <c r="G313" s="19"/>
      <c r="H313" s="19"/>
      <c r="I313" s="20"/>
    </row>
    <row r="314" spans="2:9">
      <c r="B314" s="102"/>
      <c r="C314" s="19"/>
      <c r="D314" s="19"/>
      <c r="E314" s="19"/>
      <c r="F314" s="20"/>
      <c r="G314" s="19"/>
      <c r="H314" s="19"/>
      <c r="I314" s="20"/>
    </row>
    <row r="315" spans="2:9">
      <c r="B315" s="102"/>
      <c r="C315" s="19"/>
      <c r="D315" s="19"/>
      <c r="E315" s="19"/>
      <c r="F315" s="20"/>
      <c r="G315" s="19"/>
      <c r="H315" s="19"/>
      <c r="I315" s="20"/>
    </row>
    <row r="316" spans="2:9">
      <c r="B316" s="102"/>
      <c r="C316" s="19"/>
      <c r="D316" s="19"/>
      <c r="E316" s="19"/>
      <c r="F316" s="20"/>
      <c r="G316" s="19"/>
      <c r="H316" s="19"/>
      <c r="I316" s="20"/>
    </row>
    <row r="317" spans="2:9">
      <c r="B317" s="102"/>
      <c r="C317" s="19"/>
      <c r="D317" s="19"/>
      <c r="E317" s="19"/>
      <c r="F317" s="20"/>
      <c r="G317" s="19"/>
      <c r="H317" s="19"/>
      <c r="I317" s="20"/>
    </row>
    <row r="318" spans="2:9">
      <c r="B318" s="102"/>
      <c r="C318" s="19"/>
      <c r="D318" s="19"/>
      <c r="E318" s="19"/>
      <c r="F318" s="20"/>
      <c r="G318" s="19"/>
      <c r="H318" s="19"/>
      <c r="I318" s="20"/>
    </row>
    <row r="319" spans="2:9">
      <c r="B319" s="102"/>
      <c r="C319" s="19"/>
      <c r="D319" s="19"/>
      <c r="E319" s="19"/>
      <c r="F319" s="20"/>
      <c r="G319" s="19"/>
      <c r="H319" s="19"/>
      <c r="I319" s="20"/>
    </row>
    <row r="320" spans="2:9">
      <c r="B320" s="102"/>
      <c r="C320" s="19"/>
      <c r="D320" s="19"/>
      <c r="E320" s="19"/>
      <c r="F320" s="20"/>
      <c r="G320" s="19"/>
      <c r="H320" s="19"/>
      <c r="I320" s="20"/>
    </row>
    <row r="321" spans="3:9"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O321"/>
  <sheetViews>
    <sheetView zoomScale="60" zoomScaleNormal="60" workbookViewId="0">
      <pane xSplit="2" ySplit="3" topLeftCell="H4" activePane="bottomRight" state="frozen"/>
      <selection pane="bottomRight" activeCell="E35" sqref="E35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140625" customWidth="1"/>
  </cols>
  <sheetData>
    <row r="1" spans="1:15" ht="19.5" customHeight="1">
      <c r="A1" s="117" t="str" cm="1">
        <f t="array" ref="A1">portfolio</f>
        <v>ALIGNED</v>
      </c>
      <c r="B1" s="117"/>
      <c r="C1" s="117"/>
      <c r="D1" s="118" t="s">
        <v>62</v>
      </c>
      <c r="E1" s="118"/>
      <c r="F1" s="118"/>
      <c r="G1" s="116" t="s">
        <v>63</v>
      </c>
      <c r="H1" s="116"/>
      <c r="I1" s="116"/>
      <c r="J1" s="4"/>
      <c r="K1" s="4"/>
      <c r="L1" s="4"/>
    </row>
    <row r="2" spans="1:15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5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5" ht="81.75" customHeight="1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72"/>
      <c r="L4" s="39"/>
      <c r="M4" s="110"/>
      <c r="N4" s="110"/>
      <c r="O4" s="110"/>
    </row>
    <row r="5" spans="1:15" ht="15.6">
      <c r="A5" s="28" t="str">
        <v>Loudon - 7046 Pleasant Street</v>
      </c>
      <c r="B5" s="29" t="str">
        <v>NH</v>
      </c>
      <c r="C5" s="11"/>
      <c r="D5" s="16"/>
      <c r="E5" s="16" t="str">
        <f t="shared" ref="E5:E7" si="0">IF(AND(ISNUMBER(C5),ISNUMBER(D5)), C5-D5, "")</f>
        <v/>
      </c>
      <c r="F5" s="17" t="str">
        <f>IFERROR(E5/D5, "")</f>
        <v/>
      </c>
      <c r="G5" s="18"/>
      <c r="H5" s="18" t="str">
        <f t="shared" ref="H5:H7" si="1">IF(AND(ISNUMBER(C5),ISNUMBER(G5)), C5-G5, "")</f>
        <v/>
      </c>
      <c r="I5" s="17" t="str">
        <f t="shared" ref="I5:I7" si="2">IFERROR(H5/G5, "")</f>
        <v/>
      </c>
      <c r="J5" s="52"/>
      <c r="K5" s="112"/>
      <c r="L5" s="40"/>
    </row>
    <row r="6" spans="1:15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72"/>
      <c r="L6" s="39"/>
      <c r="M6" s="110"/>
      <c r="N6" s="110"/>
    </row>
    <row r="7" spans="1:15" ht="15.6">
      <c r="A7" s="28" t="str">
        <v>Nashua - Pennichuck Water West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90"/>
      <c r="L7" s="109"/>
      <c r="M7" s="110"/>
      <c r="N7" s="110"/>
    </row>
    <row r="8" spans="1:15" ht="15.6">
      <c r="A8" s="26" t="str">
        <v>Boothbay - Wiscasset Road</v>
      </c>
      <c r="B8" s="27" t="str">
        <v>ME</v>
      </c>
      <c r="C8" s="22"/>
      <c r="D8" s="12"/>
      <c r="E8" s="12" t="str">
        <f t="shared" ref="E8:E13" si="4">IF(AND(ISNUMBER(C8),ISNUMBER(D8)), C8-D8, "")</f>
        <v/>
      </c>
      <c r="F8" s="13" t="str">
        <f t="shared" ref="F8:F13" si="5">IFERROR(E8/D8, "")</f>
        <v/>
      </c>
      <c r="G8" s="14"/>
      <c r="H8" s="14" t="str">
        <f t="shared" ref="H8:H13" si="6">IF(AND(ISNUMBER(C8),ISNUMBER(G8)), C8-G8, "")</f>
        <v/>
      </c>
      <c r="I8" s="15" t="str">
        <f t="shared" ref="I8:I13" si="7">IFERROR(H8/G8, "")</f>
        <v/>
      </c>
      <c r="J8" s="39"/>
      <c r="K8" s="39"/>
      <c r="L8" s="39"/>
    </row>
    <row r="9" spans="1:15" ht="15.6">
      <c r="A9" s="28" t="str">
        <v>Thorndike -  Leonard Road</v>
      </c>
      <c r="B9" s="29" t="str">
        <v>ME</v>
      </c>
      <c r="C9" s="11"/>
      <c r="D9" s="16"/>
      <c r="E9" s="16" t="str">
        <f t="shared" si="4"/>
        <v/>
      </c>
      <c r="F9" s="17" t="str">
        <f t="shared" si="5"/>
        <v/>
      </c>
      <c r="G9" s="18"/>
      <c r="H9" s="18" t="str">
        <f t="shared" si="6"/>
        <v/>
      </c>
      <c r="I9" s="17" t="str">
        <f t="shared" si="7"/>
        <v/>
      </c>
      <c r="J9" s="40"/>
      <c r="K9" s="112"/>
      <c r="L9" s="53"/>
    </row>
    <row r="10" spans="1:15" ht="15.6">
      <c r="A10" s="26" t="str">
        <v>Topsham - Solarize LLC</v>
      </c>
      <c r="B10" s="27" t="str">
        <v>ME</v>
      </c>
      <c r="C10" s="22"/>
      <c r="D10" s="12"/>
      <c r="E10" s="12" t="str">
        <f t="shared" si="4"/>
        <v/>
      </c>
      <c r="F10" s="13" t="str">
        <f t="shared" si="5"/>
        <v/>
      </c>
      <c r="G10" s="14"/>
      <c r="H10" s="14" t="str">
        <f t="shared" si="6"/>
        <v/>
      </c>
      <c r="I10" s="15" t="str">
        <f t="shared" si="7"/>
        <v/>
      </c>
      <c r="J10" s="39"/>
      <c r="K10" s="39"/>
      <c r="L10" s="39"/>
    </row>
    <row r="11" spans="1:15" ht="15.6">
      <c r="A11" s="28" t="str">
        <v>Cherryfield - 727 North Main St (IRA)</v>
      </c>
      <c r="B11" s="29" t="str">
        <v>ME</v>
      </c>
      <c r="C11" s="11"/>
      <c r="D11" s="16"/>
      <c r="E11" s="16" t="str">
        <f t="shared" si="4"/>
        <v/>
      </c>
      <c r="F11" s="17" t="str">
        <f t="shared" si="5"/>
        <v/>
      </c>
      <c r="G11" s="18"/>
      <c r="H11" s="18" t="str">
        <f t="shared" si="6"/>
        <v/>
      </c>
      <c r="I11" s="17" t="str">
        <f t="shared" si="7"/>
        <v/>
      </c>
      <c r="J11" s="40"/>
      <c r="K11" s="53"/>
      <c r="L11" s="53"/>
    </row>
    <row r="12" spans="1:15" ht="15.6">
      <c r="A12" s="26" t="str">
        <v>ME: Bucksport - 258 Route 1 (IRA)</v>
      </c>
      <c r="B12" s="27" t="str">
        <v>ME</v>
      </c>
      <c r="C12" s="22"/>
      <c r="D12" s="12"/>
      <c r="E12" s="12" t="str">
        <f t="shared" si="4"/>
        <v/>
      </c>
      <c r="F12" s="13" t="str">
        <f t="shared" si="5"/>
        <v/>
      </c>
      <c r="G12" s="14"/>
      <c r="H12" s="14" t="str">
        <f t="shared" si="6"/>
        <v/>
      </c>
      <c r="I12" s="15" t="str">
        <f t="shared" si="7"/>
        <v/>
      </c>
      <c r="J12" s="39"/>
      <c r="K12" s="39"/>
      <c r="L12" s="39"/>
    </row>
    <row r="13" spans="1:15" ht="15.6">
      <c r="A13" s="28" t="str">
        <v>ME: Union - Route 131 (IRA)</v>
      </c>
      <c r="B13" s="29" t="str">
        <v>ME</v>
      </c>
      <c r="C13" s="11"/>
      <c r="D13" s="16"/>
      <c r="E13" s="16" t="str">
        <f t="shared" si="4"/>
        <v/>
      </c>
      <c r="F13" s="17" t="str">
        <f t="shared" si="5"/>
        <v/>
      </c>
      <c r="G13" s="18"/>
      <c r="H13" s="18" t="str">
        <f t="shared" si="6"/>
        <v/>
      </c>
      <c r="I13" s="17" t="str">
        <f t="shared" si="7"/>
        <v/>
      </c>
      <c r="J13" s="40"/>
      <c r="K13" s="53"/>
      <c r="L13" s="53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3:12" ht="14.45"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21"/>
  <sheetViews>
    <sheetView zoomScale="60" zoomScaleNormal="60" workbookViewId="0">
      <pane xSplit="2" ySplit="3" topLeftCell="C4" activePane="bottomRight" state="frozen"/>
      <selection pane="bottomRight" activeCell="A4" sqref="A4:XFD4"/>
      <selection pane="bottomLeft" activeCell="E35" sqref="E35"/>
      <selection pane="topRight" activeCell="E35" sqref="E3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5703125" customWidth="1"/>
  </cols>
  <sheetData>
    <row r="1" spans="1:14" ht="19.5" customHeight="1">
      <c r="A1" s="117" t="str" cm="1">
        <f t="array" ref="A1">portfolio</f>
        <v>ALIGNED</v>
      </c>
      <c r="B1" s="117"/>
      <c r="C1" s="117"/>
      <c r="D1" s="118" t="s">
        <v>64</v>
      </c>
      <c r="E1" s="118"/>
      <c r="F1" s="118"/>
      <c r="G1" s="116" t="s">
        <v>65</v>
      </c>
      <c r="H1" s="116"/>
      <c r="I1" s="116"/>
      <c r="J1" s="4"/>
      <c r="K1" s="4"/>
      <c r="L1" s="4"/>
    </row>
    <row r="2" spans="1:14" ht="19.5" customHeight="1">
      <c r="A2" s="119" t="s">
        <v>2</v>
      </c>
      <c r="B2" s="11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4" ht="15.6">
      <c r="A4" s="30" t="str" cm="1">
        <f t="array" ref="A4:A13">Sites[Site]</f>
        <v>Conway -US 302 and Stirch Road</v>
      </c>
      <c r="B4" s="27" t="str" cm="1">
        <f t="array" ref="B4:B13">Sites[State]</f>
        <v>NH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72"/>
      <c r="L4" s="39"/>
      <c r="M4" s="110"/>
      <c r="N4" s="110"/>
    </row>
    <row r="5" spans="1:14" ht="15.6">
      <c r="A5" s="28" t="str">
        <v>Loudon - 7046 Pleasant Street</v>
      </c>
      <c r="B5" s="29" t="str">
        <v>NH</v>
      </c>
      <c r="C5" s="11"/>
      <c r="D5" s="16"/>
      <c r="E5" s="16" t="str">
        <f t="shared" ref="E5:E6" si="0">IF(AND(ISNUMBER(C5),ISNUMBER(D5)), C5-D5, "")</f>
        <v/>
      </c>
      <c r="F5" s="17" t="str">
        <f>IFERROR(E5/D5, "")</f>
        <v/>
      </c>
      <c r="G5" s="18"/>
      <c r="H5" s="18" t="str">
        <f t="shared" ref="H5:H6" si="1">IF(AND(ISNUMBER(C5),ISNUMBER(G5)), C5-G5, "")</f>
        <v/>
      </c>
      <c r="I5" s="17" t="str">
        <f t="shared" ref="I5:I6" si="2">IFERROR(H5/G5, "")</f>
        <v/>
      </c>
      <c r="J5" s="40"/>
      <c r="K5" s="112"/>
      <c r="L5" s="40"/>
    </row>
    <row r="6" spans="1:14" ht="15.6">
      <c r="A6" s="26" t="str">
        <v>Nashua - Pennichuck Water  East</v>
      </c>
      <c r="B6" s="27" t="str">
        <v>NH</v>
      </c>
      <c r="C6" s="22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72"/>
      <c r="L6" s="39"/>
      <c r="M6" s="110"/>
    </row>
    <row r="7" spans="1:14" ht="15.6">
      <c r="A7" s="28" t="str">
        <v>Nashua - Pennichuck Water West</v>
      </c>
      <c r="B7" s="29" t="str">
        <v>NH</v>
      </c>
      <c r="C7" s="11"/>
      <c r="D7" s="16"/>
      <c r="E7" s="16" t="str">
        <f t="shared" ref="E7:E13" si="4">IF(AND(ISNUMBER(C7),ISNUMBER(D7)), C7-D7, "")</f>
        <v/>
      </c>
      <c r="F7" s="17" t="str">
        <f t="shared" si="3"/>
        <v/>
      </c>
      <c r="G7" s="18"/>
      <c r="H7" s="18" t="str">
        <f t="shared" ref="H7:H13" si="5">IF(AND(ISNUMBER(C7),ISNUMBER(G7)), C7-G7, "")</f>
        <v/>
      </c>
      <c r="I7" s="17" t="str">
        <f t="shared" ref="I7:I13" si="6">IFERROR(H7/G7, "")</f>
        <v/>
      </c>
      <c r="J7" s="40"/>
      <c r="K7" s="74"/>
      <c r="L7" s="51"/>
      <c r="M7" s="110"/>
    </row>
    <row r="8" spans="1:14" ht="15.6">
      <c r="A8" s="26" t="str">
        <v>Boothbay - Wiscasset Road</v>
      </c>
      <c r="B8" s="27" t="str">
        <v>ME</v>
      </c>
      <c r="C8" s="22"/>
      <c r="D8" s="12"/>
      <c r="E8" s="12" t="str">
        <f t="shared" si="4"/>
        <v/>
      </c>
      <c r="F8" s="13" t="str">
        <f t="shared" ref="F8:F13" si="7">IFERROR(E8/D8, "")</f>
        <v/>
      </c>
      <c r="G8" s="14"/>
      <c r="H8" s="14" t="str">
        <f t="shared" si="5"/>
        <v/>
      </c>
      <c r="I8" s="15" t="str">
        <f t="shared" si="6"/>
        <v/>
      </c>
      <c r="J8" s="39"/>
      <c r="K8" s="39"/>
      <c r="L8" s="39"/>
    </row>
    <row r="9" spans="1:14" ht="15.6">
      <c r="A9" s="28" t="str">
        <v>Thorndike -  Leonard Road</v>
      </c>
      <c r="B9" s="29" t="str">
        <v>ME</v>
      </c>
      <c r="C9" s="11"/>
      <c r="D9" s="16"/>
      <c r="E9" s="16" t="str">
        <f t="shared" si="4"/>
        <v/>
      </c>
      <c r="F9" s="17" t="str">
        <f t="shared" si="7"/>
        <v/>
      </c>
      <c r="G9" s="18"/>
      <c r="H9" s="18" t="str">
        <f t="shared" si="5"/>
        <v/>
      </c>
      <c r="I9" s="17" t="str">
        <f t="shared" si="6"/>
        <v/>
      </c>
      <c r="J9" s="40"/>
      <c r="K9" s="40"/>
      <c r="L9" s="40"/>
    </row>
    <row r="10" spans="1:14" ht="15.6">
      <c r="A10" s="26" t="str">
        <v>Topsham - Solarize LLC</v>
      </c>
      <c r="B10" s="27" t="str">
        <v>ME</v>
      </c>
      <c r="C10" s="22"/>
      <c r="D10" s="12"/>
      <c r="E10" s="12" t="str">
        <f t="shared" si="4"/>
        <v/>
      </c>
      <c r="F10" s="13" t="str">
        <f t="shared" si="7"/>
        <v/>
      </c>
      <c r="G10" s="14"/>
      <c r="H10" s="14" t="str">
        <f t="shared" si="5"/>
        <v/>
      </c>
      <c r="I10" s="15" t="str">
        <f t="shared" si="6"/>
        <v/>
      </c>
      <c r="J10" s="39"/>
      <c r="K10" s="72"/>
      <c r="L10" s="39"/>
      <c r="M10" s="110"/>
    </row>
    <row r="11" spans="1:14" ht="15.6">
      <c r="A11" s="28" t="str">
        <v>Cherryfield - 727 North Main St (IRA)</v>
      </c>
      <c r="B11" s="29" t="str">
        <v>ME</v>
      </c>
      <c r="C11" s="11"/>
      <c r="D11" s="16"/>
      <c r="E11" s="16" t="str">
        <f t="shared" si="4"/>
        <v/>
      </c>
      <c r="F11" s="17" t="str">
        <f t="shared" si="7"/>
        <v/>
      </c>
      <c r="G11" s="18"/>
      <c r="H11" s="18" t="str">
        <f t="shared" si="5"/>
        <v/>
      </c>
      <c r="I11" s="17" t="str">
        <f t="shared" si="6"/>
        <v/>
      </c>
      <c r="J11" s="40"/>
      <c r="K11" s="112"/>
      <c r="L11" s="40"/>
    </row>
    <row r="12" spans="1:14" ht="15.6">
      <c r="A12" s="26" t="str">
        <v>ME: Bucksport - 258 Route 1 (IRA)</v>
      </c>
      <c r="B12" s="27" t="str">
        <v>ME</v>
      </c>
      <c r="C12" s="22"/>
      <c r="D12" s="12"/>
      <c r="E12" s="12" t="str">
        <f t="shared" si="4"/>
        <v/>
      </c>
      <c r="F12" s="13" t="str">
        <f t="shared" si="7"/>
        <v/>
      </c>
      <c r="G12" s="14"/>
      <c r="H12" s="14" t="str">
        <f t="shared" si="5"/>
        <v/>
      </c>
      <c r="I12" s="15" t="str">
        <f t="shared" si="6"/>
        <v/>
      </c>
      <c r="J12" s="39"/>
      <c r="K12" s="72"/>
      <c r="L12" s="39"/>
    </row>
    <row r="13" spans="1:14" ht="15.6">
      <c r="A13" s="28" t="str">
        <v>ME: Union - Route 131 (IRA)</v>
      </c>
      <c r="B13" s="29" t="str">
        <v>ME</v>
      </c>
      <c r="C13" s="11"/>
      <c r="D13" s="16"/>
      <c r="E13" s="16" t="str">
        <f t="shared" si="4"/>
        <v/>
      </c>
      <c r="F13" s="17" t="str">
        <f t="shared" si="7"/>
        <v/>
      </c>
      <c r="G13" s="18"/>
      <c r="H13" s="18" t="str">
        <f t="shared" si="5"/>
        <v/>
      </c>
      <c r="I13" s="17" t="str">
        <f t="shared" si="6"/>
        <v/>
      </c>
      <c r="J13" s="40"/>
      <c r="K13" s="40"/>
      <c r="L13" s="40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3:12" ht="14.45"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12" sqref="B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66</v>
      </c>
      <c r="B1" t="s">
        <v>67</v>
      </c>
    </row>
    <row r="3" spans="1:12" ht="13.15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12" ht="14.45">
      <c r="A4" s="47" t="s">
        <v>71</v>
      </c>
      <c r="B4" t="s">
        <v>72</v>
      </c>
      <c r="C4" s="44" t="s">
        <v>73</v>
      </c>
      <c r="D4" s="43" t="s">
        <v>74</v>
      </c>
      <c r="E4" s="49" t="s">
        <v>75</v>
      </c>
      <c r="G4" s="3"/>
    </row>
    <row r="5" spans="1:12" ht="14.45">
      <c r="A5" s="47" t="s">
        <v>76</v>
      </c>
      <c r="B5" t="s">
        <v>77</v>
      </c>
      <c r="C5" s="44" t="s">
        <v>73</v>
      </c>
      <c r="D5" s="43" t="s">
        <v>74</v>
      </c>
      <c r="E5" s="47" t="s">
        <v>75</v>
      </c>
      <c r="G5" s="3"/>
    </row>
    <row r="6" spans="1:12" ht="14.45">
      <c r="A6" s="47" t="s">
        <v>78</v>
      </c>
      <c r="B6" t="s">
        <v>79</v>
      </c>
      <c r="C6" s="44" t="s">
        <v>73</v>
      </c>
      <c r="D6" s="43" t="s">
        <v>74</v>
      </c>
      <c r="E6" s="49" t="s">
        <v>75</v>
      </c>
      <c r="G6" s="3"/>
    </row>
    <row r="7" spans="1:12" ht="12.75" customHeight="1">
      <c r="A7" s="47" t="s">
        <v>80</v>
      </c>
      <c r="B7" t="s">
        <v>81</v>
      </c>
      <c r="C7" s="44" t="s">
        <v>73</v>
      </c>
      <c r="D7" s="43" t="s">
        <v>74</v>
      </c>
      <c r="E7" s="47" t="s">
        <v>75</v>
      </c>
    </row>
    <row r="8" spans="1:12" ht="12.75" customHeight="1">
      <c r="A8" s="77" t="s">
        <v>82</v>
      </c>
      <c r="B8" s="78" t="s">
        <v>83</v>
      </c>
      <c r="C8" s="44" t="s">
        <v>84</v>
      </c>
      <c r="E8" s="47" t="s">
        <v>75</v>
      </c>
      <c r="K8" s="42"/>
      <c r="L8" s="42"/>
    </row>
    <row r="9" spans="1:12" ht="12.75" customHeight="1">
      <c r="A9" s="77" t="s">
        <v>85</v>
      </c>
      <c r="B9" s="78" t="s">
        <v>86</v>
      </c>
      <c r="C9" s="44" t="s">
        <v>84</v>
      </c>
      <c r="E9" s="47" t="s">
        <v>75</v>
      </c>
      <c r="K9" s="42"/>
      <c r="L9" s="42"/>
    </row>
    <row r="10" spans="1:12" ht="12.75" customHeight="1">
      <c r="A10" s="77" t="s">
        <v>87</v>
      </c>
      <c r="B10" s="78" t="s">
        <v>88</v>
      </c>
      <c r="C10" s="44" t="s">
        <v>84</v>
      </c>
      <c r="E10" s="47" t="s">
        <v>75</v>
      </c>
      <c r="K10" s="42"/>
      <c r="L10" s="42"/>
    </row>
    <row r="11" spans="1:12" ht="12.75" customHeight="1">
      <c r="A11" s="77" t="s">
        <v>89</v>
      </c>
      <c r="B11" s="78" t="s">
        <v>90</v>
      </c>
      <c r="C11" s="44" t="s">
        <v>84</v>
      </c>
      <c r="E11" s="47" t="s">
        <v>75</v>
      </c>
      <c r="K11" s="42"/>
      <c r="L11" s="42"/>
    </row>
    <row r="12" spans="1:12" ht="12.75" customHeight="1">
      <c r="A12" s="77" t="s">
        <v>91</v>
      </c>
      <c r="B12" s="78" t="s">
        <v>92</v>
      </c>
      <c r="C12" s="44" t="s">
        <v>84</v>
      </c>
      <c r="E12" s="47" t="s">
        <v>75</v>
      </c>
      <c r="K12" s="42"/>
      <c r="L12" s="42"/>
    </row>
    <row r="13" spans="1:12" ht="12.75" customHeight="1">
      <c r="A13" s="77" t="s">
        <v>93</v>
      </c>
      <c r="B13" s="78" t="s">
        <v>94</v>
      </c>
      <c r="C13" s="44" t="s">
        <v>84</v>
      </c>
      <c r="E13" s="47" t="s">
        <v>75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174515D7-1F03-415F-B495-8D6E51418919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2026-02-20T21:13:48Z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2026-01-15T16:15:35Z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a9fa62fc-975e-4e05-9d86-cf5ebe42981e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