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8FB9BF3-5B73-4AB6-A98B-3D5505A591D9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2" l="1"/>
  <c r="I4" i="72" s="1"/>
  <c r="E4" i="72"/>
  <c r="F4" i="72" s="1"/>
  <c r="H12" i="33"/>
  <c r="I12" i="33" s="1"/>
  <c r="H13" i="33"/>
  <c r="I13" i="33" s="1"/>
  <c r="H14" i="33"/>
  <c r="I14" i="33" s="1"/>
  <c r="F12" i="33"/>
  <c r="E12" i="33"/>
  <c r="E13" i="33"/>
  <c r="F13" i="33" s="1"/>
  <c r="E14" i="33"/>
  <c r="F14" i="33" s="1"/>
  <c r="I10" i="31"/>
  <c r="H10" i="31"/>
  <c r="H11" i="31"/>
  <c r="I11" i="31" s="1"/>
  <c r="H12" i="31"/>
  <c r="I12" i="31" s="1"/>
  <c r="H13" i="31"/>
  <c r="I13" i="31" s="1"/>
  <c r="H14" i="31"/>
  <c r="I14" i="31" s="1"/>
  <c r="F12" i="31"/>
  <c r="F13" i="31"/>
  <c r="F14" i="31"/>
  <c r="E10" i="31"/>
  <c r="F10" i="31" s="1"/>
  <c r="E11" i="31"/>
  <c r="F11" i="31" s="1"/>
  <c r="E12" i="31"/>
  <c r="E13" i="31"/>
  <c r="E14" i="31"/>
  <c r="E11" i="32"/>
  <c r="F11" i="32" s="1"/>
  <c r="E12" i="32"/>
  <c r="F12" i="32" s="1"/>
  <c r="E13" i="32"/>
  <c r="F13" i="32" s="1"/>
  <c r="E14" i="32"/>
  <c r="F14" i="32" s="1"/>
  <c r="H11" i="32"/>
  <c r="H12" i="32"/>
  <c r="H13" i="32"/>
  <c r="H14" i="32"/>
  <c r="H14" i="30" s="1"/>
  <c r="I9" i="28"/>
  <c r="I12" i="28"/>
  <c r="H9" i="28"/>
  <c r="H10" i="28"/>
  <c r="I10" i="28" s="1"/>
  <c r="H11" i="28"/>
  <c r="I11" i="28" s="1"/>
  <c r="H12" i="28"/>
  <c r="H13" i="28"/>
  <c r="I13" i="28" s="1"/>
  <c r="H14" i="28"/>
  <c r="I14" i="28" s="1"/>
  <c r="F10" i="28"/>
  <c r="F14" i="28"/>
  <c r="E10" i="28"/>
  <c r="E11" i="28"/>
  <c r="F11" i="28" s="1"/>
  <c r="E12" i="28"/>
  <c r="F12" i="28" s="1"/>
  <c r="E13" i="28"/>
  <c r="F13" i="28" s="1"/>
  <c r="E14" i="28"/>
  <c r="E15" i="28"/>
  <c r="I11" i="27"/>
  <c r="H10" i="27"/>
  <c r="I10" i="27" s="1"/>
  <c r="H11" i="27"/>
  <c r="H12" i="27"/>
  <c r="I12" i="27" s="1"/>
  <c r="H13" i="27"/>
  <c r="I13" i="27" s="1"/>
  <c r="H14" i="27"/>
  <c r="I14" i="27" s="1"/>
  <c r="F12" i="27"/>
  <c r="F13" i="27"/>
  <c r="E9" i="27"/>
  <c r="E10" i="27"/>
  <c r="F10" i="27" s="1"/>
  <c r="E11" i="27"/>
  <c r="F11" i="27" s="1"/>
  <c r="E12" i="27"/>
  <c r="E13" i="27"/>
  <c r="E14" i="27"/>
  <c r="F14" i="27" s="1"/>
  <c r="G14" i="30"/>
  <c r="D14" i="30"/>
  <c r="C14" i="30"/>
  <c r="G14" i="29"/>
  <c r="D14" i="29"/>
  <c r="C14" i="29"/>
  <c r="E14" i="29" s="1"/>
  <c r="F14" i="29" s="1"/>
  <c r="H6" i="26"/>
  <c r="I6" i="26" s="1"/>
  <c r="H7" i="26"/>
  <c r="I7" i="26" s="1"/>
  <c r="H8" i="26"/>
  <c r="H9" i="26"/>
  <c r="H10" i="26"/>
  <c r="H11" i="26"/>
  <c r="I11" i="26" s="1"/>
  <c r="H12" i="26"/>
  <c r="H12" i="29" s="1"/>
  <c r="E7" i="26"/>
  <c r="F7" i="26" s="1"/>
  <c r="I12" i="26"/>
  <c r="F12" i="26"/>
  <c r="E12" i="26"/>
  <c r="E13" i="26"/>
  <c r="F13" i="26" s="1"/>
  <c r="E14" i="26"/>
  <c r="F14" i="26" s="1"/>
  <c r="H14" i="26"/>
  <c r="I14" i="26" s="1"/>
  <c r="H13" i="26"/>
  <c r="I13" i="26" s="1"/>
  <c r="E9" i="26"/>
  <c r="F9" i="26" s="1"/>
  <c r="E10" i="26"/>
  <c r="F10" i="26" s="1"/>
  <c r="E11" i="26"/>
  <c r="F11" i="26" s="1"/>
  <c r="E8" i="26"/>
  <c r="H10" i="19"/>
  <c r="I10" i="19" s="1"/>
  <c r="H11" i="19"/>
  <c r="I11" i="19" s="1"/>
  <c r="H12" i="19"/>
  <c r="I12" i="19" s="1"/>
  <c r="H13" i="19"/>
  <c r="I13" i="19" s="1"/>
  <c r="H14" i="19"/>
  <c r="I14" i="19" s="1"/>
  <c r="F14" i="19"/>
  <c r="E10" i="19"/>
  <c r="F10" i="19" s="1"/>
  <c r="E11" i="19"/>
  <c r="F11" i="19" s="1"/>
  <c r="E12" i="19"/>
  <c r="F12" i="19" s="1"/>
  <c r="E13" i="19"/>
  <c r="F13" i="19" s="1"/>
  <c r="E14" i="19"/>
  <c r="G14" i="18"/>
  <c r="D14" i="18"/>
  <c r="C14" i="18"/>
  <c r="E14" i="18" s="1"/>
  <c r="F14" i="18" s="1"/>
  <c r="G14" i="1"/>
  <c r="D14" i="1"/>
  <c r="C14" i="1"/>
  <c r="H6" i="20"/>
  <c r="I6" i="20" s="1"/>
  <c r="I10" i="20"/>
  <c r="I11" i="20"/>
  <c r="I14" i="20"/>
  <c r="H9" i="20"/>
  <c r="I9" i="20" s="1"/>
  <c r="H10" i="20"/>
  <c r="H11" i="20"/>
  <c r="H12" i="20"/>
  <c r="I12" i="20" s="1"/>
  <c r="H13" i="20"/>
  <c r="I13" i="20" s="1"/>
  <c r="H14" i="20"/>
  <c r="F10" i="20"/>
  <c r="F11" i="20"/>
  <c r="F14" i="20"/>
  <c r="E9" i="20"/>
  <c r="F9" i="20" s="1"/>
  <c r="E10" i="20"/>
  <c r="E11" i="20"/>
  <c r="E12" i="20"/>
  <c r="F12" i="20" s="1"/>
  <c r="E13" i="20"/>
  <c r="F13" i="20" s="1"/>
  <c r="E14" i="20"/>
  <c r="I10" i="21"/>
  <c r="H9" i="21"/>
  <c r="H10" i="21"/>
  <c r="H11" i="21"/>
  <c r="I11" i="21" s="1"/>
  <c r="H12" i="21"/>
  <c r="I12" i="21" s="1"/>
  <c r="H13" i="21"/>
  <c r="H13" i="18" s="1"/>
  <c r="H14" i="21"/>
  <c r="H14" i="18" s="1"/>
  <c r="F12" i="21"/>
  <c r="F13" i="21"/>
  <c r="F14" i="21"/>
  <c r="E10" i="21"/>
  <c r="F10" i="21" s="1"/>
  <c r="E11" i="21"/>
  <c r="F11" i="21" s="1"/>
  <c r="E12" i="21"/>
  <c r="E13" i="21"/>
  <c r="E14" i="21"/>
  <c r="I14" i="4"/>
  <c r="H14" i="4"/>
  <c r="E14" i="4"/>
  <c r="F14" i="4" s="1"/>
  <c r="H14" i="3"/>
  <c r="I14" i="3" s="1"/>
  <c r="E14" i="3"/>
  <c r="F14" i="3" s="1"/>
  <c r="H13" i="72"/>
  <c r="I13" i="72" s="1"/>
  <c r="H14" i="72"/>
  <c r="I14" i="72" s="1"/>
  <c r="E13" i="72"/>
  <c r="F13" i="72" s="1"/>
  <c r="E14" i="72"/>
  <c r="F14" i="72" s="1"/>
  <c r="I9" i="4"/>
  <c r="I11" i="4"/>
  <c r="I12" i="4"/>
  <c r="I13" i="4"/>
  <c r="H10" i="4"/>
  <c r="I10" i="4" s="1"/>
  <c r="H11" i="4"/>
  <c r="H12" i="4"/>
  <c r="H13" i="4"/>
  <c r="F9" i="4"/>
  <c r="F10" i="4"/>
  <c r="F11" i="4"/>
  <c r="F12" i="4"/>
  <c r="F13" i="4"/>
  <c r="E10" i="4"/>
  <c r="E11" i="4"/>
  <c r="E12" i="4"/>
  <c r="E13" i="4"/>
  <c r="G12" i="30"/>
  <c r="G13" i="30"/>
  <c r="D12" i="30"/>
  <c r="D13" i="30"/>
  <c r="C12" i="30"/>
  <c r="C13" i="30"/>
  <c r="G12" i="29"/>
  <c r="G13" i="29"/>
  <c r="D12" i="29"/>
  <c r="D13" i="29"/>
  <c r="C12" i="29"/>
  <c r="C13" i="29"/>
  <c r="G12" i="18"/>
  <c r="G13" i="18"/>
  <c r="D12" i="18"/>
  <c r="D13" i="18"/>
  <c r="C12" i="18"/>
  <c r="C13" i="18"/>
  <c r="G13" i="1"/>
  <c r="D13" i="1"/>
  <c r="C13" i="1"/>
  <c r="C5" i="1"/>
  <c r="E6" i="3"/>
  <c r="F6" i="3" s="1"/>
  <c r="E7" i="3"/>
  <c r="F7" i="3" s="1"/>
  <c r="E8" i="3"/>
  <c r="E9" i="3"/>
  <c r="E10" i="3"/>
  <c r="F10" i="3" s="1"/>
  <c r="E11" i="3"/>
  <c r="F11" i="3" s="1"/>
  <c r="E12" i="3"/>
  <c r="F12" i="3" s="1"/>
  <c r="E13" i="3"/>
  <c r="F13" i="3" s="1"/>
  <c r="E4" i="3"/>
  <c r="F4" i="3" s="1"/>
  <c r="H4" i="3"/>
  <c r="I4" i="3" s="1"/>
  <c r="H5" i="3"/>
  <c r="I5" i="3" s="1"/>
  <c r="E5" i="3"/>
  <c r="H6" i="3"/>
  <c r="H7" i="3"/>
  <c r="I7" i="3" s="1"/>
  <c r="H8" i="3"/>
  <c r="H9" i="3"/>
  <c r="I9" i="3" s="1"/>
  <c r="H10" i="3"/>
  <c r="I10" i="3" s="1"/>
  <c r="H11" i="3"/>
  <c r="I11" i="3" s="1"/>
  <c r="H12" i="3"/>
  <c r="H13" i="3"/>
  <c r="F9" i="3"/>
  <c r="H12" i="72"/>
  <c r="I12" i="72" s="1"/>
  <c r="E12" i="72"/>
  <c r="F12" i="72" s="1"/>
  <c r="G12" i="1"/>
  <c r="D12" i="1"/>
  <c r="C12" i="1"/>
  <c r="H10" i="72"/>
  <c r="I10" i="72" s="1"/>
  <c r="H11" i="72"/>
  <c r="I11" i="72" s="1"/>
  <c r="E10" i="72"/>
  <c r="F10" i="72" s="1"/>
  <c r="E11" i="72"/>
  <c r="F11" i="72" s="1"/>
  <c r="H10" i="33"/>
  <c r="I10" i="33" s="1"/>
  <c r="H11" i="33"/>
  <c r="I11" i="33" s="1"/>
  <c r="E10" i="33"/>
  <c r="F10" i="33" s="1"/>
  <c r="E11" i="33"/>
  <c r="F11" i="33" s="1"/>
  <c r="G10" i="18"/>
  <c r="G11" i="18"/>
  <c r="D10" i="18"/>
  <c r="D11" i="18"/>
  <c r="C10" i="18"/>
  <c r="C11" i="18"/>
  <c r="G10" i="1"/>
  <c r="G11" i="1"/>
  <c r="D10" i="1"/>
  <c r="D11" i="1"/>
  <c r="C10" i="1"/>
  <c r="C11" i="1"/>
  <c r="D8" i="1"/>
  <c r="G8" i="1"/>
  <c r="D9" i="1"/>
  <c r="G9" i="1"/>
  <c r="C10" i="30"/>
  <c r="C11" i="30"/>
  <c r="D7" i="29"/>
  <c r="D8" i="29"/>
  <c r="D9" i="29"/>
  <c r="D10" i="29"/>
  <c r="D11" i="29"/>
  <c r="C7" i="29"/>
  <c r="C8" i="29"/>
  <c r="E8" i="29" s="1"/>
  <c r="F8" i="29" s="1"/>
  <c r="C9" i="29"/>
  <c r="C10" i="29"/>
  <c r="C11" i="29"/>
  <c r="H11" i="29"/>
  <c r="G7" i="29"/>
  <c r="G8" i="29"/>
  <c r="G9" i="29"/>
  <c r="G10" i="29"/>
  <c r="G11" i="29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H4" i="32"/>
  <c r="I4" i="32" s="1"/>
  <c r="E4" i="32"/>
  <c r="F4" i="32" s="1"/>
  <c r="H10" i="32"/>
  <c r="E10" i="32"/>
  <c r="F10" i="32" s="1"/>
  <c r="H9" i="32"/>
  <c r="I9" i="32" s="1"/>
  <c r="E9" i="32"/>
  <c r="F9" i="32" s="1"/>
  <c r="D10" i="30"/>
  <c r="D11" i="30"/>
  <c r="G10" i="30"/>
  <c r="G11" i="30"/>
  <c r="C8" i="1"/>
  <c r="C9" i="1"/>
  <c r="C9" i="18"/>
  <c r="D9" i="18"/>
  <c r="G9" i="18"/>
  <c r="C7" i="18"/>
  <c r="D7" i="18"/>
  <c r="G7" i="18"/>
  <c r="C8" i="18"/>
  <c r="D8" i="18"/>
  <c r="G8" i="18"/>
  <c r="E8" i="72"/>
  <c r="F8" i="72" s="1"/>
  <c r="H8" i="72"/>
  <c r="I8" i="72" s="1"/>
  <c r="E9" i="72"/>
  <c r="F9" i="72" s="1"/>
  <c r="H9" i="72"/>
  <c r="I9" i="72" s="1"/>
  <c r="F8" i="3"/>
  <c r="I8" i="3"/>
  <c r="E8" i="4"/>
  <c r="F8" i="4"/>
  <c r="H8" i="4"/>
  <c r="I8" i="4" s="1"/>
  <c r="E9" i="4"/>
  <c r="H9" i="4"/>
  <c r="E8" i="21"/>
  <c r="F8" i="21" s="1"/>
  <c r="H8" i="21"/>
  <c r="I8" i="21" s="1"/>
  <c r="E9" i="21"/>
  <c r="F9" i="21" s="1"/>
  <c r="I9" i="21"/>
  <c r="E8" i="20"/>
  <c r="F8" i="20"/>
  <c r="H8" i="20"/>
  <c r="I8" i="20" s="1"/>
  <c r="E8" i="19"/>
  <c r="F8" i="19" s="1"/>
  <c r="H8" i="19"/>
  <c r="I8" i="19" s="1"/>
  <c r="E9" i="19"/>
  <c r="F9" i="19"/>
  <c r="H9" i="19"/>
  <c r="I9" i="19" s="1"/>
  <c r="F8" i="26"/>
  <c r="I8" i="26"/>
  <c r="E8" i="27"/>
  <c r="F8" i="27" s="1"/>
  <c r="H8" i="27"/>
  <c r="I8" i="27" s="1"/>
  <c r="F9" i="27"/>
  <c r="H9" i="27"/>
  <c r="I9" i="27" s="1"/>
  <c r="E8" i="33"/>
  <c r="F8" i="33" s="1"/>
  <c r="H8" i="33"/>
  <c r="I8" i="33" s="1"/>
  <c r="E9" i="33"/>
  <c r="F9" i="33" s="1"/>
  <c r="H9" i="33"/>
  <c r="G5" i="30"/>
  <c r="G6" i="30"/>
  <c r="G7" i="30"/>
  <c r="G8" i="30"/>
  <c r="G9" i="30"/>
  <c r="G4" i="29"/>
  <c r="C8" i="30"/>
  <c r="D8" i="30"/>
  <c r="C9" i="30"/>
  <c r="D9" i="30"/>
  <c r="E8" i="28"/>
  <c r="F8" i="28" s="1"/>
  <c r="H8" i="28"/>
  <c r="I8" i="28"/>
  <c r="E9" i="28"/>
  <c r="F9" i="28" s="1"/>
  <c r="H7" i="31"/>
  <c r="I7" i="31" s="1"/>
  <c r="H8" i="31"/>
  <c r="H9" i="31"/>
  <c r="I9" i="31" s="1"/>
  <c r="E7" i="31"/>
  <c r="F7" i="31" s="1"/>
  <c r="E8" i="31"/>
  <c r="F8" i="31" s="1"/>
  <c r="E9" i="31"/>
  <c r="F9" i="31" s="1"/>
  <c r="E7" i="33"/>
  <c r="F7" i="33" s="1"/>
  <c r="H7" i="33"/>
  <c r="I7" i="33" s="1"/>
  <c r="E7" i="28"/>
  <c r="F7" i="28"/>
  <c r="H7" i="28"/>
  <c r="I7" i="28" s="1"/>
  <c r="C7" i="30"/>
  <c r="D7" i="30"/>
  <c r="C7" i="1"/>
  <c r="D7" i="1"/>
  <c r="G7" i="1"/>
  <c r="H7" i="27"/>
  <c r="I7" i="27" s="1"/>
  <c r="E7" i="27"/>
  <c r="F7" i="27" s="1"/>
  <c r="E7" i="21"/>
  <c r="F7" i="21"/>
  <c r="H7" i="21"/>
  <c r="I7" i="21" s="1"/>
  <c r="E7" i="4"/>
  <c r="F7" i="4" s="1"/>
  <c r="H7" i="4"/>
  <c r="I7" i="4"/>
  <c r="E7" i="72"/>
  <c r="F7" i="72" s="1"/>
  <c r="H7" i="72"/>
  <c r="I7" i="72" s="1"/>
  <c r="E7" i="20"/>
  <c r="F7" i="20" s="1"/>
  <c r="H7" i="20"/>
  <c r="I7" i="20" s="1"/>
  <c r="E7" i="19"/>
  <c r="F7" i="19" s="1"/>
  <c r="H7" i="19"/>
  <c r="I7" i="19" s="1"/>
  <c r="G5" i="29"/>
  <c r="G6" i="29"/>
  <c r="D4" i="29"/>
  <c r="G6" i="18"/>
  <c r="G5" i="18"/>
  <c r="G4" i="18"/>
  <c r="E6" i="72"/>
  <c r="F6" i="72" s="1"/>
  <c r="E5" i="72"/>
  <c r="F5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5" i="3"/>
  <c r="I6" i="3"/>
  <c r="G6" i="1"/>
  <c r="G5" i="1"/>
  <c r="G4" i="1"/>
  <c r="B4" i="34" a="1"/>
  <c r="B4" i="34" s="1"/>
  <c r="A4" i="34" a="1"/>
  <c r="A4" i="34" s="1"/>
  <c r="A1" i="34" a="1"/>
  <c r="A1" i="34"/>
  <c r="D6" i="30"/>
  <c r="C6" i="30"/>
  <c r="D5" i="30"/>
  <c r="C5" i="30"/>
  <c r="D4" i="30"/>
  <c r="C4" i="30"/>
  <c r="E4" i="30" s="1"/>
  <c r="F4" i="30" s="1"/>
  <c r="D6" i="29"/>
  <c r="C6" i="29"/>
  <c r="E6" i="29" s="1"/>
  <c r="F6" i="29" s="1"/>
  <c r="D5" i="29"/>
  <c r="C5" i="29"/>
  <c r="C4" i="29"/>
  <c r="D6" i="18"/>
  <c r="C6" i="18"/>
  <c r="E6" i="18" s="1"/>
  <c r="F6" i="18" s="1"/>
  <c r="D5" i="18"/>
  <c r="C5" i="18"/>
  <c r="D4" i="18"/>
  <c r="C4" i="18"/>
  <c r="B4" i="30" a="1"/>
  <c r="B4" i="30" s="1"/>
  <c r="A1" i="30" a="1"/>
  <c r="A1" i="30"/>
  <c r="B4" i="29" a="1"/>
  <c r="B4" i="29" s="1"/>
  <c r="A4" i="29" a="1"/>
  <c r="A4" i="29" s="1"/>
  <c r="A1" i="29" a="1"/>
  <c r="A1" i="29"/>
  <c r="B4" i="18" a="1"/>
  <c r="B4" i="18" s="1"/>
  <c r="A4" i="18" a="1"/>
  <c r="A4" i="18" s="1"/>
  <c r="A1" i="18" a="1"/>
  <c r="A1" i="18"/>
  <c r="C6" i="1"/>
  <c r="C4" i="1"/>
  <c r="D6" i="1"/>
  <c r="D5" i="1"/>
  <c r="D4" i="1"/>
  <c r="B4" i="1" a="1"/>
  <c r="B4" i="1" s="1"/>
  <c r="A4" i="1" a="1"/>
  <c r="A4" i="1" s="1"/>
  <c r="A1" i="1" a="1"/>
  <c r="A1" i="1"/>
  <c r="H6" i="33"/>
  <c r="I6" i="33" s="1"/>
  <c r="E6" i="33"/>
  <c r="F6" i="33" s="1"/>
  <c r="H5" i="33"/>
  <c r="I5" i="33" s="1"/>
  <c r="E5" i="33"/>
  <c r="F5" i="33" s="1"/>
  <c r="E4" i="33"/>
  <c r="F4" i="33" s="1"/>
  <c r="D2" i="33"/>
  <c r="C2" i="33"/>
  <c r="A1" i="33" a="1"/>
  <c r="A1" i="33" s="1"/>
  <c r="F5" i="32"/>
  <c r="G2" i="32"/>
  <c r="D2" i="32"/>
  <c r="C2" i="32"/>
  <c r="J2" i="32" s="1"/>
  <c r="A1" i="32" a="1"/>
  <c r="A1" i="32"/>
  <c r="H6" i="31"/>
  <c r="I6" i="31"/>
  <c r="E6" i="31"/>
  <c r="F6" i="31" s="1"/>
  <c r="H5" i="3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/>
  <c r="H6" i="28"/>
  <c r="I6" i="28" s="1"/>
  <c r="E6" i="28"/>
  <c r="F6" i="28" s="1"/>
  <c r="H5" i="28"/>
  <c r="I5" i="28" s="1"/>
  <c r="E5" i="28"/>
  <c r="F5" i="28" s="1"/>
  <c r="H4" i="28"/>
  <c r="I4" i="28"/>
  <c r="E4" i="28"/>
  <c r="F4" i="28" s="1"/>
  <c r="B4" i="28" a="1"/>
  <c r="B4" i="28" s="1"/>
  <c r="A4" i="28" a="1"/>
  <c r="A4" i="28" s="1"/>
  <c r="G2" i="28"/>
  <c r="D2" i="28"/>
  <c r="C2" i="28"/>
  <c r="J2" i="28" s="1"/>
  <c r="A1" i="28" a="1"/>
  <c r="A1" i="28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/>
  <c r="E6" i="26"/>
  <c r="F6" i="26"/>
  <c r="H5" i="26"/>
  <c r="I5" i="26" s="1"/>
  <c r="E5" i="26"/>
  <c r="F5" i="26" s="1"/>
  <c r="H4" i="26"/>
  <c r="I4" i="26"/>
  <c r="E4" i="26"/>
  <c r="F4" i="26"/>
  <c r="G2" i="26"/>
  <c r="D2" i="26"/>
  <c r="C2" i="26"/>
  <c r="A1" i="26" a="1"/>
  <c r="A1" i="26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/>
  <c r="E6" i="20"/>
  <c r="F6" i="20" s="1"/>
  <c r="H5" i="20"/>
  <c r="I5" i="20"/>
  <c r="E5" i="20"/>
  <c r="F5" i="20" s="1"/>
  <c r="H4" i="20"/>
  <c r="I4" i="20" s="1"/>
  <c r="E4" i="20"/>
  <c r="F4" i="20" s="1"/>
  <c r="G2" i="20"/>
  <c r="D2" i="20"/>
  <c r="C2" i="20"/>
  <c r="A1" i="20" a="1"/>
  <c r="A1" i="20"/>
  <c r="H6" i="21"/>
  <c r="I6" i="21" s="1"/>
  <c r="E6" i="21"/>
  <c r="F6" i="21"/>
  <c r="H5" i="21"/>
  <c r="I5" i="21" s="1"/>
  <c r="E5" i="21"/>
  <c r="F5" i="21" s="1"/>
  <c r="H4" i="21"/>
  <c r="I4" i="21"/>
  <c r="E4" i="21"/>
  <c r="F4" i="21" s="1"/>
  <c r="G2" i="21"/>
  <c r="D2" i="21"/>
  <c r="C2" i="21"/>
  <c r="J2" i="21" s="1"/>
  <c r="A1" i="21" a="1"/>
  <c r="A1" i="21"/>
  <c r="H6" i="4"/>
  <c r="I6" i="4"/>
  <c r="E6" i="4"/>
  <c r="F6" i="4" s="1"/>
  <c r="H5" i="4"/>
  <c r="I5" i="4"/>
  <c r="E5" i="4"/>
  <c r="F5" i="4" s="1"/>
  <c r="H4" i="4"/>
  <c r="I4" i="4" s="1"/>
  <c r="E4" i="4"/>
  <c r="F4" i="4"/>
  <c r="G2" i="4"/>
  <c r="D2" i="4"/>
  <c r="C2" i="4"/>
  <c r="A1" i="4" a="1"/>
  <c r="A1" i="4"/>
  <c r="G2" i="3"/>
  <c r="D2" i="3"/>
  <c r="C2" i="3"/>
  <c r="J2" i="3" s="1"/>
  <c r="A1" i="3" a="1"/>
  <c r="A1" i="3" s="1"/>
  <c r="H6" i="72"/>
  <c r="H6" i="1" s="1"/>
  <c r="H5" i="72"/>
  <c r="H5" i="1" s="1"/>
  <c r="G2" i="72"/>
  <c r="D2" i="72"/>
  <c r="C2" i="72"/>
  <c r="J2" i="72" s="1"/>
  <c r="A1" i="72" a="1"/>
  <c r="A1" i="72" s="1"/>
  <c r="E5" i="29"/>
  <c r="F5" i="29" s="1"/>
  <c r="H4" i="33"/>
  <c r="I4" i="33" s="1"/>
  <c r="G2" i="33"/>
  <c r="G4" i="30"/>
  <c r="E14" i="1" l="1"/>
  <c r="F14" i="1" s="1"/>
  <c r="I6" i="72"/>
  <c r="I5" i="1"/>
  <c r="H13" i="29"/>
  <c r="H14" i="1"/>
  <c r="I14" i="1" s="1"/>
  <c r="I14" i="21"/>
  <c r="H11" i="18"/>
  <c r="E9" i="1"/>
  <c r="F9" i="1" s="1"/>
  <c r="H10" i="18"/>
  <c r="I10" i="18" s="1"/>
  <c r="H12" i="18"/>
  <c r="H14" i="29"/>
  <c r="I14" i="29" s="1"/>
  <c r="H4" i="18"/>
  <c r="I4" i="18" s="1"/>
  <c r="E10" i="1"/>
  <c r="F10" i="1" s="1"/>
  <c r="H13" i="1"/>
  <c r="I13" i="1" s="1"/>
  <c r="I13" i="21"/>
  <c r="H13" i="30"/>
  <c r="H4" i="30"/>
  <c r="H4" i="1"/>
  <c r="H4" i="34" s="1"/>
  <c r="E9" i="29"/>
  <c r="F9" i="29" s="1"/>
  <c r="H12" i="1"/>
  <c r="H12" i="30"/>
  <c r="I12" i="30" s="1"/>
  <c r="H8" i="30"/>
  <c r="E6" i="30"/>
  <c r="F6" i="30" s="1"/>
  <c r="I14" i="30"/>
  <c r="E9" i="30"/>
  <c r="F9" i="30" s="1"/>
  <c r="E2" i="33"/>
  <c r="F2" i="33" s="1"/>
  <c r="E7" i="30"/>
  <c r="F7" i="30" s="1"/>
  <c r="H11" i="30"/>
  <c r="D4" i="34"/>
  <c r="E12" i="30"/>
  <c r="F12" i="30" s="1"/>
  <c r="D6" i="34"/>
  <c r="I11" i="32"/>
  <c r="I12" i="32"/>
  <c r="I14" i="32"/>
  <c r="I13" i="30"/>
  <c r="I13" i="32"/>
  <c r="C2" i="30"/>
  <c r="H5" i="30"/>
  <c r="I5" i="30" s="1"/>
  <c r="E5" i="30"/>
  <c r="F5" i="30" s="1"/>
  <c r="I5" i="31"/>
  <c r="E13" i="30"/>
  <c r="F13" i="30" s="1"/>
  <c r="E14" i="30"/>
  <c r="F14" i="30" s="1"/>
  <c r="G14" i="34"/>
  <c r="D14" i="34"/>
  <c r="E12" i="29"/>
  <c r="F12" i="29" s="1"/>
  <c r="H9" i="29"/>
  <c r="I9" i="29" s="1"/>
  <c r="D2" i="29"/>
  <c r="H4" i="29"/>
  <c r="I4" i="29" s="1"/>
  <c r="H2" i="27"/>
  <c r="I2" i="27" s="1"/>
  <c r="E2" i="27"/>
  <c r="F2" i="27" s="1"/>
  <c r="J2" i="27"/>
  <c r="I13" i="29"/>
  <c r="I12" i="29"/>
  <c r="H10" i="29"/>
  <c r="I10" i="29" s="1"/>
  <c r="I10" i="26"/>
  <c r="I9" i="26"/>
  <c r="E10" i="29"/>
  <c r="F10" i="29" s="1"/>
  <c r="G2" i="29"/>
  <c r="H5" i="29"/>
  <c r="I5" i="29" s="1"/>
  <c r="E7" i="29"/>
  <c r="F7" i="29" s="1"/>
  <c r="E4" i="29"/>
  <c r="F4" i="29" s="1"/>
  <c r="E13" i="29"/>
  <c r="F13" i="29" s="1"/>
  <c r="H2" i="26"/>
  <c r="I2" i="26" s="1"/>
  <c r="C2" i="29"/>
  <c r="E11" i="29"/>
  <c r="F11" i="29" s="1"/>
  <c r="D11" i="34"/>
  <c r="G4" i="34"/>
  <c r="E4" i="18"/>
  <c r="F4" i="18" s="1"/>
  <c r="I14" i="18"/>
  <c r="I13" i="18"/>
  <c r="H2" i="19"/>
  <c r="I2" i="19" s="1"/>
  <c r="H5" i="18"/>
  <c r="I5" i="18" s="1"/>
  <c r="I12" i="18"/>
  <c r="C14" i="34"/>
  <c r="D13" i="34"/>
  <c r="D9" i="34"/>
  <c r="H7" i="18"/>
  <c r="I7" i="18" s="1"/>
  <c r="E8" i="18"/>
  <c r="F8" i="18" s="1"/>
  <c r="D12" i="34"/>
  <c r="G12" i="34"/>
  <c r="E12" i="18"/>
  <c r="F12" i="18" s="1"/>
  <c r="C13" i="34"/>
  <c r="G13" i="34"/>
  <c r="E13" i="18"/>
  <c r="F13" i="18" s="1"/>
  <c r="E9" i="18"/>
  <c r="F9" i="18" s="1"/>
  <c r="I11" i="18"/>
  <c r="G11" i="34"/>
  <c r="C7" i="34"/>
  <c r="E7" i="18"/>
  <c r="F7" i="18" s="1"/>
  <c r="D7" i="34"/>
  <c r="H6" i="18"/>
  <c r="I6" i="18" s="1"/>
  <c r="E5" i="18"/>
  <c r="F5" i="18" s="1"/>
  <c r="D5" i="34"/>
  <c r="D2" i="18"/>
  <c r="E2" i="21"/>
  <c r="F2" i="21" s="1"/>
  <c r="C5" i="34"/>
  <c r="H2" i="21"/>
  <c r="I2" i="21" s="1"/>
  <c r="E4" i="1"/>
  <c r="F4" i="1" s="1"/>
  <c r="E2" i="4"/>
  <c r="F2" i="4" s="1"/>
  <c r="E13" i="1"/>
  <c r="F13" i="1" s="1"/>
  <c r="E12" i="1"/>
  <c r="F12" i="1" s="1"/>
  <c r="E6" i="1"/>
  <c r="F6" i="1" s="1"/>
  <c r="H11" i="1"/>
  <c r="I11" i="1" s="1"/>
  <c r="E8" i="1"/>
  <c r="F8" i="1" s="1"/>
  <c r="H10" i="1"/>
  <c r="I10" i="1" s="1"/>
  <c r="I13" i="3"/>
  <c r="I12" i="3"/>
  <c r="E11" i="1"/>
  <c r="F11" i="1" s="1"/>
  <c r="I6" i="1"/>
  <c r="C11" i="34"/>
  <c r="C12" i="34"/>
  <c r="G5" i="34"/>
  <c r="E5" i="1"/>
  <c r="F5" i="1" s="1"/>
  <c r="G2" i="1"/>
  <c r="H7" i="1"/>
  <c r="I7" i="1" s="1"/>
  <c r="D2" i="1"/>
  <c r="C8" i="34"/>
  <c r="E2" i="28"/>
  <c r="F2" i="28" s="1"/>
  <c r="I11" i="29"/>
  <c r="H2" i="28"/>
  <c r="I2" i="28" s="1"/>
  <c r="E11" i="18"/>
  <c r="F11" i="18" s="1"/>
  <c r="H2" i="3"/>
  <c r="I2" i="3" s="1"/>
  <c r="H2" i="72"/>
  <c r="I2" i="72" s="1"/>
  <c r="G2" i="18"/>
  <c r="E2" i="19"/>
  <c r="F2" i="19" s="1"/>
  <c r="J2" i="26"/>
  <c r="E2" i="72"/>
  <c r="F2" i="72" s="1"/>
  <c r="E2" i="26"/>
  <c r="F2" i="26" s="1"/>
  <c r="E2" i="3"/>
  <c r="F2" i="3" s="1"/>
  <c r="E2" i="20"/>
  <c r="F2" i="20" s="1"/>
  <c r="E10" i="18"/>
  <c r="F10" i="18" s="1"/>
  <c r="C2" i="1"/>
  <c r="H2" i="20"/>
  <c r="I2" i="20" s="1"/>
  <c r="I5" i="72"/>
  <c r="E7" i="1"/>
  <c r="F7" i="1" s="1"/>
  <c r="C9" i="34"/>
  <c r="H8" i="18"/>
  <c r="I8" i="18" s="1"/>
  <c r="H8" i="29"/>
  <c r="I8" i="29" s="1"/>
  <c r="H7" i="29"/>
  <c r="I7" i="29" s="1"/>
  <c r="H7" i="30"/>
  <c r="I7" i="30" s="1"/>
  <c r="H9" i="18"/>
  <c r="I9" i="18" s="1"/>
  <c r="J2" i="20"/>
  <c r="I8" i="31"/>
  <c r="J2" i="19"/>
  <c r="J2" i="4"/>
  <c r="G9" i="34"/>
  <c r="E2" i="31"/>
  <c r="F2" i="31" s="1"/>
  <c r="C2" i="18"/>
  <c r="J2" i="31"/>
  <c r="G8" i="34"/>
  <c r="H6" i="29"/>
  <c r="I6" i="29" s="1"/>
  <c r="C4" i="34"/>
  <c r="D8" i="34"/>
  <c r="C10" i="34"/>
  <c r="G10" i="34"/>
  <c r="H8" i="1"/>
  <c r="I8" i="1" s="1"/>
  <c r="H9" i="1"/>
  <c r="I9" i="1" s="1"/>
  <c r="H2" i="4"/>
  <c r="I2" i="4" s="1"/>
  <c r="G6" i="34"/>
  <c r="H9" i="30"/>
  <c r="I9" i="30" s="1"/>
  <c r="I9" i="33"/>
  <c r="E10" i="30"/>
  <c r="F10" i="30" s="1"/>
  <c r="D10" i="34"/>
  <c r="E11" i="30"/>
  <c r="F11" i="30" s="1"/>
  <c r="J2" i="33"/>
  <c r="E8" i="30"/>
  <c r="F8" i="30" s="1"/>
  <c r="D2" i="30"/>
  <c r="H2" i="33"/>
  <c r="I2" i="33" s="1"/>
  <c r="I11" i="30"/>
  <c r="I10" i="32"/>
  <c r="H10" i="30"/>
  <c r="G7" i="34"/>
  <c r="H6" i="30"/>
  <c r="C6" i="34"/>
  <c r="I8" i="30"/>
  <c r="G2" i="30"/>
  <c r="H2" i="32"/>
  <c r="I2" i="32" s="1"/>
  <c r="E2" i="32"/>
  <c r="F2" i="32" s="1"/>
  <c r="I4" i="30"/>
  <c r="H13" i="34" l="1"/>
  <c r="H14" i="34"/>
  <c r="I14" i="34" s="1"/>
  <c r="I4" i="1"/>
  <c r="H12" i="34"/>
  <c r="I12" i="34" s="1"/>
  <c r="I12" i="1"/>
  <c r="E4" i="34"/>
  <c r="F4" i="34" s="1"/>
  <c r="H11" i="34"/>
  <c r="I11" i="34" s="1"/>
  <c r="E6" i="34"/>
  <c r="F6" i="34" s="1"/>
  <c r="I4" i="34"/>
  <c r="E14" i="34"/>
  <c r="F14" i="34" s="1"/>
  <c r="E2" i="30"/>
  <c r="F2" i="30" s="1"/>
  <c r="E11" i="34"/>
  <c r="F11" i="34" s="1"/>
  <c r="E12" i="34"/>
  <c r="F12" i="34" s="1"/>
  <c r="E5" i="34"/>
  <c r="F5" i="34" s="1"/>
  <c r="H2" i="29"/>
  <c r="I2" i="29" s="1"/>
  <c r="E9" i="34"/>
  <c r="F9" i="34" s="1"/>
  <c r="E2" i="29"/>
  <c r="F2" i="29" s="1"/>
  <c r="E13" i="34"/>
  <c r="F13" i="34" s="1"/>
  <c r="E7" i="34"/>
  <c r="F7" i="34" s="1"/>
  <c r="H5" i="34"/>
  <c r="I5" i="34" s="1"/>
  <c r="I13" i="34"/>
  <c r="E8" i="34"/>
  <c r="F8" i="34" s="1"/>
  <c r="H9" i="34"/>
  <c r="I9" i="34" s="1"/>
  <c r="D2" i="34"/>
  <c r="E10" i="34"/>
  <c r="F10" i="34" s="1"/>
  <c r="H2" i="18"/>
  <c r="I2" i="18" s="1"/>
  <c r="E2" i="18"/>
  <c r="F2" i="18" s="1"/>
  <c r="E2" i="1"/>
  <c r="F2" i="1" s="1"/>
  <c r="H2" i="1"/>
  <c r="I2" i="1" s="1"/>
  <c r="H7" i="34"/>
  <c r="I7" i="34" s="1"/>
  <c r="H8" i="34"/>
  <c r="I8" i="34" s="1"/>
  <c r="I10" i="30"/>
  <c r="H10" i="34"/>
  <c r="I10" i="34" s="1"/>
  <c r="G2" i="34"/>
  <c r="H6" i="34"/>
  <c r="I6" i="34" s="1"/>
  <c r="I6" i="30"/>
  <c r="C2" i="34"/>
  <c r="H2" i="30"/>
  <c r="I2" i="30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<sst xmlns="http://schemas.openxmlformats.org/spreadsheetml/2006/main" count="311" uniqueCount="97">
  <si>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</si>
  <si>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</si>
  <si>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</si>
  <si>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</si>
  <si>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</si>
  <si>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</si>
  <si>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</si>
  <si>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</si>
  <si>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</si>
  <si>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</si>
  <si>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</si>
  <si>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</si>
  <si>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</si>
  <si>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</si>
  <si>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</si>
  <si>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</si>
  <si>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</si>
  <si>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</si>
  <si>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</si>
  <si>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</si>
  <si>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</si>
  <si>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</si>
  <si>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</si>
  <si>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1.Inverters 1 and 2 are experiencing a morning shading issue.
2.Site production was low on 01/07,01/11,01/18,01/25 due to snow</t>
  </si>
  <si>
    <t>1.Site production was low on 01/22 to 01/28 due to snow</t>
  </si>
  <si>
    <t>1.Site production was low on 01/01 to 01/07 due to snow</t>
  </si>
  <si>
    <t>1.Site production was low on 01/01,01/07, 01/11,01/17 to 01/19,01/26 to 01/28 due to snow</t>
  </si>
  <si>
    <t>1.NCU 01 TCU 18, 28, 39, 46, &amp; 50 NCU 02 TCU 12 &amp; 47 has been stuck later technician has replaced fuses and RMA'd 3 TCUs on 11/23.
2.Site production was low on 01/07, 01/24 to 01/28 due to snow
3.Site tripped offline at 20:15 on 01/29 and remained offline throughouth the month</t>
  </si>
  <si>
    <t>1.SR113646
3.SR115492</t>
  </si>
  <si>
    <t>1.Pending
2.Pending</t>
  </si>
  <si>
    <t>SR115492</t>
  </si>
  <si>
    <t>1.TCUs 81 &amp; 100 and TCUs 4 and setpoint, 65, and 117 are stuck.   
2.Site production was low on 01/07,01/14,01/25 due to snow</t>
  </si>
  <si>
    <t>1.SR111075</t>
  </si>
  <si>
    <t>1.Pending</t>
  </si>
  <si>
    <t>1.NCU-A.01 tracker 132 and NCU-A.02 tracker 70 are stuck. ON 12/31 tech has disabled tracker 132 due to structural damage
2.Pad B inverters has tripped offline at 13:15 on 01/04 and remained offline throughouth the month</t>
  </si>
  <si>
    <t>1.SR111761
2.SR113751</t>
  </si>
  <si>
    <t>1.Closed
2.Pending</t>
  </si>
  <si>
    <t>SR113751</t>
  </si>
  <si>
    <t>1. NCU 1 trackers are tracking again, NCU 2 has 14 trackers stuck (#7 through 13, 34, 46 through 52, &amp; 56)  from 07:00 to 14:00 on 12/29 and later back again tracking from 01/20
2.NCU 1 TCU 5 is currently stuck from 01/27.</t>
  </si>
  <si>
    <t>1.SR113733
2.SR115377</t>
  </si>
  <si>
    <t>SR115377</t>
  </si>
  <si>
    <t>1.Site was offline from 12/22 and remained offline throughouth the month</t>
  </si>
  <si>
    <t>1.SR114159</t>
  </si>
  <si>
    <t>February Actual v. Expected</t>
  </si>
  <si>
    <t>February Actual v. Forecasted</t>
  </si>
  <si>
    <t>March Actual v. Expected</t>
  </si>
  <si>
    <t>March Actual v. Forecasted</t>
  </si>
  <si>
    <t>SR099057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</si>
  <si>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</si>
  <si>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</si>
  <si>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</si>
  <si>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</si>
  <si>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</si>
  <si>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</si>
  <si>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</si>
  <si>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</si>
  <si>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</si>
  <si>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</si>
  <si>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</si>
  <si>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</si>
  <si>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</si>
  <si>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</si>
  <si>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</si>
  <si>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</si>
  <si>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</si>
  <si>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</si>
  <si>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</si>
  <si>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</si>
  <si>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</si>
  <si>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</si>
  <si>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</si>
  <si>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</si>
  <si>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</si>
  <si>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</si>
  <si>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PowerTrack</t>
  </si>
  <si>
    <t>Bullis</t>
  </si>
  <si>
    <t>NY</t>
  </si>
  <si>
    <t>AEF</t>
  </si>
  <si>
    <t>Rock Island NY (Renew Prop)</t>
  </si>
  <si>
    <t>Rock Island</t>
  </si>
  <si>
    <t>Roderick Road</t>
  </si>
  <si>
    <t>Winslow - Roderick</t>
  </si>
  <si>
    <t>ME</t>
  </si>
  <si>
    <t>Clemons Road</t>
  </si>
  <si>
    <t>Minoa - Clemons Rd</t>
  </si>
  <si>
    <t>Western Ave Solar</t>
  </si>
  <si>
    <t>Manchester - Western</t>
  </si>
  <si>
    <t>Batavia - Pike Rd</t>
  </si>
  <si>
    <t xml:space="preserve"> Lockport - Slayton A &amp; B</t>
  </si>
  <si>
    <t>Slayton A &amp; B</t>
  </si>
  <si>
    <t>Alexander Road</t>
  </si>
  <si>
    <t>Batavia - Alexander Rd</t>
  </si>
  <si>
    <t>Henry Gibson</t>
  </si>
  <si>
    <t xml:space="preserve">NC: Gibson – Henry Gibson Solar </t>
  </si>
  <si>
    <t>NC</t>
  </si>
  <si>
    <t>Pushaw</t>
  </si>
  <si>
    <t>Bangor - Pushaw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</si>
</sst>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10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22" fillId="0" borderId="0" xfId="43" applyFont="1"/>
    <xf numFmtId="9" fontId="30" fillId="3" borderId="12" xfId="2" applyFont="1" applyFill="1" applyBorder="1" applyAlignment="1">
      <alignment horizontal="center" vertical="center"/>
    </xf>
    <xf numFmtId="0" fontId="32" fillId="0" borderId="1" xfId="0" applyFont="1" applyBorder="1"/>
    <xf numFmtId="0" fontId="22" fillId="0" borderId="0" xfId="43" applyFont="1" applyAlignment="1">
      <alignment horizontal="left" vertical="top" wrapText="1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49" fontId="30" fillId="38" borderId="1" xfId="2" applyNumberFormat="1" applyFont="1" applyFill="1" applyBorder="1" applyAlignment="1">
      <alignment horizontal="left" vertical="top" wrapText="1"/>
    </xf>
    <xf numFmtId="0" fontId="22" fillId="0" borderId="0" xfId="43" applyFont="1" applyAlignment="1">
      <alignment horizontal="left" wrapText="1"/>
    </xf>
    <xf numFmtId="0" fontId="32" fillId="0" borderId="13" xfId="0" applyFont="1" applyBorder="1"/>
    <xf numFmtId="3" fontId="30" fillId="4" borderId="11" xfId="1" applyNumberFormat="1" applyFont="1" applyFill="1" applyBorder="1" applyAlignment="1">
      <alignment vertical="center"/>
    </xf>
    <xf numFmtId="9" fontId="30" fillId="0" borderId="12" xfId="2" applyFont="1" applyFill="1" applyBorder="1" applyAlignment="1">
      <alignment horizontal="center" vertical="center"/>
    </xf>
    <xf numFmtId="3" fontId="30" fillId="0" borderId="14" xfId="1" applyNumberFormat="1" applyFont="1" applyFill="1" applyBorder="1" applyAlignment="1">
      <alignment vertical="center"/>
    </xf>
    <xf numFmtId="0" fontId="2" fillId="0" borderId="0" xfId="0" applyFont="1"/>
    <xf numFmtId="0" fontId="30" fillId="0" borderId="13" xfId="0" applyFont="1" applyBorder="1" applyAlignment="1">
      <alignment horizontal="left" vertical="top" wrapText="1"/>
    </xf>
    <xf numFmtId="0" fontId="30" fillId="0" borderId="1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2" fillId="0" borderId="13" xfId="0" applyFont="1" applyBorder="1" applyAlignment="1">
      <alignment vertical="center"/>
    </xf>
    <xf numFmtId="0" fontId="30" fillId="0" borderId="13" xfId="0" applyFont="1" applyBorder="1" applyAlignment="1">
      <alignment horizontal="right" vertical="center"/>
    </xf>
    <xf numFmtId="9" fontId="30" fillId="0" borderId="1" xfId="2" applyFont="1" applyBorder="1" applyAlignment="1">
      <alignment horizontal="center" vertical="center"/>
    </xf>
    <xf numFmtId="3" fontId="30" fillId="0" borderId="1" xfId="1" applyNumberFormat="1" applyFont="1" applyBorder="1" applyAlignment="1">
      <alignment vertical="center"/>
    </xf>
    <xf numFmtId="49" fontId="36" fillId="0" borderId="1" xfId="45" applyNumberFormat="1" applyBorder="1" applyAlignment="1">
      <alignment horizontal="left" vertical="top" wrapText="1"/>
    </xf>
    <xf numFmtId="49" fontId="36" fillId="38" borderId="1" xfId="45" applyNumberFormat="1" applyFill="1" applyBorder="1" applyAlignment="1">
      <alignment horizontal="left" vertical="top" wrapText="1"/>
    </xf>
    <xf numFmtId="0" fontId="36" fillId="0" borderId="13" xfId="45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 wrapText="1"/>
    </xf>
    <xf numFmtId="0" fontId="36" fillId="0" borderId="0" xfId="45" applyAlignment="1">
      <alignment horizontal="left" vertical="top"/>
    </xf>
    <xf numFmtId="49" fontId="36" fillId="38" borderId="1" xfId="45" applyNumberFormat="1" applyFill="1" applyBorder="1" applyAlignment="1">
      <alignment vertical="top" wrapText="1"/>
    </xf>
    <xf numFmtId="49" fontId="28" fillId="0" borderId="1" xfId="0" applyNumberFormat="1" applyFont="1" applyBorder="1" applyAlignment="1">
      <alignment horizontal="left" vertical="center" wrapText="1"/>
    </xf>
    <xf numFmtId="49" fontId="36" fillId="0" borderId="1" xfId="45" applyNumberFormat="1" applyBorder="1" applyAlignment="1">
      <alignment vertical="top" wrapText="1"/>
    </xf>
    <xf numFmtId="0" fontId="37" fillId="0" borderId="0" xfId="0" applyFont="1" applyAlignment="1">
      <alignment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3" fontId="30" fillId="4" borderId="13" xfId="1" applyNumberFormat="1" applyFont="1" applyFill="1" applyBorder="1" applyAlignment="1">
      <alignment vertical="center"/>
    </xf>
    <xf numFmtId="3" fontId="30" fillId="4" borderId="14" xfId="1" applyNumberFormat="1" applyFont="1" applyFill="1" applyBorder="1" applyAlignment="1">
      <alignment vertical="center"/>
    </xf>
    <xf numFmtId="0" fontId="32" fillId="0" borderId="15" xfId="0" applyFont="1" applyBorder="1"/>
    <xf numFmtId="0" fontId="23" fillId="0" borderId="0" xfId="0" applyFont="1"/>
    <xf numFmtId="0" fontId="5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32" fillId="0" borderId="1" xfId="0" applyFont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49" fontId="36" fillId="0" borderId="1" xfId="45" applyNumberFormat="1" applyBorder="1" applyAlignment="1">
      <alignment vertical="center" wrapText="1"/>
    </xf>
    <xf numFmtId="0" fontId="5" fillId="45" borderId="11" xfId="0" applyFont="1" applyFill="1" applyBorder="1" applyAlignment="1">
      <alignment horizontal="left" vertical="top"/>
    </xf>
    <xf numFmtId="0" fontId="36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4" totalsRowShown="0">
  <autoFilter ref="A3:E1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4159" TargetMode="External"/><Relationship Id="rId3" Type="http://schemas.openxmlformats.org/officeDocument/2006/relationships/hyperlink" Target="https://us3.assetplanner.com/service_request?ID=111075" TargetMode="External"/><Relationship Id="rId7" Type="http://schemas.openxmlformats.org/officeDocument/2006/relationships/hyperlink" Target="https://us3.assetplanner.com/service_request?ID=115377" TargetMode="External"/><Relationship Id="rId2" Type="http://schemas.openxmlformats.org/officeDocument/2006/relationships/hyperlink" Target="https://us3.assetplanner.com/service_request?ID=115492" TargetMode="External"/><Relationship Id="rId1" Type="http://schemas.openxmlformats.org/officeDocument/2006/relationships/hyperlink" Target="https://us3.assetplanner.com/service_request?ID=113646" TargetMode="External"/><Relationship Id="rId6" Type="http://schemas.openxmlformats.org/officeDocument/2006/relationships/hyperlink" Target="https://us3.assetplanner.com/service_request?ID=113733" TargetMode="External"/><Relationship Id="rId5" Type="http://schemas.openxmlformats.org/officeDocument/2006/relationships/hyperlink" Target="https://us3.assetplanner.com/service_request?ID=113751" TargetMode="External"/><Relationship Id="rId4" Type="http://schemas.openxmlformats.org/officeDocument/2006/relationships/hyperlink" Target="https://us3.assetplanner.com/service_request?ID=111761" TargetMode="External"/><Relationship Id="rId9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05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D26" sqref="D2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Renewable Properties</v>
      </c>
      <c r="B1" s="104"/>
      <c r="C1" s="104"/>
      <c r="D1" s="105" t="s">
        <v>0</v>
      </c>
      <c r="E1" s="105"/>
      <c r="F1" s="105"/>
      <c r="G1" s="103" t="s">
        <v>1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1090729.5</v>
      </c>
      <c r="D2" s="5">
        <f>SUM(D4:D80)</f>
        <v>3089441.9099999992</v>
      </c>
      <c r="E2" s="5">
        <f>C2-D2</f>
        <v>-1998712.4099999992</v>
      </c>
      <c r="F2" s="6">
        <f>IFERROR(E2/D2, 0)</f>
        <v>-0.64694934173402208</v>
      </c>
      <c r="G2" s="5">
        <f>SUM(G4:G80)</f>
        <v>2860668.2800000003</v>
      </c>
      <c r="H2" s="7">
        <f>C2-G2</f>
        <v>-1769938.7800000003</v>
      </c>
      <c r="I2" s="6">
        <f>IFERROR(H2/G2, 0)</f>
        <v>-0.61871514162418029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25" t="str" cm="1">
        <f t="array" ref="A4:A14">Sites[Site]</f>
        <v>Cedar Swamp Rd</v>
      </c>
      <c r="B4" s="26" t="str" cm="1">
        <f t="array" ref="B4:B14">Sites[State]</f>
        <v>MA</v>
      </c>
      <c r="C4" s="27">
        <f>SUM('1st Qtr'!C4, '2nd Qtr'!C4, '3rd Qtr'!C4, '4th Qtr'!C4)</f>
        <v>36668</v>
      </c>
      <c r="D4" s="28">
        <f>SUM('1st Qtr'!D4, '2nd Qtr'!D4, '3rd Qtr'!D4, '4th Qtr'!D4)</f>
        <v>63476.11</v>
      </c>
      <c r="E4" s="28">
        <f>IF(AND(ISNUMBER(C4),ISNUMBER(D4)), C4-D4, "")</f>
        <v>-26808.11</v>
      </c>
      <c r="F4" s="29">
        <f>IFERROR(E4/D4, "")</f>
        <v>-0.42233385127097423</v>
      </c>
      <c r="G4" s="30">
        <f>SUM('1st Qtr'!G4, '2nd Qtr'!G4, '3rd Qtr'!G4, '4th Qtr'!G4)</f>
        <v>41455.199999999997</v>
      </c>
      <c r="H4" s="30">
        <f>SUM('1st Qtr'!H4, '2nd Qtr'!H4, '3rd Qtr'!H4, '4th Qtr'!H4)</f>
        <v>-4787.1999999999971</v>
      </c>
      <c r="I4" s="31">
        <f>IFERROR(H4/G4, "")</f>
        <v>-0.11547887840367427</v>
      </c>
    </row>
    <row r="5" spans="1:9" ht="15.6">
      <c r="A5" s="32" t="str">
        <v>Bullis</v>
      </c>
      <c r="B5" s="33" t="str">
        <v>NY</v>
      </c>
      <c r="C5" s="35">
        <f>SUM('1st Qtr'!C5, '2nd Qtr'!C5, '3rd Qtr'!C5, '4th Qtr'!C5)</f>
        <v>107107</v>
      </c>
      <c r="D5" s="35">
        <f>SUM('1st Qtr'!D5, '2nd Qtr'!D5, '3rd Qtr'!D5, '4th Qtr'!D5)</f>
        <v>241574.5</v>
      </c>
      <c r="E5" s="35">
        <f t="shared" ref="E5:E6" si="0">IF(AND(ISNUMBER(C5),ISNUMBER(D5)), C5-D5, "")</f>
        <v>-134467.5</v>
      </c>
      <c r="F5" s="36">
        <f>IFERROR(E5/D5, "")</f>
        <v>-0.55662952836495572</v>
      </c>
      <c r="G5" s="37">
        <f>SUM('1st Qtr'!G5, '2nd Qtr'!G5, '3rd Qtr'!G5, '4th Qtr'!G5)</f>
        <v>262737.5</v>
      </c>
      <c r="H5" s="37">
        <f>SUM('1st Qtr'!H5, '2nd Qtr'!H5, '3rd Qtr'!H5, '4th Qtr'!H5)</f>
        <v>-155630.5</v>
      </c>
      <c r="I5" s="36">
        <f>IFERROR(H5/G5, "")</f>
        <v>-0.59234216661116135</v>
      </c>
    </row>
    <row r="6" spans="1:9" ht="15.6">
      <c r="A6" s="25" t="str">
        <v>Rock Island</v>
      </c>
      <c r="B6" s="26" t="str">
        <v>NY</v>
      </c>
      <c r="C6" s="27">
        <f>SUM('1st Qtr'!C6, '2nd Qtr'!C6, '3rd Qtr'!C6, '4th Qtr'!C6)</f>
        <v>165393</v>
      </c>
      <c r="D6" s="28">
        <f>SUM('1st Qtr'!D6, '2nd Qtr'!D6, '3rd Qtr'!D6, '4th Qtr'!D6)</f>
        <v>299522.2</v>
      </c>
      <c r="E6" s="28">
        <f t="shared" si="0"/>
        <v>-134129.20000000001</v>
      </c>
      <c r="F6" s="29">
        <f t="shared" ref="F6" si="1">IFERROR(E6/D6, "")</f>
        <v>-0.44781054626334876</v>
      </c>
      <c r="G6" s="30">
        <f>SUM('1st Qtr'!G6, '2nd Qtr'!G6, '3rd Qtr'!G6, '4th Qtr'!G6)</f>
        <v>245101</v>
      </c>
      <c r="H6" s="30">
        <f>SUM('1st Qtr'!H6, '2nd Qtr'!H6, '3rd Qtr'!H6, '4th Qtr'!H6)</f>
        <v>-79708</v>
      </c>
      <c r="I6" s="31">
        <f t="shared" ref="I6" si="2">IFERROR(H6/G6, "")</f>
        <v>-0.32520471152708474</v>
      </c>
    </row>
    <row r="7" spans="1:9" ht="15.6">
      <c r="A7" s="32" t="str">
        <v>Winslow - Roderick</v>
      </c>
      <c r="B7" s="33" t="str">
        <v>ME</v>
      </c>
      <c r="C7" s="35">
        <f>SUM('1st Qtr'!C7, '2nd Qtr'!C7, '3rd Qtr'!C7, '4th Qtr'!C7)</f>
        <v>222085</v>
      </c>
      <c r="D7" s="35">
        <f>SUM('1st Qtr'!D7, '2nd Qtr'!D7, '3rd Qtr'!D7, '4th Qtr'!D7)</f>
        <v>493283.5</v>
      </c>
      <c r="E7" s="35">
        <f t="shared" ref="E7" si="3">IF(AND(ISNUMBER(C7),ISNUMBER(D7)), C7-D7, "")</f>
        <v>-271198.5</v>
      </c>
      <c r="F7" s="36">
        <f t="shared" ref="F7:F13" si="4">IFERROR(E7/D7, "")</f>
        <v>-0.54978222462336568</v>
      </c>
      <c r="G7" s="37">
        <f>SUM('1st Qtr'!G7, '2nd Qtr'!G7, '3rd Qtr'!G7, '4th Qtr'!G7)</f>
        <v>307900</v>
      </c>
      <c r="H7" s="37">
        <f>SUM('1st Qtr'!H7, '2nd Qtr'!H7, '3rd Qtr'!H7, '4th Qtr'!H7)</f>
        <v>-85815</v>
      </c>
      <c r="I7" s="36">
        <f t="shared" ref="I7:I13" si="5">IFERROR(H7/G7, "")</f>
        <v>-0.27871062033127642</v>
      </c>
    </row>
    <row r="8" spans="1:9" ht="15.6">
      <c r="A8" s="25" t="str">
        <v>Minoa - Clemons Rd</v>
      </c>
      <c r="B8" s="26" t="str">
        <v>NY</v>
      </c>
      <c r="C8" s="27">
        <f>SUM('1st Qtr'!C8, '2nd Qtr'!C8, '3rd Qtr'!C8, '4th Qtr'!C8)</f>
        <v>75309.5</v>
      </c>
      <c r="D8" s="28">
        <f>SUM('1st Qtr'!D8, '2nd Qtr'!D8, '3rd Qtr'!D8, '4th Qtr'!D8)</f>
        <v>149411.9</v>
      </c>
      <c r="E8" s="28">
        <f t="shared" ref="E8:E14" si="6">IF(AND(ISNUMBER(C8),ISNUMBER(D8)), C8-D8, "")</f>
        <v>-74102.399999999994</v>
      </c>
      <c r="F8" s="29">
        <f t="shared" ref="F8:F14" si="7">IFERROR(E8/D8, "")</f>
        <v>-0.49596049578380302</v>
      </c>
      <c r="G8" s="30">
        <f>SUM('1st Qtr'!G8, '2nd Qtr'!G8, '3rd Qtr'!G8, '4th Qtr'!G8)</f>
        <v>190437.2</v>
      </c>
      <c r="H8" s="30">
        <f>SUM('1st Qtr'!H8, '2nd Qtr'!H8, '3rd Qtr'!H8, '4th Qtr'!H8)</f>
        <v>-115127.70000000001</v>
      </c>
      <c r="I8" s="31">
        <f t="shared" ref="I8:I14" si="8">IFERROR(H8/G8, "")</f>
        <v>-0.60454417519266201</v>
      </c>
    </row>
    <row r="9" spans="1:9" ht="15.6">
      <c r="A9" s="32" t="str">
        <v>Manchester - Western</v>
      </c>
      <c r="B9" s="33" t="str">
        <v>ME</v>
      </c>
      <c r="C9" s="35">
        <f>SUM('1st Qtr'!C9, '2nd Qtr'!C9, '3rd Qtr'!C9, '4th Qtr'!C9)</f>
        <v>31198</v>
      </c>
      <c r="D9" s="35">
        <f>SUM('1st Qtr'!D9, '2nd Qtr'!D9, '3rd Qtr'!D9, '4th Qtr'!D9)</f>
        <v>71210.5</v>
      </c>
      <c r="E9" s="35">
        <f t="shared" si="6"/>
        <v>-40012.5</v>
      </c>
      <c r="F9" s="36">
        <f t="shared" si="4"/>
        <v>-0.56189045154857786</v>
      </c>
      <c r="G9" s="37">
        <f>SUM('1st Qtr'!G9, '2nd Qtr'!G9, '3rd Qtr'!G9, '4th Qtr'!G9)</f>
        <v>45770.18</v>
      </c>
      <c r="H9" s="37">
        <f>SUM('1st Qtr'!H9, '2nd Qtr'!H9, '3rd Qtr'!H9, '4th Qtr'!H9)</f>
        <v>-14572.18</v>
      </c>
      <c r="I9" s="36">
        <f t="shared" si="5"/>
        <v>-0.31837716172407449</v>
      </c>
    </row>
    <row r="10" spans="1:9" ht="15.6">
      <c r="A10" s="25" t="str">
        <v>Batavia - Pike Rd</v>
      </c>
      <c r="B10" s="26" t="str">
        <v>NY</v>
      </c>
      <c r="C10" s="27">
        <f>SUM('1st Qtr'!C10, '2nd Qtr'!C10, '3rd Qtr'!C10, '4th Qtr'!C10)</f>
        <v>105213.5</v>
      </c>
      <c r="D10" s="28">
        <f>SUM('1st Qtr'!D10, '2nd Qtr'!D10, '3rd Qtr'!D10, '4th Qtr'!D10)</f>
        <v>221392.4</v>
      </c>
      <c r="E10" s="28">
        <f t="shared" si="6"/>
        <v>-116178.9</v>
      </c>
      <c r="F10" s="29">
        <f t="shared" si="7"/>
        <v>-0.52476462606665808</v>
      </c>
      <c r="G10" s="30">
        <f>SUM('1st Qtr'!G10, '2nd Qtr'!G10, '3rd Qtr'!G10, '4th Qtr'!G10)</f>
        <v>218224.8</v>
      </c>
      <c r="H10" s="30">
        <f>SUM('1st Qtr'!H10, '2nd Qtr'!H10, '3rd Qtr'!H10, '4th Qtr'!H10)</f>
        <v>-113011.29999999999</v>
      </c>
      <c r="I10" s="31">
        <f t="shared" si="8"/>
        <v>-0.51786643864492021</v>
      </c>
    </row>
    <row r="11" spans="1:9" ht="15.6">
      <c r="A11" s="32" t="str">
        <v>Slayton A &amp; B</v>
      </c>
      <c r="B11" s="33" t="str">
        <v>NY</v>
      </c>
      <c r="C11" s="35">
        <f>SUM('1st Qtr'!C11, '2nd Qtr'!C11, '3rd Qtr'!C11, '4th Qtr'!C11)</f>
        <v>206991</v>
      </c>
      <c r="D11" s="35">
        <f>SUM('1st Qtr'!D11, '2nd Qtr'!D11, '3rd Qtr'!D11, '4th Qtr'!D11)</f>
        <v>506582.4</v>
      </c>
      <c r="E11" s="35">
        <f t="shared" si="6"/>
        <v>-299591.40000000002</v>
      </c>
      <c r="F11" s="36">
        <f t="shared" si="4"/>
        <v>-0.59139717447743945</v>
      </c>
      <c r="G11" s="37">
        <f>SUM('1st Qtr'!G11, '2nd Qtr'!G11, '3rd Qtr'!G11, '4th Qtr'!G11)</f>
        <v>396842.6</v>
      </c>
      <c r="H11" s="37">
        <f>SUM('1st Qtr'!H11, '2nd Qtr'!H11, '3rd Qtr'!H11, '4th Qtr'!H11)</f>
        <v>-189851.59999999998</v>
      </c>
      <c r="I11" s="36">
        <f t="shared" si="5"/>
        <v>-0.47840529217377364</v>
      </c>
    </row>
    <row r="12" spans="1:9" ht="15.6">
      <c r="A12" s="25" t="str">
        <v>Batavia - Alexander Rd</v>
      </c>
      <c r="B12" s="26" t="str">
        <v>NY</v>
      </c>
      <c r="C12" s="27">
        <f>SUM('1st Qtr'!C12, '2nd Qtr'!C12, '3rd Qtr'!C12, '4th Qtr'!C12)</f>
        <v>43531.5</v>
      </c>
      <c r="D12" s="28">
        <f>SUM('1st Qtr'!D12, '2nd Qtr'!D12, '3rd Qtr'!D12, '4th Qtr'!D12)</f>
        <v>133417.4</v>
      </c>
      <c r="E12" s="28">
        <f t="shared" si="6"/>
        <v>-89885.9</v>
      </c>
      <c r="F12" s="29">
        <f t="shared" si="7"/>
        <v>-0.67371946987424425</v>
      </c>
      <c r="G12" s="30">
        <f>SUM('1st Qtr'!G12, '2nd Qtr'!G12, '3rd Qtr'!G12, '4th Qtr'!G12)</f>
        <v>109759.8</v>
      </c>
      <c r="H12" s="30">
        <f>SUM('1st Qtr'!H12, '2nd Qtr'!H12, '3rd Qtr'!H12, '4th Qtr'!H12)</f>
        <v>-66228.3</v>
      </c>
      <c r="I12" s="31">
        <f t="shared" si="8"/>
        <v>-0.60339304554126372</v>
      </c>
    </row>
    <row r="13" spans="1:9" ht="15.6">
      <c r="A13" s="32" t="str">
        <v xml:space="preserve">NC: Gibson – Henry Gibson Solar </v>
      </c>
      <c r="B13" s="33" t="str">
        <v>NC</v>
      </c>
      <c r="C13" s="35">
        <f>SUM('1st Qtr'!C13, '2nd Qtr'!C13, '3rd Qtr'!C13, '4th Qtr'!C13)</f>
        <v>-4470</v>
      </c>
      <c r="D13" s="35">
        <f>SUM('1st Qtr'!D13, '2nd Qtr'!D13, '3rd Qtr'!D13, '4th Qtr'!D13)</f>
        <v>537539.19999999995</v>
      </c>
      <c r="E13" s="35">
        <f t="shared" si="6"/>
        <v>-542009.19999999995</v>
      </c>
      <c r="F13" s="36">
        <f t="shared" si="4"/>
        <v>-1.0083156726058304</v>
      </c>
      <c r="G13" s="37">
        <f>SUM('1st Qtr'!G13, '2nd Qtr'!G13, '3rd Qtr'!G13, '4th Qtr'!G13)</f>
        <v>648494</v>
      </c>
      <c r="H13" s="37">
        <f>SUM('1st Qtr'!H13, '2nd Qtr'!H13, '3rd Qtr'!H13, '4th Qtr'!H13)</f>
        <v>-652964</v>
      </c>
      <c r="I13" s="36">
        <f t="shared" si="5"/>
        <v>-1.0068928933806636</v>
      </c>
    </row>
    <row r="14" spans="1:9" ht="15.6">
      <c r="A14" s="25" t="str">
        <v>Bangor - Pushaw</v>
      </c>
      <c r="B14" s="26" t="str">
        <v>ME</v>
      </c>
      <c r="C14" s="27">
        <f>SUM('1st Qtr'!C14, '2nd Qtr'!C14, '3rd Qtr'!C14, '4th Qtr'!C14)</f>
        <v>101703</v>
      </c>
      <c r="D14" s="28">
        <f>SUM('1st Qtr'!D14, '2nd Qtr'!D14, '3rd Qtr'!D14, '4th Qtr'!D14)</f>
        <v>372031.8</v>
      </c>
      <c r="E14" s="28">
        <f t="shared" si="6"/>
        <v>-270328.8</v>
      </c>
      <c r="F14" s="29">
        <f t="shared" si="7"/>
        <v>-0.72662820758870617</v>
      </c>
      <c r="G14" s="30">
        <f>SUM('1st Qtr'!G14, '2nd Qtr'!G14, '3rd Qtr'!G14, '4th Qtr'!G14)</f>
        <v>393946</v>
      </c>
      <c r="H14" s="30">
        <f>SUM('1st Qtr'!H14, '2nd Qtr'!H14, '3rd Qtr'!H14, '4th Qtr'!H14)</f>
        <v>-292243</v>
      </c>
      <c r="I14" s="31">
        <f t="shared" si="8"/>
        <v>-0.74183517537936672</v>
      </c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D26" sqref="D26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Renewable Properties</v>
      </c>
      <c r="B1" s="104"/>
      <c r="C1" s="104"/>
      <c r="D1" s="105" t="s">
        <v>10</v>
      </c>
      <c r="E1" s="105"/>
      <c r="F1" s="105"/>
      <c r="G1" s="103" t="s">
        <v>11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1090729.5</v>
      </c>
      <c r="D2" s="5">
        <f>SUM(D4:D80)</f>
        <v>3089441.9099999992</v>
      </c>
      <c r="E2" s="5">
        <f>C2-D2</f>
        <v>-1998712.4099999992</v>
      </c>
      <c r="F2" s="6">
        <f>IFERROR(E2/D2, 0)</f>
        <v>-0.64694934173402208</v>
      </c>
      <c r="G2" s="5">
        <f>SUM(G4:G80)</f>
        <v>2860668.2800000003</v>
      </c>
      <c r="H2" s="7">
        <f>C2-G2</f>
        <v>-1769938.7800000003</v>
      </c>
      <c r="I2" s="6">
        <f>IFERROR(H2/G2, 0)</f>
        <v>-0.61871514162418029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38" t="str" cm="1">
        <f t="array" ref="A4:A14">Sites[Site]</f>
        <v>Cedar Swamp Rd</v>
      </c>
      <c r="B4" s="26" t="str" cm="1">
        <f t="array" ref="B4:B14">Sites[State]</f>
        <v>MA</v>
      </c>
      <c r="C4" s="27">
        <f>SUM(Jan!C4, Feb!C5, Mar!C4)</f>
        <v>36668</v>
      </c>
      <c r="D4" s="28">
        <f>SUM(Jan!D4, Feb!D4, Mar!D4)</f>
        <v>63476.11</v>
      </c>
      <c r="E4" s="28">
        <f>IF(AND(ISNUMBER(C4),ISNUMBER(D4)), C4-D4, "")</f>
        <v>-26808.11</v>
      </c>
      <c r="F4" s="29">
        <f>IFERROR(E4/D4, "")</f>
        <v>-0.42233385127097423</v>
      </c>
      <c r="G4" s="30">
        <f>SUM(Jan!G4, Feb!G4, Mar!G4)</f>
        <v>41455.199999999997</v>
      </c>
      <c r="H4" s="30">
        <f>SUM(Jan!H4, Feb!H4, Mar!H4)</f>
        <v>-4787.1999999999971</v>
      </c>
      <c r="I4" s="31">
        <f>IFERROR(H4/G4, "")</f>
        <v>-0.11547887840367427</v>
      </c>
    </row>
    <row r="5" spans="1:9" ht="15.6">
      <c r="A5" s="39" t="str">
        <v>Bullis</v>
      </c>
      <c r="B5" s="33" t="str">
        <v>NY</v>
      </c>
      <c r="C5" s="34">
        <f>SUM(Jan!C5, Feb!C5, Mar!C5)</f>
        <v>107107</v>
      </c>
      <c r="D5" s="35">
        <f>SUM(Jan!D5, Feb!D5, Mar!D5)</f>
        <v>241574.5</v>
      </c>
      <c r="E5" s="35">
        <f t="shared" ref="E5:E6" si="0">IF(AND(ISNUMBER(C5),ISNUMBER(D5)), C5-D5, "")</f>
        <v>-134467.5</v>
      </c>
      <c r="F5" s="36">
        <f>IFERROR(E5/D5, "")</f>
        <v>-0.55662952836495572</v>
      </c>
      <c r="G5" s="37">
        <f>SUM(Jan!G5, Feb!G5, Mar!G5)</f>
        <v>262737.5</v>
      </c>
      <c r="H5" s="37">
        <f>SUM(Jan!H5, Feb!H5, Mar!H5)</f>
        <v>-155630.5</v>
      </c>
      <c r="I5" s="36">
        <f>IFERROR(H5/G5, "")</f>
        <v>-0.59234216661116135</v>
      </c>
    </row>
    <row r="6" spans="1:9" ht="15.6">
      <c r="A6" s="38" t="str">
        <v>Rock Island</v>
      </c>
      <c r="B6" s="26" t="str">
        <v>NY</v>
      </c>
      <c r="C6" s="27">
        <f>SUM(Jan!C6, Feb!C6, Mar!C6)</f>
        <v>165393</v>
      </c>
      <c r="D6" s="28">
        <f>SUM(Jan!D6, Feb!D6, Mar!D6)</f>
        <v>299522.2</v>
      </c>
      <c r="E6" s="28">
        <f t="shared" si="0"/>
        <v>-134129.20000000001</v>
      </c>
      <c r="F6" s="29">
        <f t="shared" ref="F6:F14" si="1">IFERROR(E6/D6, "")</f>
        <v>-0.44781054626334876</v>
      </c>
      <c r="G6" s="30">
        <f>SUM(Jan!G6, Feb!G6, Mar!G6)</f>
        <v>245101</v>
      </c>
      <c r="H6" s="30">
        <f>SUM(Jan!H6, Feb!H6, Mar!H6)</f>
        <v>-79708</v>
      </c>
      <c r="I6" s="31">
        <f t="shared" ref="I6:I14" si="2">IFERROR(H6/G6, "")</f>
        <v>-0.32520471152708474</v>
      </c>
    </row>
    <row r="7" spans="1:9" ht="15.6">
      <c r="A7" s="39" t="str">
        <v>Winslow - Roderick</v>
      </c>
      <c r="B7" s="33" t="str">
        <v>ME</v>
      </c>
      <c r="C7" s="34">
        <f>SUM(Jan!C7, Feb!C7, Mar!C7)</f>
        <v>222085</v>
      </c>
      <c r="D7" s="35">
        <f>SUM(Jan!D7, Feb!D7, Mar!D7)</f>
        <v>493283.5</v>
      </c>
      <c r="E7" s="35">
        <f t="shared" ref="E7:E10" si="3">IF(AND(ISNUMBER(C7),ISNUMBER(D7)), C7-D7, "")</f>
        <v>-271198.5</v>
      </c>
      <c r="F7" s="36">
        <f t="shared" si="1"/>
        <v>-0.54978222462336568</v>
      </c>
      <c r="G7" s="37">
        <f>SUM(Jan!G7, Feb!G7, Mar!G7)</f>
        <v>307900</v>
      </c>
      <c r="H7" s="37">
        <f>SUM(Jan!H7, Feb!H7, Mar!H7)</f>
        <v>-85815</v>
      </c>
      <c r="I7" s="36">
        <f t="shared" si="2"/>
        <v>-0.27871062033127642</v>
      </c>
    </row>
    <row r="8" spans="1:9" ht="15.6">
      <c r="A8" s="38" t="str">
        <v>Minoa - Clemons Rd</v>
      </c>
      <c r="B8" s="26" t="str">
        <v>NY</v>
      </c>
      <c r="C8" s="27">
        <f>SUM(Jan!C8, Feb!C8, Mar!C8)</f>
        <v>75309.5</v>
      </c>
      <c r="D8" s="28">
        <f>SUM(Jan!D8, Feb!D8, Mar!D8)</f>
        <v>149411.9</v>
      </c>
      <c r="E8" s="28">
        <f t="shared" si="3"/>
        <v>-74102.399999999994</v>
      </c>
      <c r="F8" s="29">
        <f t="shared" si="1"/>
        <v>-0.49596049578380302</v>
      </c>
      <c r="G8" s="30">
        <f>SUM(Jan!G8, Feb!G8, Mar!G8)</f>
        <v>190437.2</v>
      </c>
      <c r="H8" s="30">
        <f>SUM(Jan!H8, Feb!H8, Mar!H8)</f>
        <v>-115127.70000000001</v>
      </c>
      <c r="I8" s="31">
        <f t="shared" si="2"/>
        <v>-0.60454417519266201</v>
      </c>
    </row>
    <row r="9" spans="1:9" ht="15.6">
      <c r="A9" s="39" t="str">
        <v>Manchester - Western</v>
      </c>
      <c r="B9" s="33" t="str">
        <v>ME</v>
      </c>
      <c r="C9" s="34">
        <f>SUM(Jan!C9, Feb!C9, Mar!C9)</f>
        <v>31198</v>
      </c>
      <c r="D9" s="35">
        <f>SUM(Jan!D9, Feb!D9, Mar!D9)</f>
        <v>71210.5</v>
      </c>
      <c r="E9" s="35">
        <f t="shared" ref="E9" si="4">IF(AND(ISNUMBER(C9),ISNUMBER(D9)), C9-D9, "")</f>
        <v>-40012.5</v>
      </c>
      <c r="F9" s="36">
        <f t="shared" si="1"/>
        <v>-0.56189045154857786</v>
      </c>
      <c r="G9" s="37">
        <f>SUM(Jan!G9, Feb!G9, Mar!G9)</f>
        <v>45770.18</v>
      </c>
      <c r="H9" s="37">
        <f>SUM(Jan!H9, Feb!H9, Mar!H9)</f>
        <v>-14572.18</v>
      </c>
      <c r="I9" s="36">
        <f t="shared" si="2"/>
        <v>-0.31837716172407449</v>
      </c>
    </row>
    <row r="10" spans="1:9" ht="15.6">
      <c r="A10" s="38" t="str">
        <v>Batavia - Pike Rd</v>
      </c>
      <c r="B10" s="26" t="str">
        <v>NY</v>
      </c>
      <c r="C10" s="27">
        <f>SUM(Jan!C10, Feb!C10, Mar!C10)</f>
        <v>105213.5</v>
      </c>
      <c r="D10" s="28">
        <f>SUM(Jan!D10, Feb!D10, Mar!D10)</f>
        <v>221392.4</v>
      </c>
      <c r="E10" s="28">
        <f t="shared" si="3"/>
        <v>-116178.9</v>
      </c>
      <c r="F10" s="29">
        <f t="shared" si="1"/>
        <v>-0.52476462606665808</v>
      </c>
      <c r="G10" s="30">
        <f>SUM(Jan!G10, Feb!G10, Mar!G10)</f>
        <v>218224.8</v>
      </c>
      <c r="H10" s="30">
        <f>SUM(Jan!H10, Feb!H10, Mar!H10)</f>
        <v>-113011.29999999999</v>
      </c>
      <c r="I10" s="31">
        <f t="shared" si="2"/>
        <v>-0.51786643864492021</v>
      </c>
    </row>
    <row r="11" spans="1:9" ht="15.6">
      <c r="A11" s="39" t="str">
        <v>Slayton A &amp; B</v>
      </c>
      <c r="B11" s="33" t="str">
        <v>NY</v>
      </c>
      <c r="C11" s="34">
        <f>SUM(Jan!C11, Feb!C11, Mar!C11)</f>
        <v>206991</v>
      </c>
      <c r="D11" s="35">
        <f>SUM(Jan!D11, Feb!D11, Mar!D11)</f>
        <v>506582.4</v>
      </c>
      <c r="E11" s="35">
        <f>IF(AND(ISNUMBER(C11),ISNUMBER(D11)), C11-D11, "")</f>
        <v>-299591.40000000002</v>
      </c>
      <c r="F11" s="36">
        <f t="shared" si="1"/>
        <v>-0.59139717447743945</v>
      </c>
      <c r="G11" s="37">
        <f>SUM(Jan!G11, Feb!G11, Mar!G11)</f>
        <v>396842.6</v>
      </c>
      <c r="H11" s="37">
        <f>SUM(Jan!H11, Feb!H11, Mar!H11)</f>
        <v>-189851.59999999998</v>
      </c>
      <c r="I11" s="36">
        <f t="shared" si="2"/>
        <v>-0.47840529217377364</v>
      </c>
    </row>
    <row r="12" spans="1:9" ht="15.6">
      <c r="A12" s="38" t="str">
        <v>Batavia - Alexander Rd</v>
      </c>
      <c r="B12" s="26" t="str">
        <v>NY</v>
      </c>
      <c r="C12" s="27">
        <f>SUM(Jan!C12, Feb!C12, Mar!C12)</f>
        <v>43531.5</v>
      </c>
      <c r="D12" s="28">
        <f>SUM(Jan!D12, Feb!D12, Mar!D12)</f>
        <v>133417.4</v>
      </c>
      <c r="E12" s="28">
        <f>IF(AND(ISNUMBER(C12),ISNUMBER(D12)), C12-D12, "")</f>
        <v>-89885.9</v>
      </c>
      <c r="F12" s="29">
        <f t="shared" si="1"/>
        <v>-0.67371946987424425</v>
      </c>
      <c r="G12" s="30">
        <f>SUM(Jan!G12, Feb!G12, Mar!G12)</f>
        <v>109759.8</v>
      </c>
      <c r="H12" s="30">
        <f>SUM(Jan!H12, Feb!H12, Mar!H12)</f>
        <v>-66228.3</v>
      </c>
      <c r="I12" s="31">
        <f t="shared" si="2"/>
        <v>-0.60339304554126372</v>
      </c>
    </row>
    <row r="13" spans="1:9" ht="15.6">
      <c r="A13" s="39" t="str">
        <v xml:space="preserve">NC: Gibson – Henry Gibson Solar </v>
      </c>
      <c r="B13" s="33" t="str">
        <v>NC</v>
      </c>
      <c r="C13" s="34">
        <f>SUM(Jan!C13, Feb!C13, Mar!C13)</f>
        <v>-4470</v>
      </c>
      <c r="D13" s="35">
        <f>SUM(Jan!D13, Feb!D13, Mar!D13)</f>
        <v>537539.19999999995</v>
      </c>
      <c r="E13" s="35">
        <f>IF(AND(ISNUMBER(C13),ISNUMBER(D13)), C13-D13, "")</f>
        <v>-542009.19999999995</v>
      </c>
      <c r="F13" s="36">
        <f t="shared" si="1"/>
        <v>-1.0083156726058304</v>
      </c>
      <c r="G13" s="79">
        <f>SUM(Jan!G13, Feb!G13, Mar!G13)</f>
        <v>648494</v>
      </c>
      <c r="H13" s="79">
        <f>SUM(Jan!H13, Feb!H13, Mar!H13)</f>
        <v>-652964</v>
      </c>
      <c r="I13" s="78">
        <f>IFERROR(H13/G13, "")</f>
        <v>-1.0068928933806636</v>
      </c>
    </row>
    <row r="14" spans="1:9" ht="15.6">
      <c r="A14" s="39" t="str">
        <v>Bangor - Pushaw</v>
      </c>
      <c r="B14" s="33" t="str">
        <v>ME</v>
      </c>
      <c r="C14" s="27">
        <f>SUM(Jan!C14, Feb!C14, Mar!C14)</f>
        <v>101703</v>
      </c>
      <c r="D14" s="28">
        <f>SUM(Jan!D14, Feb!D14, Mar!D14)</f>
        <v>372031.8</v>
      </c>
      <c r="E14" s="28">
        <f>IF(AND(ISNUMBER(C14),ISNUMBER(D14)), C14-D14, "")</f>
        <v>-270328.8</v>
      </c>
      <c r="F14" s="29">
        <f t="shared" si="1"/>
        <v>-0.72662820758870617</v>
      </c>
      <c r="G14" s="30">
        <f>SUM(Jan!G14, Feb!G14, Mar!G14)</f>
        <v>393946</v>
      </c>
      <c r="H14" s="30">
        <f>SUM(Jan!H14, Feb!H14, Mar!H14)</f>
        <v>-292243</v>
      </c>
      <c r="I14" s="31">
        <f t="shared" si="2"/>
        <v>-0.74183517537936672</v>
      </c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I20" sqref="I20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Renewable Properties</v>
      </c>
      <c r="B1" s="104"/>
      <c r="C1" s="104"/>
      <c r="D1" s="105" t="s">
        <v>12</v>
      </c>
      <c r="E1" s="105"/>
      <c r="F1" s="105"/>
      <c r="G1" s="103" t="s">
        <v>13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38" t="str" cm="1">
        <f t="array" ref="A4:A14">Sites[Site]</f>
        <v>Cedar Swamp Rd</v>
      </c>
      <c r="B4" s="26" t="str" cm="1">
        <f t="array" ref="B4:B14">Sites[State]</f>
        <v>MA</v>
      </c>
      <c r="C4" s="27">
        <f>SUM(Apr!C4, May!C4, Jun!C4)</f>
        <v>0</v>
      </c>
      <c r="D4" s="28">
        <f>SUM(Apr!D4, May!D4, Jun!D4)</f>
        <v>0</v>
      </c>
      <c r="E4" s="28">
        <f>IF(AND(ISNUMBER(C4),ISNUMBER(D4)), C4-D4, "")</f>
        <v>0</v>
      </c>
      <c r="F4" s="29" t="str">
        <f>IFERROR(E4/D4, "")</f>
        <v/>
      </c>
      <c r="G4" s="30">
        <f>SUM(Apr!G4, May!G4, Jun!G4)</f>
        <v>0</v>
      </c>
      <c r="H4" s="30">
        <f>SUM(Apr!H4, May!H4, Jun!H4)</f>
        <v>0</v>
      </c>
      <c r="I4" s="31" t="str">
        <f>IFERROR(H4/G4, "")</f>
        <v/>
      </c>
    </row>
    <row r="5" spans="1:9" ht="15.6">
      <c r="A5" s="39" t="str">
        <v>Bullis</v>
      </c>
      <c r="B5" s="33" t="str">
        <v>NY</v>
      </c>
      <c r="C5" s="34">
        <f>SUM(Apr!C5, May!C5, Jun!C5)</f>
        <v>0</v>
      </c>
      <c r="D5" s="35">
        <f>SUM(Apr!D5, May!D5, Jun!D5)</f>
        <v>0</v>
      </c>
      <c r="E5" s="35">
        <f t="shared" ref="E5:E6" si="0">IF(AND(ISNUMBER(C5),ISNUMBER(D5)), C5-D5, "")</f>
        <v>0</v>
      </c>
      <c r="F5" s="36" t="str">
        <f>IFERROR(E5/D5, "")</f>
        <v/>
      </c>
      <c r="G5" s="9">
        <f>SUM(Apr!G5, May!G5, Jun!G5)</f>
        <v>0</v>
      </c>
      <c r="H5" s="37">
        <f>SUM(Apr!H5, May!H5, Jun!H5)</f>
        <v>0</v>
      </c>
      <c r="I5" s="36" t="str">
        <f>IFERROR(H5/G5, "")</f>
        <v/>
      </c>
    </row>
    <row r="6" spans="1:9" ht="15.6">
      <c r="A6" s="38" t="str">
        <v>Rock Island</v>
      </c>
      <c r="B6" s="26" t="str">
        <v>NY</v>
      </c>
      <c r="C6" s="27">
        <f>SUM(Apr!C6, May!C6, Jun!C6)</f>
        <v>0</v>
      </c>
      <c r="D6" s="28">
        <f>SUM(Apr!D6, May!D6, Jun!D6)</f>
        <v>0</v>
      </c>
      <c r="E6" s="28">
        <f t="shared" si="0"/>
        <v>0</v>
      </c>
      <c r="F6" s="29" t="str">
        <f t="shared" ref="F6:F14" si="1">IFERROR(E6/D6, "")</f>
        <v/>
      </c>
      <c r="G6" s="30">
        <f>SUM(Apr!G6, May!G6, Jun!G6)</f>
        <v>0</v>
      </c>
      <c r="H6" s="30">
        <f>SUM(Apr!H6, May!H6, Jun!H6)</f>
        <v>0</v>
      </c>
      <c r="I6" s="31" t="str">
        <f t="shared" ref="I6:I14" si="2">IFERROR(H6/G6, "")</f>
        <v/>
      </c>
    </row>
    <row r="7" spans="1:9" ht="15.6">
      <c r="A7" s="39" t="str">
        <v>Winslow - Roderick</v>
      </c>
      <c r="B7" s="33" t="str">
        <v>ME</v>
      </c>
      <c r="C7" s="34">
        <f>SUM(Apr!C7, May!C7, Jun!C7)</f>
        <v>0</v>
      </c>
      <c r="D7" s="35">
        <f>SUM(Apr!D7, May!D7, Jun!D7)</f>
        <v>0</v>
      </c>
      <c r="E7" s="35">
        <f t="shared" ref="E7:E14" si="3">IF(AND(ISNUMBER(C7),ISNUMBER(D7)), C7-D7, "")</f>
        <v>0</v>
      </c>
      <c r="F7" s="36" t="str">
        <f t="shared" si="1"/>
        <v/>
      </c>
      <c r="G7" s="9">
        <f>SUM(Apr!G7, May!G7, Jun!G7)</f>
        <v>0</v>
      </c>
      <c r="H7" s="37">
        <f>SUM(Apr!H7, May!H7, Jun!H7)</f>
        <v>0</v>
      </c>
      <c r="I7" s="36" t="str">
        <f t="shared" si="2"/>
        <v/>
      </c>
    </row>
    <row r="8" spans="1:9" ht="15.6">
      <c r="A8" s="38" t="str">
        <v>Minoa - Clemons Rd</v>
      </c>
      <c r="B8" s="26" t="str">
        <v>NY</v>
      </c>
      <c r="C8" s="27">
        <f>SUM(Apr!C8, May!C8, Jun!C8)</f>
        <v>0</v>
      </c>
      <c r="D8" s="28">
        <f>SUM(Apr!D8, May!D8, Jun!D8)</f>
        <v>0</v>
      </c>
      <c r="E8" s="28">
        <f t="shared" si="3"/>
        <v>0</v>
      </c>
      <c r="F8" s="29" t="str">
        <f t="shared" si="1"/>
        <v/>
      </c>
      <c r="G8" s="30">
        <f>SUM(Apr!G8, May!G8, Jun!G8)</f>
        <v>0</v>
      </c>
      <c r="H8" s="30">
        <f>SUM(Apr!H8, May!H8, Jun!H8)</f>
        <v>0</v>
      </c>
      <c r="I8" s="31" t="str">
        <f t="shared" si="2"/>
        <v/>
      </c>
    </row>
    <row r="9" spans="1:9" ht="15.6">
      <c r="A9" s="39" t="str">
        <v>Manchester - Western</v>
      </c>
      <c r="B9" s="33" t="str">
        <v>ME</v>
      </c>
      <c r="C9" s="34">
        <f>SUM(Apr!C9, May!C9, Jun!C9)</f>
        <v>0</v>
      </c>
      <c r="D9" s="35">
        <f>SUM(Apr!D9, May!D9, Jun!D9)</f>
        <v>0</v>
      </c>
      <c r="E9" s="35">
        <f t="shared" si="3"/>
        <v>0</v>
      </c>
      <c r="F9" s="36" t="str">
        <f t="shared" si="1"/>
        <v/>
      </c>
      <c r="G9" s="9">
        <f>SUM(Apr!G9, May!G9, Jun!G9)</f>
        <v>0</v>
      </c>
      <c r="H9" s="37">
        <f>SUM(Apr!H9, May!H9, Jun!H9)</f>
        <v>0</v>
      </c>
      <c r="I9" s="36" t="str">
        <f t="shared" si="2"/>
        <v/>
      </c>
    </row>
    <row r="10" spans="1:9" ht="15.6">
      <c r="A10" s="38" t="str">
        <v>Batavia - Pike Rd</v>
      </c>
      <c r="B10" s="26" t="str">
        <v>NY</v>
      </c>
      <c r="C10" s="27">
        <f>SUM(Apr!C10, May!C10, Jun!C10)</f>
        <v>0</v>
      </c>
      <c r="D10" s="28">
        <f>SUM(Apr!D10, May!D10, Jun!D10)</f>
        <v>0</v>
      </c>
      <c r="E10" s="28">
        <f t="shared" si="3"/>
        <v>0</v>
      </c>
      <c r="F10" s="29" t="str">
        <f t="shared" si="1"/>
        <v/>
      </c>
      <c r="G10" s="69">
        <f>SUM(Apr!G10, May!G10, Jun!G10)</f>
        <v>0</v>
      </c>
      <c r="H10" s="30">
        <f>SUM(Apr!H10, May!H10, Jun!H10)</f>
        <v>0</v>
      </c>
      <c r="I10" s="31" t="str">
        <f t="shared" si="2"/>
        <v/>
      </c>
    </row>
    <row r="11" spans="1:9" ht="15.6">
      <c r="A11" s="39" t="str">
        <v>Slayton A &amp; B</v>
      </c>
      <c r="B11" s="33" t="str">
        <v>NY</v>
      </c>
      <c r="C11" s="34">
        <f>SUM(Apr!C11, May!C11, Jun!C11)</f>
        <v>0</v>
      </c>
      <c r="D11" s="35">
        <f>SUM(Apr!D11, May!D11, Jun!D11)</f>
        <v>0</v>
      </c>
      <c r="E11" s="35">
        <f t="shared" si="3"/>
        <v>0</v>
      </c>
      <c r="F11" s="70" t="str">
        <f t="shared" si="1"/>
        <v/>
      </c>
      <c r="G11" s="68">
        <f>SUM(Apr!G11, May!G11, Jun!G11)</f>
        <v>0</v>
      </c>
      <c r="H11" s="71">
        <f>SUM(Apr!H11, May!H11, Jun!H11)</f>
        <v>0</v>
      </c>
      <c r="I11" s="36" t="str">
        <f t="shared" si="2"/>
        <v/>
      </c>
    </row>
    <row r="12" spans="1:9" ht="15.6">
      <c r="A12" s="38" t="str">
        <v>Batavia - Alexander Rd</v>
      </c>
      <c r="B12" s="26" t="str">
        <v>NY</v>
      </c>
      <c r="C12" s="27">
        <f>SUM(Apr!C12, May!C12, Jun!C12)</f>
        <v>0</v>
      </c>
      <c r="D12" s="28">
        <f>SUM(Apr!D12, May!D12, Jun!D12)</f>
        <v>0</v>
      </c>
      <c r="E12" s="28">
        <f t="shared" si="3"/>
        <v>0</v>
      </c>
      <c r="F12" s="29" t="str">
        <f t="shared" si="1"/>
        <v/>
      </c>
      <c r="G12" s="69">
        <f>SUM(Apr!G12, May!G12, Jun!G12)</f>
        <v>0</v>
      </c>
      <c r="H12" s="30">
        <f>SUM(Apr!H12, May!H12, Jun!H12)</f>
        <v>0</v>
      </c>
      <c r="I12" s="31" t="str">
        <f t="shared" si="2"/>
        <v/>
      </c>
    </row>
    <row r="13" spans="1:9" ht="15.6">
      <c r="A13" s="39" t="str">
        <v xml:space="preserve">NC: Gibson – Henry Gibson Solar </v>
      </c>
      <c r="B13" s="33" t="str">
        <v>NC</v>
      </c>
      <c r="C13" s="34">
        <f>SUM(Apr!C13, May!C13, Jun!C13)</f>
        <v>0</v>
      </c>
      <c r="D13" s="35">
        <f>SUM(Apr!D13, May!D13, Jun!D13)</f>
        <v>0</v>
      </c>
      <c r="E13" s="35">
        <f t="shared" si="3"/>
        <v>0</v>
      </c>
      <c r="F13" s="70" t="str">
        <f t="shared" si="1"/>
        <v/>
      </c>
      <c r="G13" s="94">
        <f>SUM(Apr!G13, May!G13, Jun!G13)</f>
        <v>0</v>
      </c>
      <c r="H13" s="71">
        <f>SUM(Apr!H13, May!H13, Jun!H13)</f>
        <v>0</v>
      </c>
      <c r="I13" s="36" t="str">
        <f t="shared" si="2"/>
        <v/>
      </c>
    </row>
    <row r="14" spans="1:9" ht="15.6">
      <c r="A14" s="38" t="str">
        <v>Bangor - Pushaw</v>
      </c>
      <c r="B14" s="26" t="str">
        <v>ME</v>
      </c>
      <c r="C14" s="27">
        <f>SUM(Apr!C14, May!C14, Jun!C14)</f>
        <v>0</v>
      </c>
      <c r="D14" s="28">
        <f>SUM(Apr!D14, May!D14, Jun!D14)</f>
        <v>0</v>
      </c>
      <c r="E14" s="28">
        <f t="shared" si="3"/>
        <v>0</v>
      </c>
      <c r="F14" s="61" t="str">
        <f t="shared" si="1"/>
        <v/>
      </c>
      <c r="G14" s="92">
        <f>SUM(Apr!G14, May!G14, Jun!G14)</f>
        <v>0</v>
      </c>
      <c r="H14" s="93">
        <f>SUM(Apr!H14, May!H14, Jun!H14)</f>
        <v>0</v>
      </c>
      <c r="I14" s="31" t="str">
        <f t="shared" si="2"/>
        <v/>
      </c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H17" sqref="H17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Renewable Properties</v>
      </c>
      <c r="B1" s="104"/>
      <c r="C1" s="104"/>
      <c r="D1" s="105" t="s">
        <v>14</v>
      </c>
      <c r="E1" s="105"/>
      <c r="F1" s="105"/>
      <c r="G1" s="103" t="s">
        <v>15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38" t="str" cm="1">
        <f t="array" ref="A4:A14">Sites[Site]</f>
        <v>Cedar Swamp Rd</v>
      </c>
      <c r="B4" s="26" t="str" cm="1">
        <f t="array" ref="B4:B14">Sites[State]</f>
        <v>MA</v>
      </c>
      <c r="C4" s="27">
        <f>SUM(Jul!C4, Aug!C4, Sep!C4)</f>
        <v>0</v>
      </c>
      <c r="D4" s="28">
        <f>SUM(Jul!D4, Aug!D4, Sep!D4)</f>
        <v>0</v>
      </c>
      <c r="E4" s="28">
        <f>IF(AND(ISNUMBER(C4),ISNUMBER(D4)), C4-D4, "")</f>
        <v>0</v>
      </c>
      <c r="F4" s="29" t="str">
        <f>IFERROR(E4/D4, "")</f>
        <v/>
      </c>
      <c r="G4" s="30">
        <f>SUM(Jul!G4, Aug!G4, Sep!G4)</f>
        <v>0</v>
      </c>
      <c r="H4" s="30">
        <f>SUM(Jul!H4, Aug!H4, Sep!H4)</f>
        <v>0</v>
      </c>
      <c r="I4" s="31" t="str">
        <f>IFERROR(H4/G4, "")</f>
        <v/>
      </c>
    </row>
    <row r="5" spans="1:9" ht="15.6">
      <c r="A5" s="39" t="str">
        <v>Bullis</v>
      </c>
      <c r="B5" s="33" t="str">
        <v>NY</v>
      </c>
      <c r="C5" s="34">
        <f>SUM(Jul!C5, Aug!C5, Sep!C5)</f>
        <v>0</v>
      </c>
      <c r="D5" s="35">
        <f>SUM(Jul!D5, Aug!D5, Sep!D5)</f>
        <v>0</v>
      </c>
      <c r="E5" s="35">
        <f t="shared" ref="E5:E14" si="0">IF(AND(ISNUMBER(C5),ISNUMBER(D5)), C5-D5, "")</f>
        <v>0</v>
      </c>
      <c r="F5" s="36" t="str">
        <f>IFERROR(E5/D5, "")</f>
        <v/>
      </c>
      <c r="G5" s="9">
        <f>SUM(Jul!G5, Aug!G5, Sep!G5)</f>
        <v>0</v>
      </c>
      <c r="H5" s="37">
        <f>SUM(Jul!H5, Aug!H5, Sep!H5)</f>
        <v>0</v>
      </c>
      <c r="I5" s="36" t="str">
        <f>IFERROR(H5/G5, "")</f>
        <v/>
      </c>
    </row>
    <row r="6" spans="1:9" ht="15.6">
      <c r="A6" s="38" t="str">
        <v>Rock Island</v>
      </c>
      <c r="B6" s="26" t="str">
        <v>NY</v>
      </c>
      <c r="C6" s="27">
        <f>SUM(Jul!C6, Aug!C6, Sep!C6)</f>
        <v>0</v>
      </c>
      <c r="D6" s="28">
        <f>SUM(Jul!D6, Aug!D6, Sep!D6)</f>
        <v>0</v>
      </c>
      <c r="E6" s="28">
        <f t="shared" si="0"/>
        <v>0</v>
      </c>
      <c r="F6" s="29" t="str">
        <f t="shared" ref="F6:F14" si="1">IFERROR(E6/D6, "")</f>
        <v/>
      </c>
      <c r="G6" s="30">
        <f>SUM(Jul!G6, Aug!G6, Sep!G6)</f>
        <v>0</v>
      </c>
      <c r="H6" s="30">
        <f>SUM(Jul!H6, Aug!H6, Sep!H6)</f>
        <v>0</v>
      </c>
      <c r="I6" s="31" t="str">
        <f t="shared" ref="I6:I14" si="2">IFERROR(H6/G6, "")</f>
        <v/>
      </c>
    </row>
    <row r="7" spans="1:9" ht="15.6">
      <c r="A7" s="39" t="str">
        <v>Winslow - Roderick</v>
      </c>
      <c r="B7" s="33" t="str">
        <v>ME</v>
      </c>
      <c r="C7" s="34">
        <f>SUM(Jul!C7, Aug!C7, Sep!C7)</f>
        <v>0</v>
      </c>
      <c r="D7" s="35">
        <f>SUM(Jul!D7, Aug!D7, Sep!D7)</f>
        <v>0</v>
      </c>
      <c r="E7" s="35">
        <f t="shared" si="0"/>
        <v>0</v>
      </c>
      <c r="F7" s="36" t="str">
        <f t="shared" si="1"/>
        <v/>
      </c>
      <c r="G7" s="9">
        <f>SUM(Jul!G7, Aug!G7, Sep!G7)</f>
        <v>0</v>
      </c>
      <c r="H7" s="37">
        <f>SUM(Jul!H7, Aug!H7, Sep!H7)</f>
        <v>0</v>
      </c>
      <c r="I7" s="36" t="str">
        <f t="shared" si="2"/>
        <v/>
      </c>
    </row>
    <row r="8" spans="1:9" ht="15.6">
      <c r="A8" s="38" t="str">
        <v>Minoa - Clemons Rd</v>
      </c>
      <c r="B8" s="26" t="str">
        <v>NY</v>
      </c>
      <c r="C8" s="27">
        <f>SUM(Jul!C8, Aug!C8, Sep!C8)</f>
        <v>0</v>
      </c>
      <c r="D8" s="28">
        <f>SUM(Jul!D8, Aug!D8, Sep!D8)</f>
        <v>0</v>
      </c>
      <c r="E8" s="28">
        <f t="shared" si="0"/>
        <v>0</v>
      </c>
      <c r="F8" s="29" t="str">
        <f t="shared" si="1"/>
        <v/>
      </c>
      <c r="G8" s="30">
        <f>SUM(Jul!G8, Aug!G8, Sep!G8)</f>
        <v>0</v>
      </c>
      <c r="H8" s="30">
        <f>SUM(Jul!H8, Aug!H8, Sep!H8)</f>
        <v>0</v>
      </c>
      <c r="I8" s="31" t="str">
        <f t="shared" si="2"/>
        <v/>
      </c>
    </row>
    <row r="9" spans="1:9" ht="15.6">
      <c r="A9" s="39" t="str">
        <v>Manchester - Western</v>
      </c>
      <c r="B9" s="33" t="str">
        <v>ME</v>
      </c>
      <c r="C9" s="34">
        <f>SUM(Jul!C9, Aug!C9, Sep!C9)</f>
        <v>0</v>
      </c>
      <c r="D9" s="35">
        <f>SUM(Jul!D9, Aug!D9, Sep!D9)</f>
        <v>0</v>
      </c>
      <c r="E9" s="35">
        <f t="shared" si="0"/>
        <v>0</v>
      </c>
      <c r="F9" s="36" t="str">
        <f t="shared" si="1"/>
        <v/>
      </c>
      <c r="G9" s="9">
        <f>SUM(Jul!G9, Aug!G9, Sep!G9)</f>
        <v>0</v>
      </c>
      <c r="H9" s="37">
        <f>SUM(Jul!H9, Aug!H9, Sep!H9)</f>
        <v>0</v>
      </c>
      <c r="I9" s="36" t="str">
        <f t="shared" si="2"/>
        <v/>
      </c>
    </row>
    <row r="10" spans="1:9" ht="15.6">
      <c r="A10" s="38" t="str">
        <v>Batavia - Pike Rd</v>
      </c>
      <c r="B10" s="26" t="str">
        <v>NY</v>
      </c>
      <c r="C10" s="27">
        <f>SUM(Jul!C10, Aug!C10, Sep!C10)</f>
        <v>0</v>
      </c>
      <c r="D10" s="28">
        <f>SUM(Jul!D10, Aug!D10, Sep!D10)</f>
        <v>0</v>
      </c>
      <c r="E10" s="28">
        <f t="shared" si="0"/>
        <v>0</v>
      </c>
      <c r="F10" s="29" t="str">
        <f t="shared" si="1"/>
        <v/>
      </c>
      <c r="G10" s="69">
        <f>SUM(Jul!G10, Aug!G10, Sep!G10)</f>
        <v>0</v>
      </c>
      <c r="H10" s="30">
        <f>SUM(Jul!H10, Aug!H10, Sep!H10)</f>
        <v>0</v>
      </c>
      <c r="I10" s="31" t="str">
        <f t="shared" si="2"/>
        <v/>
      </c>
    </row>
    <row r="11" spans="1:9" ht="15.6">
      <c r="A11" s="39" t="str">
        <v>Slayton A &amp; B</v>
      </c>
      <c r="B11" s="33" t="str">
        <v>NY</v>
      </c>
      <c r="C11" s="34">
        <f>SUM(Jul!C11, Aug!C11, Sep!C11)</f>
        <v>0</v>
      </c>
      <c r="D11" s="35">
        <f>SUM(Jul!D11, Aug!D11, Sep!D11)</f>
        <v>0</v>
      </c>
      <c r="E11" s="35">
        <f t="shared" si="0"/>
        <v>0</v>
      </c>
      <c r="F11" s="36" t="str">
        <f t="shared" si="1"/>
        <v/>
      </c>
      <c r="G11" s="68">
        <f>SUM(Jul!G11, Aug!G11, Sep!G11)</f>
        <v>0</v>
      </c>
      <c r="H11" s="37">
        <f>SUM(Jul!H11, Aug!H11, Sep!H11)</f>
        <v>0</v>
      </c>
      <c r="I11" s="36" t="str">
        <f t="shared" si="2"/>
        <v/>
      </c>
    </row>
    <row r="12" spans="1:9" ht="15.6">
      <c r="A12" s="38" t="str">
        <v>Batavia - Alexander Rd</v>
      </c>
      <c r="B12" s="26" t="str">
        <v>NY</v>
      </c>
      <c r="C12" s="27">
        <f>SUM(Jul!C12, Aug!C12, Sep!C12)</f>
        <v>0</v>
      </c>
      <c r="D12" s="28">
        <f>SUM(Jul!D12, Aug!D12, Sep!D12)</f>
        <v>0</v>
      </c>
      <c r="E12" s="28">
        <f t="shared" si="0"/>
        <v>0</v>
      </c>
      <c r="F12" s="29" t="str">
        <f t="shared" si="1"/>
        <v/>
      </c>
      <c r="G12" s="69">
        <f>SUM(Jul!G12, Aug!G12, Sep!G12)</f>
        <v>0</v>
      </c>
      <c r="H12" s="30">
        <f>SUM(Jul!H12, Aug!H12, Sep!H12)</f>
        <v>0</v>
      </c>
      <c r="I12" s="31" t="str">
        <f t="shared" si="2"/>
        <v/>
      </c>
    </row>
    <row r="13" spans="1:9" ht="15.6">
      <c r="A13" s="39" t="str">
        <v xml:space="preserve">NC: Gibson – Henry Gibson Solar </v>
      </c>
      <c r="B13" s="33" t="str">
        <v>NC</v>
      </c>
      <c r="C13" s="34">
        <f>SUM(Jul!C13, Aug!C13, Sep!C13)</f>
        <v>0</v>
      </c>
      <c r="D13" s="35">
        <f>SUM(Jul!D13, Aug!D13, Sep!D13)</f>
        <v>0</v>
      </c>
      <c r="E13" s="35">
        <f t="shared" si="0"/>
        <v>0</v>
      </c>
      <c r="F13" s="36" t="str">
        <f t="shared" si="1"/>
        <v/>
      </c>
      <c r="G13" s="94">
        <f>SUM(Jul!G13, Aug!G13, Sep!G13)</f>
        <v>0</v>
      </c>
      <c r="H13" s="37">
        <f>SUM(Jul!H13, Aug!H13, Sep!H13)</f>
        <v>0</v>
      </c>
      <c r="I13" s="36" t="str">
        <f t="shared" si="2"/>
        <v/>
      </c>
    </row>
    <row r="14" spans="1:9" ht="15.6">
      <c r="A14" s="38" t="str">
        <v>Bangor - Pushaw</v>
      </c>
      <c r="B14" s="26" t="str">
        <v>ME</v>
      </c>
      <c r="C14" s="27">
        <f>SUM(Jul!C14, Aug!C14, Sep!C14)</f>
        <v>0</v>
      </c>
      <c r="D14" s="28">
        <f>SUM(Jul!D14, Aug!D14, Sep!D14)</f>
        <v>0</v>
      </c>
      <c r="E14" s="28">
        <f t="shared" si="0"/>
        <v>0</v>
      </c>
      <c r="F14" s="61" t="str">
        <f t="shared" si="1"/>
        <v/>
      </c>
      <c r="G14" s="92">
        <f>SUM(Jul!G14, Aug!G14, Sep!G14)</f>
        <v>0</v>
      </c>
      <c r="H14" s="93">
        <f>SUM(Jul!H14, Aug!H14, Sep!H14)</f>
        <v>0</v>
      </c>
      <c r="I14" s="31" t="str">
        <f t="shared" si="2"/>
        <v/>
      </c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E25" sqref="E25"/>
      <selection pane="bottomLeft" activeCell="A4" sqref="A4:I6"/>
      <selection pane="topRight" activeCell="A4" sqref="A4:I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04" t="str" cm="1">
        <f t="array" ref="A1">portfolio</f>
        <v>Renewable Properties</v>
      </c>
      <c r="B1" s="104"/>
      <c r="C1" s="104"/>
      <c r="D1" s="105" t="s">
        <v>16</v>
      </c>
      <c r="E1" s="105"/>
      <c r="F1" s="105"/>
      <c r="G1" s="103" t="s">
        <v>17</v>
      </c>
      <c r="H1" s="103"/>
      <c r="I1" s="103"/>
    </row>
    <row r="2" spans="1:9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6">
      <c r="A4" s="38" t="str" cm="1">
        <f t="array" ref="A4:A14">Sites[Site]</f>
        <v>Cedar Swamp Rd</v>
      </c>
      <c r="B4" s="26" t="str" cm="1">
        <f t="array" ref="B4:B14">Sites[State]</f>
        <v>MA</v>
      </c>
      <c r="C4" s="27">
        <f>SUM(Oct!C4, Nov!C4, Dec!C4)</f>
        <v>0</v>
      </c>
      <c r="D4" s="28">
        <f>SUM(Oct!D4, Nov!D4, Dec!D4)</f>
        <v>0</v>
      </c>
      <c r="E4" s="28">
        <f>IF(AND(ISNUMBER(C4),ISNUMBER(D4)), C4-D4, "")</f>
        <v>0</v>
      </c>
      <c r="F4" s="29" t="str">
        <f>IFERROR(E4/D4, "")</f>
        <v/>
      </c>
      <c r="G4" s="37">
        <f>SUM(Oct!G4, Nov!G4, Dec!G4)</f>
        <v>0</v>
      </c>
      <c r="H4" s="30">
        <f>SUM(Oct!H4, Nov!H4, Dec!H4)</f>
        <v>0</v>
      </c>
      <c r="I4" s="31" t="str">
        <f>IFERROR(H4/G4, "")</f>
        <v/>
      </c>
    </row>
    <row r="5" spans="1:9" ht="15.6">
      <c r="A5" s="39" t="str">
        <v>Bullis</v>
      </c>
      <c r="B5" s="33" t="str">
        <v>NY</v>
      </c>
      <c r="C5" s="34">
        <f>SUM(Oct!C5, Nov!C5, Dec!C5)</f>
        <v>0</v>
      </c>
      <c r="D5" s="35">
        <f>SUM(Oct!D5, Nov!D5, Dec!D5)</f>
        <v>0</v>
      </c>
      <c r="E5" s="35">
        <f t="shared" ref="E5:E6" si="0">IF(AND(ISNUMBER(C5),ISNUMBER(D5)), C5-D5, "")</f>
        <v>0</v>
      </c>
      <c r="F5" s="36" t="str">
        <f>IFERROR(E5/D5, "")</f>
        <v/>
      </c>
      <c r="G5" s="37">
        <f>SUM(Oct!G5, Nov!G5, Dec!G5)</f>
        <v>0</v>
      </c>
      <c r="H5" s="37">
        <f>SUM(Oct!H5, Nov!H5, Dec!H5)</f>
        <v>0</v>
      </c>
      <c r="I5" s="36" t="str">
        <f>IFERROR(H5/G5, "")</f>
        <v/>
      </c>
    </row>
    <row r="6" spans="1:9" ht="15.6">
      <c r="A6" s="38" t="str">
        <v>Rock Island</v>
      </c>
      <c r="B6" s="26" t="str">
        <v>NY</v>
      </c>
      <c r="C6" s="27">
        <f>SUM(Oct!C6, Nov!C6, Dec!C6)</f>
        <v>0</v>
      </c>
      <c r="D6" s="28">
        <f>SUM(Oct!D6, Nov!D6, Dec!D6)</f>
        <v>0</v>
      </c>
      <c r="E6" s="28">
        <f t="shared" si="0"/>
        <v>0</v>
      </c>
      <c r="F6" s="29" t="str">
        <f t="shared" ref="F6" si="1">IFERROR(E6/D6, "")</f>
        <v/>
      </c>
      <c r="G6" s="30">
        <f>SUM(Oct!G6, Nov!G6, Dec!G6)</f>
        <v>0</v>
      </c>
      <c r="H6" s="30">
        <f>SUM(Oct!H6, Nov!H6, Dec!H6)</f>
        <v>0</v>
      </c>
      <c r="I6" s="31" t="str">
        <f t="shared" ref="I6" si="2">IFERROR(H6/G6, "")</f>
        <v/>
      </c>
    </row>
    <row r="7" spans="1:9" ht="15.6">
      <c r="A7" s="39" t="str">
        <v>Winslow - Roderick</v>
      </c>
      <c r="B7" s="33" t="str">
        <v>ME</v>
      </c>
      <c r="C7" s="34">
        <f>SUM(Oct!C7, Nov!C7, Dec!C7)</f>
        <v>0</v>
      </c>
      <c r="D7" s="35">
        <f>SUM(Oct!D7, Nov!D7, Dec!D7)</f>
        <v>0</v>
      </c>
      <c r="E7" s="35">
        <f t="shared" ref="E7" si="3">IF(AND(ISNUMBER(C7),ISNUMBER(D7)), C7-D7, "")</f>
        <v>0</v>
      </c>
      <c r="F7" s="36" t="str">
        <f t="shared" ref="F7:F13" si="4">IFERROR(E7/D7, "")</f>
        <v/>
      </c>
      <c r="G7" s="37">
        <f>SUM(Oct!G7, Nov!G7, Dec!G7)</f>
        <v>0</v>
      </c>
      <c r="H7" s="37">
        <f>SUM(Oct!H7, Nov!H7, Dec!H7)</f>
        <v>0</v>
      </c>
      <c r="I7" s="36" t="str">
        <f t="shared" ref="I7:I13" si="5">IFERROR(H7/G7, "")</f>
        <v/>
      </c>
    </row>
    <row r="8" spans="1:9" ht="15.6">
      <c r="A8" s="38" t="str">
        <v>Minoa - Clemons Rd</v>
      </c>
      <c r="B8" s="26" t="str">
        <v>NY</v>
      </c>
      <c r="C8" s="27">
        <f>SUM(Oct!C8, Nov!C8, Dec!C8)</f>
        <v>0</v>
      </c>
      <c r="D8" s="28">
        <f>SUM(Oct!D8, Nov!D8, Dec!D8)</f>
        <v>0</v>
      </c>
      <c r="E8" s="28">
        <f t="shared" ref="E8:E14" si="6">IF(AND(ISNUMBER(C8),ISNUMBER(D8)), C8-D8, "")</f>
        <v>0</v>
      </c>
      <c r="F8" s="29" t="str">
        <f t="shared" ref="F8:F14" si="7">IFERROR(E8/D8, "")</f>
        <v/>
      </c>
      <c r="G8" s="30">
        <f>SUM(Oct!G8, Nov!G8, Dec!G8)</f>
        <v>0</v>
      </c>
      <c r="H8" s="30">
        <f>SUM(Oct!H8, Nov!H8, Dec!H8)</f>
        <v>0</v>
      </c>
      <c r="I8" s="31" t="str">
        <f t="shared" ref="I8:I14" si="8">IFERROR(H8/G8, "")</f>
        <v/>
      </c>
    </row>
    <row r="9" spans="1:9" ht="15.6">
      <c r="A9" s="39" t="str">
        <v>Manchester - Western</v>
      </c>
      <c r="B9" s="33" t="str">
        <v>ME</v>
      </c>
      <c r="C9" s="34">
        <f>SUM(Oct!C9, Nov!C9, Dec!C9)</f>
        <v>0</v>
      </c>
      <c r="D9" s="35">
        <f>SUM(Oct!D9, Nov!D9, Dec!D9)</f>
        <v>0</v>
      </c>
      <c r="E9" s="35">
        <f t="shared" si="6"/>
        <v>0</v>
      </c>
      <c r="F9" s="36" t="str">
        <f t="shared" si="4"/>
        <v/>
      </c>
      <c r="G9" s="37">
        <f>SUM(Oct!G9, Nov!G9, Dec!G9)</f>
        <v>0</v>
      </c>
      <c r="H9" s="37">
        <f>SUM(Oct!H9, Nov!H9, Dec!H9)</f>
        <v>0</v>
      </c>
      <c r="I9" s="36" t="str">
        <f t="shared" si="5"/>
        <v/>
      </c>
    </row>
    <row r="10" spans="1:9" ht="15.6">
      <c r="A10" s="38" t="str">
        <v>Batavia - Pike Rd</v>
      </c>
      <c r="B10" s="26" t="str">
        <v>NY</v>
      </c>
      <c r="C10" s="27">
        <f>SUM(Oct!C10, Nov!C10, Dec!C10)</f>
        <v>0</v>
      </c>
      <c r="D10" s="28">
        <f>SUM(Oct!D10, Nov!D10, Dec!D10)</f>
        <v>0</v>
      </c>
      <c r="E10" s="28">
        <f t="shared" si="6"/>
        <v>0</v>
      </c>
      <c r="F10" s="29" t="str">
        <f t="shared" si="7"/>
        <v/>
      </c>
      <c r="G10" s="30">
        <f>SUM(Oct!G10, Nov!G10, Dec!G10)</f>
        <v>0</v>
      </c>
      <c r="H10" s="30">
        <f>SUM(Oct!H10, Nov!H10, Dec!H10)</f>
        <v>0</v>
      </c>
      <c r="I10" s="31" t="str">
        <f t="shared" si="8"/>
        <v/>
      </c>
    </row>
    <row r="11" spans="1:9" ht="15.6">
      <c r="A11" s="39" t="str">
        <v>Slayton A &amp; B</v>
      </c>
      <c r="B11" s="33" t="str">
        <v>NY</v>
      </c>
      <c r="C11" s="34">
        <f>SUM(Oct!C11, Nov!C11, Dec!C11)</f>
        <v>0</v>
      </c>
      <c r="D11" s="35">
        <f>SUM(Oct!D11, Nov!D11, Dec!D11)</f>
        <v>0</v>
      </c>
      <c r="E11" s="35">
        <f t="shared" si="6"/>
        <v>0</v>
      </c>
      <c r="F11" s="36" t="str">
        <f t="shared" si="4"/>
        <v/>
      </c>
      <c r="G11" s="37">
        <f>SUM(Oct!G11, Nov!G11, Dec!G11)</f>
        <v>0</v>
      </c>
      <c r="H11" s="37">
        <f>SUM(Oct!H11, Nov!H11, Dec!H11)</f>
        <v>0</v>
      </c>
      <c r="I11" s="36" t="str">
        <f t="shared" si="5"/>
        <v/>
      </c>
    </row>
    <row r="12" spans="1:9" ht="15.6">
      <c r="A12" s="38" t="str">
        <v>Batavia - Alexander Rd</v>
      </c>
      <c r="B12" s="26" t="str">
        <v>NY</v>
      </c>
      <c r="C12" s="27">
        <f>SUM(Oct!C12, Nov!C12, Dec!C12)</f>
        <v>0</v>
      </c>
      <c r="D12" s="28">
        <f>SUM(Oct!D12, Nov!D12, Dec!D12)</f>
        <v>0</v>
      </c>
      <c r="E12" s="28">
        <f t="shared" si="6"/>
        <v>0</v>
      </c>
      <c r="F12" s="29" t="str">
        <f t="shared" si="7"/>
        <v/>
      </c>
      <c r="G12" s="30">
        <f>SUM(Oct!G12, Nov!G12, Dec!G12)</f>
        <v>0</v>
      </c>
      <c r="H12" s="30">
        <f>SUM(Oct!H12, Nov!H12, Dec!H12)</f>
        <v>0</v>
      </c>
      <c r="I12" s="31" t="str">
        <f t="shared" si="8"/>
        <v/>
      </c>
    </row>
    <row r="13" spans="1:9" ht="15.6">
      <c r="A13" s="39" t="str">
        <v xml:space="preserve">NC: Gibson – Henry Gibson Solar </v>
      </c>
      <c r="B13" s="33" t="str">
        <v>NC</v>
      </c>
      <c r="C13" s="34">
        <f>SUM(Oct!C13, Nov!C13, Dec!C13)</f>
        <v>0</v>
      </c>
      <c r="D13" s="35">
        <f>SUM(Oct!D13, Nov!D13, Dec!D13)</f>
        <v>0</v>
      </c>
      <c r="E13" s="35">
        <f t="shared" si="6"/>
        <v>0</v>
      </c>
      <c r="F13" s="36" t="str">
        <f t="shared" si="4"/>
        <v/>
      </c>
      <c r="G13" s="37">
        <f>SUM(Oct!G13, Nov!G13, Dec!G13)</f>
        <v>0</v>
      </c>
      <c r="H13" s="37">
        <f>SUM(Oct!H13, Nov!H13, Dec!H13)</f>
        <v>0</v>
      </c>
      <c r="I13" s="36" t="str">
        <f t="shared" si="5"/>
        <v/>
      </c>
    </row>
    <row r="14" spans="1:9" ht="15.6">
      <c r="A14" s="38" t="str">
        <v>Bangor - Pushaw</v>
      </c>
      <c r="B14" s="26" t="str">
        <v>ME</v>
      </c>
      <c r="C14" s="27">
        <f>SUM(Oct!C14, Nov!C14, Dec!C14)</f>
        <v>0</v>
      </c>
      <c r="D14" s="28">
        <f>SUM(Oct!D14, Nov!D14, Dec!D14)</f>
        <v>0</v>
      </c>
      <c r="E14" s="28">
        <f t="shared" si="6"/>
        <v>0</v>
      </c>
      <c r="F14" s="29" t="str">
        <f t="shared" si="7"/>
        <v/>
      </c>
      <c r="G14" s="30">
        <f>SUM(Oct!G14, Nov!G14, Dec!G14)</f>
        <v>0</v>
      </c>
      <c r="H14" s="30">
        <f>SUM(Oct!H14, Nov!H14, Dec!H14)</f>
        <v>0</v>
      </c>
      <c r="I14" s="31" t="str">
        <f t="shared" si="8"/>
        <v/>
      </c>
    </row>
    <row r="15" spans="1:9" ht="13.9">
      <c r="A15" s="9"/>
      <c r="B15" s="9"/>
      <c r="C15" s="9"/>
      <c r="D15" s="9"/>
      <c r="E15" s="9"/>
      <c r="F15" s="10"/>
      <c r="G15" s="9"/>
      <c r="H15" s="9"/>
      <c r="I15" s="10"/>
    </row>
    <row r="16" spans="1:9" ht="13.9">
      <c r="A16" s="9"/>
      <c r="B16" s="9"/>
      <c r="C16" s="9"/>
      <c r="D16" s="9"/>
      <c r="E16" s="9"/>
      <c r="F16" s="10"/>
      <c r="G16" s="9"/>
      <c r="H16" s="9"/>
      <c r="I16" s="10"/>
    </row>
    <row r="17" spans="1:9" ht="13.9">
      <c r="A17" s="9"/>
      <c r="B17" s="9"/>
      <c r="C17" s="9"/>
      <c r="D17" s="9"/>
      <c r="E17" s="9"/>
      <c r="F17" s="10"/>
      <c r="G17" s="9"/>
      <c r="H17" s="9"/>
      <c r="I17" s="10"/>
    </row>
    <row r="18" spans="1:9" ht="13.9">
      <c r="A18" s="9"/>
      <c r="B18" s="9"/>
      <c r="C18" s="9"/>
      <c r="D18" s="9"/>
      <c r="E18" s="9"/>
      <c r="F18" s="10"/>
      <c r="G18" s="9"/>
      <c r="H18" s="9"/>
      <c r="I18" s="10"/>
    </row>
    <row r="19" spans="1:9" ht="13.9">
      <c r="A19" s="9"/>
      <c r="B19" s="9"/>
      <c r="C19" s="9"/>
      <c r="D19" s="9"/>
      <c r="E19" s="9"/>
      <c r="F19" s="10"/>
      <c r="G19" s="9"/>
      <c r="H19" s="9"/>
      <c r="I19" s="10"/>
    </row>
    <row r="20" spans="1:9" ht="13.9">
      <c r="A20" s="9"/>
      <c r="B20" s="9"/>
      <c r="C20" s="9"/>
      <c r="D20" s="9"/>
      <c r="E20" s="9"/>
      <c r="F20" s="10"/>
      <c r="G20" s="9"/>
      <c r="H20" s="9"/>
      <c r="I20" s="10"/>
    </row>
    <row r="21" spans="1:9" ht="13.9">
      <c r="A21" s="9"/>
      <c r="B21" s="9"/>
      <c r="C21" s="9"/>
      <c r="D21" s="9"/>
      <c r="E21" s="9"/>
      <c r="F21" s="10"/>
      <c r="G21" s="9"/>
      <c r="H21" s="9"/>
      <c r="I21" s="10"/>
    </row>
    <row r="22" spans="1:9" ht="13.9">
      <c r="A22" s="9"/>
      <c r="B22" s="9"/>
      <c r="C22" s="9"/>
      <c r="D22" s="9"/>
      <c r="E22" s="9"/>
      <c r="F22" s="10"/>
      <c r="G22" s="9"/>
      <c r="H22" s="9"/>
      <c r="I22" s="10"/>
    </row>
    <row r="23" spans="1:9" ht="13.9">
      <c r="A23" s="9"/>
      <c r="B23" s="9"/>
      <c r="C23" s="9"/>
      <c r="D23" s="9"/>
      <c r="E23" s="9"/>
      <c r="F23" s="10"/>
      <c r="G23" s="9"/>
      <c r="H23" s="9"/>
      <c r="I23" s="10"/>
    </row>
    <row r="24" spans="1:9" ht="13.9">
      <c r="A24" s="9"/>
      <c r="B24" s="9"/>
      <c r="C24" s="9"/>
      <c r="D24" s="9"/>
      <c r="E24" s="9"/>
      <c r="F24" s="10"/>
      <c r="G24" s="9"/>
      <c r="H24" s="9"/>
      <c r="I24" s="10"/>
    </row>
    <row r="25" spans="1:9" ht="13.9">
      <c r="A25" s="9"/>
      <c r="B25" s="9"/>
      <c r="C25" s="9"/>
      <c r="D25" s="9"/>
      <c r="E25" s="9"/>
      <c r="F25" s="10"/>
      <c r="G25" s="9"/>
      <c r="H25" s="9"/>
      <c r="I25" s="10"/>
    </row>
    <row r="26" spans="1:9" ht="13.9">
      <c r="A26" s="9"/>
      <c r="B26" s="9"/>
      <c r="C26" s="9"/>
      <c r="D26" s="9"/>
      <c r="E26" s="9"/>
      <c r="F26" s="10"/>
      <c r="G26" s="9"/>
      <c r="H26" s="9"/>
      <c r="I26" s="10"/>
    </row>
    <row r="27" spans="1:9" ht="13.9">
      <c r="A27" s="9"/>
      <c r="B27" s="9"/>
      <c r="C27" s="9"/>
      <c r="D27" s="9"/>
      <c r="E27" s="9"/>
      <c r="F27" s="10"/>
      <c r="G27" s="9"/>
      <c r="H27" s="9"/>
      <c r="I27" s="10"/>
    </row>
    <row r="28" spans="1:9" ht="13.9">
      <c r="A28" s="9"/>
      <c r="B28" s="9"/>
      <c r="C28" s="9"/>
      <c r="D28" s="9"/>
      <c r="E28" s="9"/>
      <c r="F28" s="10"/>
      <c r="G28" s="9"/>
      <c r="H28" s="9"/>
      <c r="I28" s="10"/>
    </row>
    <row r="29" spans="1:9" ht="13.9">
      <c r="A29" s="9"/>
      <c r="B29" s="9"/>
      <c r="C29" s="9"/>
      <c r="D29" s="9"/>
      <c r="E29" s="9"/>
      <c r="F29" s="10"/>
      <c r="G29" s="9"/>
      <c r="H29" s="9"/>
      <c r="I29" s="10"/>
    </row>
    <row r="30" spans="1:9" ht="13.9">
      <c r="A30" s="9"/>
      <c r="B30" s="9"/>
      <c r="C30" s="9"/>
      <c r="D30" s="9"/>
      <c r="E30" s="9"/>
      <c r="F30" s="10"/>
      <c r="G30" s="9"/>
      <c r="H30" s="9"/>
      <c r="I30" s="10"/>
    </row>
    <row r="31" spans="1:9" ht="13.9">
      <c r="A31" s="9"/>
      <c r="B31" s="9"/>
      <c r="C31" s="9"/>
      <c r="D31" s="9"/>
      <c r="E31" s="9"/>
      <c r="F31" s="10"/>
      <c r="G31" s="9"/>
      <c r="H31" s="9"/>
      <c r="I31" s="10"/>
    </row>
    <row r="32" spans="1:9" ht="13.9">
      <c r="A32" s="9"/>
      <c r="B32" s="9"/>
      <c r="C32" s="9"/>
      <c r="D32" s="9"/>
      <c r="E32" s="9"/>
      <c r="F32" s="10"/>
      <c r="G32" s="9"/>
      <c r="H32" s="9"/>
      <c r="I32" s="10"/>
    </row>
    <row r="33" spans="1:9" ht="13.9">
      <c r="A33" s="9"/>
      <c r="B33" s="9"/>
      <c r="C33" s="9"/>
      <c r="D33" s="9"/>
      <c r="E33" s="9"/>
      <c r="F33" s="10"/>
      <c r="G33" s="9"/>
      <c r="H33" s="9"/>
      <c r="I33" s="10"/>
    </row>
    <row r="34" spans="1:9" ht="13.9">
      <c r="A34" s="9"/>
      <c r="B34" s="9"/>
      <c r="C34" s="9"/>
      <c r="D34" s="9"/>
      <c r="E34" s="9"/>
      <c r="F34" s="10"/>
      <c r="G34" s="9"/>
      <c r="H34" s="9"/>
      <c r="I34" s="10"/>
    </row>
    <row r="35" spans="1:9" ht="13.9">
      <c r="A35" s="9"/>
      <c r="B35" s="9"/>
      <c r="C35" s="9"/>
      <c r="D35" s="9"/>
      <c r="E35" s="9"/>
      <c r="F35" s="10"/>
      <c r="G35" s="9"/>
      <c r="H35" s="9"/>
      <c r="I35" s="10"/>
    </row>
    <row r="36" spans="1:9" ht="13.9">
      <c r="A36" s="9"/>
      <c r="B36" s="9"/>
      <c r="C36" s="9"/>
      <c r="D36" s="9"/>
      <c r="E36" s="9"/>
      <c r="F36" s="10"/>
      <c r="G36" s="9"/>
      <c r="H36" s="9"/>
      <c r="I36" s="10"/>
    </row>
    <row r="37" spans="1:9" ht="13.9">
      <c r="A37" s="9"/>
      <c r="B37" s="9"/>
      <c r="C37" s="9"/>
      <c r="D37" s="9"/>
      <c r="E37" s="9"/>
      <c r="F37" s="10"/>
      <c r="G37" s="9"/>
      <c r="H37" s="9"/>
      <c r="I37" s="10"/>
    </row>
    <row r="38" spans="1:9" ht="13.9">
      <c r="A38" s="9"/>
      <c r="B38" s="9"/>
      <c r="C38" s="9"/>
      <c r="D38" s="9"/>
      <c r="E38" s="9"/>
      <c r="F38" s="10"/>
      <c r="G38" s="9"/>
      <c r="H38" s="9"/>
      <c r="I38" s="10"/>
    </row>
    <row r="39" spans="1:9" ht="13.9">
      <c r="A39" s="9"/>
      <c r="B39" s="9"/>
      <c r="C39" s="9"/>
      <c r="D39" s="9"/>
      <c r="E39" s="9"/>
      <c r="F39" s="10"/>
      <c r="G39" s="9"/>
      <c r="H39" s="9"/>
      <c r="I39" s="10"/>
    </row>
    <row r="40" spans="1:9" ht="13.9">
      <c r="A40" s="9"/>
      <c r="B40" s="9"/>
      <c r="C40" s="9"/>
      <c r="D40" s="9"/>
      <c r="E40" s="9"/>
      <c r="F40" s="10"/>
      <c r="G40" s="9"/>
      <c r="H40" s="9"/>
      <c r="I40" s="10"/>
    </row>
    <row r="41" spans="1:9" ht="13.9">
      <c r="A41" s="9"/>
      <c r="B41" s="9"/>
      <c r="C41" s="9"/>
      <c r="D41" s="9"/>
      <c r="E41" s="9"/>
      <c r="F41" s="10"/>
      <c r="G41" s="9"/>
      <c r="H41" s="9"/>
      <c r="I41" s="10"/>
    </row>
    <row r="42" spans="1:9" ht="13.9">
      <c r="A42" s="9"/>
      <c r="B42" s="9"/>
      <c r="C42" s="9"/>
      <c r="D42" s="9"/>
      <c r="E42" s="9"/>
      <c r="F42" s="10"/>
      <c r="G42" s="9"/>
      <c r="H42" s="9"/>
      <c r="I42" s="10"/>
    </row>
    <row r="43" spans="1:9" ht="13.9">
      <c r="A43" s="9"/>
      <c r="B43" s="9"/>
      <c r="C43" s="9"/>
      <c r="D43" s="9"/>
      <c r="E43" s="9"/>
      <c r="F43" s="10"/>
      <c r="G43" s="9"/>
      <c r="H43" s="9"/>
      <c r="I43" s="10"/>
    </row>
    <row r="44" spans="1:9" ht="13.9">
      <c r="A44" s="9"/>
      <c r="B44" s="9"/>
      <c r="C44" s="9"/>
      <c r="D44" s="9"/>
      <c r="E44" s="9"/>
      <c r="F44" s="10"/>
      <c r="G44" s="9"/>
      <c r="H44" s="9"/>
      <c r="I44" s="10"/>
    </row>
    <row r="45" spans="1:9" ht="13.9">
      <c r="A45" s="9"/>
      <c r="B45" s="9"/>
      <c r="C45" s="9"/>
      <c r="D45" s="9"/>
      <c r="E45" s="9"/>
      <c r="F45" s="10"/>
      <c r="G45" s="9"/>
      <c r="H45" s="9"/>
      <c r="I45" s="10"/>
    </row>
    <row r="46" spans="1:9" ht="13.9">
      <c r="A46" s="9"/>
      <c r="B46" s="9"/>
      <c r="C46" s="9"/>
      <c r="D46" s="9"/>
      <c r="E46" s="9"/>
      <c r="F46" s="10"/>
      <c r="G46" s="9"/>
      <c r="H46" s="9"/>
      <c r="I46" s="10"/>
    </row>
    <row r="47" spans="1:9" ht="13.9">
      <c r="A47" s="9"/>
      <c r="B47" s="9"/>
      <c r="C47" s="9"/>
      <c r="D47" s="9"/>
      <c r="E47" s="9"/>
      <c r="F47" s="10"/>
      <c r="G47" s="9"/>
      <c r="H47" s="9"/>
      <c r="I47" s="10"/>
    </row>
    <row r="48" spans="1:9" ht="13.9">
      <c r="A48" s="9"/>
      <c r="B48" s="9"/>
      <c r="C48" s="9"/>
      <c r="D48" s="9"/>
      <c r="E48" s="9"/>
      <c r="F48" s="10"/>
      <c r="G48" s="9"/>
      <c r="H48" s="9"/>
      <c r="I48" s="10"/>
    </row>
    <row r="49" spans="1:9" ht="13.9">
      <c r="A49" s="9"/>
      <c r="B49" s="9"/>
      <c r="C49" s="9"/>
      <c r="D49" s="9"/>
      <c r="E49" s="9"/>
      <c r="F49" s="10"/>
      <c r="G49" s="9"/>
      <c r="H49" s="9"/>
      <c r="I49" s="10"/>
    </row>
    <row r="50" spans="1:9" ht="13.9">
      <c r="A50" s="9"/>
      <c r="B50" s="9"/>
      <c r="C50" s="9"/>
      <c r="D50" s="9"/>
      <c r="E50" s="9"/>
      <c r="F50" s="10"/>
      <c r="G50" s="9"/>
      <c r="H50" s="9"/>
      <c r="I50" s="10"/>
    </row>
    <row r="51" spans="1:9" ht="13.9">
      <c r="A51" s="9"/>
      <c r="B51" s="9"/>
      <c r="C51" s="9"/>
      <c r="D51" s="9"/>
      <c r="E51" s="9"/>
      <c r="F51" s="10"/>
      <c r="G51" s="9"/>
      <c r="H51" s="9"/>
      <c r="I51" s="10"/>
    </row>
    <row r="52" spans="1:9" ht="13.9">
      <c r="A52" s="9"/>
      <c r="B52" s="9"/>
      <c r="C52" s="9"/>
      <c r="D52" s="9"/>
      <c r="E52" s="9"/>
      <c r="F52" s="10"/>
      <c r="G52" s="9"/>
      <c r="H52" s="9"/>
      <c r="I52" s="10"/>
    </row>
    <row r="53" spans="1:9" ht="13.9">
      <c r="A53" s="9"/>
      <c r="B53" s="9"/>
      <c r="C53" s="9"/>
      <c r="D53" s="9"/>
      <c r="E53" s="9"/>
      <c r="F53" s="10"/>
      <c r="G53" s="9"/>
      <c r="H53" s="9"/>
      <c r="I53" s="10"/>
    </row>
    <row r="54" spans="1:9" ht="13.9">
      <c r="A54" s="9"/>
      <c r="B54" s="9"/>
      <c r="C54" s="9"/>
      <c r="D54" s="9"/>
      <c r="E54" s="9"/>
      <c r="F54" s="10"/>
      <c r="G54" s="9"/>
      <c r="H54" s="9"/>
      <c r="I54" s="10"/>
    </row>
    <row r="55" spans="1:9" ht="13.9">
      <c r="A55" s="9"/>
      <c r="B55" s="9"/>
      <c r="C55" s="9"/>
      <c r="D55" s="9"/>
      <c r="E55" s="9"/>
      <c r="F55" s="10"/>
      <c r="G55" s="9"/>
      <c r="H55" s="9"/>
      <c r="I55" s="10"/>
    </row>
    <row r="56" spans="1:9" ht="13.9">
      <c r="A56" s="9"/>
      <c r="B56" s="9"/>
      <c r="C56" s="9"/>
      <c r="D56" s="9"/>
      <c r="E56" s="9"/>
      <c r="F56" s="10"/>
      <c r="G56" s="9"/>
      <c r="H56" s="9"/>
      <c r="I56" s="10"/>
    </row>
    <row r="57" spans="1:9" ht="13.9">
      <c r="A57" s="9"/>
      <c r="B57" s="9"/>
      <c r="C57" s="9"/>
      <c r="D57" s="9"/>
      <c r="E57" s="9"/>
      <c r="F57" s="10"/>
      <c r="G57" s="9"/>
      <c r="H57" s="9"/>
      <c r="I57" s="10"/>
    </row>
    <row r="58" spans="1:9" ht="13.9">
      <c r="A58" s="9"/>
      <c r="B58" s="9"/>
      <c r="C58" s="9"/>
      <c r="D58" s="9"/>
      <c r="E58" s="9"/>
      <c r="F58" s="10"/>
      <c r="G58" s="9"/>
      <c r="H58" s="9"/>
      <c r="I58" s="10"/>
    </row>
    <row r="59" spans="1:9" ht="13.9">
      <c r="A59" s="9"/>
      <c r="B59" s="9"/>
      <c r="C59" s="9"/>
      <c r="D59" s="9"/>
      <c r="E59" s="9"/>
      <c r="F59" s="10"/>
      <c r="G59" s="9"/>
      <c r="H59" s="9"/>
      <c r="I59" s="10"/>
    </row>
    <row r="60" spans="1:9" ht="13.9">
      <c r="A60" s="9"/>
      <c r="B60" s="9"/>
      <c r="C60" s="9"/>
      <c r="D60" s="9"/>
      <c r="E60" s="9"/>
      <c r="F60" s="10"/>
      <c r="G60" s="9"/>
      <c r="H60" s="9"/>
      <c r="I60" s="10"/>
    </row>
    <row r="61" spans="1:9" ht="13.9">
      <c r="A61" s="9"/>
      <c r="B61" s="9"/>
      <c r="C61" s="9"/>
      <c r="D61" s="9"/>
      <c r="E61" s="9"/>
      <c r="F61" s="10"/>
      <c r="G61" s="9"/>
      <c r="H61" s="9"/>
      <c r="I61" s="10"/>
    </row>
    <row r="62" spans="1:9" ht="13.9">
      <c r="A62" s="9"/>
      <c r="B62" s="9"/>
      <c r="C62" s="9"/>
      <c r="D62" s="9"/>
      <c r="E62" s="9"/>
      <c r="F62" s="10"/>
      <c r="G62" s="9"/>
      <c r="H62" s="9"/>
      <c r="I62" s="10"/>
    </row>
    <row r="63" spans="1:9" ht="13.9">
      <c r="A63" s="9"/>
      <c r="B63" s="9"/>
      <c r="C63" s="9"/>
      <c r="D63" s="9"/>
      <c r="E63" s="9"/>
      <c r="F63" s="10"/>
      <c r="G63" s="9"/>
      <c r="H63" s="9"/>
      <c r="I63" s="10"/>
    </row>
    <row r="64" spans="1:9" ht="13.9">
      <c r="A64" s="9"/>
      <c r="B64" s="9"/>
      <c r="C64" s="9"/>
      <c r="D64" s="9"/>
      <c r="E64" s="9"/>
      <c r="F64" s="10"/>
      <c r="G64" s="9"/>
      <c r="H64" s="9"/>
      <c r="I64" s="10"/>
    </row>
    <row r="65" spans="1:9" ht="13.9">
      <c r="A65" s="9"/>
      <c r="B65" s="9"/>
      <c r="C65" s="9"/>
      <c r="D65" s="9"/>
      <c r="E65" s="9"/>
      <c r="F65" s="10"/>
      <c r="G65" s="9"/>
      <c r="H65" s="9"/>
      <c r="I65" s="10"/>
    </row>
    <row r="66" spans="1:9" ht="13.9">
      <c r="A66" s="9"/>
      <c r="B66" s="9"/>
      <c r="C66" s="9"/>
      <c r="D66" s="9"/>
      <c r="E66" s="9"/>
      <c r="F66" s="10"/>
      <c r="G66" s="9"/>
      <c r="H66" s="9"/>
      <c r="I66" s="10"/>
    </row>
    <row r="67" spans="1:9" ht="13.9">
      <c r="A67" s="9"/>
      <c r="B67" s="9"/>
      <c r="C67" s="9"/>
      <c r="D67" s="9"/>
      <c r="E67" s="9"/>
      <c r="F67" s="10"/>
      <c r="G67" s="9"/>
      <c r="H67" s="9"/>
      <c r="I67" s="10"/>
    </row>
    <row r="68" spans="1:9" ht="13.9">
      <c r="A68" s="9"/>
      <c r="B68" s="9"/>
      <c r="C68" s="9"/>
      <c r="D68" s="9"/>
      <c r="E68" s="9"/>
      <c r="F68" s="10"/>
      <c r="G68" s="9"/>
      <c r="H68" s="9"/>
      <c r="I68" s="10"/>
    </row>
    <row r="69" spans="1:9" ht="13.9">
      <c r="A69" s="9"/>
      <c r="B69" s="9"/>
      <c r="C69" s="9"/>
      <c r="D69" s="9"/>
      <c r="E69" s="9"/>
      <c r="F69" s="10"/>
      <c r="G69" s="9"/>
      <c r="H69" s="9"/>
      <c r="I69" s="10"/>
    </row>
    <row r="70" spans="1:9" ht="13.9">
      <c r="A70" s="9"/>
      <c r="B70" s="9"/>
      <c r="C70" s="9"/>
      <c r="D70" s="9"/>
      <c r="E70" s="9"/>
      <c r="F70" s="10"/>
      <c r="G70" s="9"/>
      <c r="H70" s="9"/>
      <c r="I70" s="10"/>
    </row>
    <row r="71" spans="1:9" ht="13.9">
      <c r="A71" s="9"/>
      <c r="B71" s="9"/>
      <c r="C71" s="9"/>
      <c r="D71" s="9"/>
      <c r="E71" s="9"/>
      <c r="F71" s="10"/>
      <c r="G71" s="9"/>
      <c r="H71" s="9"/>
      <c r="I71" s="10"/>
    </row>
    <row r="72" spans="1:9" ht="13.9">
      <c r="A72" s="9"/>
      <c r="B72" s="9"/>
      <c r="C72" s="9"/>
      <c r="D72" s="9"/>
      <c r="E72" s="9"/>
      <c r="F72" s="10"/>
      <c r="G72" s="9"/>
      <c r="H72" s="9"/>
      <c r="I72" s="10"/>
    </row>
    <row r="73" spans="1:9" ht="13.9">
      <c r="A73" s="9"/>
      <c r="B73" s="9"/>
      <c r="C73" s="9"/>
      <c r="D73" s="9"/>
      <c r="E73" s="9"/>
      <c r="F73" s="10"/>
      <c r="G73" s="9"/>
      <c r="H73" s="9"/>
      <c r="I73" s="10"/>
    </row>
    <row r="74" spans="1:9" ht="13.9">
      <c r="A74" s="9"/>
      <c r="B74" s="9"/>
      <c r="C74" s="9"/>
      <c r="D74" s="9"/>
      <c r="E74" s="9"/>
      <c r="F74" s="10"/>
      <c r="G74" s="9"/>
      <c r="H74" s="9"/>
      <c r="I74" s="10"/>
    </row>
    <row r="75" spans="1:9" ht="13.9">
      <c r="A75" s="9"/>
      <c r="B75" s="9"/>
      <c r="C75" s="9"/>
      <c r="D75" s="9"/>
      <c r="E75" s="9"/>
      <c r="F75" s="10"/>
      <c r="G75" s="9"/>
      <c r="H75" s="9"/>
      <c r="I75" s="10"/>
    </row>
    <row r="76" spans="1:9" ht="13.9">
      <c r="A76" s="9"/>
      <c r="B76" s="9"/>
      <c r="C76" s="9"/>
      <c r="D76" s="9"/>
      <c r="E76" s="9"/>
      <c r="F76" s="10"/>
      <c r="G76" s="9"/>
      <c r="H76" s="9"/>
      <c r="I76" s="10"/>
    </row>
    <row r="77" spans="1:9" ht="13.9">
      <c r="A77" s="9"/>
      <c r="B77" s="9"/>
      <c r="C77" s="9"/>
      <c r="D77" s="9"/>
      <c r="E77" s="9"/>
      <c r="F77" s="10"/>
      <c r="G77" s="9"/>
      <c r="H77" s="9"/>
      <c r="I77" s="10"/>
    </row>
    <row r="78" spans="1:9" ht="13.9">
      <c r="A78" s="9"/>
      <c r="B78" s="9"/>
      <c r="C78" s="9"/>
      <c r="D78" s="9"/>
      <c r="E78" s="9"/>
      <c r="F78" s="10"/>
      <c r="G78" s="9"/>
      <c r="H78" s="9"/>
      <c r="I78" s="10"/>
    </row>
    <row r="79" spans="1:9" ht="13.9">
      <c r="A79" s="9"/>
      <c r="B79" s="9"/>
      <c r="C79" s="9"/>
      <c r="D79" s="9"/>
      <c r="E79" s="9"/>
      <c r="F79" s="10"/>
      <c r="G79" s="9"/>
      <c r="H79" s="9"/>
      <c r="I79" s="10"/>
    </row>
    <row r="80" spans="1:9" ht="13.9">
      <c r="A80" s="9"/>
      <c r="B80" s="9"/>
      <c r="C80" s="9"/>
      <c r="D80" s="9"/>
      <c r="E80" s="9"/>
      <c r="F80" s="10"/>
      <c r="G80" s="9"/>
      <c r="H80" s="9"/>
      <c r="I80" s="10"/>
    </row>
    <row r="81" spans="1:9" ht="13.9">
      <c r="A81" s="9"/>
      <c r="B81" s="9"/>
      <c r="C81" s="9"/>
      <c r="D81" s="9"/>
      <c r="E81" s="9"/>
      <c r="F81" s="10"/>
      <c r="G81" s="9"/>
      <c r="H81" s="9"/>
      <c r="I81" s="10"/>
    </row>
    <row r="82" spans="1:9" ht="13.9">
      <c r="A82" s="9"/>
      <c r="B82" s="9"/>
      <c r="C82" s="9"/>
      <c r="D82" s="9"/>
      <c r="E82" s="9"/>
      <c r="F82" s="10"/>
      <c r="G82" s="9"/>
      <c r="H82" s="9"/>
      <c r="I82" s="10"/>
    </row>
    <row r="83" spans="1:9" ht="13.9">
      <c r="A83" s="9"/>
      <c r="B83" s="9"/>
      <c r="C83" s="9"/>
      <c r="D83" s="9"/>
      <c r="E83" s="9"/>
      <c r="F83" s="10"/>
      <c r="G83" s="9"/>
      <c r="H83" s="9"/>
      <c r="I83" s="10"/>
    </row>
    <row r="84" spans="1:9" ht="13.9">
      <c r="A84" s="9"/>
      <c r="B84" s="9"/>
      <c r="C84" s="9"/>
      <c r="D84" s="9"/>
      <c r="E84" s="9"/>
      <c r="F84" s="10"/>
      <c r="G84" s="9"/>
      <c r="H84" s="9"/>
      <c r="I84" s="10"/>
    </row>
    <row r="85" spans="1:9" ht="13.9">
      <c r="A85" s="9"/>
      <c r="B85" s="9"/>
      <c r="C85" s="9"/>
      <c r="D85" s="9"/>
      <c r="E85" s="9"/>
      <c r="F85" s="10"/>
      <c r="G85" s="9"/>
      <c r="H85" s="9"/>
      <c r="I85" s="10"/>
    </row>
    <row r="86" spans="1:9" ht="13.9">
      <c r="A86" s="9"/>
      <c r="B86" s="9"/>
      <c r="C86" s="9"/>
      <c r="D86" s="9"/>
      <c r="E86" s="9"/>
      <c r="F86" s="10"/>
      <c r="G86" s="9"/>
      <c r="H86" s="9"/>
      <c r="I86" s="10"/>
    </row>
    <row r="87" spans="1:9" ht="13.9">
      <c r="A87" s="9"/>
      <c r="B87" s="9"/>
      <c r="C87" s="9"/>
      <c r="D87" s="9"/>
      <c r="E87" s="9"/>
      <c r="F87" s="10"/>
      <c r="G87" s="9"/>
      <c r="H87" s="9"/>
      <c r="I87" s="10"/>
    </row>
    <row r="88" spans="1:9" ht="13.9">
      <c r="A88" s="9"/>
      <c r="B88" s="9"/>
      <c r="C88" s="9"/>
      <c r="D88" s="9"/>
      <c r="E88" s="9"/>
      <c r="F88" s="10"/>
      <c r="G88" s="9"/>
      <c r="H88" s="9"/>
      <c r="I88" s="10"/>
    </row>
    <row r="89" spans="1:9" ht="13.9">
      <c r="A89" s="9"/>
      <c r="B89" s="9"/>
      <c r="C89" s="9"/>
      <c r="D89" s="9"/>
      <c r="E89" s="9"/>
      <c r="F89" s="10"/>
      <c r="G89" s="9"/>
      <c r="H89" s="9"/>
      <c r="I89" s="10"/>
    </row>
    <row r="90" spans="1:9" ht="13.9">
      <c r="A90" s="9"/>
      <c r="B90" s="9"/>
      <c r="C90" s="9"/>
      <c r="D90" s="9"/>
      <c r="E90" s="9"/>
      <c r="F90" s="10"/>
      <c r="G90" s="9"/>
      <c r="H90" s="9"/>
      <c r="I90" s="10"/>
    </row>
    <row r="91" spans="1:9" ht="13.9">
      <c r="A91" s="9"/>
      <c r="B91" s="9"/>
      <c r="C91" s="9"/>
      <c r="D91" s="9"/>
      <c r="E91" s="9"/>
      <c r="F91" s="10"/>
      <c r="G91" s="9"/>
      <c r="H91" s="9"/>
      <c r="I91" s="10"/>
    </row>
    <row r="92" spans="1:9" ht="13.9">
      <c r="A92" s="9"/>
      <c r="B92" s="9"/>
      <c r="C92" s="9"/>
      <c r="D92" s="9"/>
      <c r="E92" s="9"/>
      <c r="F92" s="10"/>
      <c r="G92" s="9"/>
      <c r="H92" s="9"/>
      <c r="I92" s="10"/>
    </row>
    <row r="93" spans="1:9" ht="13.9">
      <c r="A93" s="9"/>
      <c r="B93" s="9"/>
      <c r="C93" s="9"/>
      <c r="D93" s="9"/>
      <c r="E93" s="9"/>
      <c r="F93" s="10"/>
      <c r="G93" s="9"/>
      <c r="H93" s="9"/>
      <c r="I93" s="10"/>
    </row>
    <row r="94" spans="1:9" ht="13.9">
      <c r="A94" s="9"/>
      <c r="B94" s="9"/>
      <c r="C94" s="9"/>
      <c r="D94" s="9"/>
      <c r="E94" s="9"/>
      <c r="F94" s="10"/>
      <c r="G94" s="9"/>
      <c r="H94" s="9"/>
      <c r="I94" s="10"/>
    </row>
    <row r="95" spans="1:9" ht="13.9">
      <c r="A95" s="9"/>
      <c r="B95" s="9"/>
      <c r="C95" s="9"/>
      <c r="D95" s="9"/>
      <c r="E95" s="9"/>
      <c r="F95" s="10"/>
      <c r="G95" s="9"/>
      <c r="H95" s="9"/>
      <c r="I95" s="10"/>
    </row>
    <row r="96" spans="1:9" ht="13.9">
      <c r="A96" s="9"/>
      <c r="B96" s="9"/>
      <c r="C96" s="9"/>
      <c r="D96" s="9"/>
      <c r="E96" s="9"/>
      <c r="F96" s="10"/>
      <c r="G96" s="9"/>
      <c r="H96" s="9"/>
      <c r="I96" s="10"/>
    </row>
    <row r="97" spans="1:9" ht="13.9">
      <c r="A97" s="9"/>
      <c r="B97" s="9"/>
      <c r="C97" s="9"/>
      <c r="D97" s="9"/>
      <c r="E97" s="9"/>
      <c r="F97" s="10"/>
      <c r="G97" s="9"/>
      <c r="H97" s="9"/>
      <c r="I97" s="10"/>
    </row>
    <row r="98" spans="1:9" ht="13.9">
      <c r="A98" s="9"/>
      <c r="B98" s="9"/>
      <c r="C98" s="9"/>
      <c r="D98" s="9"/>
      <c r="E98" s="9"/>
      <c r="F98" s="10"/>
      <c r="G98" s="9"/>
      <c r="H98" s="9"/>
      <c r="I98" s="10"/>
    </row>
    <row r="99" spans="1:9" ht="13.9">
      <c r="A99" s="9"/>
      <c r="B99" s="9"/>
      <c r="C99" s="9"/>
      <c r="D99" s="9"/>
      <c r="E99" s="9"/>
      <c r="F99" s="10"/>
      <c r="G99" s="9"/>
      <c r="H99" s="9"/>
      <c r="I99" s="10"/>
    </row>
    <row r="100" spans="1:9" ht="13.9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9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9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9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9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9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9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9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9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9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9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9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9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9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9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9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9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9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9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9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9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9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9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9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9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9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9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9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9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9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9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9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9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9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9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9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9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9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9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9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9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9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9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9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9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9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9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9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9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9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9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9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9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9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9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9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9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9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9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9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9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9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9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9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9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9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9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9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9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9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9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9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9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9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9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9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9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9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9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9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9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9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9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9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9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9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9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9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9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9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9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9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9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9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9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9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9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9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9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9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9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9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9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9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9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9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9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9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9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9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9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9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9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9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9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9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9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9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9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9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9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9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9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9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9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9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9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9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9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9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9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9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9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9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9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9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9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9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9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9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9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9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9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9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9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9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9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9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9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9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9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9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9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9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9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9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9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9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9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9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9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9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9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9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9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9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9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9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9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9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9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9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9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9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9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9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9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9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9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9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9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9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9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9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9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9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9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9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9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9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9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9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9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9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9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9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9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9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9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9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9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9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9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9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9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9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9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9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9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9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9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9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9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9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9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9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9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9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9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9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9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9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9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1"/>
  <sheetViews>
    <sheetView tabSelected="1" zoomScale="70" zoomScaleNormal="70" workbookViewId="0">
      <pane xSplit="2" ySplit="3" topLeftCell="H4" activePane="bottomRight" state="frozen"/>
      <selection pane="bottomRight" activeCell="P9" sqref="P9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6.7109375" customWidth="1"/>
    <col min="11" max="11" width="20.5703125" bestFit="1" customWidth="1"/>
    <col min="12" max="12" width="11.85546875" customWidth="1"/>
    <col min="13" max="13" width="8.85546875" style="83"/>
  </cols>
  <sheetData>
    <row r="1" spans="1:13" ht="19.5" customHeight="1">
      <c r="A1" s="104" t="str" cm="1">
        <f t="array" ref="A1">portfolio</f>
        <v>Renewable Properties</v>
      </c>
      <c r="B1" s="104"/>
      <c r="C1" s="104"/>
      <c r="D1" s="105" t="s">
        <v>18</v>
      </c>
      <c r="E1" s="105"/>
      <c r="F1" s="105"/>
      <c r="G1" s="103" t="s">
        <v>19</v>
      </c>
      <c r="H1" s="103"/>
      <c r="I1" s="103"/>
      <c r="J1" s="4"/>
      <c r="K1" s="4"/>
      <c r="L1" s="4"/>
    </row>
    <row r="2" spans="1:13" ht="19.5" customHeight="1">
      <c r="A2" s="106" t="s">
        <v>2</v>
      </c>
      <c r="B2" s="106"/>
      <c r="C2" s="5">
        <f>SUM(C4:C79)</f>
        <v>1090729.5</v>
      </c>
      <c r="D2" s="5">
        <f>SUM(D4:D79)</f>
        <v>3089441.9099999992</v>
      </c>
      <c r="E2" s="5">
        <f>C2-D2</f>
        <v>-1998712.4099999992</v>
      </c>
      <c r="F2" s="6">
        <f>IFERROR(E2/D2, 0)</f>
        <v>-0.64694934173402208</v>
      </c>
      <c r="G2" s="5">
        <f>SUM(G4:G79)</f>
        <v>2860668.2800000003</v>
      </c>
      <c r="H2" s="7">
        <f>C2-G2</f>
        <v>-1769938.7800000003</v>
      </c>
      <c r="I2" s="6">
        <f>IFERROR(H2/G2, 0)</f>
        <v>-0.61871514162418029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46" t="s">
        <v>20</v>
      </c>
      <c r="K3" s="46" t="s">
        <v>21</v>
      </c>
      <c r="L3" s="46" t="s">
        <v>22</v>
      </c>
    </row>
    <row r="4" spans="1:13" ht="28.9">
      <c r="A4" s="48" t="str" cm="1">
        <f t="array" ref="A4:A14">Sites[Site]</f>
        <v>Cedar Swamp Rd</v>
      </c>
      <c r="B4" s="49" t="str" cm="1">
        <f t="array" ref="B4:B14">Sites[State]</f>
        <v>MA</v>
      </c>
      <c r="C4" s="27">
        <v>36668</v>
      </c>
      <c r="D4" s="28">
        <v>63476.11</v>
      </c>
      <c r="E4" s="28">
        <f>IF(AND(ISNUMBER(C4),ISNUMBER(D4)), C4-D4, "")</f>
        <v>-26808.11</v>
      </c>
      <c r="F4" s="29">
        <f>IFERROR(E4/D4, "")</f>
        <v>-0.42233385127097423</v>
      </c>
      <c r="G4" s="30">
        <v>41455.199999999997</v>
      </c>
      <c r="H4" s="30">
        <f>IF(AND(ISNUMBER(C4),ISNUMBER(G4)), C4-G4, "")</f>
        <v>-4787.1999999999971</v>
      </c>
      <c r="I4" s="31">
        <f>IFERROR(H4/G4, "")</f>
        <v>-0.11547887840367427</v>
      </c>
      <c r="J4" s="50" t="s">
        <v>23</v>
      </c>
      <c r="K4" s="50"/>
      <c r="L4" s="50"/>
    </row>
    <row r="5" spans="1:13" ht="15.6">
      <c r="A5" s="51" t="str">
        <v>Bullis</v>
      </c>
      <c r="B5" s="52" t="str">
        <v>NY</v>
      </c>
      <c r="C5" s="35">
        <v>107107</v>
      </c>
      <c r="D5" s="35">
        <v>241574.5</v>
      </c>
      <c r="E5" s="35">
        <f t="shared" ref="E5:E6" si="0">IF(AND(ISNUMBER(C5),ISNUMBER(D5)), C5-D5, "")</f>
        <v>-134467.5</v>
      </c>
      <c r="F5" s="36">
        <f t="shared" ref="F5:F6" si="1">IFERROR(E5/D5, "")</f>
        <v>-0.55662952836495572</v>
      </c>
      <c r="G5" s="37">
        <v>262737.5</v>
      </c>
      <c r="H5" s="37">
        <f t="shared" ref="H5:H6" si="2">IF(AND(ISNUMBER(C5),ISNUMBER(G5)), C5-G5, "")</f>
        <v>-155630.5</v>
      </c>
      <c r="I5" s="36">
        <f t="shared" ref="I5:I6" si="3">IFERROR(H5/G5, "")</f>
        <v>-0.59234216661116135</v>
      </c>
      <c r="J5" s="53" t="s">
        <v>24</v>
      </c>
      <c r="K5" s="53"/>
      <c r="L5" s="53"/>
    </row>
    <row r="6" spans="1:13" ht="15.6">
      <c r="A6" s="48" t="str">
        <v>Rock Island</v>
      </c>
      <c r="B6" s="49" t="str">
        <v>NY</v>
      </c>
      <c r="C6" s="27">
        <v>165393</v>
      </c>
      <c r="D6" s="28">
        <v>299522.2</v>
      </c>
      <c r="E6" s="28">
        <f t="shared" si="0"/>
        <v>-134129.20000000001</v>
      </c>
      <c r="F6" s="29">
        <f t="shared" si="1"/>
        <v>-0.44781054626334876</v>
      </c>
      <c r="G6" s="30">
        <v>245101</v>
      </c>
      <c r="H6" s="30">
        <f t="shared" si="2"/>
        <v>-79708</v>
      </c>
      <c r="I6" s="31">
        <f t="shared" si="3"/>
        <v>-0.32520471152708474</v>
      </c>
      <c r="J6" s="50" t="s">
        <v>25</v>
      </c>
      <c r="K6" s="50"/>
      <c r="L6" s="50"/>
    </row>
    <row r="7" spans="1:13" ht="34.5" customHeight="1">
      <c r="A7" s="51" t="str">
        <v>Winslow - Roderick</v>
      </c>
      <c r="B7" s="52" t="str">
        <v>ME</v>
      </c>
      <c r="C7" s="35">
        <v>222085</v>
      </c>
      <c r="D7" s="35">
        <v>493283.5</v>
      </c>
      <c r="E7" s="35">
        <f t="shared" ref="E7" si="4">IF(AND(ISNUMBER(C7),ISNUMBER(D7)), C7-D7, "")</f>
        <v>-271198.5</v>
      </c>
      <c r="F7" s="36">
        <f t="shared" ref="F7:F13" si="5">IFERROR(E7/D7, "")</f>
        <v>-0.54978222462336568</v>
      </c>
      <c r="G7" s="37">
        <v>307900</v>
      </c>
      <c r="H7" s="37">
        <f t="shared" ref="H7" si="6">IF(AND(ISNUMBER(C7),ISNUMBER(G7)), C7-G7, "")</f>
        <v>-85815</v>
      </c>
      <c r="I7" s="36">
        <f t="shared" ref="I7:I13" si="7">IFERROR(H7/G7, "")</f>
        <v>-0.27871062033127642</v>
      </c>
      <c r="J7" s="53" t="s">
        <v>26</v>
      </c>
      <c r="K7" s="53"/>
      <c r="L7" s="53"/>
    </row>
    <row r="8" spans="1:13" ht="63.4" customHeight="1">
      <c r="A8" s="48" t="str">
        <v>Minoa - Clemons Rd</v>
      </c>
      <c r="B8" s="49" t="str">
        <v>NY</v>
      </c>
      <c r="C8" s="27">
        <v>75309.5</v>
      </c>
      <c r="D8" s="28">
        <v>149411.9</v>
      </c>
      <c r="E8" s="28">
        <f t="shared" ref="E8:E14" si="8">IF(AND(ISNUMBER(C8),ISNUMBER(D8)), C8-D8, "")</f>
        <v>-74102.399999999994</v>
      </c>
      <c r="F8" s="29">
        <f t="shared" ref="F8:F14" si="9">IFERROR(E8/D8, "")</f>
        <v>-0.49596049578380302</v>
      </c>
      <c r="G8" s="30">
        <v>190437.2</v>
      </c>
      <c r="H8" s="30">
        <f t="shared" ref="H8:H14" si="10">IF(AND(ISNUMBER(C8),ISNUMBER(G8)), C8-G8, "")</f>
        <v>-115127.70000000001</v>
      </c>
      <c r="I8" s="31">
        <f t="shared" ref="I8:I14" si="11">IFERROR(H8/G8, "")</f>
        <v>-0.60454417519266201</v>
      </c>
      <c r="J8" s="50" t="s">
        <v>27</v>
      </c>
      <c r="K8" s="86" t="s">
        <v>28</v>
      </c>
      <c r="L8" s="50" t="s">
        <v>29</v>
      </c>
      <c r="M8" s="85" t="s">
        <v>30</v>
      </c>
    </row>
    <row r="9" spans="1:13" ht="39.75" customHeight="1">
      <c r="A9" s="51" t="str">
        <v>Manchester - Western</v>
      </c>
      <c r="B9" s="52" t="str">
        <v>ME</v>
      </c>
      <c r="C9" s="35">
        <v>31198</v>
      </c>
      <c r="D9" s="35">
        <v>71210.5</v>
      </c>
      <c r="E9" s="35">
        <f t="shared" si="8"/>
        <v>-40012.5</v>
      </c>
      <c r="F9" s="36">
        <f t="shared" si="5"/>
        <v>-0.56189045154857786</v>
      </c>
      <c r="G9" s="37">
        <v>45770.18</v>
      </c>
      <c r="H9" s="37">
        <f t="shared" si="10"/>
        <v>-14572.18</v>
      </c>
      <c r="I9" s="36">
        <f t="shared" si="7"/>
        <v>-0.31837716172407449</v>
      </c>
      <c r="J9" s="53" t="s">
        <v>26</v>
      </c>
      <c r="K9" s="53"/>
      <c r="L9" s="53"/>
    </row>
    <row r="10" spans="1:13" ht="28.9">
      <c r="A10" s="48" t="str">
        <v>Batavia - Pike Rd</v>
      </c>
      <c r="B10" s="49" t="str">
        <v>NY</v>
      </c>
      <c r="C10" s="27">
        <v>105213.5</v>
      </c>
      <c r="D10" s="28">
        <v>221392.4</v>
      </c>
      <c r="E10" s="28">
        <f t="shared" si="8"/>
        <v>-116178.9</v>
      </c>
      <c r="F10" s="29">
        <f t="shared" si="9"/>
        <v>-0.52476462606665808</v>
      </c>
      <c r="G10" s="30">
        <v>218224.8</v>
      </c>
      <c r="H10" s="30">
        <f t="shared" si="10"/>
        <v>-113011.29999999999</v>
      </c>
      <c r="I10" s="31">
        <f t="shared" si="11"/>
        <v>-0.51786643864492021</v>
      </c>
      <c r="J10" s="50" t="s">
        <v>31</v>
      </c>
      <c r="K10" s="86" t="s">
        <v>32</v>
      </c>
      <c r="L10" s="50" t="s">
        <v>33</v>
      </c>
    </row>
    <row r="11" spans="1:13" ht="57.6">
      <c r="A11" s="51" t="str">
        <v>Slayton A &amp; B</v>
      </c>
      <c r="B11" s="52" t="str">
        <v>NY</v>
      </c>
      <c r="C11" s="35">
        <v>206991</v>
      </c>
      <c r="D11" s="35">
        <v>506582.4</v>
      </c>
      <c r="E11" s="35">
        <f t="shared" si="8"/>
        <v>-299591.40000000002</v>
      </c>
      <c r="F11" s="36">
        <f t="shared" si="5"/>
        <v>-0.59139717447743945</v>
      </c>
      <c r="G11" s="37">
        <v>396842.6</v>
      </c>
      <c r="H11" s="37">
        <f t="shared" si="10"/>
        <v>-189851.59999999998</v>
      </c>
      <c r="I11" s="36">
        <f t="shared" si="7"/>
        <v>-0.47840529217377364</v>
      </c>
      <c r="J11" s="58" t="s">
        <v>34</v>
      </c>
      <c r="K11" s="88" t="s">
        <v>35</v>
      </c>
      <c r="L11" s="58" t="s">
        <v>36</v>
      </c>
      <c r="M11" s="85" t="s">
        <v>37</v>
      </c>
    </row>
    <row r="12" spans="1:13" ht="43.15">
      <c r="A12" s="48" t="str">
        <v>Batavia - Alexander Rd</v>
      </c>
      <c r="B12" s="49" t="str">
        <v>NY</v>
      </c>
      <c r="C12" s="27">
        <v>43531.5</v>
      </c>
      <c r="D12" s="28">
        <v>133417.4</v>
      </c>
      <c r="E12" s="28">
        <f t="shared" si="8"/>
        <v>-89885.9</v>
      </c>
      <c r="F12" s="29">
        <f t="shared" si="9"/>
        <v>-0.67371946987424425</v>
      </c>
      <c r="G12" s="30">
        <v>109759.8</v>
      </c>
      <c r="H12" s="30">
        <f t="shared" si="10"/>
        <v>-66228.3</v>
      </c>
      <c r="I12" s="31">
        <f t="shared" si="11"/>
        <v>-0.60339304554126372</v>
      </c>
      <c r="J12" s="50" t="s">
        <v>38</v>
      </c>
      <c r="K12" s="86" t="s">
        <v>39</v>
      </c>
      <c r="L12" s="50" t="s">
        <v>36</v>
      </c>
      <c r="M12" s="85" t="s">
        <v>40</v>
      </c>
    </row>
    <row r="13" spans="1:13" ht="15.6">
      <c r="A13" s="51" t="str">
        <v xml:space="preserve">NC: Gibson – Henry Gibson Solar </v>
      </c>
      <c r="B13" s="52" t="str">
        <v>NC</v>
      </c>
      <c r="C13" s="35">
        <v>-4470</v>
      </c>
      <c r="D13" s="35">
        <v>537539.19999999995</v>
      </c>
      <c r="E13" s="35">
        <f t="shared" si="8"/>
        <v>-542009.19999999995</v>
      </c>
      <c r="F13" s="36">
        <f t="shared" si="5"/>
        <v>-1.0083156726058304</v>
      </c>
      <c r="G13" s="37">
        <v>648494</v>
      </c>
      <c r="H13" s="37">
        <f t="shared" si="10"/>
        <v>-652964</v>
      </c>
      <c r="I13" s="36">
        <f t="shared" si="7"/>
        <v>-1.0068928933806636</v>
      </c>
      <c r="J13" s="53" t="s">
        <v>41</v>
      </c>
      <c r="K13" s="100" t="s">
        <v>42</v>
      </c>
      <c r="L13" s="53" t="s">
        <v>33</v>
      </c>
    </row>
    <row r="14" spans="1:13" ht="15.6">
      <c r="A14" s="48" t="str">
        <v>Bangor - Pushaw</v>
      </c>
      <c r="B14" s="49" t="str">
        <v>ME</v>
      </c>
      <c r="C14" s="27">
        <v>101703</v>
      </c>
      <c r="D14" s="28">
        <v>372031.8</v>
      </c>
      <c r="E14" s="28">
        <f t="shared" si="8"/>
        <v>-270328.8</v>
      </c>
      <c r="F14" s="29">
        <f t="shared" si="9"/>
        <v>-0.72662820758870617</v>
      </c>
      <c r="G14" s="30">
        <v>393946</v>
      </c>
      <c r="H14" s="30">
        <f t="shared" si="10"/>
        <v>-292243</v>
      </c>
      <c r="I14" s="31">
        <f t="shared" si="11"/>
        <v>-0.74183517537936672</v>
      </c>
      <c r="J14" s="50" t="s">
        <v>25</v>
      </c>
      <c r="K14" s="50"/>
      <c r="L14" s="50"/>
    </row>
    <row r="15" spans="1:13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  <c r="L15" s="9"/>
    </row>
    <row r="16" spans="1:13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  <c r="L16" s="9"/>
    </row>
    <row r="17" spans="1:12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  <c r="L17" s="9"/>
    </row>
    <row r="18" spans="1:12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  <c r="L18" s="9"/>
    </row>
    <row r="19" spans="1:12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  <c r="L19" s="9"/>
    </row>
    <row r="20" spans="1:12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  <c r="L20" s="9"/>
    </row>
    <row r="21" spans="1:12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  <c r="L21" s="9"/>
    </row>
    <row r="22" spans="1:12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  <c r="L22" s="9"/>
    </row>
    <row r="23" spans="1:12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  <c r="L23" s="9"/>
    </row>
    <row r="24" spans="1:12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  <c r="L24" s="9"/>
    </row>
    <row r="25" spans="1:12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  <c r="L25" s="9"/>
    </row>
    <row r="26" spans="1:12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  <c r="L26" s="9"/>
    </row>
    <row r="27" spans="1:12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  <c r="L27" s="9"/>
    </row>
    <row r="28" spans="1:12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  <c r="L28" s="9"/>
    </row>
    <row r="29" spans="1:12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  <c r="L29" s="9"/>
    </row>
    <row r="30" spans="1:12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  <c r="L30" s="9"/>
    </row>
    <row r="31" spans="1:12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  <c r="L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  <c r="L32" s="9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  <c r="L33" s="9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  <c r="L34" s="9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  <c r="L35" s="9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  <c r="L36" s="9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  <c r="L37" s="9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  <c r="L38" s="9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  <c r="L39" s="9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  <c r="L40" s="9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  <c r="L41" s="9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  <c r="L42" s="9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  <c r="L43" s="9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  <c r="L44" s="9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  <c r="L45" s="9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  <c r="L46" s="9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  <c r="L47" s="9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  <c r="L48" s="9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  <c r="L49" s="9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  <c r="L50" s="9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  <c r="L51" s="9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  <c r="L52" s="9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  <c r="L53" s="9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  <c r="L54" s="9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  <c r="L55" s="9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  <c r="L56" s="9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  <c r="L57" s="9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  <c r="L58" s="9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  <c r="L59" s="9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  <c r="L60" s="9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  <c r="L61" s="9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  <c r="L62" s="9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  <c r="L63" s="9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  <c r="L64" s="9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  <c r="L65" s="9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  <c r="L66" s="9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  <c r="L67" s="9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  <c r="L68" s="9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  <c r="L69" s="9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  <c r="L70" s="9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  <c r="L71" s="9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  <c r="L72" s="9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  <c r="L73" s="9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  <c r="L74" s="9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  <c r="L75" s="9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  <c r="L76" s="9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  <c r="L77" s="9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  <c r="L78" s="9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  <c r="L79" s="9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  <c r="L80" s="9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  <c r="L81" s="9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  <c r="L82" s="9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  <c r="L83" s="9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  <c r="L84" s="9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  <c r="L85" s="9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  <c r="L86" s="9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  <c r="L87" s="9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  <c r="L88" s="9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  <c r="L89" s="9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  <c r="L90" s="9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  <c r="L91" s="9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  <c r="L92" s="9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  <c r="L93" s="9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  <c r="L94" s="9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  <c r="L95" s="9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  <c r="L96" s="9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  <c r="L97" s="9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  <c r="L98" s="9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  <c r="L99" s="9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  <c r="L100" s="9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  <c r="L101" s="9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  <c r="L102" s="9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  <c r="L103" s="9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  <c r="L104" s="9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  <c r="L105" s="9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  <c r="L106" s="9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  <c r="L107" s="9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  <c r="L108" s="9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  <c r="L109" s="9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  <c r="L110" s="9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  <c r="L111" s="9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  <c r="L112" s="9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  <c r="L113" s="9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  <c r="L114" s="9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  <c r="L115" s="9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  <c r="L116" s="9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  <c r="L117" s="9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  <c r="L118" s="9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  <c r="L119" s="9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  <c r="L120" s="9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  <c r="L121" s="9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  <c r="L122" s="9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  <c r="L123" s="9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  <c r="L124" s="9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  <c r="L125" s="9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  <c r="L126" s="9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  <c r="L127" s="9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  <c r="L128" s="9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  <c r="L129" s="9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  <c r="L130" s="9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  <c r="L131" s="9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  <c r="L132" s="9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  <c r="L133" s="9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  <c r="L134" s="9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  <c r="L135" s="9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  <c r="L136" s="9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  <c r="L137" s="9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  <c r="L138" s="9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  <c r="L139" s="9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  <c r="L140" s="9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  <c r="L141" s="9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  <c r="L142" s="9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  <c r="L143" s="9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  <c r="L144" s="9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  <c r="L145" s="9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  <c r="L146" s="9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  <c r="L147" s="9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  <c r="L148" s="9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  <c r="L149" s="9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  <c r="L150" s="9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  <c r="L151" s="9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  <c r="L152" s="9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  <c r="L153" s="9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  <c r="L154" s="9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  <c r="L155" s="9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  <c r="L156" s="9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  <c r="L157" s="9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  <c r="L158" s="9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  <c r="L159" s="9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  <c r="L160" s="9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  <c r="L161" s="9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  <c r="L162" s="9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  <c r="L163" s="9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  <c r="L164" s="9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  <c r="L165" s="9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  <c r="L166" s="9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  <c r="L167" s="9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  <c r="L168" s="9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  <c r="L169" s="9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  <c r="L170" s="9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  <c r="L171" s="9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  <c r="L172" s="9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  <c r="L173" s="9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  <c r="L174" s="9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  <c r="L175" s="9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  <c r="L176" s="9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  <c r="L177" s="9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  <c r="L178" s="9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  <c r="L179" s="9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  <c r="L180" s="9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  <c r="L181" s="9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  <c r="L182" s="9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  <c r="L183" s="9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  <c r="L184" s="9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  <c r="L185" s="9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  <c r="L186" s="9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  <c r="L187" s="9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  <c r="L188" s="9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  <c r="L189" s="9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  <c r="L190" s="9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  <c r="L191" s="9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  <c r="L192" s="9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  <c r="L193" s="9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  <c r="L194" s="9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  <c r="L195" s="9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  <c r="L196" s="9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  <c r="L197" s="9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  <c r="L198" s="9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  <c r="L199" s="9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  <c r="L200" s="9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  <c r="L201" s="9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  <c r="L202" s="9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  <c r="L203" s="9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  <c r="L204" s="9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  <c r="L205" s="9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  <c r="L206" s="9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  <c r="L207" s="9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  <c r="L208" s="9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  <c r="L209" s="9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  <c r="L210" s="9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  <c r="L211" s="9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  <c r="L212" s="9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  <c r="L213" s="9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  <c r="L214" s="9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  <c r="L215" s="9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  <c r="L216" s="9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  <c r="L217" s="9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  <c r="L218" s="9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  <c r="L219" s="9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  <c r="L220" s="9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  <c r="L221" s="9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  <c r="L222" s="9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  <c r="L223" s="9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  <c r="L224" s="9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  <c r="L225" s="9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  <c r="L226" s="9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  <c r="L227" s="9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  <c r="L228" s="9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  <c r="L229" s="9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  <c r="L230" s="9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  <c r="L231" s="9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  <c r="L232" s="9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  <c r="L233" s="9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  <c r="L234" s="9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  <c r="L235" s="9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  <c r="L236" s="9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  <c r="L237" s="9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  <c r="L238" s="9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  <c r="L239" s="9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  <c r="L240" s="9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  <c r="L241" s="9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  <c r="L242" s="9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  <c r="L243" s="9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  <c r="L244" s="9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  <c r="L245" s="9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  <c r="L246" s="9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  <c r="L247" s="9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  <c r="L248" s="9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  <c r="L249" s="9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  <c r="L250" s="9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  <c r="L251" s="9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  <c r="L252" s="9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  <c r="L253" s="9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  <c r="L254" s="9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  <c r="L255" s="9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  <c r="L256" s="9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  <c r="L257" s="9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  <c r="L258" s="9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  <c r="L259" s="9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  <c r="L260" s="9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  <c r="L261" s="9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  <c r="L262" s="9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  <c r="L263" s="9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  <c r="L264" s="9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  <c r="L265" s="9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  <c r="L266" s="9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  <c r="L267" s="9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  <c r="L268" s="9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  <c r="L269" s="9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  <c r="L270" s="9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  <c r="L271" s="9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  <c r="L272" s="9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  <c r="L273" s="9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  <c r="L274" s="9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  <c r="L275" s="9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  <c r="L276" s="9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  <c r="L277" s="9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  <c r="L278" s="9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  <c r="L279" s="9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  <c r="L280" s="9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  <c r="L281" s="9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  <c r="L282" s="9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  <c r="L283" s="9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  <c r="L284" s="9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  <c r="L285" s="9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  <c r="L286" s="9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  <c r="L287" s="9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  <c r="L288" s="9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  <c r="L289" s="9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  <c r="L290" s="9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  <c r="L291" s="9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  <c r="L292" s="9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  <c r="L293" s="9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  <c r="L294" s="9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  <c r="L295" s="9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  <c r="L296" s="9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  <c r="L297" s="9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  <c r="L298" s="9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  <c r="L299" s="9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  <c r="L300" s="9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  <c r="L301" s="9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  <c r="L302" s="9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  <c r="L303" s="9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  <c r="L304" s="9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  <c r="L305" s="9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  <c r="L306" s="9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  <c r="L307" s="9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  <c r="L308" s="9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  <c r="L309" s="9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  <c r="L310" s="9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  <c r="L311" s="9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  <c r="L312" s="9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  <c r="L313" s="9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  <c r="L314" s="9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  <c r="L315" s="9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  <c r="L316" s="9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  <c r="L317" s="9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  <c r="L318" s="9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  <c r="L319" s="9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  <c r="L320" s="9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  <c r="L321" s="9"/>
    </row>
  </sheetData>
  <mergeCells count="4">
    <mergeCell ref="D1:F1"/>
    <mergeCell ref="A1:C1"/>
    <mergeCell ref="G1:I1"/>
    <mergeCell ref="A2:B2"/>
  </mergeCells>
  <phoneticPr fontId="4" type="noConversion"/>
  <conditionalFormatting sqref="F2 I2">
    <cfRule type="cellIs" dxfId="32" priority="14" stopIfTrue="1" operator="lessThanOrEqual">
      <formula>-0.1</formula>
    </cfRule>
    <cfRule type="expression" dxfId="31" priority="15">
      <formula>AND(ISNUMBER(F2), F2&gt;=0.1)</formula>
    </cfRule>
  </conditionalFormatting>
  <conditionalFormatting sqref="F4:F79 I4:I79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hyperlinks>
    <hyperlink ref="K8" r:id="rId1" display="https://us3.assetplanner.com/service_request?ID=113646" xr:uid="{C6FCEB72-F81C-4A51-92FE-9A869D7248EC}"/>
    <hyperlink ref="M8" r:id="rId2" display="https://us3.assetplanner.com/service_request?ID=115492" xr:uid="{8CCBC3DD-6BFB-47D9-8186-D2263DBB4871}"/>
    <hyperlink ref="K10" r:id="rId3" display="https://us3.assetplanner.com/service_request?ID=111075" xr:uid="{3949B965-3A59-4A49-BFEB-0864D95DFF7C}"/>
    <hyperlink ref="K11" r:id="rId4" display="https://us3.assetplanner.com/service_request?ID=111761" xr:uid="{FED9E55E-B9FC-4A6C-9C69-E0914D97762A}"/>
    <hyperlink ref="M11" r:id="rId5" display="https://us3.assetplanner.com/service_request?ID=113751" xr:uid="{959A3E5B-24C4-4507-8D8D-6816F44EE94A}"/>
    <hyperlink ref="K12" r:id="rId6" display="https://us3.assetplanner.com/service_request?ID=113733" xr:uid="{E0A8A171-B3E5-41F2-867C-674C037AD12B}"/>
    <hyperlink ref="M12" r:id="rId7" display="https://us3.assetplanner.com/service_request?ID=115377" xr:uid="{04E69582-84CC-4889-94E4-4307C79C9733}"/>
    <hyperlink ref="K13" r:id="rId8" display="https://us3.assetplanner.com/service_request?ID=114159" xr:uid="{4ECCF3D7-8A66-4924-BAD9-82248704A82E}"/>
  </hyperlinks>
  <pageMargins left="0.4" right="0.7" top="0.25" bottom="0.25" header="0.3" footer="0.3"/>
  <pageSetup fitToHeight="99" orientation="landscape"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0.85546875" customWidth="1"/>
    <col min="11" max="11" width="21.7109375" customWidth="1"/>
    <col min="12" max="12" width="13.28515625" customWidth="1"/>
  </cols>
  <sheetData>
    <row r="1" spans="1:14" ht="19.5" customHeight="1">
      <c r="A1" s="104" t="str" cm="1">
        <f t="array" ref="A1">portfolio</f>
        <v>Renewable Properties</v>
      </c>
      <c r="B1" s="104"/>
      <c r="C1" s="104"/>
      <c r="D1" s="105" t="s">
        <v>43</v>
      </c>
      <c r="E1" s="105"/>
      <c r="F1" s="105"/>
      <c r="G1" s="103" t="s">
        <v>44</v>
      </c>
      <c r="H1" s="103"/>
      <c r="I1" s="103"/>
      <c r="J1" s="4"/>
      <c r="K1" s="4"/>
    </row>
    <row r="2" spans="1:14" ht="19.5" customHeight="1">
      <c r="A2" s="106" t="s">
        <v>2</v>
      </c>
      <c r="B2" s="106"/>
      <c r="C2" s="5">
        <f>SUM(C5:C80)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4" ht="15.6">
      <c r="A4" s="54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 t="shared" ref="E4:E14" si="0"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  <c r="L4" s="75"/>
    </row>
    <row r="5" spans="1:14" ht="15.6">
      <c r="A5" s="51" t="str">
        <v>Bullis</v>
      </c>
      <c r="B5" s="52" t="str">
        <v>NY</v>
      </c>
      <c r="C5" s="34"/>
      <c r="D5" s="35"/>
      <c r="E5" s="35" t="str">
        <f t="shared" si="0"/>
        <v/>
      </c>
      <c r="F5" s="36" t="str">
        <f>IFERROR(E5/D5, "")</f>
        <v/>
      </c>
      <c r="G5" s="37"/>
      <c r="H5" s="37" t="str">
        <f>IF(AND(ISNUMBER(C5),ISNUMBER(G5)), C5-G5, "")</f>
        <v/>
      </c>
      <c r="I5" s="36" t="str">
        <f t="shared" ref="I5:I6" si="1">IFERROR(H5/G5, "")</f>
        <v/>
      </c>
      <c r="J5" s="58"/>
      <c r="K5" s="80"/>
    </row>
    <row r="6" spans="1:14" ht="15.6">
      <c r="A6" s="54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2">IFERROR(E6/D6, "")</f>
        <v/>
      </c>
      <c r="G6" s="30"/>
      <c r="H6" s="30" t="str">
        <f t="shared" ref="H6" si="3">IF(AND(ISNUMBER(C6),ISNUMBER(G6)), C6-G6, "")</f>
        <v/>
      </c>
      <c r="I6" s="31" t="str">
        <f t="shared" si="1"/>
        <v/>
      </c>
      <c r="J6" s="66"/>
      <c r="K6" s="81"/>
    </row>
    <row r="7" spans="1:14" ht="15.6">
      <c r="A7" s="51" t="str">
        <v>Winslow - Roderick</v>
      </c>
      <c r="B7" s="52" t="str">
        <v>ME</v>
      </c>
      <c r="C7" s="34"/>
      <c r="D7" s="35"/>
      <c r="E7" s="35" t="str">
        <f t="shared" si="0"/>
        <v/>
      </c>
      <c r="F7" s="36" t="str">
        <f t="shared" ref="F7:F13" si="4">IFERROR(E7/D7, "")</f>
        <v/>
      </c>
      <c r="G7" s="37"/>
      <c r="H7" s="37" t="str">
        <f t="shared" ref="H7" si="5">IF(AND(ISNUMBER(C7),ISNUMBER(G7)), C7-G7, "")</f>
        <v/>
      </c>
      <c r="I7" s="36" t="str">
        <f t="shared" ref="I7:I13" si="6">IFERROR(H7/G7, "")</f>
        <v/>
      </c>
      <c r="J7" s="95"/>
      <c r="K7" s="58"/>
      <c r="L7" s="83"/>
      <c r="M7" s="83"/>
      <c r="N7" s="83"/>
    </row>
    <row r="8" spans="1:14" ht="78.75" customHeight="1">
      <c r="A8" s="54" t="str">
        <v>Minoa - Clemons Rd</v>
      </c>
      <c r="B8" s="49" t="str">
        <v>NY</v>
      </c>
      <c r="C8" s="27"/>
      <c r="D8" s="28"/>
      <c r="E8" s="28" t="str">
        <f t="shared" si="0"/>
        <v/>
      </c>
      <c r="F8" s="29" t="str">
        <f t="shared" ref="F8:F14" si="7">IFERROR(E8/D8, "")</f>
        <v/>
      </c>
      <c r="G8" s="30"/>
      <c r="H8" s="30" t="str">
        <f t="shared" ref="H8:H14" si="8">IF(AND(ISNUMBER(C8),ISNUMBER(G8)), C8-G8, "")</f>
        <v/>
      </c>
      <c r="I8" s="31" t="str">
        <f t="shared" ref="I8:I14" si="9">IFERROR(H8/G8, "")</f>
        <v/>
      </c>
      <c r="J8" s="66"/>
      <c r="K8" s="81"/>
      <c r="L8" s="84"/>
      <c r="M8" s="83"/>
      <c r="N8" s="83"/>
    </row>
    <row r="9" spans="1:14" ht="15.6">
      <c r="A9" s="51" t="str">
        <v>Manchester - Western</v>
      </c>
      <c r="B9" s="52" t="str">
        <v>ME</v>
      </c>
      <c r="C9" s="34"/>
      <c r="D9" s="35"/>
      <c r="E9" s="35" t="str">
        <f t="shared" si="0"/>
        <v/>
      </c>
      <c r="F9" s="36" t="str">
        <f t="shared" si="4"/>
        <v/>
      </c>
      <c r="G9" s="37"/>
      <c r="H9" s="37" t="str">
        <f t="shared" si="8"/>
        <v/>
      </c>
      <c r="I9" s="36" t="str">
        <f t="shared" si="6"/>
        <v/>
      </c>
      <c r="J9" s="58"/>
      <c r="K9" s="58"/>
      <c r="L9" s="83"/>
      <c r="M9" s="83"/>
      <c r="N9" s="83"/>
    </row>
    <row r="10" spans="1:14" ht="69" customHeight="1">
      <c r="A10" s="54" t="str">
        <v>Batavia - Pike Rd</v>
      </c>
      <c r="B10" s="49" t="str">
        <v>NY</v>
      </c>
      <c r="C10" s="27"/>
      <c r="D10" s="28"/>
      <c r="E10" s="28" t="str">
        <f t="shared" si="0"/>
        <v/>
      </c>
      <c r="F10" s="29" t="str">
        <f t="shared" si="7"/>
        <v/>
      </c>
      <c r="G10" s="30"/>
      <c r="H10" s="30" t="str">
        <f t="shared" si="8"/>
        <v/>
      </c>
      <c r="I10" s="31" t="str">
        <f t="shared" si="9"/>
        <v/>
      </c>
      <c r="J10" s="66"/>
      <c r="K10" s="81"/>
      <c r="L10" s="85"/>
      <c r="M10" s="83"/>
      <c r="N10" s="83"/>
    </row>
    <row r="11" spans="1:14" ht="183.75" customHeight="1">
      <c r="A11" s="51" t="str">
        <v>Slayton A &amp; B</v>
      </c>
      <c r="B11" s="52" t="str">
        <v>NY</v>
      </c>
      <c r="C11" s="34"/>
      <c r="D11" s="35"/>
      <c r="E11" s="35" t="str">
        <f t="shared" si="0"/>
        <v/>
      </c>
      <c r="F11" s="36" t="str">
        <f t="shared" si="4"/>
        <v/>
      </c>
      <c r="G11" s="37"/>
      <c r="H11" s="37" t="str">
        <f t="shared" si="8"/>
        <v/>
      </c>
      <c r="I11" s="36" t="str">
        <f t="shared" si="6"/>
        <v/>
      </c>
      <c r="J11" s="58"/>
      <c r="K11" s="80"/>
      <c r="L11" s="85"/>
      <c r="M11" s="85"/>
      <c r="N11" s="85"/>
    </row>
    <row r="12" spans="1:14" ht="15.6">
      <c r="A12" s="48" t="str">
        <v>Batavia - Alexander Rd</v>
      </c>
      <c r="B12" s="49" t="str">
        <v>NY</v>
      </c>
      <c r="C12" s="27"/>
      <c r="D12" s="28"/>
      <c r="E12" s="28" t="str">
        <f t="shared" si="0"/>
        <v/>
      </c>
      <c r="F12" s="29" t="str">
        <f t="shared" si="7"/>
        <v/>
      </c>
      <c r="G12" s="30"/>
      <c r="H12" s="30" t="str">
        <f t="shared" si="8"/>
        <v/>
      </c>
      <c r="I12" s="31" t="str">
        <f t="shared" si="9"/>
        <v/>
      </c>
      <c r="J12" s="50"/>
      <c r="K12" s="50"/>
    </row>
    <row r="13" spans="1:14" ht="15.6">
      <c r="A13" s="51" t="str">
        <v xml:space="preserve">NC: Gibson – Henry Gibson Solar </v>
      </c>
      <c r="B13" s="74" t="str">
        <v>NC</v>
      </c>
      <c r="C13" s="77"/>
      <c r="D13" s="77"/>
      <c r="E13" s="35" t="str">
        <f t="shared" si="0"/>
        <v/>
      </c>
      <c r="F13" s="36" t="str">
        <f t="shared" si="4"/>
        <v/>
      </c>
      <c r="G13" s="76"/>
      <c r="H13" s="37" t="str">
        <f t="shared" si="8"/>
        <v/>
      </c>
      <c r="I13" s="36" t="str">
        <f t="shared" si="6"/>
        <v/>
      </c>
      <c r="J13" s="73"/>
      <c r="K13" s="82"/>
      <c r="L13" s="85"/>
      <c r="M13" s="83"/>
      <c r="N13" s="83"/>
    </row>
    <row r="14" spans="1:14" ht="15.6">
      <c r="A14" s="54" t="str">
        <v>Bangor - Pushaw</v>
      </c>
      <c r="B14" s="49" t="str">
        <v>ME</v>
      </c>
      <c r="C14" s="27"/>
      <c r="D14" s="28"/>
      <c r="E14" s="28" t="str">
        <f t="shared" si="0"/>
        <v/>
      </c>
      <c r="F14" s="29" t="str">
        <f t="shared" si="7"/>
        <v/>
      </c>
      <c r="G14" s="30"/>
      <c r="H14" s="30" t="str">
        <f t="shared" si="8"/>
        <v/>
      </c>
      <c r="I14" s="31" t="str">
        <f t="shared" si="9"/>
        <v/>
      </c>
      <c r="J14" s="66"/>
      <c r="K14" s="81"/>
    </row>
    <row r="15" spans="1:14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4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80 I4:I8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R322"/>
  <sheetViews>
    <sheetView zoomScale="60" zoomScaleNormal="6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8" ht="19.5" customHeight="1">
      <c r="A1" s="104" t="str" cm="1">
        <f t="array" ref="A1">portfolio</f>
        <v>Renewable Properties</v>
      </c>
      <c r="B1" s="104"/>
      <c r="C1" s="104"/>
      <c r="D1" s="105" t="s">
        <v>45</v>
      </c>
      <c r="E1" s="105"/>
      <c r="F1" s="105"/>
      <c r="G1" s="103" t="s">
        <v>46</v>
      </c>
      <c r="H1" s="103"/>
      <c r="I1" s="103"/>
      <c r="J1" s="4"/>
      <c r="K1" s="4"/>
    </row>
    <row r="2" spans="1:18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8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8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86"/>
    </row>
    <row r="5" spans="1:18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8"/>
      <c r="K5" s="80"/>
    </row>
    <row r="6" spans="1:18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86"/>
      <c r="L6" s="83"/>
      <c r="M6" s="83"/>
      <c r="N6" s="83"/>
      <c r="O6" s="83"/>
      <c r="P6" s="83"/>
      <c r="Q6" s="83"/>
      <c r="R6" s="83"/>
    </row>
    <row r="7" spans="1:18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8"/>
      <c r="K7" s="58"/>
      <c r="L7" s="83"/>
      <c r="M7" s="83"/>
      <c r="N7" s="83"/>
      <c r="O7" s="83"/>
      <c r="P7" s="83"/>
      <c r="Q7" s="83"/>
      <c r="R7" s="83"/>
    </row>
    <row r="8" spans="1:18" ht="15.6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" si="11">IFERROR(H8/G8, "")</f>
        <v/>
      </c>
      <c r="J8" s="50"/>
      <c r="K8" s="86"/>
      <c r="L8" s="85"/>
      <c r="M8" s="85"/>
      <c r="N8" s="85"/>
      <c r="O8" s="83"/>
      <c r="P8" s="83"/>
      <c r="Q8" s="83"/>
      <c r="R8" s="83"/>
    </row>
    <row r="9" spans="1:18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ref="F9:F14" si="12">IFERROR(E9/D9, "")</f>
        <v/>
      </c>
      <c r="G9" s="37"/>
      <c r="H9" s="37" t="str">
        <f t="shared" si="10"/>
        <v/>
      </c>
      <c r="I9" s="36" t="str">
        <f t="shared" ref="I9:I14" si="13">IFERROR(H9/G9, "")</f>
        <v/>
      </c>
      <c r="J9" s="58"/>
      <c r="K9" s="58"/>
      <c r="L9" s="83"/>
      <c r="M9" s="83"/>
      <c r="N9" s="83"/>
      <c r="O9" s="83"/>
      <c r="P9" s="83"/>
      <c r="Q9" s="83"/>
      <c r="R9" s="83"/>
    </row>
    <row r="10" spans="1:18" ht="15.6">
      <c r="A10" s="57" t="str">
        <v>Batavia - Pike Rd</v>
      </c>
      <c r="B10" s="49" t="str">
        <v>NY</v>
      </c>
      <c r="C10" s="27"/>
      <c r="D10" s="28"/>
      <c r="E10" s="28" t="str">
        <f>IF(AND(ISNUMBER(C10),ISNUMBER(D10)), C10-D10, "")</f>
        <v/>
      </c>
      <c r="F10" s="29" t="str">
        <f t="shared" si="12"/>
        <v/>
      </c>
      <c r="G10" s="30"/>
      <c r="H10" s="30" t="str">
        <f>IF(AND(ISNUMBER(C10),ISNUMBER(G10)), C10-G10, "")</f>
        <v/>
      </c>
      <c r="I10" s="31" t="str">
        <f t="shared" si="13"/>
        <v/>
      </c>
      <c r="J10" s="50"/>
      <c r="K10" s="86"/>
      <c r="L10" s="83"/>
      <c r="M10" s="83"/>
      <c r="N10" s="83"/>
      <c r="O10" s="83"/>
      <c r="P10" s="83"/>
      <c r="Q10" s="83"/>
      <c r="R10" s="83"/>
    </row>
    <row r="11" spans="1:18" ht="15.6">
      <c r="A11" s="56" t="str">
        <v>Slayton A &amp; B</v>
      </c>
      <c r="B11" s="52" t="str">
        <v>NY</v>
      </c>
      <c r="C11" s="34"/>
      <c r="D11" s="35"/>
      <c r="E11" s="35" t="str">
        <f>IF(AND(ISNUMBER(C11),ISNUMBER(D11)), C11-D11, "")</f>
        <v/>
      </c>
      <c r="F11" s="36" t="str">
        <f t="shared" si="12"/>
        <v/>
      </c>
      <c r="G11" s="37"/>
      <c r="H11" s="37" t="str">
        <f>IF(AND(ISNUMBER(C11),ISNUMBER(G11)), C11-G11, "")</f>
        <v/>
      </c>
      <c r="I11" s="36" t="str">
        <f t="shared" si="13"/>
        <v/>
      </c>
      <c r="J11" s="58"/>
      <c r="K11" s="80"/>
      <c r="L11" s="85"/>
      <c r="M11" s="85"/>
      <c r="N11" s="85"/>
      <c r="O11" s="83"/>
      <c r="P11" s="83"/>
      <c r="Q11" s="83"/>
      <c r="R11" s="83"/>
    </row>
    <row r="12" spans="1:18" ht="15.6">
      <c r="A12" s="57" t="str">
        <v>Batavia - Alexander Rd</v>
      </c>
      <c r="B12" s="49" t="str">
        <v>NY</v>
      </c>
      <c r="C12" s="27"/>
      <c r="D12" s="28"/>
      <c r="E12" s="28" t="str">
        <f>IF(AND(ISNUMBER(C12),ISNUMBER(D12)), C12-D12, "")</f>
        <v/>
      </c>
      <c r="F12" s="29" t="str">
        <f t="shared" si="12"/>
        <v/>
      </c>
      <c r="G12" s="30"/>
      <c r="H12" s="30" t="str">
        <f>IF(AND(ISNUMBER(C12),ISNUMBER(G12)), C12-G12, "")</f>
        <v/>
      </c>
      <c r="I12" s="31" t="str">
        <f t="shared" si="13"/>
        <v/>
      </c>
      <c r="J12" s="50"/>
      <c r="K12" s="86"/>
      <c r="L12" s="83"/>
      <c r="M12" s="83"/>
      <c r="N12" s="83"/>
      <c r="O12" s="83"/>
      <c r="P12" s="83"/>
      <c r="Q12" s="83"/>
      <c r="R12" s="83"/>
    </row>
    <row r="13" spans="1:18" ht="303.75" customHeight="1">
      <c r="A13" s="56" t="str">
        <v xml:space="preserve">NC: Gibson – Henry Gibson Solar </v>
      </c>
      <c r="B13" s="52" t="str">
        <v>NC</v>
      </c>
      <c r="C13" s="34"/>
      <c r="D13" s="35"/>
      <c r="E13" s="35" t="str">
        <f>IF(AND(ISNUMBER(C13),ISNUMBER(D13)), C13-D13, "")</f>
        <v/>
      </c>
      <c r="F13" s="36" t="str">
        <f t="shared" si="12"/>
        <v/>
      </c>
      <c r="G13" s="37"/>
      <c r="H13" s="37" t="str">
        <f>IF(AND(ISNUMBER(C13),ISNUMBER(G13)), C13-G13, "")</f>
        <v/>
      </c>
      <c r="I13" s="36" t="str">
        <f t="shared" si="13"/>
        <v/>
      </c>
      <c r="J13" s="58"/>
      <c r="K13" s="80"/>
      <c r="L13" s="85"/>
      <c r="M13" s="85"/>
      <c r="N13" s="85"/>
      <c r="O13" s="85"/>
      <c r="P13" s="85"/>
      <c r="Q13" s="85"/>
      <c r="R13" s="85" t="s">
        <v>47</v>
      </c>
    </row>
    <row r="14" spans="1:18" ht="15.6">
      <c r="A14" s="57" t="str">
        <v>Bangor - Pushaw</v>
      </c>
      <c r="B14" s="49" t="str">
        <v>ME</v>
      </c>
      <c r="C14" s="27"/>
      <c r="D14" s="28"/>
      <c r="E14" s="28" t="str">
        <f>IF(AND(ISNUMBER(C14),ISNUMBER(D14)), C14-D14, "")</f>
        <v/>
      </c>
      <c r="F14" s="29" t="str">
        <f t="shared" si="12"/>
        <v/>
      </c>
      <c r="G14" s="30"/>
      <c r="H14" s="30" t="str">
        <f>IF(AND(ISNUMBER(C14),ISNUMBER(G14)), C14-G14, "")</f>
        <v/>
      </c>
      <c r="I14" s="31" t="str">
        <f t="shared" si="13"/>
        <v/>
      </c>
      <c r="J14" s="50"/>
      <c r="K14" s="50"/>
      <c r="L14" s="83"/>
      <c r="M14" s="83"/>
      <c r="N14" s="83"/>
      <c r="O14" s="83"/>
      <c r="P14" s="83"/>
      <c r="Q14" s="83"/>
      <c r="R14" s="83"/>
    </row>
    <row r="15" spans="1:18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8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hyperlinks>
    <hyperlink ref="R13" r:id="rId1" display="https://us3.assetplanner.com/service_request?ID=099057" xr:uid="{946EBB96-ADAA-4353-A5EF-765963DAE3BD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22"/>
  <sheetViews>
    <sheetView zoomScale="70" zoomScaleNormal="7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104" t="str" cm="1">
        <f t="array" ref="A1">portfolio</f>
        <v>Renewable Properties</v>
      </c>
      <c r="B1" s="104"/>
      <c r="C1" s="104"/>
      <c r="D1" s="105" t="s">
        <v>48</v>
      </c>
      <c r="E1" s="105"/>
      <c r="F1" s="105"/>
      <c r="G1" s="103" t="s">
        <v>49</v>
      </c>
      <c r="H1" s="103"/>
      <c r="I1" s="103"/>
      <c r="J1" s="4"/>
      <c r="K1" s="4"/>
    </row>
    <row r="2" spans="1:15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5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86"/>
      <c r="L4" s="83"/>
      <c r="M4" s="83"/>
      <c r="N4" s="83"/>
      <c r="O4" s="83"/>
    </row>
    <row r="5" spans="1:15" ht="15.6">
      <c r="A5" s="56" t="str">
        <v>Bullis</v>
      </c>
      <c r="B5" s="52" t="str">
        <v>NY</v>
      </c>
      <c r="C5" s="35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88"/>
      <c r="L5" s="85"/>
      <c r="M5" s="83"/>
      <c r="N5" s="83"/>
      <c r="O5" s="83"/>
    </row>
    <row r="6" spans="1:15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86"/>
      <c r="L6" s="85"/>
      <c r="M6" s="83"/>
      <c r="N6" s="83"/>
      <c r="O6" s="83"/>
    </row>
    <row r="7" spans="1:15" ht="15.6">
      <c r="A7" s="56" t="str">
        <v>Winslow - Roderick</v>
      </c>
      <c r="B7" s="52" t="str">
        <v>ME</v>
      </c>
      <c r="C7" s="35"/>
      <c r="D7" s="35"/>
      <c r="E7" s="35" t="str">
        <f t="shared" ref="E7" si="4">IF(AND(ISNUMBER(C7),ISNUMBER(D7)), C7-D7, "")</f>
        <v/>
      </c>
      <c r="F7" s="36" t="str">
        <f t="shared" ref="F7:F13" si="5">IFERROR(E7/D7, "")</f>
        <v/>
      </c>
      <c r="G7" s="37"/>
      <c r="H7" s="37" t="str">
        <f t="shared" ref="H7:H13" si="6">IF(AND(ISNUMBER(C7),ISNUMBER(G7)), C7-G7, "")</f>
        <v/>
      </c>
      <c r="I7" s="36" t="str">
        <f t="shared" ref="I7" si="7">IFERROR(H7/G7, "")</f>
        <v/>
      </c>
      <c r="J7" s="53"/>
      <c r="K7" s="53"/>
      <c r="L7" s="83"/>
      <c r="M7" s="83"/>
      <c r="N7" s="83"/>
      <c r="O7" s="83"/>
    </row>
    <row r="8" spans="1:15" ht="15.6">
      <c r="A8" s="55" t="str">
        <v>Minoa - Clemons Rd</v>
      </c>
      <c r="B8" s="49" t="str">
        <v>NY</v>
      </c>
      <c r="C8" s="27"/>
      <c r="D8" s="28"/>
      <c r="E8" s="28" t="str">
        <f t="shared" ref="E8:E14" si="8">IF(AND(ISNUMBER(C8),ISNUMBER(D8)), C8-D8, "")</f>
        <v/>
      </c>
      <c r="F8" s="29" t="str">
        <f t="shared" ref="F8:F14" si="9">IFERROR(E8/D8, "")</f>
        <v/>
      </c>
      <c r="G8" s="30"/>
      <c r="H8" s="30" t="str">
        <f t="shared" ref="H8:H14" si="10">IF(AND(ISNUMBER(C8),ISNUMBER(G8)), C8-G8, "")</f>
        <v/>
      </c>
      <c r="I8" s="31" t="str">
        <f t="shared" ref="I8:I14" si="11">IFERROR(H8/G8, "")</f>
        <v/>
      </c>
      <c r="J8" s="50"/>
      <c r="K8" s="86"/>
      <c r="L8" s="85"/>
      <c r="M8" s="85"/>
      <c r="N8" s="85"/>
      <c r="O8" s="83"/>
    </row>
    <row r="9" spans="1:15" ht="15.6">
      <c r="A9" s="56" t="str">
        <v>Manchester - Western</v>
      </c>
      <c r="B9" s="52" t="str">
        <v>ME</v>
      </c>
      <c r="C9" s="35"/>
      <c r="D9" s="35"/>
      <c r="E9" s="35" t="str">
        <f t="shared" si="8"/>
        <v/>
      </c>
      <c r="F9" s="36" t="str">
        <f t="shared" si="5"/>
        <v/>
      </c>
      <c r="G9" s="37"/>
      <c r="H9" s="37" t="str">
        <f t="shared" si="6"/>
        <v/>
      </c>
      <c r="I9" s="36" t="str">
        <f t="shared" si="11"/>
        <v/>
      </c>
      <c r="J9" s="53"/>
      <c r="K9" s="88"/>
      <c r="L9" s="85"/>
      <c r="M9" s="85"/>
      <c r="N9" s="83"/>
      <c r="O9" s="83"/>
    </row>
    <row r="10" spans="1:15" ht="15.6">
      <c r="A10" s="55" t="str">
        <v>Batavia - Pike Rd</v>
      </c>
      <c r="B10" s="49" t="str">
        <v>NY</v>
      </c>
      <c r="C10" s="27"/>
      <c r="D10" s="28"/>
      <c r="E10" s="28" t="str">
        <f t="shared" si="8"/>
        <v/>
      </c>
      <c r="F10" s="29" t="str">
        <f t="shared" si="9"/>
        <v/>
      </c>
      <c r="G10" s="30"/>
      <c r="H10" s="30" t="str">
        <f t="shared" si="10"/>
        <v/>
      </c>
      <c r="I10" s="31" t="str">
        <f t="shared" si="11"/>
        <v/>
      </c>
      <c r="J10" s="50"/>
      <c r="K10" s="86"/>
      <c r="L10" s="83"/>
      <c r="M10" s="83"/>
      <c r="N10" s="83"/>
      <c r="O10" s="83"/>
    </row>
    <row r="11" spans="1:15" ht="15.6">
      <c r="A11" s="56" t="str">
        <v>Slayton A &amp; B</v>
      </c>
      <c r="B11" s="52" t="str">
        <v>NY</v>
      </c>
      <c r="C11" s="35"/>
      <c r="D11" s="35"/>
      <c r="E11" s="35" t="str">
        <f t="shared" si="8"/>
        <v/>
      </c>
      <c r="F11" s="36" t="str">
        <f t="shared" si="5"/>
        <v/>
      </c>
      <c r="G11" s="37"/>
      <c r="H11" s="37" t="str">
        <f t="shared" si="6"/>
        <v/>
      </c>
      <c r="I11" s="36" t="str">
        <f t="shared" si="11"/>
        <v/>
      </c>
      <c r="J11" s="87"/>
      <c r="K11" s="88"/>
      <c r="L11" s="85"/>
      <c r="M11" s="85"/>
      <c r="N11" s="85"/>
      <c r="O11" s="83"/>
    </row>
    <row r="12" spans="1:15" ht="15.6">
      <c r="A12" s="55" t="str">
        <v>Batavia - Alexander Rd</v>
      </c>
      <c r="B12" s="49" t="str">
        <v>NY</v>
      </c>
      <c r="C12" s="27"/>
      <c r="D12" s="28"/>
      <c r="E12" s="28" t="str">
        <f t="shared" si="8"/>
        <v/>
      </c>
      <c r="F12" s="29" t="str">
        <f t="shared" si="9"/>
        <v/>
      </c>
      <c r="G12" s="30"/>
      <c r="H12" s="30" t="str">
        <f t="shared" si="10"/>
        <v/>
      </c>
      <c r="I12" s="31" t="str">
        <f t="shared" si="11"/>
        <v/>
      </c>
      <c r="J12" s="50"/>
      <c r="K12" s="86"/>
      <c r="L12" s="83"/>
      <c r="M12" s="83"/>
      <c r="N12" s="83"/>
      <c r="O12" s="83"/>
    </row>
    <row r="13" spans="1:15" ht="15.6">
      <c r="A13" s="56" t="str">
        <v xml:space="preserve">NC: Gibson – Henry Gibson Solar </v>
      </c>
      <c r="B13" s="52" t="str">
        <v>NC</v>
      </c>
      <c r="C13" s="35"/>
      <c r="D13" s="35"/>
      <c r="E13" s="35" t="str">
        <f t="shared" si="8"/>
        <v/>
      </c>
      <c r="F13" s="36" t="str">
        <f t="shared" si="5"/>
        <v/>
      </c>
      <c r="G13" s="37"/>
      <c r="H13" s="37" t="str">
        <f t="shared" si="6"/>
        <v/>
      </c>
      <c r="I13" s="36" t="str">
        <f t="shared" si="11"/>
        <v/>
      </c>
      <c r="J13" s="53"/>
      <c r="K13" s="88"/>
      <c r="L13" s="85"/>
      <c r="M13" s="85"/>
      <c r="N13" s="83"/>
      <c r="O13" s="83"/>
    </row>
    <row r="14" spans="1:15" ht="15.6">
      <c r="A14" s="55" t="str">
        <v>Bangor - Pushaw</v>
      </c>
      <c r="B14" s="49" t="str">
        <v>ME</v>
      </c>
      <c r="C14" s="27"/>
      <c r="D14" s="28"/>
      <c r="E14" s="28" t="str">
        <f t="shared" si="8"/>
        <v/>
      </c>
      <c r="F14" s="29" t="str">
        <f t="shared" si="9"/>
        <v/>
      </c>
      <c r="G14" s="30"/>
      <c r="H14" s="30" t="str">
        <f t="shared" si="10"/>
        <v/>
      </c>
      <c r="I14" s="31" t="str">
        <f t="shared" si="11"/>
        <v/>
      </c>
      <c r="J14" s="50"/>
      <c r="K14" s="86"/>
      <c r="L14" s="83"/>
      <c r="M14" s="83"/>
      <c r="N14" s="83"/>
      <c r="O14" s="83"/>
    </row>
    <row r="15" spans="1:15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5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322"/>
  <sheetViews>
    <sheetView zoomScale="70" zoomScaleNormal="7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7.2851562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90"/>
  </cols>
  <sheetData>
    <row r="1" spans="1:15" ht="15.6">
      <c r="A1" s="104" t="str" cm="1">
        <f t="array" ref="A1">portfolio</f>
        <v>Renewable Properties</v>
      </c>
      <c r="B1" s="104"/>
      <c r="C1" s="104"/>
      <c r="D1" s="105" t="s">
        <v>50</v>
      </c>
      <c r="E1" s="105"/>
      <c r="F1" s="105"/>
      <c r="G1" s="103" t="s">
        <v>51</v>
      </c>
      <c r="H1" s="103"/>
      <c r="I1" s="103"/>
      <c r="J1" s="4"/>
      <c r="K1" s="4"/>
    </row>
    <row r="2" spans="1:15" ht="15.6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5.6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5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66"/>
      <c r="K4" s="81"/>
    </row>
    <row r="5" spans="1:15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" si="1">IF(AND(ISNUMBER(C5),ISNUMBER(G5)), C5-G5, "")</f>
        <v/>
      </c>
      <c r="I5" s="36" t="str">
        <f t="shared" ref="I5:I6" si="2">IFERROR(H5/G5, "")</f>
        <v/>
      </c>
      <c r="J5" s="58"/>
      <c r="K5" s="80"/>
      <c r="L5" s="91"/>
      <c r="M5" s="91"/>
      <c r="N5" s="91"/>
      <c r="O5" s="91"/>
    </row>
    <row r="6" spans="1:15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>IF(AND(ISNUMBER(C6),ISNUMBER(G6)), C6-G6, "")</f>
        <v/>
      </c>
      <c r="I6" s="31" t="str">
        <f t="shared" si="2"/>
        <v/>
      </c>
      <c r="J6" s="66"/>
      <c r="K6" s="81"/>
    </row>
    <row r="7" spans="1:15" ht="48.75" customHeight="1">
      <c r="A7" s="56" t="str">
        <v>Winslow - Roderick</v>
      </c>
      <c r="B7" s="52" t="str">
        <v>ME</v>
      </c>
      <c r="C7" s="34"/>
      <c r="D7" s="35"/>
      <c r="E7" s="35" t="str">
        <f t="shared" ref="E7:E13" si="4">IF(AND(ISNUMBER(C7),ISNUMBER(D7)), C7-D7, "")</f>
        <v/>
      </c>
      <c r="F7" s="36" t="str">
        <f t="shared" ref="F7:F13" si="5">IFERROR(E7/D7, "")</f>
        <v/>
      </c>
      <c r="G7" s="37"/>
      <c r="H7" s="37" t="str">
        <f t="shared" ref="H7:H13" si="6">IF(AND(ISNUMBER(C7),ISNUMBER(G7)), C7-G7, "")</f>
        <v/>
      </c>
      <c r="I7" s="36" t="str">
        <f t="shared" ref="I7" si="7">IFERROR(H7/G7, "")</f>
        <v/>
      </c>
      <c r="J7" s="58"/>
      <c r="K7" s="58"/>
    </row>
    <row r="8" spans="1:15" ht="119.25" customHeight="1">
      <c r="A8" s="55" t="str">
        <v>Minoa - Clemons Rd</v>
      </c>
      <c r="B8" s="49" t="str">
        <v>NY</v>
      </c>
      <c r="C8" s="27"/>
      <c r="D8" s="28"/>
      <c r="E8" s="28" t="str">
        <f t="shared" ref="E8:E14" si="8">IF(AND(ISNUMBER(C8),ISNUMBER(D8)), C8-D8, "")</f>
        <v/>
      </c>
      <c r="F8" s="29" t="str">
        <f t="shared" ref="F8:F14" si="9">IFERROR(E8/D8, "")</f>
        <v/>
      </c>
      <c r="G8" s="30"/>
      <c r="H8" s="30" t="str">
        <f t="shared" ref="H8:H14" si="10">IF(AND(ISNUMBER(C8),ISNUMBER(G8)), C8-G8, "")</f>
        <v/>
      </c>
      <c r="I8" s="31" t="str">
        <f t="shared" ref="I8:I14" si="11">IFERROR(H8/G8, "")</f>
        <v/>
      </c>
      <c r="J8" s="66"/>
      <c r="K8" s="81"/>
      <c r="L8" s="91"/>
    </row>
    <row r="9" spans="1:15" ht="66" customHeight="1">
      <c r="A9" s="56" t="str">
        <v>Manchester - Western</v>
      </c>
      <c r="B9" s="52" t="str">
        <v>ME</v>
      </c>
      <c r="C9" s="34"/>
      <c r="D9" s="35"/>
      <c r="E9" s="35" t="str">
        <f t="shared" si="4"/>
        <v/>
      </c>
      <c r="F9" s="36" t="str">
        <f t="shared" si="5"/>
        <v/>
      </c>
      <c r="G9" s="37"/>
      <c r="H9" s="37" t="str">
        <f t="shared" si="6"/>
        <v/>
      </c>
      <c r="I9" s="36" t="str">
        <f t="shared" si="11"/>
        <v/>
      </c>
      <c r="J9" s="89"/>
      <c r="K9" s="58"/>
    </row>
    <row r="10" spans="1:15" ht="100.5" customHeight="1">
      <c r="A10" s="55" t="str">
        <v>Batavia - Pike Rd</v>
      </c>
      <c r="B10" s="49" t="str">
        <v>NY</v>
      </c>
      <c r="C10" s="27"/>
      <c r="D10" s="28"/>
      <c r="E10" s="28" t="str">
        <f t="shared" si="8"/>
        <v/>
      </c>
      <c r="F10" s="29" t="str">
        <f t="shared" si="9"/>
        <v/>
      </c>
      <c r="G10" s="30"/>
      <c r="H10" s="30" t="str">
        <f t="shared" si="10"/>
        <v/>
      </c>
      <c r="I10" s="31" t="str">
        <f t="shared" si="11"/>
        <v/>
      </c>
      <c r="J10" s="66"/>
      <c r="K10" s="81"/>
      <c r="L10" s="91"/>
      <c r="M10" s="91"/>
    </row>
    <row r="11" spans="1:15" ht="15.6">
      <c r="A11" s="56" t="str">
        <v>Slayton A &amp; B</v>
      </c>
      <c r="B11" s="52" t="str">
        <v>NY</v>
      </c>
      <c r="C11" s="34"/>
      <c r="D11" s="35"/>
      <c r="E11" s="35" t="str">
        <f t="shared" si="4"/>
        <v/>
      </c>
      <c r="F11" s="36" t="str">
        <f t="shared" si="5"/>
        <v/>
      </c>
      <c r="G11" s="37"/>
      <c r="H11" s="37" t="str">
        <f t="shared" si="6"/>
        <v/>
      </c>
      <c r="I11" s="36" t="str">
        <f t="shared" si="11"/>
        <v/>
      </c>
      <c r="J11" s="58"/>
      <c r="K11" s="80"/>
    </row>
    <row r="12" spans="1:15" ht="15.6">
      <c r="A12" s="55" t="str">
        <v>Batavia - Alexander Rd</v>
      </c>
      <c r="B12" s="49" t="str">
        <v>NY</v>
      </c>
      <c r="C12" s="27"/>
      <c r="D12" s="28"/>
      <c r="E12" s="28" t="str">
        <f t="shared" si="8"/>
        <v/>
      </c>
      <c r="F12" s="29" t="str">
        <f t="shared" si="9"/>
        <v/>
      </c>
      <c r="G12" s="30"/>
      <c r="H12" s="30" t="str">
        <f t="shared" si="10"/>
        <v/>
      </c>
      <c r="I12" s="31" t="str">
        <f t="shared" si="11"/>
        <v/>
      </c>
      <c r="J12" s="66"/>
      <c r="K12" s="81"/>
    </row>
    <row r="13" spans="1:15" ht="15.6">
      <c r="A13" s="56" t="str">
        <v xml:space="preserve">NC: Gibson – Henry Gibson Solar </v>
      </c>
      <c r="B13" s="52" t="str">
        <v>NC</v>
      </c>
      <c r="C13" s="34"/>
      <c r="D13" s="35"/>
      <c r="E13" s="35" t="str">
        <f t="shared" si="4"/>
        <v/>
      </c>
      <c r="F13" s="36" t="str">
        <f t="shared" si="5"/>
        <v/>
      </c>
      <c r="G13" s="37"/>
      <c r="H13" s="37" t="str">
        <f t="shared" si="6"/>
        <v/>
      </c>
      <c r="I13" s="36" t="str">
        <f t="shared" si="11"/>
        <v/>
      </c>
      <c r="J13" s="58"/>
      <c r="K13" s="80"/>
      <c r="L13" s="91"/>
      <c r="M13" s="91"/>
      <c r="N13" s="91"/>
    </row>
    <row r="14" spans="1:15" ht="172.5" customHeight="1">
      <c r="A14" s="55" t="str">
        <v>Bangor - Pushaw</v>
      </c>
      <c r="B14" s="49" t="str">
        <v>ME</v>
      </c>
      <c r="C14" s="27"/>
      <c r="D14" s="28"/>
      <c r="E14" s="28" t="str">
        <f t="shared" si="8"/>
        <v/>
      </c>
      <c r="F14" s="29" t="str">
        <f t="shared" si="9"/>
        <v/>
      </c>
      <c r="G14" s="30"/>
      <c r="H14" s="30" t="str">
        <f t="shared" si="10"/>
        <v/>
      </c>
      <c r="I14" s="31" t="str">
        <f t="shared" si="11"/>
        <v/>
      </c>
      <c r="J14" s="66"/>
      <c r="K14" s="81"/>
      <c r="L14" s="91"/>
      <c r="M14" s="91"/>
      <c r="N14" s="91"/>
      <c r="O14" s="91"/>
    </row>
    <row r="15" spans="1:15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5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18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104" t="str" cm="1">
        <f t="array" ref="A1">portfolio</f>
        <v>Renewable Properties</v>
      </c>
      <c r="B1" s="104"/>
      <c r="C1" s="104"/>
      <c r="D1" s="105" t="s">
        <v>52</v>
      </c>
      <c r="E1" s="105"/>
      <c r="F1" s="105"/>
      <c r="G1" s="103" t="s">
        <v>53</v>
      </c>
      <c r="H1" s="103"/>
      <c r="I1" s="103"/>
      <c r="J1" s="4"/>
      <c r="K1" s="4"/>
    </row>
    <row r="2" spans="1:14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4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86"/>
    </row>
    <row r="5" spans="1:14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88"/>
      <c r="L5" s="85"/>
      <c r="M5" s="85"/>
      <c r="N5" s="85"/>
    </row>
    <row r="6" spans="1:14" ht="58.5" customHeight="1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  <c r="L6" s="83"/>
      <c r="M6" s="83"/>
      <c r="N6" s="83"/>
    </row>
    <row r="7" spans="1:14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9"/>
      <c r="L7" s="83"/>
      <c r="M7" s="83"/>
      <c r="N7" s="83"/>
    </row>
    <row r="8" spans="1:14" ht="93" customHeight="1">
      <c r="A8" s="55" t="str">
        <v>Minoa - Clemons Rd</v>
      </c>
      <c r="B8" s="49" t="str">
        <v>NY</v>
      </c>
      <c r="C8" s="27"/>
      <c r="D8" s="28"/>
      <c r="E8" s="28" t="str">
        <f t="shared" ref="E8:E14" si="8">IF(AND(ISNUMBER(C8),ISNUMBER(D8)), C8-D8, "")</f>
        <v/>
      </c>
      <c r="F8" s="29" t="str">
        <f t="shared" ref="F8:F14" si="9">IFERROR(E8/D8, "")</f>
        <v/>
      </c>
      <c r="G8" s="30"/>
      <c r="H8" s="30" t="str">
        <f t="shared" ref="H8:H14" si="10">IF(AND(ISNUMBER(C8),ISNUMBER(G8)), C8-G8, "")</f>
        <v/>
      </c>
      <c r="I8" s="31" t="str">
        <f t="shared" ref="I8:I14" si="11">IFERROR(H8/G8, "")</f>
        <v/>
      </c>
      <c r="J8" s="50"/>
      <c r="K8" s="86"/>
      <c r="L8" s="85"/>
      <c r="M8" s="83"/>
      <c r="N8" s="83"/>
    </row>
    <row r="9" spans="1:14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9"/>
      <c r="L9" s="83"/>
      <c r="M9" s="83"/>
      <c r="N9" s="83"/>
    </row>
    <row r="10" spans="1:14" ht="15.6">
      <c r="A10" s="55" t="str">
        <v>Batavia - Pike Rd</v>
      </c>
      <c r="B10" s="49" t="str">
        <v>NY</v>
      </c>
      <c r="C10" s="27"/>
      <c r="D10" s="28"/>
      <c r="E10" s="28" t="str">
        <f t="shared" si="8"/>
        <v/>
      </c>
      <c r="F10" s="29" t="str">
        <f t="shared" si="9"/>
        <v/>
      </c>
      <c r="G10" s="30"/>
      <c r="H10" s="30" t="str">
        <f t="shared" si="10"/>
        <v/>
      </c>
      <c r="I10" s="31" t="str">
        <f t="shared" si="11"/>
        <v/>
      </c>
      <c r="J10" s="50"/>
      <c r="K10" s="50"/>
      <c r="L10" s="83"/>
      <c r="M10" s="83"/>
      <c r="N10" s="83"/>
    </row>
    <row r="11" spans="1:14" ht="15.6">
      <c r="A11" s="56" t="str">
        <v>Slayton A &amp; B</v>
      </c>
      <c r="B11" s="52" t="str">
        <v>NY</v>
      </c>
      <c r="C11" s="34"/>
      <c r="D11" s="35"/>
      <c r="E11" s="35" t="str">
        <f t="shared" si="8"/>
        <v/>
      </c>
      <c r="F11" s="36" t="str">
        <f t="shared" si="9"/>
        <v/>
      </c>
      <c r="G11" s="37"/>
      <c r="H11" s="37" t="str">
        <f t="shared" si="10"/>
        <v/>
      </c>
      <c r="I11" s="36" t="str">
        <f t="shared" si="11"/>
        <v/>
      </c>
      <c r="J11" s="53"/>
      <c r="K11" s="88"/>
      <c r="L11" s="85"/>
      <c r="M11" s="83"/>
      <c r="N11" s="83"/>
    </row>
    <row r="12" spans="1:14" ht="15.6">
      <c r="A12" s="55" t="str">
        <v>Batavia - Alexander Rd</v>
      </c>
      <c r="B12" s="49" t="str">
        <v>NY</v>
      </c>
      <c r="C12" s="27"/>
      <c r="D12" s="28"/>
      <c r="E12" s="28" t="str">
        <f t="shared" si="8"/>
        <v/>
      </c>
      <c r="F12" s="29" t="str">
        <f t="shared" si="9"/>
        <v/>
      </c>
      <c r="G12" s="30"/>
      <c r="H12" s="30" t="str">
        <f t="shared" si="10"/>
        <v/>
      </c>
      <c r="I12" s="31" t="str">
        <f t="shared" si="11"/>
        <v/>
      </c>
      <c r="J12" s="50"/>
      <c r="K12" s="86"/>
      <c r="L12" s="83"/>
      <c r="M12" s="83"/>
      <c r="N12" s="83"/>
    </row>
    <row r="13" spans="1:14" ht="144" customHeight="1">
      <c r="A13" s="56" t="str">
        <v xml:space="preserve">NC: Gibson – Henry Gibson Solar </v>
      </c>
      <c r="B13" s="52" t="str">
        <v>NC</v>
      </c>
      <c r="C13" s="34"/>
      <c r="D13" s="35"/>
      <c r="E13" s="35" t="str">
        <f t="shared" si="8"/>
        <v/>
      </c>
      <c r="F13" s="36" t="str">
        <f t="shared" si="9"/>
        <v/>
      </c>
      <c r="G13" s="37"/>
      <c r="H13" s="37" t="str">
        <f t="shared" si="10"/>
        <v/>
      </c>
      <c r="I13" s="36" t="str">
        <f t="shared" si="11"/>
        <v/>
      </c>
      <c r="J13" s="53"/>
      <c r="K13" s="88"/>
      <c r="L13" s="85"/>
      <c r="M13" s="85"/>
      <c r="N13" s="85"/>
    </row>
    <row r="14" spans="1:14" ht="15.6">
      <c r="A14" s="55" t="str">
        <v>Bangor - Pushaw</v>
      </c>
      <c r="B14" s="49" t="str">
        <v>ME</v>
      </c>
      <c r="C14" s="27"/>
      <c r="D14" s="28"/>
      <c r="E14" s="28" t="str">
        <f t="shared" si="8"/>
        <v/>
      </c>
      <c r="F14" s="29" t="str">
        <f t="shared" si="9"/>
        <v/>
      </c>
      <c r="G14" s="30"/>
      <c r="H14" s="30" t="str">
        <f t="shared" si="10"/>
        <v/>
      </c>
      <c r="I14" s="31" t="str">
        <f t="shared" si="11"/>
        <v/>
      </c>
      <c r="J14" s="50"/>
      <c r="K14" s="86"/>
      <c r="L14" s="85"/>
      <c r="M14" s="85"/>
      <c r="N14" s="83"/>
    </row>
    <row r="15" spans="1:14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  <c r="L15" s="83"/>
      <c r="M15" s="83"/>
      <c r="N15" s="83"/>
    </row>
    <row r="16" spans="1:14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4" width="15.570312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104" t="str" cm="1">
        <f t="array" ref="A1">portfolio</f>
        <v>Renewable Properties</v>
      </c>
      <c r="B1" s="104"/>
      <c r="C1" s="104"/>
      <c r="D1" s="105" t="s">
        <v>54</v>
      </c>
      <c r="E1" s="105"/>
      <c r="F1" s="105"/>
      <c r="G1" s="103" t="s">
        <v>55</v>
      </c>
      <c r="H1" s="103"/>
      <c r="I1" s="103"/>
      <c r="J1" s="4"/>
      <c r="K1" s="4"/>
    </row>
    <row r="2" spans="1:14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4" ht="38.25" customHeight="1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86"/>
    </row>
    <row r="5" spans="1:14" ht="72" customHeight="1">
      <c r="A5" s="56" t="str">
        <v>Bullis</v>
      </c>
      <c r="B5" s="52" t="str">
        <v>NY</v>
      </c>
      <c r="C5" s="34"/>
      <c r="D5" s="35"/>
      <c r="E5" s="35" t="str">
        <f t="shared" ref="E5:E7" si="0">IF(AND(ISNUMBER(C5),ISNUMBER(D5)), C5-D5, "")</f>
        <v/>
      </c>
      <c r="F5" s="36" t="str">
        <f>IFERROR(E5/D5, "")</f>
        <v/>
      </c>
      <c r="G5" s="37"/>
      <c r="H5" s="37" t="str">
        <f t="shared" ref="H5:H12" si="1">IF(AND(ISNUMBER(C5),ISNUMBER(G5)), C5-G5, "")</f>
        <v/>
      </c>
      <c r="I5" s="36" t="str">
        <f t="shared" ref="I5:I6" si="2">IFERROR(H5/G5, "")</f>
        <v/>
      </c>
      <c r="J5" s="53"/>
      <c r="K5" s="88"/>
      <c r="L5" s="85"/>
      <c r="M5" s="85"/>
      <c r="N5" s="85"/>
    </row>
    <row r="6" spans="1:14" ht="38.25" customHeight="1">
      <c r="A6" s="55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86"/>
    </row>
    <row r="7" spans="1:14" ht="43.5" customHeight="1">
      <c r="A7" s="56" t="str">
        <v>Winslow - Roderick</v>
      </c>
      <c r="B7" s="52" t="str">
        <v>ME</v>
      </c>
      <c r="C7" s="34"/>
      <c r="D7" s="35"/>
      <c r="E7" s="35" t="str">
        <f t="shared" si="0"/>
        <v/>
      </c>
      <c r="F7" s="36" t="str">
        <f t="shared" ref="F7" si="4">IFERROR(E7/D7, "")</f>
        <v/>
      </c>
      <c r="G7" s="37"/>
      <c r="H7" s="37" t="str">
        <f t="shared" si="1"/>
        <v/>
      </c>
      <c r="I7" s="36" t="str">
        <f t="shared" ref="I7" si="5">IFERROR(H7/G7, "")</f>
        <v/>
      </c>
      <c r="J7" s="53"/>
      <c r="K7" s="88"/>
      <c r="L7" s="85"/>
      <c r="M7" s="85"/>
      <c r="N7" s="85"/>
    </row>
    <row r="8" spans="1:14" ht="112.5" customHeight="1">
      <c r="A8" s="55" t="str">
        <v>Minoa - Clemons Rd</v>
      </c>
      <c r="B8" s="49" t="str">
        <v>NY</v>
      </c>
      <c r="C8" s="27"/>
      <c r="D8" s="28"/>
      <c r="E8" s="28" t="str">
        <f>IF(AND(ISNUMBER(C8),ISNUMBER(D8)), C8-D8, "")</f>
        <v/>
      </c>
      <c r="F8" s="29" t="str">
        <f t="shared" ref="F8:F14" si="6">IFERROR(E8/D8, "")</f>
        <v/>
      </c>
      <c r="G8" s="30"/>
      <c r="H8" s="30" t="str">
        <f t="shared" si="1"/>
        <v/>
      </c>
      <c r="I8" s="31" t="str">
        <f t="shared" ref="I8:I14" si="7">IFERROR(H8/G8, "")</f>
        <v/>
      </c>
      <c r="J8" s="50"/>
      <c r="K8" s="86"/>
      <c r="L8" s="85"/>
      <c r="M8" s="83"/>
      <c r="N8" s="83"/>
    </row>
    <row r="9" spans="1:14" ht="19.5" customHeight="1">
      <c r="A9" s="56" t="str">
        <v>Manchester - Western</v>
      </c>
      <c r="B9" s="52" t="str">
        <v>ME</v>
      </c>
      <c r="C9" s="34"/>
      <c r="D9" s="35"/>
      <c r="E9" s="35" t="str">
        <f t="shared" ref="E9:E14" si="8">IF(AND(ISNUMBER(C9),ISNUMBER(D9)), C9-D9, "")</f>
        <v/>
      </c>
      <c r="F9" s="36" t="str">
        <f t="shared" si="6"/>
        <v/>
      </c>
      <c r="G9" s="37"/>
      <c r="H9" s="37" t="str">
        <f t="shared" si="1"/>
        <v/>
      </c>
      <c r="I9" s="36" t="str">
        <f t="shared" si="7"/>
        <v/>
      </c>
      <c r="J9" s="53"/>
      <c r="K9" s="88"/>
      <c r="L9" s="85"/>
      <c r="M9" s="85"/>
      <c r="N9" s="85"/>
    </row>
    <row r="10" spans="1:14" ht="20.25" customHeight="1">
      <c r="A10" s="55" t="str">
        <v>Batavia - Pike Rd</v>
      </c>
      <c r="B10" s="49" t="str">
        <v>NY</v>
      </c>
      <c r="C10" s="27"/>
      <c r="D10" s="28"/>
      <c r="E10" s="28" t="str">
        <f t="shared" si="8"/>
        <v/>
      </c>
      <c r="F10" s="29" t="str">
        <f t="shared" si="6"/>
        <v/>
      </c>
      <c r="G10" s="30"/>
      <c r="H10" s="30" t="str">
        <f t="shared" si="1"/>
        <v/>
      </c>
      <c r="I10" s="31" t="str">
        <f t="shared" si="7"/>
        <v/>
      </c>
      <c r="J10" s="50"/>
      <c r="K10" s="86"/>
      <c r="L10" s="85"/>
      <c r="M10" s="83"/>
      <c r="N10" s="83"/>
    </row>
    <row r="11" spans="1:14" ht="43.5" customHeight="1">
      <c r="A11" s="56" t="str">
        <v>Slayton A &amp; B</v>
      </c>
      <c r="B11" s="52" t="str">
        <v>NY</v>
      </c>
      <c r="C11" s="34"/>
      <c r="D11" s="35"/>
      <c r="E11" s="35" t="str">
        <f t="shared" si="8"/>
        <v/>
      </c>
      <c r="F11" s="36" t="str">
        <f t="shared" si="6"/>
        <v/>
      </c>
      <c r="G11" s="37"/>
      <c r="H11" s="37" t="str">
        <f t="shared" si="1"/>
        <v/>
      </c>
      <c r="I11" s="36" t="str">
        <f t="shared" si="7"/>
        <v/>
      </c>
      <c r="J11" s="59"/>
      <c r="K11" s="88"/>
      <c r="L11" s="85"/>
      <c r="M11" s="85"/>
      <c r="N11" s="85"/>
    </row>
    <row r="12" spans="1:14" ht="50.25" customHeight="1">
      <c r="A12" s="55" t="str">
        <v>Batavia - Alexander Rd</v>
      </c>
      <c r="B12" s="49" t="str">
        <v>NY</v>
      </c>
      <c r="C12" s="27"/>
      <c r="D12" s="28"/>
      <c r="E12" s="28" t="str">
        <f t="shared" si="8"/>
        <v/>
      </c>
      <c r="F12" s="36" t="str">
        <f t="shared" si="6"/>
        <v/>
      </c>
      <c r="G12" s="30"/>
      <c r="H12" s="30" t="str">
        <f t="shared" si="1"/>
        <v/>
      </c>
      <c r="I12" s="36" t="str">
        <f t="shared" si="7"/>
        <v/>
      </c>
      <c r="J12" s="50"/>
      <c r="K12" s="86"/>
      <c r="L12" s="83"/>
      <c r="M12" s="83"/>
      <c r="N12" s="83"/>
    </row>
    <row r="13" spans="1:14" ht="162" customHeight="1">
      <c r="A13" s="56" t="str">
        <v xml:space="preserve">NC: Gibson – Henry Gibson Solar </v>
      </c>
      <c r="B13" s="52" t="str">
        <v>NC</v>
      </c>
      <c r="C13" s="34"/>
      <c r="D13" s="35"/>
      <c r="E13" s="35" t="str">
        <f t="shared" si="8"/>
        <v/>
      </c>
      <c r="F13" s="36" t="str">
        <f t="shared" si="6"/>
        <v/>
      </c>
      <c r="G13" s="37"/>
      <c r="H13" s="37" t="str">
        <f t="shared" ref="H13:H14" si="9">IF(AND(ISNUMBER(C13),ISNUMBER(G13)), C13-G13, "")</f>
        <v/>
      </c>
      <c r="I13" s="36" t="str">
        <f t="shared" si="7"/>
        <v/>
      </c>
      <c r="J13" s="53"/>
      <c r="K13" s="88"/>
      <c r="L13" s="85"/>
      <c r="M13" s="85"/>
      <c r="N13" s="85"/>
    </row>
    <row r="14" spans="1:14" ht="15.6" customHeight="1">
      <c r="A14" s="55" t="str">
        <v>Bangor - Pushaw</v>
      </c>
      <c r="B14" s="49" t="str">
        <v>ME</v>
      </c>
      <c r="C14" s="27"/>
      <c r="D14" s="28"/>
      <c r="E14" s="28" t="str">
        <f t="shared" si="8"/>
        <v/>
      </c>
      <c r="F14" s="36" t="str">
        <f t="shared" si="6"/>
        <v/>
      </c>
      <c r="G14" s="30"/>
      <c r="H14" s="30" t="str">
        <f t="shared" si="9"/>
        <v/>
      </c>
      <c r="I14" s="36" t="str">
        <f t="shared" si="7"/>
        <v/>
      </c>
      <c r="J14" s="50"/>
      <c r="K14" s="86"/>
      <c r="L14" s="83"/>
      <c r="M14" s="83"/>
      <c r="N14" s="83"/>
    </row>
    <row r="15" spans="1:14" ht="14.45" customHeight="1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  <c r="L15" s="83"/>
      <c r="M15" s="83"/>
      <c r="N15" s="83"/>
    </row>
    <row r="16" spans="1:14" ht="14.45" customHeight="1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 customHeight="1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 customHeight="1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 customHeight="1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 customHeight="1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 customHeight="1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 customHeight="1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 customHeight="1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 customHeight="1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 customHeight="1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 customHeight="1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 customHeight="1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 customHeight="1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 customHeight="1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 customHeight="1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 customHeight="1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 customHeight="1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 customHeight="1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 customHeight="1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 customHeight="1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 customHeight="1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 customHeight="1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 customHeight="1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 customHeight="1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 customHeight="1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 customHeight="1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 customHeight="1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 customHeight="1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 customHeight="1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 customHeight="1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 customHeight="1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 customHeight="1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 customHeight="1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 customHeight="1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 customHeight="1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 customHeight="1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 customHeight="1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 customHeight="1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 customHeight="1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 customHeight="1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 customHeight="1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 customHeight="1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 customHeight="1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 customHeight="1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 customHeight="1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 customHeight="1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 customHeight="1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 customHeight="1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 customHeight="1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 customHeight="1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 customHeight="1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 customHeight="1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 customHeight="1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 customHeight="1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 customHeight="1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 customHeight="1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 customHeight="1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 customHeight="1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 customHeight="1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 customHeight="1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 customHeight="1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 customHeight="1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 customHeight="1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 customHeight="1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 customHeight="1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 customHeight="1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 customHeight="1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 customHeight="1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 customHeight="1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 customHeight="1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 customHeight="1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 customHeight="1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 customHeight="1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 customHeight="1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 customHeight="1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 customHeight="1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 customHeight="1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 customHeight="1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 customHeight="1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 customHeight="1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 customHeight="1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 customHeight="1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 customHeight="1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 customHeight="1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 customHeight="1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 customHeight="1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 customHeight="1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 customHeight="1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 customHeight="1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 customHeight="1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 customHeight="1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 customHeight="1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 customHeight="1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 customHeight="1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 customHeight="1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 customHeight="1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 customHeight="1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 customHeight="1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 customHeight="1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 customHeight="1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 customHeight="1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 customHeight="1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 customHeight="1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 customHeight="1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 customHeight="1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 customHeight="1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 customHeight="1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 customHeight="1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 customHeight="1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 customHeight="1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 customHeight="1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 customHeight="1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 customHeight="1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 customHeight="1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 customHeight="1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 customHeight="1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 customHeight="1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 customHeight="1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 customHeight="1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 customHeight="1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 customHeight="1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 customHeight="1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 customHeight="1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 customHeight="1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 customHeight="1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 customHeight="1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 customHeight="1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 customHeight="1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 customHeight="1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 customHeight="1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 customHeight="1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 customHeight="1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 customHeight="1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 customHeight="1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 customHeight="1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 customHeight="1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 customHeight="1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 customHeight="1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 customHeight="1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 customHeight="1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 customHeight="1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 customHeight="1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 customHeight="1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 customHeight="1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 customHeight="1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 customHeight="1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 customHeight="1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 customHeight="1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 customHeight="1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 customHeight="1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 customHeight="1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 customHeight="1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 customHeight="1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 customHeight="1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 customHeight="1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 customHeight="1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 customHeight="1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 customHeight="1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 customHeight="1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 customHeight="1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 customHeight="1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 customHeight="1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 customHeight="1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 customHeight="1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 customHeight="1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 customHeight="1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 customHeight="1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 customHeight="1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 customHeight="1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 customHeight="1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 customHeight="1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 customHeight="1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 customHeight="1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 customHeight="1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 customHeight="1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 customHeight="1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 customHeight="1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 customHeight="1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 customHeight="1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 customHeight="1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 customHeight="1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 customHeight="1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 customHeight="1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 customHeight="1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 customHeight="1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 customHeight="1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 customHeight="1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 customHeight="1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 customHeight="1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 customHeight="1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 customHeight="1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 customHeight="1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 customHeight="1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 customHeight="1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 customHeight="1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 customHeight="1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 customHeight="1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 customHeight="1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 customHeight="1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 customHeight="1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 customHeight="1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 customHeight="1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 customHeight="1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 customHeight="1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 customHeight="1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 customHeight="1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 customHeight="1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 customHeight="1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 customHeight="1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 customHeight="1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 customHeight="1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 customHeight="1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 customHeight="1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 customHeight="1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 customHeight="1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 customHeight="1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 customHeight="1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 customHeight="1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 customHeight="1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 customHeight="1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 customHeight="1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 customHeight="1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 customHeight="1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 customHeight="1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 customHeight="1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 customHeight="1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 customHeight="1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 customHeight="1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 customHeight="1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 customHeight="1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 customHeight="1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 customHeight="1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 customHeight="1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 customHeight="1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 customHeight="1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 customHeight="1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 customHeight="1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 customHeight="1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 customHeight="1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 customHeight="1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 customHeight="1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 customHeight="1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 customHeight="1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 customHeight="1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 customHeight="1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 customHeight="1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 customHeight="1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 customHeight="1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 customHeight="1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 customHeight="1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 customHeight="1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 customHeight="1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 customHeight="1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 customHeight="1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 customHeight="1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 customHeight="1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 customHeight="1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 customHeight="1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 customHeight="1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 customHeight="1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 customHeight="1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 customHeight="1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 customHeight="1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 customHeight="1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 customHeight="1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 customHeight="1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 customHeight="1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 customHeight="1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 customHeight="1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 customHeight="1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 customHeight="1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 customHeight="1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 customHeight="1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 customHeight="1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 customHeight="1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 customHeight="1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 customHeight="1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 customHeight="1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 customHeight="1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 customHeight="1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 customHeight="1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 customHeight="1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 customHeight="1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 customHeight="1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 customHeight="1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 customHeight="1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 customHeight="1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 customHeight="1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 customHeight="1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 customHeight="1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 customHeight="1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 customHeight="1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 customHeight="1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 customHeight="1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 customHeight="1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 customHeight="1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 customHeight="1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 customHeight="1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 customHeight="1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 customHeight="1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 customHeight="1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 customHeight="1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 customHeight="1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 customHeight="1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 customHeight="1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 customHeight="1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 customHeight="1">
      <c r="C322" s="9"/>
      <c r="D322" s="9"/>
      <c r="E322" s="9"/>
      <c r="F322" s="10"/>
      <c r="G322" s="9"/>
      <c r="H322" s="9"/>
      <c r="I322" s="10"/>
      <c r="J322" s="9"/>
      <c r="K322" s="9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Q322"/>
  <sheetViews>
    <sheetView zoomScale="70" zoomScaleNormal="70" workbookViewId="0">
      <pane xSplit="2" ySplit="3" topLeftCell="J8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83" customWidth="1"/>
    <col min="11" max="11" width="20.5703125" style="83" bestFit="1" customWidth="1"/>
  </cols>
  <sheetData>
    <row r="1" spans="1:17" ht="19.5" customHeight="1">
      <c r="A1" s="104" t="str" cm="1">
        <f t="array" ref="A1">portfolio</f>
        <v>Renewable Properties</v>
      </c>
      <c r="B1" s="104"/>
      <c r="C1" s="104"/>
      <c r="D1" s="105" t="s">
        <v>56</v>
      </c>
      <c r="E1" s="105"/>
      <c r="F1" s="105"/>
      <c r="G1" s="103" t="s">
        <v>57</v>
      </c>
      <c r="H1" s="103"/>
      <c r="I1" s="103"/>
      <c r="J1" s="96"/>
      <c r="K1" s="96"/>
    </row>
    <row r="2" spans="1:17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97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96"/>
    </row>
    <row r="3" spans="1:17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7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66"/>
      <c r="K4" s="66"/>
      <c r="L4" s="83"/>
      <c r="M4" s="83"/>
      <c r="N4" s="83"/>
      <c r="O4" s="83"/>
      <c r="P4" s="83"/>
      <c r="Q4" s="83"/>
    </row>
    <row r="5" spans="1:17" ht="15.6">
      <c r="A5" s="56" t="str">
        <v>Bullis</v>
      </c>
      <c r="B5" s="52" t="str">
        <v>NY</v>
      </c>
      <c r="C5" s="34"/>
      <c r="D5" s="35"/>
      <c r="E5" s="35" t="str">
        <f t="shared" ref="E5:E13" si="0">IF(AND(ISNUMBER(C5),ISNUMBER(D5)), C5-D5, "")</f>
        <v/>
      </c>
      <c r="F5" s="36" t="str">
        <f>IFERROR(E5/D5, "")</f>
        <v/>
      </c>
      <c r="G5" s="37"/>
      <c r="H5" s="37" t="str">
        <f t="shared" ref="H5:H7" si="1">IF(AND(ISNUMBER(C5),ISNUMBER(G5)), C5-G5, "")</f>
        <v/>
      </c>
      <c r="I5" s="36" t="str">
        <f t="shared" ref="I5:I7" si="2">IFERROR(H5/G5, "")</f>
        <v/>
      </c>
      <c r="J5" s="58"/>
      <c r="K5" s="80"/>
      <c r="L5" s="85"/>
      <c r="M5" s="83"/>
      <c r="N5" s="83"/>
      <c r="O5" s="83"/>
      <c r="P5" s="83"/>
      <c r="Q5" s="83"/>
    </row>
    <row r="6" spans="1:17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61" t="str">
        <f t="shared" ref="F6:F7" si="3">IFERROR(E6/D6, "")</f>
        <v/>
      </c>
      <c r="G6" s="30"/>
      <c r="H6" s="30" t="str">
        <f t="shared" si="1"/>
        <v/>
      </c>
      <c r="I6" s="31" t="str">
        <f t="shared" si="2"/>
        <v/>
      </c>
      <c r="J6" s="66"/>
      <c r="K6" s="81"/>
      <c r="L6" s="85"/>
      <c r="M6" s="85"/>
      <c r="N6" s="85"/>
      <c r="O6" s="85"/>
      <c r="P6" s="83"/>
      <c r="Q6" s="83"/>
    </row>
    <row r="7" spans="1:17" ht="15.6">
      <c r="A7" s="64" t="str">
        <v>Winslow - Roderick</v>
      </c>
      <c r="B7" s="65" t="str">
        <v>ME</v>
      </c>
      <c r="C7" s="62"/>
      <c r="D7" s="62"/>
      <c r="E7" s="62" t="str">
        <f t="shared" si="0"/>
        <v/>
      </c>
      <c r="F7" s="61" t="str">
        <f t="shared" si="3"/>
        <v/>
      </c>
      <c r="G7" s="62"/>
      <c r="H7" s="37" t="str">
        <f t="shared" si="1"/>
        <v/>
      </c>
      <c r="I7" s="31" t="str">
        <f t="shared" si="2"/>
        <v/>
      </c>
      <c r="J7" s="98"/>
      <c r="K7" s="98"/>
      <c r="L7" s="83"/>
      <c r="M7" s="83"/>
      <c r="N7" s="83"/>
      <c r="O7" s="83"/>
      <c r="P7" s="83"/>
      <c r="Q7" s="83"/>
    </row>
    <row r="8" spans="1:17" ht="15.6">
      <c r="A8" s="55" t="str">
        <v>Minoa - Clemons Rd</v>
      </c>
      <c r="B8" s="49" t="str">
        <v>NY</v>
      </c>
      <c r="C8" s="27"/>
      <c r="D8" s="28"/>
      <c r="E8" s="28" t="str">
        <f t="shared" ref="E8:E14" si="4">IF(AND(ISNUMBER(C8),ISNUMBER(D8)), C8-D8, "")</f>
        <v/>
      </c>
      <c r="F8" s="29" t="str">
        <f t="shared" ref="F8:F14" si="5">IFERROR(E8/D8, "")</f>
        <v/>
      </c>
      <c r="G8" s="30"/>
      <c r="H8" s="30" t="str">
        <f t="shared" ref="H8:H14" si="6">IF(AND(ISNUMBER(C8),ISNUMBER(G8)), C8-G8, "")</f>
        <v/>
      </c>
      <c r="I8" s="31" t="str">
        <f t="shared" ref="I8:I14" si="7">IFERROR(H8/G8, "")</f>
        <v/>
      </c>
      <c r="J8" s="66"/>
      <c r="K8" s="81"/>
      <c r="L8" s="83"/>
      <c r="M8" s="83"/>
      <c r="N8" s="83"/>
      <c r="O8" s="83"/>
      <c r="P8" s="83"/>
      <c r="Q8" s="83"/>
    </row>
    <row r="9" spans="1:17" ht="15.6">
      <c r="A9" s="56" t="str">
        <v>Manchester - Western</v>
      </c>
      <c r="B9" s="52" t="str">
        <v>ME</v>
      </c>
      <c r="C9" s="34"/>
      <c r="D9" s="35"/>
      <c r="E9" s="62" t="str">
        <f t="shared" si="0"/>
        <v/>
      </c>
      <c r="F9" s="36" t="str">
        <f t="shared" si="5"/>
        <v/>
      </c>
      <c r="G9" s="37"/>
      <c r="H9" s="37" t="str">
        <f t="shared" si="6"/>
        <v/>
      </c>
      <c r="I9" s="36" t="str">
        <f t="shared" si="7"/>
        <v/>
      </c>
      <c r="J9" s="58"/>
      <c r="K9" s="80"/>
      <c r="L9" s="83"/>
      <c r="M9" s="83"/>
      <c r="N9" s="83"/>
      <c r="O9" s="83"/>
      <c r="P9" s="83"/>
      <c r="Q9" s="83"/>
    </row>
    <row r="10" spans="1:17" ht="15.6">
      <c r="A10" s="55" t="str">
        <v>Batavia - Pike Rd</v>
      </c>
      <c r="B10" s="49" t="str">
        <v>NY</v>
      </c>
      <c r="C10" s="27"/>
      <c r="D10" s="28"/>
      <c r="E10" s="28" t="str">
        <f t="shared" si="4"/>
        <v/>
      </c>
      <c r="F10" s="29" t="str">
        <f t="shared" si="5"/>
        <v/>
      </c>
      <c r="G10" s="30"/>
      <c r="H10" s="30" t="str">
        <f t="shared" si="6"/>
        <v/>
      </c>
      <c r="I10" s="31" t="str">
        <f t="shared" si="7"/>
        <v/>
      </c>
      <c r="J10" s="66"/>
      <c r="K10" s="81"/>
      <c r="L10" s="83"/>
      <c r="M10" s="83"/>
      <c r="N10" s="83"/>
      <c r="O10" s="83"/>
      <c r="P10" s="83"/>
      <c r="Q10" s="83"/>
    </row>
    <row r="11" spans="1:17" ht="15.6">
      <c r="A11" s="56" t="str">
        <v>Slayton A &amp; B</v>
      </c>
      <c r="B11" s="52" t="str">
        <v>NY</v>
      </c>
      <c r="C11" s="34"/>
      <c r="D11" s="35"/>
      <c r="E11" s="62" t="str">
        <f t="shared" si="0"/>
        <v/>
      </c>
      <c r="F11" s="36" t="str">
        <f t="shared" si="5"/>
        <v/>
      </c>
      <c r="G11" s="37"/>
      <c r="H11" s="37" t="str">
        <f t="shared" si="6"/>
        <v/>
      </c>
      <c r="I11" s="36" t="str">
        <f t="shared" si="7"/>
        <v/>
      </c>
      <c r="J11" s="58"/>
      <c r="K11" s="80"/>
      <c r="L11" s="85"/>
      <c r="M11" s="83"/>
      <c r="N11" s="83"/>
      <c r="O11" s="83"/>
      <c r="P11" s="83"/>
      <c r="Q11" s="83"/>
    </row>
    <row r="12" spans="1:17" ht="15.6">
      <c r="A12" s="55" t="str">
        <v>Batavia - Alexander Rd</v>
      </c>
      <c r="B12" s="49" t="str">
        <v>NY</v>
      </c>
      <c r="C12" s="27"/>
      <c r="D12" s="28"/>
      <c r="E12" s="28" t="str">
        <f t="shared" si="4"/>
        <v/>
      </c>
      <c r="F12" s="29" t="str">
        <f t="shared" si="5"/>
        <v/>
      </c>
      <c r="G12" s="30"/>
      <c r="H12" s="30" t="str">
        <f t="shared" si="6"/>
        <v/>
      </c>
      <c r="I12" s="31" t="str">
        <f t="shared" si="7"/>
        <v/>
      </c>
      <c r="J12" s="66"/>
      <c r="K12" s="81"/>
      <c r="L12" s="83"/>
      <c r="M12" s="83"/>
      <c r="N12" s="83"/>
      <c r="O12" s="83"/>
      <c r="P12" s="83"/>
      <c r="Q12" s="83"/>
    </row>
    <row r="13" spans="1:17" ht="15.6">
      <c r="A13" s="56" t="str">
        <v xml:space="preserve">NC: Gibson – Henry Gibson Solar </v>
      </c>
      <c r="B13" s="52" t="str">
        <v>NC</v>
      </c>
      <c r="C13" s="34"/>
      <c r="D13" s="35"/>
      <c r="E13" s="62" t="str">
        <f t="shared" si="0"/>
        <v/>
      </c>
      <c r="F13" s="36" t="str">
        <f t="shared" si="5"/>
        <v/>
      </c>
      <c r="G13" s="37"/>
      <c r="H13" s="37" t="str">
        <f t="shared" si="6"/>
        <v/>
      </c>
      <c r="I13" s="36" t="str">
        <f t="shared" si="7"/>
        <v/>
      </c>
      <c r="J13" s="58"/>
      <c r="K13" s="80"/>
      <c r="L13" s="85"/>
      <c r="M13" s="85"/>
      <c r="N13" s="85"/>
      <c r="O13" s="85"/>
      <c r="P13" s="83"/>
      <c r="Q13" s="83"/>
    </row>
    <row r="14" spans="1:17" ht="15.6">
      <c r="A14" s="55" t="str">
        <v>Bangor - Pushaw</v>
      </c>
      <c r="B14" s="49" t="str">
        <v>ME</v>
      </c>
      <c r="C14" s="27"/>
      <c r="D14" s="28"/>
      <c r="E14" s="28" t="str">
        <f t="shared" si="4"/>
        <v/>
      </c>
      <c r="F14" s="29" t="str">
        <f t="shared" si="5"/>
        <v/>
      </c>
      <c r="G14" s="30"/>
      <c r="H14" s="30" t="str">
        <f t="shared" si="6"/>
        <v/>
      </c>
      <c r="I14" s="31" t="str">
        <f t="shared" si="7"/>
        <v/>
      </c>
      <c r="J14" s="66"/>
      <c r="K14" s="81"/>
      <c r="L14" s="83"/>
      <c r="M14" s="83"/>
      <c r="N14" s="83"/>
      <c r="O14" s="83"/>
      <c r="P14" s="83"/>
      <c r="Q14" s="83"/>
    </row>
    <row r="15" spans="1:17" ht="14.45">
      <c r="A15" s="9"/>
      <c r="B15" s="14"/>
      <c r="C15" s="9"/>
      <c r="D15" s="9"/>
      <c r="E15" s="9"/>
      <c r="F15" s="10"/>
      <c r="G15" s="9"/>
      <c r="H15" s="9"/>
      <c r="I15" s="10"/>
      <c r="J15" s="99"/>
      <c r="K15" s="99"/>
    </row>
    <row r="16" spans="1:17" ht="14.45">
      <c r="A16" s="9"/>
      <c r="B16" s="14"/>
      <c r="C16" s="9"/>
      <c r="D16" s="9"/>
      <c r="E16" s="9"/>
      <c r="F16" s="10"/>
      <c r="G16" s="9"/>
      <c r="H16" s="9"/>
      <c r="I16" s="10"/>
      <c r="J16" s="99"/>
      <c r="K16" s="9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9"/>
      <c r="K17" s="9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9"/>
      <c r="K18" s="9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9"/>
      <c r="K19" s="9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9"/>
      <c r="K20" s="9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9"/>
      <c r="K21" s="9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9"/>
      <c r="K22" s="9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9"/>
      <c r="K23" s="9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9"/>
      <c r="K24" s="9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9"/>
      <c r="K25" s="9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9"/>
      <c r="K26" s="9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9"/>
      <c r="K27" s="9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9"/>
      <c r="K28" s="9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9"/>
      <c r="K29" s="9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9"/>
      <c r="K30" s="9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9"/>
      <c r="K31" s="9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9"/>
      <c r="K32" s="9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9"/>
      <c r="K33" s="9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9"/>
      <c r="K34" s="9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9"/>
      <c r="K35" s="9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9"/>
      <c r="K36" s="9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9"/>
      <c r="K37" s="9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9"/>
      <c r="K38" s="9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9"/>
      <c r="K39" s="9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9"/>
      <c r="K40" s="9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9"/>
      <c r="K41" s="9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9"/>
      <c r="K42" s="9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9"/>
      <c r="K43" s="9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9"/>
      <c r="K44" s="9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9"/>
      <c r="K45" s="9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9"/>
      <c r="K46" s="9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9"/>
      <c r="K47" s="9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9"/>
      <c r="K48" s="9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9"/>
      <c r="K49" s="9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9"/>
      <c r="K50" s="9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9"/>
      <c r="K51" s="9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9"/>
      <c r="K52" s="9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9"/>
      <c r="K53" s="9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9"/>
      <c r="K54" s="9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9"/>
      <c r="K55" s="9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9"/>
      <c r="K56" s="9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9"/>
      <c r="K57" s="9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9"/>
      <c r="K58" s="9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9"/>
      <c r="K59" s="9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9"/>
      <c r="K60" s="9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9"/>
      <c r="K61" s="9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9"/>
      <c r="K62" s="9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9"/>
      <c r="K63" s="9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9"/>
      <c r="K64" s="9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9"/>
      <c r="K65" s="9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9"/>
      <c r="K66" s="9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9"/>
      <c r="K67" s="9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9"/>
      <c r="K68" s="9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9"/>
      <c r="K69" s="9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9"/>
      <c r="K70" s="9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9"/>
      <c r="K71" s="9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9"/>
      <c r="K72" s="9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9"/>
      <c r="K73" s="9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9"/>
      <c r="K74" s="9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9"/>
      <c r="K75" s="9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9"/>
      <c r="K76" s="9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9"/>
      <c r="K77" s="9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9"/>
      <c r="K78" s="9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9"/>
      <c r="K79" s="9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9"/>
      <c r="K80" s="9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9"/>
      <c r="K81" s="9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9"/>
      <c r="K82" s="9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9"/>
      <c r="K83" s="9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9"/>
      <c r="K84" s="9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9"/>
      <c r="K85" s="9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9"/>
      <c r="K86" s="9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9"/>
      <c r="K87" s="9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9"/>
      <c r="K88" s="9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9"/>
      <c r="K89" s="9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9"/>
      <c r="K90" s="9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9"/>
      <c r="K91" s="9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9"/>
      <c r="K92" s="9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9"/>
      <c r="K93" s="9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9"/>
      <c r="K94" s="9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9"/>
      <c r="K95" s="9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9"/>
      <c r="K96" s="9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9"/>
      <c r="K97" s="9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9"/>
      <c r="K98" s="9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9"/>
      <c r="K99" s="9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9"/>
      <c r="K100" s="9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9"/>
      <c r="K101" s="9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9"/>
      <c r="K102" s="9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9"/>
      <c r="K103" s="9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9"/>
      <c r="K104" s="9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9"/>
      <c r="K105" s="9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9"/>
      <c r="K106" s="9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9"/>
      <c r="K107" s="9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9"/>
      <c r="K108" s="9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9"/>
      <c r="K109" s="9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9"/>
      <c r="K110" s="9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9"/>
      <c r="K111" s="9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9"/>
      <c r="K112" s="9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9"/>
      <c r="K113" s="9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9"/>
      <c r="K114" s="9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9"/>
      <c r="K115" s="9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9"/>
      <c r="K116" s="9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9"/>
      <c r="K117" s="9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9"/>
      <c r="K118" s="9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9"/>
      <c r="K119" s="9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9"/>
      <c r="K120" s="9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9"/>
      <c r="K121" s="9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9"/>
      <c r="K122" s="9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9"/>
      <c r="K123" s="9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9"/>
      <c r="K124" s="9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9"/>
      <c r="K125" s="9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9"/>
      <c r="K126" s="9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9"/>
      <c r="K127" s="9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9"/>
      <c r="K128" s="9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9"/>
      <c r="K129" s="9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9"/>
      <c r="K130" s="9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9"/>
      <c r="K131" s="9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9"/>
      <c r="K132" s="9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9"/>
      <c r="K133" s="9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9"/>
      <c r="K134" s="9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9"/>
      <c r="K135" s="9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9"/>
      <c r="K136" s="9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9"/>
      <c r="K137" s="9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9"/>
      <c r="K138" s="9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9"/>
      <c r="K139" s="9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9"/>
      <c r="K140" s="9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9"/>
      <c r="K141" s="9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9"/>
      <c r="K142" s="9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9"/>
      <c r="K143" s="9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9"/>
      <c r="K144" s="9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9"/>
      <c r="K145" s="9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9"/>
      <c r="K146" s="9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9"/>
      <c r="K147" s="9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9"/>
      <c r="K148" s="9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9"/>
      <c r="K149" s="9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9"/>
      <c r="K150" s="9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9"/>
      <c r="K151" s="9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9"/>
      <c r="K152" s="9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9"/>
      <c r="K153" s="9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9"/>
      <c r="K154" s="9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9"/>
      <c r="K155" s="9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9"/>
      <c r="K156" s="9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9"/>
      <c r="K157" s="9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9"/>
      <c r="K158" s="9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9"/>
      <c r="K159" s="9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9"/>
      <c r="K160" s="9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9"/>
      <c r="K161" s="9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9"/>
      <c r="K162" s="9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9"/>
      <c r="K163" s="9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9"/>
      <c r="K164" s="9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9"/>
      <c r="K165" s="9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9"/>
      <c r="K166" s="9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9"/>
      <c r="K167" s="9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9"/>
      <c r="K168" s="9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9"/>
      <c r="K169" s="9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9"/>
      <c r="K170" s="9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9"/>
      <c r="K171" s="9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9"/>
      <c r="K172" s="9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9"/>
      <c r="K173" s="9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9"/>
      <c r="K174" s="9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9"/>
      <c r="K175" s="9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9"/>
      <c r="K176" s="9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9"/>
      <c r="K177" s="9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9"/>
      <c r="K178" s="9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9"/>
      <c r="K179" s="9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9"/>
      <c r="K180" s="9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9"/>
      <c r="K181" s="9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9"/>
      <c r="K182" s="9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9"/>
      <c r="K183" s="9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9"/>
      <c r="K184" s="9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9"/>
      <c r="K185" s="9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9"/>
      <c r="K186" s="9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9"/>
      <c r="K187" s="9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9"/>
      <c r="K188" s="9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9"/>
      <c r="K189" s="9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9"/>
      <c r="K190" s="9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9"/>
      <c r="K191" s="9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9"/>
      <c r="K192" s="9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9"/>
      <c r="K193" s="9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9"/>
      <c r="K194" s="9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9"/>
      <c r="K195" s="9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9"/>
      <c r="K196" s="9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9"/>
      <c r="K197" s="9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9"/>
      <c r="K198" s="9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9"/>
      <c r="K199" s="9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9"/>
      <c r="K200" s="9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9"/>
      <c r="K201" s="9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9"/>
      <c r="K202" s="9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9"/>
      <c r="K203" s="9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9"/>
      <c r="K204" s="9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9"/>
      <c r="K205" s="9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9"/>
      <c r="K206" s="9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9"/>
      <c r="K207" s="9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9"/>
      <c r="K208" s="9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9"/>
      <c r="K209" s="9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9"/>
      <c r="K210" s="9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9"/>
      <c r="K211" s="9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9"/>
      <c r="K212" s="9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9"/>
      <c r="K213" s="9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9"/>
      <c r="K214" s="9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9"/>
      <c r="K215" s="9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9"/>
      <c r="K216" s="9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9"/>
      <c r="K217" s="9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9"/>
      <c r="K218" s="9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9"/>
      <c r="K219" s="9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9"/>
      <c r="K220" s="9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9"/>
      <c r="K221" s="9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9"/>
      <c r="K222" s="9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9"/>
      <c r="K223" s="9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9"/>
      <c r="K224" s="9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9"/>
      <c r="K225" s="9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9"/>
      <c r="K226" s="9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9"/>
      <c r="K227" s="9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9"/>
      <c r="K228" s="9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9"/>
      <c r="K229" s="9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9"/>
      <c r="K230" s="9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9"/>
      <c r="K231" s="9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9"/>
      <c r="K232" s="9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9"/>
      <c r="K233" s="9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9"/>
      <c r="K234" s="9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9"/>
      <c r="K235" s="9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9"/>
      <c r="K236" s="9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9"/>
      <c r="K237" s="9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9"/>
      <c r="K238" s="9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9"/>
      <c r="K239" s="9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9"/>
      <c r="K240" s="9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9"/>
      <c r="K241" s="9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9"/>
      <c r="K242" s="9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9"/>
      <c r="K243" s="9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9"/>
      <c r="K244" s="9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9"/>
      <c r="K245" s="9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9"/>
      <c r="K246" s="9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9"/>
      <c r="K247" s="9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9"/>
      <c r="K248" s="9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9"/>
      <c r="K249" s="9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9"/>
      <c r="K250" s="9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9"/>
      <c r="K251" s="9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9"/>
      <c r="K252" s="9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9"/>
      <c r="K253" s="9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9"/>
      <c r="K254" s="9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9"/>
      <c r="K255" s="9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9"/>
      <c r="K256" s="9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9"/>
      <c r="K257" s="9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9"/>
      <c r="K258" s="9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9"/>
      <c r="K259" s="9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9"/>
      <c r="K260" s="9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9"/>
      <c r="K261" s="9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9"/>
      <c r="K262" s="9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9"/>
      <c r="K263" s="9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9"/>
      <c r="K264" s="9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9"/>
      <c r="K265" s="9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9"/>
      <c r="K266" s="9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9"/>
      <c r="K267" s="9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9"/>
      <c r="K268" s="9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9"/>
      <c r="K269" s="9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9"/>
      <c r="K270" s="9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9"/>
      <c r="K271" s="9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9"/>
      <c r="K272" s="9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9"/>
      <c r="K273" s="9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9"/>
      <c r="K274" s="9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9"/>
      <c r="K275" s="9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9"/>
      <c r="K276" s="9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9"/>
      <c r="K277" s="9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9"/>
      <c r="K278" s="9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9"/>
      <c r="K279" s="9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9"/>
      <c r="K280" s="9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9"/>
      <c r="K281" s="9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9"/>
      <c r="K282" s="9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9"/>
      <c r="K283" s="9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9"/>
      <c r="K284" s="9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9"/>
      <c r="K285" s="9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9"/>
      <c r="K286" s="9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9"/>
      <c r="K287" s="9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9"/>
      <c r="K288" s="9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9"/>
      <c r="K289" s="9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9"/>
      <c r="K290" s="9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9"/>
      <c r="K291" s="9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9"/>
      <c r="K292" s="9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9"/>
      <c r="K293" s="9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9"/>
      <c r="K294" s="9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9"/>
      <c r="K295" s="9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9"/>
      <c r="K296" s="9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9"/>
      <c r="K297" s="9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9"/>
      <c r="K298" s="9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9"/>
      <c r="K299" s="9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9"/>
      <c r="K300" s="9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9"/>
      <c r="K301" s="9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9"/>
      <c r="K302" s="9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9"/>
      <c r="K303" s="9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9"/>
      <c r="K304" s="9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9"/>
      <c r="K305" s="9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9"/>
      <c r="K306" s="9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9"/>
      <c r="K307" s="9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9"/>
      <c r="K308" s="9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9"/>
      <c r="K309" s="9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9"/>
      <c r="K310" s="9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9"/>
      <c r="K311" s="9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9"/>
      <c r="K312" s="9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9"/>
      <c r="K313" s="9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9"/>
      <c r="K314" s="9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9"/>
      <c r="K315" s="9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9"/>
      <c r="K316" s="9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9"/>
      <c r="K317" s="9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9"/>
      <c r="K318" s="9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9"/>
      <c r="K319" s="9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9"/>
      <c r="K320" s="9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9"/>
      <c r="K321" s="99"/>
    </row>
    <row r="322" spans="1:11" ht="14.45">
      <c r="C322" s="9"/>
      <c r="D322" s="9"/>
      <c r="E322" s="9"/>
      <c r="F322" s="10"/>
      <c r="G322" s="9"/>
      <c r="H322" s="9"/>
      <c r="I322" s="10"/>
      <c r="J322" s="99"/>
      <c r="K322" s="99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AJ322"/>
  <sheetViews>
    <sheetView zoomScale="70" zoomScaleNormal="7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36" width="8.85546875" style="83"/>
  </cols>
  <sheetData>
    <row r="1" spans="1:16" ht="19.5" customHeight="1">
      <c r="A1" s="104" t="str" cm="1">
        <f t="array" ref="A1">portfolio</f>
        <v>Renewable Properties</v>
      </c>
      <c r="B1" s="104"/>
      <c r="C1" s="104"/>
      <c r="D1" s="105" t="s">
        <v>58</v>
      </c>
      <c r="E1" s="105"/>
      <c r="F1" s="105"/>
      <c r="G1" s="103" t="s">
        <v>59</v>
      </c>
      <c r="H1" s="103"/>
      <c r="I1" s="103"/>
      <c r="J1" s="4"/>
      <c r="K1" s="4"/>
    </row>
    <row r="2" spans="1:16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6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6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100"/>
      <c r="L5" s="85"/>
    </row>
    <row r="6" spans="1:16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66"/>
      <c r="K6" s="86"/>
      <c r="L6" s="85"/>
      <c r="M6" s="85"/>
      <c r="N6" s="85"/>
      <c r="O6" s="85"/>
      <c r="P6" s="85"/>
    </row>
    <row r="7" spans="1:16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:H13" si="6">IF(AND(ISNUMBER(C7),ISNUMBER(G7)), C7-G7, "")</f>
        <v/>
      </c>
      <c r="I7" s="36" t="str">
        <f t="shared" ref="I7:I13" si="7">IFERROR(H7/G7, "")</f>
        <v/>
      </c>
      <c r="J7" s="53"/>
      <c r="K7" s="53"/>
    </row>
    <row r="8" spans="1:16" ht="15.6">
      <c r="A8" s="57" t="str">
        <v>Minoa - Clemons Rd</v>
      </c>
      <c r="B8" s="49" t="str">
        <v>NY</v>
      </c>
      <c r="C8" s="27"/>
      <c r="D8" s="28"/>
      <c r="E8" s="28" t="str">
        <f t="shared" ref="E8:E15" si="8">IF(AND(ISNUMBER(C8),ISNUMBER(D8)), C8-D8, "")</f>
        <v/>
      </c>
      <c r="F8" s="29" t="str">
        <f t="shared" ref="F8:F14" si="9">IFERROR(E8/D8, "")</f>
        <v/>
      </c>
      <c r="G8" s="30"/>
      <c r="H8" s="30" t="str">
        <f t="shared" ref="H8:H14" si="10">IF(AND(ISNUMBER(C8),ISNUMBER(G8)), C8-G8, "")</f>
        <v/>
      </c>
      <c r="I8" s="31" t="str">
        <f t="shared" ref="I8:I14" si="11">IFERROR(H8/G8, "")</f>
        <v/>
      </c>
      <c r="J8" s="66"/>
      <c r="K8" s="86"/>
    </row>
    <row r="9" spans="1:16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6"/>
        <v/>
      </c>
      <c r="I9" s="36" t="str">
        <f t="shared" si="7"/>
        <v/>
      </c>
      <c r="J9" s="53"/>
      <c r="K9" s="53"/>
    </row>
    <row r="10" spans="1:16" ht="15.6">
      <c r="A10" s="57" t="str">
        <v>Batavia - Pike Rd</v>
      </c>
      <c r="B10" s="49" t="str">
        <v>NY</v>
      </c>
      <c r="C10" s="27"/>
      <c r="D10" s="28"/>
      <c r="E10" s="28" t="str">
        <f t="shared" si="8"/>
        <v/>
      </c>
      <c r="F10" s="29" t="str">
        <f t="shared" si="9"/>
        <v/>
      </c>
      <c r="G10" s="30"/>
      <c r="H10" s="30" t="str">
        <f t="shared" si="10"/>
        <v/>
      </c>
      <c r="I10" s="31" t="str">
        <f t="shared" si="11"/>
        <v/>
      </c>
      <c r="J10" s="66"/>
      <c r="K10" s="86"/>
      <c r="L10" s="85"/>
    </row>
    <row r="11" spans="1:16" ht="15.6">
      <c r="A11" s="56" t="str">
        <v>Slayton A &amp; B</v>
      </c>
      <c r="B11" s="52" t="str">
        <v>NY</v>
      </c>
      <c r="C11" s="34"/>
      <c r="D11" s="35"/>
      <c r="E11" s="35" t="str">
        <f t="shared" si="8"/>
        <v/>
      </c>
      <c r="F11" s="36" t="str">
        <f t="shared" si="9"/>
        <v/>
      </c>
      <c r="G11" s="37"/>
      <c r="H11" s="37" t="str">
        <f t="shared" si="6"/>
        <v/>
      </c>
      <c r="I11" s="36" t="str">
        <f t="shared" si="7"/>
        <v/>
      </c>
      <c r="J11" s="53"/>
      <c r="K11" s="88"/>
    </row>
    <row r="12" spans="1:16" ht="15.6">
      <c r="A12" s="57" t="str">
        <v>Batavia - Alexander Rd</v>
      </c>
      <c r="B12" s="49" t="str">
        <v>NY</v>
      </c>
      <c r="C12" s="27"/>
      <c r="D12" s="28"/>
      <c r="E12" s="28" t="str">
        <f t="shared" si="8"/>
        <v/>
      </c>
      <c r="F12" s="29" t="str">
        <f t="shared" si="9"/>
        <v/>
      </c>
      <c r="G12" s="30"/>
      <c r="H12" s="30" t="str">
        <f t="shared" si="10"/>
        <v/>
      </c>
      <c r="I12" s="31" t="str">
        <f t="shared" si="11"/>
        <v/>
      </c>
      <c r="J12" s="66"/>
      <c r="K12" s="86"/>
    </row>
    <row r="13" spans="1:16" ht="15.6">
      <c r="A13" s="56" t="str">
        <v xml:space="preserve">NC: Gibson – Henry Gibson Solar </v>
      </c>
      <c r="B13" s="52" t="str">
        <v>NC</v>
      </c>
      <c r="C13" s="34"/>
      <c r="D13" s="35"/>
      <c r="E13" s="35" t="str">
        <f t="shared" si="8"/>
        <v/>
      </c>
      <c r="F13" s="36" t="str">
        <f t="shared" si="9"/>
        <v/>
      </c>
      <c r="G13" s="37"/>
      <c r="H13" s="37" t="str">
        <f t="shared" si="6"/>
        <v/>
      </c>
      <c r="I13" s="36" t="str">
        <f t="shared" si="7"/>
        <v/>
      </c>
      <c r="J13" s="53"/>
      <c r="K13" s="80"/>
      <c r="L13" s="85"/>
    </row>
    <row r="14" spans="1:16" ht="15.6">
      <c r="A14" s="57" t="str">
        <v>Bangor - Pushaw</v>
      </c>
      <c r="B14" s="49" t="str">
        <v>ME</v>
      </c>
      <c r="C14" s="27"/>
      <c r="D14" s="28"/>
      <c r="E14" s="28" t="str">
        <f t="shared" si="8"/>
        <v/>
      </c>
      <c r="F14" s="29" t="str">
        <f t="shared" si="9"/>
        <v/>
      </c>
      <c r="G14" s="30"/>
      <c r="H14" s="30" t="str">
        <f t="shared" si="10"/>
        <v/>
      </c>
      <c r="I14" s="31" t="str">
        <f t="shared" si="11"/>
        <v/>
      </c>
      <c r="J14" s="66"/>
      <c r="K14" s="86"/>
    </row>
    <row r="15" spans="1:16" ht="14.45">
      <c r="A15" s="9"/>
      <c r="B15" s="14"/>
      <c r="C15" s="9"/>
      <c r="D15" s="9"/>
      <c r="E15" s="35" t="str">
        <f t="shared" si="8"/>
        <v/>
      </c>
      <c r="F15" s="10"/>
      <c r="G15" s="9"/>
      <c r="H15" s="9"/>
      <c r="I15" s="10"/>
      <c r="J15" s="9"/>
      <c r="K15" s="9"/>
    </row>
    <row r="16" spans="1:16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22"/>
  <sheetViews>
    <sheetView zoomScale="70" zoomScaleNormal="7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28515625" customWidth="1"/>
  </cols>
  <sheetData>
    <row r="1" spans="1:12" ht="19.5" customHeight="1">
      <c r="A1" s="104" t="str" cm="1">
        <f t="array" ref="A1">portfolio</f>
        <v>Renewable Properties</v>
      </c>
      <c r="B1" s="104"/>
      <c r="C1" s="104"/>
      <c r="D1" s="105" t="s">
        <v>60</v>
      </c>
      <c r="E1" s="105"/>
      <c r="F1" s="105"/>
      <c r="G1" s="103" t="s">
        <v>61</v>
      </c>
      <c r="H1" s="103"/>
      <c r="I1" s="103"/>
      <c r="J1" s="4"/>
      <c r="K1" s="4"/>
    </row>
    <row r="2" spans="1:12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  <c r="L3" s="46" t="s">
        <v>22</v>
      </c>
    </row>
    <row r="4" spans="1:12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66"/>
      <c r="K4" s="86"/>
      <c r="L4" s="50"/>
    </row>
    <row r="5" spans="1:12" ht="15.6">
      <c r="A5" s="56" t="str">
        <v>Bullis</v>
      </c>
      <c r="B5" s="52" t="str">
        <v>NY</v>
      </c>
      <c r="C5" s="34"/>
      <c r="D5" s="35"/>
      <c r="E5" s="35" t="str">
        <f t="shared" ref="E5:E14" si="0">IF(AND(ISNUMBER(C5),ISNUMBER(D5)), C5-D5, "")</f>
        <v/>
      </c>
      <c r="F5" s="36" t="str">
        <f>IFERROR(E5/D5, "")</f>
        <v/>
      </c>
      <c r="G5" s="37"/>
      <c r="H5" s="37" t="str">
        <f t="shared" ref="H5:H14" si="1">IF(AND(ISNUMBER(C5),ISNUMBER(G5)), C5-G5, "")</f>
        <v/>
      </c>
      <c r="I5" s="36" t="str">
        <f t="shared" ref="I5:I14" si="2">IFERROR(H5/G5, "")</f>
        <v/>
      </c>
      <c r="J5" s="58"/>
      <c r="K5" s="80"/>
      <c r="L5" s="58"/>
    </row>
    <row r="6" spans="1:12" ht="26.65" customHeight="1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:F14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86"/>
      <c r="L6" s="50"/>
    </row>
    <row r="7" spans="1:12" ht="15.6">
      <c r="A7" s="56" t="str">
        <v>Winslow - Roderick</v>
      </c>
      <c r="B7" s="52" t="str">
        <v>ME</v>
      </c>
      <c r="C7" s="34"/>
      <c r="D7" s="35"/>
      <c r="E7" s="35" t="str">
        <f t="shared" si="0"/>
        <v/>
      </c>
      <c r="F7" s="36" t="str">
        <f t="shared" si="3"/>
        <v/>
      </c>
      <c r="G7" s="37"/>
      <c r="H7" s="37" t="str">
        <f t="shared" si="1"/>
        <v/>
      </c>
      <c r="I7" s="36" t="str">
        <f t="shared" si="2"/>
        <v/>
      </c>
      <c r="J7" s="53"/>
      <c r="K7" s="100"/>
      <c r="L7" s="53"/>
    </row>
    <row r="8" spans="1:12" ht="36.75" customHeight="1">
      <c r="A8" s="57" t="str">
        <v>Minoa - Clemons Rd</v>
      </c>
      <c r="B8" s="49" t="str">
        <v>NY</v>
      </c>
      <c r="C8" s="27"/>
      <c r="D8" s="28"/>
      <c r="E8" s="28" t="str">
        <f t="shared" si="0"/>
        <v/>
      </c>
      <c r="F8" s="29" t="str">
        <f t="shared" si="3"/>
        <v/>
      </c>
      <c r="G8" s="30"/>
      <c r="H8" s="30" t="str">
        <f t="shared" si="1"/>
        <v/>
      </c>
      <c r="I8" s="31" t="str">
        <f t="shared" si="2"/>
        <v/>
      </c>
      <c r="J8" s="50"/>
      <c r="K8" s="86"/>
      <c r="L8" s="50"/>
    </row>
    <row r="9" spans="1:12" ht="15.6">
      <c r="A9" s="56" t="str">
        <v>Manchester - Western</v>
      </c>
      <c r="B9" s="52" t="str">
        <v>ME</v>
      </c>
      <c r="C9" s="34"/>
      <c r="D9" s="35"/>
      <c r="E9" s="35" t="str">
        <f t="shared" si="0"/>
        <v/>
      </c>
      <c r="F9" s="36" t="str">
        <f t="shared" si="3"/>
        <v/>
      </c>
      <c r="G9" s="37"/>
      <c r="H9" s="37" t="str">
        <f t="shared" si="1"/>
        <v/>
      </c>
      <c r="I9" s="36" t="str">
        <f t="shared" si="2"/>
        <v/>
      </c>
      <c r="J9" s="53"/>
      <c r="K9" s="53"/>
      <c r="L9" s="53"/>
    </row>
    <row r="10" spans="1:12" ht="15.6">
      <c r="A10" s="57" t="str">
        <v>Batavia - Pike Rd</v>
      </c>
      <c r="B10" s="49" t="str">
        <v>NY</v>
      </c>
      <c r="C10" s="27"/>
      <c r="D10" s="28"/>
      <c r="E10" s="28" t="str">
        <f t="shared" si="0"/>
        <v/>
      </c>
      <c r="F10" s="29" t="str">
        <f t="shared" si="3"/>
        <v/>
      </c>
      <c r="G10" s="30"/>
      <c r="H10" s="30" t="str">
        <f t="shared" si="1"/>
        <v/>
      </c>
      <c r="I10" s="31" t="str">
        <f t="shared" si="2"/>
        <v/>
      </c>
      <c r="J10" s="50"/>
      <c r="K10" s="50"/>
      <c r="L10" s="50"/>
    </row>
    <row r="11" spans="1:12" ht="15.6">
      <c r="A11" s="56" t="str">
        <v>Slayton A &amp; B</v>
      </c>
      <c r="B11" s="52" t="str">
        <v>NY</v>
      </c>
      <c r="C11" s="34"/>
      <c r="D11" s="35"/>
      <c r="E11" s="35" t="str">
        <f t="shared" si="0"/>
        <v/>
      </c>
      <c r="F11" s="36" t="str">
        <f t="shared" si="3"/>
        <v/>
      </c>
      <c r="G11" s="37"/>
      <c r="H11" s="37" t="str">
        <f t="shared" si="1"/>
        <v/>
      </c>
      <c r="I11" s="36" t="str">
        <f t="shared" si="2"/>
        <v/>
      </c>
      <c r="J11" s="53"/>
      <c r="K11" s="100"/>
      <c r="L11" s="53"/>
    </row>
    <row r="12" spans="1:12" ht="15.6">
      <c r="A12" s="57" t="str">
        <v>Batavia - Alexander Rd</v>
      </c>
      <c r="B12" s="49" t="str">
        <v>NY</v>
      </c>
      <c r="C12" s="27"/>
      <c r="D12" s="28"/>
      <c r="E12" s="28" t="str">
        <f t="shared" si="0"/>
        <v/>
      </c>
      <c r="F12" s="29" t="str">
        <f t="shared" si="3"/>
        <v/>
      </c>
      <c r="G12" s="30"/>
      <c r="H12" s="30" t="str">
        <f t="shared" si="1"/>
        <v/>
      </c>
      <c r="I12" s="31" t="str">
        <f t="shared" si="2"/>
        <v/>
      </c>
      <c r="J12" s="50"/>
      <c r="K12" s="86"/>
      <c r="L12" s="50"/>
    </row>
    <row r="13" spans="1:12" ht="15.6">
      <c r="A13" s="56" t="str">
        <v xml:space="preserve">NC: Gibson – Henry Gibson Solar </v>
      </c>
      <c r="B13" s="52" t="str">
        <v>NC</v>
      </c>
      <c r="C13" s="34"/>
      <c r="D13" s="35"/>
      <c r="E13" s="35" t="str">
        <f t="shared" si="0"/>
        <v/>
      </c>
      <c r="F13" s="36" t="str">
        <f t="shared" si="3"/>
        <v/>
      </c>
      <c r="G13" s="37"/>
      <c r="H13" s="37" t="str">
        <f t="shared" si="1"/>
        <v/>
      </c>
      <c r="I13" s="36" t="str">
        <f t="shared" si="2"/>
        <v/>
      </c>
      <c r="J13" s="53"/>
      <c r="K13" s="100"/>
      <c r="L13" s="53"/>
    </row>
    <row r="14" spans="1:12" ht="15.6">
      <c r="A14" s="57" t="str">
        <v>Bangor - Pushaw</v>
      </c>
      <c r="B14" s="49" t="str">
        <v>ME</v>
      </c>
      <c r="C14" s="27"/>
      <c r="D14" s="28"/>
      <c r="E14" s="28" t="str">
        <f t="shared" si="0"/>
        <v/>
      </c>
      <c r="F14" s="29" t="str">
        <f t="shared" si="3"/>
        <v/>
      </c>
      <c r="G14" s="30"/>
      <c r="H14" s="30" t="str">
        <f t="shared" si="1"/>
        <v/>
      </c>
      <c r="I14" s="31" t="str">
        <f t="shared" si="2"/>
        <v/>
      </c>
      <c r="J14" s="50"/>
      <c r="K14" s="86"/>
      <c r="L14" s="50"/>
    </row>
    <row r="15" spans="1:12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2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4.45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22"/>
  <sheetViews>
    <sheetView zoomScale="70" zoomScaleNormal="70" workbookViewId="0">
      <pane xSplit="2" ySplit="3" topLeftCell="C5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7109375" customWidth="1"/>
    <col min="13" max="14" width="9.140625" style="90"/>
  </cols>
  <sheetData>
    <row r="1" spans="1:14" ht="19.5" customHeight="1">
      <c r="A1" s="104" t="str" cm="1">
        <f t="array" ref="A1">portfolio</f>
        <v>Renewable Properties</v>
      </c>
      <c r="B1" s="104"/>
      <c r="C1" s="104"/>
      <c r="D1" s="105" t="s">
        <v>62</v>
      </c>
      <c r="E1" s="105"/>
      <c r="F1" s="105"/>
      <c r="G1" s="103" t="s">
        <v>63</v>
      </c>
      <c r="H1" s="103"/>
      <c r="I1" s="103"/>
      <c r="J1" s="4"/>
      <c r="K1" s="4"/>
      <c r="L1" s="4"/>
    </row>
    <row r="2" spans="1:14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4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  <c r="L3" s="46" t="s">
        <v>22</v>
      </c>
    </row>
    <row r="4" spans="1:14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66"/>
      <c r="K4" s="66"/>
      <c r="L4" s="66"/>
    </row>
    <row r="5" spans="1:14" ht="69" customHeight="1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8"/>
      <c r="K5" s="80"/>
      <c r="L5" s="58"/>
      <c r="M5" s="91"/>
    </row>
    <row r="6" spans="1:14" ht="76.5" customHeight="1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66"/>
      <c r="K6" s="81"/>
      <c r="L6" s="66"/>
    </row>
    <row r="7" spans="1:14" ht="29.65" customHeight="1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>IFERROR(E7/D7, "")</f>
        <v/>
      </c>
      <c r="G7" s="37"/>
      <c r="H7" s="37" t="str">
        <f t="shared" ref="H7" si="5">IF(AND(ISNUMBER(C7),ISNUMBER(G7)), C7-G7, "")</f>
        <v/>
      </c>
      <c r="I7" s="36" t="str">
        <f t="shared" ref="I7" si="6">IFERROR(H7/G7, "")</f>
        <v/>
      </c>
      <c r="J7" s="58"/>
      <c r="K7" s="80"/>
      <c r="L7" s="58"/>
    </row>
    <row r="8" spans="1:14" ht="75.400000000000006" customHeight="1">
      <c r="A8" s="57" t="str">
        <v>Minoa - Clemons Rd</v>
      </c>
      <c r="B8" s="49" t="str">
        <v>NY</v>
      </c>
      <c r="C8" s="27"/>
      <c r="D8" s="28"/>
      <c r="E8" s="28" t="str">
        <f t="shared" ref="E8" si="7">IF(AND(ISNUMBER(C8),ISNUMBER(D8)), C8-D8, "")</f>
        <v/>
      </c>
      <c r="F8" s="29" t="str">
        <f t="shared" ref="F8:F14" si="8">IFERROR(E8/D8, "")</f>
        <v/>
      </c>
      <c r="G8" s="30"/>
      <c r="H8" s="30" t="str">
        <f t="shared" ref="H8:H14" si="9">IF(AND(ISNUMBER(C8),ISNUMBER(G8)), C8-G8, "")</f>
        <v/>
      </c>
      <c r="I8" s="31" t="str">
        <f t="shared" ref="I8:I14" si="10">IFERROR(H8/G8, "")</f>
        <v/>
      </c>
      <c r="J8" s="66"/>
      <c r="K8" s="81"/>
      <c r="L8" s="66"/>
      <c r="M8" s="91"/>
    </row>
    <row r="9" spans="1:14" ht="15.6">
      <c r="A9" s="56" t="str">
        <v>Manchester - Western</v>
      </c>
      <c r="B9" s="52" t="str">
        <v>ME</v>
      </c>
      <c r="C9" s="34"/>
      <c r="D9" s="35"/>
      <c r="E9" s="35" t="str">
        <f>IF(AND(ISNUMBER(C9),ISNUMBER(D9)), C9-D9, "")</f>
        <v/>
      </c>
      <c r="F9" s="36" t="str">
        <f t="shared" si="8"/>
        <v/>
      </c>
      <c r="G9" s="37"/>
      <c r="H9" s="37" t="str">
        <f t="shared" si="9"/>
        <v/>
      </c>
      <c r="I9" s="36" t="str">
        <f t="shared" si="10"/>
        <v/>
      </c>
      <c r="J9" s="58"/>
      <c r="K9" s="58"/>
      <c r="L9" s="58"/>
    </row>
    <row r="10" spans="1:14" ht="29.65" customHeight="1">
      <c r="A10" s="57" t="str">
        <v>Batavia - Pike Rd</v>
      </c>
      <c r="B10" s="49" t="str">
        <v>NY</v>
      </c>
      <c r="C10" s="27"/>
      <c r="D10" s="28"/>
      <c r="E10" s="28" t="str">
        <f>IF(AND(ISNUMBER(C10),ISNUMBER(D10)), C10-D10, "")</f>
        <v/>
      </c>
      <c r="F10" s="29" t="str">
        <f>IFERROR(E10/D10, "")</f>
        <v/>
      </c>
      <c r="G10" s="30"/>
      <c r="H10" s="30" t="str">
        <f>IF(AND(ISNUMBER(C10),ISNUMBER(G10)), C10-G10, "")</f>
        <v/>
      </c>
      <c r="I10" s="31" t="str">
        <f>IFERROR(H10/G10, "")</f>
        <v/>
      </c>
      <c r="J10" s="66"/>
      <c r="K10" s="81"/>
      <c r="L10" s="66"/>
    </row>
    <row r="11" spans="1:14" ht="15.6">
      <c r="A11" s="56" t="str">
        <v>Slayton A &amp; B</v>
      </c>
      <c r="B11" s="52" t="str">
        <v>NY</v>
      </c>
      <c r="C11" s="34"/>
      <c r="D11" s="35"/>
      <c r="E11" s="35" t="str">
        <f t="shared" ref="E11:E14" si="11">IF(AND(ISNUMBER(C11),ISNUMBER(D11)), C11-D11, "")</f>
        <v/>
      </c>
      <c r="F11" s="36" t="str">
        <f t="shared" si="8"/>
        <v/>
      </c>
      <c r="G11" s="37"/>
      <c r="H11" s="37" t="str">
        <f t="shared" si="9"/>
        <v/>
      </c>
      <c r="I11" s="36" t="str">
        <f t="shared" si="10"/>
        <v/>
      </c>
      <c r="J11" s="58"/>
      <c r="K11" s="80"/>
      <c r="L11" s="58"/>
      <c r="M11" s="91"/>
    </row>
    <row r="12" spans="1:14" ht="15.6">
      <c r="A12" s="57" t="str">
        <v>Batavia - Alexander Rd</v>
      </c>
      <c r="B12" s="49" t="str">
        <v>NY</v>
      </c>
      <c r="C12" s="27"/>
      <c r="D12" s="28"/>
      <c r="E12" s="28" t="str">
        <f t="shared" si="11"/>
        <v/>
      </c>
      <c r="F12" s="29" t="str">
        <f t="shared" si="8"/>
        <v/>
      </c>
      <c r="G12" s="30"/>
      <c r="H12" s="30" t="str">
        <f t="shared" si="9"/>
        <v/>
      </c>
      <c r="I12" s="31" t="str">
        <f t="shared" si="10"/>
        <v/>
      </c>
      <c r="J12" s="66"/>
      <c r="K12" s="81"/>
      <c r="L12" s="66"/>
      <c r="M12" s="91"/>
      <c r="N12" s="91"/>
    </row>
    <row r="13" spans="1:14" ht="15.6">
      <c r="A13" s="56" t="str">
        <v xml:space="preserve">NC: Gibson – Henry Gibson Solar </v>
      </c>
      <c r="B13" s="52" t="str">
        <v>NC</v>
      </c>
      <c r="C13" s="34"/>
      <c r="D13" s="35"/>
      <c r="E13" s="35" t="str">
        <f t="shared" si="11"/>
        <v/>
      </c>
      <c r="F13" s="36" t="str">
        <f t="shared" si="8"/>
        <v/>
      </c>
      <c r="G13" s="37"/>
      <c r="H13" s="37" t="str">
        <f t="shared" si="9"/>
        <v/>
      </c>
      <c r="I13" s="36" t="str">
        <f t="shared" si="10"/>
        <v/>
      </c>
      <c r="J13" s="58"/>
      <c r="K13" s="80"/>
      <c r="L13" s="58"/>
    </row>
    <row r="14" spans="1:14" ht="15.6">
      <c r="A14" s="57" t="str">
        <v>Bangor - Pushaw</v>
      </c>
      <c r="B14" s="49" t="str">
        <v>ME</v>
      </c>
      <c r="C14" s="27"/>
      <c r="D14" s="28"/>
      <c r="E14" s="28" t="str">
        <f t="shared" si="11"/>
        <v/>
      </c>
      <c r="F14" s="29" t="str">
        <f t="shared" si="8"/>
        <v/>
      </c>
      <c r="G14" s="30"/>
      <c r="H14" s="30" t="str">
        <f t="shared" si="9"/>
        <v/>
      </c>
      <c r="I14" s="31" t="str">
        <f t="shared" si="10"/>
        <v/>
      </c>
      <c r="J14" s="66"/>
      <c r="K14" s="66"/>
      <c r="L14" s="66"/>
    </row>
    <row r="15" spans="1:14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  <c r="L15" s="9"/>
    </row>
    <row r="16" spans="1:14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  <c r="L16" s="9"/>
    </row>
    <row r="17" spans="1:12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  <c r="L17" s="9"/>
    </row>
    <row r="18" spans="1:12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  <c r="L18" s="9"/>
    </row>
    <row r="19" spans="1:12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  <c r="L19" s="9"/>
    </row>
    <row r="20" spans="1:12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  <c r="L20" s="9"/>
    </row>
    <row r="21" spans="1:12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  <c r="L21" s="9"/>
    </row>
    <row r="22" spans="1:12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  <c r="L22" s="9"/>
    </row>
    <row r="23" spans="1:12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  <c r="L23" s="9"/>
    </row>
    <row r="24" spans="1:12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  <c r="L24" s="9"/>
    </row>
    <row r="25" spans="1:12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  <c r="L25" s="9"/>
    </row>
    <row r="26" spans="1:12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  <c r="L26" s="9"/>
    </row>
    <row r="27" spans="1:12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  <c r="L27" s="9"/>
    </row>
    <row r="28" spans="1:12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  <c r="L28" s="9"/>
    </row>
    <row r="29" spans="1:12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  <c r="L29" s="9"/>
    </row>
    <row r="30" spans="1:12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  <c r="L30" s="9"/>
    </row>
    <row r="31" spans="1:12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  <c r="L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  <c r="L32" s="9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  <c r="L33" s="9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  <c r="L34" s="9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  <c r="L35" s="9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  <c r="L36" s="9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  <c r="L37" s="9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  <c r="L38" s="9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  <c r="L39" s="9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  <c r="L40" s="9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  <c r="L41" s="9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  <c r="L42" s="9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  <c r="L43" s="9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  <c r="L44" s="9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  <c r="L45" s="9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  <c r="L46" s="9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  <c r="L47" s="9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  <c r="L48" s="9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  <c r="L49" s="9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  <c r="L50" s="9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  <c r="L51" s="9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  <c r="L52" s="9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  <c r="L53" s="9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  <c r="L54" s="9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  <c r="L55" s="9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  <c r="L56" s="9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  <c r="L57" s="9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  <c r="L58" s="9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  <c r="L59" s="9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  <c r="L60" s="9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  <c r="L61" s="9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  <c r="L62" s="9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  <c r="L63" s="9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  <c r="L64" s="9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  <c r="L65" s="9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  <c r="L66" s="9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  <c r="L67" s="9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  <c r="L68" s="9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  <c r="L69" s="9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  <c r="L70" s="9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  <c r="L71" s="9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  <c r="L72" s="9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  <c r="L73" s="9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  <c r="L74" s="9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  <c r="L75" s="9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  <c r="L76" s="9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  <c r="L77" s="9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  <c r="L78" s="9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  <c r="L79" s="9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  <c r="L80" s="9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  <c r="L81" s="9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  <c r="L82" s="9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  <c r="L83" s="9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  <c r="L84" s="9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  <c r="L85" s="9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  <c r="L86" s="9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  <c r="L87" s="9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  <c r="L88" s="9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  <c r="L89" s="9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  <c r="L90" s="9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  <c r="L91" s="9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  <c r="L92" s="9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  <c r="L93" s="9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  <c r="L94" s="9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  <c r="L95" s="9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  <c r="L96" s="9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  <c r="L97" s="9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  <c r="L98" s="9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  <c r="L99" s="9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  <c r="L100" s="9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  <c r="L101" s="9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  <c r="L102" s="9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  <c r="L103" s="9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  <c r="L104" s="9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  <c r="L105" s="9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  <c r="L106" s="9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  <c r="L107" s="9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  <c r="L108" s="9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  <c r="L109" s="9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  <c r="L110" s="9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  <c r="L111" s="9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  <c r="L112" s="9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  <c r="L113" s="9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  <c r="L114" s="9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  <c r="L115" s="9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  <c r="L116" s="9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  <c r="L117" s="9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  <c r="L118" s="9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  <c r="L119" s="9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  <c r="L120" s="9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  <c r="L121" s="9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  <c r="L122" s="9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  <c r="L123" s="9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  <c r="L124" s="9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  <c r="L125" s="9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  <c r="L126" s="9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  <c r="L127" s="9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  <c r="L128" s="9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  <c r="L129" s="9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  <c r="L130" s="9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  <c r="L131" s="9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  <c r="L132" s="9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  <c r="L133" s="9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  <c r="L134" s="9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  <c r="L135" s="9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  <c r="L136" s="9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  <c r="L137" s="9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  <c r="L138" s="9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  <c r="L139" s="9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  <c r="L140" s="9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  <c r="L141" s="9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  <c r="L142" s="9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  <c r="L143" s="9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  <c r="L144" s="9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  <c r="L145" s="9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  <c r="L146" s="9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  <c r="L147" s="9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  <c r="L148" s="9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  <c r="L149" s="9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  <c r="L150" s="9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  <c r="L151" s="9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  <c r="L152" s="9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  <c r="L153" s="9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  <c r="L154" s="9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  <c r="L155" s="9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  <c r="L156" s="9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  <c r="L157" s="9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  <c r="L158" s="9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  <c r="L159" s="9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  <c r="L160" s="9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  <c r="L161" s="9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  <c r="L162" s="9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  <c r="L163" s="9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  <c r="L164" s="9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  <c r="L165" s="9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  <c r="L166" s="9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  <c r="L167" s="9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  <c r="L168" s="9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  <c r="L169" s="9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  <c r="L170" s="9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  <c r="L171" s="9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  <c r="L172" s="9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  <c r="L173" s="9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  <c r="L174" s="9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  <c r="L175" s="9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  <c r="L176" s="9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  <c r="L177" s="9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  <c r="L178" s="9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  <c r="L179" s="9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  <c r="L180" s="9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  <c r="L181" s="9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  <c r="L182" s="9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  <c r="L183" s="9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  <c r="L184" s="9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  <c r="L185" s="9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  <c r="L186" s="9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  <c r="L187" s="9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  <c r="L188" s="9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  <c r="L189" s="9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  <c r="L190" s="9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  <c r="L191" s="9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  <c r="L192" s="9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  <c r="L193" s="9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  <c r="L194" s="9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  <c r="L195" s="9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  <c r="L196" s="9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  <c r="L197" s="9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  <c r="L198" s="9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  <c r="L199" s="9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  <c r="L200" s="9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  <c r="L201" s="9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  <c r="L202" s="9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  <c r="L203" s="9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  <c r="L204" s="9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  <c r="L205" s="9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  <c r="L206" s="9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  <c r="L207" s="9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  <c r="L208" s="9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  <c r="L209" s="9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  <c r="L210" s="9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  <c r="L211" s="9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  <c r="L212" s="9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  <c r="L213" s="9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  <c r="L214" s="9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  <c r="L215" s="9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  <c r="L216" s="9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  <c r="L217" s="9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  <c r="L218" s="9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  <c r="L219" s="9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  <c r="L220" s="9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  <c r="L221" s="9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  <c r="L222" s="9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  <c r="L223" s="9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  <c r="L224" s="9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  <c r="L225" s="9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  <c r="L226" s="9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  <c r="L227" s="9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  <c r="L228" s="9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  <c r="L229" s="9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  <c r="L230" s="9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  <c r="L231" s="9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  <c r="L232" s="9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  <c r="L233" s="9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  <c r="L234" s="9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  <c r="L235" s="9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  <c r="L236" s="9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  <c r="L237" s="9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  <c r="L238" s="9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  <c r="L239" s="9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  <c r="L240" s="9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  <c r="L241" s="9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  <c r="L242" s="9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  <c r="L243" s="9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  <c r="L244" s="9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  <c r="L245" s="9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  <c r="L246" s="9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  <c r="L247" s="9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  <c r="L248" s="9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  <c r="L249" s="9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  <c r="L250" s="9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  <c r="L251" s="9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  <c r="L252" s="9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  <c r="L253" s="9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  <c r="L254" s="9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  <c r="L255" s="9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  <c r="L256" s="9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  <c r="L257" s="9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  <c r="L258" s="9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  <c r="L259" s="9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  <c r="L260" s="9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  <c r="L261" s="9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  <c r="L262" s="9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  <c r="L263" s="9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  <c r="L264" s="9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  <c r="L265" s="9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  <c r="L266" s="9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  <c r="L267" s="9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  <c r="L268" s="9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  <c r="L269" s="9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  <c r="L270" s="9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  <c r="L271" s="9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  <c r="L272" s="9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  <c r="L273" s="9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  <c r="L274" s="9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  <c r="L275" s="9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  <c r="L276" s="9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  <c r="L277" s="9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  <c r="L278" s="9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  <c r="L279" s="9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  <c r="L280" s="9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  <c r="L281" s="9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  <c r="L282" s="9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  <c r="L283" s="9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  <c r="L284" s="9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  <c r="L285" s="9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  <c r="L286" s="9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  <c r="L287" s="9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  <c r="L288" s="9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  <c r="L289" s="9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  <c r="L290" s="9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  <c r="L291" s="9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  <c r="L292" s="9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  <c r="L293" s="9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  <c r="L294" s="9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  <c r="L295" s="9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  <c r="L296" s="9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  <c r="L297" s="9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  <c r="L298" s="9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  <c r="L299" s="9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  <c r="L300" s="9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  <c r="L301" s="9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  <c r="L302" s="9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  <c r="L303" s="9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  <c r="L304" s="9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  <c r="L305" s="9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  <c r="L306" s="9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  <c r="L307" s="9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  <c r="L308" s="9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  <c r="L309" s="9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  <c r="L310" s="9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  <c r="L311" s="9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  <c r="L312" s="9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  <c r="L313" s="9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  <c r="L314" s="9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  <c r="L315" s="9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  <c r="L316" s="9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  <c r="L317" s="9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  <c r="L318" s="9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  <c r="L319" s="9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  <c r="L320" s="9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  <c r="L321" s="9"/>
    </row>
    <row r="322" spans="1:12" ht="14.45">
      <c r="C322" s="9"/>
      <c r="D322" s="9"/>
      <c r="E322" s="9"/>
      <c r="F322" s="10"/>
      <c r="G322" s="9"/>
      <c r="H322" s="9"/>
      <c r="I322" s="10"/>
      <c r="J322" s="9"/>
      <c r="K322" s="9"/>
      <c r="L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O322"/>
  <sheetViews>
    <sheetView zoomScale="70" zoomScaleNormal="70" workbookViewId="0">
      <pane xSplit="2" ySplit="3" topLeftCell="C4" activePane="bottomRight" state="frozen"/>
      <selection pane="bottomRight" activeCell="V34" sqref="V34"/>
      <selection pane="bottomLeft" activeCell="V34" sqref="V34"/>
      <selection pane="topRight" activeCell="V34" sqref="V34"/>
    </sheetView>
  </sheetViews>
  <sheetFormatPr defaultRowHeight="13.9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83" bestFit="1" customWidth="1"/>
    <col min="12" max="12" width="14.28515625" customWidth="1"/>
  </cols>
  <sheetData>
    <row r="1" spans="1:15" ht="19.5" customHeight="1">
      <c r="A1" s="104" t="str" cm="1">
        <f t="array" ref="A1">portfolio</f>
        <v>Renewable Properties</v>
      </c>
      <c r="B1" s="104"/>
      <c r="C1" s="104"/>
      <c r="D1" s="105" t="s">
        <v>64</v>
      </c>
      <c r="E1" s="105"/>
      <c r="F1" s="105"/>
      <c r="G1" s="103" t="s">
        <v>65</v>
      </c>
      <c r="H1" s="103"/>
      <c r="I1" s="103"/>
      <c r="J1" s="4"/>
      <c r="K1" s="96"/>
      <c r="L1" s="4"/>
    </row>
    <row r="2" spans="1:15" ht="19.5" customHeight="1">
      <c r="A2" s="106" t="s">
        <v>2</v>
      </c>
      <c r="B2" s="10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96"/>
      <c r="L2" s="12"/>
    </row>
    <row r="3" spans="1:15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101" t="s">
        <v>21</v>
      </c>
      <c r="L3" s="46" t="s">
        <v>22</v>
      </c>
    </row>
    <row r="4" spans="1:15" ht="15.6">
      <c r="A4" s="55" t="str" cm="1">
        <f t="array" ref="A4:A14">Sites[Site]</f>
        <v>Cedar Swamp Rd</v>
      </c>
      <c r="B4" s="49" t="str" cm="1">
        <f t="array" ref="B4:B14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66"/>
      <c r="L4" s="50"/>
    </row>
    <row r="5" spans="1:15" ht="15.6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8"/>
      <c r="K5" s="80"/>
      <c r="L5" s="58"/>
      <c r="M5" s="102"/>
    </row>
    <row r="6" spans="1:15" ht="15.6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66"/>
      <c r="K6" s="66"/>
      <c r="L6" s="66"/>
    </row>
    <row r="7" spans="1:15" ht="15.6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80"/>
      <c r="L7" s="59"/>
    </row>
    <row r="8" spans="1:15" ht="15.6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" si="11">IFERROR(H8/G8, "")</f>
        <v/>
      </c>
      <c r="J8" s="66"/>
      <c r="K8" s="81"/>
      <c r="L8" s="66"/>
      <c r="M8" s="102"/>
    </row>
    <row r="9" spans="1:15" ht="15.6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>IFERROR(E9/D9, "")</f>
        <v/>
      </c>
      <c r="G9" s="37"/>
      <c r="H9" s="37" t="str">
        <f t="shared" si="10"/>
        <v/>
      </c>
      <c r="I9" s="36" t="str">
        <f>IFERROR(H9/G9, "")</f>
        <v/>
      </c>
      <c r="J9" s="53"/>
      <c r="K9" s="58"/>
      <c r="L9" s="53"/>
    </row>
    <row r="10" spans="1:15" ht="15.6">
      <c r="A10" s="57" t="str">
        <v>Batavia - Pike Rd</v>
      </c>
      <c r="B10" s="49" t="str">
        <v>NY</v>
      </c>
      <c r="C10" s="27"/>
      <c r="D10" s="28"/>
      <c r="E10" s="28" t="str">
        <f>IF(AND(ISNUMBER(C10),ISNUMBER(D10)), C10-D10, "")</f>
        <v/>
      </c>
      <c r="F10" s="29" t="str">
        <f>IFERROR(E10/D10, "")</f>
        <v/>
      </c>
      <c r="G10" s="30"/>
      <c r="H10" s="30" t="str">
        <f>IF(AND(ISNUMBER(C10),ISNUMBER(G10)), C10-G10, "")</f>
        <v/>
      </c>
      <c r="I10" s="31" t="str">
        <f>IFERROR(H10/G10, "")</f>
        <v/>
      </c>
      <c r="J10" s="66"/>
      <c r="K10" s="81"/>
      <c r="L10" s="66"/>
    </row>
    <row r="11" spans="1:15" ht="15.6">
      <c r="A11" s="56" t="str">
        <v>Slayton A &amp; B</v>
      </c>
      <c r="B11" s="52" t="str">
        <v>NY</v>
      </c>
      <c r="C11" s="34"/>
      <c r="D11" s="35"/>
      <c r="E11" s="35" t="str">
        <f>IF(AND(ISNUMBER(C11),ISNUMBER(D11)), C11-D11, "")</f>
        <v/>
      </c>
      <c r="F11" s="36" t="str">
        <f>IFERROR(E11/D11, "")</f>
        <v/>
      </c>
      <c r="G11" s="37"/>
      <c r="H11" s="37" t="str">
        <f>IF(AND(ISNUMBER(C11),ISNUMBER(G11)), C11-G11, "")</f>
        <v/>
      </c>
      <c r="I11" s="36" t="str">
        <f>IFERROR(H11/G11, "")</f>
        <v/>
      </c>
      <c r="J11" s="53"/>
      <c r="K11" s="80"/>
      <c r="L11" s="58"/>
    </row>
    <row r="12" spans="1:15" ht="15.6">
      <c r="A12" s="57" t="str">
        <v>Batavia - Alexander Rd</v>
      </c>
      <c r="B12" s="49" t="str">
        <v>NY</v>
      </c>
      <c r="C12" s="27"/>
      <c r="D12" s="28"/>
      <c r="E12" s="28" t="str">
        <f t="shared" ref="E12:E14" si="12">IF(AND(ISNUMBER(C12),ISNUMBER(D12)), C12-D12, "")</f>
        <v/>
      </c>
      <c r="F12" s="29" t="str">
        <f t="shared" ref="F12:F14" si="13">IFERROR(E12/D12, "")</f>
        <v/>
      </c>
      <c r="G12" s="30"/>
      <c r="H12" s="30" t="str">
        <f t="shared" ref="H12:H14" si="14">IF(AND(ISNUMBER(C12),ISNUMBER(G12)), C12-G12, "")</f>
        <v/>
      </c>
      <c r="I12" s="31" t="str">
        <f t="shared" ref="I12:I14" si="15">IFERROR(H12/G12, "")</f>
        <v/>
      </c>
      <c r="J12" s="66"/>
      <c r="K12" s="81"/>
      <c r="L12" s="66"/>
      <c r="M12" s="102"/>
      <c r="N12" s="102"/>
      <c r="O12" s="102"/>
    </row>
    <row r="13" spans="1:15" ht="15.6">
      <c r="A13" s="56" t="str">
        <v xml:space="preserve">NC: Gibson – Henry Gibson Solar </v>
      </c>
      <c r="B13" s="52" t="str">
        <v>NC</v>
      </c>
      <c r="C13" s="34"/>
      <c r="D13" s="35"/>
      <c r="E13" s="35" t="str">
        <f t="shared" si="12"/>
        <v/>
      </c>
      <c r="F13" s="36" t="str">
        <f t="shared" si="13"/>
        <v/>
      </c>
      <c r="G13" s="37"/>
      <c r="H13" s="37" t="str">
        <f t="shared" si="14"/>
        <v/>
      </c>
      <c r="I13" s="36" t="str">
        <f t="shared" si="15"/>
        <v/>
      </c>
      <c r="J13" s="53"/>
      <c r="K13" s="80"/>
      <c r="L13" s="53"/>
    </row>
    <row r="14" spans="1:15" ht="15.6">
      <c r="A14" s="57" t="str">
        <v>Bangor - Pushaw</v>
      </c>
      <c r="B14" s="49" t="str">
        <v>ME</v>
      </c>
      <c r="C14" s="27"/>
      <c r="D14" s="28"/>
      <c r="E14" s="28" t="str">
        <f t="shared" si="12"/>
        <v/>
      </c>
      <c r="F14" s="29" t="str">
        <f t="shared" si="13"/>
        <v/>
      </c>
      <c r="G14" s="30"/>
      <c r="H14" s="30" t="str">
        <f t="shared" si="14"/>
        <v/>
      </c>
      <c r="I14" s="31" t="str">
        <f t="shared" si="15"/>
        <v/>
      </c>
      <c r="J14" s="66"/>
      <c r="K14" s="66"/>
      <c r="L14" s="66"/>
    </row>
    <row r="15" spans="1:15" ht="14.45">
      <c r="A15" s="9"/>
      <c r="B15" s="14"/>
      <c r="C15" s="9"/>
      <c r="D15" s="9"/>
      <c r="E15" s="9"/>
      <c r="F15" s="10"/>
      <c r="G15" s="9"/>
      <c r="H15" s="9"/>
      <c r="I15" s="10"/>
      <c r="J15" s="9"/>
      <c r="K15" s="99"/>
      <c r="L15" s="9"/>
    </row>
    <row r="16" spans="1:15" ht="14.45">
      <c r="A16" s="9"/>
      <c r="B16" s="14"/>
      <c r="C16" s="9"/>
      <c r="D16" s="9"/>
      <c r="E16" s="9"/>
      <c r="F16" s="10"/>
      <c r="G16" s="9"/>
      <c r="H16" s="9"/>
      <c r="I16" s="10"/>
      <c r="J16" s="9"/>
      <c r="K16" s="99"/>
      <c r="L16" s="9"/>
    </row>
    <row r="17" spans="1:12" ht="14.45">
      <c r="A17" s="9"/>
      <c r="B17" s="14"/>
      <c r="C17" s="9"/>
      <c r="D17" s="9"/>
      <c r="E17" s="9"/>
      <c r="F17" s="10"/>
      <c r="G17" s="9"/>
      <c r="H17" s="9"/>
      <c r="I17" s="10"/>
      <c r="J17" s="9"/>
      <c r="K17" s="99"/>
      <c r="L17" s="9"/>
    </row>
    <row r="18" spans="1:12" ht="14.45">
      <c r="A18" s="9"/>
      <c r="B18" s="14"/>
      <c r="C18" s="9"/>
      <c r="D18" s="9"/>
      <c r="E18" s="9"/>
      <c r="F18" s="10"/>
      <c r="G18" s="9"/>
      <c r="H18" s="9"/>
      <c r="I18" s="10"/>
      <c r="J18" s="9"/>
      <c r="K18" s="99"/>
      <c r="L18" s="9"/>
    </row>
    <row r="19" spans="1:12" ht="14.45">
      <c r="A19" s="9"/>
      <c r="B19" s="14"/>
      <c r="C19" s="9"/>
      <c r="D19" s="9"/>
      <c r="E19" s="9"/>
      <c r="F19" s="10"/>
      <c r="G19" s="9"/>
      <c r="H19" s="9"/>
      <c r="I19" s="10"/>
      <c r="J19" s="9"/>
      <c r="K19" s="99"/>
      <c r="L19" s="9"/>
    </row>
    <row r="20" spans="1:12" ht="14.45">
      <c r="A20" s="9"/>
      <c r="B20" s="14"/>
      <c r="C20" s="9"/>
      <c r="D20" s="9"/>
      <c r="E20" s="9"/>
      <c r="F20" s="10"/>
      <c r="G20" s="9"/>
      <c r="H20" s="9"/>
      <c r="I20" s="10"/>
      <c r="J20" s="9"/>
      <c r="K20" s="99"/>
      <c r="L20" s="9"/>
    </row>
    <row r="21" spans="1:12" ht="14.45">
      <c r="A21" s="9"/>
      <c r="B21" s="14"/>
      <c r="C21" s="9"/>
      <c r="D21" s="9"/>
      <c r="E21" s="9"/>
      <c r="F21" s="10"/>
      <c r="G21" s="9"/>
      <c r="H21" s="9"/>
      <c r="I21" s="10"/>
      <c r="J21" s="9"/>
      <c r="K21" s="99"/>
      <c r="L21" s="9"/>
    </row>
    <row r="22" spans="1:12" ht="14.45">
      <c r="A22" s="9"/>
      <c r="B22" s="14"/>
      <c r="C22" s="9"/>
      <c r="D22" s="9"/>
      <c r="E22" s="9"/>
      <c r="F22" s="10"/>
      <c r="G22" s="9"/>
      <c r="H22" s="9"/>
      <c r="I22" s="10"/>
      <c r="J22" s="9"/>
      <c r="K22" s="99"/>
      <c r="L22" s="9"/>
    </row>
    <row r="23" spans="1:12" ht="14.45">
      <c r="A23" s="9"/>
      <c r="B23" s="14"/>
      <c r="C23" s="9"/>
      <c r="D23" s="9"/>
      <c r="E23" s="9"/>
      <c r="F23" s="10"/>
      <c r="G23" s="9"/>
      <c r="H23" s="9"/>
      <c r="I23" s="10"/>
      <c r="J23" s="9"/>
      <c r="K23" s="99"/>
      <c r="L23" s="9"/>
    </row>
    <row r="24" spans="1:12" ht="14.45">
      <c r="A24" s="9"/>
      <c r="B24" s="14"/>
      <c r="C24" s="9"/>
      <c r="D24" s="9"/>
      <c r="E24" s="9"/>
      <c r="F24" s="10"/>
      <c r="G24" s="9"/>
      <c r="H24" s="9"/>
      <c r="I24" s="10"/>
      <c r="J24" s="9"/>
      <c r="K24" s="99"/>
      <c r="L24" s="9"/>
    </row>
    <row r="25" spans="1:12" ht="14.45">
      <c r="A25" s="9"/>
      <c r="B25" s="14"/>
      <c r="C25" s="9"/>
      <c r="D25" s="9"/>
      <c r="E25" s="9"/>
      <c r="F25" s="10"/>
      <c r="G25" s="9"/>
      <c r="H25" s="9"/>
      <c r="I25" s="10"/>
      <c r="J25" s="9"/>
      <c r="K25" s="99"/>
      <c r="L25" s="9"/>
    </row>
    <row r="26" spans="1:12" ht="14.45">
      <c r="A26" s="9"/>
      <c r="B26" s="14"/>
      <c r="C26" s="9"/>
      <c r="D26" s="9"/>
      <c r="E26" s="9"/>
      <c r="F26" s="10"/>
      <c r="G26" s="9"/>
      <c r="H26" s="9"/>
      <c r="I26" s="10"/>
      <c r="J26" s="9"/>
      <c r="K26" s="99"/>
      <c r="L26" s="9"/>
    </row>
    <row r="27" spans="1:12" ht="14.45">
      <c r="A27" s="9"/>
      <c r="B27" s="14"/>
      <c r="C27" s="9"/>
      <c r="D27" s="9"/>
      <c r="E27" s="9"/>
      <c r="F27" s="10"/>
      <c r="G27" s="9"/>
      <c r="H27" s="9"/>
      <c r="I27" s="10"/>
      <c r="J27" s="9"/>
      <c r="K27" s="99"/>
      <c r="L27" s="9"/>
    </row>
    <row r="28" spans="1:12" ht="14.45">
      <c r="A28" s="9"/>
      <c r="B28" s="14"/>
      <c r="C28" s="9"/>
      <c r="D28" s="9"/>
      <c r="E28" s="9"/>
      <c r="F28" s="10"/>
      <c r="G28" s="9"/>
      <c r="H28" s="9"/>
      <c r="I28" s="10"/>
      <c r="J28" s="9"/>
      <c r="K28" s="99"/>
      <c r="L28" s="9"/>
    </row>
    <row r="29" spans="1:12" ht="14.45">
      <c r="A29" s="9"/>
      <c r="B29" s="14"/>
      <c r="C29" s="9"/>
      <c r="D29" s="9"/>
      <c r="E29" s="9"/>
      <c r="F29" s="10"/>
      <c r="G29" s="9"/>
      <c r="H29" s="9"/>
      <c r="I29" s="10"/>
      <c r="J29" s="9"/>
      <c r="K29" s="99"/>
      <c r="L29" s="9"/>
    </row>
    <row r="30" spans="1:12" ht="14.45">
      <c r="A30" s="9"/>
      <c r="B30" s="14"/>
      <c r="C30" s="9"/>
      <c r="D30" s="9"/>
      <c r="E30" s="9"/>
      <c r="F30" s="10"/>
      <c r="G30" s="9"/>
      <c r="H30" s="9"/>
      <c r="I30" s="10"/>
      <c r="J30" s="9"/>
      <c r="K30" s="99"/>
      <c r="L30" s="9"/>
    </row>
    <row r="31" spans="1:12" ht="14.45">
      <c r="A31" s="9"/>
      <c r="B31" s="14"/>
      <c r="C31" s="9"/>
      <c r="D31" s="9"/>
      <c r="E31" s="9"/>
      <c r="F31" s="10"/>
      <c r="G31" s="9"/>
      <c r="H31" s="9"/>
      <c r="I31" s="10"/>
      <c r="J31" s="9"/>
      <c r="K31" s="99"/>
      <c r="L31" s="9"/>
    </row>
    <row r="32" spans="1:12" ht="14.45">
      <c r="A32" s="9"/>
      <c r="B32" s="14"/>
      <c r="C32" s="9"/>
      <c r="D32" s="9"/>
      <c r="E32" s="9"/>
      <c r="F32" s="10"/>
      <c r="G32" s="9"/>
      <c r="H32" s="9"/>
      <c r="I32" s="10"/>
      <c r="J32" s="9"/>
      <c r="K32" s="99"/>
      <c r="L32" s="9"/>
    </row>
    <row r="33" spans="1:12" ht="14.45">
      <c r="A33" s="9"/>
      <c r="B33" s="14"/>
      <c r="C33" s="9"/>
      <c r="D33" s="9"/>
      <c r="E33" s="9"/>
      <c r="F33" s="10"/>
      <c r="G33" s="9"/>
      <c r="H33" s="9"/>
      <c r="I33" s="10"/>
      <c r="J33" s="9"/>
      <c r="K33" s="99"/>
      <c r="L33" s="9"/>
    </row>
    <row r="34" spans="1:12" ht="14.45">
      <c r="A34" s="9"/>
      <c r="B34" s="14"/>
      <c r="C34" s="9"/>
      <c r="D34" s="9"/>
      <c r="E34" s="9"/>
      <c r="F34" s="10"/>
      <c r="G34" s="9"/>
      <c r="H34" s="9"/>
      <c r="I34" s="10"/>
      <c r="J34" s="9"/>
      <c r="K34" s="99"/>
      <c r="L34" s="9"/>
    </row>
    <row r="35" spans="1:12" ht="14.45">
      <c r="A35" s="9"/>
      <c r="B35" s="14"/>
      <c r="C35" s="9"/>
      <c r="D35" s="9"/>
      <c r="E35" s="9"/>
      <c r="F35" s="10"/>
      <c r="G35" s="9"/>
      <c r="H35" s="9"/>
      <c r="I35" s="10"/>
      <c r="J35" s="9"/>
      <c r="K35" s="99"/>
      <c r="L35" s="9"/>
    </row>
    <row r="36" spans="1:12" ht="14.45">
      <c r="A36" s="9"/>
      <c r="B36" s="14"/>
      <c r="C36" s="9"/>
      <c r="D36" s="9"/>
      <c r="E36" s="9"/>
      <c r="F36" s="10"/>
      <c r="G36" s="9"/>
      <c r="H36" s="9"/>
      <c r="I36" s="10"/>
      <c r="J36" s="9"/>
      <c r="K36" s="99"/>
      <c r="L36" s="9"/>
    </row>
    <row r="37" spans="1:12" ht="14.45">
      <c r="A37" s="9"/>
      <c r="B37" s="14"/>
      <c r="C37" s="9"/>
      <c r="D37" s="9"/>
      <c r="E37" s="9"/>
      <c r="F37" s="10"/>
      <c r="G37" s="9"/>
      <c r="H37" s="9"/>
      <c r="I37" s="10"/>
      <c r="J37" s="9"/>
      <c r="K37" s="99"/>
      <c r="L37" s="9"/>
    </row>
    <row r="38" spans="1:12" ht="14.45">
      <c r="A38" s="9"/>
      <c r="B38" s="14"/>
      <c r="C38" s="9"/>
      <c r="D38" s="9"/>
      <c r="E38" s="9"/>
      <c r="F38" s="10"/>
      <c r="G38" s="9"/>
      <c r="H38" s="9"/>
      <c r="I38" s="10"/>
      <c r="J38" s="9"/>
      <c r="K38" s="99"/>
      <c r="L38" s="9"/>
    </row>
    <row r="39" spans="1:12" ht="14.45">
      <c r="A39" s="9"/>
      <c r="B39" s="14"/>
      <c r="C39" s="9"/>
      <c r="D39" s="9"/>
      <c r="E39" s="9"/>
      <c r="F39" s="10"/>
      <c r="G39" s="9"/>
      <c r="H39" s="9"/>
      <c r="I39" s="10"/>
      <c r="J39" s="9"/>
      <c r="K39" s="99"/>
      <c r="L39" s="9"/>
    </row>
    <row r="40" spans="1:12" ht="14.45">
      <c r="A40" s="9"/>
      <c r="B40" s="14"/>
      <c r="C40" s="9"/>
      <c r="D40" s="9"/>
      <c r="E40" s="9"/>
      <c r="F40" s="10"/>
      <c r="G40" s="9"/>
      <c r="H40" s="9"/>
      <c r="I40" s="10"/>
      <c r="J40" s="9"/>
      <c r="K40" s="99"/>
      <c r="L40" s="9"/>
    </row>
    <row r="41" spans="1:12" ht="14.45">
      <c r="A41" s="9"/>
      <c r="B41" s="14"/>
      <c r="C41" s="9"/>
      <c r="D41" s="9"/>
      <c r="E41" s="9"/>
      <c r="F41" s="10"/>
      <c r="G41" s="9"/>
      <c r="H41" s="9"/>
      <c r="I41" s="10"/>
      <c r="J41" s="9"/>
      <c r="K41" s="99"/>
      <c r="L41" s="9"/>
    </row>
    <row r="42" spans="1:12" ht="14.45">
      <c r="A42" s="9"/>
      <c r="B42" s="14"/>
      <c r="C42" s="9"/>
      <c r="D42" s="9"/>
      <c r="E42" s="9"/>
      <c r="F42" s="10"/>
      <c r="G42" s="9"/>
      <c r="H42" s="9"/>
      <c r="I42" s="10"/>
      <c r="J42" s="9"/>
      <c r="K42" s="99"/>
      <c r="L42" s="9"/>
    </row>
    <row r="43" spans="1:12" ht="14.45">
      <c r="A43" s="9"/>
      <c r="B43" s="14"/>
      <c r="C43" s="9"/>
      <c r="D43" s="9"/>
      <c r="E43" s="9"/>
      <c r="F43" s="10"/>
      <c r="G43" s="9"/>
      <c r="H43" s="9"/>
      <c r="I43" s="10"/>
      <c r="J43" s="9"/>
      <c r="K43" s="99"/>
      <c r="L43" s="9"/>
    </row>
    <row r="44" spans="1:12" ht="14.45">
      <c r="A44" s="9"/>
      <c r="B44" s="14"/>
      <c r="C44" s="9"/>
      <c r="D44" s="9"/>
      <c r="E44" s="9"/>
      <c r="F44" s="10"/>
      <c r="G44" s="9"/>
      <c r="H44" s="9"/>
      <c r="I44" s="10"/>
      <c r="J44" s="9"/>
      <c r="K44" s="99"/>
      <c r="L44" s="9"/>
    </row>
    <row r="45" spans="1:12" ht="14.45">
      <c r="A45" s="9"/>
      <c r="B45" s="14"/>
      <c r="C45" s="9"/>
      <c r="D45" s="9"/>
      <c r="E45" s="9"/>
      <c r="F45" s="10"/>
      <c r="G45" s="9"/>
      <c r="H45" s="9"/>
      <c r="I45" s="10"/>
      <c r="J45" s="9"/>
      <c r="K45" s="99"/>
      <c r="L45" s="9"/>
    </row>
    <row r="46" spans="1:12" ht="14.45">
      <c r="A46" s="9"/>
      <c r="B46" s="14"/>
      <c r="C46" s="9"/>
      <c r="D46" s="9"/>
      <c r="E46" s="9"/>
      <c r="F46" s="10"/>
      <c r="G46" s="9"/>
      <c r="H46" s="9"/>
      <c r="I46" s="10"/>
      <c r="J46" s="9"/>
      <c r="K46" s="99"/>
      <c r="L46" s="9"/>
    </row>
    <row r="47" spans="1:12" ht="14.45">
      <c r="A47" s="9"/>
      <c r="B47" s="14"/>
      <c r="C47" s="9"/>
      <c r="D47" s="9"/>
      <c r="E47" s="9"/>
      <c r="F47" s="10"/>
      <c r="G47" s="9"/>
      <c r="H47" s="9"/>
      <c r="I47" s="10"/>
      <c r="J47" s="9"/>
      <c r="K47" s="99"/>
      <c r="L47" s="9"/>
    </row>
    <row r="48" spans="1:12" ht="14.45">
      <c r="A48" s="9"/>
      <c r="B48" s="14"/>
      <c r="C48" s="9"/>
      <c r="D48" s="9"/>
      <c r="E48" s="9"/>
      <c r="F48" s="10"/>
      <c r="G48" s="9"/>
      <c r="H48" s="9"/>
      <c r="I48" s="10"/>
      <c r="J48" s="9"/>
      <c r="K48" s="99"/>
      <c r="L48" s="9"/>
    </row>
    <row r="49" spans="1:12" ht="14.45">
      <c r="A49" s="9"/>
      <c r="B49" s="14"/>
      <c r="C49" s="9"/>
      <c r="D49" s="9"/>
      <c r="E49" s="9"/>
      <c r="F49" s="10"/>
      <c r="G49" s="9"/>
      <c r="H49" s="9"/>
      <c r="I49" s="10"/>
      <c r="J49" s="9"/>
      <c r="K49" s="99"/>
      <c r="L49" s="9"/>
    </row>
    <row r="50" spans="1:12" ht="14.45">
      <c r="A50" s="9"/>
      <c r="B50" s="14"/>
      <c r="C50" s="9"/>
      <c r="D50" s="9"/>
      <c r="E50" s="9"/>
      <c r="F50" s="10"/>
      <c r="G50" s="9"/>
      <c r="H50" s="9"/>
      <c r="I50" s="10"/>
      <c r="J50" s="9"/>
      <c r="K50" s="99"/>
      <c r="L50" s="9"/>
    </row>
    <row r="51" spans="1:12" ht="14.45">
      <c r="A51" s="9"/>
      <c r="B51" s="14"/>
      <c r="C51" s="9"/>
      <c r="D51" s="9"/>
      <c r="E51" s="9"/>
      <c r="F51" s="10"/>
      <c r="G51" s="9"/>
      <c r="H51" s="9"/>
      <c r="I51" s="10"/>
      <c r="J51" s="9"/>
      <c r="K51" s="99"/>
      <c r="L51" s="9"/>
    </row>
    <row r="52" spans="1:12" ht="14.45">
      <c r="A52" s="9"/>
      <c r="B52" s="14"/>
      <c r="C52" s="9"/>
      <c r="D52" s="9"/>
      <c r="E52" s="9"/>
      <c r="F52" s="10"/>
      <c r="G52" s="9"/>
      <c r="H52" s="9"/>
      <c r="I52" s="10"/>
      <c r="J52" s="9"/>
      <c r="K52" s="99"/>
      <c r="L52" s="9"/>
    </row>
    <row r="53" spans="1:12" ht="14.45">
      <c r="A53" s="9"/>
      <c r="B53" s="14"/>
      <c r="C53" s="9"/>
      <c r="D53" s="9"/>
      <c r="E53" s="9"/>
      <c r="F53" s="10"/>
      <c r="G53" s="9"/>
      <c r="H53" s="9"/>
      <c r="I53" s="10"/>
      <c r="J53" s="9"/>
      <c r="K53" s="99"/>
      <c r="L53" s="9"/>
    </row>
    <row r="54" spans="1:12" ht="14.45">
      <c r="A54" s="9"/>
      <c r="B54" s="14"/>
      <c r="C54" s="9"/>
      <c r="D54" s="9"/>
      <c r="E54" s="9"/>
      <c r="F54" s="10"/>
      <c r="G54" s="9"/>
      <c r="H54" s="9"/>
      <c r="I54" s="10"/>
      <c r="J54" s="9"/>
      <c r="K54" s="99"/>
      <c r="L54" s="9"/>
    </row>
    <row r="55" spans="1:12" ht="14.45">
      <c r="A55" s="9"/>
      <c r="B55" s="14"/>
      <c r="C55" s="9"/>
      <c r="D55" s="9"/>
      <c r="E55" s="9"/>
      <c r="F55" s="10"/>
      <c r="G55" s="9"/>
      <c r="H55" s="9"/>
      <c r="I55" s="10"/>
      <c r="J55" s="9"/>
      <c r="K55" s="99"/>
      <c r="L55" s="9"/>
    </row>
    <row r="56" spans="1:12" ht="14.45">
      <c r="A56" s="9"/>
      <c r="B56" s="14"/>
      <c r="C56" s="9"/>
      <c r="D56" s="9"/>
      <c r="E56" s="9"/>
      <c r="F56" s="10"/>
      <c r="G56" s="9"/>
      <c r="H56" s="9"/>
      <c r="I56" s="10"/>
      <c r="J56" s="9"/>
      <c r="K56" s="99"/>
      <c r="L56" s="9"/>
    </row>
    <row r="57" spans="1:12" ht="14.45">
      <c r="A57" s="9"/>
      <c r="B57" s="14"/>
      <c r="C57" s="9"/>
      <c r="D57" s="9"/>
      <c r="E57" s="9"/>
      <c r="F57" s="10"/>
      <c r="G57" s="9"/>
      <c r="H57" s="9"/>
      <c r="I57" s="10"/>
      <c r="J57" s="9"/>
      <c r="K57" s="99"/>
      <c r="L57" s="9"/>
    </row>
    <row r="58" spans="1:12" ht="14.45">
      <c r="A58" s="9"/>
      <c r="B58" s="14"/>
      <c r="C58" s="9"/>
      <c r="D58" s="9"/>
      <c r="E58" s="9"/>
      <c r="F58" s="10"/>
      <c r="G58" s="9"/>
      <c r="H58" s="9"/>
      <c r="I58" s="10"/>
      <c r="J58" s="9"/>
      <c r="K58" s="99"/>
      <c r="L58" s="9"/>
    </row>
    <row r="59" spans="1:12" ht="14.45">
      <c r="A59" s="9"/>
      <c r="B59" s="14"/>
      <c r="C59" s="9"/>
      <c r="D59" s="9"/>
      <c r="E59" s="9"/>
      <c r="F59" s="10"/>
      <c r="G59" s="9"/>
      <c r="H59" s="9"/>
      <c r="I59" s="10"/>
      <c r="J59" s="9"/>
      <c r="K59" s="99"/>
      <c r="L59" s="9"/>
    </row>
    <row r="60" spans="1:12" ht="14.45">
      <c r="A60" s="9"/>
      <c r="B60" s="14"/>
      <c r="C60" s="9"/>
      <c r="D60" s="9"/>
      <c r="E60" s="9"/>
      <c r="F60" s="10"/>
      <c r="G60" s="9"/>
      <c r="H60" s="9"/>
      <c r="I60" s="10"/>
      <c r="J60" s="9"/>
      <c r="K60" s="99"/>
      <c r="L60" s="9"/>
    </row>
    <row r="61" spans="1:12" ht="14.45">
      <c r="A61" s="9"/>
      <c r="B61" s="14"/>
      <c r="C61" s="9"/>
      <c r="D61" s="9"/>
      <c r="E61" s="9"/>
      <c r="F61" s="10"/>
      <c r="G61" s="9"/>
      <c r="H61" s="9"/>
      <c r="I61" s="10"/>
      <c r="J61" s="9"/>
      <c r="K61" s="99"/>
      <c r="L61" s="9"/>
    </row>
    <row r="62" spans="1:12" ht="14.45">
      <c r="A62" s="9"/>
      <c r="B62" s="14"/>
      <c r="C62" s="9"/>
      <c r="D62" s="9"/>
      <c r="E62" s="9"/>
      <c r="F62" s="10"/>
      <c r="G62" s="9"/>
      <c r="H62" s="9"/>
      <c r="I62" s="10"/>
      <c r="J62" s="9"/>
      <c r="K62" s="99"/>
      <c r="L62" s="9"/>
    </row>
    <row r="63" spans="1:12" ht="14.45">
      <c r="A63" s="9"/>
      <c r="B63" s="14"/>
      <c r="C63" s="9"/>
      <c r="D63" s="9"/>
      <c r="E63" s="9"/>
      <c r="F63" s="10"/>
      <c r="G63" s="9"/>
      <c r="H63" s="9"/>
      <c r="I63" s="10"/>
      <c r="J63" s="9"/>
      <c r="K63" s="99"/>
      <c r="L63" s="9"/>
    </row>
    <row r="64" spans="1:12" ht="14.45">
      <c r="A64" s="9"/>
      <c r="B64" s="14"/>
      <c r="C64" s="9"/>
      <c r="D64" s="9"/>
      <c r="E64" s="9"/>
      <c r="F64" s="10"/>
      <c r="G64" s="9"/>
      <c r="H64" s="9"/>
      <c r="I64" s="10"/>
      <c r="J64" s="9"/>
      <c r="K64" s="99"/>
      <c r="L64" s="9"/>
    </row>
    <row r="65" spans="1:12" ht="14.45">
      <c r="A65" s="9"/>
      <c r="B65" s="14"/>
      <c r="C65" s="9"/>
      <c r="D65" s="9"/>
      <c r="E65" s="9"/>
      <c r="F65" s="10"/>
      <c r="G65" s="9"/>
      <c r="H65" s="9"/>
      <c r="I65" s="10"/>
      <c r="J65" s="9"/>
      <c r="K65" s="99"/>
      <c r="L65" s="9"/>
    </row>
    <row r="66" spans="1:12" ht="14.45">
      <c r="A66" s="9"/>
      <c r="B66" s="14"/>
      <c r="C66" s="9"/>
      <c r="D66" s="9"/>
      <c r="E66" s="9"/>
      <c r="F66" s="10"/>
      <c r="G66" s="9"/>
      <c r="H66" s="9"/>
      <c r="I66" s="10"/>
      <c r="J66" s="9"/>
      <c r="K66" s="99"/>
      <c r="L66" s="9"/>
    </row>
    <row r="67" spans="1:12" ht="14.45">
      <c r="A67" s="9"/>
      <c r="B67" s="14"/>
      <c r="C67" s="9"/>
      <c r="D67" s="9"/>
      <c r="E67" s="9"/>
      <c r="F67" s="10"/>
      <c r="G67" s="9"/>
      <c r="H67" s="9"/>
      <c r="I67" s="10"/>
      <c r="J67" s="9"/>
      <c r="K67" s="99"/>
      <c r="L67" s="9"/>
    </row>
    <row r="68" spans="1:12" ht="14.45">
      <c r="A68" s="9"/>
      <c r="B68" s="14"/>
      <c r="C68" s="9"/>
      <c r="D68" s="9"/>
      <c r="E68" s="9"/>
      <c r="F68" s="10"/>
      <c r="G68" s="9"/>
      <c r="H68" s="9"/>
      <c r="I68" s="10"/>
      <c r="J68" s="9"/>
      <c r="K68" s="99"/>
      <c r="L68" s="9"/>
    </row>
    <row r="69" spans="1:12" ht="14.45">
      <c r="A69" s="9"/>
      <c r="B69" s="14"/>
      <c r="C69" s="9"/>
      <c r="D69" s="9"/>
      <c r="E69" s="9"/>
      <c r="F69" s="10"/>
      <c r="G69" s="9"/>
      <c r="H69" s="9"/>
      <c r="I69" s="10"/>
      <c r="J69" s="9"/>
      <c r="K69" s="99"/>
      <c r="L69" s="9"/>
    </row>
    <row r="70" spans="1:12" ht="14.45">
      <c r="A70" s="9"/>
      <c r="B70" s="14"/>
      <c r="C70" s="9"/>
      <c r="D70" s="9"/>
      <c r="E70" s="9"/>
      <c r="F70" s="10"/>
      <c r="G70" s="9"/>
      <c r="H70" s="9"/>
      <c r="I70" s="10"/>
      <c r="J70" s="9"/>
      <c r="K70" s="99"/>
      <c r="L70" s="9"/>
    </row>
    <row r="71" spans="1:12" ht="14.45">
      <c r="A71" s="9"/>
      <c r="B71" s="14"/>
      <c r="C71" s="9"/>
      <c r="D71" s="9"/>
      <c r="E71" s="9"/>
      <c r="F71" s="10"/>
      <c r="G71" s="9"/>
      <c r="H71" s="9"/>
      <c r="I71" s="10"/>
      <c r="J71" s="9"/>
      <c r="K71" s="99"/>
      <c r="L71" s="9"/>
    </row>
    <row r="72" spans="1:12" ht="14.45">
      <c r="A72" s="9"/>
      <c r="B72" s="14"/>
      <c r="C72" s="9"/>
      <c r="D72" s="9"/>
      <c r="E72" s="9"/>
      <c r="F72" s="10"/>
      <c r="G72" s="9"/>
      <c r="H72" s="9"/>
      <c r="I72" s="10"/>
      <c r="J72" s="9"/>
      <c r="K72" s="99"/>
      <c r="L72" s="9"/>
    </row>
    <row r="73" spans="1:12" ht="14.45">
      <c r="A73" s="9"/>
      <c r="B73" s="14"/>
      <c r="C73" s="9"/>
      <c r="D73" s="9"/>
      <c r="E73" s="9"/>
      <c r="F73" s="10"/>
      <c r="G73" s="9"/>
      <c r="H73" s="9"/>
      <c r="I73" s="10"/>
      <c r="J73" s="9"/>
      <c r="K73" s="99"/>
      <c r="L73" s="9"/>
    </row>
    <row r="74" spans="1:12" ht="14.45">
      <c r="A74" s="9"/>
      <c r="B74" s="14"/>
      <c r="C74" s="9"/>
      <c r="D74" s="9"/>
      <c r="E74" s="9"/>
      <c r="F74" s="10"/>
      <c r="G74" s="9"/>
      <c r="H74" s="9"/>
      <c r="I74" s="10"/>
      <c r="J74" s="9"/>
      <c r="K74" s="99"/>
      <c r="L74" s="9"/>
    </row>
    <row r="75" spans="1:12" ht="14.45">
      <c r="A75" s="9"/>
      <c r="B75" s="14"/>
      <c r="C75" s="9"/>
      <c r="D75" s="9"/>
      <c r="E75" s="9"/>
      <c r="F75" s="10"/>
      <c r="G75" s="9"/>
      <c r="H75" s="9"/>
      <c r="I75" s="10"/>
      <c r="J75" s="9"/>
      <c r="K75" s="99"/>
      <c r="L75" s="9"/>
    </row>
    <row r="76" spans="1:12" ht="14.45">
      <c r="A76" s="9"/>
      <c r="B76" s="14"/>
      <c r="C76" s="9"/>
      <c r="D76" s="9"/>
      <c r="E76" s="9"/>
      <c r="F76" s="10"/>
      <c r="G76" s="9"/>
      <c r="H76" s="9"/>
      <c r="I76" s="10"/>
      <c r="J76" s="9"/>
      <c r="K76" s="99"/>
      <c r="L76" s="9"/>
    </row>
    <row r="77" spans="1:12" ht="14.45">
      <c r="A77" s="9"/>
      <c r="B77" s="14"/>
      <c r="C77" s="9"/>
      <c r="D77" s="9"/>
      <c r="E77" s="9"/>
      <c r="F77" s="10"/>
      <c r="G77" s="9"/>
      <c r="H77" s="9"/>
      <c r="I77" s="10"/>
      <c r="J77" s="9"/>
      <c r="K77" s="99"/>
      <c r="L77" s="9"/>
    </row>
    <row r="78" spans="1:12" ht="14.45">
      <c r="A78" s="9"/>
      <c r="B78" s="14"/>
      <c r="C78" s="9"/>
      <c r="D78" s="9"/>
      <c r="E78" s="9"/>
      <c r="F78" s="10"/>
      <c r="G78" s="9"/>
      <c r="H78" s="9"/>
      <c r="I78" s="10"/>
      <c r="J78" s="9"/>
      <c r="K78" s="99"/>
      <c r="L78" s="9"/>
    </row>
    <row r="79" spans="1:12" ht="14.45">
      <c r="A79" s="9"/>
      <c r="B79" s="14"/>
      <c r="C79" s="9"/>
      <c r="D79" s="9"/>
      <c r="E79" s="9"/>
      <c r="F79" s="10"/>
      <c r="G79" s="9"/>
      <c r="H79" s="9"/>
      <c r="I79" s="10"/>
      <c r="J79" s="9"/>
      <c r="K79" s="99"/>
      <c r="L79" s="9"/>
    </row>
    <row r="80" spans="1:12" ht="14.45">
      <c r="A80" s="9"/>
      <c r="B80" s="14"/>
      <c r="C80" s="9"/>
      <c r="D80" s="9"/>
      <c r="E80" s="9"/>
      <c r="F80" s="10"/>
      <c r="G80" s="9"/>
      <c r="H80" s="9"/>
      <c r="I80" s="10"/>
      <c r="J80" s="9"/>
      <c r="K80" s="99"/>
      <c r="L80" s="9"/>
    </row>
    <row r="81" spans="1:12" ht="14.45">
      <c r="A81" s="9"/>
      <c r="B81" s="14"/>
      <c r="C81" s="9"/>
      <c r="D81" s="9"/>
      <c r="E81" s="9"/>
      <c r="F81" s="10"/>
      <c r="G81" s="9"/>
      <c r="H81" s="9"/>
      <c r="I81" s="10"/>
      <c r="J81" s="9"/>
      <c r="K81" s="99"/>
      <c r="L81" s="9"/>
    </row>
    <row r="82" spans="1:12" ht="14.45">
      <c r="A82" s="9"/>
      <c r="B82" s="14"/>
      <c r="C82" s="9"/>
      <c r="D82" s="9"/>
      <c r="E82" s="9"/>
      <c r="F82" s="10"/>
      <c r="G82" s="9"/>
      <c r="H82" s="9"/>
      <c r="I82" s="10"/>
      <c r="J82" s="9"/>
      <c r="K82" s="99"/>
      <c r="L82" s="9"/>
    </row>
    <row r="83" spans="1:12" ht="14.45">
      <c r="A83" s="9"/>
      <c r="B83" s="14"/>
      <c r="C83" s="9"/>
      <c r="D83" s="9"/>
      <c r="E83" s="9"/>
      <c r="F83" s="10"/>
      <c r="G83" s="9"/>
      <c r="H83" s="9"/>
      <c r="I83" s="10"/>
      <c r="J83" s="9"/>
      <c r="K83" s="99"/>
      <c r="L83" s="9"/>
    </row>
    <row r="84" spans="1:12" ht="14.45">
      <c r="A84" s="9"/>
      <c r="B84" s="14"/>
      <c r="C84" s="9"/>
      <c r="D84" s="9"/>
      <c r="E84" s="9"/>
      <c r="F84" s="10"/>
      <c r="G84" s="9"/>
      <c r="H84" s="9"/>
      <c r="I84" s="10"/>
      <c r="J84" s="9"/>
      <c r="K84" s="99"/>
      <c r="L84" s="9"/>
    </row>
    <row r="85" spans="1:12" ht="14.45">
      <c r="A85" s="9"/>
      <c r="B85" s="14"/>
      <c r="C85" s="9"/>
      <c r="D85" s="9"/>
      <c r="E85" s="9"/>
      <c r="F85" s="10"/>
      <c r="G85" s="9"/>
      <c r="H85" s="9"/>
      <c r="I85" s="10"/>
      <c r="J85" s="9"/>
      <c r="K85" s="99"/>
      <c r="L85" s="9"/>
    </row>
    <row r="86" spans="1:12" ht="14.45">
      <c r="A86" s="9"/>
      <c r="B86" s="14"/>
      <c r="C86" s="9"/>
      <c r="D86" s="9"/>
      <c r="E86" s="9"/>
      <c r="F86" s="10"/>
      <c r="G86" s="9"/>
      <c r="H86" s="9"/>
      <c r="I86" s="10"/>
      <c r="J86" s="9"/>
      <c r="K86" s="99"/>
      <c r="L86" s="9"/>
    </row>
    <row r="87" spans="1:12" ht="14.45">
      <c r="A87" s="9"/>
      <c r="B87" s="14"/>
      <c r="C87" s="9"/>
      <c r="D87" s="9"/>
      <c r="E87" s="9"/>
      <c r="F87" s="10"/>
      <c r="G87" s="9"/>
      <c r="H87" s="9"/>
      <c r="I87" s="10"/>
      <c r="J87" s="9"/>
      <c r="K87" s="99"/>
      <c r="L87" s="9"/>
    </row>
    <row r="88" spans="1:12" ht="14.45">
      <c r="A88" s="9"/>
      <c r="B88" s="14"/>
      <c r="C88" s="9"/>
      <c r="D88" s="9"/>
      <c r="E88" s="9"/>
      <c r="F88" s="10"/>
      <c r="G88" s="9"/>
      <c r="H88" s="9"/>
      <c r="I88" s="10"/>
      <c r="J88" s="9"/>
      <c r="K88" s="99"/>
      <c r="L88" s="9"/>
    </row>
    <row r="89" spans="1:12" ht="14.45">
      <c r="A89" s="9"/>
      <c r="B89" s="14"/>
      <c r="C89" s="9"/>
      <c r="D89" s="9"/>
      <c r="E89" s="9"/>
      <c r="F89" s="10"/>
      <c r="G89" s="9"/>
      <c r="H89" s="9"/>
      <c r="I89" s="10"/>
      <c r="J89" s="9"/>
      <c r="K89" s="99"/>
      <c r="L89" s="9"/>
    </row>
    <row r="90" spans="1:12" ht="14.45">
      <c r="A90" s="9"/>
      <c r="B90" s="14"/>
      <c r="C90" s="9"/>
      <c r="D90" s="9"/>
      <c r="E90" s="9"/>
      <c r="F90" s="10"/>
      <c r="G90" s="9"/>
      <c r="H90" s="9"/>
      <c r="I90" s="10"/>
      <c r="J90" s="9"/>
      <c r="K90" s="99"/>
      <c r="L90" s="9"/>
    </row>
    <row r="91" spans="1:12" ht="14.45">
      <c r="A91" s="9"/>
      <c r="B91" s="14"/>
      <c r="C91" s="9"/>
      <c r="D91" s="9"/>
      <c r="E91" s="9"/>
      <c r="F91" s="10"/>
      <c r="G91" s="9"/>
      <c r="H91" s="9"/>
      <c r="I91" s="10"/>
      <c r="J91" s="9"/>
      <c r="K91" s="99"/>
      <c r="L91" s="9"/>
    </row>
    <row r="92" spans="1:12" ht="14.45">
      <c r="A92" s="9"/>
      <c r="B92" s="14"/>
      <c r="C92" s="9"/>
      <c r="D92" s="9"/>
      <c r="E92" s="9"/>
      <c r="F92" s="10"/>
      <c r="G92" s="9"/>
      <c r="H92" s="9"/>
      <c r="I92" s="10"/>
      <c r="J92" s="9"/>
      <c r="K92" s="99"/>
      <c r="L92" s="9"/>
    </row>
    <row r="93" spans="1:12" ht="14.45">
      <c r="A93" s="9"/>
      <c r="B93" s="14"/>
      <c r="C93" s="9"/>
      <c r="D93" s="9"/>
      <c r="E93" s="9"/>
      <c r="F93" s="10"/>
      <c r="G93" s="9"/>
      <c r="H93" s="9"/>
      <c r="I93" s="10"/>
      <c r="J93" s="9"/>
      <c r="K93" s="99"/>
      <c r="L93" s="9"/>
    </row>
    <row r="94" spans="1:12" ht="14.45">
      <c r="A94" s="9"/>
      <c r="B94" s="14"/>
      <c r="C94" s="9"/>
      <c r="D94" s="9"/>
      <c r="E94" s="9"/>
      <c r="F94" s="10"/>
      <c r="G94" s="9"/>
      <c r="H94" s="9"/>
      <c r="I94" s="10"/>
      <c r="J94" s="9"/>
      <c r="K94" s="99"/>
      <c r="L94" s="9"/>
    </row>
    <row r="95" spans="1:12" ht="14.45">
      <c r="A95" s="9"/>
      <c r="B95" s="14"/>
      <c r="C95" s="9"/>
      <c r="D95" s="9"/>
      <c r="E95" s="9"/>
      <c r="F95" s="10"/>
      <c r="G95" s="9"/>
      <c r="H95" s="9"/>
      <c r="I95" s="10"/>
      <c r="J95" s="9"/>
      <c r="K95" s="99"/>
      <c r="L95" s="9"/>
    </row>
    <row r="96" spans="1:12" ht="14.45">
      <c r="A96" s="9"/>
      <c r="B96" s="14"/>
      <c r="C96" s="9"/>
      <c r="D96" s="9"/>
      <c r="E96" s="9"/>
      <c r="F96" s="10"/>
      <c r="G96" s="9"/>
      <c r="H96" s="9"/>
      <c r="I96" s="10"/>
      <c r="J96" s="9"/>
      <c r="K96" s="99"/>
      <c r="L96" s="9"/>
    </row>
    <row r="97" spans="1:12" ht="14.45">
      <c r="A97" s="9"/>
      <c r="B97" s="14"/>
      <c r="C97" s="9"/>
      <c r="D97" s="9"/>
      <c r="E97" s="9"/>
      <c r="F97" s="10"/>
      <c r="G97" s="9"/>
      <c r="H97" s="9"/>
      <c r="I97" s="10"/>
      <c r="J97" s="9"/>
      <c r="K97" s="99"/>
      <c r="L97" s="9"/>
    </row>
    <row r="98" spans="1:12" ht="14.45">
      <c r="A98" s="9"/>
      <c r="B98" s="14"/>
      <c r="C98" s="9"/>
      <c r="D98" s="9"/>
      <c r="E98" s="9"/>
      <c r="F98" s="10"/>
      <c r="G98" s="9"/>
      <c r="H98" s="9"/>
      <c r="I98" s="10"/>
      <c r="J98" s="9"/>
      <c r="K98" s="99"/>
      <c r="L98" s="9"/>
    </row>
    <row r="99" spans="1:12" ht="14.45">
      <c r="A99" s="9"/>
      <c r="B99" s="14"/>
      <c r="C99" s="9"/>
      <c r="D99" s="9"/>
      <c r="E99" s="9"/>
      <c r="F99" s="10"/>
      <c r="G99" s="9"/>
      <c r="H99" s="9"/>
      <c r="I99" s="10"/>
      <c r="J99" s="9"/>
      <c r="K99" s="99"/>
      <c r="L99" s="9"/>
    </row>
    <row r="100" spans="1:12" ht="14.4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9"/>
      <c r="L100" s="9"/>
    </row>
    <row r="101" spans="1:12" ht="14.4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9"/>
      <c r="L101" s="9"/>
    </row>
    <row r="102" spans="1:12" ht="14.4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9"/>
      <c r="L102" s="9"/>
    </row>
    <row r="103" spans="1:12" ht="14.4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9"/>
      <c r="L103" s="9"/>
    </row>
    <row r="104" spans="1:12" ht="14.4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9"/>
      <c r="L104" s="9"/>
    </row>
    <row r="105" spans="1:12" ht="14.4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9"/>
      <c r="L105" s="9"/>
    </row>
    <row r="106" spans="1:12" ht="14.4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9"/>
      <c r="L106" s="9"/>
    </row>
    <row r="107" spans="1:12" ht="14.4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9"/>
      <c r="L107" s="9"/>
    </row>
    <row r="108" spans="1:12" ht="14.4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9"/>
      <c r="L108" s="9"/>
    </row>
    <row r="109" spans="1:12" ht="14.4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9"/>
      <c r="L109" s="9"/>
    </row>
    <row r="110" spans="1:12" ht="14.4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9"/>
      <c r="L110" s="9"/>
    </row>
    <row r="111" spans="1:12" ht="14.4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9"/>
      <c r="L111" s="9"/>
    </row>
    <row r="112" spans="1:12" ht="14.4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9"/>
      <c r="L112" s="9"/>
    </row>
    <row r="113" spans="1:12" ht="14.4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9"/>
      <c r="L113" s="9"/>
    </row>
    <row r="114" spans="1:12" ht="14.4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9"/>
      <c r="L114" s="9"/>
    </row>
    <row r="115" spans="1:12" ht="14.4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9"/>
      <c r="L115" s="9"/>
    </row>
    <row r="116" spans="1:12" ht="14.4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9"/>
      <c r="L116" s="9"/>
    </row>
    <row r="117" spans="1:12" ht="14.4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9"/>
      <c r="L117" s="9"/>
    </row>
    <row r="118" spans="1:12" ht="14.4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9"/>
      <c r="L118" s="9"/>
    </row>
    <row r="119" spans="1:12" ht="14.4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9"/>
      <c r="L119" s="9"/>
    </row>
    <row r="120" spans="1:12" ht="14.4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9"/>
      <c r="L120" s="9"/>
    </row>
    <row r="121" spans="1:12" ht="14.4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9"/>
      <c r="L121" s="9"/>
    </row>
    <row r="122" spans="1:12" ht="14.4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9"/>
      <c r="L122" s="9"/>
    </row>
    <row r="123" spans="1:12" ht="14.4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9"/>
      <c r="L123" s="9"/>
    </row>
    <row r="124" spans="1:12" ht="14.4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9"/>
      <c r="L124" s="9"/>
    </row>
    <row r="125" spans="1:12" ht="14.4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9"/>
      <c r="L125" s="9"/>
    </row>
    <row r="126" spans="1:12" ht="14.4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9"/>
      <c r="L126" s="9"/>
    </row>
    <row r="127" spans="1:12" ht="14.4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9"/>
      <c r="L127" s="9"/>
    </row>
    <row r="128" spans="1:12" ht="14.4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9"/>
      <c r="L128" s="9"/>
    </row>
    <row r="129" spans="1:12" ht="14.4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9"/>
      <c r="L129" s="9"/>
    </row>
    <row r="130" spans="1:12" ht="14.4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9"/>
      <c r="L130" s="9"/>
    </row>
    <row r="131" spans="1:12" ht="14.4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9"/>
      <c r="L131" s="9"/>
    </row>
    <row r="132" spans="1:12" ht="14.4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9"/>
      <c r="L132" s="9"/>
    </row>
    <row r="133" spans="1:12" ht="14.4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9"/>
      <c r="L133" s="9"/>
    </row>
    <row r="134" spans="1:12" ht="14.4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9"/>
      <c r="L134" s="9"/>
    </row>
    <row r="135" spans="1:12" ht="14.4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9"/>
      <c r="L135" s="9"/>
    </row>
    <row r="136" spans="1:12" ht="14.4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9"/>
      <c r="L136" s="9"/>
    </row>
    <row r="137" spans="1:12" ht="14.4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9"/>
      <c r="L137" s="9"/>
    </row>
    <row r="138" spans="1:12" ht="14.4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9"/>
      <c r="L138" s="9"/>
    </row>
    <row r="139" spans="1:12" ht="14.4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9"/>
      <c r="L139" s="9"/>
    </row>
    <row r="140" spans="1:12" ht="14.4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9"/>
      <c r="L140" s="9"/>
    </row>
    <row r="141" spans="1:12" ht="14.4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9"/>
      <c r="L141" s="9"/>
    </row>
    <row r="142" spans="1:12" ht="14.4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9"/>
      <c r="L142" s="9"/>
    </row>
    <row r="143" spans="1:12" ht="14.4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9"/>
      <c r="L143" s="9"/>
    </row>
    <row r="144" spans="1:12" ht="14.4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9"/>
      <c r="L144" s="9"/>
    </row>
    <row r="145" spans="1:12" ht="14.4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9"/>
      <c r="L145" s="9"/>
    </row>
    <row r="146" spans="1:12" ht="14.4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9"/>
      <c r="L146" s="9"/>
    </row>
    <row r="147" spans="1:12" ht="14.4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9"/>
      <c r="L147" s="9"/>
    </row>
    <row r="148" spans="1:12" ht="14.4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9"/>
      <c r="L148" s="9"/>
    </row>
    <row r="149" spans="1:12" ht="14.4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9"/>
      <c r="L149" s="9"/>
    </row>
    <row r="150" spans="1:12" ht="14.4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9"/>
      <c r="L150" s="9"/>
    </row>
    <row r="151" spans="1:12" ht="14.4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9"/>
      <c r="L151" s="9"/>
    </row>
    <row r="152" spans="1:12" ht="14.4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9"/>
      <c r="L152" s="9"/>
    </row>
    <row r="153" spans="1:12" ht="14.4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9"/>
      <c r="L153" s="9"/>
    </row>
    <row r="154" spans="1:12" ht="14.4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9"/>
      <c r="L154" s="9"/>
    </row>
    <row r="155" spans="1:12" ht="14.4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9"/>
      <c r="L155" s="9"/>
    </row>
    <row r="156" spans="1:12" ht="14.4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9"/>
      <c r="L156" s="9"/>
    </row>
    <row r="157" spans="1:12" ht="14.4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9"/>
      <c r="L157" s="9"/>
    </row>
    <row r="158" spans="1:12" ht="14.4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9"/>
      <c r="L158" s="9"/>
    </row>
    <row r="159" spans="1:12" ht="14.4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9"/>
      <c r="L159" s="9"/>
    </row>
    <row r="160" spans="1:12" ht="14.4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9"/>
      <c r="L160" s="9"/>
    </row>
    <row r="161" spans="1:12" ht="14.4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9"/>
      <c r="L161" s="9"/>
    </row>
    <row r="162" spans="1:12" ht="14.4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9"/>
      <c r="L162" s="9"/>
    </row>
    <row r="163" spans="1:12" ht="14.4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9"/>
      <c r="L163" s="9"/>
    </row>
    <row r="164" spans="1:12" ht="14.4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9"/>
      <c r="L164" s="9"/>
    </row>
    <row r="165" spans="1:12" ht="14.4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9"/>
      <c r="L165" s="9"/>
    </row>
    <row r="166" spans="1:12" ht="14.4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9"/>
      <c r="L166" s="9"/>
    </row>
    <row r="167" spans="1:12" ht="14.4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9"/>
      <c r="L167" s="9"/>
    </row>
    <row r="168" spans="1:12" ht="14.4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9"/>
      <c r="L168" s="9"/>
    </row>
    <row r="169" spans="1:12" ht="14.4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9"/>
      <c r="L169" s="9"/>
    </row>
    <row r="170" spans="1:12" ht="14.4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9"/>
      <c r="L170" s="9"/>
    </row>
    <row r="171" spans="1:12" ht="14.4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9"/>
      <c r="L171" s="9"/>
    </row>
    <row r="172" spans="1:12" ht="14.4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9"/>
      <c r="L172" s="9"/>
    </row>
    <row r="173" spans="1:12" ht="14.4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9"/>
      <c r="L173" s="9"/>
    </row>
    <row r="174" spans="1:12" ht="14.4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9"/>
      <c r="L174" s="9"/>
    </row>
    <row r="175" spans="1:12" ht="14.4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9"/>
      <c r="L175" s="9"/>
    </row>
    <row r="176" spans="1:12" ht="14.4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9"/>
      <c r="L176" s="9"/>
    </row>
    <row r="177" spans="1:12" ht="14.4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9"/>
      <c r="L177" s="9"/>
    </row>
    <row r="178" spans="1:12" ht="14.4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9"/>
      <c r="L178" s="9"/>
    </row>
    <row r="179" spans="1:12" ht="14.4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9"/>
      <c r="L179" s="9"/>
    </row>
    <row r="180" spans="1:12" ht="14.4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9"/>
      <c r="L180" s="9"/>
    </row>
    <row r="181" spans="1:12" ht="14.4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9"/>
      <c r="L181" s="9"/>
    </row>
    <row r="182" spans="1:12" ht="14.4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9"/>
      <c r="L182" s="9"/>
    </row>
    <row r="183" spans="1:12" ht="14.4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9"/>
      <c r="L183" s="9"/>
    </row>
    <row r="184" spans="1:12" ht="14.4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9"/>
      <c r="L184" s="9"/>
    </row>
    <row r="185" spans="1:12" ht="14.4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9"/>
      <c r="L185" s="9"/>
    </row>
    <row r="186" spans="1:12" ht="14.4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9"/>
      <c r="L186" s="9"/>
    </row>
    <row r="187" spans="1:12" ht="14.4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9"/>
      <c r="L187" s="9"/>
    </row>
    <row r="188" spans="1:12" ht="14.4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9"/>
      <c r="L188" s="9"/>
    </row>
    <row r="189" spans="1:12" ht="14.4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9"/>
      <c r="L189" s="9"/>
    </row>
    <row r="190" spans="1:12" ht="14.4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9"/>
      <c r="L190" s="9"/>
    </row>
    <row r="191" spans="1:12" ht="14.4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9"/>
      <c r="L191" s="9"/>
    </row>
    <row r="192" spans="1:12" ht="14.4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9"/>
      <c r="L192" s="9"/>
    </row>
    <row r="193" spans="1:12" ht="14.4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9"/>
      <c r="L193" s="9"/>
    </row>
    <row r="194" spans="1:12" ht="14.4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9"/>
      <c r="L194" s="9"/>
    </row>
    <row r="195" spans="1:12" ht="14.4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9"/>
      <c r="L195" s="9"/>
    </row>
    <row r="196" spans="1:12" ht="14.4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9"/>
      <c r="L196" s="9"/>
    </row>
    <row r="197" spans="1:12" ht="14.4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9"/>
      <c r="L197" s="9"/>
    </row>
    <row r="198" spans="1:12" ht="14.4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9"/>
      <c r="L198" s="9"/>
    </row>
    <row r="199" spans="1:12" ht="14.4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9"/>
      <c r="L199" s="9"/>
    </row>
    <row r="200" spans="1:12" ht="14.4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9"/>
      <c r="L200" s="9"/>
    </row>
    <row r="201" spans="1:12" ht="14.4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9"/>
      <c r="L201" s="9"/>
    </row>
    <row r="202" spans="1:12" ht="14.4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9"/>
      <c r="L202" s="9"/>
    </row>
    <row r="203" spans="1:12" ht="14.4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9"/>
      <c r="L203" s="9"/>
    </row>
    <row r="204" spans="1:12" ht="14.4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9"/>
      <c r="L204" s="9"/>
    </row>
    <row r="205" spans="1:12" ht="14.4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9"/>
      <c r="L205" s="9"/>
    </row>
    <row r="206" spans="1:12" ht="14.4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9"/>
      <c r="L206" s="9"/>
    </row>
    <row r="207" spans="1:12" ht="14.4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9"/>
      <c r="L207" s="9"/>
    </row>
    <row r="208" spans="1:12" ht="14.4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9"/>
      <c r="L208" s="9"/>
    </row>
    <row r="209" spans="1:12" ht="14.4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9"/>
      <c r="L209" s="9"/>
    </row>
    <row r="210" spans="1:12" ht="14.4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9"/>
      <c r="L210" s="9"/>
    </row>
    <row r="211" spans="1:12" ht="14.4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9"/>
      <c r="L211" s="9"/>
    </row>
    <row r="212" spans="1:12" ht="14.4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9"/>
      <c r="L212" s="9"/>
    </row>
    <row r="213" spans="1:12" ht="14.4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9"/>
      <c r="L213" s="9"/>
    </row>
    <row r="214" spans="1:12" ht="14.4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9"/>
      <c r="L214" s="9"/>
    </row>
    <row r="215" spans="1:12" ht="14.4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9"/>
      <c r="L215" s="9"/>
    </row>
    <row r="216" spans="1:12" ht="14.4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9"/>
      <c r="L216" s="9"/>
    </row>
    <row r="217" spans="1:12" ht="14.4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9"/>
      <c r="L217" s="9"/>
    </row>
    <row r="218" spans="1:12" ht="14.4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9"/>
      <c r="L218" s="9"/>
    </row>
    <row r="219" spans="1:12" ht="14.4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9"/>
      <c r="L219" s="9"/>
    </row>
    <row r="220" spans="1:12" ht="14.4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9"/>
      <c r="L220" s="9"/>
    </row>
    <row r="221" spans="1:12" ht="14.4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9"/>
      <c r="L221" s="9"/>
    </row>
    <row r="222" spans="1:12" ht="14.4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9"/>
      <c r="L222" s="9"/>
    </row>
    <row r="223" spans="1:12" ht="14.4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9"/>
      <c r="L223" s="9"/>
    </row>
    <row r="224" spans="1:12" ht="14.4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9"/>
      <c r="L224" s="9"/>
    </row>
    <row r="225" spans="1:12" ht="14.4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9"/>
      <c r="L225" s="9"/>
    </row>
    <row r="226" spans="1:12" ht="14.4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9"/>
      <c r="L226" s="9"/>
    </row>
    <row r="227" spans="1:12" ht="14.4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9"/>
      <c r="L227" s="9"/>
    </row>
    <row r="228" spans="1:12" ht="14.4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9"/>
      <c r="L228" s="9"/>
    </row>
    <row r="229" spans="1:12" ht="14.4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9"/>
      <c r="L229" s="9"/>
    </row>
    <row r="230" spans="1:12" ht="14.4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9"/>
      <c r="L230" s="9"/>
    </row>
    <row r="231" spans="1:12" ht="14.4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9"/>
      <c r="L231" s="9"/>
    </row>
    <row r="232" spans="1:12" ht="14.4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9"/>
      <c r="L232" s="9"/>
    </row>
    <row r="233" spans="1:12" ht="14.4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9"/>
      <c r="L233" s="9"/>
    </row>
    <row r="234" spans="1:12" ht="14.4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9"/>
      <c r="L234" s="9"/>
    </row>
    <row r="235" spans="1:12" ht="14.4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9"/>
      <c r="L235" s="9"/>
    </row>
    <row r="236" spans="1:12" ht="14.4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9"/>
      <c r="L236" s="9"/>
    </row>
    <row r="237" spans="1:12" ht="14.4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9"/>
      <c r="L237" s="9"/>
    </row>
    <row r="238" spans="1:12" ht="14.4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9"/>
      <c r="L238" s="9"/>
    </row>
    <row r="239" spans="1:12" ht="14.4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9"/>
      <c r="L239" s="9"/>
    </row>
    <row r="240" spans="1:12" ht="14.4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9"/>
      <c r="L240" s="9"/>
    </row>
    <row r="241" spans="1:12" ht="14.4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9"/>
      <c r="L241" s="9"/>
    </row>
    <row r="242" spans="1:12" ht="14.4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9"/>
      <c r="L242" s="9"/>
    </row>
    <row r="243" spans="1:12" ht="14.4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9"/>
      <c r="L243" s="9"/>
    </row>
    <row r="244" spans="1:12" ht="14.4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9"/>
      <c r="L244" s="9"/>
    </row>
    <row r="245" spans="1:12" ht="14.4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9"/>
      <c r="L245" s="9"/>
    </row>
    <row r="246" spans="1:12" ht="14.4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9"/>
      <c r="L246" s="9"/>
    </row>
    <row r="247" spans="1:12" ht="14.4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9"/>
      <c r="L247" s="9"/>
    </row>
    <row r="248" spans="1:12" ht="14.4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9"/>
      <c r="L248" s="9"/>
    </row>
    <row r="249" spans="1:12" ht="14.4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9"/>
      <c r="L249" s="9"/>
    </row>
    <row r="250" spans="1:12" ht="14.4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9"/>
      <c r="L250" s="9"/>
    </row>
    <row r="251" spans="1:12" ht="14.4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9"/>
      <c r="L251" s="9"/>
    </row>
    <row r="252" spans="1:12" ht="14.4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9"/>
      <c r="L252" s="9"/>
    </row>
    <row r="253" spans="1:12" ht="14.4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9"/>
      <c r="L253" s="9"/>
    </row>
    <row r="254" spans="1:12" ht="14.4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9"/>
      <c r="L254" s="9"/>
    </row>
    <row r="255" spans="1:12" ht="14.4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9"/>
      <c r="L255" s="9"/>
    </row>
    <row r="256" spans="1:12" ht="14.4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9"/>
      <c r="L256" s="9"/>
    </row>
    <row r="257" spans="1:12" ht="14.4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9"/>
      <c r="L257" s="9"/>
    </row>
    <row r="258" spans="1:12" ht="14.4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9"/>
      <c r="L258" s="9"/>
    </row>
    <row r="259" spans="1:12" ht="14.4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9"/>
      <c r="L259" s="9"/>
    </row>
    <row r="260" spans="1:12" ht="14.4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9"/>
      <c r="L260" s="9"/>
    </row>
    <row r="261" spans="1:12" ht="14.4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9"/>
      <c r="L261" s="9"/>
    </row>
    <row r="262" spans="1:12" ht="14.4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9"/>
      <c r="L262" s="9"/>
    </row>
    <row r="263" spans="1:12" ht="14.4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9"/>
      <c r="L263" s="9"/>
    </row>
    <row r="264" spans="1:12" ht="14.4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9"/>
      <c r="L264" s="9"/>
    </row>
    <row r="265" spans="1:12" ht="14.4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9"/>
      <c r="L265" s="9"/>
    </row>
    <row r="266" spans="1:12" ht="14.4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9"/>
      <c r="L266" s="9"/>
    </row>
    <row r="267" spans="1:12" ht="14.4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9"/>
      <c r="L267" s="9"/>
    </row>
    <row r="268" spans="1:12" ht="14.4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9"/>
      <c r="L268" s="9"/>
    </row>
    <row r="269" spans="1:12" ht="14.4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9"/>
      <c r="L269" s="9"/>
    </row>
    <row r="270" spans="1:12" ht="14.4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9"/>
      <c r="L270" s="9"/>
    </row>
    <row r="271" spans="1:12" ht="14.4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9"/>
      <c r="L271" s="9"/>
    </row>
    <row r="272" spans="1:12" ht="14.4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9"/>
      <c r="L272" s="9"/>
    </row>
    <row r="273" spans="1:12" ht="14.4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9"/>
      <c r="L273" s="9"/>
    </row>
    <row r="274" spans="1:12" ht="14.4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9"/>
      <c r="L274" s="9"/>
    </row>
    <row r="275" spans="1:12" ht="14.4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9"/>
      <c r="L275" s="9"/>
    </row>
    <row r="276" spans="1:12" ht="14.4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9"/>
      <c r="L276" s="9"/>
    </row>
    <row r="277" spans="1:12" ht="14.4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9"/>
      <c r="L277" s="9"/>
    </row>
    <row r="278" spans="1:12" ht="14.4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9"/>
      <c r="L278" s="9"/>
    </row>
    <row r="279" spans="1:12" ht="14.4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9"/>
      <c r="L279" s="9"/>
    </row>
    <row r="280" spans="1:12" ht="14.4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9"/>
      <c r="L280" s="9"/>
    </row>
    <row r="281" spans="1:12" ht="14.4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9"/>
      <c r="L281" s="9"/>
    </row>
    <row r="282" spans="1:12" ht="14.4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9"/>
      <c r="L282" s="9"/>
    </row>
    <row r="283" spans="1:12" ht="14.4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9"/>
      <c r="L283" s="9"/>
    </row>
    <row r="284" spans="1:12" ht="14.4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9"/>
      <c r="L284" s="9"/>
    </row>
    <row r="285" spans="1:12" ht="14.4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9"/>
      <c r="L285" s="9"/>
    </row>
    <row r="286" spans="1:12" ht="14.4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9"/>
      <c r="L286" s="9"/>
    </row>
    <row r="287" spans="1:12" ht="14.4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9"/>
      <c r="L287" s="9"/>
    </row>
    <row r="288" spans="1:12" ht="14.4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9"/>
      <c r="L288" s="9"/>
    </row>
    <row r="289" spans="1:12" ht="14.4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9"/>
      <c r="L289" s="9"/>
    </row>
    <row r="290" spans="1:12" ht="14.4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9"/>
      <c r="L290" s="9"/>
    </row>
    <row r="291" spans="1:12" ht="14.4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9"/>
      <c r="L291" s="9"/>
    </row>
    <row r="292" spans="1:12" ht="14.4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9"/>
      <c r="L292" s="9"/>
    </row>
    <row r="293" spans="1:12" ht="14.4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9"/>
      <c r="L293" s="9"/>
    </row>
    <row r="294" spans="1:12" ht="14.4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9"/>
      <c r="L294" s="9"/>
    </row>
    <row r="295" spans="1:12" ht="14.4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9"/>
      <c r="L295" s="9"/>
    </row>
    <row r="296" spans="1:12" ht="14.4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9"/>
      <c r="L296" s="9"/>
    </row>
    <row r="297" spans="1:12" ht="14.4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9"/>
      <c r="L297" s="9"/>
    </row>
    <row r="298" spans="1:12" ht="14.4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9"/>
      <c r="L298" s="9"/>
    </row>
    <row r="299" spans="1:12" ht="14.4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9"/>
      <c r="L299" s="9"/>
    </row>
    <row r="300" spans="1:12" ht="14.4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9"/>
      <c r="L300" s="9"/>
    </row>
    <row r="301" spans="1:12" ht="14.4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9"/>
      <c r="L301" s="9"/>
    </row>
    <row r="302" spans="1:12" ht="14.4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9"/>
      <c r="L302" s="9"/>
    </row>
    <row r="303" spans="1:12" ht="14.4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9"/>
      <c r="L303" s="9"/>
    </row>
    <row r="304" spans="1:12" ht="14.4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9"/>
      <c r="L304" s="9"/>
    </row>
    <row r="305" spans="1:12" ht="14.4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9"/>
      <c r="L305" s="9"/>
    </row>
    <row r="306" spans="1:12" ht="14.4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9"/>
      <c r="L306" s="9"/>
    </row>
    <row r="307" spans="1:12" ht="14.4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9"/>
      <c r="L307" s="9"/>
    </row>
    <row r="308" spans="1:12" ht="14.4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9"/>
      <c r="L308" s="9"/>
    </row>
    <row r="309" spans="1:12" ht="14.4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9"/>
      <c r="L309" s="9"/>
    </row>
    <row r="310" spans="1:12" ht="14.4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9"/>
      <c r="L310" s="9"/>
    </row>
    <row r="311" spans="1:12" ht="14.4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9"/>
      <c r="L311" s="9"/>
    </row>
    <row r="312" spans="1:12" ht="14.4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9"/>
      <c r="L312" s="9"/>
    </row>
    <row r="313" spans="1:12" ht="14.4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9"/>
      <c r="L313" s="9"/>
    </row>
    <row r="314" spans="1:12" ht="14.4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9"/>
      <c r="L314" s="9"/>
    </row>
    <row r="315" spans="1:12" ht="14.4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9"/>
      <c r="L315" s="9"/>
    </row>
    <row r="316" spans="1:12" ht="14.4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9"/>
      <c r="L316" s="9"/>
    </row>
    <row r="317" spans="1:12" ht="14.4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9"/>
      <c r="L317" s="9"/>
    </row>
    <row r="318" spans="1:12" ht="14.4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9"/>
      <c r="L318" s="9"/>
    </row>
    <row r="319" spans="1:12" ht="14.4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9"/>
      <c r="L319" s="9"/>
    </row>
    <row r="320" spans="1:12" ht="14.4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9"/>
      <c r="L320" s="9"/>
    </row>
    <row r="321" spans="1:12" ht="14.4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9"/>
      <c r="L321" s="9"/>
    </row>
    <row r="322" spans="1:12" ht="14.45">
      <c r="C322" s="9"/>
      <c r="D322" s="9"/>
      <c r="E322" s="9"/>
      <c r="F322" s="10"/>
      <c r="G322" s="9"/>
      <c r="H322" s="9"/>
      <c r="I322" s="10"/>
      <c r="J322" s="9"/>
      <c r="K322" s="99"/>
      <c r="L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6"/>
  <sheetViews>
    <sheetView workbookViewId="0">
      <pane ySplit="3" topLeftCell="A4" activePane="bottomLeft" state="frozen"/>
      <selection pane="bottomLeft" activeCell="A9" sqref="A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66</v>
      </c>
      <c r="B1" t="s">
        <v>67</v>
      </c>
    </row>
    <row r="3" spans="1:12" ht="13.15">
      <c r="A3" t="s">
        <v>68</v>
      </c>
      <c r="B3" t="s">
        <v>3</v>
      </c>
      <c r="C3" t="s">
        <v>4</v>
      </c>
      <c r="D3" t="s">
        <v>69</v>
      </c>
      <c r="E3" s="2" t="s">
        <v>70</v>
      </c>
    </row>
    <row r="4" spans="1:12" ht="14.45">
      <c r="A4" s="24" t="s">
        <v>71</v>
      </c>
      <c r="B4" t="s">
        <v>72</v>
      </c>
      <c r="C4" s="23" t="s">
        <v>73</v>
      </c>
      <c r="D4" s="22"/>
      <c r="E4" t="s">
        <v>74</v>
      </c>
      <c r="G4" s="3"/>
    </row>
    <row r="5" spans="1:12" ht="14.45">
      <c r="A5" s="24" t="s">
        <v>75</v>
      </c>
      <c r="B5" t="s">
        <v>75</v>
      </c>
      <c r="C5" s="23" t="s">
        <v>76</v>
      </c>
      <c r="D5" s="22" t="s">
        <v>77</v>
      </c>
      <c r="E5" t="s">
        <v>74</v>
      </c>
      <c r="G5" s="3"/>
    </row>
    <row r="6" spans="1:12" ht="14.45">
      <c r="A6" s="24" t="s">
        <v>78</v>
      </c>
      <c r="B6" t="s">
        <v>79</v>
      </c>
      <c r="C6" s="23" t="s">
        <v>76</v>
      </c>
      <c r="D6" s="22"/>
      <c r="E6" t="s">
        <v>74</v>
      </c>
      <c r="G6" s="3"/>
    </row>
    <row r="7" spans="1:12" ht="12.75" customHeight="1">
      <c r="A7" s="67" t="s">
        <v>80</v>
      </c>
      <c r="B7" s="60" t="s">
        <v>81</v>
      </c>
      <c r="C7" s="23" t="s">
        <v>82</v>
      </c>
      <c r="E7" t="s">
        <v>74</v>
      </c>
      <c r="K7" s="21"/>
      <c r="L7" s="21"/>
    </row>
    <row r="8" spans="1:12" ht="12.75" customHeight="1">
      <c r="A8" s="67" t="s">
        <v>83</v>
      </c>
      <c r="B8" s="60" t="s">
        <v>84</v>
      </c>
      <c r="C8" s="23" t="s">
        <v>76</v>
      </c>
      <c r="E8" t="s">
        <v>74</v>
      </c>
      <c r="K8" s="21"/>
      <c r="L8" s="21"/>
    </row>
    <row r="9" spans="1:12" ht="12.75" customHeight="1">
      <c r="A9" s="67" t="s">
        <v>85</v>
      </c>
      <c r="B9" s="60" t="s">
        <v>86</v>
      </c>
      <c r="C9" s="23" t="s">
        <v>82</v>
      </c>
      <c r="E9" t="s">
        <v>74</v>
      </c>
      <c r="K9" s="21"/>
      <c r="L9" s="21"/>
    </row>
    <row r="10" spans="1:12" ht="12.75" customHeight="1">
      <c r="A10" s="67" t="s">
        <v>87</v>
      </c>
      <c r="B10" s="60" t="s">
        <v>87</v>
      </c>
      <c r="C10" s="23" t="s">
        <v>76</v>
      </c>
      <c r="E10" t="s">
        <v>74</v>
      </c>
      <c r="K10" s="21"/>
      <c r="L10" s="21"/>
    </row>
    <row r="11" spans="1:12" ht="12.75" customHeight="1">
      <c r="A11" s="63" t="s">
        <v>88</v>
      </c>
      <c r="B11" s="60" t="s">
        <v>89</v>
      </c>
      <c r="C11" s="23" t="s">
        <v>76</v>
      </c>
      <c r="E11" t="s">
        <v>74</v>
      </c>
      <c r="K11" s="21"/>
      <c r="L11" s="21"/>
    </row>
    <row r="12" spans="1:12" ht="12.75" customHeight="1">
      <c r="A12" s="67" t="s">
        <v>90</v>
      </c>
      <c r="B12" s="60" t="s">
        <v>91</v>
      </c>
      <c r="C12" s="23" t="s">
        <v>76</v>
      </c>
      <c r="E12" t="s">
        <v>74</v>
      </c>
      <c r="K12" s="21"/>
      <c r="L12" s="21"/>
    </row>
    <row r="13" spans="1:12" ht="12.75" customHeight="1">
      <c r="A13" s="67" t="s">
        <v>92</v>
      </c>
      <c r="B13" s="60" t="s">
        <v>93</v>
      </c>
      <c r="C13" s="23" t="s">
        <v>94</v>
      </c>
      <c r="D13" t="s">
        <v>77</v>
      </c>
      <c r="E13" s="72" t="s">
        <v>74</v>
      </c>
    </row>
    <row r="14" spans="1:12" ht="12.75" customHeight="1">
      <c r="A14" s="67" t="s">
        <v>95</v>
      </c>
      <c r="B14" s="60" t="s">
        <v>96</v>
      </c>
      <c r="C14" s="23" t="s">
        <v>82</v>
      </c>
      <c r="D14" t="s">
        <v>77</v>
      </c>
      <c r="E14" t="s">
        <v>74</v>
      </c>
    </row>
    <row r="16" spans="1:12" ht="12.75" customHeight="1">
      <c r="A16" s="63"/>
      <c r="B16" s="60"/>
      <c r="C16" s="23"/>
      <c r="K16" s="21"/>
      <c r="L16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13C801A4-5CB3-4B13-B1C2-60E44A135842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2026-02-21T11:48:25Z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2024-09-13T14:09:38Z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5e2876eb-07b3-41bf-9665-a07636594534</vt:lpwstr>
  </property>
  <property fmtid="{D5CDD505-2E9C-101B-9397-08002B2CF9AE}" pid="9" name="MSIP_Label_9d817c99-0b37-4a07-8277-96aa1f96b74b_ContentBits">
    <vt:lpwstr>0</vt:lpwstr>
  </property>
</Properties>
</file>