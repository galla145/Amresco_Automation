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4B8347B1-9F3E-4266-A0A7-94D54C0B39B9}" xr6:coauthVersionLast="47" xr6:coauthVersionMax="47" xr10:uidLastSave="{00000000-0000-0000-0000-000000000000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2" l="1"/>
  <c r="G5" i="29"/>
  <c r="G4" i="29"/>
  <c r="E4" i="19"/>
  <c r="F4" i="19" s="1"/>
  <c r="H4" i="19"/>
  <c r="I4" i="19" s="1"/>
  <c r="E4" i="20"/>
  <c r="H4" i="21"/>
  <c r="H4" i="20"/>
  <c r="H5" i="21"/>
  <c r="H5" i="20"/>
  <c r="I5" i="20" s="1"/>
  <c r="I4" i="21"/>
  <c r="I5" i="21"/>
  <c r="H5" i="4"/>
  <c r="E5" i="4"/>
  <c r="E5" i="72"/>
  <c r="F5" i="72" s="1"/>
  <c r="H5" i="3"/>
  <c r="I5" i="3" s="1"/>
  <c r="G5" i="30"/>
  <c r="G4" i="30"/>
  <c r="G5" i="18"/>
  <c r="G4" i="18"/>
  <c r="H6" i="28"/>
  <c r="I6" i="28" s="1"/>
  <c r="E6" i="28"/>
  <c r="F6" i="28" s="1"/>
  <c r="H6" i="27"/>
  <c r="I6" i="27" s="1"/>
  <c r="E6" i="27"/>
  <c r="F6" i="27" s="1"/>
  <c r="H6" i="26"/>
  <c r="I6" i="26" s="1"/>
  <c r="E6" i="26"/>
  <c r="F6" i="26" s="1"/>
  <c r="H6" i="21"/>
  <c r="I6" i="21" s="1"/>
  <c r="E6" i="21"/>
  <c r="F6" i="21" s="1"/>
  <c r="H6" i="4"/>
  <c r="I6" i="4" s="1"/>
  <c r="E6" i="4"/>
  <c r="F6" i="4" s="1"/>
  <c r="E6" i="3"/>
  <c r="F6" i="3"/>
  <c r="H6" i="3"/>
  <c r="I6" i="3" s="1"/>
  <c r="E6" i="72"/>
  <c r="F6" i="72"/>
  <c r="H6" i="72"/>
  <c r="I6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G5" i="1"/>
  <c r="G4" i="1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I5" i="32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G2" i="19"/>
  <c r="D2" i="19"/>
  <c r="C2" i="19"/>
  <c r="A1" i="19" a="1"/>
  <c r="A1" i="19" s="1"/>
  <c r="E5" i="20"/>
  <c r="F5" i="20" s="1"/>
  <c r="I4" i="20"/>
  <c r="F4" i="20"/>
  <c r="G2" i="20"/>
  <c r="D2" i="20"/>
  <c r="C2" i="20"/>
  <c r="A1" i="20" a="1"/>
  <c r="A1" i="20" s="1"/>
  <c r="E5" i="21"/>
  <c r="F5" i="21" s="1"/>
  <c r="E4" i="21"/>
  <c r="F4" i="21" s="1"/>
  <c r="G2" i="21"/>
  <c r="D2" i="21"/>
  <c r="C2" i="21"/>
  <c r="A1" i="21" a="1"/>
  <c r="A1" i="21" s="1"/>
  <c r="I5" i="4"/>
  <c r="F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D2" i="30" l="1"/>
  <c r="E4" i="30"/>
  <c r="F4" i="30" s="1"/>
  <c r="G2" i="30"/>
  <c r="G2" i="29"/>
  <c r="G5" i="34"/>
  <c r="G2" i="18"/>
  <c r="G4" i="34"/>
  <c r="E5" i="30"/>
  <c r="F5" i="30" s="1"/>
  <c r="C5" i="34"/>
  <c r="D5" i="34"/>
  <c r="D4" i="34"/>
  <c r="E4" i="18"/>
  <c r="F4" i="18" s="1"/>
  <c r="D2" i="18"/>
  <c r="E5" i="18"/>
  <c r="F5" i="18" s="1"/>
  <c r="D2" i="29"/>
  <c r="E5" i="29"/>
  <c r="F5" i="29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H4" i="18"/>
  <c r="I4" i="18" s="1"/>
  <c r="C4" i="34"/>
  <c r="H5" i="18"/>
  <c r="I5" i="18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29" l="1"/>
  <c r="H5" i="34"/>
  <c r="I5" i="34" s="1"/>
  <c r="G2" i="34"/>
  <c r="D2" i="34"/>
  <c r="E2" i="29"/>
  <c r="F2" i="29" s="1"/>
  <c r="E5" i="34"/>
  <c r="F5" i="34" s="1"/>
  <c r="E4" i="34"/>
  <c r="F4" i="34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<sst xmlns="http://schemas.openxmlformats.org/spreadsheetml/2006/main" count="255" uniqueCount="62">
  <si>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</si>
  <si>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</si>
  <si>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</si>
  <si>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</si>
  <si>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</si>
  <si>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</si>
  <si>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</si>
  <si>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</si>
  <si>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</si>
  <si>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</si>
  <si>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</si>
  <si>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</si>
  <si>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</si>
  <si>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</si>
  <si>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</si>
  <si>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</si>
  <si>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</si>
  <si>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</si>
  <si>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</si>
  <si>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</si>
  <si>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</si>
  <si>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</si>
  <si>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Status</t>
  </si>
  <si>
    <t>1.No site production from 01/25 till end of the month due to snow
2. Inverter 2 was underperforming by 10kW down compared to peer inverter. The quote was expired.</t>
  </si>
  <si>
    <t>2.SR100595</t>
  </si>
  <si>
    <t>1.Closed</t>
  </si>
  <si>
    <t>1.Actual vs expected delta is showing 61% due to expected energy recording low possibly due to data glitch (similar event observe last 2 years)
2.Inverter 7 tripped offline at 12:30 on 01/10 and starting late for the production for most of the days.
3.Site production was minimal from 01/25 due to snow</t>
  </si>
  <si>
    <t>2.SR114376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</si>
  <si>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</si>
  <si>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</si>
  <si>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</si>
  <si>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</si>
  <si>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</si>
  <si>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</si>
  <si>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</si>
  <si>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</si>
  <si>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</si>
  <si>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</si>
  <si>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</si>
  <si>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</si>
  <si>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</si>
  <si>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</si>
  <si>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</si>
  <si>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</si>
  <si>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</si>
  <si>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</si>
  <si>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</si>
  <si>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</si>
  <si>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</si>
  <si>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</si>
  <si>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</si>
  <si>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Amergy Solar</t>
  </si>
  <si>
    <t>Site DAS Name</t>
  </si>
  <si>
    <t>Update</t>
  </si>
  <si>
    <t>DAS</t>
  </si>
  <si>
    <t>Howell Ice Arena</t>
  </si>
  <si>
    <t>Farmingdale - Howell Ice Arena</t>
  </si>
  <si>
    <t>NJ</t>
  </si>
  <si>
    <t>AEF</t>
  </si>
  <si>
    <t>PowerTrack</t>
  </si>
  <si>
    <t>Igloo</t>
  </si>
  <si>
    <t>Mount Laurel - Igloo Ice 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</si>
</sst>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9"/>
      <color rgb="FF555555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77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35" fillId="46" borderId="12" xfId="0" applyFont="1" applyFill="1" applyBorder="1"/>
    <xf numFmtId="0" fontId="35" fillId="0" borderId="0" xfId="0" applyFont="1"/>
    <xf numFmtId="0" fontId="35" fillId="0" borderId="12" xfId="0" applyFont="1" applyBorder="1"/>
    <xf numFmtId="164" fontId="28" fillId="47" borderId="0" xfId="1" applyNumberFormat="1" applyFont="1" applyFill="1" applyBorder="1" applyAlignment="1">
      <alignment horizontal="center" vertical="center"/>
    </xf>
    <xf numFmtId="3" fontId="30" fillId="48" borderId="0" xfId="0" applyNumberFormat="1" applyFont="1" applyFill="1" applyAlignment="1">
      <alignment horizontal="right" vertical="center"/>
    </xf>
    <xf numFmtId="3" fontId="30" fillId="48" borderId="0" xfId="1" applyNumberFormat="1" applyFont="1" applyFill="1" applyBorder="1" applyAlignment="1">
      <alignment vertical="center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vertical="top" wrapText="1"/>
    </xf>
    <xf numFmtId="49" fontId="36" fillId="0" borderId="0" xfId="45" applyNumberFormat="1" applyAlignment="1">
      <alignment vertical="top" wrapText="1"/>
    </xf>
    <xf numFmtId="4" fontId="37" fillId="0" borderId="0" xfId="0" applyNumberFormat="1" applyFont="1"/>
    <xf numFmtId="0" fontId="23" fillId="0" borderId="0" xfId="0" applyFont="1"/>
    <xf numFmtId="0" fontId="35" fillId="46" borderId="0" xfId="0" applyFont="1" applyFill="1"/>
    <xf numFmtId="49" fontId="36" fillId="38" borderId="0" xfId="45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0" fontId="0" fillId="0" borderId="0" xfId="0" applyAlignment="1">
      <alignment vertical="top"/>
    </xf>
    <xf numFmtId="0" fontId="36" fillId="0" borderId="0" xfId="45" applyAlignment="1">
      <alignment vertical="top"/>
    </xf>
    <xf numFmtId="0" fontId="34" fillId="40" borderId="0" xfId="0" applyFont="1" applyFill="1" applyAlignment="1">
      <alignment horizontal="center" vertical="center"/>
    </xf>
    <xf numFmtId="0" fontId="38" fillId="0" borderId="0" xfId="0" applyFont="1"/>
    <xf numFmtId="0" fontId="39" fillId="45" borderId="1" xfId="0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49" fontId="38" fillId="38" borderId="0" xfId="2" applyNumberFormat="1" applyFont="1" applyFill="1" applyBorder="1" applyAlignment="1">
      <alignment horizontal="left" vertical="top" wrapText="1"/>
    </xf>
    <xf numFmtId="0" fontId="38" fillId="0" borderId="0" xfId="0" applyFont="1" applyAlignment="1">
      <alignment horizontal="left" vertical="top"/>
    </xf>
    <xf numFmtId="49" fontId="36" fillId="38" borderId="0" xfId="45" applyNumberFormat="1" applyFill="1" applyBorder="1" applyAlignment="1">
      <alignment horizontal="left" vertical="top" wrapText="1"/>
    </xf>
    <xf numFmtId="49" fontId="36" fillId="0" borderId="0" xfId="45" applyNumberFormat="1" applyAlignment="1">
      <alignment horizontal="left" vertical="top" wrapText="1"/>
    </xf>
    <xf numFmtId="0" fontId="3" fillId="0" borderId="0" xfId="0" applyFont="1" applyAlignment="1">
      <alignment vertical="top" wrapText="1"/>
    </xf>
    <xf numFmtId="49" fontId="1" fillId="0" borderId="0" xfId="0" applyNumberFormat="1" applyFont="1" applyAlignment="1">
      <alignment vertical="center" wrapText="1"/>
    </xf>
    <xf numFmtId="0" fontId="36" fillId="0" borderId="0" xfId="45"/>
    <xf numFmtId="49" fontId="38" fillId="38" borderId="0" xfId="2" applyNumberFormat="1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114376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0"/>
  <sheetViews>
    <sheetView workbookViewId="0">
      <pane xSplit="2" ySplit="3" topLeftCell="C4" activePane="bottomRight" state="frozen"/>
      <selection pane="bottomRight" activeCell="I2" sqref="I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Amergy Solar</v>
      </c>
      <c r="B1" s="74"/>
      <c r="C1" s="74"/>
      <c r="D1" s="75" t="s">
        <v>0</v>
      </c>
      <c r="E1" s="75"/>
      <c r="F1" s="75"/>
      <c r="G1" s="73" t="s">
        <v>1</v>
      </c>
      <c r="H1" s="73"/>
      <c r="I1" s="73"/>
    </row>
    <row r="2" spans="1:9" ht="19.5" customHeight="1">
      <c r="A2" s="76" t="s">
        <v>2</v>
      </c>
      <c r="B2" s="76"/>
      <c r="C2" s="5">
        <f>SUM(C4:C88)</f>
        <v>47350.6</v>
      </c>
      <c r="D2" s="5">
        <f>SUM(D4:D88)</f>
        <v>44795.005000000005</v>
      </c>
      <c r="E2" s="5">
        <f>C2-D2</f>
        <v>2555.5949999999939</v>
      </c>
      <c r="F2" s="6">
        <f>IFERROR(E2/D2, 0)</f>
        <v>5.7050892169785303E-2</v>
      </c>
      <c r="G2" s="5">
        <f>SUM(G4:G88)</f>
        <v>86890.092999999993</v>
      </c>
      <c r="H2" s="7">
        <f>C2-G2</f>
        <v>-39539.492999999995</v>
      </c>
      <c r="I2" s="6">
        <f>IFERROR(H2/G2, 0)</f>
        <v>-0.45505179744714969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SUM('1st Qtr'!C4, '2nd Qtr'!C4, '3rd Qtr'!C4, '4th Qtr'!C4)</f>
        <v>20044</v>
      </c>
      <c r="D4" s="13">
        <f>SUM('1st Qtr'!D4, '2nd Qtr'!D4, '3rd Qtr'!D4, '4th Qtr'!D4)</f>
        <v>27886.525000000001</v>
      </c>
      <c r="E4" s="13">
        <f>IF(AND(ISNUMBER(C4),ISNUMBER(D4)), C4-D4, "")</f>
        <v>-7842.5250000000015</v>
      </c>
      <c r="F4" s="14">
        <f>IFERROR(E4/D4, "")</f>
        <v>-0.28122991301354333</v>
      </c>
      <c r="G4" s="15">
        <f>SUM('1st Qtr'!G4+'2nd Qtr'!G4+'3rd Qtr'!G4+'4th Qtr'!G4)</f>
        <v>49436.15</v>
      </c>
      <c r="H4" s="15">
        <f>SUM('1st Qtr'!H4, '2nd Qtr'!H4, '3rd Qtr'!H4, '4th Qtr'!H4)</f>
        <v>-29392.15</v>
      </c>
      <c r="I4" s="16">
        <f>IFERROR(H4/G4, "")</f>
        <v>-0.59454771457728806</v>
      </c>
    </row>
    <row r="5" spans="1:9" ht="15.6">
      <c r="A5" s="17" t="str">
        <v>Mount Laurel - Igloo Ice Rink</v>
      </c>
      <c r="B5" s="10" t="str">
        <v>NJ</v>
      </c>
      <c r="C5" s="46">
        <f>SUM('1st Qtr'!C5, '2nd Qtr'!C5, '3rd Qtr'!C5, '4th Qtr'!C5)</f>
        <v>27306.6</v>
      </c>
      <c r="D5" s="47">
        <f>SUM('1st Qtr'!D5, '2nd Qtr'!D5, '3rd Qtr'!D5, '4th Qtr'!D5)</f>
        <v>16908.48</v>
      </c>
      <c r="E5" s="18">
        <f t="shared" ref="E5" si="0">IF(AND(ISNUMBER(C5),ISNUMBER(D5)), C5-D5, "")</f>
        <v>10398.119999999999</v>
      </c>
      <c r="F5" s="19">
        <f>IFERROR(E5/D5, "")</f>
        <v>0.61496479872821208</v>
      </c>
      <c r="G5" s="48">
        <f>SUM('1st Qtr'!G5+'2nd Qtr'!G5+'3rd Qtr'!G5+'4th Qtr'!G5)</f>
        <v>37453.942999999999</v>
      </c>
      <c r="H5" s="18">
        <f>SUM('1st Qtr'!H5, '2nd Qtr'!H5, '3rd Qtr'!H5, '4th Qtr'!H5)</f>
        <v>-10147.343000000001</v>
      </c>
      <c r="I5" s="19">
        <f>IFERROR(H5/G5, "")</f>
        <v>-0.27092856418348266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8 I4:I88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xSplit="2" ySplit="3" topLeftCell="C4" activePane="bottomRight" state="frozen"/>
      <selection pane="bottomRight" activeCell="I2" sqref="I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Amergy Solar</v>
      </c>
      <c r="B1" s="74"/>
      <c r="C1" s="74"/>
      <c r="D1" s="75" t="s">
        <v>10</v>
      </c>
      <c r="E1" s="75"/>
      <c r="F1" s="75"/>
      <c r="G1" s="73" t="s">
        <v>11</v>
      </c>
      <c r="H1" s="73"/>
      <c r="I1" s="73"/>
    </row>
    <row r="2" spans="1:9" ht="19.5" customHeight="1">
      <c r="A2" s="76" t="s">
        <v>2</v>
      </c>
      <c r="B2" s="76"/>
      <c r="C2" s="5">
        <f>SUM(C4:C88)</f>
        <v>47350.6</v>
      </c>
      <c r="D2" s="5">
        <f>SUM(D4:D88)</f>
        <v>44795.005000000005</v>
      </c>
      <c r="E2" s="5">
        <f>C2-D2</f>
        <v>2555.5949999999939</v>
      </c>
      <c r="F2" s="6">
        <f>IFERROR(E2/D2, 0)</f>
        <v>5.7050892169785303E-2</v>
      </c>
      <c r="G2" s="5">
        <f>SUM(G4:G88)</f>
        <v>86890.092999999993</v>
      </c>
      <c r="H2" s="7">
        <f>C2-G2</f>
        <v>-39539.492999999995</v>
      </c>
      <c r="I2" s="6">
        <f>IFERROR(H2/G2, 0)</f>
        <v>-0.45505179744714969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SUM(Jan!C4, Feb!C4, Mar!C4)</f>
        <v>20044</v>
      </c>
      <c r="D4" s="13">
        <f>SUM(Jan!D4, Feb!D4, Mar!D4)</f>
        <v>27886.525000000001</v>
      </c>
      <c r="E4" s="13">
        <f>IF(AND(ISNUMBER(C4),ISNUMBER(D4)), C4-D4, "")</f>
        <v>-7842.5250000000015</v>
      </c>
      <c r="F4" s="14">
        <f>IFERROR(E4/D4, "")</f>
        <v>-0.28122991301354333</v>
      </c>
      <c r="G4" s="15">
        <f>SUM(Jan!G4, Feb!G4, Mar!G4)</f>
        <v>49436.15</v>
      </c>
      <c r="H4" s="15">
        <f>SUM(Jan!H4, Feb!H4, Mar!H4)</f>
        <v>-29392.15</v>
      </c>
      <c r="I4" s="16">
        <f>IFERROR(H4/G4, "")</f>
        <v>-0.59454771457728806</v>
      </c>
    </row>
    <row r="5" spans="1:9" ht="15.6">
      <c r="A5" s="17" t="str">
        <v>Mount Laurel - Igloo Ice Rink</v>
      </c>
      <c r="B5" s="10" t="str">
        <v>NJ</v>
      </c>
      <c r="C5" s="11">
        <f>SUM(Jan!C5, Feb!C5, Mar!C5)</f>
        <v>27306.6</v>
      </c>
      <c r="D5" s="18">
        <f>SUM(Jan!D5, Feb!D5, Mar!D5)</f>
        <v>16908.48</v>
      </c>
      <c r="E5" s="18">
        <f t="shared" ref="E5" si="0">IF(AND(ISNUMBER(C5),ISNUMBER(D5)), C5-D5, "")</f>
        <v>10398.119999999999</v>
      </c>
      <c r="F5" s="19">
        <f>IFERROR(E5/D5, "")</f>
        <v>0.61496479872821208</v>
      </c>
      <c r="G5" s="20">
        <f>SUM(Jan!G5, Feb!G5, Mar!G5)</f>
        <v>37453.942999999999</v>
      </c>
      <c r="H5" s="20">
        <f>SUM(Jan!H5, Feb!H5, Mar!H5)</f>
        <v>-10147.343000000001</v>
      </c>
      <c r="I5" s="19">
        <f>IFERROR(H5/G5, "")</f>
        <v>-0.27092856418348266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0"/>
  <sheetViews>
    <sheetView workbookViewId="0">
      <pane xSplit="2" ySplit="3" topLeftCell="C4" activePane="bottomRight" state="frozen"/>
      <selection pane="bottomRight" activeCell="G21" sqref="G21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Amergy Solar</v>
      </c>
      <c r="B1" s="74"/>
      <c r="C1" s="74"/>
      <c r="D1" s="75" t="s">
        <v>12</v>
      </c>
      <c r="E1" s="75"/>
      <c r="F1" s="75"/>
      <c r="G1" s="73" t="s">
        <v>13</v>
      </c>
      <c r="H1" s="73"/>
      <c r="I1" s="73"/>
    </row>
    <row r="2" spans="1:9" ht="19.5" customHeight="1">
      <c r="A2" s="76" t="s">
        <v>2</v>
      </c>
      <c r="B2" s="76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>
        <f>SUM(Apr!G4,May!G4,Jun!G4)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17" t="str">
        <v>Mount Laurel - Igloo Ice Rink</v>
      </c>
      <c r="B5" s="10" t="str">
        <v>NJ</v>
      </c>
      <c r="C5" s="11">
        <f>SUM(Apr!C5, May!C5, Jun!C5)</f>
        <v>0</v>
      </c>
      <c r="D5" s="18">
        <f>SUM(Apr!D5, May!D5, Jun!D5)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>
        <f>SUM(Apr!G5,May!G5,Jun!G5)</f>
        <v>0</v>
      </c>
      <c r="H5" s="20">
        <f>SUM(Apr!H5, May!H5, Jun!H5)</f>
        <v>0</v>
      </c>
      <c r="I5" s="19" t="str">
        <f>IFERROR(H5/G5, "")</f>
        <v/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H5" sqref="H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Amergy Solar</v>
      </c>
      <c r="B1" s="74"/>
      <c r="C1" s="74"/>
      <c r="D1" s="75" t="s">
        <v>14</v>
      </c>
      <c r="E1" s="75"/>
      <c r="F1" s="75"/>
      <c r="G1" s="73" t="s">
        <v>15</v>
      </c>
      <c r="H1" s="73"/>
      <c r="I1" s="73"/>
    </row>
    <row r="2" spans="1:9" ht="19.5" customHeight="1">
      <c r="A2" s="76" t="s">
        <v>2</v>
      </c>
      <c r="B2" s="76"/>
      <c r="C2" s="5">
        <f>SUM(C4:C87)</f>
        <v>0</v>
      </c>
      <c r="D2" s="5">
        <f>SUM(D4:D87)</f>
        <v>0</v>
      </c>
      <c r="E2" s="5">
        <f>C2-D2</f>
        <v>0</v>
      </c>
      <c r="F2" s="6">
        <f>IFERROR(E2/D2, 0)</f>
        <v>0</v>
      </c>
      <c r="G2" s="5">
        <f>SUM(G4:G87)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SUM(Jul!G4,Aug!G4,Sep!G4)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17" t="str">
        <v>Mount Laurel - Igloo Ice Rink</v>
      </c>
      <c r="B5" s="10" t="str">
        <v>NJ</v>
      </c>
      <c r="C5" s="11">
        <f>SUM(Jul!C5, Aug!C5, Sep!C5)</f>
        <v>0</v>
      </c>
      <c r="D5" s="18">
        <f>SUM(Jul!D5, Aug!D5, Sep!D5)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11">
        <f>SUM(Jul!G5,Aug!G5,Sep!G5)</f>
        <v>0</v>
      </c>
      <c r="H5" s="20">
        <f>SUM(Jul!H5, Aug!H5, Sep!H5)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mergeCells count="4">
    <mergeCell ref="G1:I1"/>
    <mergeCell ref="A1:C1"/>
    <mergeCell ref="D1:F1"/>
    <mergeCell ref="A2:B2"/>
  </mergeCells>
  <conditionalFormatting sqref="F2 I2 F4:F87 I4:I87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G6">
    <cfRule type="cellIs" dxfId="34" priority="1" stopIfTrue="1" operator="lessThanOrEqual">
      <formula>-0.1</formula>
    </cfRule>
    <cfRule type="expression" dxfId="33" priority="2">
      <formula>AND(ISNUMBER(G6), G6&gt;=0.1)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C4" activePane="bottomRight" state="frozen"/>
      <selection pane="bottomRight" activeCell="E19" sqref="E19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Amergy Solar</v>
      </c>
      <c r="B1" s="74"/>
      <c r="C1" s="74"/>
      <c r="D1" s="75" t="s">
        <v>16</v>
      </c>
      <c r="E1" s="75"/>
      <c r="F1" s="75"/>
      <c r="G1" s="73" t="s">
        <v>17</v>
      </c>
      <c r="H1" s="73"/>
      <c r="I1" s="73"/>
    </row>
    <row r="2" spans="1:9" ht="19.5" customHeight="1">
      <c r="A2" s="76" t="s">
        <v>2</v>
      </c>
      <c r="B2" s="76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17" t="str">
        <v>Mount Laurel - Igloo Ice Rink</v>
      </c>
      <c r="B5" s="10" t="str">
        <v>NJ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18">
        <f>SUM(Oct!G5,Nov!G5,Dec!G5)</f>
        <v>0</v>
      </c>
      <c r="H5" s="20">
        <f>SUM(Oct!H5, Nov!H5, Dec!H5)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30"/>
  <sheetViews>
    <sheetView tabSelected="1" zoomScale="70" zoomScaleNormal="70" workbookViewId="0">
      <pane xSplit="2" ySplit="3" topLeftCell="C4" activePane="bottomRight" state="frozen"/>
      <selection pane="bottomRight" activeCell="L5" sqref="L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4" t="str" cm="1">
        <f t="array" ref="A1">portfolio</f>
        <v>Amergy Solar</v>
      </c>
      <c r="B1" s="74"/>
      <c r="C1" s="74"/>
      <c r="D1" s="75" t="s">
        <v>18</v>
      </c>
      <c r="E1" s="75"/>
      <c r="F1" s="75"/>
      <c r="G1" s="73" t="s">
        <v>19</v>
      </c>
      <c r="H1" s="73"/>
      <c r="I1" s="73"/>
      <c r="J1" s="4"/>
      <c r="K1" s="4"/>
      <c r="L1" s="4"/>
    </row>
    <row r="2" spans="1:12" ht="19.5" customHeight="1">
      <c r="A2" s="76" t="s">
        <v>2</v>
      </c>
      <c r="B2" s="76"/>
      <c r="C2" s="5">
        <f>SUM(C4:C88)</f>
        <v>47350.6</v>
      </c>
      <c r="D2" s="5">
        <f>SUM(D4:D88)</f>
        <v>44795.005000000005</v>
      </c>
      <c r="E2" s="5">
        <f>C2-D2</f>
        <v>2555.5949999999939</v>
      </c>
      <c r="F2" s="6">
        <f>IFERROR(E2/D2, 0)</f>
        <v>5.7050892169785303E-2</v>
      </c>
      <c r="G2" s="5">
        <f>SUM(G4:G88)</f>
        <v>86890.092999999993</v>
      </c>
      <c r="H2" s="7">
        <f>C2-G2</f>
        <v>-39539.492999999995</v>
      </c>
      <c r="I2" s="6">
        <f>IFERROR(H2/G2, 0)</f>
        <v>-0.45505179744714969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2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  <c r="L3" s="25" t="s">
        <v>22</v>
      </c>
    </row>
    <row r="4" spans="1:12" ht="43.15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20044</v>
      </c>
      <c r="D4" s="13">
        <v>27886.525000000001</v>
      </c>
      <c r="E4" s="13">
        <f>IF(AND(ISNUMBER(C4),ISNUMBER(D4)), C4-D4, "")</f>
        <v>-7842.5250000000015</v>
      </c>
      <c r="F4" s="14">
        <f>IFERROR(E4/D4, "")</f>
        <v>-0.28122991301354333</v>
      </c>
      <c r="G4" s="15">
        <v>49436.15</v>
      </c>
      <c r="H4" s="15">
        <f>IF(AND(ISNUMBER(C4),ISNUMBER(G4)), C4-G4, "")</f>
        <v>-29392.15</v>
      </c>
      <c r="I4" s="16">
        <f>IFERROR(H4/G4, "")</f>
        <v>-0.59454771457728806</v>
      </c>
      <c r="J4" s="40" t="s">
        <v>23</v>
      </c>
      <c r="K4" s="55" t="s">
        <v>24</v>
      </c>
      <c r="L4" s="40" t="s">
        <v>25</v>
      </c>
    </row>
    <row r="5" spans="1:12" ht="72">
      <c r="A5" s="29" t="str">
        <v>Mount Laurel - Igloo Ice Rink</v>
      </c>
      <c r="B5" s="30" t="str">
        <v>NJ</v>
      </c>
      <c r="C5" s="11">
        <v>27306.6</v>
      </c>
      <c r="D5" s="18">
        <v>16908.48</v>
      </c>
      <c r="E5" s="20">
        <f>IF(AND(ISNUMBER(C5),ISNUMBER(D5)), C5-D5, "")</f>
        <v>10398.119999999999</v>
      </c>
      <c r="F5" s="19">
        <f>IFERROR(E5/D5, "")</f>
        <v>0.61496479872821208</v>
      </c>
      <c r="G5" s="20">
        <v>37453.942999999999</v>
      </c>
      <c r="H5" s="20">
        <f t="shared" ref="H5" si="0">IF(AND(ISNUMBER(C5),ISNUMBER(G5)), C5-G5, "")</f>
        <v>-10147.343000000001</v>
      </c>
      <c r="I5" s="19">
        <f t="shared" ref="I5" si="1">IFERROR(H5/G5, "")</f>
        <v>-0.27092856418348266</v>
      </c>
      <c r="J5" s="41" t="s">
        <v>26</v>
      </c>
      <c r="K5" s="51" t="s">
        <v>27</v>
      </c>
      <c r="L5" s="40" t="s">
        <v>25</v>
      </c>
    </row>
    <row r="6" spans="1:12" ht="15.6">
      <c r="A6" s="29"/>
      <c r="B6" s="30"/>
      <c r="C6" s="11"/>
      <c r="D6" s="18"/>
      <c r="E6" s="18" t="str">
        <f t="shared" ref="E6" si="2">IF(AND(ISNUMBER(C6),ISNUMBER(D6)), C6-D6, "")</f>
        <v/>
      </c>
      <c r="F6" s="19" t="str">
        <f t="shared" ref="F6" si="3">IFERROR(E6/D6, "")</f>
        <v/>
      </c>
      <c r="G6" s="20"/>
      <c r="H6" s="20" t="str">
        <f t="shared" ref="H6" si="4">IF(AND(ISNUMBER(C6),ISNUMBER(G6)), C6-G6, "")</f>
        <v/>
      </c>
      <c r="I6" s="19" t="str">
        <f t="shared" ref="I6" si="5">IFERROR(H6/G6, "")</f>
        <v/>
      </c>
      <c r="J6" s="41"/>
      <c r="K6" s="42"/>
      <c r="L6" s="42"/>
    </row>
    <row r="7" spans="1:12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2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2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1:12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1:12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 spans="1:12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2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2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1:12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spans="1:12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spans="1:12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spans="1:12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  <c r="L21" s="21"/>
    </row>
    <row r="22" spans="1:12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  <c r="L22" s="21"/>
    </row>
    <row r="23" spans="1:12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  <c r="L23" s="21"/>
    </row>
    <row r="24" spans="1:12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  <c r="L24" s="21"/>
    </row>
    <row r="25" spans="1:12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  <c r="L25" s="21"/>
    </row>
    <row r="26" spans="1:12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  <c r="L26" s="21"/>
    </row>
    <row r="27" spans="1:12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  <c r="L27" s="21"/>
    </row>
    <row r="28" spans="1:12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  <c r="L28" s="21"/>
    </row>
    <row r="29" spans="1:12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  <c r="L29" s="21"/>
    </row>
    <row r="30" spans="1:12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  <c r="L30" s="21"/>
    </row>
    <row r="31" spans="1:12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  <c r="L31" s="21"/>
    </row>
    <row r="32" spans="1:12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  <c r="L32" s="21"/>
    </row>
    <row r="33" spans="1:12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  <c r="L33" s="21"/>
    </row>
    <row r="34" spans="1:12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  <c r="L34" s="21"/>
    </row>
    <row r="35" spans="1:12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  <c r="L35" s="21"/>
    </row>
    <row r="36" spans="1:12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  <c r="L36" s="21"/>
    </row>
    <row r="37" spans="1:12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  <c r="L37" s="21"/>
    </row>
    <row r="38" spans="1:12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  <c r="L38" s="21"/>
    </row>
    <row r="39" spans="1:12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  <row r="312" spans="1:12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  <c r="L312" s="21"/>
    </row>
    <row r="313" spans="1:12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  <c r="L313" s="21"/>
    </row>
    <row r="314" spans="1:12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  <c r="L314" s="21"/>
    </row>
    <row r="315" spans="1:12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  <c r="L315" s="21"/>
    </row>
    <row r="316" spans="1:12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  <c r="L316" s="21"/>
    </row>
    <row r="317" spans="1:12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  <c r="L317" s="21"/>
    </row>
    <row r="318" spans="1:12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  <c r="L318" s="21"/>
    </row>
    <row r="319" spans="1:12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  <c r="L319" s="21"/>
    </row>
    <row r="320" spans="1:12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  <c r="L320" s="21"/>
    </row>
    <row r="321" spans="1:12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  <c r="L321" s="21"/>
    </row>
    <row r="322" spans="1:12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  <c r="L322" s="21"/>
    </row>
    <row r="323" spans="1:12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  <c r="L323" s="21"/>
    </row>
    <row r="324" spans="1:12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  <c r="L324" s="21"/>
    </row>
    <row r="325" spans="1:12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  <c r="L325" s="21"/>
    </row>
    <row r="326" spans="1:12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  <c r="L326" s="21"/>
    </row>
    <row r="327" spans="1:12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  <c r="L327" s="21"/>
    </row>
    <row r="328" spans="1:12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  <c r="L328" s="21"/>
    </row>
    <row r="329" spans="1:12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  <c r="L329" s="21"/>
    </row>
    <row r="330" spans="1:12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  <c r="L330" s="21"/>
    </row>
  </sheetData>
  <mergeCells count="4">
    <mergeCell ref="D1:F1"/>
    <mergeCell ref="A1:C1"/>
    <mergeCell ref="G1:I1"/>
    <mergeCell ref="A2:B2"/>
  </mergeCells>
  <conditionalFormatting sqref="F2 I2 F4:F88 I4:I88">
    <cfRule type="cellIs" dxfId="30" priority="4" stopIfTrue="1" operator="lessThanOrEqual">
      <formula>-0.1</formula>
    </cfRule>
    <cfRule type="expression" dxfId="29" priority="5">
      <formula>AND(ISNUMBER(F2), F2&gt;=0.1)</formula>
    </cfRule>
  </conditionalFormatting>
  <hyperlinks>
    <hyperlink ref="K4" r:id="rId1" display="https://us3.assetplanner.com/service_request?ID=100595" xr:uid="{F84BAC63-37F3-44C8-A28A-28C0330C22FE}"/>
    <hyperlink ref="K5" r:id="rId2" display="https://us3.assetplanner.com/service_request?ID=114376" xr:uid="{07202F2E-1BEF-4224-A53B-6E9DD1B12FCC}"/>
  </hyperlinks>
  <pageMargins left="0.4" right="0.7" top="0.25" bottom="0.25" header="0.3" footer="0.3"/>
  <pageSetup fitToHeight="99" orientation="landscape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1"/>
  <sheetViews>
    <sheetView zoomScale="90" zoomScaleNormal="90" workbookViewId="0">
      <pane xSplit="2" ySplit="3" topLeftCell="I4" activePane="bottomRight" state="frozen"/>
      <selection pane="bottomRight" activeCell="J29" sqref="J29"/>
      <selection pane="bottomLeft" activeCell="J29" sqref="J29"/>
      <selection pane="topRight" activeCell="J29" sqref="J2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Amergy Solar</v>
      </c>
      <c r="B1" s="74"/>
      <c r="C1" s="74"/>
      <c r="D1" s="75" t="s">
        <v>28</v>
      </c>
      <c r="E1" s="75"/>
      <c r="F1" s="75"/>
      <c r="G1" s="73" t="s">
        <v>29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SUM(C4:C89)</f>
        <v>0</v>
      </c>
      <c r="D2" s="5">
        <f>SUM(D4:D89)</f>
        <v>0</v>
      </c>
      <c r="E2" s="5">
        <f>C2-D2</f>
        <v>0</v>
      </c>
      <c r="F2" s="6">
        <f>IFERROR(E2/D2, 0)</f>
        <v>0</v>
      </c>
      <c r="G2" s="5">
        <f>SUM(G4:G89)</f>
        <v>0</v>
      </c>
      <c r="H2" s="7">
        <f>C2-G2</f>
        <v>0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1"/>
      <c r="E5" s="18" t="str">
        <f t="shared" ref="E5" si="0">IF(AND(ISNUMBER(C5),ISNUMBER(D5)), C5-D5, "")</f>
        <v/>
      </c>
      <c r="F5" s="19" t="str">
        <f>IFERROR(E5/D5, "")</f>
        <v/>
      </c>
      <c r="G5" s="11"/>
      <c r="H5" s="18" t="str">
        <f>IF(AND(ISNUMBER(C5),ISNUMBER(G5)), C5-G5, "")</f>
        <v/>
      </c>
      <c r="I5" s="19" t="str">
        <f t="shared" ref="I5" si="1">IFERROR(H5/G5, "")</f>
        <v/>
      </c>
      <c r="J5" s="41"/>
      <c r="K5" s="41"/>
    </row>
    <row r="6" spans="1:11" ht="15.6">
      <c r="A6" s="29"/>
      <c r="B6" s="30"/>
      <c r="C6" s="11"/>
      <c r="D6" s="18"/>
      <c r="E6" s="18" t="str">
        <f t="shared" ref="E6" si="2">IF(AND(ISNUMBER(C6),ISNUMBER(D6)), C6-D6, "")</f>
        <v/>
      </c>
      <c r="F6" s="19" t="str">
        <f t="shared" ref="F6" si="3">IFERROR(E6/D6, "")</f>
        <v/>
      </c>
      <c r="G6" s="20"/>
      <c r="H6" s="20" t="str">
        <f t="shared" ref="H6" si="4">IF(AND(ISNUMBER(C6),ISNUMBER(G6)), C6-G6, "")</f>
        <v/>
      </c>
      <c r="I6" s="19" t="str">
        <f t="shared" ref="I6" si="5">IFERROR(H6/G6, "")</f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1"/>
  <sheetViews>
    <sheetView zoomScale="70" zoomScaleNormal="70" workbookViewId="0">
      <pane xSplit="2" ySplit="3" topLeftCell="J4" activePane="bottomRight" state="frozen"/>
      <selection pane="bottomRight" activeCell="J29" sqref="J29"/>
      <selection pane="bottomLeft" activeCell="J29" sqref="J29"/>
      <selection pane="topRight" activeCell="J29" sqref="J2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Amergy Solar</v>
      </c>
      <c r="B1" s="74"/>
      <c r="C1" s="74"/>
      <c r="D1" s="75" t="s">
        <v>30</v>
      </c>
      <c r="E1" s="75"/>
      <c r="F1" s="75"/>
      <c r="G1" s="73" t="s">
        <v>31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SUM(C4:C89)</f>
        <v>0</v>
      </c>
      <c r="D2" s="5">
        <f>SUM(D4:D89)</f>
        <v>0</v>
      </c>
      <c r="E2" s="5">
        <f>C2-D2</f>
        <v>0</v>
      </c>
      <c r="F2" s="6">
        <f>IFERROR(E2/D2, 0)</f>
        <v>0</v>
      </c>
      <c r="G2" s="5">
        <f>SUM(G4:G89)</f>
        <v>0</v>
      </c>
      <c r="H2" s="7">
        <f>C2-G2</f>
        <v>0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>IF(AND(ISNUMBER(C5),ISNUMBER(D5)), C5-D5, "")</f>
        <v/>
      </c>
      <c r="F5" s="19" t="str">
        <f>IFERROR(E5/D5, "")</f>
        <v/>
      </c>
      <c r="G5" s="20"/>
      <c r="H5" s="20" t="str">
        <f>IF(AND(ISNUMBER(C5),ISNUMBER(G5)), C5-G5, "")</f>
        <v/>
      </c>
      <c r="I5" s="19" t="str">
        <f t="shared" ref="I5:I6" si="0">IFERROR(H5/G5, "")</f>
        <v/>
      </c>
      <c r="J5" s="41"/>
      <c r="K5" s="41"/>
    </row>
    <row r="6" spans="1:11" ht="15.6">
      <c r="A6" s="29"/>
      <c r="B6" s="30"/>
      <c r="C6" s="11"/>
      <c r="D6" s="18"/>
      <c r="E6" s="18" t="str">
        <f t="shared" ref="E6" si="1">IF(AND(ISNUMBER(C6),ISNUMBER(D6)), C6-D6, "")</f>
        <v/>
      </c>
      <c r="F6" s="19" t="str">
        <f t="shared" ref="F6" si="2">IFERROR(E6/D6, "")</f>
        <v/>
      </c>
      <c r="G6" s="20"/>
      <c r="H6" s="20" t="str">
        <f t="shared" ref="H6" si="3">IF(AND(ISNUMBER(C6),ISNUMBER(G6)), C6-G6, "")</f>
        <v/>
      </c>
      <c r="I6" s="19" t="str">
        <f t="shared" si="0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1"/>
  <sheetViews>
    <sheetView zoomScale="80" zoomScaleNormal="80" workbookViewId="0">
      <pane xSplit="2" ySplit="3" topLeftCell="C4" activePane="bottomRight" state="frozen"/>
      <selection pane="bottomRight" activeCell="J29" sqref="J29"/>
      <selection pane="bottomLeft" activeCell="J29" sqref="J29"/>
      <selection pane="topRight" activeCell="J29" sqref="J2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Amergy Solar</v>
      </c>
      <c r="B1" s="74"/>
      <c r="C1" s="74"/>
      <c r="D1" s="75" t="s">
        <v>32</v>
      </c>
      <c r="E1" s="75"/>
      <c r="F1" s="75"/>
      <c r="G1" s="73" t="s">
        <v>33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SUM(C4:C89)</f>
        <v>0</v>
      </c>
      <c r="D2" s="5">
        <f>SUM(D4:D89)</f>
        <v>0</v>
      </c>
      <c r="E2" s="5">
        <f>C2-D2</f>
        <v>0</v>
      </c>
      <c r="F2" s="6">
        <f>IFERROR(E2/D2, 0)</f>
        <v>0</v>
      </c>
      <c r="G2" s="5">
        <f>SUM(G4:G89)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33.6" customHeight="1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55"/>
    </row>
    <row r="5" spans="1:11" ht="64.5" customHeight="1">
      <c r="A5" s="29" t="str">
        <v>Mount Laurel - Igloo Ice Rink</v>
      </c>
      <c r="B5" s="30" t="str">
        <v>NJ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>IF(AND(ISNUMBER(C5),ISNUMBER(G5)), C5-G5, "")</f>
        <v/>
      </c>
      <c r="I5" s="19" t="str">
        <f t="shared" ref="I5:I6" si="1">IFERROR(H5/G5, "")</f>
        <v/>
      </c>
      <c r="J5" s="50"/>
      <c r="K5" s="51"/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2">IFERROR(E6/D6, "")</f>
        <v/>
      </c>
      <c r="G6" s="20"/>
      <c r="H6" s="20" t="str">
        <f t="shared" ref="H6" si="3">IF(AND(ISNUMBER(C6),ISNUMBER(G6)), C6-G6, "")</f>
        <v/>
      </c>
      <c r="I6" s="19" t="str">
        <f t="shared" si="1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9" stopIfTrue="1" operator="lessThanOrEqual">
      <formula>-0.1</formula>
    </cfRule>
    <cfRule type="expression" dxfId="23" priority="10">
      <formula>AND(ISNUMBER(F2), F2&gt;=0.1)</formula>
    </cfRule>
  </conditionalFormatting>
  <conditionalFormatting sqref="F4:F89 I4:I89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zoomScale="80" zoomScaleNormal="80" workbookViewId="0">
      <pane xSplit="2" ySplit="3" topLeftCell="C4" activePane="bottomRight" state="frozen"/>
      <selection pane="bottomRight" activeCell="J29" sqref="J29"/>
      <selection pane="bottomLeft" activeCell="J29" sqref="J29"/>
      <selection pane="topRight" activeCell="J29" sqref="J2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Amergy Solar</v>
      </c>
      <c r="B1" s="74"/>
      <c r="C1" s="74"/>
      <c r="D1" s="75" t="s">
        <v>34</v>
      </c>
      <c r="E1" s="75"/>
      <c r="F1" s="75"/>
      <c r="G1" s="73" t="s">
        <v>35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SUM(C4:C87)</f>
        <v>0</v>
      </c>
      <c r="D2" s="5">
        <f>SUM(D4:D87)</f>
        <v>0</v>
      </c>
      <c r="E2" s="5">
        <f>C2-D2</f>
        <v>0</v>
      </c>
      <c r="F2" s="6">
        <f>IFERROR(E2/D2, 0)</f>
        <v>0</v>
      </c>
      <c r="G2" s="5">
        <f>SUM(G4:G87)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55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53"/>
      <c r="H5" s="20" t="str">
        <f>IF(AND(ISNUMBER(C5),ISNUMBER(G5)), C5-G5, "")</f>
        <v/>
      </c>
      <c r="I5" s="19" t="str">
        <f t="shared" ref="I5" si="1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52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53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7 I4:I87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0"/>
  <sheetViews>
    <sheetView zoomScale="80" zoomScaleNormal="80" workbookViewId="0">
      <pane xSplit="2" ySplit="3" topLeftCell="C4" activePane="bottomRight" state="frozen"/>
      <selection pane="bottomRight" activeCell="J29" sqref="J29"/>
      <selection pane="bottomLeft" activeCell="J29" sqref="J29"/>
      <selection pane="topRight" activeCell="J29" sqref="J2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56"/>
  </cols>
  <sheetData>
    <row r="1" spans="1:12" ht="19.5" customHeight="1">
      <c r="A1" s="74" t="str" cm="1">
        <f t="array" ref="A1">portfolio</f>
        <v>Amergy Solar</v>
      </c>
      <c r="B1" s="74"/>
      <c r="C1" s="74"/>
      <c r="D1" s="75" t="s">
        <v>36</v>
      </c>
      <c r="E1" s="75"/>
      <c r="F1" s="75"/>
      <c r="G1" s="73" t="s">
        <v>37</v>
      </c>
      <c r="H1" s="73"/>
      <c r="I1" s="73"/>
      <c r="J1" s="4"/>
      <c r="K1" s="4"/>
    </row>
    <row r="2" spans="1:12" ht="19.5" customHeight="1">
      <c r="A2" s="76" t="s">
        <v>2</v>
      </c>
      <c r="B2" s="76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55"/>
    </row>
    <row r="5" spans="1:12" ht="122.25" customHeight="1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50"/>
      <c r="K5" s="51"/>
      <c r="L5" s="57"/>
    </row>
    <row r="6" spans="1:12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2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2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2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2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2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2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2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2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31"/>
  <sheetViews>
    <sheetView zoomScale="70" zoomScaleNormal="70" workbookViewId="0">
      <pane xSplit="2" ySplit="3" topLeftCell="C4" activePane="bottomRight" state="frozen"/>
      <selection pane="bottomRight" activeCell="J29" sqref="J29"/>
      <selection pane="bottomLeft" activeCell="J29" sqref="J29"/>
      <selection pane="topRight" activeCell="J29" sqref="J2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140625" style="58"/>
  </cols>
  <sheetData>
    <row r="1" spans="1:12" ht="19.5" customHeight="1">
      <c r="A1" s="74" t="str" cm="1">
        <f t="array" ref="A1">portfolio</f>
        <v>Amergy Solar</v>
      </c>
      <c r="B1" s="74"/>
      <c r="C1" s="74"/>
      <c r="D1" s="75" t="s">
        <v>38</v>
      </c>
      <c r="E1" s="75"/>
      <c r="F1" s="75"/>
      <c r="G1" s="73" t="s">
        <v>39</v>
      </c>
      <c r="H1" s="73"/>
      <c r="I1" s="73"/>
      <c r="J1" s="4"/>
      <c r="K1" s="4"/>
    </row>
    <row r="2" spans="1:12" ht="19.5" customHeight="1">
      <c r="A2" s="76" t="s">
        <v>2</v>
      </c>
      <c r="B2" s="76"/>
      <c r="C2" s="5">
        <f>SUM(C4:C89)</f>
        <v>0</v>
      </c>
      <c r="D2" s="5">
        <f>SUM(D4:D89)</f>
        <v>0</v>
      </c>
      <c r="E2" s="5">
        <f>C2-D2</f>
        <v>0</v>
      </c>
      <c r="F2" s="6">
        <f>IFERROR(E2/D2, 0)</f>
        <v>0</v>
      </c>
      <c r="G2" s="5">
        <f>SUM(G4:G89)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48" customHeight="1">
      <c r="A4" s="60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55"/>
    </row>
    <row r="5" spans="1:12" ht="105" customHeight="1">
      <c r="A5" s="29" t="str">
        <v>Mount Laurel - Igloo Ice Rink</v>
      </c>
      <c r="B5" s="30" t="str">
        <v>NJ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50"/>
      <c r="K5" s="51"/>
      <c r="L5" s="59"/>
    </row>
    <row r="6" spans="1:12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2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2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2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2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2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2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2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2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89 I4:I8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31"/>
  <sheetViews>
    <sheetView zoomScale="80" zoomScaleNormal="80" workbookViewId="0">
      <pane xSplit="2" ySplit="3" topLeftCell="C4" activePane="bottomRight" state="frozen"/>
      <selection pane="bottomRight" activeCell="J29" sqref="J29"/>
      <selection pane="bottomLeft" activeCell="J29" sqref="J29"/>
      <selection pane="topRight" activeCell="J29" sqref="J2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56"/>
  </cols>
  <sheetData>
    <row r="1" spans="1:12" ht="19.5" customHeight="1">
      <c r="A1" s="74" t="str" cm="1">
        <f t="array" ref="A1">portfolio</f>
        <v>Amergy Solar</v>
      </c>
      <c r="B1" s="74"/>
      <c r="C1" s="74"/>
      <c r="D1" s="75" t="s">
        <v>40</v>
      </c>
      <c r="E1" s="75"/>
      <c r="F1" s="75"/>
      <c r="G1" s="73" t="s">
        <v>41</v>
      </c>
      <c r="H1" s="73"/>
      <c r="I1" s="73"/>
      <c r="J1" s="4"/>
      <c r="K1" s="4"/>
    </row>
    <row r="2" spans="1:12" ht="19.5" customHeight="1">
      <c r="A2" s="76" t="s">
        <v>2</v>
      </c>
      <c r="B2" s="76"/>
      <c r="C2" s="5">
        <f>SUM(C4:C89)</f>
        <v>0</v>
      </c>
      <c r="D2" s="5">
        <f>SUM(D4:D89)</f>
        <v>0</v>
      </c>
      <c r="E2" s="5">
        <f>C2-D2</f>
        <v>0</v>
      </c>
      <c r="F2" s="6">
        <f>IFERROR(E2/D2, 0)</f>
        <v>0</v>
      </c>
      <c r="G2" s="5">
        <f>SUM(G4:G89)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40.5" customHeight="1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55"/>
    </row>
    <row r="5" spans="1:12" ht="101.25" customHeight="1">
      <c r="A5" s="29" t="str">
        <v>Mount Laurel - Igloo Ice Rink</v>
      </c>
      <c r="B5" s="30" t="str">
        <v>NJ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9"/>
      <c r="K5" s="51"/>
      <c r="L5" s="57"/>
    </row>
    <row r="6" spans="1:12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2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2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2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2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2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2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2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2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1"/>
  <sheetViews>
    <sheetView zoomScale="80" zoomScaleNormal="80" workbookViewId="0">
      <pane xSplit="2" ySplit="3" topLeftCell="C4" activePane="bottomRight" state="frozen"/>
      <selection pane="bottomRight" activeCell="J29" sqref="J29"/>
      <selection pane="bottomLeft" activeCell="J29" sqref="J29"/>
      <selection pane="topRight" activeCell="J29" sqref="J2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Amergy Solar</v>
      </c>
      <c r="B1" s="74"/>
      <c r="C1" s="74"/>
      <c r="D1" s="75" t="s">
        <v>42</v>
      </c>
      <c r="E1" s="75"/>
      <c r="F1" s="75"/>
      <c r="G1" s="73" t="s">
        <v>43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SUM(C4:C89)</f>
        <v>0</v>
      </c>
      <c r="D2" s="5">
        <f>SUM(D4:D89)</f>
        <v>0</v>
      </c>
      <c r="E2" s="5">
        <f>C2-D2</f>
        <v>0</v>
      </c>
      <c r="F2" s="6">
        <f>IFERROR(E2/D2, 0)</f>
        <v>0</v>
      </c>
      <c r="G2" s="5">
        <f>SUM(G4:G89)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55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1"/>
      <c r="K5" s="41"/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30"/>
  <sheetViews>
    <sheetView zoomScale="70" zoomScaleNormal="70" workbookViewId="0">
      <pane xSplit="2" ySplit="3" topLeftCell="C4" activePane="bottomRight" state="frozen"/>
      <selection pane="bottomRight" activeCell="J29" sqref="J29"/>
      <selection pane="bottomLeft" activeCell="J29" sqref="J29"/>
      <selection pane="topRight" activeCell="J29" sqref="J29"/>
    </sheetView>
  </sheetViews>
  <sheetFormatPr defaultRowHeight="14.4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1" customWidth="1"/>
    <col min="11" max="11" width="20.5703125" style="61" bestFit="1" customWidth="1"/>
    <col min="12" max="12" width="8.85546875" style="61"/>
  </cols>
  <sheetData>
    <row r="1" spans="1:12" ht="19.5" customHeight="1">
      <c r="A1" s="74" t="str" cm="1">
        <f t="array" ref="A1">portfolio</f>
        <v>Amergy Solar</v>
      </c>
      <c r="B1" s="74"/>
      <c r="C1" s="74"/>
      <c r="D1" s="75" t="s">
        <v>44</v>
      </c>
      <c r="E1" s="75"/>
      <c r="F1" s="75"/>
      <c r="G1" s="73" t="s">
        <v>45</v>
      </c>
      <c r="H1" s="73"/>
      <c r="I1" s="73"/>
      <c r="J1" s="63"/>
      <c r="K1" s="63"/>
    </row>
    <row r="2" spans="1:12" ht="19.5" customHeight="1">
      <c r="A2" s="76" t="s">
        <v>2</v>
      </c>
      <c r="B2" s="76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6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63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62" t="s">
        <v>20</v>
      </c>
      <c r="K3" s="62" t="s">
        <v>21</v>
      </c>
      <c r="L3" s="62" t="s">
        <v>22</v>
      </c>
    </row>
    <row r="4" spans="1:12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72"/>
      <c r="K4" s="67"/>
      <c r="L4" s="65"/>
    </row>
    <row r="5" spans="1:12" ht="15.6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70"/>
      <c r="K5" s="68"/>
      <c r="L5" s="66"/>
    </row>
    <row r="6" spans="1:12" ht="12.75" customHeight="1">
      <c r="A6" s="21"/>
      <c r="B6" s="32"/>
      <c r="C6" s="21"/>
      <c r="D6" s="21"/>
      <c r="E6" s="21"/>
      <c r="F6" s="21"/>
      <c r="G6" s="21"/>
      <c r="H6" s="21"/>
      <c r="I6" s="21"/>
    </row>
    <row r="7" spans="1:12">
      <c r="A7" s="21"/>
      <c r="B7" s="32"/>
      <c r="C7" s="21"/>
      <c r="D7" s="21"/>
      <c r="E7" s="21"/>
      <c r="F7" s="21"/>
      <c r="G7" s="21"/>
      <c r="H7" s="21"/>
      <c r="I7" s="21"/>
    </row>
    <row r="8" spans="1:12">
      <c r="A8" s="21"/>
      <c r="B8" s="32"/>
      <c r="C8" s="21"/>
      <c r="D8" s="21"/>
      <c r="E8" s="21"/>
      <c r="F8" s="21"/>
      <c r="G8" s="21"/>
      <c r="H8" s="21"/>
      <c r="I8" s="21"/>
    </row>
    <row r="9" spans="1:12">
      <c r="A9" s="21"/>
      <c r="B9" s="32"/>
      <c r="C9" s="21"/>
      <c r="D9" s="21"/>
      <c r="E9" s="21"/>
      <c r="F9" s="21"/>
      <c r="G9" s="21"/>
      <c r="H9" s="21"/>
      <c r="I9" s="21"/>
    </row>
    <row r="10" spans="1:12">
      <c r="A10" s="21"/>
      <c r="B10" s="32"/>
      <c r="C10" s="21"/>
      <c r="D10" s="21"/>
      <c r="E10" s="21"/>
      <c r="F10" s="21"/>
      <c r="G10" s="21"/>
      <c r="H10" s="21"/>
      <c r="I10" s="21"/>
    </row>
    <row r="11" spans="1:12">
      <c r="A11" s="21"/>
      <c r="B11" s="32"/>
      <c r="C11" s="21"/>
      <c r="D11" s="21"/>
      <c r="E11" s="21"/>
      <c r="F11" s="21"/>
      <c r="G11" s="21"/>
      <c r="H11" s="21"/>
      <c r="I11" s="21"/>
    </row>
    <row r="12" spans="1:12">
      <c r="A12" s="21"/>
      <c r="B12" s="32"/>
      <c r="C12" s="21"/>
      <c r="D12" s="21"/>
      <c r="E12" s="21"/>
      <c r="F12" s="21"/>
      <c r="G12" s="21"/>
      <c r="H12" s="21"/>
      <c r="I12" s="21"/>
    </row>
    <row r="13" spans="1:12">
      <c r="A13" s="21"/>
      <c r="B13" s="32"/>
      <c r="C13" s="21"/>
      <c r="D13" s="21"/>
      <c r="E13" s="21"/>
      <c r="F13" s="21"/>
      <c r="G13" s="21"/>
      <c r="H13" s="21"/>
      <c r="I13" s="21"/>
    </row>
    <row r="14" spans="1:12">
      <c r="A14" s="21"/>
      <c r="B14" s="32"/>
      <c r="C14" s="21"/>
      <c r="D14" s="21"/>
      <c r="E14" s="21"/>
      <c r="F14" s="21"/>
      <c r="G14" s="21"/>
      <c r="H14" s="21"/>
      <c r="I14" s="21"/>
    </row>
    <row r="15" spans="1:12">
      <c r="A15" s="21"/>
      <c r="B15" s="32"/>
      <c r="C15" s="21"/>
      <c r="D15" s="21"/>
      <c r="E15" s="21"/>
      <c r="F15" s="21"/>
      <c r="G15" s="21"/>
      <c r="H15" s="21"/>
      <c r="I15" s="21"/>
    </row>
    <row r="16" spans="1:12">
      <c r="A16" s="21"/>
      <c r="B16" s="32"/>
      <c r="C16" s="21"/>
      <c r="D16" s="21"/>
      <c r="E16" s="21"/>
      <c r="F16" s="21"/>
      <c r="G16" s="21"/>
      <c r="H16" s="21"/>
      <c r="I16" s="21"/>
    </row>
    <row r="17" spans="1:9">
      <c r="A17" s="21"/>
      <c r="B17" s="32"/>
      <c r="C17" s="21"/>
      <c r="D17" s="21"/>
      <c r="E17" s="21"/>
      <c r="F17" s="21"/>
      <c r="G17" s="21"/>
      <c r="H17" s="21"/>
      <c r="I17" s="21"/>
    </row>
    <row r="18" spans="1:9">
      <c r="A18" s="21"/>
      <c r="B18" s="32"/>
      <c r="C18" s="21"/>
      <c r="D18" s="21"/>
      <c r="E18" s="21"/>
      <c r="F18" s="21"/>
      <c r="G18" s="21"/>
      <c r="H18" s="21"/>
      <c r="I18" s="21"/>
    </row>
    <row r="19" spans="1:9">
      <c r="A19" s="21"/>
      <c r="B19" s="32"/>
      <c r="C19" s="21"/>
      <c r="D19" s="21"/>
      <c r="E19" s="21"/>
      <c r="F19" s="21"/>
      <c r="G19" s="21"/>
      <c r="H19" s="21"/>
      <c r="I19" s="21"/>
    </row>
    <row r="20" spans="1:9">
      <c r="A20" s="21"/>
      <c r="B20" s="32"/>
      <c r="C20" s="21"/>
      <c r="D20" s="21"/>
      <c r="E20" s="21"/>
      <c r="F20" s="21"/>
      <c r="G20" s="21"/>
      <c r="H20" s="21"/>
      <c r="I20" s="21"/>
    </row>
    <row r="21" spans="1:9">
      <c r="A21" s="21"/>
      <c r="B21" s="32"/>
      <c r="C21" s="21"/>
      <c r="D21" s="21"/>
      <c r="E21" s="21"/>
      <c r="F21" s="22"/>
      <c r="G21" s="21"/>
      <c r="H21" s="21"/>
      <c r="I21" s="22"/>
    </row>
    <row r="22" spans="1:9">
      <c r="A22" s="21"/>
      <c r="B22" s="32"/>
      <c r="C22" s="21"/>
      <c r="D22" s="21"/>
      <c r="E22" s="21"/>
      <c r="F22" s="22"/>
      <c r="G22" s="21"/>
      <c r="H22" s="21"/>
      <c r="I22" s="22"/>
    </row>
    <row r="23" spans="1:9">
      <c r="A23" s="21"/>
      <c r="B23" s="32"/>
      <c r="C23" s="21"/>
      <c r="D23" s="21"/>
      <c r="E23" s="21"/>
      <c r="F23" s="22"/>
      <c r="G23" s="21"/>
      <c r="H23" s="21"/>
      <c r="I23" s="22"/>
    </row>
    <row r="24" spans="1:9">
      <c r="A24" s="21"/>
      <c r="B24" s="32"/>
      <c r="C24" s="21"/>
      <c r="D24" s="21"/>
      <c r="E24" s="21"/>
      <c r="F24" s="22"/>
      <c r="G24" s="21"/>
      <c r="H24" s="21"/>
      <c r="I24" s="22"/>
    </row>
    <row r="25" spans="1:9">
      <c r="A25" s="21"/>
      <c r="B25" s="32"/>
      <c r="C25" s="21"/>
      <c r="D25" s="21"/>
      <c r="E25" s="21"/>
      <c r="F25" s="22"/>
      <c r="G25" s="21"/>
      <c r="H25" s="21"/>
      <c r="I25" s="22"/>
    </row>
    <row r="26" spans="1:9">
      <c r="A26" s="21"/>
      <c r="B26" s="32"/>
      <c r="C26" s="21"/>
      <c r="D26" s="21"/>
      <c r="E26" s="21"/>
      <c r="F26" s="22"/>
      <c r="G26" s="21"/>
      <c r="H26" s="21"/>
      <c r="I26" s="22"/>
    </row>
    <row r="27" spans="1:9">
      <c r="A27" s="21"/>
      <c r="B27" s="32"/>
      <c r="C27" s="21"/>
      <c r="D27" s="21"/>
      <c r="E27" s="21"/>
      <c r="F27" s="22"/>
      <c r="G27" s="21"/>
      <c r="H27" s="21"/>
      <c r="I27" s="22"/>
    </row>
    <row r="28" spans="1:9">
      <c r="A28" s="21"/>
      <c r="B28" s="32"/>
      <c r="C28" s="21"/>
      <c r="D28" s="21"/>
      <c r="E28" s="21"/>
      <c r="F28" s="22"/>
      <c r="G28" s="21"/>
      <c r="H28" s="21"/>
      <c r="I28" s="22"/>
    </row>
    <row r="29" spans="1:9">
      <c r="A29" s="21"/>
      <c r="B29" s="32"/>
      <c r="C29" s="21"/>
      <c r="D29" s="21"/>
      <c r="E29" s="21"/>
      <c r="F29" s="22"/>
      <c r="G29" s="21"/>
      <c r="H29" s="21"/>
      <c r="I29" s="22"/>
    </row>
    <row r="30" spans="1:9">
      <c r="A30" s="21"/>
      <c r="B30" s="32"/>
      <c r="C30" s="21"/>
      <c r="D30" s="21"/>
      <c r="E30" s="21"/>
      <c r="F30" s="22"/>
      <c r="G30" s="21"/>
      <c r="H30" s="21"/>
      <c r="I30" s="22"/>
    </row>
    <row r="31" spans="1:9">
      <c r="A31" s="21"/>
      <c r="B31" s="32"/>
      <c r="C31" s="21"/>
      <c r="D31" s="21"/>
      <c r="E31" s="21"/>
      <c r="F31" s="22"/>
      <c r="G31" s="21"/>
      <c r="H31" s="21"/>
      <c r="I31" s="22"/>
    </row>
    <row r="32" spans="1:9">
      <c r="A32" s="21"/>
      <c r="B32" s="32"/>
      <c r="C32" s="21"/>
      <c r="D32" s="21"/>
      <c r="E32" s="21"/>
      <c r="F32" s="22"/>
      <c r="G32" s="21"/>
      <c r="H32" s="21"/>
      <c r="I32" s="22"/>
    </row>
    <row r="33" spans="1:9">
      <c r="A33" s="21"/>
      <c r="B33" s="32"/>
      <c r="C33" s="21"/>
      <c r="D33" s="21"/>
      <c r="E33" s="21"/>
      <c r="F33" s="22"/>
      <c r="G33" s="21"/>
      <c r="H33" s="21"/>
      <c r="I33" s="22"/>
    </row>
    <row r="34" spans="1:9">
      <c r="A34" s="21"/>
      <c r="B34" s="32"/>
      <c r="C34" s="21"/>
      <c r="D34" s="21"/>
      <c r="E34" s="21"/>
      <c r="F34" s="22"/>
      <c r="G34" s="21"/>
      <c r="H34" s="21"/>
      <c r="I34" s="22"/>
    </row>
    <row r="35" spans="1:9">
      <c r="A35" s="21"/>
      <c r="B35" s="32"/>
      <c r="C35" s="21"/>
      <c r="D35" s="21"/>
      <c r="E35" s="21"/>
      <c r="F35" s="22"/>
      <c r="G35" s="21"/>
      <c r="H35" s="21"/>
      <c r="I35" s="22"/>
    </row>
    <row r="36" spans="1:9">
      <c r="A36" s="21"/>
      <c r="B36" s="32"/>
      <c r="C36" s="21"/>
      <c r="D36" s="21"/>
      <c r="E36" s="21"/>
      <c r="F36" s="22"/>
      <c r="G36" s="21"/>
      <c r="H36" s="21"/>
      <c r="I36" s="22"/>
    </row>
    <row r="37" spans="1:9">
      <c r="A37" s="21"/>
      <c r="B37" s="32"/>
      <c r="C37" s="21"/>
      <c r="D37" s="21"/>
      <c r="E37" s="21"/>
      <c r="F37" s="22"/>
      <c r="G37" s="21"/>
      <c r="H37" s="21"/>
      <c r="I37" s="22"/>
    </row>
    <row r="38" spans="1:9">
      <c r="A38" s="21"/>
      <c r="B38" s="32"/>
      <c r="C38" s="21"/>
      <c r="D38" s="21"/>
      <c r="E38" s="21"/>
      <c r="F38" s="22"/>
      <c r="G38" s="21"/>
      <c r="H38" s="21"/>
      <c r="I38" s="22"/>
    </row>
    <row r="39" spans="1:9">
      <c r="A39" s="21"/>
      <c r="B39" s="32"/>
      <c r="C39" s="21"/>
      <c r="D39" s="21"/>
      <c r="E39" s="21"/>
      <c r="F39" s="22"/>
      <c r="G39" s="21"/>
      <c r="H39" s="21"/>
      <c r="I39" s="22"/>
    </row>
    <row r="40" spans="1:9">
      <c r="A40" s="21"/>
      <c r="B40" s="32"/>
      <c r="C40" s="21"/>
      <c r="D40" s="21"/>
      <c r="E40" s="21"/>
      <c r="F40" s="22"/>
      <c r="G40" s="21"/>
      <c r="H40" s="21"/>
      <c r="I40" s="22"/>
    </row>
    <row r="41" spans="1:9">
      <c r="A41" s="21"/>
      <c r="B41" s="32"/>
      <c r="C41" s="21"/>
      <c r="D41" s="21"/>
      <c r="E41" s="21"/>
      <c r="F41" s="22"/>
      <c r="G41" s="21"/>
      <c r="H41" s="21"/>
      <c r="I41" s="22"/>
    </row>
    <row r="42" spans="1:9">
      <c r="A42" s="21"/>
      <c r="B42" s="32"/>
      <c r="C42" s="21"/>
      <c r="D42" s="21"/>
      <c r="E42" s="21"/>
      <c r="F42" s="22"/>
      <c r="G42" s="21"/>
      <c r="H42" s="21"/>
      <c r="I42" s="22"/>
    </row>
    <row r="43" spans="1:9">
      <c r="A43" s="21"/>
      <c r="B43" s="32"/>
      <c r="C43" s="21"/>
      <c r="D43" s="21"/>
      <c r="E43" s="21"/>
      <c r="F43" s="22"/>
      <c r="G43" s="21"/>
      <c r="H43" s="21"/>
      <c r="I43" s="22"/>
    </row>
    <row r="44" spans="1:9">
      <c r="A44" s="21"/>
      <c r="B44" s="32"/>
      <c r="C44" s="21"/>
      <c r="D44" s="21"/>
      <c r="E44" s="21"/>
      <c r="F44" s="22"/>
      <c r="G44" s="21"/>
      <c r="H44" s="21"/>
      <c r="I44" s="22"/>
    </row>
    <row r="45" spans="1:9">
      <c r="A45" s="21"/>
      <c r="B45" s="32"/>
      <c r="C45" s="21"/>
      <c r="D45" s="21"/>
      <c r="E45" s="21"/>
      <c r="F45" s="22"/>
      <c r="G45" s="21"/>
      <c r="H45" s="21"/>
      <c r="I45" s="22"/>
    </row>
    <row r="46" spans="1:9">
      <c r="A46" s="21"/>
      <c r="B46" s="32"/>
      <c r="C46" s="21"/>
      <c r="D46" s="21"/>
      <c r="E46" s="21"/>
      <c r="F46" s="22"/>
      <c r="G46" s="21"/>
      <c r="H46" s="21"/>
      <c r="I46" s="22"/>
    </row>
    <row r="47" spans="1:9">
      <c r="A47" s="21"/>
      <c r="B47" s="32"/>
      <c r="C47" s="21"/>
      <c r="D47" s="21"/>
      <c r="E47" s="21"/>
      <c r="F47" s="22"/>
      <c r="G47" s="21"/>
      <c r="H47" s="21"/>
      <c r="I47" s="22"/>
    </row>
    <row r="48" spans="1:9">
      <c r="A48" s="21"/>
      <c r="B48" s="32"/>
      <c r="C48" s="21"/>
      <c r="D48" s="21"/>
      <c r="E48" s="21"/>
      <c r="F48" s="22"/>
      <c r="G48" s="21"/>
      <c r="H48" s="21"/>
      <c r="I48" s="22"/>
    </row>
    <row r="49" spans="1:9">
      <c r="A49" s="21"/>
      <c r="B49" s="32"/>
      <c r="C49" s="21"/>
      <c r="D49" s="21"/>
      <c r="E49" s="21"/>
      <c r="F49" s="22"/>
      <c r="G49" s="21"/>
      <c r="H49" s="21"/>
      <c r="I49" s="22"/>
    </row>
    <row r="50" spans="1:9">
      <c r="A50" s="21"/>
      <c r="B50" s="32"/>
      <c r="C50" s="21"/>
      <c r="D50" s="21"/>
      <c r="E50" s="21"/>
      <c r="F50" s="22"/>
      <c r="G50" s="21"/>
      <c r="H50" s="21"/>
      <c r="I50" s="22"/>
    </row>
    <row r="51" spans="1:9">
      <c r="A51" s="21"/>
      <c r="B51" s="32"/>
      <c r="C51" s="21"/>
      <c r="D51" s="21"/>
      <c r="E51" s="21"/>
      <c r="F51" s="22"/>
      <c r="G51" s="21"/>
      <c r="H51" s="21"/>
      <c r="I51" s="22"/>
    </row>
    <row r="52" spans="1:9">
      <c r="A52" s="21"/>
      <c r="B52" s="32"/>
      <c r="C52" s="21"/>
      <c r="D52" s="21"/>
      <c r="E52" s="21"/>
      <c r="F52" s="22"/>
      <c r="G52" s="21"/>
      <c r="H52" s="21"/>
      <c r="I52" s="22"/>
    </row>
    <row r="53" spans="1:9">
      <c r="A53" s="21"/>
      <c r="B53" s="32"/>
      <c r="C53" s="21"/>
      <c r="D53" s="21"/>
      <c r="E53" s="21"/>
      <c r="F53" s="22"/>
      <c r="G53" s="21"/>
      <c r="H53" s="21"/>
      <c r="I53" s="22"/>
    </row>
    <row r="54" spans="1:9">
      <c r="A54" s="21"/>
      <c r="B54" s="32"/>
      <c r="C54" s="21"/>
      <c r="D54" s="21"/>
      <c r="E54" s="21"/>
      <c r="F54" s="22"/>
      <c r="G54" s="21"/>
      <c r="H54" s="21"/>
      <c r="I54" s="22"/>
    </row>
    <row r="55" spans="1:9">
      <c r="A55" s="21"/>
      <c r="B55" s="32"/>
      <c r="C55" s="21"/>
      <c r="D55" s="21"/>
      <c r="E55" s="21"/>
      <c r="F55" s="22"/>
      <c r="G55" s="21"/>
      <c r="H55" s="21"/>
      <c r="I55" s="22"/>
    </row>
    <row r="56" spans="1:9">
      <c r="A56" s="21"/>
      <c r="B56" s="32"/>
      <c r="C56" s="21"/>
      <c r="D56" s="21"/>
      <c r="E56" s="21"/>
      <c r="F56" s="22"/>
      <c r="G56" s="21"/>
      <c r="H56" s="21"/>
      <c r="I56" s="22"/>
    </row>
    <row r="57" spans="1:9">
      <c r="A57" s="21"/>
      <c r="B57" s="32"/>
      <c r="C57" s="21"/>
      <c r="D57" s="21"/>
      <c r="E57" s="21"/>
      <c r="F57" s="22"/>
      <c r="G57" s="21"/>
      <c r="H57" s="21"/>
      <c r="I57" s="22"/>
    </row>
    <row r="58" spans="1:9">
      <c r="A58" s="21"/>
      <c r="B58" s="32"/>
      <c r="C58" s="21"/>
      <c r="D58" s="21"/>
      <c r="E58" s="21"/>
      <c r="F58" s="22"/>
      <c r="G58" s="21"/>
      <c r="H58" s="21"/>
      <c r="I58" s="22"/>
    </row>
    <row r="59" spans="1:9">
      <c r="A59" s="21"/>
      <c r="B59" s="32"/>
      <c r="C59" s="21"/>
      <c r="D59" s="21"/>
      <c r="E59" s="21"/>
      <c r="F59" s="22"/>
      <c r="G59" s="21"/>
      <c r="H59" s="21"/>
      <c r="I59" s="22"/>
    </row>
    <row r="60" spans="1:9">
      <c r="A60" s="21"/>
      <c r="B60" s="32"/>
      <c r="C60" s="21"/>
      <c r="D60" s="21"/>
      <c r="E60" s="21"/>
      <c r="F60" s="22"/>
      <c r="G60" s="21"/>
      <c r="H60" s="21"/>
      <c r="I60" s="22"/>
    </row>
    <row r="61" spans="1:9">
      <c r="A61" s="21"/>
      <c r="B61" s="32"/>
      <c r="C61" s="21"/>
      <c r="D61" s="21"/>
      <c r="E61" s="21"/>
      <c r="F61" s="22"/>
      <c r="G61" s="21"/>
      <c r="H61" s="21"/>
      <c r="I61" s="22"/>
    </row>
    <row r="62" spans="1:9">
      <c r="A62" s="21"/>
      <c r="B62" s="32"/>
      <c r="C62" s="21"/>
      <c r="D62" s="21"/>
      <c r="E62" s="21"/>
      <c r="F62" s="22"/>
      <c r="G62" s="21"/>
      <c r="H62" s="21"/>
      <c r="I62" s="22"/>
    </row>
    <row r="63" spans="1:9">
      <c r="A63" s="21"/>
      <c r="B63" s="32"/>
      <c r="C63" s="21"/>
      <c r="D63" s="21"/>
      <c r="E63" s="21"/>
      <c r="F63" s="22"/>
      <c r="G63" s="21"/>
      <c r="H63" s="21"/>
      <c r="I63" s="22"/>
    </row>
    <row r="64" spans="1:9">
      <c r="A64" s="21"/>
      <c r="B64" s="32"/>
      <c r="C64" s="21"/>
      <c r="D64" s="21"/>
      <c r="E64" s="21"/>
      <c r="F64" s="22"/>
      <c r="G64" s="21"/>
      <c r="H64" s="21"/>
      <c r="I64" s="22"/>
    </row>
    <row r="65" spans="1:9">
      <c r="A65" s="21"/>
      <c r="B65" s="32"/>
      <c r="C65" s="21"/>
      <c r="D65" s="21"/>
      <c r="E65" s="21"/>
      <c r="F65" s="22"/>
      <c r="G65" s="21"/>
      <c r="H65" s="21"/>
      <c r="I65" s="22"/>
    </row>
    <row r="66" spans="1:9">
      <c r="A66" s="21"/>
      <c r="B66" s="32"/>
      <c r="C66" s="21"/>
      <c r="D66" s="21"/>
      <c r="E66" s="21"/>
      <c r="F66" s="22"/>
      <c r="G66" s="21"/>
      <c r="H66" s="21"/>
      <c r="I66" s="22"/>
    </row>
    <row r="67" spans="1:9">
      <c r="A67" s="21"/>
      <c r="B67" s="32"/>
      <c r="C67" s="21"/>
      <c r="D67" s="21"/>
      <c r="E67" s="21"/>
      <c r="F67" s="22"/>
      <c r="G67" s="21"/>
      <c r="H67" s="21"/>
      <c r="I67" s="22"/>
    </row>
    <row r="68" spans="1:9">
      <c r="A68" s="21"/>
      <c r="B68" s="32"/>
      <c r="C68" s="21"/>
      <c r="D68" s="21"/>
      <c r="E68" s="21"/>
      <c r="F68" s="22"/>
      <c r="G68" s="21"/>
      <c r="H68" s="21"/>
      <c r="I68" s="22"/>
    </row>
    <row r="69" spans="1:9">
      <c r="A69" s="21"/>
      <c r="B69" s="32"/>
      <c r="C69" s="21"/>
      <c r="D69" s="21"/>
      <c r="E69" s="21"/>
      <c r="F69" s="22"/>
      <c r="G69" s="21"/>
      <c r="H69" s="21"/>
      <c r="I69" s="22"/>
    </row>
    <row r="70" spans="1:9">
      <c r="A70" s="21"/>
      <c r="B70" s="32"/>
      <c r="C70" s="21"/>
      <c r="D70" s="21"/>
      <c r="E70" s="21"/>
      <c r="F70" s="22"/>
      <c r="G70" s="21"/>
      <c r="H70" s="21"/>
      <c r="I70" s="22"/>
    </row>
    <row r="71" spans="1:9">
      <c r="A71" s="21"/>
      <c r="B71" s="32"/>
      <c r="C71" s="21"/>
      <c r="D71" s="21"/>
      <c r="E71" s="21"/>
      <c r="F71" s="22"/>
      <c r="G71" s="21"/>
      <c r="H71" s="21"/>
      <c r="I71" s="22"/>
    </row>
    <row r="72" spans="1:9">
      <c r="A72" s="21"/>
      <c r="B72" s="32"/>
      <c r="C72" s="21"/>
      <c r="D72" s="21"/>
      <c r="E72" s="21"/>
      <c r="F72" s="22"/>
      <c r="G72" s="21"/>
      <c r="H72" s="21"/>
      <c r="I72" s="22"/>
    </row>
    <row r="73" spans="1:9">
      <c r="A73" s="21"/>
      <c r="B73" s="32"/>
      <c r="C73" s="21"/>
      <c r="D73" s="21"/>
      <c r="E73" s="21"/>
      <c r="F73" s="22"/>
      <c r="G73" s="21"/>
      <c r="H73" s="21"/>
      <c r="I73" s="22"/>
    </row>
    <row r="74" spans="1:9">
      <c r="A74" s="21"/>
      <c r="B74" s="32"/>
      <c r="C74" s="21"/>
      <c r="D74" s="21"/>
      <c r="E74" s="21"/>
      <c r="F74" s="22"/>
      <c r="G74" s="21"/>
      <c r="H74" s="21"/>
      <c r="I74" s="22"/>
    </row>
    <row r="75" spans="1:9">
      <c r="A75" s="21"/>
      <c r="B75" s="32"/>
      <c r="C75" s="21"/>
      <c r="D75" s="21"/>
      <c r="E75" s="21"/>
      <c r="F75" s="22"/>
      <c r="G75" s="21"/>
      <c r="H75" s="21"/>
      <c r="I75" s="22"/>
    </row>
    <row r="76" spans="1:9">
      <c r="A76" s="21"/>
      <c r="B76" s="32"/>
      <c r="C76" s="21"/>
      <c r="D76" s="21"/>
      <c r="E76" s="21"/>
      <c r="F76" s="22"/>
      <c r="G76" s="21"/>
      <c r="H76" s="21"/>
      <c r="I76" s="22"/>
    </row>
    <row r="77" spans="1:9">
      <c r="A77" s="21"/>
      <c r="B77" s="32"/>
      <c r="C77" s="21"/>
      <c r="D77" s="21"/>
      <c r="E77" s="21"/>
      <c r="F77" s="22"/>
      <c r="G77" s="21"/>
      <c r="H77" s="21"/>
      <c r="I77" s="22"/>
    </row>
    <row r="78" spans="1:9">
      <c r="A78" s="21"/>
      <c r="B78" s="32"/>
      <c r="C78" s="21"/>
      <c r="D78" s="21"/>
      <c r="E78" s="21"/>
      <c r="F78" s="22"/>
      <c r="G78" s="21"/>
      <c r="H78" s="21"/>
      <c r="I78" s="22"/>
    </row>
    <row r="79" spans="1:9">
      <c r="A79" s="21"/>
      <c r="B79" s="32"/>
      <c r="C79" s="21"/>
      <c r="D79" s="21"/>
      <c r="E79" s="21"/>
      <c r="F79" s="22"/>
      <c r="G79" s="21"/>
      <c r="H79" s="21"/>
      <c r="I79" s="22"/>
    </row>
    <row r="80" spans="1:9">
      <c r="A80" s="21"/>
      <c r="B80" s="32"/>
      <c r="C80" s="21"/>
      <c r="D80" s="21"/>
      <c r="E80" s="21"/>
      <c r="F80" s="22"/>
      <c r="G80" s="21"/>
      <c r="H80" s="21"/>
      <c r="I80" s="22"/>
    </row>
    <row r="81" spans="1:9">
      <c r="A81" s="21"/>
      <c r="B81" s="32"/>
      <c r="C81" s="21"/>
      <c r="D81" s="21"/>
      <c r="E81" s="21"/>
      <c r="F81" s="22"/>
      <c r="G81" s="21"/>
      <c r="H81" s="21"/>
      <c r="I81" s="22"/>
    </row>
    <row r="82" spans="1:9">
      <c r="A82" s="21"/>
      <c r="B82" s="32"/>
      <c r="C82" s="21"/>
      <c r="D82" s="21"/>
      <c r="E82" s="21"/>
      <c r="F82" s="22"/>
      <c r="G82" s="21"/>
      <c r="H82" s="21"/>
      <c r="I82" s="22"/>
    </row>
    <row r="83" spans="1:9">
      <c r="A83" s="21"/>
      <c r="B83" s="32"/>
      <c r="C83" s="21"/>
      <c r="D83" s="21"/>
      <c r="E83" s="21"/>
      <c r="F83" s="22"/>
      <c r="G83" s="21"/>
      <c r="H83" s="21"/>
      <c r="I83" s="22"/>
    </row>
    <row r="84" spans="1:9">
      <c r="A84" s="21"/>
      <c r="B84" s="32"/>
      <c r="C84" s="21"/>
      <c r="D84" s="21"/>
      <c r="E84" s="21"/>
      <c r="F84" s="22"/>
      <c r="G84" s="21"/>
      <c r="H84" s="21"/>
      <c r="I84" s="22"/>
    </row>
    <row r="85" spans="1:9">
      <c r="A85" s="21"/>
      <c r="B85" s="32"/>
      <c r="C85" s="21"/>
      <c r="D85" s="21"/>
      <c r="E85" s="21"/>
      <c r="F85" s="22"/>
      <c r="G85" s="21"/>
      <c r="H85" s="21"/>
      <c r="I85" s="22"/>
    </row>
    <row r="86" spans="1:9">
      <c r="A86" s="21"/>
      <c r="B86" s="32"/>
      <c r="C86" s="21"/>
      <c r="D86" s="21"/>
      <c r="E86" s="21"/>
      <c r="F86" s="22"/>
      <c r="G86" s="21"/>
      <c r="H86" s="21"/>
      <c r="I86" s="22"/>
    </row>
    <row r="87" spans="1:9">
      <c r="A87" s="21"/>
      <c r="B87" s="32"/>
      <c r="C87" s="21"/>
      <c r="D87" s="21"/>
      <c r="E87" s="21"/>
      <c r="F87" s="22"/>
      <c r="G87" s="21"/>
      <c r="H87" s="21"/>
      <c r="I87" s="22"/>
    </row>
    <row r="88" spans="1:9">
      <c r="A88" s="21"/>
      <c r="B88" s="32"/>
      <c r="C88" s="21"/>
      <c r="D88" s="21"/>
      <c r="E88" s="21"/>
      <c r="F88" s="22"/>
      <c r="G88" s="21"/>
      <c r="H88" s="21"/>
      <c r="I88" s="22"/>
    </row>
    <row r="89" spans="1:9">
      <c r="A89" s="21"/>
      <c r="B89" s="32"/>
      <c r="C89" s="21"/>
      <c r="D89" s="21"/>
      <c r="E89" s="21"/>
      <c r="F89" s="22"/>
      <c r="G89" s="21"/>
      <c r="H89" s="21"/>
      <c r="I89" s="22"/>
    </row>
    <row r="90" spans="1:9">
      <c r="A90" s="21"/>
      <c r="B90" s="32"/>
      <c r="C90" s="21"/>
      <c r="D90" s="21"/>
      <c r="E90" s="21"/>
      <c r="F90" s="22"/>
      <c r="G90" s="21"/>
      <c r="H90" s="21"/>
      <c r="I90" s="22"/>
    </row>
    <row r="91" spans="1:9">
      <c r="A91" s="21"/>
      <c r="B91" s="32"/>
      <c r="C91" s="21"/>
      <c r="D91" s="21"/>
      <c r="E91" s="21"/>
      <c r="F91" s="22"/>
      <c r="G91" s="21"/>
      <c r="H91" s="21"/>
      <c r="I91" s="22"/>
    </row>
    <row r="92" spans="1:9">
      <c r="A92" s="21"/>
      <c r="B92" s="32"/>
      <c r="C92" s="21"/>
      <c r="D92" s="21"/>
      <c r="E92" s="21"/>
      <c r="F92" s="22"/>
      <c r="G92" s="21"/>
      <c r="H92" s="21"/>
      <c r="I92" s="22"/>
    </row>
    <row r="93" spans="1:9">
      <c r="A93" s="21"/>
      <c r="B93" s="32"/>
      <c r="C93" s="21"/>
      <c r="D93" s="21"/>
      <c r="E93" s="21"/>
      <c r="F93" s="22"/>
      <c r="G93" s="21"/>
      <c r="H93" s="21"/>
      <c r="I93" s="22"/>
    </row>
    <row r="94" spans="1:9">
      <c r="A94" s="21"/>
      <c r="B94" s="32"/>
      <c r="C94" s="21"/>
      <c r="D94" s="21"/>
      <c r="E94" s="21"/>
      <c r="F94" s="22"/>
      <c r="G94" s="21"/>
      <c r="H94" s="21"/>
      <c r="I94" s="22"/>
    </row>
    <row r="95" spans="1:9">
      <c r="A95" s="21"/>
      <c r="B95" s="32"/>
      <c r="C95" s="21"/>
      <c r="D95" s="21"/>
      <c r="E95" s="21"/>
      <c r="F95" s="22"/>
      <c r="G95" s="21"/>
      <c r="H95" s="21"/>
      <c r="I95" s="22"/>
    </row>
    <row r="96" spans="1:9">
      <c r="A96" s="21"/>
      <c r="B96" s="32"/>
      <c r="C96" s="21"/>
      <c r="D96" s="21"/>
      <c r="E96" s="21"/>
      <c r="F96" s="22"/>
      <c r="G96" s="21"/>
      <c r="H96" s="21"/>
      <c r="I96" s="22"/>
    </row>
    <row r="97" spans="1:9">
      <c r="A97" s="21"/>
      <c r="B97" s="32"/>
      <c r="C97" s="21"/>
      <c r="D97" s="21"/>
      <c r="E97" s="21"/>
      <c r="F97" s="22"/>
      <c r="G97" s="21"/>
      <c r="H97" s="21"/>
      <c r="I97" s="22"/>
    </row>
    <row r="98" spans="1:9">
      <c r="A98" s="21"/>
      <c r="B98" s="32"/>
      <c r="C98" s="21"/>
      <c r="D98" s="21"/>
      <c r="E98" s="21"/>
      <c r="F98" s="22"/>
      <c r="G98" s="21"/>
      <c r="H98" s="21"/>
      <c r="I98" s="22"/>
    </row>
    <row r="99" spans="1:9">
      <c r="A99" s="21"/>
      <c r="B99" s="32"/>
      <c r="C99" s="21"/>
      <c r="D99" s="21"/>
      <c r="E99" s="21"/>
      <c r="F99" s="22"/>
      <c r="G99" s="21"/>
      <c r="H99" s="21"/>
      <c r="I99" s="22"/>
    </row>
    <row r="100" spans="1:9">
      <c r="A100" s="21"/>
      <c r="B100" s="32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32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32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32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32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32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32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32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32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32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32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32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32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32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32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32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32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32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32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32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32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32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32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32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32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32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32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32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32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32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32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32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32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32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32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32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32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32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32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32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32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32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32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32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32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32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32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32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32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32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32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32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32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32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32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32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32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32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32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32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32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32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32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32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32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32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32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32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32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32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32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32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32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32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32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32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32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32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32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32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32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32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32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32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32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32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32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32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32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32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32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32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32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32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32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32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32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32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32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32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32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32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32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32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32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32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32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32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32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32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32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32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32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32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32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32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32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32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32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32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32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32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32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32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32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32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32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32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32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32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32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32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32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32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32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32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32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32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32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32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32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32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32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32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32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32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32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32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32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32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32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32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32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32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32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32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32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32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32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32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32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32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32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32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32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32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32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32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32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32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32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32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32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32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32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32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32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32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32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32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32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32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32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32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32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32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32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32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32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32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32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32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32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32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32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32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32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32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32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32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32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32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32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32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32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32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32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32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32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32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32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32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32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32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32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32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32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32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32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32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32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32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32"/>
      <c r="C322" s="21"/>
      <c r="D322" s="21"/>
      <c r="E322" s="21"/>
      <c r="F322" s="22"/>
      <c r="G322" s="21"/>
      <c r="H322" s="21"/>
      <c r="I322" s="22"/>
    </row>
    <row r="323" spans="1:9">
      <c r="A323" s="21"/>
      <c r="B323" s="32"/>
      <c r="C323" s="21"/>
      <c r="D323" s="21"/>
      <c r="E323" s="21"/>
      <c r="F323" s="22"/>
      <c r="G323" s="21"/>
      <c r="H323" s="21"/>
      <c r="I323" s="22"/>
    </row>
    <row r="324" spans="1:9">
      <c r="A324" s="21"/>
      <c r="B324" s="32"/>
      <c r="C324" s="21"/>
      <c r="D324" s="21"/>
      <c r="E324" s="21"/>
      <c r="F324" s="22"/>
      <c r="G324" s="21"/>
      <c r="H324" s="21"/>
      <c r="I324" s="22"/>
    </row>
    <row r="325" spans="1:9">
      <c r="A325" s="21"/>
      <c r="B325" s="32"/>
      <c r="C325" s="21"/>
      <c r="D325" s="21"/>
      <c r="E325" s="21"/>
      <c r="F325" s="22"/>
      <c r="G325" s="21"/>
      <c r="H325" s="21"/>
      <c r="I325" s="22"/>
    </row>
    <row r="326" spans="1:9">
      <c r="A326" s="21"/>
      <c r="B326" s="32"/>
      <c r="C326" s="21"/>
      <c r="D326" s="21"/>
      <c r="E326" s="21"/>
      <c r="F326" s="22"/>
      <c r="G326" s="21"/>
      <c r="H326" s="21"/>
      <c r="I326" s="22"/>
    </row>
    <row r="327" spans="1:9">
      <c r="A327" s="21"/>
      <c r="B327" s="32"/>
      <c r="C327" s="21"/>
      <c r="D327" s="21"/>
      <c r="E327" s="21"/>
      <c r="F327" s="22"/>
      <c r="G327" s="21"/>
      <c r="H327" s="21"/>
      <c r="I327" s="22"/>
    </row>
    <row r="328" spans="1:9">
      <c r="A328" s="21"/>
      <c r="B328" s="32"/>
      <c r="C328" s="21"/>
      <c r="D328" s="21"/>
      <c r="E328" s="21"/>
      <c r="F328" s="22"/>
      <c r="G328" s="21"/>
      <c r="H328" s="21"/>
      <c r="I328" s="22"/>
    </row>
    <row r="329" spans="1:9">
      <c r="A329" s="21"/>
      <c r="B329" s="32"/>
      <c r="C329" s="21"/>
      <c r="D329" s="21"/>
      <c r="E329" s="21"/>
      <c r="F329" s="22"/>
      <c r="G329" s="21"/>
      <c r="H329" s="21"/>
      <c r="I329" s="22"/>
    </row>
    <row r="330" spans="1:9">
      <c r="C330" s="21"/>
      <c r="D330" s="21"/>
      <c r="E330" s="21"/>
      <c r="F330" s="22"/>
      <c r="G330" s="21"/>
      <c r="H330" s="21"/>
      <c r="I330" s="22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M330"/>
  <sheetViews>
    <sheetView zoomScale="78" zoomScaleNormal="78" zoomScaleSheetLayoutView="100" workbookViewId="0">
      <pane xSplit="2" ySplit="3" topLeftCell="E4" activePane="bottomRight" state="frozen"/>
      <selection pane="bottomRight" activeCell="J29" sqref="J29"/>
      <selection pane="bottomLeft" activeCell="J29" sqref="J29"/>
      <selection pane="topRight" activeCell="J29" sqref="J2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2.28515625" customWidth="1"/>
  </cols>
  <sheetData>
    <row r="1" spans="1:13" ht="19.5" customHeight="1">
      <c r="A1" s="74" t="str" cm="1">
        <f t="array" ref="A1">portfolio</f>
        <v>Amergy Solar</v>
      </c>
      <c r="B1" s="74"/>
      <c r="C1" s="74"/>
      <c r="D1" s="75" t="s">
        <v>46</v>
      </c>
      <c r="E1" s="75"/>
      <c r="F1" s="75"/>
      <c r="G1" s="73" t="s">
        <v>47</v>
      </c>
      <c r="H1" s="73"/>
      <c r="I1" s="73"/>
      <c r="J1" s="4"/>
      <c r="K1" s="4"/>
    </row>
    <row r="2" spans="1:13" ht="19.5" customHeight="1">
      <c r="A2" s="76" t="s">
        <v>2</v>
      </c>
      <c r="B2" s="76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  <c r="L3" s="25" t="s">
        <v>22</v>
      </c>
    </row>
    <row r="4" spans="1:13" ht="114.75" customHeight="1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55"/>
      <c r="L4" s="40"/>
      <c r="M4" s="71"/>
    </row>
    <row r="5" spans="1:13" ht="73.5" customHeight="1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>IF(AND(ISNUMBER(C5),ISNUMBER(G5)), C5-G5, "")</f>
        <v/>
      </c>
      <c r="I5" s="19" t="str">
        <f t="shared" ref="I5" si="1">IFERROR(H5/G5, "")</f>
        <v/>
      </c>
      <c r="J5" s="41"/>
      <c r="K5" s="50"/>
      <c r="L5" s="69"/>
    </row>
    <row r="6" spans="1:13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3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3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3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3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3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3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3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3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3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3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scale="53"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M330"/>
  <sheetViews>
    <sheetView zoomScale="75" zoomScaleNormal="75" workbookViewId="0">
      <pane xSplit="2" ySplit="3" topLeftCell="C4" activePane="bottomRight" state="frozen"/>
      <selection pane="bottomRight" activeCell="J29" sqref="J29"/>
      <selection pane="bottomLeft" activeCell="J29" sqref="J29"/>
      <selection pane="topRight" activeCell="J29" sqref="J2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7109375" customWidth="1"/>
  </cols>
  <sheetData>
    <row r="1" spans="1:13" ht="19.5" customHeight="1">
      <c r="A1" s="74" t="str" cm="1">
        <f t="array" ref="A1">portfolio</f>
        <v>Amergy Solar</v>
      </c>
      <c r="B1" s="74"/>
      <c r="C1" s="74"/>
      <c r="D1" s="75" t="s">
        <v>48</v>
      </c>
      <c r="E1" s="75"/>
      <c r="F1" s="75"/>
      <c r="G1" s="73" t="s">
        <v>49</v>
      </c>
      <c r="H1" s="73"/>
      <c r="I1" s="73"/>
      <c r="J1" s="4"/>
      <c r="K1" s="4"/>
      <c r="L1" s="4"/>
    </row>
    <row r="2" spans="1:13" ht="19.5" customHeight="1">
      <c r="A2" s="76" t="s">
        <v>2</v>
      </c>
      <c r="B2" s="76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  <c r="L2" s="4"/>
    </row>
    <row r="3" spans="1:13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  <c r="L3" s="25" t="s">
        <v>22</v>
      </c>
    </row>
    <row r="4" spans="1:13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55"/>
      <c r="L4" s="40"/>
      <c r="M4" s="71"/>
    </row>
    <row r="5" spans="1:13" ht="15.6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50"/>
      <c r="K5" s="68"/>
      <c r="L5" s="49"/>
    </row>
    <row r="6" spans="1:13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3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3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3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1:13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1:13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 spans="1:13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3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3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3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:13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1:12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spans="1:12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spans="1:12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spans="1:12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  <c r="L21" s="21"/>
    </row>
    <row r="22" spans="1:12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  <c r="L22" s="21"/>
    </row>
    <row r="23" spans="1:12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  <c r="L23" s="21"/>
    </row>
    <row r="24" spans="1:12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  <c r="L24" s="21"/>
    </row>
    <row r="25" spans="1:12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  <c r="L25" s="21"/>
    </row>
    <row r="26" spans="1:12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  <c r="L26" s="21"/>
    </row>
    <row r="27" spans="1:12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  <c r="L27" s="21"/>
    </row>
    <row r="28" spans="1:12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  <c r="L28" s="21"/>
    </row>
    <row r="29" spans="1:12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  <c r="L29" s="21"/>
    </row>
    <row r="30" spans="1:12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  <c r="L30" s="21"/>
    </row>
    <row r="31" spans="1:12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  <c r="L31" s="21"/>
    </row>
    <row r="32" spans="1:12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  <c r="L32" s="21"/>
    </row>
    <row r="33" spans="1:12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  <c r="L33" s="21"/>
    </row>
    <row r="34" spans="1:12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  <c r="L34" s="21"/>
    </row>
    <row r="35" spans="1:12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  <c r="L35" s="21"/>
    </row>
    <row r="36" spans="1:12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  <c r="L36" s="21"/>
    </row>
    <row r="37" spans="1:12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  <c r="L37" s="21"/>
    </row>
    <row r="38" spans="1:12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  <c r="L38" s="21"/>
    </row>
    <row r="39" spans="1:12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  <row r="312" spans="1:12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  <c r="L312" s="21"/>
    </row>
    <row r="313" spans="1:12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  <c r="L313" s="21"/>
    </row>
    <row r="314" spans="1:12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  <c r="L314" s="21"/>
    </row>
    <row r="315" spans="1:12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  <c r="L315" s="21"/>
    </row>
    <row r="316" spans="1:12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  <c r="L316" s="21"/>
    </row>
    <row r="317" spans="1:12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  <c r="L317" s="21"/>
    </row>
    <row r="318" spans="1:12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  <c r="L318" s="21"/>
    </row>
    <row r="319" spans="1:12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  <c r="L319" s="21"/>
    </row>
    <row r="320" spans="1:12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  <c r="L320" s="21"/>
    </row>
    <row r="321" spans="1:12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  <c r="L321" s="21"/>
    </row>
    <row r="322" spans="1:12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  <c r="L322" s="21"/>
    </row>
    <row r="323" spans="1:12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  <c r="L323" s="21"/>
    </row>
    <row r="324" spans="1:12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  <c r="L324" s="21"/>
    </row>
    <row r="325" spans="1:12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  <c r="L325" s="21"/>
    </row>
    <row r="326" spans="1:12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  <c r="L326" s="21"/>
    </row>
    <row r="327" spans="1:12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  <c r="L327" s="21"/>
    </row>
    <row r="328" spans="1:12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  <c r="L328" s="21"/>
    </row>
    <row r="329" spans="1:12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  <c r="L329" s="21"/>
    </row>
    <row r="330" spans="1:12" ht="14.45">
      <c r="C330" s="21"/>
      <c r="D330" s="21"/>
      <c r="E330" s="21"/>
      <c r="F330" s="22"/>
      <c r="G330" s="21"/>
      <c r="H330" s="21"/>
      <c r="I330" s="22"/>
      <c r="J330" s="21"/>
      <c r="K330" s="21"/>
      <c r="L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F23" sqref="F2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50</v>
      </c>
      <c r="B1" t="s">
        <v>51</v>
      </c>
    </row>
    <row r="3" spans="1:7" ht="13.15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7" ht="14.45">
      <c r="A4" s="43" t="s">
        <v>55</v>
      </c>
      <c r="B4" s="43" t="s">
        <v>56</v>
      </c>
      <c r="C4" s="43" t="s">
        <v>57</v>
      </c>
      <c r="D4" s="54" t="s">
        <v>58</v>
      </c>
      <c r="E4" t="s">
        <v>59</v>
      </c>
      <c r="G4" s="3"/>
    </row>
    <row r="5" spans="1:7" ht="14.45">
      <c r="A5" s="44" t="s">
        <v>60</v>
      </c>
      <c r="B5" s="44" t="s">
        <v>61</v>
      </c>
      <c r="C5" s="45" t="s">
        <v>57</v>
      </c>
      <c r="D5" s="44" t="s">
        <v>58</v>
      </c>
      <c r="E5" t="s">
        <v>59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BC55B4F1-C44B-47FF-A809-7EF72CC8DB75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2026-02-20T17:51:35Z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2024-10-10T19:53:55Z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7d7b8187-cb6d-49b7-8957-f364653634be</vt:lpwstr>
  </property>
  <property fmtid="{D5CDD505-2E9C-101B-9397-08002B2CF9AE}" pid="9" name="MSIP_Label_9d817c99-0b37-4a07-8277-96aa1f96b74b_ContentBits">
    <vt:lpwstr>0</vt:lpwstr>
  </property>
</Properties>
</file>