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1" documentId="13_ncr:1_{68172DFE-54DB-4AC9-BB61-FB829C9C8414}" xr6:coauthVersionLast="47" xr6:coauthVersionMax="47" xr10:uidLastSave="{2B9A0F43-EC97-4A35-B707-CD3BA9E9D0D4}"/>
  <bookViews>
    <workbookView xWindow="-108" yWindow="-108" windowWidth="23256" windowHeight="13896" firstSheet="1" xr2:uid="{00000000-000D-0000-FFFF-FFFF00000000}"/>
  </bookViews>
  <sheets>
    <sheet name="Sites" sheetId="2" r:id="rId1"/>
    <sheet name="Service reque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1" l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<sst xmlns="http://schemas.openxmlformats.org/spreadsheetml/2006/main" count="741" uniqueCount="296">
  <si>
    <t>Monthly Site Performance Summary</t>
  </si>
  <si>
    <t>Account:</t>
  </si>
  <si>
    <t>Ameresco</t>
  </si>
  <si>
    <t>Report Period:</t>
  </si>
  <si>
    <t>From 1/1/26 to 1/31/26</t>
  </si>
  <si>
    <t>Sites:</t>
  </si>
  <si>
    <t>Manually selected sites</t>
  </si>
  <si>
    <t>Number of Sites:</t>
  </si>
  <si>
    <t>11</t>
  </si>
  <si>
    <t>Generated on:</t>
  </si>
  <si>
    <t>2/10/26, 3:01 AM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</si>
  <si>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</si>
  <si>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</si>
  <si>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</si>
  <si>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</si>
  <si>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</si>
  <si>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</si>
  <si>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/>
  </si>
  <si>
    <t>Site Name</t>
  </si>
  <si>
    <t>Site ID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</si>
  <si>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</si>
  <si>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</si>
  <si>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</si>
  <si>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</si>
  <si>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</si>
  <si>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</si>
  <si>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</si>
  <si>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</si>
  <si>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1</t>
  </si>
  <si>
    <t>NBHA Adams st</t>
  </si>
  <si>
    <t>2484387</t>
  </si>
  <si>
    <t>United States</t>
  </si>
  <si>
    <t>Massachusetts</t>
  </si>
  <si>
    <t>New Bedford</t>
  </si>
  <si>
    <t>12/1/20</t>
  </si>
  <si>
    <t>69.26</t>
  </si>
  <si>
    <t>0.00</t>
  </si>
  <si>
    <t>0</t>
  </si>
  <si>
    <t>2</t>
  </si>
  <si>
    <t>NBHA Ben Rose</t>
  </si>
  <si>
    <t>2752799</t>
  </si>
  <si>
    <t>3/3/22</t>
  </si>
  <si>
    <t>152.43</t>
  </si>
  <si>
    <t>5,236.83</t>
  </si>
  <si>
    <t>34.36</t>
  </si>
  <si>
    <t>6,222</t>
  </si>
  <si>
    <t>40.82</t>
  </si>
  <si>
    <t>9,513.14</t>
  </si>
  <si>
    <t>62.41</t>
  </si>
  <si>
    <t>175,797.5</t>
  </si>
  <si>
    <t>1,153.34</t>
  </si>
  <si>
    <t>3</t>
  </si>
  <si>
    <t>NBHA Brickenwood</t>
  </si>
  <si>
    <t>2747637</t>
  </si>
  <si>
    <t>3/1/22</t>
  </si>
  <si>
    <t>572.33</t>
  </si>
  <si>
    <t>4</t>
  </si>
  <si>
    <t>18,193.07</t>
  </si>
  <si>
    <t>31.79</t>
  </si>
  <si>
    <t>21,636.84</t>
  </si>
  <si>
    <t>37.81</t>
  </si>
  <si>
    <t>36,204.86</t>
  </si>
  <si>
    <t>63.26</t>
  </si>
  <si>
    <t>601,041.75</t>
  </si>
  <si>
    <t>1,050.18</t>
  </si>
  <si>
    <t>NBHA Chaffee Fairfield</t>
  </si>
  <si>
    <t>1735612</t>
  </si>
  <si>
    <t>7/29/20</t>
  </si>
  <si>
    <t>49.4</t>
  </si>
  <si>
    <t>1,327.26</t>
  </si>
  <si>
    <t>26.87</t>
  </si>
  <si>
    <t>2,066.79</t>
  </si>
  <si>
    <t>41.84</t>
  </si>
  <si>
    <t>3,276.6</t>
  </si>
  <si>
    <t>66.33</t>
  </si>
  <si>
    <t>52,350.11</t>
  </si>
  <si>
    <t>1,059.72</t>
  </si>
  <si>
    <t>5</t>
  </si>
  <si>
    <t>NBHA DeMedeiros</t>
  </si>
  <si>
    <t>2660184</t>
  </si>
  <si>
    <t>1/10/22</t>
  </si>
  <si>
    <t>64.35</t>
  </si>
  <si>
    <t>1,793.66</t>
  </si>
  <si>
    <t>27.87</t>
  </si>
  <si>
    <t>2,596.85</t>
  </si>
  <si>
    <t>40.36</t>
  </si>
  <si>
    <t>3,551.38</t>
  </si>
  <si>
    <t>55.19</t>
  </si>
  <si>
    <t>75,956.04</t>
  </si>
  <si>
    <t>1,180.36</t>
  </si>
  <si>
    <t>6</t>
  </si>
  <si>
    <t>NBHA Dottin Place 1</t>
  </si>
  <si>
    <t>1735791</t>
  </si>
  <si>
    <t>88.4</t>
  </si>
  <si>
    <t>1,793.33</t>
  </si>
  <si>
    <t>20.29</t>
  </si>
  <si>
    <t>3,318.57</t>
  </si>
  <si>
    <t>37.54</t>
  </si>
  <si>
    <t>4,324.64</t>
  </si>
  <si>
    <t>48.92</t>
  </si>
  <si>
    <t>78,322.37</t>
  </si>
  <si>
    <t>886</t>
  </si>
  <si>
    <t>7</t>
  </si>
  <si>
    <t>NBHA Hillside</t>
  </si>
  <si>
    <t>2331864</t>
  </si>
  <si>
    <t>6/28/21</t>
  </si>
  <si>
    <t>117</t>
  </si>
  <si>
    <t>3,825.66</t>
  </si>
  <si>
    <t>32.7</t>
  </si>
  <si>
    <t>5,628.42</t>
  </si>
  <si>
    <t>48.11</t>
  </si>
  <si>
    <t>7,457.82</t>
  </si>
  <si>
    <t>63.74</t>
  </si>
  <si>
    <t>140,018.25</t>
  </si>
  <si>
    <t>1,196.74</t>
  </si>
  <si>
    <t>8</t>
  </si>
  <si>
    <t>NBHA Presidential</t>
  </si>
  <si>
    <t>2457881</t>
  </si>
  <si>
    <t>9/12/21</t>
  </si>
  <si>
    <t>468.65</t>
  </si>
  <si>
    <t>13,825.57</t>
  </si>
  <si>
    <t>29.5</t>
  </si>
  <si>
    <t>17,712.25</t>
  </si>
  <si>
    <t>37.79</t>
  </si>
  <si>
    <t>26,661.22</t>
  </si>
  <si>
    <t>56.89</t>
  </si>
  <si>
    <t>428,275.72</t>
  </si>
  <si>
    <t>913.85</t>
  </si>
  <si>
    <t>9</t>
  </si>
  <si>
    <t>NBHA Satellite</t>
  </si>
  <si>
    <t>2597872</t>
  </si>
  <si>
    <t>11/18/21</t>
  </si>
  <si>
    <t>169</t>
  </si>
  <si>
    <t>6,311.35</t>
  </si>
  <si>
    <t>37.35</t>
  </si>
  <si>
    <t>8,768.91</t>
  </si>
  <si>
    <t>51.89</t>
  </si>
  <si>
    <t>12,458.56</t>
  </si>
  <si>
    <t>73.72</t>
  </si>
  <si>
    <t>184,450.58</t>
  </si>
  <si>
    <t>1,091.42</t>
  </si>
  <si>
    <t>10</t>
  </si>
  <si>
    <t>NBHA Shawmut Village</t>
  </si>
  <si>
    <t>2382372</t>
  </si>
  <si>
    <t>10/21/20</t>
  </si>
  <si>
    <t>443.63</t>
  </si>
  <si>
    <t>14,370.13</t>
  </si>
  <si>
    <t>32.39</t>
  </si>
  <si>
    <t>17,825.59</t>
  </si>
  <si>
    <t>40.18</t>
  </si>
  <si>
    <t>22,094.57</t>
  </si>
  <si>
    <t>49.8</t>
  </si>
  <si>
    <t>367,747</t>
  </si>
  <si>
    <t>828.96</t>
  </si>
  <si>
    <t>NBHA Westlawn</t>
  </si>
  <si>
    <t>2753485</t>
  </si>
  <si>
    <t>267.8</t>
  </si>
  <si>
    <t>6,543.3</t>
  </si>
  <si>
    <t>24.43</t>
  </si>
  <si>
    <t>8,853.55</t>
  </si>
  <si>
    <t>33.06</t>
  </si>
  <si>
    <t>11,072.86</t>
  </si>
  <si>
    <t>41.35</t>
  </si>
  <si>
    <t>236,524.62</t>
  </si>
  <si>
    <t>883.21</t>
  </si>
  <si>
    <t>Total</t>
  </si>
  <si>
    <t>2,462.23</t>
  </si>
  <si>
    <t>73,220.16</t>
  </si>
  <si>
    <t>94,629.78</t>
  </si>
  <si>
    <t>136,615.63</t>
  </si>
  <si>
    <t>2,340,483.94</t>
  </si>
  <si>
    <t>Customer</t>
  </si>
  <si>
    <t>Asset</t>
  </si>
  <si>
    <t>Site Equipment</t>
  </si>
  <si>
    <t>kW Down</t>
  </si>
  <si>
    <t>Date</t>
  </si>
  <si>
    <t>Description</t>
  </si>
  <si>
    <t>Account Manager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</si>
  <si>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</si>
  <si>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</si>
  <si>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</si>
  <si>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</si>
  <si>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</si>
  <si>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</si>
  <si>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</si>
  <si>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Shawmut Village - 157 Gay Head CT - Inverter 51</t>
  </si>
  <si>
    <t>01/10/26 - Inverter lost communications again at 08:00 on 01/09 after the technician checked out.
01/08/26 - Revision Energy checked in.  Checked out.  Turned on AC disconnect.  Not communicating.  No Cell signal light is on.  Tech noted should resolve after some time.
01/06/26 - Inverter 51 is offline and has been since 12/13/25</t>
  </si>
  <si>
    <t>Karen Kishbaugh</t>
  </si>
  <si>
    <t xml:space="preserve">Pending Subcontractor Completion </t>
  </si>
  <si>
    <t>PV-Monitoring-ROC</t>
  </si>
  <si>
    <t>Ameresco UM - Inverter Troubleshooting</t>
  </si>
  <si>
    <t>1006999</t>
  </si>
  <si>
    <t>Shawmut Village - 55 Cherokee CT - Inverter 39</t>
  </si>
  <si>
    <t>01/09/26 - Inverter is occasionally tripping on and off and then self-resolving. 
12/08/25 - Issue still exist.
11/26/25 - inverter 39 offline from 11/23 reporting DC isolation.</t>
  </si>
  <si>
    <t>Ameresco - Inverter Troubleshooting</t>
  </si>
  <si>
    <t>7.6</t>
  </si>
  <si>
    <t>12/09/25 - Inverter 14 has regained its communication on 11/05.
11/05/25 - Still an issue.
10/09/25 - Brickenwood inverter 14 stopped communicating.  Production not confirmed.</t>
  </si>
  <si>
    <t>Ben Rose - 676 S 1St St - Inverter 11</t>
  </si>
  <si>
    <t>1/15/26 - Revision tech checked in. 
01/09/26 - Issue still exist
01/06/25 - Revision Energy checked in
12/08/25 - Issue still exist.
11/05/25 - Issue still exists.
10/09/25 - Inverter 11 tripped offline.  Reporting internal error.</t>
  </si>
  <si>
    <t>Satellite - 83 Libra Dr - Inverter 8</t>
  </si>
  <si>
    <t>01/10/26 - Inverter resumed its communication at 11:15 on 01/06.
12/09/25 - Issue still exist.
11/05/25 - Issue still exists.
10/07/25 - Issue still exists.
09/30/25 - Inverter 8 stopped communicating.  Production not confirmed.</t>
  </si>
  <si>
    <t>Ameresco Production Not Confirmed - Site Outage</t>
  </si>
  <si>
    <t>Ben Rose - 871 S Water St - Inverter 3</t>
  </si>
  <si>
    <t>01/09/26 - Issue still exist
12/08/25 - Issue still exist.
11/05/25 - Issue still exists.
10/07/25 - Issue still exists.
09/24/25 - Inverter 3 stopped communicating.  Production not confirmed.</t>
  </si>
  <si>
    <t>Presidential - 164 Van-Buren St Bldg 8 - Inverter 32</t>
  </si>
  <si>
    <t>01/09/26 - Issue still exist
12/08/25 - Issue still exist.
11/05/25 - Issue still exists.
10/07/25 - Issue still exists.
09/24/25 - Inverter 32 stopped communicating, production not confirmed.</t>
  </si>
  <si>
    <t>Presidential - 164 Van-Buren St Bldg 8 - Inverter 18</t>
  </si>
  <si>
    <t>01/09/26 - Issue still exist
12/08/25 - Issue still exist.
11/05/25 - Issue still exists.
10/07/25 - Issue still exists.
09/24/25 - Inverter 18 stopped communicating.  Production not confirmed.</t>
  </si>
  <si>
    <t>Brickenwood - 150 Hathaway - Inverter 5</t>
  </si>
  <si>
    <t>01/09/26 - Issue still exist
12/08/25 - Issue still exist.
11/05/25 - Issue still exists.
10/07/25 - Issue still exists.
09/15/25 - Inverter 5 stopped communicating.  Production not confirmed.</t>
  </si>
  <si>
    <t>Brickenwood - 59 Malden - Inverter 24</t>
  </si>
  <si>
    <t>01/09/26 - Issue still exist
12/08/25 - Issue still exist.
11/05/25 - Issue still exists.
10/07/25 - Issue still exists.
09/08/25 - Still an issue.
09/02/25 - Inverter 24 stopped communicating.  Production not confirmed.</t>
  </si>
  <si>
    <t>01/10/26 - Inverter regained it's communication, and the data has been backfilled.
12/08/25 - Issue still exist.
11/05/25 - Issue still exists.
10/07/25 - Issue still exists.
09/08/25 - Issue still exists.
Brickenwood inverter 16 stopped communicating.  Production not confirmed.</t>
  </si>
  <si>
    <t>Shawmut Village - 79 Pawnee CT - Inverter 19</t>
  </si>
  <si>
    <t>01/09/26 - Issue still exist
12/08/25 - Issue still exist
11/05/25 - Issue still exists.
10/07/25 - Issue still exists.
09/08/25 - Issue still exists.
09/02/25 - Inverter 19 stopped communicating.  Production not confirmed.</t>
  </si>
  <si>
    <t>Brickenwood - 42 Yale - Inverter 39</t>
  </si>
  <si>
    <t>01/09/26 - Issue still exist
12/08/25 - Issue still exist.
11/05/25 - Issue still exists.
10/07/25 - Issue still exists.
09/08/25 - Issue still exists.
08/08/25 - Issue still exists.
08/07/25 - Inverter 39 tripped offline at 11am on 7/28.  Reporting internal error.</t>
  </si>
  <si>
    <t>Dottin Place 1 - Amanda Ave Bldg 7 (82) - Inverter 9</t>
  </si>
  <si>
    <t>01/09/26 - Issue still exist
12/08/25 - Issue still exist.
11/05/25 - Issue still exists.
10/07/25 - Issue still exists.
09/08/25 - Issue still exists.
08/08/25 - Issue still exists.
07/30/25 - Inverter 9 stopped communicating 7/21.  Production not confirmed.</t>
  </si>
  <si>
    <t>Brickenwood - 132 Hathaway - Inverter 8</t>
  </si>
  <si>
    <t>7.5</t>
  </si>
  <si>
    <t>01/09/26 - Issue still exist
12/08/25 - Issue still exist.
11/05/25 - Issue still exists.
10/07/25 - Issue still exists.
09/08/25 - Still an issue.
07/30/25 - Inverter 8 stopped communicating 7/25</t>
  </si>
  <si>
    <t>Brickenwood - 219 Harvard - Inverter 53</t>
  </si>
  <si>
    <t>01/09/26 - Issue still exist
12/08/25 - Issue still exist.
11/05/25 - Issue still exists.
10/07/25 - Issue still exists.
09/08/25 - Issue still exists.
08/07/25 - Issue still exists.
07/07/25 - Issue still exists.
06/16/25 - Inverter 53 stopped communicating 6/8.  Production not confirmed.</t>
  </si>
  <si>
    <t>Brickenwood - 35 Yale - Inverter 58</t>
  </si>
  <si>
    <t>01/09/26 - Issue still exist
12/08/25 - Issue still exist.
11/05/25 - Issue still exists.
10/07/25 - Issue still exists.
09/08/25 - Issue still exists.
08/08/25 - Issue still exists.
07/07/25 - Issue still exists.
06/10/25 - Still an issue.
06/09/25 - Inverter 58 stopped communicating on 6/3.  Production not confirmed.</t>
  </si>
  <si>
    <t>Shawmut Village - 61 Apache CT - Inverter 50</t>
  </si>
  <si>
    <t>01/09/26 - Issue still exist
12/08/25 - Issue still exist
11/05/25 - Issue still exists.
10/07/25 - Issue still exists.
09/08/25 - Issue still exists.
08/08/25 - Issue still exists.
07/07/25 - Issue still exists.
06/04/25 - Still an issue.
06/03/25 - Inverter 50 stopped communicating 5/26.  Production not confirmed.</t>
  </si>
  <si>
    <t>Chaffee/Fairfield - 975 Fairfield St 1E - Inverter 3</t>
  </si>
  <si>
    <t>01/09/26 - Issue still exist
12/08/25 - Issue still exist.
11/05/25 - Issue still exists.
10/07/25 - Issue still exists.
09/08/25 - Issue still exists.
08/08/25 - Issue still exists.
07/07/25 - Issue still exists.
06/05/25 - Issue still exists.
05/19/25 - Inverter 3 tripped offline 5/12.  Reporting internal error.</t>
  </si>
  <si>
    <t>Brickenwood - 13 Yale - Inverter 48</t>
  </si>
  <si>
    <t>01/10/26 - Inverter resumed it's communicatin at 12:15 on 12/09/25.
12/08/25 - Issue still exist.
11/05/25 - Issue still exists.
10/07/25 - Issue still exists.
09/08/25 - Issue still exists.
08/08/25 - Issue still exists.
07/07/25 - Issue still exists.
06/05/25 - Issue still exists.
05/13/25 - Inverter 48 stopped communicating 5/10.  Production not confirmed.  Reporting Power Limitation.</t>
  </si>
  <si>
    <t>Shawmut Village - 83 Pawnee CT - Inverter 26</t>
  </si>
  <si>
    <t>01/09/26 - Issue still exist
12/08/25 - Issue still exist
11/05/25 - Issue still exists.
10/07/25 - Issue still exists.
09/08/25 - Issue still exists.
08/08/25 - Issue still exists.
07/07/25 - Issue still exists.
06/04/25 - Issue still exists
05/09/25 - Issue still exists
04/28/25 - Inverter 26 stopped communicating 4/22.  Production not confirmed.</t>
  </si>
  <si>
    <t>Brickenwood - 235 Harvard - Inverter 56</t>
  </si>
  <si>
    <t>01/09/26 - Issue still exist
12/08/25 - Issue still exist.
11/05/25 - Issue still exists.
10/07/25 - Issue still exists.
09/08/25 - Issue still exists.
08/08/25 - Issue still exists.
07/07/25 - Issue still exists.
06/05/25 - Issue still exists.
05/09/25-  Issue still exists.
04/09/25-  Issue still exists.
03/05/25 - Issue still exists.
02/25/25 - Inverter 56 stopped communicating 2/19.  Production not confirmed.</t>
  </si>
  <si>
    <t>Dottin Place 1 - Amanda Ave Bldg 12 (92) - Inverter 6</t>
  </si>
  <si>
    <t>01/09/26 - Issue still exist
12/08/25 - Issue still exist.
11/05/25 - Issue still exists.
10/07/25 - Issue still exists.
09/08/25 - Issue still exists.
08/08/25 - Issue still exists.
07/07/25 - Issue still exists.
06/05/25 - Issue still exists.
05/09/25 - Issue still exists.
04/09/25 -Issue still exists.
03/05/25 -Issue still exists.
02/18/25 Inverter 6 stopped communicating 2/10/25, production not confirmed.</t>
  </si>
  <si>
    <t>Adams St - 14 Adams St - Inverter 2</t>
  </si>
  <si>
    <t>14.4</t>
  </si>
  <si>
    <t>01/09/26 - Issue still exist
12/08/25 - Issue still exist.
11/05/25 - Issue still exists.
10/07/25 - Issue still exists.
09/08/25 - Issue still exists.
08/08/25 - Issue still exists.
07/08/25 - Issue still exists.
06/05/25 - Issue still exists.
05/09/25 - Issue still exists.
04/09/25 - Issue still exists.
03/05/25 - Issue still exists.
02/08/25 - Issue still exists
01/08/25 - Issue still exists
12/02/24 - Issue still exists
11/17/24 Inverter 2 tripped offline 11/5</t>
  </si>
  <si>
    <t xml:space="preserve">Adams St - 14 Adams St - Inverter 1 </t>
  </si>
  <si>
    <t>01/09/26 - Issue still exist
12/08/25 - Issue still exist.
11/05/25 - Issue still exists.
10/07/25 - Issue still exists.
09/08/25 - Issue still exists.
08/08/25 - Issue still exists.
07/08/25 - Issue still exists.
06/05/25 - Issue still exists.
05/09/25 - Issue still exists.
04/09/25 - Issue still exists.
03/05/25 - Issue still exists.
02/08/25 - Issue still exists
01/08/25 - Issue still exists.
12/02/24 - Issue still exists. 
11/17/24 Inverter 1 tripped offline 11/5</t>
  </si>
  <si>
    <t>Shawmut Village - 113 Mashpee CT - Inverter 45</t>
  </si>
  <si>
    <t>01/09/26 - Issue still exist
01/08/26 - Revision Energy checked in.  Checked out.  Turned on AC disconnect.  Not communicating.  No Cell signal light is on.  Tech noted should resolve after some time.
12/08/25 - Issue still exist
11/05/25 - Issue still exists.
10/07/25 - Issue still exists.
09/08/25 - Issue still exists.
08/08/25 - Issue still exists.
07/07/25 - Issue still exists.
06/04/25 - Issue still exists.
05/09/25 - Issue still exists.
04/09/25 - Issue still exists.
03/05/25 - Issue still exists.
02/08/25 - Issue still exists
01/08/25 - Issue still exists.
10/29/24 Inv 45 stopped communicating 10/22.  Production not confirmed.</t>
  </si>
  <si>
    <t>Ameresco UM - Communications Failure / Production Not Confirmed</t>
  </si>
  <si>
    <t>Presidential - 28 Monroe Dr Bldg 16 - Inverter 17</t>
  </si>
  <si>
    <t>01/09/26 - Issue still exist
12/08/25 - Issue still exist.
11/05/25 - Issue still exists.
10/07/25 - Issue still exists.
09/08/25 - Issue still exists.
08/08/25 - Issue still exists.
07/08/25 - Issue still exists.
06/05/25 - Issue still exists.
05/09/25 - Issue still exists.
04/09/25 - Issue still exists.
03/05/25 - Issue still exists.
02/08/25 - Issue still exists
01/08/25 - Issue still exists.
10/16/24 Inverter 17 tripped offline at 4pm on 10/8.</t>
  </si>
  <si>
    <t>Shawmut Village - 155 Gay Head CT - Inverter 33</t>
  </si>
  <si>
    <t>01/08/26 - Revision Energy checked in.  Checked out.  Replaced inverter.  Technician needs to update serial number on SE GO to get communication.
12/08/25 - Issue still exist
11/05/25 - Issue still exists.
10/07/25 - Issue still exists.
09/08/25 - Issue still exists.
08/08/25 - Issue still exists.
07/07/25 - Issue still exists.
06/04/25 - Issue still exists.
05/09/25 - Issue still exists.
04/09/25 - Issue still exists.
03/05/25 - Issue still exists.
02/08/25 - Issue still exists.
01/08/25 - Issue still exists.
7/15/24 Inverter 33 stopped communicating on 7/6/24, production not confirmed.</t>
  </si>
  <si>
    <t>Westlawn - 197 Liberty St Bldg 7 - Inverter 4</t>
  </si>
  <si>
    <t>01/09/26 - Issue still exist
12/08/25 - Issue still exist.
11/05/25 - Issue still exists.
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7/2/24: Inverter 4 stopped communicating on 5/2, cannot confirm production.</t>
  </si>
  <si>
    <t>Brickenwood - 58 Yale - Inverter 49</t>
  </si>
  <si>
    <t>01/09/26 - Issue still exist
12/08/25 - Issue still exist.
11/05/25 - Issue still exists.
10/07/25 - Issue still exists.
09/08/25 - Issue still exists.
08/08/25 - Issue still exists.
07/07/25 - Issue still exists.
06/05/25 - Issue still exists.
05/09/25 -  Issue still exists.
04/09/25 -  Issue still exists.
03/05/25 - Issue still exists.
02/08/25 - Issue still exists.
01/08/25 - Issue still exists.
6/3/24 - inverter 49 stopped communicating on 5/25/24; possibly offline.</t>
  </si>
  <si>
    <t xml:space="preserve">EPC Completion </t>
  </si>
  <si>
    <t>PV Monitoring - Minor</t>
  </si>
  <si>
    <t>23.4</t>
  </si>
  <si>
    <t>01/09/26 - Issue still exist
12/08/25 - Issue still exist.
11/05/25 - Issue still exists.
10/07/25 - Issue still exists.
09/08/25 - Issue still exists.
08/08/25 - Issue still exists.
08/06/25 - Inverter 18 resumed communicating on 8/1 at 8pm.  Inverter 27 still not communicating.
07/08/25 - Issue still exists.
06/05/25 - Issue still exists.
05/09/25 - Issue still exists.
04/09/25 - Issue still exists.
03/05/25 - Issue still exists.
02/09/25 - Issue still exists.
01/08/25 - Issue still exists.
5/17/24 - Presidential inverters 18, 27 have stopped communicating, possibly offline.</t>
  </si>
  <si>
    <t>21.8</t>
  </si>
  <si>
    <t>01/09/26 - Issue still exist
12/08/25 - Issue still exist.
11/05/25 - Issue still exists.
10/07/25 - Issue still exists.
09/08/25 - Issue still exists.
08/08/25 - Issue still exists.
07/08/25 - Issue still exists.
06/05/25 - Inverter 5 resolved &amp; Inverter 4 still an issue.
05/09/25 - Issue still exists.
04/09/25 -  Inverter 4,5 still an issue.
03/05/25 - Issue still exists.
02/09/25 - Inverter 4 still an issue.
01/08/25 - Inverters 6,15 and 16 resolved &amp; Inverter 4 still an issue.
06/03/24 - invs 15 and 16 regained comms, invs 4 and 6 still have no comms.
05/11/24 - Westlawn inverters 4, 6, 15, 16 stopped communicating, possibly offline.</t>
  </si>
  <si>
    <t>Ameresco UM - Communications Failure</t>
  </si>
  <si>
    <t>Brickenwood - 88 Malden - Inverter 27</t>
  </si>
  <si>
    <t>7 - inverter comms ?</t>
  </si>
  <si>
    <t>01/09/26 - Issue still exist
12/08/25 - Issue still exist.
11/05/25 - Issue still exists.
10/07/25 - Issue still exists.
09/08/25 - Issue still exists.
08/08/25 - Issue still exists.
07/07/25 - Issue still exists.
06/05/25 - Issue still exists.
05/09/25 - Issue still exists.
04/09/25 - Issue still exists.
02/08/25 - Issue still exists.
01/08/25 - Issue still exists.
12/02/24 - Issue still exists.
11/7/24 - Inverter 27 stopped communicating, possibly offline.</t>
  </si>
  <si>
    <t>Presidential - 310 Mt-Pleasant St Bldg 2 - Inverter 1</t>
  </si>
  <si>
    <t>01/09/26 - Issue still exist
12/08/25 - Issue still exist.
11/05/25 - Issue still exists.
10/07/25 - Issue still exists.
09/08/25 - Issue still exists.
08/08/25 - Issue still exists.
07/08/25 - Issue still exists.
06/05/25 - Issue still exists.
05/09/25 - Issue still exists.
04/09/25 - Issue still exists.
03/05/25 - Issue still exists.
02/08/25 - Still an issue. 
01/08/25 - Inverter 1 is still in offline.
3/4 - Inverter 1 is offline.</t>
  </si>
  <si>
    <t>Brickenwood - 240 Harvard - Inverter 46</t>
  </si>
  <si>
    <t>01/09/26 - Issue still exist
12/08/25 - Issue still exist.
11/05/25 - Issue still exists.
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3/4 - Inverter 46 at Brickenwood is offline.</t>
  </si>
  <si>
    <t>Westlawn - 197 Liberty St Bldg 33 - Inverter 26</t>
  </si>
  <si>
    <t>3 - Inverter comms ?</t>
  </si>
  <si>
    <t>01/09/26 - Issue still exist
12/08/25 - Issue still exist.
11/05/25 - Issue still exists.
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12/01/24 - Inverter last communicated 10/03/24.
03/01/24 - Inverter 26 is not communicating.</t>
  </si>
  <si>
    <t>Westlawn - 197 Liberty St Bldg 45 - Inverter 23</t>
  </si>
  <si>
    <t>01/09/26 - Issue still exist
12/08/25 - Issue still exist.
11/05/25 - Issue still exists.
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2/20/24 - Inverter 23 stopped communicating; cannot confirm production.</t>
  </si>
  <si>
    <t>Adams St - 14 Adams St - Inverter 3</t>
  </si>
  <si>
    <t>01/09/26 - Issue still exist
12/08/25 - Issue still exist.
11/05/25 - Issue still exists.
10/07/25 - Issue still exists.
09/08/25 - Issue still exists.
08/08/25 - Issue still exists.
07/08/25 - Issue still exists.
06/05/25 - Issue still exists.
05/09/25 - Issue still exists.
04/09/25 - Issue still exists.
03/05/25 - Issue still exists.
02/08/25 - Issue still exists.
12/02/24 - Inverter 3 is offline (re-occurring issue).
12/31/23 - Inverter 3 is offline and reporting "Isolation Fault".</t>
  </si>
  <si>
    <t>Shawmut Village - 111 Mashpee CT - Inverter 49</t>
  </si>
  <si>
    <t>01/09/26 - Issue still exist
12/08/25 - Issue still exist
11/05/25 - Issue still exists.
10/07/25 - Issue still exists.
09/08/25 - Issue still exists.
08/08/25 - Issue still exists.
07/07/25 - Issue still exists.
06/04/25 - Issue still exists.
05/09/25 - Issue still exists.
04/09/25 -  Issue still exists.
03/05/25 - Issue still exists.
02/08/25 - Issue still exists.
01/08/25 - Issue still exists.
10/17/23 - Inverter 49 is not communicating from 07/09, possibly offline</t>
  </si>
  <si>
    <t>Satellite - 90 Libra Dr - Inverter 11</t>
  </si>
  <si>
    <t xml:space="preserve">6 </t>
  </si>
  <si>
    <t>01/10/26 - Inverter is back online at 10:45 on 01/06.
12/08/25 - Issue still exist.
11/05/25 - Issue still exists.
10/07/25 - Issue still exists.
09/08/25 - Issue still exists.
08/08/25 - Issue still exists.
07/07/25 - Issue still exists.
06/05/25 - Issue still exists.
05/09/25 - Issue still exists.
04/09/25 - Issue still exists
03/05/25 - Issue still exists.
02/08/25 - Issue still exists.
01/08/25 - Issue still exists.
10/5/23 - Inverter 11 stopped communicating, possibly offline.</t>
  </si>
  <si>
    <t>Adams St - 14 Adams St - Inverter 4</t>
  </si>
  <si>
    <t>01/09/26 - Issue still exist
12/08/25 - Issue still exist.
11/05/25 - Issue still exists.
10/07/25 - Issue still exists.
09/08/25 - Issue still exists.
08/08/25 - Issue still exists.
07/08/25 - Issue still exists.
06/05/25 - Issue still exists.
05/09/25  -Issue still exists
04/09/25 - Issue still exists
03/05/25 - Issue still exists.
02/08/25 - Issue still exists.
01/08/25 - Issue still exists.
12/02/24 - Inverter is offline (re-occurring issue).
10/16/23 - Inverter is still offline.
08/31/23 - Inverter 4 tripped offline.</t>
  </si>
  <si>
    <t>Shawmut Village - 121 Mashpee CT - Inverter 25</t>
  </si>
  <si>
    <t>01/09/26 - Issue still exist
12/08/25 - Issue still exist
11/05/25 - Issue still exists.
10/07/25 - Issue still exists.
09/08/25 - Issue still exists.
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reporting, possibly offline
8/9 - Inverter 25 stopped communicating.</t>
  </si>
  <si>
    <t>Shawmut Village - 45 Cherokee CT - Inverter 37</t>
  </si>
  <si>
    <t>01/09/26 - Issue still exist
12/08/25 - Issue still exist
11/05/25 - Issue still exists.
10/07/25 - Issue still exists.
09/08/25 - Issue still exists.
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communicating from 07/10, possibly offline
7/13 - Inverter 37 stopped communicating, possibly offline. S/N: 73086310-EE</t>
  </si>
  <si>
    <t>Brickenwood - 190 Harvard - Inverter 35</t>
  </si>
  <si>
    <t>01/09/26 - Issue still exist
12/08/25 - Issue still exist.
11/05/25 - Issue still exists.
10/07/25 - Issue still exists.
09/08/25 - Issue still exists.
08/08/25 - Issue still exists.
07/07/25 - Issue still exists.
06/05/25 - Issue still exists.
05/09/25 - Issue still exists
04/09/25 - Issue still exists
03/05/25 - Issue still exists.
02/08/25 - Issue still exists.
01/08/25 - Issue still exists.
10/17/23 - Inverter 35 is still offline 
07/11/23 - Inverter 35 tripped offline.</t>
  </si>
  <si>
    <t>01/09/26 - Issue still exist
12/08/25 - Issue still exist.
11/05/25 - Issue still exists.
10/07/25 - Issue still exists.
09/08/25 - Issue still exists.
07/07/25 - Issue still exists.
06/05/25 - Issue still exists.
05/09/25  -Issue still exists
04/09/25  -Issue still exists
03/05/25 - Issue still exists.
02/08/25 - Issue still exists.
01/08/25 - Issue still exists.
05/22/23 - Inverter 46 tripped offline.</t>
  </si>
  <si>
    <t>Shawmut Village - 63 Apache CT - Inverter 42</t>
  </si>
  <si>
    <t>01/09/26 - Issue still exist
12/08/25 - Issue still exist
11/05/25 - Issue still exists.
10/07/25 - Issue still exists.
09/08/25 - Issue still exists.
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communicating from 05/07, possibly offline
5/9 - Inverter 42 stopped communicating, possibly offline.</t>
  </si>
  <si>
    <t>Shawmut Village - 67 Apache CT - Inverter 48</t>
  </si>
  <si>
    <t>01/09/26 - Issue still exist
12/08/25 - Issue still exist
11/05/25 - Issue still exists.
10/07/25 - Issue still exists.
09/08/25 - Issue still exists.
08/08/25 - Issue still exists.
07/07/25 - Issue still exists.
06/04/25 - Issue still exists.
05/09/25 -Issue still exists
04/09/25 - Issue still exists
03/05/25 - Issue still exists.
02/08/2025 - Issue still exists.
01/08/2025 - Issue still exists.
10/17/2023 - Inverter is still not communicating from 04/11, possibly offline
4/21 - Inverter 48 stopped communicating.</t>
  </si>
  <si>
    <t>Presidential - 119 Fillmore St Bldg 9 - Inverter 21</t>
  </si>
  <si>
    <t>9 - approximately</t>
  </si>
  <si>
    <t xml:space="preserve">01/09/26 - Issue still exist
12/08/25 - Issue still exist.
11/05/25 - Issue still exists.
10/07/25 - Issue still exists.
09/08/25 - Issue still exists.
08/08/25 - Issue still exists.
07/08/25 - Issue still exists.
06/05/25 - Issue still exists.
05/09/25  -Issue still exists
04/09/25 - Issue still exists.
03/05/25 - Issue still exists.
02/08/25 - Issue still exists
01/08/25 - Issue still exists
10/17/23 - Issue still exists
04/03/23 - Issue still exists.
01/03/23 - Inverter 21 lost communications on 8/23/22.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</si>
</sst>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0">
    <font>
      <sz val="10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6"/>
      <color rgb="FFD41317"/>
      <name val="Calibri"/>
    </font>
    <font>
      <sz val="10"/>
      <color rgb="FF303030"/>
      <name val="Calibri"/>
    </font>
    <font>
      <b/>
      <sz val="13"/>
      <color rgb="FF303030"/>
      <name val="Calibri"/>
    </font>
    <font>
      <sz val="12"/>
      <color rgb="FFD41317"/>
      <name val="Calibri"/>
    </font>
    <font>
      <b/>
      <sz val="10"/>
      <color rgb="FFD41317"/>
      <name val="Calibri"/>
    </font>
    <font>
      <sz val="10"/>
      <color rgb="FF428BCA"/>
      <name val="Calibri"/>
    </font>
    <font>
      <b/>
      <sz val="10"/>
      <color rgb="FF30303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rgb="FFE6E6E6"/>
      </patternFill>
    </fill>
    <fill>
      <patternFill patternType="solid">
        <fgColor rgb="FFF7F7F7"/>
      </patternFill>
    </fill>
    <fill>
      <patternFill patternType="solid">
        <fgColor rgb="FFDCF2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vertical="top"/>
    </xf>
    <xf numFmtId="0" fontId="4" fillId="0" borderId="2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9" fillId="5" borderId="2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6" fillId="3" borderId="2" xfId="0" applyFont="1" applyFill="1" applyBorder="1" applyAlignment="1">
      <alignment horizontal="center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" TargetMode="External"/><Relationship Id="rId3" Type="http://schemas.openxmlformats.org/officeDocument/2006/relationships/hyperlink" Target="https://monitoring.solaredge.com/solaredge-web/p/site/2747637" TargetMode="External"/><Relationship Id="rId7" Type="http://schemas.openxmlformats.org/officeDocument/2006/relationships/hyperlink" Target="https://monitoring.solaredge.com/solaredge-web/p/site/2331864" TargetMode="External"/><Relationship Id="rId2" Type="http://schemas.openxmlformats.org/officeDocument/2006/relationships/hyperlink" Target="https://monitoring.solaredge.com/solaredge-web/p/site/2752799" TargetMode="External"/><Relationship Id="rId1" Type="http://schemas.openxmlformats.org/officeDocument/2006/relationships/hyperlink" Target="https://monitoring.solaredge.com/solaredge-web/p/site/2484387" TargetMode="External"/><Relationship Id="rId6" Type="http://schemas.openxmlformats.org/officeDocument/2006/relationships/hyperlink" Target="https://monitoring.solaredge.com/solaredge-web/p/site/1735791" TargetMode="External"/><Relationship Id="rId11" Type="http://schemas.openxmlformats.org/officeDocument/2006/relationships/hyperlink" Target="https://monitoring.solaredge.com/solaredge-web/p/site/2753485" TargetMode="External"/><Relationship Id="rId5" Type="http://schemas.openxmlformats.org/officeDocument/2006/relationships/hyperlink" Target="https://monitoring.solaredge.com/solaredge-web/p/site/2660184" TargetMode="External"/><Relationship Id="rId10" Type="http://schemas.openxmlformats.org/officeDocument/2006/relationships/hyperlink" Target="https://monitoring.solaredge.com/solaredge-web/p/site/2382372" TargetMode="External"/><Relationship Id="rId4" Type="http://schemas.openxmlformats.org/officeDocument/2006/relationships/hyperlink" Target="https://monitoring.solaredge.com/solaredge-web/p/site/1735612" TargetMode="External"/><Relationship Id="rId9" Type="http://schemas.openxmlformats.org/officeDocument/2006/relationships/hyperlink" Target="https://monitoring.solaredge.com/solaredge-web/p/site/25978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9BBC2-39DD-4409-8707-7377141B2771}">
  <dimension ref="A2:Q23"/>
  <sheetViews>
    <sheetView tabSelected="1" workbookViewId="0">
      <selection activeCell="E44" sqref="E44"/>
    </sheetView>
  </sheetViews>
  <sheetFormatPr defaultRowHeight="13.15"/>
  <cols>
    <col min="1" max="1" width="42.7109375" bestFit="1" customWidth="1"/>
    <col min="2" max="2" width="17.5703125" bestFit="1" customWidth="1"/>
    <col min="3" max="3" width="7.28515625" bestFit="1" customWidth="1"/>
    <col min="4" max="4" width="10.42578125" bestFit="1" customWidth="1"/>
    <col min="5" max="5" width="11.28515625" bestFit="1" customWidth="1"/>
    <col min="6" max="6" width="10" bestFit="1" customWidth="1"/>
    <col min="7" max="7" width="14.28515625" bestFit="1" customWidth="1"/>
    <col min="8" max="8" width="15.7109375" bestFit="1" customWidth="1"/>
    <col min="9" max="9" width="17.7109375" bestFit="1" customWidth="1"/>
    <col min="10" max="10" width="9" bestFit="1" customWidth="1"/>
    <col min="11" max="11" width="8.5703125" bestFit="1" customWidth="1"/>
    <col min="12" max="12" width="9" bestFit="1" customWidth="1"/>
    <col min="13" max="13" width="8.5703125" bestFit="1" customWidth="1"/>
    <col min="14" max="14" width="10" bestFit="1" customWidth="1"/>
    <col min="15" max="15" width="8.5703125" bestFit="1" customWidth="1"/>
    <col min="16" max="16" width="11.5703125" bestFit="1" customWidth="1"/>
    <col min="17" max="17" width="8.5703125" bestFit="1" customWidth="1"/>
  </cols>
  <sheetData>
    <row r="2" spans="1:17" ht="21">
      <c r="A2" s="2" t="s">
        <v>0</v>
      </c>
    </row>
    <row r="3" spans="1:17" ht="13.9">
      <c r="A3" s="3" t="s">
        <v>1</v>
      </c>
      <c r="B3" s="3" t="s">
        <v>2</v>
      </c>
    </row>
    <row r="4" spans="1:17" ht="13.9">
      <c r="A4" s="3" t="s">
        <v>3</v>
      </c>
      <c r="B4" s="3" t="s">
        <v>4</v>
      </c>
    </row>
    <row r="5" spans="1:17" ht="13.9">
      <c r="A5" s="3" t="s">
        <v>5</v>
      </c>
      <c r="B5" s="3" t="s">
        <v>6</v>
      </c>
    </row>
    <row r="6" spans="1:17" ht="13.9">
      <c r="A6" s="3" t="s">
        <v>7</v>
      </c>
      <c r="B6" s="3" t="s">
        <v>8</v>
      </c>
    </row>
    <row r="7" spans="1:17" ht="13.9">
      <c r="A7" s="3" t="s">
        <v>9</v>
      </c>
      <c r="B7" s="3" t="s">
        <v>10</v>
      </c>
    </row>
    <row r="9" spans="1:17" ht="17.45">
      <c r="A9" s="4"/>
    </row>
    <row r="10" spans="1:17" ht="15.6">
      <c r="A10" s="13" t="s">
        <v>11</v>
      </c>
      <c r="B10" s="14"/>
      <c r="C10" s="14"/>
      <c r="D10" s="14"/>
      <c r="E10" s="14"/>
      <c r="F10" s="14"/>
      <c r="G10" s="14"/>
      <c r="H10" s="14"/>
      <c r="I10" s="5" t="s">
        <v>12</v>
      </c>
      <c r="J10" s="13" t="s">
        <v>13</v>
      </c>
      <c r="K10" s="14"/>
      <c r="L10" s="13" t="s">
        <v>14</v>
      </c>
      <c r="M10" s="14"/>
      <c r="N10" s="13" t="s">
        <v>15</v>
      </c>
      <c r="O10" s="14"/>
      <c r="P10" s="13" t="s">
        <v>16</v>
      </c>
      <c r="Q10" s="14"/>
    </row>
    <row r="11" spans="1:17" ht="13.9">
      <c r="A11" s="6" t="s">
        <v>17</v>
      </c>
      <c r="B11" s="6" t="s">
        <v>18</v>
      </c>
      <c r="C11" s="6" t="s">
        <v>19</v>
      </c>
      <c r="D11" s="6" t="s">
        <v>20</v>
      </c>
      <c r="E11" s="6" t="s">
        <v>21</v>
      </c>
      <c r="F11" s="6" t="s">
        <v>22</v>
      </c>
      <c r="G11" s="6" t="s">
        <v>23</v>
      </c>
      <c r="H11" s="6" t="s">
        <v>24</v>
      </c>
      <c r="I11" s="6" t="s">
        <v>25</v>
      </c>
      <c r="J11" s="6" t="s">
        <v>26</v>
      </c>
      <c r="K11" s="6" t="s">
        <v>27</v>
      </c>
      <c r="L11" s="6" t="s">
        <v>26</v>
      </c>
      <c r="M11" s="6" t="s">
        <v>27</v>
      </c>
      <c r="N11" s="6" t="s">
        <v>26</v>
      </c>
      <c r="O11" s="6" t="s">
        <v>27</v>
      </c>
      <c r="P11" s="6" t="s">
        <v>26</v>
      </c>
      <c r="Q11" s="6" t="s">
        <v>27</v>
      </c>
    </row>
    <row r="12" spans="1:17" ht="13.9">
      <c r="A12" s="7" t="s">
        <v>28</v>
      </c>
      <c r="B12" s="8" t="s">
        <v>29</v>
      </c>
      <c r="C12" s="7" t="s">
        <v>30</v>
      </c>
      <c r="D12" s="7" t="s">
        <v>31</v>
      </c>
      <c r="E12" s="7" t="s">
        <v>32</v>
      </c>
      <c r="F12" s="7" t="s">
        <v>33</v>
      </c>
      <c r="G12" s="7" t="s">
        <v>34</v>
      </c>
      <c r="H12" s="7" t="s">
        <v>35</v>
      </c>
      <c r="I12" s="7" t="s">
        <v>17</v>
      </c>
      <c r="J12" s="7" t="s">
        <v>36</v>
      </c>
      <c r="K12" s="7" t="s">
        <v>17</v>
      </c>
      <c r="L12" s="7" t="s">
        <v>36</v>
      </c>
      <c r="M12" s="7" t="s">
        <v>17</v>
      </c>
      <c r="N12" s="7" t="s">
        <v>37</v>
      </c>
      <c r="O12" s="7" t="s">
        <v>37</v>
      </c>
      <c r="P12" s="7" t="s">
        <v>37</v>
      </c>
      <c r="Q12" s="7" t="s">
        <v>37</v>
      </c>
    </row>
    <row r="13" spans="1:17" ht="13.9">
      <c r="A13" s="7" t="s">
        <v>38</v>
      </c>
      <c r="B13" s="8" t="s">
        <v>39</v>
      </c>
      <c r="C13" s="7" t="s">
        <v>40</v>
      </c>
      <c r="D13" s="7" t="s">
        <v>31</v>
      </c>
      <c r="E13" s="7" t="s">
        <v>32</v>
      </c>
      <c r="F13" s="7" t="s">
        <v>33</v>
      </c>
      <c r="G13" s="7" t="s">
        <v>41</v>
      </c>
      <c r="H13" s="7" t="s">
        <v>42</v>
      </c>
      <c r="I13" s="7" t="s">
        <v>17</v>
      </c>
      <c r="J13" s="7" t="s">
        <v>43</v>
      </c>
      <c r="K13" s="7" t="s">
        <v>44</v>
      </c>
      <c r="L13" s="7" t="s">
        <v>45</v>
      </c>
      <c r="M13" s="7" t="s">
        <v>46</v>
      </c>
      <c r="N13" s="7" t="s">
        <v>47</v>
      </c>
      <c r="O13" s="7" t="s">
        <v>48</v>
      </c>
      <c r="P13" s="7" t="s">
        <v>49</v>
      </c>
      <c r="Q13" s="7" t="s">
        <v>50</v>
      </c>
    </row>
    <row r="14" spans="1:17" ht="13.9">
      <c r="A14" s="7" t="s">
        <v>51</v>
      </c>
      <c r="B14" s="8" t="s">
        <v>52</v>
      </c>
      <c r="C14" s="7" t="s">
        <v>53</v>
      </c>
      <c r="D14" s="7" t="s">
        <v>31</v>
      </c>
      <c r="E14" s="7" t="s">
        <v>32</v>
      </c>
      <c r="F14" s="7" t="s">
        <v>33</v>
      </c>
      <c r="G14" s="7" t="s">
        <v>54</v>
      </c>
      <c r="H14" s="7" t="s">
        <v>55</v>
      </c>
      <c r="I14" s="7" t="s">
        <v>56</v>
      </c>
      <c r="J14" s="7" t="s">
        <v>57</v>
      </c>
      <c r="K14" s="7" t="s">
        <v>58</v>
      </c>
      <c r="L14" s="7" t="s">
        <v>59</v>
      </c>
      <c r="M14" s="7" t="s">
        <v>60</v>
      </c>
      <c r="N14" s="7" t="s">
        <v>61</v>
      </c>
      <c r="O14" s="7" t="s">
        <v>62</v>
      </c>
      <c r="P14" s="7" t="s">
        <v>63</v>
      </c>
      <c r="Q14" s="7" t="s">
        <v>64</v>
      </c>
    </row>
    <row r="15" spans="1:17" ht="13.9">
      <c r="A15" s="7" t="s">
        <v>56</v>
      </c>
      <c r="B15" s="8" t="s">
        <v>65</v>
      </c>
      <c r="C15" s="7" t="s">
        <v>66</v>
      </c>
      <c r="D15" s="7" t="s">
        <v>31</v>
      </c>
      <c r="E15" s="7" t="s">
        <v>32</v>
      </c>
      <c r="F15" s="7" t="s">
        <v>33</v>
      </c>
      <c r="G15" s="7" t="s">
        <v>67</v>
      </c>
      <c r="H15" s="7" t="s">
        <v>68</v>
      </c>
      <c r="I15" s="7" t="s">
        <v>17</v>
      </c>
      <c r="J15" s="7" t="s">
        <v>69</v>
      </c>
      <c r="K15" s="7" t="s">
        <v>70</v>
      </c>
      <c r="L15" s="7" t="s">
        <v>71</v>
      </c>
      <c r="M15" s="7" t="s">
        <v>72</v>
      </c>
      <c r="N15" s="7" t="s">
        <v>73</v>
      </c>
      <c r="O15" s="7" t="s">
        <v>74</v>
      </c>
      <c r="P15" s="7" t="s">
        <v>75</v>
      </c>
      <c r="Q15" s="7" t="s">
        <v>76</v>
      </c>
    </row>
    <row r="16" spans="1:17" ht="13.9">
      <c r="A16" s="7" t="s">
        <v>77</v>
      </c>
      <c r="B16" s="8" t="s">
        <v>78</v>
      </c>
      <c r="C16" s="7" t="s">
        <v>79</v>
      </c>
      <c r="D16" s="7" t="s">
        <v>31</v>
      </c>
      <c r="E16" s="7" t="s">
        <v>32</v>
      </c>
      <c r="F16" s="7" t="s">
        <v>33</v>
      </c>
      <c r="G16" s="7" t="s">
        <v>80</v>
      </c>
      <c r="H16" s="7" t="s">
        <v>81</v>
      </c>
      <c r="I16" s="7" t="s">
        <v>77</v>
      </c>
      <c r="J16" s="7" t="s">
        <v>82</v>
      </c>
      <c r="K16" s="7" t="s">
        <v>83</v>
      </c>
      <c r="L16" s="7" t="s">
        <v>84</v>
      </c>
      <c r="M16" s="7" t="s">
        <v>85</v>
      </c>
      <c r="N16" s="7" t="s">
        <v>86</v>
      </c>
      <c r="O16" s="7" t="s">
        <v>87</v>
      </c>
      <c r="P16" s="7" t="s">
        <v>88</v>
      </c>
      <c r="Q16" s="7" t="s">
        <v>89</v>
      </c>
    </row>
    <row r="17" spans="1:17" ht="13.9">
      <c r="A17" s="7" t="s">
        <v>90</v>
      </c>
      <c r="B17" s="8" t="s">
        <v>91</v>
      </c>
      <c r="C17" s="7" t="s">
        <v>92</v>
      </c>
      <c r="D17" s="7" t="s">
        <v>31</v>
      </c>
      <c r="E17" s="7" t="s">
        <v>32</v>
      </c>
      <c r="F17" s="7" t="s">
        <v>33</v>
      </c>
      <c r="G17" s="7" t="s">
        <v>67</v>
      </c>
      <c r="H17" s="7" t="s">
        <v>93</v>
      </c>
      <c r="I17" s="7" t="s">
        <v>17</v>
      </c>
      <c r="J17" s="7" t="s">
        <v>94</v>
      </c>
      <c r="K17" s="7" t="s">
        <v>95</v>
      </c>
      <c r="L17" s="7" t="s">
        <v>96</v>
      </c>
      <c r="M17" s="7" t="s">
        <v>97</v>
      </c>
      <c r="N17" s="7" t="s">
        <v>98</v>
      </c>
      <c r="O17" s="7" t="s">
        <v>99</v>
      </c>
      <c r="P17" s="7" t="s">
        <v>100</v>
      </c>
      <c r="Q17" s="7" t="s">
        <v>101</v>
      </c>
    </row>
    <row r="18" spans="1:17" ht="13.9">
      <c r="A18" s="7" t="s">
        <v>102</v>
      </c>
      <c r="B18" s="8" t="s">
        <v>103</v>
      </c>
      <c r="C18" s="7" t="s">
        <v>104</v>
      </c>
      <c r="D18" s="7" t="s">
        <v>31</v>
      </c>
      <c r="E18" s="7" t="s">
        <v>32</v>
      </c>
      <c r="F18" s="7" t="s">
        <v>33</v>
      </c>
      <c r="G18" s="7" t="s">
        <v>105</v>
      </c>
      <c r="H18" s="7" t="s">
        <v>106</v>
      </c>
      <c r="I18" s="7" t="s">
        <v>17</v>
      </c>
      <c r="J18" s="7" t="s">
        <v>107</v>
      </c>
      <c r="K18" s="7" t="s">
        <v>108</v>
      </c>
      <c r="L18" s="7" t="s">
        <v>109</v>
      </c>
      <c r="M18" s="7" t="s">
        <v>110</v>
      </c>
      <c r="N18" s="7" t="s">
        <v>111</v>
      </c>
      <c r="O18" s="7" t="s">
        <v>112</v>
      </c>
      <c r="P18" s="7" t="s">
        <v>113</v>
      </c>
      <c r="Q18" s="7" t="s">
        <v>114</v>
      </c>
    </row>
    <row r="19" spans="1:17" ht="13.9">
      <c r="A19" s="7" t="s">
        <v>115</v>
      </c>
      <c r="B19" s="8" t="s">
        <v>116</v>
      </c>
      <c r="C19" s="7" t="s">
        <v>117</v>
      </c>
      <c r="D19" s="7" t="s">
        <v>31</v>
      </c>
      <c r="E19" s="7" t="s">
        <v>32</v>
      </c>
      <c r="F19" s="7" t="s">
        <v>33</v>
      </c>
      <c r="G19" s="7" t="s">
        <v>118</v>
      </c>
      <c r="H19" s="7" t="s">
        <v>119</v>
      </c>
      <c r="I19" s="7" t="s">
        <v>90</v>
      </c>
      <c r="J19" s="7" t="s">
        <v>120</v>
      </c>
      <c r="K19" s="7" t="s">
        <v>121</v>
      </c>
      <c r="L19" s="7" t="s">
        <v>122</v>
      </c>
      <c r="M19" s="7" t="s">
        <v>123</v>
      </c>
      <c r="N19" s="7" t="s">
        <v>124</v>
      </c>
      <c r="O19" s="7" t="s">
        <v>125</v>
      </c>
      <c r="P19" s="7" t="s">
        <v>126</v>
      </c>
      <c r="Q19" s="7" t="s">
        <v>127</v>
      </c>
    </row>
    <row r="20" spans="1:17" ht="13.9">
      <c r="A20" s="7" t="s">
        <v>128</v>
      </c>
      <c r="B20" s="8" t="s">
        <v>129</v>
      </c>
      <c r="C20" s="7" t="s">
        <v>130</v>
      </c>
      <c r="D20" s="7" t="s">
        <v>31</v>
      </c>
      <c r="E20" s="7" t="s">
        <v>32</v>
      </c>
      <c r="F20" s="7" t="s">
        <v>33</v>
      </c>
      <c r="G20" s="7" t="s">
        <v>131</v>
      </c>
      <c r="H20" s="7" t="s">
        <v>132</v>
      </c>
      <c r="I20" s="7" t="s">
        <v>17</v>
      </c>
      <c r="J20" s="7" t="s">
        <v>133</v>
      </c>
      <c r="K20" s="7" t="s">
        <v>134</v>
      </c>
      <c r="L20" s="7" t="s">
        <v>135</v>
      </c>
      <c r="M20" s="7" t="s">
        <v>136</v>
      </c>
      <c r="N20" s="7" t="s">
        <v>137</v>
      </c>
      <c r="O20" s="7" t="s">
        <v>138</v>
      </c>
      <c r="P20" s="7" t="s">
        <v>139</v>
      </c>
      <c r="Q20" s="7" t="s">
        <v>140</v>
      </c>
    </row>
    <row r="21" spans="1:17" ht="13.9">
      <c r="A21" s="7" t="s">
        <v>141</v>
      </c>
      <c r="B21" s="8" t="s">
        <v>142</v>
      </c>
      <c r="C21" s="7" t="s">
        <v>143</v>
      </c>
      <c r="D21" s="7" t="s">
        <v>31</v>
      </c>
      <c r="E21" s="7" t="s">
        <v>32</v>
      </c>
      <c r="F21" s="7" t="s">
        <v>33</v>
      </c>
      <c r="G21" s="7" t="s">
        <v>144</v>
      </c>
      <c r="H21" s="7" t="s">
        <v>145</v>
      </c>
      <c r="I21" s="7" t="s">
        <v>77</v>
      </c>
      <c r="J21" s="7" t="s">
        <v>146</v>
      </c>
      <c r="K21" s="7" t="s">
        <v>147</v>
      </c>
      <c r="L21" s="7" t="s">
        <v>148</v>
      </c>
      <c r="M21" s="7" t="s">
        <v>149</v>
      </c>
      <c r="N21" s="7" t="s">
        <v>150</v>
      </c>
      <c r="O21" s="7" t="s">
        <v>151</v>
      </c>
      <c r="P21" s="7" t="s">
        <v>152</v>
      </c>
      <c r="Q21" s="7" t="s">
        <v>153</v>
      </c>
    </row>
    <row r="22" spans="1:17" ht="13.9">
      <c r="A22" s="7" t="s">
        <v>8</v>
      </c>
      <c r="B22" s="8" t="s">
        <v>154</v>
      </c>
      <c r="C22" s="7" t="s">
        <v>155</v>
      </c>
      <c r="D22" s="7" t="s">
        <v>31</v>
      </c>
      <c r="E22" s="7" t="s">
        <v>32</v>
      </c>
      <c r="F22" s="7" t="s">
        <v>33</v>
      </c>
      <c r="G22" s="7" t="s">
        <v>41</v>
      </c>
      <c r="H22" s="7" t="s">
        <v>156</v>
      </c>
      <c r="I22" s="7" t="s">
        <v>77</v>
      </c>
      <c r="J22" s="7" t="s">
        <v>157</v>
      </c>
      <c r="K22" s="7" t="s">
        <v>158</v>
      </c>
      <c r="L22" s="7" t="s">
        <v>159</v>
      </c>
      <c r="M22" s="7" t="s">
        <v>160</v>
      </c>
      <c r="N22" s="7" t="s">
        <v>161</v>
      </c>
      <c r="O22" s="7" t="s">
        <v>162</v>
      </c>
      <c r="P22" s="7" t="s">
        <v>163</v>
      </c>
      <c r="Q22" s="7" t="s">
        <v>164</v>
      </c>
    </row>
    <row r="23" spans="1:17" ht="13.9">
      <c r="A23" s="9" t="s">
        <v>165</v>
      </c>
      <c r="B23" s="9" t="s">
        <v>17</v>
      </c>
      <c r="C23" s="9" t="s">
        <v>17</v>
      </c>
      <c r="D23" s="9" t="s">
        <v>17</v>
      </c>
      <c r="E23" s="9" t="s">
        <v>17</v>
      </c>
      <c r="F23" s="9" t="s">
        <v>17</v>
      </c>
      <c r="G23" s="9" t="s">
        <v>17</v>
      </c>
      <c r="H23" s="9" t="s">
        <v>166</v>
      </c>
      <c r="I23" s="9" t="s">
        <v>17</v>
      </c>
      <c r="J23" s="9" t="s">
        <v>167</v>
      </c>
      <c r="K23" s="9" t="s">
        <v>17</v>
      </c>
      <c r="L23" s="9" t="s">
        <v>168</v>
      </c>
      <c r="M23" s="9" t="s">
        <v>17</v>
      </c>
      <c r="N23" s="9" t="s">
        <v>169</v>
      </c>
      <c r="O23" s="9" t="s">
        <v>17</v>
      </c>
      <c r="P23" s="9" t="s">
        <v>170</v>
      </c>
      <c r="Q23" s="9" t="s">
        <v>17</v>
      </c>
    </row>
  </sheetData>
  <mergeCells count="5">
    <mergeCell ref="A10:H10"/>
    <mergeCell ref="J10:K10"/>
    <mergeCell ref="L10:M10"/>
    <mergeCell ref="N10:O10"/>
    <mergeCell ref="P10:Q10"/>
  </mergeCells>
  <hyperlinks>
    <hyperlink ref="B12" r:id="rId1" location="/dashboard" xr:uid="{2C3E487A-8205-43C1-AB88-31111CCB4885}"/>
    <hyperlink ref="B13" r:id="rId2" location="/dashboard" xr:uid="{AFDF05C2-6B56-42F6-9D6B-4AD0F14DFA4B}"/>
    <hyperlink ref="B14" r:id="rId3" location="/dashboard" xr:uid="{5F061C94-DE21-4C97-B6B7-D9B24F1AB31F}"/>
    <hyperlink ref="B15" r:id="rId4" location="/dashboard" xr:uid="{5D4C2F1D-F969-439F-BA9E-CC06B9D7B7ED}"/>
    <hyperlink ref="B16" r:id="rId5" location="/dashboard" xr:uid="{22E2BC4F-8778-4F8C-B03F-7588DD8FCF23}"/>
    <hyperlink ref="B17" r:id="rId6" location="/dashboard" xr:uid="{8D2F2C5E-B668-4266-B8BB-BF513BC6B00A}"/>
    <hyperlink ref="B18" r:id="rId7" location="/dashboard" xr:uid="{29B2D10F-981A-470F-9933-D4925334D9EB}"/>
    <hyperlink ref="B19" r:id="rId8" location="/dashboard" xr:uid="{3AC570BE-E1B4-4E4F-8837-EDB85ABBDE4D}"/>
    <hyperlink ref="B20" r:id="rId9" location="/dashboard" xr:uid="{504C9819-9613-4DAB-B0CB-7FD7210F13B0}"/>
    <hyperlink ref="B21" r:id="rId10" location="/dashboard" xr:uid="{2A2AD8B9-DDFE-4028-8DB4-AA21824B36A9}"/>
    <hyperlink ref="B22" r:id="rId11" location="/dashboard" xr:uid="{C488E937-29B3-4599-8DD7-18872DBE1A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workbookViewId="0">
      <selection activeCell="M1" sqref="M1"/>
    </sheetView>
  </sheetViews>
  <sheetFormatPr defaultRowHeight="13.15"/>
  <cols>
    <col min="1" max="1" width="25.7109375" customWidth="1"/>
    <col min="2" max="3" width="33.7109375" customWidth="1"/>
    <col min="4" max="5" width="17.7109375" customWidth="1"/>
    <col min="6" max="6" width="70.7109375" customWidth="1"/>
    <col min="7" max="7" width="17.7109375" customWidth="1"/>
    <col min="8" max="8" width="33.7109375" customWidth="1"/>
    <col min="9" max="9" width="17.7109375" customWidth="1"/>
    <col min="10" max="10" width="33.7109375" customWidth="1"/>
    <col min="11" max="13" width="17.7109375" customWidth="1"/>
  </cols>
  <sheetData>
    <row r="1" spans="1:12">
      <c r="A1" s="10" t="s">
        <v>171</v>
      </c>
      <c r="B1" s="10" t="s">
        <v>172</v>
      </c>
      <c r="C1" s="10" t="s">
        <v>173</v>
      </c>
      <c r="D1" s="10" t="s">
        <v>174</v>
      </c>
      <c r="E1" s="10" t="s">
        <v>175</v>
      </c>
      <c r="F1" s="10" t="s">
        <v>176</v>
      </c>
      <c r="G1" s="10" t="s">
        <v>177</v>
      </c>
      <c r="H1" s="10" t="s">
        <v>178</v>
      </c>
      <c r="I1" s="10" t="s">
        <v>179</v>
      </c>
      <c r="J1" s="10" t="s">
        <v>180</v>
      </c>
      <c r="K1" s="10" t="s">
        <v>181</v>
      </c>
      <c r="L1" s="10" t="s">
        <v>182</v>
      </c>
    </row>
    <row r="2" spans="1:12">
      <c r="A2" s="11" t="s">
        <v>183</v>
      </c>
      <c r="B2" s="11" t="s">
        <v>184</v>
      </c>
      <c r="C2" s="11" t="s">
        <v>185</v>
      </c>
      <c r="D2" s="11" t="s">
        <v>102</v>
      </c>
      <c r="E2" s="12">
        <v>46028.530555555553</v>
      </c>
      <c r="F2" s="11" t="s">
        <v>186</v>
      </c>
      <c r="G2" s="11" t="s">
        <v>187</v>
      </c>
      <c r="H2" s="11" t="s">
        <v>188</v>
      </c>
      <c r="I2" s="11" t="s">
        <v>189</v>
      </c>
      <c r="J2" s="11" t="s">
        <v>190</v>
      </c>
      <c r="K2" s="1" t="str">
        <f>HYPERLINK("https://us.assetplanner.com/service_request?ID=114180","SR114180")</f>
        <v>SR114180</v>
      </c>
      <c r="L2" s="11" t="s">
        <v>191</v>
      </c>
    </row>
    <row r="3" spans="1:12">
      <c r="A3" s="11" t="s">
        <v>183</v>
      </c>
      <c r="B3" s="11" t="s">
        <v>184</v>
      </c>
      <c r="C3" s="11" t="s">
        <v>192</v>
      </c>
      <c r="D3" s="11" t="s">
        <v>90</v>
      </c>
      <c r="E3" s="12">
        <v>45987.665972222225</v>
      </c>
      <c r="F3" s="11" t="s">
        <v>193</v>
      </c>
      <c r="G3" s="11" t="s">
        <v>187</v>
      </c>
      <c r="H3" s="11" t="s">
        <v>188</v>
      </c>
      <c r="I3" s="11" t="s">
        <v>189</v>
      </c>
      <c r="J3" s="11" t="s">
        <v>194</v>
      </c>
      <c r="K3" s="1" t="str">
        <f>HYPERLINK("https://us.assetplanner.com/service_request?ID=111791","SR111791")</f>
        <v>SR111791</v>
      </c>
      <c r="L3" s="11" t="s">
        <v>191</v>
      </c>
    </row>
    <row r="4" spans="1:12">
      <c r="A4" s="11" t="s">
        <v>183</v>
      </c>
      <c r="B4" s="11" t="s">
        <v>184</v>
      </c>
      <c r="C4" s="11" t="s">
        <v>17</v>
      </c>
      <c r="D4" s="11" t="s">
        <v>195</v>
      </c>
      <c r="E4" s="12">
        <v>45939.512499999997</v>
      </c>
      <c r="F4" s="11" t="s">
        <v>196</v>
      </c>
      <c r="G4" s="11" t="s">
        <v>187</v>
      </c>
      <c r="H4" s="11" t="s">
        <v>188</v>
      </c>
      <c r="I4" s="11" t="s">
        <v>189</v>
      </c>
      <c r="J4" s="11" t="s">
        <v>194</v>
      </c>
      <c r="K4" s="1" t="str">
        <f>HYPERLINK("https://us.assetplanner.com/service_request?ID=109274","SR109274")</f>
        <v>SR109274</v>
      </c>
      <c r="L4" s="11" t="s">
        <v>17</v>
      </c>
    </row>
    <row r="5" spans="1:12">
      <c r="A5" s="11" t="s">
        <v>183</v>
      </c>
      <c r="B5" s="11" t="s">
        <v>184</v>
      </c>
      <c r="C5" s="11" t="s">
        <v>197</v>
      </c>
      <c r="D5" s="11" t="s">
        <v>90</v>
      </c>
      <c r="E5" s="12">
        <v>45939.500694444447</v>
      </c>
      <c r="F5" s="11" t="s">
        <v>198</v>
      </c>
      <c r="G5" s="11" t="s">
        <v>187</v>
      </c>
      <c r="H5" s="11" t="s">
        <v>188</v>
      </c>
      <c r="I5" s="11" t="s">
        <v>189</v>
      </c>
      <c r="J5" s="11" t="s">
        <v>194</v>
      </c>
      <c r="K5" s="1" t="str">
        <f>HYPERLINK("https://us.assetplanner.com/service_request?ID=109270","SR109270")</f>
        <v>SR109270</v>
      </c>
      <c r="L5" s="11" t="s">
        <v>17</v>
      </c>
    </row>
    <row r="6" spans="1:12">
      <c r="A6" s="11" t="s">
        <v>183</v>
      </c>
      <c r="B6" s="11" t="s">
        <v>184</v>
      </c>
      <c r="C6" s="11" t="s">
        <v>199</v>
      </c>
      <c r="D6" s="11" t="s">
        <v>90</v>
      </c>
      <c r="E6" s="12">
        <v>45930.518055555556</v>
      </c>
      <c r="F6" s="11" t="s">
        <v>200</v>
      </c>
      <c r="G6" s="11" t="s">
        <v>187</v>
      </c>
      <c r="H6" s="11" t="s">
        <v>188</v>
      </c>
      <c r="I6" s="11" t="s">
        <v>189</v>
      </c>
      <c r="J6" s="11" t="s">
        <v>201</v>
      </c>
      <c r="K6" s="1" t="str">
        <f>HYPERLINK("https://us.assetplanner.com/service_request?ID=108769","SR108769")</f>
        <v>SR108769</v>
      </c>
      <c r="L6" s="11" t="s">
        <v>17</v>
      </c>
    </row>
    <row r="7" spans="1:12">
      <c r="A7" s="11" t="s">
        <v>183</v>
      </c>
      <c r="B7" s="11" t="s">
        <v>184</v>
      </c>
      <c r="C7" s="11" t="s">
        <v>202</v>
      </c>
      <c r="D7" s="11" t="s">
        <v>90</v>
      </c>
      <c r="E7" s="12">
        <v>45924.54583333333</v>
      </c>
      <c r="F7" s="11" t="s">
        <v>203</v>
      </c>
      <c r="G7" s="11" t="s">
        <v>187</v>
      </c>
      <c r="H7" s="11" t="s">
        <v>188</v>
      </c>
      <c r="I7" s="11" t="s">
        <v>189</v>
      </c>
      <c r="J7" s="11" t="s">
        <v>201</v>
      </c>
      <c r="K7" s="1" t="str">
        <f>HYPERLINK("https://us.assetplanner.com/service_request?ID=108469","SR108469")</f>
        <v>SR108469</v>
      </c>
      <c r="L7" s="11" t="s">
        <v>17</v>
      </c>
    </row>
    <row r="8" spans="1:12">
      <c r="A8" s="11" t="s">
        <v>183</v>
      </c>
      <c r="B8" s="11" t="s">
        <v>184</v>
      </c>
      <c r="C8" s="11" t="s">
        <v>204</v>
      </c>
      <c r="D8" s="11" t="s">
        <v>128</v>
      </c>
      <c r="E8" s="12">
        <v>45924.543055555558</v>
      </c>
      <c r="F8" s="11" t="s">
        <v>205</v>
      </c>
      <c r="G8" s="11" t="s">
        <v>187</v>
      </c>
      <c r="H8" s="11" t="s">
        <v>188</v>
      </c>
      <c r="I8" s="11" t="s">
        <v>189</v>
      </c>
      <c r="J8" s="11" t="s">
        <v>201</v>
      </c>
      <c r="K8" s="1" t="str">
        <f>HYPERLINK("https://us.assetplanner.com/service_request?ID=108468","SR108468")</f>
        <v>SR108468</v>
      </c>
      <c r="L8" s="11" t="s">
        <v>17</v>
      </c>
    </row>
    <row r="9" spans="1:12">
      <c r="A9" s="11" t="s">
        <v>183</v>
      </c>
      <c r="B9" s="11" t="s">
        <v>184</v>
      </c>
      <c r="C9" s="11" t="s">
        <v>206</v>
      </c>
      <c r="D9" s="11" t="s">
        <v>128</v>
      </c>
      <c r="E9" s="12">
        <v>45924.540277777778</v>
      </c>
      <c r="F9" s="11" t="s">
        <v>207</v>
      </c>
      <c r="G9" s="11" t="s">
        <v>187</v>
      </c>
      <c r="H9" s="11" t="s">
        <v>188</v>
      </c>
      <c r="I9" s="11" t="s">
        <v>189</v>
      </c>
      <c r="J9" s="11" t="s">
        <v>201</v>
      </c>
      <c r="K9" s="1" t="str">
        <f>HYPERLINK("https://us.assetplanner.com/service_request?ID=108467","SR108467")</f>
        <v>SR108467</v>
      </c>
      <c r="L9" s="11" t="s">
        <v>17</v>
      </c>
    </row>
    <row r="10" spans="1:12">
      <c r="A10" s="11" t="s">
        <v>183</v>
      </c>
      <c r="B10" s="11" t="s">
        <v>184</v>
      </c>
      <c r="C10" s="11" t="s">
        <v>208</v>
      </c>
      <c r="D10" s="11" t="s">
        <v>90</v>
      </c>
      <c r="E10" s="12">
        <v>45915.531944444447</v>
      </c>
      <c r="F10" s="11" t="s">
        <v>209</v>
      </c>
      <c r="G10" s="11" t="s">
        <v>187</v>
      </c>
      <c r="H10" s="11" t="s">
        <v>188</v>
      </c>
      <c r="I10" s="11" t="s">
        <v>189</v>
      </c>
      <c r="J10" s="11" t="s">
        <v>201</v>
      </c>
      <c r="K10" s="1" t="str">
        <f>HYPERLINK("https://us.assetplanner.com/service_request?ID=107976","SR107976")</f>
        <v>SR107976</v>
      </c>
      <c r="L10" s="11" t="s">
        <v>17</v>
      </c>
    </row>
    <row r="11" spans="1:12">
      <c r="A11" s="11" t="s">
        <v>183</v>
      </c>
      <c r="B11" s="11" t="s">
        <v>184</v>
      </c>
      <c r="C11" s="11" t="s">
        <v>210</v>
      </c>
      <c r="D11" s="11" t="s">
        <v>90</v>
      </c>
      <c r="E11" s="12">
        <v>45902.68472222222</v>
      </c>
      <c r="F11" s="11" t="s">
        <v>211</v>
      </c>
      <c r="G11" s="11" t="s">
        <v>187</v>
      </c>
      <c r="H11" s="11" t="s">
        <v>188</v>
      </c>
      <c r="I11" s="11" t="s">
        <v>189</v>
      </c>
      <c r="J11" s="11" t="s">
        <v>201</v>
      </c>
      <c r="K11" s="1" t="str">
        <f>HYPERLINK("https://us.assetplanner.com/service_request?ID=107318","SR107318")</f>
        <v>SR107318</v>
      </c>
      <c r="L11" s="11" t="s">
        <v>17</v>
      </c>
    </row>
    <row r="12" spans="1:12">
      <c r="A12" s="11" t="s">
        <v>183</v>
      </c>
      <c r="B12" s="11" t="s">
        <v>184</v>
      </c>
      <c r="C12" s="11" t="s">
        <v>17</v>
      </c>
      <c r="D12" s="11" t="s">
        <v>195</v>
      </c>
      <c r="E12" s="12">
        <v>45902.683333333334</v>
      </c>
      <c r="F12" s="11" t="s">
        <v>212</v>
      </c>
      <c r="G12" s="11" t="s">
        <v>187</v>
      </c>
      <c r="H12" s="11" t="s">
        <v>188</v>
      </c>
      <c r="I12" s="11" t="s">
        <v>189</v>
      </c>
      <c r="J12" s="11" t="s">
        <v>194</v>
      </c>
      <c r="K12" s="1" t="str">
        <f>HYPERLINK("https://us.assetplanner.com/service_request?ID=107316","SR107316")</f>
        <v>SR107316</v>
      </c>
      <c r="L12" s="11" t="s">
        <v>17</v>
      </c>
    </row>
    <row r="13" spans="1:12">
      <c r="A13" s="11" t="s">
        <v>183</v>
      </c>
      <c r="B13" s="11" t="s">
        <v>184</v>
      </c>
      <c r="C13" s="11" t="s">
        <v>213</v>
      </c>
      <c r="D13" s="11" t="s">
        <v>195</v>
      </c>
      <c r="E13" s="12">
        <v>45902.670138888891</v>
      </c>
      <c r="F13" s="11" t="s">
        <v>214</v>
      </c>
      <c r="G13" s="11" t="s">
        <v>187</v>
      </c>
      <c r="H13" s="11" t="s">
        <v>188</v>
      </c>
      <c r="I13" s="11" t="s">
        <v>189</v>
      </c>
      <c r="J13" s="11" t="s">
        <v>201</v>
      </c>
      <c r="K13" s="1" t="str">
        <f>HYPERLINK("https://us.assetplanner.com/service_request?ID=107314","SR107314")</f>
        <v>SR107314</v>
      </c>
      <c r="L13" s="11" t="s">
        <v>17</v>
      </c>
    </row>
    <row r="14" spans="1:12">
      <c r="A14" s="11" t="s">
        <v>183</v>
      </c>
      <c r="B14" s="11" t="s">
        <v>184</v>
      </c>
      <c r="C14" s="11" t="s">
        <v>215</v>
      </c>
      <c r="D14" s="11" t="s">
        <v>195</v>
      </c>
      <c r="E14" s="12">
        <v>45876.546527777777</v>
      </c>
      <c r="F14" s="11" t="s">
        <v>216</v>
      </c>
      <c r="G14" s="11" t="s">
        <v>187</v>
      </c>
      <c r="H14" s="11" t="s">
        <v>188</v>
      </c>
      <c r="I14" s="11" t="s">
        <v>189</v>
      </c>
      <c r="J14" s="11" t="s">
        <v>194</v>
      </c>
      <c r="K14" s="1" t="str">
        <f>HYPERLINK("https://us.assetplanner.com/service_request?ID=105843","SR105843")</f>
        <v>SR105843</v>
      </c>
      <c r="L14" s="11" t="s">
        <v>17</v>
      </c>
    </row>
    <row r="15" spans="1:12">
      <c r="A15" s="11" t="s">
        <v>183</v>
      </c>
      <c r="B15" s="11" t="s">
        <v>184</v>
      </c>
      <c r="C15" s="11" t="s">
        <v>217</v>
      </c>
      <c r="D15" s="11" t="s">
        <v>141</v>
      </c>
      <c r="E15" s="12">
        <v>45868.588888888888</v>
      </c>
      <c r="F15" s="11" t="s">
        <v>218</v>
      </c>
      <c r="G15" s="11" t="s">
        <v>187</v>
      </c>
      <c r="H15" s="11" t="s">
        <v>188</v>
      </c>
      <c r="I15" s="11" t="s">
        <v>189</v>
      </c>
      <c r="J15" s="11" t="s">
        <v>201</v>
      </c>
      <c r="K15" s="1" t="str">
        <f>HYPERLINK("https://us.assetplanner.com/service_request?ID=105365","SR105365")</f>
        <v>SR105365</v>
      </c>
      <c r="L15" s="11" t="s">
        <v>17</v>
      </c>
    </row>
    <row r="16" spans="1:12">
      <c r="A16" s="11" t="s">
        <v>183</v>
      </c>
      <c r="B16" s="11" t="s">
        <v>184</v>
      </c>
      <c r="C16" s="11" t="s">
        <v>219</v>
      </c>
      <c r="D16" s="11" t="s">
        <v>220</v>
      </c>
      <c r="E16" s="12">
        <v>45868.57708333333</v>
      </c>
      <c r="F16" s="11" t="s">
        <v>221</v>
      </c>
      <c r="G16" s="11" t="s">
        <v>187</v>
      </c>
      <c r="H16" s="11" t="s">
        <v>188</v>
      </c>
      <c r="I16" s="11" t="s">
        <v>189</v>
      </c>
      <c r="J16" s="11" t="s">
        <v>201</v>
      </c>
      <c r="K16" s="1" t="str">
        <f>HYPERLINK("https://us.assetplanner.com/service_request?ID=105362","SR105362")</f>
        <v>SR105362</v>
      </c>
      <c r="L16" s="11" t="s">
        <v>17</v>
      </c>
    </row>
    <row r="17" spans="1:12">
      <c r="A17" s="11" t="s">
        <v>183</v>
      </c>
      <c r="B17" s="11" t="s">
        <v>184</v>
      </c>
      <c r="C17" s="11" t="s">
        <v>222</v>
      </c>
      <c r="D17" s="11" t="s">
        <v>77</v>
      </c>
      <c r="E17" s="12">
        <v>45824.521527777775</v>
      </c>
      <c r="F17" s="11" t="s">
        <v>223</v>
      </c>
      <c r="G17" s="11" t="s">
        <v>187</v>
      </c>
      <c r="H17" s="11" t="s">
        <v>188</v>
      </c>
      <c r="I17" s="11" t="s">
        <v>189</v>
      </c>
      <c r="J17" s="11" t="s">
        <v>201</v>
      </c>
      <c r="K17" s="1" t="str">
        <f>HYPERLINK("https://us.assetplanner.com/service_request?ID=103023","SR103023")</f>
        <v>SR103023</v>
      </c>
      <c r="L17" s="11" t="s">
        <v>17</v>
      </c>
    </row>
    <row r="18" spans="1:12">
      <c r="A18" s="11" t="s">
        <v>183</v>
      </c>
      <c r="B18" s="11" t="s">
        <v>184</v>
      </c>
      <c r="C18" s="11" t="s">
        <v>224</v>
      </c>
      <c r="D18" s="11" t="s">
        <v>115</v>
      </c>
      <c r="E18" s="12">
        <v>45817.531944444447</v>
      </c>
      <c r="F18" s="11" t="s">
        <v>225</v>
      </c>
      <c r="G18" s="11" t="s">
        <v>187</v>
      </c>
      <c r="H18" s="11" t="s">
        <v>188</v>
      </c>
      <c r="I18" s="11" t="s">
        <v>189</v>
      </c>
      <c r="J18" s="11" t="s">
        <v>201</v>
      </c>
      <c r="K18" s="1" t="str">
        <f>HYPERLINK("https://us.assetplanner.com/service_request?ID=102700","SR102700")</f>
        <v>SR102700</v>
      </c>
      <c r="L18" s="11" t="s">
        <v>17</v>
      </c>
    </row>
    <row r="19" spans="1:12">
      <c r="A19" s="11" t="s">
        <v>183</v>
      </c>
      <c r="B19" s="11" t="s">
        <v>184</v>
      </c>
      <c r="C19" s="11" t="s">
        <v>226</v>
      </c>
      <c r="D19" s="11" t="s">
        <v>77</v>
      </c>
      <c r="E19" s="12">
        <v>45811.533333333333</v>
      </c>
      <c r="F19" s="11" t="s">
        <v>227</v>
      </c>
      <c r="G19" s="11" t="s">
        <v>187</v>
      </c>
      <c r="H19" s="11" t="s">
        <v>188</v>
      </c>
      <c r="I19" s="11" t="s">
        <v>189</v>
      </c>
      <c r="J19" s="11" t="s">
        <v>201</v>
      </c>
      <c r="K19" s="1" t="str">
        <f>HYPERLINK("https://us.assetplanner.com/service_request?ID=102390","SR102390")</f>
        <v>SR102390</v>
      </c>
      <c r="L19" s="11" t="s">
        <v>17</v>
      </c>
    </row>
    <row r="20" spans="1:12">
      <c r="A20" s="11" t="s">
        <v>183</v>
      </c>
      <c r="B20" s="11" t="s">
        <v>184</v>
      </c>
      <c r="C20" s="11" t="s">
        <v>228</v>
      </c>
      <c r="D20" s="11" t="s">
        <v>90</v>
      </c>
      <c r="E20" s="12">
        <v>45796.620833333334</v>
      </c>
      <c r="F20" s="11" t="s">
        <v>229</v>
      </c>
      <c r="G20" s="11" t="s">
        <v>187</v>
      </c>
      <c r="H20" s="11" t="s">
        <v>188</v>
      </c>
      <c r="I20" s="11" t="s">
        <v>189</v>
      </c>
      <c r="J20" s="11" t="s">
        <v>194</v>
      </c>
      <c r="K20" s="1" t="str">
        <f>HYPERLINK("https://us.assetplanner.com/service_request?ID=101683","SR101683")</f>
        <v>SR101683</v>
      </c>
      <c r="L20" s="11" t="s">
        <v>17</v>
      </c>
    </row>
    <row r="21" spans="1:12">
      <c r="A21" s="11" t="s">
        <v>183</v>
      </c>
      <c r="B21" s="11" t="s">
        <v>184</v>
      </c>
      <c r="C21" s="11" t="s">
        <v>230</v>
      </c>
      <c r="D21" s="11" t="s">
        <v>77</v>
      </c>
      <c r="E21" s="12">
        <v>45790.61041666667</v>
      </c>
      <c r="F21" s="11" t="s">
        <v>231</v>
      </c>
      <c r="G21" s="11" t="s">
        <v>187</v>
      </c>
      <c r="H21" s="11" t="s">
        <v>188</v>
      </c>
      <c r="I21" s="11" t="s">
        <v>189</v>
      </c>
      <c r="J21" s="11" t="s">
        <v>201</v>
      </c>
      <c r="K21" s="1" t="str">
        <f>HYPERLINK("https://us.assetplanner.com/service_request?ID=101400","SR101400")</f>
        <v>SR101400</v>
      </c>
      <c r="L21" s="11" t="s">
        <v>17</v>
      </c>
    </row>
    <row r="22" spans="1:12">
      <c r="A22" s="11" t="s">
        <v>183</v>
      </c>
      <c r="B22" s="11" t="s">
        <v>184</v>
      </c>
      <c r="C22" s="11" t="s">
        <v>232</v>
      </c>
      <c r="D22" s="11" t="s">
        <v>77</v>
      </c>
      <c r="E22" s="12">
        <v>45775.561111111114</v>
      </c>
      <c r="F22" s="11" t="s">
        <v>233</v>
      </c>
      <c r="G22" s="11" t="s">
        <v>187</v>
      </c>
      <c r="H22" s="11" t="s">
        <v>188</v>
      </c>
      <c r="I22" s="11" t="s">
        <v>189</v>
      </c>
      <c r="J22" s="11" t="s">
        <v>194</v>
      </c>
      <c r="K22" s="1" t="str">
        <f>HYPERLINK("https://us.assetplanner.com/service_request?ID=100557","SR100557")</f>
        <v>SR100557</v>
      </c>
      <c r="L22" s="11" t="s">
        <v>17</v>
      </c>
    </row>
    <row r="23" spans="1:12">
      <c r="A23" s="11" t="s">
        <v>183</v>
      </c>
      <c r="B23" s="11" t="s">
        <v>184</v>
      </c>
      <c r="C23" s="11" t="s">
        <v>234</v>
      </c>
      <c r="D23" s="11" t="s">
        <v>102</v>
      </c>
      <c r="E23" s="12">
        <v>45713.54583333333</v>
      </c>
      <c r="F23" s="11" t="s">
        <v>235</v>
      </c>
      <c r="G23" s="11" t="s">
        <v>187</v>
      </c>
      <c r="H23" s="11" t="s">
        <v>188</v>
      </c>
      <c r="I23" s="11" t="s">
        <v>189</v>
      </c>
      <c r="J23" s="11" t="s">
        <v>194</v>
      </c>
      <c r="K23" s="1" t="str">
        <f>HYPERLINK("https://us.assetplanner.com/service_request?ID=97766","SR097766")</f>
        <v>SR097766</v>
      </c>
      <c r="L23" s="11" t="s">
        <v>17</v>
      </c>
    </row>
    <row r="24" spans="1:12">
      <c r="A24" s="11" t="s">
        <v>183</v>
      </c>
      <c r="B24" s="11" t="s">
        <v>184</v>
      </c>
      <c r="C24" s="11" t="s">
        <v>236</v>
      </c>
      <c r="D24" s="11" t="s">
        <v>77</v>
      </c>
      <c r="E24" s="12">
        <v>45706.615277777775</v>
      </c>
      <c r="F24" s="11" t="s">
        <v>237</v>
      </c>
      <c r="G24" s="11" t="s">
        <v>187</v>
      </c>
      <c r="H24" s="11" t="s">
        <v>188</v>
      </c>
      <c r="I24" s="11" t="s">
        <v>189</v>
      </c>
      <c r="J24" s="11" t="s">
        <v>194</v>
      </c>
      <c r="K24" s="1" t="str">
        <f>HYPERLINK("https://us.assetplanner.com/service_request?ID=97346","SR097346")</f>
        <v>SR097346</v>
      </c>
      <c r="L24" s="11" t="s">
        <v>17</v>
      </c>
    </row>
    <row r="25" spans="1:12">
      <c r="A25" s="11" t="s">
        <v>183</v>
      </c>
      <c r="B25" s="11" t="s">
        <v>184</v>
      </c>
      <c r="C25" s="11" t="s">
        <v>238</v>
      </c>
      <c r="D25" s="11" t="s">
        <v>239</v>
      </c>
      <c r="E25" s="12">
        <v>45613.522222222222</v>
      </c>
      <c r="F25" s="11" t="s">
        <v>240</v>
      </c>
      <c r="G25" s="11" t="s">
        <v>187</v>
      </c>
      <c r="H25" s="11" t="s">
        <v>188</v>
      </c>
      <c r="I25" s="11" t="s">
        <v>189</v>
      </c>
      <c r="J25" s="11" t="s">
        <v>190</v>
      </c>
      <c r="K25" s="1" t="str">
        <f>HYPERLINK("https://us.assetplanner.com/service_request?ID=93350","SR093350")</f>
        <v>SR093350</v>
      </c>
      <c r="L25" s="11" t="s">
        <v>17</v>
      </c>
    </row>
    <row r="26" spans="1:12">
      <c r="A26" s="11" t="s">
        <v>183</v>
      </c>
      <c r="B26" s="11" t="s">
        <v>184</v>
      </c>
      <c r="C26" s="11" t="s">
        <v>241</v>
      </c>
      <c r="D26" s="11" t="s">
        <v>239</v>
      </c>
      <c r="E26" s="12">
        <v>45613.521527777775</v>
      </c>
      <c r="F26" s="11" t="s">
        <v>242</v>
      </c>
      <c r="G26" s="11" t="s">
        <v>187</v>
      </c>
      <c r="H26" s="11" t="s">
        <v>188</v>
      </c>
      <c r="I26" s="11" t="s">
        <v>189</v>
      </c>
      <c r="J26" s="11" t="s">
        <v>190</v>
      </c>
      <c r="K26" s="1" t="str">
        <f>HYPERLINK("https://us.assetplanner.com/service_request?ID=93349","SR093349")</f>
        <v>SR093349</v>
      </c>
      <c r="L26" s="11" t="s">
        <v>17</v>
      </c>
    </row>
    <row r="27" spans="1:12">
      <c r="A27" s="11" t="s">
        <v>183</v>
      </c>
      <c r="B27" s="11" t="s">
        <v>184</v>
      </c>
      <c r="C27" s="11" t="s">
        <v>243</v>
      </c>
      <c r="D27" s="11" t="s">
        <v>102</v>
      </c>
      <c r="E27" s="12">
        <v>45594.56527777778</v>
      </c>
      <c r="F27" s="11" t="s">
        <v>244</v>
      </c>
      <c r="G27" s="11" t="s">
        <v>187</v>
      </c>
      <c r="H27" s="11" t="s">
        <v>188</v>
      </c>
      <c r="I27" s="11" t="s">
        <v>189</v>
      </c>
      <c r="J27" s="11" t="s">
        <v>245</v>
      </c>
      <c r="K27" s="1" t="str">
        <f>HYPERLINK("https://us.assetplanner.com/service_request?ID=92738","SR092738")</f>
        <v>SR092738</v>
      </c>
      <c r="L27" s="11" t="s">
        <v>17</v>
      </c>
    </row>
    <row r="28" spans="1:12">
      <c r="A28" s="11" t="s">
        <v>183</v>
      </c>
      <c r="B28" s="11" t="s">
        <v>184</v>
      </c>
      <c r="C28" s="11" t="s">
        <v>246</v>
      </c>
      <c r="D28" s="11" t="s">
        <v>128</v>
      </c>
      <c r="E28" s="12">
        <v>45581.544444444444</v>
      </c>
      <c r="F28" s="11" t="s">
        <v>247</v>
      </c>
      <c r="G28" s="11" t="s">
        <v>187</v>
      </c>
      <c r="H28" s="11" t="s">
        <v>188</v>
      </c>
      <c r="I28" s="11" t="s">
        <v>189</v>
      </c>
      <c r="J28" s="11" t="s">
        <v>190</v>
      </c>
      <c r="K28" s="1" t="str">
        <f>HYPERLINK("https://us.assetplanner.com/service_request?ID=92211","SR092211")</f>
        <v>SR092211</v>
      </c>
      <c r="L28" s="11" t="s">
        <v>17</v>
      </c>
    </row>
    <row r="29" spans="1:12">
      <c r="A29" s="11" t="s">
        <v>183</v>
      </c>
      <c r="B29" s="11" t="s">
        <v>184</v>
      </c>
      <c r="C29" s="11" t="s">
        <v>248</v>
      </c>
      <c r="D29" s="11" t="s">
        <v>102</v>
      </c>
      <c r="E29" s="12">
        <v>45488.643750000003</v>
      </c>
      <c r="F29" s="11" t="s">
        <v>249</v>
      </c>
      <c r="G29" s="11" t="s">
        <v>187</v>
      </c>
      <c r="H29" s="11" t="s">
        <v>188</v>
      </c>
      <c r="I29" s="11" t="s">
        <v>189</v>
      </c>
      <c r="J29" s="11" t="s">
        <v>245</v>
      </c>
      <c r="K29" s="1" t="str">
        <f>HYPERLINK("https://us.assetplanner.com/service_request?ID=87727","SR087727")</f>
        <v>SR087727</v>
      </c>
      <c r="L29" s="11" t="s">
        <v>17</v>
      </c>
    </row>
    <row r="30" spans="1:12">
      <c r="A30" s="11" t="s">
        <v>183</v>
      </c>
      <c r="B30" s="11" t="s">
        <v>184</v>
      </c>
      <c r="C30" s="11" t="s">
        <v>250</v>
      </c>
      <c r="D30" s="11" t="s">
        <v>102</v>
      </c>
      <c r="E30" s="12">
        <v>45475.541666666664</v>
      </c>
      <c r="F30" s="11" t="s">
        <v>251</v>
      </c>
      <c r="G30" s="11" t="s">
        <v>187</v>
      </c>
      <c r="H30" s="11" t="s">
        <v>188</v>
      </c>
      <c r="I30" s="11" t="s">
        <v>189</v>
      </c>
      <c r="J30" s="11" t="s">
        <v>245</v>
      </c>
      <c r="K30" s="1" t="str">
        <f>HYPERLINK("https://us.assetplanner.com/service_request?ID=87282","SR087282")</f>
        <v>SR087282</v>
      </c>
      <c r="L30" s="11" t="s">
        <v>17</v>
      </c>
    </row>
    <row r="31" spans="1:12">
      <c r="A31" s="11" t="s">
        <v>183</v>
      </c>
      <c r="B31" s="11" t="s">
        <v>184</v>
      </c>
      <c r="C31" s="11" t="s">
        <v>252</v>
      </c>
      <c r="D31" s="11" t="s">
        <v>77</v>
      </c>
      <c r="E31" s="12">
        <v>45446.525694444441</v>
      </c>
      <c r="F31" s="11" t="s">
        <v>253</v>
      </c>
      <c r="G31" s="11" t="s">
        <v>187</v>
      </c>
      <c r="H31" s="11" t="s">
        <v>254</v>
      </c>
      <c r="I31" s="11" t="s">
        <v>255</v>
      </c>
      <c r="J31" s="11" t="s">
        <v>190</v>
      </c>
      <c r="K31" s="1" t="str">
        <f>HYPERLINK("https://us.assetplanner.com/service_request?ID=85484","SR085484")</f>
        <v>SR085484</v>
      </c>
      <c r="L31" s="11" t="s">
        <v>191</v>
      </c>
    </row>
    <row r="32" spans="1:12">
      <c r="A32" s="11" t="s">
        <v>183</v>
      </c>
      <c r="B32" s="11" t="s">
        <v>184</v>
      </c>
      <c r="C32" s="11" t="s">
        <v>17</v>
      </c>
      <c r="D32" s="11" t="s">
        <v>256</v>
      </c>
      <c r="E32" s="12">
        <v>45429.52847222222</v>
      </c>
      <c r="F32" s="11" t="s">
        <v>257</v>
      </c>
      <c r="G32" s="11" t="s">
        <v>187</v>
      </c>
      <c r="H32" s="11" t="s">
        <v>188</v>
      </c>
      <c r="I32" s="11" t="s">
        <v>189</v>
      </c>
      <c r="J32" s="11" t="s">
        <v>190</v>
      </c>
      <c r="K32" s="1" t="str">
        <f>HYPERLINK("https://us.assetplanner.com/service_request?ID=84807","SR084807")</f>
        <v>SR084807</v>
      </c>
      <c r="L32" s="11" t="s">
        <v>191</v>
      </c>
    </row>
    <row r="33" spans="1:12">
      <c r="A33" s="11" t="s">
        <v>183</v>
      </c>
      <c r="B33" s="11" t="s">
        <v>184</v>
      </c>
      <c r="C33" s="11" t="s">
        <v>17</v>
      </c>
      <c r="D33" s="11" t="s">
        <v>258</v>
      </c>
      <c r="E33" s="12">
        <v>45423.568749999999</v>
      </c>
      <c r="F33" s="11" t="s">
        <v>259</v>
      </c>
      <c r="G33" s="11" t="s">
        <v>187</v>
      </c>
      <c r="H33" s="11" t="s">
        <v>188</v>
      </c>
      <c r="I33" s="11" t="s">
        <v>189</v>
      </c>
      <c r="J33" s="11" t="s">
        <v>260</v>
      </c>
      <c r="K33" s="1" t="str">
        <f>HYPERLINK("https://us.assetplanner.com/service_request?ID=84580","SR084580")</f>
        <v>SR084580</v>
      </c>
      <c r="L33" s="11" t="s">
        <v>191</v>
      </c>
    </row>
    <row r="34" spans="1:12">
      <c r="A34" s="11" t="s">
        <v>183</v>
      </c>
      <c r="B34" s="11" t="s">
        <v>184</v>
      </c>
      <c r="C34" s="11" t="s">
        <v>261</v>
      </c>
      <c r="D34" s="11" t="s">
        <v>262</v>
      </c>
      <c r="E34" s="12">
        <v>45372.53125</v>
      </c>
      <c r="F34" s="11" t="s">
        <v>263</v>
      </c>
      <c r="G34" s="11" t="s">
        <v>187</v>
      </c>
      <c r="H34" s="11" t="s">
        <v>188</v>
      </c>
      <c r="I34" s="11" t="s">
        <v>189</v>
      </c>
      <c r="J34" s="11" t="s">
        <v>190</v>
      </c>
      <c r="K34" s="1" t="str">
        <f>HYPERLINK("https://us.assetplanner.com/service_request?ID=82331","SR082331")</f>
        <v>SR082331</v>
      </c>
      <c r="L34" s="11" t="s">
        <v>191</v>
      </c>
    </row>
    <row r="35" spans="1:12">
      <c r="A35" s="11" t="s">
        <v>183</v>
      </c>
      <c r="B35" s="11" t="s">
        <v>184</v>
      </c>
      <c r="C35" s="11" t="s">
        <v>264</v>
      </c>
      <c r="D35" s="11" t="s">
        <v>239</v>
      </c>
      <c r="E35" s="12">
        <v>45355.539583333331</v>
      </c>
      <c r="F35" s="11" t="s">
        <v>265</v>
      </c>
      <c r="G35" s="11" t="s">
        <v>187</v>
      </c>
      <c r="H35" s="11" t="s">
        <v>188</v>
      </c>
      <c r="I35" s="11" t="s">
        <v>189</v>
      </c>
      <c r="J35" s="11" t="s">
        <v>190</v>
      </c>
      <c r="K35" s="1" t="str">
        <f>HYPERLINK("https://us.assetplanner.com/service_request?ID=81556","SR081556")</f>
        <v>SR081556</v>
      </c>
      <c r="L35" s="11" t="s">
        <v>191</v>
      </c>
    </row>
    <row r="36" spans="1:12">
      <c r="A36" s="11" t="s">
        <v>183</v>
      </c>
      <c r="B36" s="11" t="s">
        <v>184</v>
      </c>
      <c r="C36" s="11" t="s">
        <v>266</v>
      </c>
      <c r="D36" s="11" t="s">
        <v>90</v>
      </c>
      <c r="E36" s="12">
        <v>45355.538194444445</v>
      </c>
      <c r="F36" s="11" t="s">
        <v>267</v>
      </c>
      <c r="G36" s="11" t="s">
        <v>187</v>
      </c>
      <c r="H36" s="11" t="s">
        <v>188</v>
      </c>
      <c r="I36" s="11" t="s">
        <v>189</v>
      </c>
      <c r="J36" s="11" t="s">
        <v>190</v>
      </c>
      <c r="K36" s="1" t="str">
        <f>HYPERLINK("https://us.assetplanner.com/service_request?ID=81555","SR081555")</f>
        <v>SR081555</v>
      </c>
      <c r="L36" s="11" t="s">
        <v>191</v>
      </c>
    </row>
    <row r="37" spans="1:12">
      <c r="A37" s="11" t="s">
        <v>183</v>
      </c>
      <c r="B37" s="11" t="s">
        <v>184</v>
      </c>
      <c r="C37" s="11" t="s">
        <v>268</v>
      </c>
      <c r="D37" s="11" t="s">
        <v>269</v>
      </c>
      <c r="E37" s="12">
        <v>45352.620833333334</v>
      </c>
      <c r="F37" s="11" t="s">
        <v>270</v>
      </c>
      <c r="G37" s="11" t="s">
        <v>187</v>
      </c>
      <c r="H37" s="11" t="s">
        <v>188</v>
      </c>
      <c r="I37" s="11" t="s">
        <v>189</v>
      </c>
      <c r="J37" s="11" t="s">
        <v>245</v>
      </c>
      <c r="K37" s="1" t="str">
        <f>HYPERLINK("https://us.assetplanner.com/service_request?ID=81504","SR081504")</f>
        <v>SR081504</v>
      </c>
      <c r="L37" s="11" t="s">
        <v>191</v>
      </c>
    </row>
    <row r="38" spans="1:12">
      <c r="A38" s="11" t="s">
        <v>183</v>
      </c>
      <c r="B38" s="11" t="s">
        <v>184</v>
      </c>
      <c r="C38" s="11" t="s">
        <v>271</v>
      </c>
      <c r="D38" s="11" t="s">
        <v>141</v>
      </c>
      <c r="E38" s="12">
        <v>45342.586111111108</v>
      </c>
      <c r="F38" s="11" t="s">
        <v>272</v>
      </c>
      <c r="G38" s="11" t="s">
        <v>187</v>
      </c>
      <c r="H38" s="11" t="s">
        <v>188</v>
      </c>
      <c r="I38" s="11" t="s">
        <v>189</v>
      </c>
      <c r="J38" s="11" t="s">
        <v>245</v>
      </c>
      <c r="K38" s="1" t="str">
        <f>HYPERLINK("https://us.assetplanner.com/service_request?ID=81129","SR081129")</f>
        <v>SR081129</v>
      </c>
      <c r="L38" s="11" t="s">
        <v>191</v>
      </c>
    </row>
    <row r="39" spans="1:12">
      <c r="A39" s="11" t="s">
        <v>183</v>
      </c>
      <c r="B39" s="11" t="s">
        <v>184</v>
      </c>
      <c r="C39" s="11" t="s">
        <v>273</v>
      </c>
      <c r="D39" s="11" t="s">
        <v>239</v>
      </c>
      <c r="E39" s="12">
        <v>45291.197222222225</v>
      </c>
      <c r="F39" s="11" t="s">
        <v>274</v>
      </c>
      <c r="G39" s="11" t="s">
        <v>187</v>
      </c>
      <c r="H39" s="11" t="s">
        <v>188</v>
      </c>
      <c r="I39" s="11" t="s">
        <v>189</v>
      </c>
      <c r="J39" s="11" t="s">
        <v>190</v>
      </c>
      <c r="K39" s="1" t="str">
        <f>HYPERLINK("https://us.assetplanner.com/service_request?ID=79845","SR079845")</f>
        <v>SR079845</v>
      </c>
      <c r="L39" s="11" t="s">
        <v>191</v>
      </c>
    </row>
    <row r="40" spans="1:12">
      <c r="A40" s="11" t="s">
        <v>183</v>
      </c>
      <c r="B40" s="11" t="s">
        <v>184</v>
      </c>
      <c r="C40" s="11" t="s">
        <v>275</v>
      </c>
      <c r="D40" s="11" t="s">
        <v>90</v>
      </c>
      <c r="E40" s="12">
        <v>45216.152083333334</v>
      </c>
      <c r="F40" s="11" t="s">
        <v>276</v>
      </c>
      <c r="G40" s="11" t="s">
        <v>187</v>
      </c>
      <c r="H40" s="11" t="s">
        <v>188</v>
      </c>
      <c r="I40" s="11" t="s">
        <v>189</v>
      </c>
      <c r="J40" s="11" t="s">
        <v>190</v>
      </c>
      <c r="K40" s="1" t="str">
        <f>HYPERLINK("https://us.assetplanner.com/service_request?ID=77517","SR077517")</f>
        <v>SR077517</v>
      </c>
      <c r="L40" s="11" t="s">
        <v>191</v>
      </c>
    </row>
    <row r="41" spans="1:12">
      <c r="A41" s="11" t="s">
        <v>183</v>
      </c>
      <c r="B41" s="11" t="s">
        <v>184</v>
      </c>
      <c r="C41" s="11" t="s">
        <v>277</v>
      </c>
      <c r="D41" s="11" t="s">
        <v>278</v>
      </c>
      <c r="E41" s="12">
        <v>45204.594444444447</v>
      </c>
      <c r="F41" s="11" t="s">
        <v>279</v>
      </c>
      <c r="G41" s="11" t="s">
        <v>187</v>
      </c>
      <c r="H41" s="11" t="s">
        <v>188</v>
      </c>
      <c r="I41" s="11" t="s">
        <v>189</v>
      </c>
      <c r="J41" s="11" t="s">
        <v>260</v>
      </c>
      <c r="K41" s="1" t="str">
        <f>HYPERLINK("https://us.assetplanner.com/service_request?ID=77287","SR077287")</f>
        <v>SR077287</v>
      </c>
      <c r="L41" s="11" t="s">
        <v>191</v>
      </c>
    </row>
    <row r="42" spans="1:12">
      <c r="A42" s="11" t="s">
        <v>183</v>
      </c>
      <c r="B42" s="11" t="s">
        <v>184</v>
      </c>
      <c r="C42" s="11" t="s">
        <v>280</v>
      </c>
      <c r="D42" s="11" t="s">
        <v>239</v>
      </c>
      <c r="E42" s="12">
        <v>45169.620138888888</v>
      </c>
      <c r="F42" s="11" t="s">
        <v>281</v>
      </c>
      <c r="G42" s="11" t="s">
        <v>187</v>
      </c>
      <c r="H42" s="11" t="s">
        <v>188</v>
      </c>
      <c r="I42" s="11" t="s">
        <v>189</v>
      </c>
      <c r="J42" s="11" t="s">
        <v>190</v>
      </c>
      <c r="K42" s="1" t="str">
        <f>HYPERLINK("https://us.assetplanner.com/service_request?ID=75642","SR075642")</f>
        <v>SR075642</v>
      </c>
      <c r="L42" s="11" t="s">
        <v>191</v>
      </c>
    </row>
    <row r="43" spans="1:12">
      <c r="A43" s="11" t="s">
        <v>183</v>
      </c>
      <c r="B43" s="11" t="s">
        <v>184</v>
      </c>
      <c r="C43" s="11" t="s">
        <v>282</v>
      </c>
      <c r="D43" s="11" t="s">
        <v>195</v>
      </c>
      <c r="E43" s="12">
        <v>45147.531944444447</v>
      </c>
      <c r="F43" s="11" t="s">
        <v>283</v>
      </c>
      <c r="G43" s="11" t="s">
        <v>187</v>
      </c>
      <c r="H43" s="11" t="s">
        <v>188</v>
      </c>
      <c r="I43" s="11" t="s">
        <v>189</v>
      </c>
      <c r="J43" s="11" t="s">
        <v>190</v>
      </c>
      <c r="K43" s="1" t="str">
        <f>HYPERLINK("https://us.assetplanner.com/service_request?ID=74887","SR074887")</f>
        <v>SR074887</v>
      </c>
      <c r="L43" s="11" t="s">
        <v>191</v>
      </c>
    </row>
    <row r="44" spans="1:12">
      <c r="A44" s="11" t="s">
        <v>183</v>
      </c>
      <c r="B44" s="11" t="s">
        <v>184</v>
      </c>
      <c r="C44" s="11" t="s">
        <v>284</v>
      </c>
      <c r="D44" s="11" t="s">
        <v>90</v>
      </c>
      <c r="E44" s="12">
        <v>45120.525694444441</v>
      </c>
      <c r="F44" s="11" t="s">
        <v>285</v>
      </c>
      <c r="G44" s="11" t="s">
        <v>187</v>
      </c>
      <c r="H44" s="11" t="s">
        <v>188</v>
      </c>
      <c r="I44" s="11" t="s">
        <v>189</v>
      </c>
      <c r="J44" s="11" t="s">
        <v>260</v>
      </c>
      <c r="K44" s="1" t="str">
        <f>HYPERLINK("https://us.assetplanner.com/service_request?ID=73825","SR073825")</f>
        <v>SR073825</v>
      </c>
      <c r="L44" s="11" t="s">
        <v>191</v>
      </c>
    </row>
    <row r="45" spans="1:12">
      <c r="A45" s="11" t="s">
        <v>183</v>
      </c>
      <c r="B45" s="11" t="s">
        <v>184</v>
      </c>
      <c r="C45" s="11" t="s">
        <v>286</v>
      </c>
      <c r="D45" s="11" t="s">
        <v>141</v>
      </c>
      <c r="E45" s="12">
        <v>45118.582638888889</v>
      </c>
      <c r="F45" s="11" t="s">
        <v>287</v>
      </c>
      <c r="G45" s="11" t="s">
        <v>187</v>
      </c>
      <c r="H45" s="11" t="s">
        <v>188</v>
      </c>
      <c r="I45" s="11" t="s">
        <v>189</v>
      </c>
      <c r="J45" s="11" t="s">
        <v>190</v>
      </c>
      <c r="K45" s="1" t="str">
        <f>HYPERLINK("https://us.assetplanner.com/service_request?ID=73743","SR073743")</f>
        <v>SR073743</v>
      </c>
      <c r="L45" s="11" t="s">
        <v>191</v>
      </c>
    </row>
    <row r="46" spans="1:12">
      <c r="A46" s="11" t="s">
        <v>183</v>
      </c>
      <c r="B46" s="11" t="s">
        <v>184</v>
      </c>
      <c r="C46" s="11" t="s">
        <v>266</v>
      </c>
      <c r="D46" s="11" t="s">
        <v>195</v>
      </c>
      <c r="E46" s="12">
        <v>45068.599305555559</v>
      </c>
      <c r="F46" s="11" t="s">
        <v>288</v>
      </c>
      <c r="G46" s="11" t="s">
        <v>187</v>
      </c>
      <c r="H46" s="11" t="s">
        <v>188</v>
      </c>
      <c r="I46" s="11" t="s">
        <v>189</v>
      </c>
      <c r="J46" s="11" t="s">
        <v>190</v>
      </c>
      <c r="K46" s="1" t="str">
        <f>HYPERLINK("https://us.assetplanner.com/service_request?ID=71782","SR071782")</f>
        <v>SR071782</v>
      </c>
      <c r="L46" s="11" t="s">
        <v>191</v>
      </c>
    </row>
    <row r="47" spans="1:12">
      <c r="A47" s="11" t="s">
        <v>183</v>
      </c>
      <c r="B47" s="11" t="s">
        <v>184</v>
      </c>
      <c r="C47" s="11" t="s">
        <v>289</v>
      </c>
      <c r="D47" s="11" t="s">
        <v>77</v>
      </c>
      <c r="E47" s="12">
        <v>45055.59097222222</v>
      </c>
      <c r="F47" s="11" t="s">
        <v>290</v>
      </c>
      <c r="G47" s="11" t="s">
        <v>187</v>
      </c>
      <c r="H47" s="11" t="s">
        <v>188</v>
      </c>
      <c r="I47" s="11" t="s">
        <v>189</v>
      </c>
      <c r="J47" s="11" t="s">
        <v>190</v>
      </c>
      <c r="K47" s="1" t="str">
        <f>HYPERLINK("https://us.assetplanner.com/service_request?ID=71467","SR071467")</f>
        <v>SR071467</v>
      </c>
      <c r="L47" s="11" t="s">
        <v>191</v>
      </c>
    </row>
    <row r="48" spans="1:12">
      <c r="A48" s="11" t="s">
        <v>183</v>
      </c>
      <c r="B48" s="11" t="s">
        <v>184</v>
      </c>
      <c r="C48" s="11" t="s">
        <v>291</v>
      </c>
      <c r="D48" s="11" t="s">
        <v>195</v>
      </c>
      <c r="E48" s="12">
        <v>45037.523611111108</v>
      </c>
      <c r="F48" s="11" t="s">
        <v>292</v>
      </c>
      <c r="G48" s="11" t="s">
        <v>187</v>
      </c>
      <c r="H48" s="11" t="s">
        <v>188</v>
      </c>
      <c r="I48" s="11" t="s">
        <v>189</v>
      </c>
      <c r="J48" s="11" t="s">
        <v>190</v>
      </c>
      <c r="K48" s="1" t="str">
        <f>HYPERLINK("https://us.assetplanner.com/service_request?ID=70992","SR070992")</f>
        <v>SR070992</v>
      </c>
      <c r="L48" s="11" t="s">
        <v>191</v>
      </c>
    </row>
    <row r="49" spans="1:12">
      <c r="A49" s="11" t="s">
        <v>183</v>
      </c>
      <c r="B49" s="11" t="s">
        <v>184</v>
      </c>
      <c r="C49" s="11" t="s">
        <v>293</v>
      </c>
      <c r="D49" s="11" t="s">
        <v>294</v>
      </c>
      <c r="E49" s="12">
        <v>44929.522916666669</v>
      </c>
      <c r="F49" s="11" t="s">
        <v>295</v>
      </c>
      <c r="G49" s="11" t="s">
        <v>187</v>
      </c>
      <c r="H49" s="11" t="s">
        <v>188</v>
      </c>
      <c r="I49" s="11" t="s">
        <v>189</v>
      </c>
      <c r="J49" s="11" t="s">
        <v>190</v>
      </c>
      <c r="K49" s="1" t="str">
        <f>HYPERLINK("https://us.assetplanner.com/service_request?ID=68143","SR068143")</f>
        <v>SR068143</v>
      </c>
      <c r="L49" s="11" t="s">
        <v>191</v>
      </c>
    </row>
    <row r="50" spans="1:12">
      <c r="A50" s="11" t="s">
        <v>165</v>
      </c>
      <c r="B50" s="11" t="s">
        <v>17</v>
      </c>
      <c r="C50" s="11" t="s">
        <v>17</v>
      </c>
      <c r="D50" s="11" t="s">
        <v>17</v>
      </c>
      <c r="E50" s="11" t="s">
        <v>17</v>
      </c>
      <c r="F50" s="11" t="s">
        <v>17</v>
      </c>
      <c r="G50" s="11" t="s">
        <v>17</v>
      </c>
      <c r="H50" s="11" t="s">
        <v>17</v>
      </c>
      <c r="I50" s="11" t="s">
        <v>17</v>
      </c>
      <c r="J50" s="11" t="s">
        <v>17</v>
      </c>
      <c r="K50" s="11"/>
      <c r="L50" s="11" t="s">
        <v>17</v>
      </c>
    </row>
  </sheetData>
  <pageMargins left="0.4" right="0.7" top="0.25" bottom="0.25" header="0.3" footer="0.3"/>
  <pageSetup fitToHeight="9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42E4B5-D81A-421E-9945-569634DE0D8E}"/>
</file>

<file path=customXml/itemProps2.xml><?xml version="1.0" encoding="utf-8"?>
<ds:datastoreItem xmlns:ds="http://schemas.openxmlformats.org/officeDocument/2006/customXml" ds:itemID="{97297C75-A824-4948-9AD3-B6A5407C9848}"/>
</file>

<file path=customXml/itemProps3.xml><?xml version="1.0" encoding="utf-8"?>
<ds:datastoreItem xmlns:ds="http://schemas.openxmlformats.org/officeDocument/2006/customXml" ds:itemID="{6B10AFBB-F48A-41EB-92AB-5C9DCADFDD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Kishbaugh, Karen</cp:lastModifiedBy>
  <cp:revision/>
  <dcterms:created xsi:type="dcterms:W3CDTF">2026-02-10T10:11:12Z</dcterms:created>
  <dcterms:modified xsi:type="dcterms:W3CDTF">2026-02-12T15:51:27Z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2026-02-12T15:49:57Z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f003e6e5-1df5-4b28-afe4-a0f8ca15f229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