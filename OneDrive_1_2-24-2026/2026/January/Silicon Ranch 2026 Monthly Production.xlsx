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 documentId="13_ncr:1_{FEB65975-4B3C-4B61-9C3F-832D6B7C9335}" xr6:coauthVersionLast="47" xr6:coauthVersionMax="47" xr10:uidLastSave="{9D377149-F727-4F6F-8F82-C91D567064D9}"/>
  <bookViews>
    <workbookView xWindow="-108" yWindow="-108" windowWidth="23256" windowHeight="1245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72" l="1"/>
  <c r="E5" i="72"/>
  <c r="H4" i="72"/>
  <c r="E4" i="72"/>
  <c r="E69" i="72" l="1"/>
  <c r="H69" i="72"/>
  <c r="I69" i="72" s="1"/>
  <c r="E69" i="32"/>
  <c r="F69" i="32" s="1"/>
  <c r="H69" i="32"/>
  <c r="I69" i="32"/>
  <c r="E70" i="32"/>
  <c r="F70" i="32" s="1"/>
  <c r="H70" i="32"/>
  <c r="I70" i="32" s="1"/>
  <c r="F69" i="31"/>
  <c r="F70" i="31"/>
  <c r="F69" i="28"/>
  <c r="H69" i="28"/>
  <c r="I69" i="28" s="1"/>
  <c r="E69" i="27"/>
  <c r="F69" i="27" s="1"/>
  <c r="H69" i="27"/>
  <c r="I69" i="27"/>
  <c r="I69" i="26"/>
  <c r="E69" i="19"/>
  <c r="F69" i="19"/>
  <c r="H69" i="19"/>
  <c r="I69" i="19" s="1"/>
  <c r="F69" i="20"/>
  <c r="I69" i="20"/>
  <c r="E69" i="4"/>
  <c r="H69" i="4"/>
  <c r="I69" i="4"/>
  <c r="E69" i="3"/>
  <c r="H69" i="3"/>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H70" i="29"/>
  <c r="I70" i="29"/>
  <c r="E70" i="29"/>
  <c r="F70" i="29"/>
  <c r="C20" i="29"/>
  <c r="D20" i="29"/>
  <c r="C21" i="29"/>
  <c r="D21" i="29"/>
  <c r="C22" i="29"/>
  <c r="D22" i="29"/>
  <c r="C23" i="29"/>
  <c r="D23" i="29"/>
  <c r="C24" i="29"/>
  <c r="D24" i="29"/>
  <c r="C25" i="29"/>
  <c r="D25" i="29"/>
  <c r="C26" i="29"/>
  <c r="D26" i="29"/>
  <c r="C27" i="29"/>
  <c r="D27" i="29"/>
  <c r="C28" i="29"/>
  <c r="D28" i="29"/>
  <c r="C29" i="29"/>
  <c r="D29" i="29"/>
  <c r="C30" i="29"/>
  <c r="D30" i="29"/>
  <c r="C31" i="29"/>
  <c r="D31" i="29"/>
  <c r="C32" i="29"/>
  <c r="D32" i="29"/>
  <c r="C33" i="29"/>
  <c r="D33" i="29"/>
  <c r="C34" i="29"/>
  <c r="D34" i="29"/>
  <c r="C35" i="29"/>
  <c r="D35" i="29"/>
  <c r="C36" i="29"/>
  <c r="D36" i="29"/>
  <c r="C37" i="29"/>
  <c r="D37" i="29"/>
  <c r="C38" i="29"/>
  <c r="D38" i="29"/>
  <c r="C39" i="29"/>
  <c r="D39" i="29"/>
  <c r="C40" i="29"/>
  <c r="D40" i="29"/>
  <c r="C41" i="29"/>
  <c r="D41" i="29"/>
  <c r="C42" i="29"/>
  <c r="D42" i="29"/>
  <c r="C43" i="29"/>
  <c r="D43" i="29"/>
  <c r="C44" i="29"/>
  <c r="D44" i="29"/>
  <c r="C45" i="29"/>
  <c r="D45" i="29"/>
  <c r="C46" i="29"/>
  <c r="D46" i="29"/>
  <c r="C47" i="29"/>
  <c r="D47" i="29"/>
  <c r="C48" i="29"/>
  <c r="D48" i="29"/>
  <c r="C49" i="29"/>
  <c r="D49" i="29"/>
  <c r="C50" i="29"/>
  <c r="D50" i="29"/>
  <c r="C51" i="29"/>
  <c r="D51" i="29"/>
  <c r="C52" i="29"/>
  <c r="D52" i="29"/>
  <c r="C53" i="29"/>
  <c r="D53" i="29"/>
  <c r="C54" i="29"/>
  <c r="D54" i="29"/>
  <c r="C55" i="29"/>
  <c r="D55" i="29"/>
  <c r="C56" i="29"/>
  <c r="D56" i="29"/>
  <c r="C57" i="29"/>
  <c r="D57" i="29"/>
  <c r="C58" i="29"/>
  <c r="D58" i="29"/>
  <c r="C59" i="29"/>
  <c r="D59" i="29"/>
  <c r="C60" i="29"/>
  <c r="D60" i="29"/>
  <c r="C61" i="29"/>
  <c r="D61" i="29"/>
  <c r="C62" i="29"/>
  <c r="D62" i="29"/>
  <c r="C63" i="29"/>
  <c r="D63" i="29"/>
  <c r="C64" i="29"/>
  <c r="D64" i="29"/>
  <c r="C65" i="29"/>
  <c r="D65" i="29"/>
  <c r="C66" i="29"/>
  <c r="D66" i="29"/>
  <c r="C67" i="29"/>
  <c r="D67" i="29"/>
  <c r="C68" i="29"/>
  <c r="D68" i="29"/>
  <c r="C69" i="29"/>
  <c r="D69" i="29"/>
  <c r="D19" i="29"/>
  <c r="C19" i="29"/>
  <c r="E52" i="27" l="1"/>
  <c r="F52" i="27" s="1"/>
  <c r="C69" i="30"/>
  <c r="D69" i="30"/>
  <c r="G69" i="30"/>
  <c r="H69" i="30"/>
  <c r="C70" i="30"/>
  <c r="D70" i="30"/>
  <c r="G70" i="30"/>
  <c r="H70" i="30"/>
  <c r="E69" i="29"/>
  <c r="F69" i="29" s="1"/>
  <c r="H69" i="29"/>
  <c r="I69" i="29" s="1"/>
  <c r="I69" i="30" l="1"/>
  <c r="E69" i="30"/>
  <c r="F69" i="30" s="1"/>
  <c r="I70" i="30"/>
  <c r="E70" i="30"/>
  <c r="F70" i="30" s="1"/>
  <c r="E68" i="26"/>
  <c r="F68" i="26" s="1"/>
  <c r="H68" i="26"/>
  <c r="E31" i="72"/>
  <c r="E9" i="4"/>
  <c r="E10" i="4"/>
  <c r="I68" i="26" l="1"/>
  <c r="G69" i="1" l="1"/>
  <c r="D69" i="1"/>
  <c r="C69" i="1"/>
  <c r="C69" i="18"/>
  <c r="D69" i="18"/>
  <c r="H69" i="18"/>
  <c r="G69" i="18"/>
  <c r="G69" i="34" s="1"/>
  <c r="H22" i="21"/>
  <c r="I22" i="21" s="1"/>
  <c r="E48" i="3"/>
  <c r="H41" i="72"/>
  <c r="I41" i="72" s="1"/>
  <c r="C17" i="30"/>
  <c r="D17" i="30"/>
  <c r="G17" i="30"/>
  <c r="C18" i="30"/>
  <c r="D18" i="30"/>
  <c r="G18" i="30"/>
  <c r="C19" i="30"/>
  <c r="D19" i="30"/>
  <c r="G19" i="30"/>
  <c r="C20" i="30"/>
  <c r="D20" i="30"/>
  <c r="G20" i="30"/>
  <c r="C21" i="30"/>
  <c r="D21" i="30"/>
  <c r="G21" i="30"/>
  <c r="C22" i="30"/>
  <c r="D22" i="30"/>
  <c r="G22" i="30"/>
  <c r="C23" i="30"/>
  <c r="D23" i="30"/>
  <c r="G23" i="30"/>
  <c r="C24" i="30"/>
  <c r="D24" i="30"/>
  <c r="G24" i="30"/>
  <c r="C25" i="30"/>
  <c r="D25" i="30"/>
  <c r="G25" i="30"/>
  <c r="C26" i="30"/>
  <c r="D26" i="30"/>
  <c r="G26" i="30"/>
  <c r="C27" i="30"/>
  <c r="D27" i="30"/>
  <c r="G27" i="30"/>
  <c r="C28" i="30"/>
  <c r="D28" i="30"/>
  <c r="G28" i="30"/>
  <c r="C29" i="30"/>
  <c r="D29" i="30"/>
  <c r="G29" i="30"/>
  <c r="C30" i="30"/>
  <c r="D30" i="30"/>
  <c r="G30" i="30"/>
  <c r="C31" i="30"/>
  <c r="D31" i="30"/>
  <c r="G31" i="30"/>
  <c r="C32" i="30"/>
  <c r="D32" i="30"/>
  <c r="G32" i="30"/>
  <c r="C33" i="30"/>
  <c r="D33" i="30"/>
  <c r="G33" i="30"/>
  <c r="C34" i="30"/>
  <c r="D34" i="30"/>
  <c r="G34" i="30"/>
  <c r="C35" i="30"/>
  <c r="D35" i="30"/>
  <c r="G35" i="30"/>
  <c r="C36" i="30"/>
  <c r="D36" i="30"/>
  <c r="G36" i="30"/>
  <c r="C37" i="30"/>
  <c r="D37" i="30"/>
  <c r="G37" i="30"/>
  <c r="C38" i="30"/>
  <c r="D38" i="30"/>
  <c r="G38" i="30"/>
  <c r="C39" i="30"/>
  <c r="D39" i="30"/>
  <c r="G39" i="30"/>
  <c r="C40" i="30"/>
  <c r="D40" i="30"/>
  <c r="G40" i="30"/>
  <c r="C41" i="30"/>
  <c r="D41" i="30"/>
  <c r="G41" i="30"/>
  <c r="C42" i="30"/>
  <c r="D42" i="30"/>
  <c r="G42" i="30"/>
  <c r="C43" i="30"/>
  <c r="D43" i="30"/>
  <c r="G43" i="30"/>
  <c r="C44" i="30"/>
  <c r="D44" i="30"/>
  <c r="G44" i="30"/>
  <c r="C45" i="30"/>
  <c r="D45" i="30"/>
  <c r="G45" i="30"/>
  <c r="C46" i="30"/>
  <c r="D46" i="30"/>
  <c r="G46" i="30"/>
  <c r="C47" i="30"/>
  <c r="D47" i="30"/>
  <c r="G47" i="30"/>
  <c r="C48" i="30"/>
  <c r="D48" i="30"/>
  <c r="G48" i="30"/>
  <c r="C49" i="30"/>
  <c r="D49" i="30"/>
  <c r="G49" i="30"/>
  <c r="C50" i="30"/>
  <c r="D50" i="30"/>
  <c r="G50" i="30"/>
  <c r="C51" i="30"/>
  <c r="D51" i="30"/>
  <c r="G51" i="30"/>
  <c r="C52" i="30"/>
  <c r="D52" i="30"/>
  <c r="G52" i="30"/>
  <c r="C53" i="30"/>
  <c r="D53" i="30"/>
  <c r="G53" i="30"/>
  <c r="C54" i="30"/>
  <c r="D54" i="30"/>
  <c r="G54" i="30"/>
  <c r="C55" i="30"/>
  <c r="D55" i="30"/>
  <c r="G55" i="30"/>
  <c r="C56" i="30"/>
  <c r="D56" i="30"/>
  <c r="G56" i="30"/>
  <c r="C57" i="30"/>
  <c r="D57" i="30"/>
  <c r="G57" i="30"/>
  <c r="C58" i="30"/>
  <c r="D58" i="30"/>
  <c r="G58" i="30"/>
  <c r="C59" i="30"/>
  <c r="D59" i="30"/>
  <c r="G59" i="30"/>
  <c r="C60" i="30"/>
  <c r="D60" i="30"/>
  <c r="G60" i="30"/>
  <c r="C61" i="30"/>
  <c r="D61" i="30"/>
  <c r="G61" i="30"/>
  <c r="C62" i="30"/>
  <c r="D62" i="30"/>
  <c r="G62" i="30"/>
  <c r="C63" i="30"/>
  <c r="D63" i="30"/>
  <c r="G63" i="30"/>
  <c r="C64" i="30"/>
  <c r="D64" i="30"/>
  <c r="G64" i="30"/>
  <c r="C65" i="30"/>
  <c r="D65" i="30"/>
  <c r="G65" i="30"/>
  <c r="C66" i="30"/>
  <c r="D66" i="30"/>
  <c r="G66" i="30"/>
  <c r="C67" i="30"/>
  <c r="D67" i="30"/>
  <c r="G67" i="30"/>
  <c r="C68" i="30"/>
  <c r="D68" i="30"/>
  <c r="G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H17" i="33"/>
  <c r="I17" i="33" s="1"/>
  <c r="H18" i="33"/>
  <c r="I18" i="33" s="1"/>
  <c r="H19" i="33"/>
  <c r="I19" i="33" s="1"/>
  <c r="H20" i="33"/>
  <c r="I20" i="33" s="1"/>
  <c r="H21" i="33"/>
  <c r="I21" i="33" s="1"/>
  <c r="H22" i="33"/>
  <c r="I22" i="33" s="1"/>
  <c r="H23" i="33"/>
  <c r="I23" i="33" s="1"/>
  <c r="H24" i="33"/>
  <c r="I24" i="33" s="1"/>
  <c r="H25" i="33"/>
  <c r="I25" i="33" s="1"/>
  <c r="H26" i="33"/>
  <c r="I26" i="33" s="1"/>
  <c r="H27" i="33"/>
  <c r="I27" i="33" s="1"/>
  <c r="H28" i="33"/>
  <c r="I28" i="33" s="1"/>
  <c r="H29" i="33"/>
  <c r="I29" i="33" s="1"/>
  <c r="H30" i="33"/>
  <c r="I30" i="33" s="1"/>
  <c r="H31" i="33"/>
  <c r="I31" i="33" s="1"/>
  <c r="H32" i="33"/>
  <c r="I32" i="33" s="1"/>
  <c r="H33" i="33"/>
  <c r="I33" i="33" s="1"/>
  <c r="H34" i="33"/>
  <c r="I34" i="33" s="1"/>
  <c r="H35" i="33"/>
  <c r="I35" i="33" s="1"/>
  <c r="H36" i="33"/>
  <c r="I36" i="33" s="1"/>
  <c r="H37" i="33"/>
  <c r="I37" i="33" s="1"/>
  <c r="H38" i="33"/>
  <c r="I38" i="33" s="1"/>
  <c r="H39" i="33"/>
  <c r="I39" i="33" s="1"/>
  <c r="H40" i="33"/>
  <c r="I40" i="33" s="1"/>
  <c r="H41" i="33"/>
  <c r="I41" i="33" s="1"/>
  <c r="H42" i="33"/>
  <c r="I42" i="33" s="1"/>
  <c r="H43" i="33"/>
  <c r="I43" i="33" s="1"/>
  <c r="H44" i="33"/>
  <c r="I44" i="33" s="1"/>
  <c r="H45" i="33"/>
  <c r="I45" i="33" s="1"/>
  <c r="H46" i="33"/>
  <c r="I46" i="33" s="1"/>
  <c r="H47" i="33"/>
  <c r="I47" i="33" s="1"/>
  <c r="H48" i="33"/>
  <c r="I48" i="33" s="1"/>
  <c r="H49" i="33"/>
  <c r="I49" i="33" s="1"/>
  <c r="H50" i="33"/>
  <c r="I50" i="33" s="1"/>
  <c r="H51" i="33"/>
  <c r="I51" i="33" s="1"/>
  <c r="H52" i="33"/>
  <c r="I52" i="33" s="1"/>
  <c r="H53" i="33"/>
  <c r="I53" i="33" s="1"/>
  <c r="H54" i="33"/>
  <c r="I54" i="33" s="1"/>
  <c r="H55" i="33"/>
  <c r="I55" i="33" s="1"/>
  <c r="H56" i="33"/>
  <c r="I56" i="33" s="1"/>
  <c r="H57" i="33"/>
  <c r="I57" i="33" s="1"/>
  <c r="H58" i="33"/>
  <c r="I58" i="33" s="1"/>
  <c r="H59" i="33"/>
  <c r="I59" i="33" s="1"/>
  <c r="H60" i="33"/>
  <c r="I60" i="33" s="1"/>
  <c r="H61" i="33"/>
  <c r="I61" i="33" s="1"/>
  <c r="H62" i="33"/>
  <c r="I62" i="33" s="1"/>
  <c r="H63" i="33"/>
  <c r="I63" i="33" s="1"/>
  <c r="H64" i="33"/>
  <c r="I64" i="33" s="1"/>
  <c r="H65" i="33"/>
  <c r="I65" i="33" s="1"/>
  <c r="H66" i="33"/>
  <c r="I66" i="33" s="1"/>
  <c r="H67" i="33"/>
  <c r="I67" i="33" s="1"/>
  <c r="H68" i="33"/>
  <c r="I68" i="33" s="1"/>
  <c r="E17" i="33"/>
  <c r="F17" i="33" s="1"/>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H18" i="32"/>
  <c r="I18" i="32" s="1"/>
  <c r="H19" i="32"/>
  <c r="I19" i="32" s="1"/>
  <c r="H20" i="32"/>
  <c r="I20" i="32" s="1"/>
  <c r="H21" i="32"/>
  <c r="I21" i="32" s="1"/>
  <c r="H22" i="32"/>
  <c r="I22" i="32" s="1"/>
  <c r="H23" i="32"/>
  <c r="I23" i="32" s="1"/>
  <c r="H24" i="32"/>
  <c r="I24" i="32" s="1"/>
  <c r="H25" i="32"/>
  <c r="I25" i="32" s="1"/>
  <c r="H26" i="32"/>
  <c r="I26" i="32" s="1"/>
  <c r="H27" i="32"/>
  <c r="I27" i="32" s="1"/>
  <c r="H28" i="32"/>
  <c r="I28" i="32" s="1"/>
  <c r="H29" i="32"/>
  <c r="I29" i="32" s="1"/>
  <c r="H30" i="32"/>
  <c r="I30" i="32" s="1"/>
  <c r="H31" i="32"/>
  <c r="I31" i="32" s="1"/>
  <c r="H32" i="32"/>
  <c r="I32" i="32" s="1"/>
  <c r="H33" i="32"/>
  <c r="I33" i="32" s="1"/>
  <c r="H34" i="32"/>
  <c r="I34" i="32" s="1"/>
  <c r="H35" i="32"/>
  <c r="I35" i="32" s="1"/>
  <c r="H36" i="32"/>
  <c r="I36" i="32" s="1"/>
  <c r="H37" i="32"/>
  <c r="I37" i="32" s="1"/>
  <c r="H38" i="32"/>
  <c r="I38" i="32" s="1"/>
  <c r="H39" i="32"/>
  <c r="I39" i="32" s="1"/>
  <c r="H40" i="32"/>
  <c r="I40" i="32" s="1"/>
  <c r="H41" i="32"/>
  <c r="I41" i="32" s="1"/>
  <c r="H42" i="32"/>
  <c r="I42" i="32" s="1"/>
  <c r="H43" i="32"/>
  <c r="I43" i="32" s="1"/>
  <c r="H44" i="32"/>
  <c r="I44" i="32" s="1"/>
  <c r="H45" i="32"/>
  <c r="I45" i="32" s="1"/>
  <c r="H46" i="32"/>
  <c r="I46" i="32" s="1"/>
  <c r="H47" i="32"/>
  <c r="I47" i="32" s="1"/>
  <c r="H48" i="32"/>
  <c r="I48" i="32" s="1"/>
  <c r="H49" i="32"/>
  <c r="I49" i="32" s="1"/>
  <c r="H50" i="32"/>
  <c r="I50" i="32" s="1"/>
  <c r="H51" i="32"/>
  <c r="I51" i="32" s="1"/>
  <c r="H52" i="32"/>
  <c r="I52" i="32" s="1"/>
  <c r="H53" i="32"/>
  <c r="I53" i="32" s="1"/>
  <c r="H54" i="32"/>
  <c r="I54" i="32" s="1"/>
  <c r="H55" i="32"/>
  <c r="I55" i="32" s="1"/>
  <c r="H56" i="32"/>
  <c r="I56" i="32" s="1"/>
  <c r="H57" i="32"/>
  <c r="I57" i="32" s="1"/>
  <c r="H58" i="32"/>
  <c r="I58" i="32" s="1"/>
  <c r="H59" i="32"/>
  <c r="I59" i="32" s="1"/>
  <c r="H60" i="32"/>
  <c r="I60" i="32" s="1"/>
  <c r="H61" i="32"/>
  <c r="I61" i="32" s="1"/>
  <c r="H62" i="32"/>
  <c r="I62" i="32" s="1"/>
  <c r="H63" i="32"/>
  <c r="I63" i="32" s="1"/>
  <c r="H64" i="32"/>
  <c r="I64" i="32" s="1"/>
  <c r="H65" i="32"/>
  <c r="I65" i="32" s="1"/>
  <c r="H66" i="32"/>
  <c r="I66" i="32" s="1"/>
  <c r="H67" i="32"/>
  <c r="I67" i="32" s="1"/>
  <c r="H68" i="32"/>
  <c r="I68" i="32" s="1"/>
  <c r="E18" i="32"/>
  <c r="F18" i="32" s="1"/>
  <c r="E19" i="32"/>
  <c r="F19" i="32" s="1"/>
  <c r="E20" i="32"/>
  <c r="F20" i="32" s="1"/>
  <c r="E21" i="32"/>
  <c r="F21" i="32" s="1"/>
  <c r="E22" i="32"/>
  <c r="F22" i="32" s="1"/>
  <c r="E23" i="32"/>
  <c r="F23" i="32" s="1"/>
  <c r="E24" i="32"/>
  <c r="F24" i="32" s="1"/>
  <c r="E25" i="32"/>
  <c r="F25" i="32" s="1"/>
  <c r="E26" i="32"/>
  <c r="F26" i="32" s="1"/>
  <c r="E27" i="32"/>
  <c r="F27" i="32" s="1"/>
  <c r="E28" i="32"/>
  <c r="F28" i="32" s="1"/>
  <c r="E29" i="32"/>
  <c r="F29" i="32" s="1"/>
  <c r="E30" i="32"/>
  <c r="F30" i="32" s="1"/>
  <c r="E31" i="32"/>
  <c r="F31" i="32" s="1"/>
  <c r="E32" i="32"/>
  <c r="F32" i="32" s="1"/>
  <c r="E33" i="32"/>
  <c r="F33" i="32" s="1"/>
  <c r="E34" i="32"/>
  <c r="F34" i="32" s="1"/>
  <c r="E35" i="32"/>
  <c r="F35" i="32" s="1"/>
  <c r="E36" i="32"/>
  <c r="F36" i="32" s="1"/>
  <c r="E37" i="32"/>
  <c r="F37" i="32" s="1"/>
  <c r="E38" i="32"/>
  <c r="F38" i="32" s="1"/>
  <c r="E39" i="32"/>
  <c r="F39" i="32" s="1"/>
  <c r="E40" i="32"/>
  <c r="F40" i="32" s="1"/>
  <c r="E41" i="32"/>
  <c r="F41" i="32" s="1"/>
  <c r="E42" i="32"/>
  <c r="F42" i="32" s="1"/>
  <c r="E43" i="32"/>
  <c r="F43" i="32" s="1"/>
  <c r="E44" i="32"/>
  <c r="F44" i="32" s="1"/>
  <c r="E45" i="32"/>
  <c r="F45" i="32" s="1"/>
  <c r="E46" i="32"/>
  <c r="F46" i="32" s="1"/>
  <c r="E47" i="32"/>
  <c r="F47" i="32" s="1"/>
  <c r="E48" i="32"/>
  <c r="F48" i="32" s="1"/>
  <c r="E49" i="32"/>
  <c r="F49" i="32" s="1"/>
  <c r="E50" i="32"/>
  <c r="F50" i="32" s="1"/>
  <c r="E51" i="32"/>
  <c r="F51" i="32" s="1"/>
  <c r="E52" i="32"/>
  <c r="F52" i="32" s="1"/>
  <c r="E53" i="32"/>
  <c r="F53" i="32" s="1"/>
  <c r="E54" i="32"/>
  <c r="F54" i="32" s="1"/>
  <c r="E55" i="32"/>
  <c r="F55" i="32" s="1"/>
  <c r="E56" i="32"/>
  <c r="F56" i="32" s="1"/>
  <c r="E57" i="32"/>
  <c r="F57" i="32" s="1"/>
  <c r="E58" i="32"/>
  <c r="F58" i="32" s="1"/>
  <c r="E59" i="32"/>
  <c r="F59" i="32" s="1"/>
  <c r="E60" i="32"/>
  <c r="F60" i="32" s="1"/>
  <c r="E61" i="32"/>
  <c r="F61" i="32" s="1"/>
  <c r="E62" i="32"/>
  <c r="F62" i="32" s="1"/>
  <c r="E63" i="32"/>
  <c r="F63" i="32" s="1"/>
  <c r="E64" i="32"/>
  <c r="F64" i="32" s="1"/>
  <c r="E65" i="32"/>
  <c r="F65" i="32" s="1"/>
  <c r="E66" i="32"/>
  <c r="F66" i="32" s="1"/>
  <c r="E67" i="32"/>
  <c r="F67" i="32" s="1"/>
  <c r="E68" i="32"/>
  <c r="F68" i="32" s="1"/>
  <c r="G6" i="30"/>
  <c r="G7" i="30"/>
  <c r="G8" i="30"/>
  <c r="G9" i="30"/>
  <c r="G10" i="30"/>
  <c r="G11" i="30"/>
  <c r="G12" i="30"/>
  <c r="G13" i="30"/>
  <c r="G14" i="30"/>
  <c r="G15" i="30"/>
  <c r="G16" i="30"/>
  <c r="G5" i="30"/>
  <c r="G4" i="30"/>
  <c r="A4" i="31" a="1"/>
  <c r="A4" i="31" s="1"/>
  <c r="E26" i="31"/>
  <c r="F26" i="31" s="1"/>
  <c r="E27" i="31"/>
  <c r="F27" i="31" s="1"/>
  <c r="E28" i="31"/>
  <c r="F28" i="31" s="1"/>
  <c r="E29" i="31"/>
  <c r="F29" i="31" s="1"/>
  <c r="E30" i="31"/>
  <c r="F30" i="31" s="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F45" i="31" s="1"/>
  <c r="E46" i="31"/>
  <c r="F46" i="31" s="1"/>
  <c r="E47" i="31"/>
  <c r="F47" i="31" s="1"/>
  <c r="E48" i="31"/>
  <c r="F48" i="31" s="1"/>
  <c r="E49" i="31"/>
  <c r="F49" i="31" s="1"/>
  <c r="E50" i="31"/>
  <c r="F50" i="31" s="1"/>
  <c r="E51" i="31"/>
  <c r="F51" i="31" s="1"/>
  <c r="E52" i="31"/>
  <c r="F52" i="31" s="1"/>
  <c r="E53" i="31"/>
  <c r="F53" i="31" s="1"/>
  <c r="E54" i="31"/>
  <c r="F54" i="31" s="1"/>
  <c r="E55" i="31"/>
  <c r="F55" i="31" s="1"/>
  <c r="E56" i="31"/>
  <c r="F56" i="31" s="1"/>
  <c r="E57" i="31"/>
  <c r="F57" i="31" s="1"/>
  <c r="E58" i="31"/>
  <c r="F58" i="31" s="1"/>
  <c r="E59" i="31"/>
  <c r="F59" i="31" s="1"/>
  <c r="E60" i="31"/>
  <c r="F60" i="31" s="1"/>
  <c r="E61" i="31"/>
  <c r="F61" i="31" s="1"/>
  <c r="E62" i="31"/>
  <c r="F62" i="31" s="1"/>
  <c r="E63" i="31"/>
  <c r="F63" i="31" s="1"/>
  <c r="E64" i="31"/>
  <c r="F64" i="31" s="1"/>
  <c r="E65" i="31"/>
  <c r="F65" i="31" s="1"/>
  <c r="E66" i="31"/>
  <c r="F66" i="31" s="1"/>
  <c r="E67" i="31"/>
  <c r="F67" i="31" s="1"/>
  <c r="E68" i="31"/>
  <c r="F68" i="31" s="1"/>
  <c r="H17" i="31"/>
  <c r="H18" i="31"/>
  <c r="I18" i="31" s="1"/>
  <c r="H19" i="31"/>
  <c r="H20" i="31"/>
  <c r="H21" i="31"/>
  <c r="H22" i="31"/>
  <c r="H23" i="31"/>
  <c r="H24" i="31"/>
  <c r="I24" i="31" s="1"/>
  <c r="H25" i="31"/>
  <c r="H26" i="31"/>
  <c r="I26" i="31" s="1"/>
  <c r="H27" i="31"/>
  <c r="I27" i="31" s="1"/>
  <c r="H28" i="31"/>
  <c r="H29" i="31"/>
  <c r="I29" i="31" s="1"/>
  <c r="H30" i="31"/>
  <c r="H31" i="31"/>
  <c r="I31" i="31" s="1"/>
  <c r="H32" i="31"/>
  <c r="I32" i="31" s="1"/>
  <c r="H33" i="31"/>
  <c r="H34" i="31"/>
  <c r="I34" i="31" s="1"/>
  <c r="H35" i="31"/>
  <c r="I35" i="31" s="1"/>
  <c r="H36" i="31"/>
  <c r="H37" i="31"/>
  <c r="H38" i="31"/>
  <c r="H39" i="31"/>
  <c r="H40" i="31"/>
  <c r="I40" i="31" s="1"/>
  <c r="H41" i="31"/>
  <c r="H42" i="31"/>
  <c r="I42" i="31" s="1"/>
  <c r="H43" i="31"/>
  <c r="I43" i="31" s="1"/>
  <c r="H44" i="31"/>
  <c r="H45" i="31"/>
  <c r="H46" i="31"/>
  <c r="H47" i="31"/>
  <c r="H48" i="31"/>
  <c r="H49" i="31"/>
  <c r="H50" i="31"/>
  <c r="H51" i="31"/>
  <c r="H52" i="31"/>
  <c r="H53" i="31"/>
  <c r="H54" i="31"/>
  <c r="H55" i="31"/>
  <c r="I55" i="31" s="1"/>
  <c r="H56" i="31"/>
  <c r="I56" i="31" s="1"/>
  <c r="H57" i="31"/>
  <c r="I57" i="31" s="1"/>
  <c r="H58" i="31"/>
  <c r="H59" i="31"/>
  <c r="H60" i="31"/>
  <c r="I60" i="31" s="1"/>
  <c r="H61" i="31"/>
  <c r="H62" i="31"/>
  <c r="H63" i="31"/>
  <c r="H64" i="31"/>
  <c r="I64" i="31" s="1"/>
  <c r="H65" i="31"/>
  <c r="H66" i="31"/>
  <c r="H67" i="31"/>
  <c r="H68" i="31"/>
  <c r="I68" i="31" s="1"/>
  <c r="E18" i="31"/>
  <c r="F18" i="31" s="1"/>
  <c r="E19" i="31"/>
  <c r="F19" i="31" s="1"/>
  <c r="E20" i="31"/>
  <c r="F20" i="31" s="1"/>
  <c r="E21" i="31"/>
  <c r="F21" i="31" s="1"/>
  <c r="E22" i="31"/>
  <c r="F22" i="31" s="1"/>
  <c r="E23" i="31"/>
  <c r="F23" i="31" s="1"/>
  <c r="E24" i="31"/>
  <c r="F24" i="31" s="1"/>
  <c r="E25" i="31"/>
  <c r="F25" i="31" s="1"/>
  <c r="H65" i="28"/>
  <c r="I65" i="28" s="1"/>
  <c r="H60" i="28"/>
  <c r="I60" i="28" s="1"/>
  <c r="H64" i="28"/>
  <c r="I64" i="28" s="1"/>
  <c r="H63" i="28"/>
  <c r="I63" i="28" s="1"/>
  <c r="H62" i="28"/>
  <c r="I62" i="28" s="1"/>
  <c r="H59" i="28"/>
  <c r="I59" i="28" s="1"/>
  <c r="H38" i="28"/>
  <c r="I38" i="28" s="1"/>
  <c r="H37" i="28"/>
  <c r="I37" i="28" s="1"/>
  <c r="H36" i="28"/>
  <c r="I36" i="28" s="1"/>
  <c r="H35" i="28"/>
  <c r="I35" i="28" s="1"/>
  <c r="H34" i="28"/>
  <c r="I34" i="28" s="1"/>
  <c r="H33" i="28"/>
  <c r="I33" i="28" s="1"/>
  <c r="H39" i="28"/>
  <c r="I39" i="28" s="1"/>
  <c r="H44" i="28"/>
  <c r="I44" i="28" s="1"/>
  <c r="H32" i="28"/>
  <c r="I32" i="28" s="1"/>
  <c r="H25" i="28"/>
  <c r="I25" i="28" s="1"/>
  <c r="H24" i="28"/>
  <c r="I24" i="28" s="1"/>
  <c r="H23" i="28"/>
  <c r="I23" i="28" s="1"/>
  <c r="H22" i="28"/>
  <c r="I22" i="28" s="1"/>
  <c r="H21" i="28"/>
  <c r="I21" i="28" s="1"/>
  <c r="H19" i="28"/>
  <c r="I19" i="28" s="1"/>
  <c r="H20" i="28"/>
  <c r="I20" i="28" s="1"/>
  <c r="H26" i="28"/>
  <c r="I26" i="28" s="1"/>
  <c r="H31" i="28"/>
  <c r="I31" i="28" s="1"/>
  <c r="H30" i="28"/>
  <c r="I30" i="28" s="1"/>
  <c r="H50" i="28"/>
  <c r="I50" i="28" s="1"/>
  <c r="H48" i="28"/>
  <c r="I48" i="28" s="1"/>
  <c r="E19" i="28"/>
  <c r="F19" i="28" s="1"/>
  <c r="E20" i="28"/>
  <c r="F20" i="28" s="1"/>
  <c r="H57" i="28"/>
  <c r="I57" i="28" s="1"/>
  <c r="H58" i="28"/>
  <c r="I58" i="28" s="1"/>
  <c r="H28" i="28"/>
  <c r="I28" i="28" s="1"/>
  <c r="H29" i="28"/>
  <c r="I29" i="28" s="1"/>
  <c r="H42" i="28"/>
  <c r="I42" i="28" s="1"/>
  <c r="H18" i="28"/>
  <c r="I18" i="28" s="1"/>
  <c r="H27" i="28"/>
  <c r="I27" i="28" s="1"/>
  <c r="H40" i="28"/>
  <c r="I40" i="28" s="1"/>
  <c r="H41" i="28"/>
  <c r="I41" i="28" s="1"/>
  <c r="H43" i="28"/>
  <c r="I43" i="28" s="1"/>
  <c r="H45" i="28"/>
  <c r="I45" i="28" s="1"/>
  <c r="H46" i="28"/>
  <c r="I46" i="28" s="1"/>
  <c r="H47" i="28"/>
  <c r="I47" i="28" s="1"/>
  <c r="H49" i="28"/>
  <c r="I49" i="28" s="1"/>
  <c r="H51" i="28"/>
  <c r="I51" i="28" s="1"/>
  <c r="H52" i="28"/>
  <c r="I52" i="28" s="1"/>
  <c r="H53" i="28"/>
  <c r="I53" i="28" s="1"/>
  <c r="H54" i="28"/>
  <c r="I54" i="28" s="1"/>
  <c r="H55" i="28"/>
  <c r="I55" i="28" s="1"/>
  <c r="H56" i="28"/>
  <c r="I56" i="28" s="1"/>
  <c r="H61" i="28"/>
  <c r="I61" i="28" s="1"/>
  <c r="H66" i="28"/>
  <c r="I66" i="28" s="1"/>
  <c r="H67" i="28"/>
  <c r="I67" i="28" s="1"/>
  <c r="H68" i="28"/>
  <c r="I68" i="28" s="1"/>
  <c r="E18" i="28"/>
  <c r="F18" i="28" s="1"/>
  <c r="E21" i="28"/>
  <c r="F21" i="28" s="1"/>
  <c r="E22" i="28"/>
  <c r="F22" i="28" s="1"/>
  <c r="E23" i="28"/>
  <c r="F23" i="28" s="1"/>
  <c r="E24" i="28"/>
  <c r="F24" i="28" s="1"/>
  <c r="E25" i="28"/>
  <c r="F25" i="28" s="1"/>
  <c r="E26" i="28"/>
  <c r="F26" i="28" s="1"/>
  <c r="E27" i="28"/>
  <c r="F27" i="28" s="1"/>
  <c r="E28" i="28"/>
  <c r="F28" i="28" s="1"/>
  <c r="E29" i="28"/>
  <c r="F29" i="28" s="1"/>
  <c r="E30" i="28"/>
  <c r="F30" i="28" s="1"/>
  <c r="E31" i="28"/>
  <c r="F31" i="28" s="1"/>
  <c r="E32" i="28"/>
  <c r="F32" i="28" s="1"/>
  <c r="E33" i="28"/>
  <c r="F33" i="28" s="1"/>
  <c r="E34" i="28"/>
  <c r="F34" i="28" s="1"/>
  <c r="E35" i="28"/>
  <c r="F35" i="28" s="1"/>
  <c r="E36" i="28"/>
  <c r="F36" i="28" s="1"/>
  <c r="E37" i="28"/>
  <c r="F37" i="28" s="1"/>
  <c r="E38" i="28"/>
  <c r="F38" i="28" s="1"/>
  <c r="E39" i="28"/>
  <c r="F39" i="28" s="1"/>
  <c r="E40" i="28"/>
  <c r="F40" i="28" s="1"/>
  <c r="E41" i="28"/>
  <c r="F41" i="28" s="1"/>
  <c r="E42" i="28"/>
  <c r="F42" i="28" s="1"/>
  <c r="E43" i="28"/>
  <c r="F43" i="28" s="1"/>
  <c r="E44" i="28"/>
  <c r="F44" i="28" s="1"/>
  <c r="E45" i="28"/>
  <c r="F45" i="28" s="1"/>
  <c r="E46" i="28"/>
  <c r="F46" i="28" s="1"/>
  <c r="E47" i="28"/>
  <c r="F47" i="28" s="1"/>
  <c r="E48" i="28"/>
  <c r="F48" i="28" s="1"/>
  <c r="E49" i="28"/>
  <c r="F49" i="28" s="1"/>
  <c r="E50" i="28"/>
  <c r="F50" i="28" s="1"/>
  <c r="E51" i="28"/>
  <c r="F51" i="28" s="1"/>
  <c r="E52" i="28"/>
  <c r="F52" i="28" s="1"/>
  <c r="E53" i="28"/>
  <c r="F53" i="28" s="1"/>
  <c r="E54" i="28"/>
  <c r="F54" i="28" s="1"/>
  <c r="E55" i="28"/>
  <c r="F55" i="28" s="1"/>
  <c r="E56" i="28"/>
  <c r="F56" i="28" s="1"/>
  <c r="E57" i="28"/>
  <c r="F57" i="28" s="1"/>
  <c r="E58" i="28"/>
  <c r="F58" i="28" s="1"/>
  <c r="E59" i="28"/>
  <c r="F59" i="28" s="1"/>
  <c r="E60" i="28"/>
  <c r="F60" i="28" s="1"/>
  <c r="E61" i="28"/>
  <c r="F61" i="28" s="1"/>
  <c r="E62" i="28"/>
  <c r="F62" i="28" s="1"/>
  <c r="E63" i="28"/>
  <c r="F63" i="28" s="1"/>
  <c r="E64" i="28"/>
  <c r="F64" i="28" s="1"/>
  <c r="E65" i="28"/>
  <c r="F65" i="28" s="1"/>
  <c r="E66" i="28"/>
  <c r="F66" i="28" s="1"/>
  <c r="E67" i="28"/>
  <c r="F67" i="28" s="1"/>
  <c r="E68" i="28"/>
  <c r="F68" i="28" s="1"/>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H4" i="27"/>
  <c r="I4" i="27" s="1"/>
  <c r="H5" i="27"/>
  <c r="I5" i="27" s="1"/>
  <c r="H6" i="27"/>
  <c r="I6" i="27" s="1"/>
  <c r="H7" i="27"/>
  <c r="I7" i="27" s="1"/>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E32" i="1" s="1"/>
  <c r="F32" i="1" s="1"/>
  <c r="G32" i="1"/>
  <c r="C33" i="1"/>
  <c r="D33" i="1"/>
  <c r="G33" i="1"/>
  <c r="C34" i="1"/>
  <c r="D34" i="1"/>
  <c r="G34" i="1"/>
  <c r="C35" i="1"/>
  <c r="D35" i="1"/>
  <c r="G35" i="1"/>
  <c r="C36" i="1"/>
  <c r="D36" i="1"/>
  <c r="G36" i="1"/>
  <c r="C37" i="1"/>
  <c r="D37" i="1"/>
  <c r="E37" i="1" s="1"/>
  <c r="F37" i="1" s="1"/>
  <c r="G37" i="1"/>
  <c r="C38" i="1"/>
  <c r="D38" i="1"/>
  <c r="G38" i="1"/>
  <c r="C39" i="1"/>
  <c r="D39" i="1"/>
  <c r="G39" i="1"/>
  <c r="C40" i="1"/>
  <c r="D40" i="1"/>
  <c r="E40" i="1" s="1"/>
  <c r="F40" i="1" s="1"/>
  <c r="G40" i="1"/>
  <c r="C41" i="1"/>
  <c r="D41" i="1"/>
  <c r="G41" i="1"/>
  <c r="C42" i="1"/>
  <c r="D42" i="1"/>
  <c r="G42" i="1"/>
  <c r="C43" i="1"/>
  <c r="E43" i="1" s="1"/>
  <c r="F43" i="1" s="1"/>
  <c r="D43" i="1"/>
  <c r="G43" i="1"/>
  <c r="C44" i="1"/>
  <c r="D44" i="1"/>
  <c r="G44" i="1"/>
  <c r="C45" i="1"/>
  <c r="D45" i="1"/>
  <c r="G45" i="1"/>
  <c r="C46" i="1"/>
  <c r="D46" i="1"/>
  <c r="G46" i="1"/>
  <c r="C47" i="1"/>
  <c r="D47" i="1"/>
  <c r="G47" i="1"/>
  <c r="C48" i="1"/>
  <c r="D48" i="1"/>
  <c r="G48" i="1"/>
  <c r="C49" i="1"/>
  <c r="E49" i="1" s="1"/>
  <c r="F49" i="1" s="1"/>
  <c r="D49" i="1"/>
  <c r="G49" i="1"/>
  <c r="C50" i="1"/>
  <c r="D50" i="1"/>
  <c r="G50" i="1"/>
  <c r="C51" i="1"/>
  <c r="D51" i="1"/>
  <c r="G51" i="1"/>
  <c r="C52" i="1"/>
  <c r="D52" i="1"/>
  <c r="G52" i="1"/>
  <c r="C53" i="1"/>
  <c r="D53" i="1"/>
  <c r="G53" i="1"/>
  <c r="C54" i="1"/>
  <c r="D54" i="1"/>
  <c r="G54" i="1"/>
  <c r="C55" i="1"/>
  <c r="D55" i="1"/>
  <c r="G55" i="1"/>
  <c r="C56" i="1"/>
  <c r="D56" i="1"/>
  <c r="G56" i="1"/>
  <c r="C57" i="1"/>
  <c r="D57" i="1"/>
  <c r="G57" i="1"/>
  <c r="C58" i="1"/>
  <c r="D58" i="1"/>
  <c r="G58" i="1"/>
  <c r="C59" i="1"/>
  <c r="D59" i="1"/>
  <c r="E59" i="1" s="1"/>
  <c r="F59" i="1" s="1"/>
  <c r="G59" i="1"/>
  <c r="C60" i="1"/>
  <c r="D60" i="1"/>
  <c r="G60" i="1"/>
  <c r="C61" i="1"/>
  <c r="D61" i="1"/>
  <c r="G61" i="1"/>
  <c r="C62" i="1"/>
  <c r="D62" i="1"/>
  <c r="G62" i="1"/>
  <c r="C63" i="1"/>
  <c r="D63" i="1"/>
  <c r="G63" i="1"/>
  <c r="C64" i="1"/>
  <c r="D64" i="1"/>
  <c r="G64" i="1"/>
  <c r="C65" i="1"/>
  <c r="E65" i="1" s="1"/>
  <c r="F65" i="1" s="1"/>
  <c r="D65" i="1"/>
  <c r="G65" i="1"/>
  <c r="C66" i="1"/>
  <c r="D66" i="1"/>
  <c r="G66" i="1"/>
  <c r="C67" i="1"/>
  <c r="D67" i="1"/>
  <c r="E67" i="1" s="1"/>
  <c r="F67" i="1" s="1"/>
  <c r="G67" i="1"/>
  <c r="C68" i="1"/>
  <c r="D68" i="1"/>
  <c r="G68" i="1"/>
  <c r="E47" i="29"/>
  <c r="F47" i="29" s="1"/>
  <c r="E50" i="29"/>
  <c r="F50" i="29" s="1"/>
  <c r="E26" i="26"/>
  <c r="F26" i="26" s="1"/>
  <c r="H26" i="26"/>
  <c r="E27" i="26"/>
  <c r="F27" i="26" s="1"/>
  <c r="H27" i="26"/>
  <c r="E28" i="26"/>
  <c r="F28" i="26" s="1"/>
  <c r="H28" i="26"/>
  <c r="E29" i="26"/>
  <c r="F29" i="26" s="1"/>
  <c r="H29" i="26"/>
  <c r="E30" i="26"/>
  <c r="F30" i="26" s="1"/>
  <c r="H30" i="26"/>
  <c r="E31" i="26"/>
  <c r="F31" i="26" s="1"/>
  <c r="H31" i="26"/>
  <c r="E32" i="26"/>
  <c r="F32" i="26" s="1"/>
  <c r="H32" i="26"/>
  <c r="E33" i="26"/>
  <c r="F33" i="26"/>
  <c r="H33" i="26"/>
  <c r="E34" i="26"/>
  <c r="F34" i="26" s="1"/>
  <c r="H34" i="26"/>
  <c r="E35" i="26"/>
  <c r="F35" i="26" s="1"/>
  <c r="H35" i="26"/>
  <c r="E36" i="26"/>
  <c r="F36" i="26" s="1"/>
  <c r="H36" i="26"/>
  <c r="E37" i="26"/>
  <c r="F37" i="26" s="1"/>
  <c r="H37" i="26"/>
  <c r="E38" i="26"/>
  <c r="F38" i="26" s="1"/>
  <c r="H38" i="26"/>
  <c r="E39" i="26"/>
  <c r="F39" i="26" s="1"/>
  <c r="H39" i="26"/>
  <c r="E40" i="26"/>
  <c r="F40" i="26" s="1"/>
  <c r="H40" i="26"/>
  <c r="E41" i="26"/>
  <c r="F41" i="26" s="1"/>
  <c r="H41" i="26"/>
  <c r="E42" i="26"/>
  <c r="F42" i="26" s="1"/>
  <c r="H42" i="26"/>
  <c r="E43" i="26"/>
  <c r="F43" i="26" s="1"/>
  <c r="H43" i="26"/>
  <c r="E44" i="26"/>
  <c r="F44" i="26" s="1"/>
  <c r="H44" i="26"/>
  <c r="E45" i="26"/>
  <c r="F45" i="26" s="1"/>
  <c r="H45" i="26"/>
  <c r="E46" i="26"/>
  <c r="F46" i="26" s="1"/>
  <c r="H46" i="26"/>
  <c r="E47" i="26"/>
  <c r="F47" i="26" s="1"/>
  <c r="H47" i="26"/>
  <c r="E48" i="26"/>
  <c r="F48" i="26"/>
  <c r="H48" i="26"/>
  <c r="E49" i="26"/>
  <c r="F49" i="26" s="1"/>
  <c r="H49" i="26"/>
  <c r="E50" i="26"/>
  <c r="F50" i="26" s="1"/>
  <c r="H50" i="26"/>
  <c r="E51" i="26"/>
  <c r="F51" i="26" s="1"/>
  <c r="H51" i="26"/>
  <c r="E52" i="26"/>
  <c r="F52" i="26" s="1"/>
  <c r="H52" i="26"/>
  <c r="E53" i="26"/>
  <c r="F53" i="26" s="1"/>
  <c r="H53" i="26"/>
  <c r="E54" i="26"/>
  <c r="F54" i="26" s="1"/>
  <c r="H54" i="26"/>
  <c r="E55" i="26"/>
  <c r="F55" i="26" s="1"/>
  <c r="H55" i="26"/>
  <c r="E56" i="26"/>
  <c r="F56" i="26" s="1"/>
  <c r="H56" i="26"/>
  <c r="E57" i="26"/>
  <c r="F57" i="26" s="1"/>
  <c r="H57" i="26"/>
  <c r="E58" i="26"/>
  <c r="F58" i="26" s="1"/>
  <c r="H58" i="26"/>
  <c r="E59" i="26"/>
  <c r="F59" i="26" s="1"/>
  <c r="H59" i="26"/>
  <c r="E60" i="26"/>
  <c r="F60" i="26" s="1"/>
  <c r="H60" i="26"/>
  <c r="E61" i="26"/>
  <c r="F61" i="26" s="1"/>
  <c r="H61" i="26"/>
  <c r="E62" i="26"/>
  <c r="F62" i="26" s="1"/>
  <c r="H62" i="26"/>
  <c r="E63" i="26"/>
  <c r="F63" i="26" s="1"/>
  <c r="H63" i="26"/>
  <c r="E64" i="26"/>
  <c r="F64" i="26" s="1"/>
  <c r="H64" i="26"/>
  <c r="E65" i="26"/>
  <c r="F65" i="26" s="1"/>
  <c r="H65" i="26"/>
  <c r="E66" i="26"/>
  <c r="F66" i="26" s="1"/>
  <c r="H66" i="26"/>
  <c r="E67" i="26"/>
  <c r="F67" i="26" s="1"/>
  <c r="H67" i="26"/>
  <c r="E26" i="19"/>
  <c r="F26" i="19" s="1"/>
  <c r="H26" i="19"/>
  <c r="I26" i="19" s="1"/>
  <c r="E27" i="19"/>
  <c r="F27" i="19" s="1"/>
  <c r="H27" i="19"/>
  <c r="I27" i="19" s="1"/>
  <c r="E28" i="19"/>
  <c r="F28" i="19" s="1"/>
  <c r="H28" i="19"/>
  <c r="I28" i="19" s="1"/>
  <c r="E29" i="19"/>
  <c r="F29" i="19" s="1"/>
  <c r="H29" i="19"/>
  <c r="I29" i="19" s="1"/>
  <c r="E30" i="19"/>
  <c r="F30" i="19" s="1"/>
  <c r="H30" i="19"/>
  <c r="I30" i="19" s="1"/>
  <c r="E31" i="19"/>
  <c r="F31" i="19" s="1"/>
  <c r="H31" i="19"/>
  <c r="I31" i="19" s="1"/>
  <c r="E32" i="19"/>
  <c r="F32" i="19" s="1"/>
  <c r="H32" i="19"/>
  <c r="I32" i="19" s="1"/>
  <c r="E33" i="19"/>
  <c r="F33" i="19" s="1"/>
  <c r="H33" i="19"/>
  <c r="I33" i="19" s="1"/>
  <c r="E34" i="19"/>
  <c r="F34" i="19" s="1"/>
  <c r="H34" i="19"/>
  <c r="I34" i="19" s="1"/>
  <c r="E35" i="19"/>
  <c r="F35" i="19" s="1"/>
  <c r="H35" i="19"/>
  <c r="E36" i="19"/>
  <c r="F36" i="19" s="1"/>
  <c r="H36" i="19"/>
  <c r="I36" i="19" s="1"/>
  <c r="E37" i="19"/>
  <c r="F37" i="19" s="1"/>
  <c r="H37" i="19"/>
  <c r="I37" i="19" s="1"/>
  <c r="E38" i="19"/>
  <c r="F38" i="19" s="1"/>
  <c r="H38" i="19"/>
  <c r="I38" i="19" s="1"/>
  <c r="E39" i="19"/>
  <c r="F39" i="19" s="1"/>
  <c r="H39" i="19"/>
  <c r="I39" i="19" s="1"/>
  <c r="E40" i="19"/>
  <c r="F40" i="19" s="1"/>
  <c r="H40" i="19"/>
  <c r="I40" i="19" s="1"/>
  <c r="E41" i="19"/>
  <c r="F41" i="19" s="1"/>
  <c r="H41" i="19"/>
  <c r="I41" i="19" s="1"/>
  <c r="E42" i="19"/>
  <c r="F42" i="19" s="1"/>
  <c r="H42" i="19"/>
  <c r="I42" i="19" s="1"/>
  <c r="E43" i="19"/>
  <c r="F43" i="19" s="1"/>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F51" i="19" s="1"/>
  <c r="H51" i="19"/>
  <c r="I51" i="19" s="1"/>
  <c r="E52" i="19"/>
  <c r="F52" i="19" s="1"/>
  <c r="H52" i="19"/>
  <c r="I52" i="19" s="1"/>
  <c r="E53" i="19"/>
  <c r="F53" i="19" s="1"/>
  <c r="H53" i="19"/>
  <c r="I53" i="19" s="1"/>
  <c r="E54" i="19"/>
  <c r="F54" i="19" s="1"/>
  <c r="H54" i="19"/>
  <c r="I54" i="19" s="1"/>
  <c r="E55" i="19"/>
  <c r="F55" i="19" s="1"/>
  <c r="H55" i="19"/>
  <c r="I55" i="19" s="1"/>
  <c r="E56" i="19"/>
  <c r="F56" i="19" s="1"/>
  <c r="H56" i="19"/>
  <c r="I56" i="19" s="1"/>
  <c r="E57" i="19"/>
  <c r="F57" i="19" s="1"/>
  <c r="H57" i="19"/>
  <c r="I57" i="19" s="1"/>
  <c r="E58" i="19"/>
  <c r="F58" i="19" s="1"/>
  <c r="H58" i="19"/>
  <c r="I58" i="19" s="1"/>
  <c r="E59" i="19"/>
  <c r="F59" i="19" s="1"/>
  <c r="H59" i="19"/>
  <c r="I59" i="19" s="1"/>
  <c r="E60" i="19"/>
  <c r="F60" i="19" s="1"/>
  <c r="H60" i="19"/>
  <c r="E61" i="19"/>
  <c r="F61" i="19" s="1"/>
  <c r="H61" i="19"/>
  <c r="I61" i="19" s="1"/>
  <c r="E62" i="19"/>
  <c r="F62" i="19" s="1"/>
  <c r="H62" i="19"/>
  <c r="I62" i="19" s="1"/>
  <c r="E63" i="19"/>
  <c r="F63" i="19" s="1"/>
  <c r="H63" i="19"/>
  <c r="I63" i="19" s="1"/>
  <c r="E64" i="19"/>
  <c r="F64" i="19" s="1"/>
  <c r="H64" i="19"/>
  <c r="I64" i="19" s="1"/>
  <c r="E65" i="19"/>
  <c r="F65" i="19" s="1"/>
  <c r="H65" i="19"/>
  <c r="I65" i="19" s="1"/>
  <c r="E66" i="19"/>
  <c r="F66" i="19" s="1"/>
  <c r="H66" i="19"/>
  <c r="I66" i="19" s="1"/>
  <c r="E67" i="19"/>
  <c r="F67" i="19" s="1"/>
  <c r="H67" i="19"/>
  <c r="I67" i="19" s="1"/>
  <c r="E68" i="19"/>
  <c r="F68" i="19" s="1"/>
  <c r="H68" i="19"/>
  <c r="I68" i="19" s="1"/>
  <c r="E26" i="20"/>
  <c r="F26" i="20" s="1"/>
  <c r="H26" i="20"/>
  <c r="I26" i="20" s="1"/>
  <c r="E27" i="20"/>
  <c r="F27" i="20" s="1"/>
  <c r="H27" i="20"/>
  <c r="I27" i="20" s="1"/>
  <c r="E28" i="20"/>
  <c r="F28" i="20" s="1"/>
  <c r="H28" i="20"/>
  <c r="E29" i="20"/>
  <c r="F29" i="20" s="1"/>
  <c r="H29" i="20"/>
  <c r="I29" i="20" s="1"/>
  <c r="E30" i="20"/>
  <c r="F30" i="20" s="1"/>
  <c r="H30" i="20"/>
  <c r="I30" i="20" s="1"/>
  <c r="E31" i="20"/>
  <c r="F31" i="20" s="1"/>
  <c r="H31" i="20"/>
  <c r="I31" i="20" s="1"/>
  <c r="E32" i="20"/>
  <c r="F32" i="20" s="1"/>
  <c r="H32" i="20"/>
  <c r="I32" i="20" s="1"/>
  <c r="E33" i="20"/>
  <c r="F33" i="20" s="1"/>
  <c r="H33" i="20"/>
  <c r="I33" i="20" s="1"/>
  <c r="E34" i="20"/>
  <c r="F34" i="20" s="1"/>
  <c r="H34" i="20"/>
  <c r="I34" i="20" s="1"/>
  <c r="E35" i="20"/>
  <c r="F35" i="20" s="1"/>
  <c r="H35" i="20"/>
  <c r="I35" i="20" s="1"/>
  <c r="E36" i="20"/>
  <c r="F36" i="20" s="1"/>
  <c r="H36" i="20"/>
  <c r="I36" i="20" s="1"/>
  <c r="E37" i="20"/>
  <c r="F37" i="20" s="1"/>
  <c r="H37" i="20"/>
  <c r="I37" i="20" s="1"/>
  <c r="E38" i="20"/>
  <c r="F38" i="20" s="1"/>
  <c r="H38" i="20"/>
  <c r="I38" i="20" s="1"/>
  <c r="E39" i="20"/>
  <c r="F39" i="20" s="1"/>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I45" i="20" s="1"/>
  <c r="E46" i="20"/>
  <c r="F46" i="20" s="1"/>
  <c r="H46" i="20"/>
  <c r="I46" i="20" s="1"/>
  <c r="E47" i="20"/>
  <c r="F47" i="20" s="1"/>
  <c r="H47" i="20"/>
  <c r="I47" i="20" s="1"/>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I60" i="20" s="1"/>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s="1"/>
  <c r="H26" i="21"/>
  <c r="E27" i="21"/>
  <c r="F27" i="21" s="1"/>
  <c r="H27" i="21"/>
  <c r="I27" i="21" s="1"/>
  <c r="E28" i="21"/>
  <c r="F28" i="21" s="1"/>
  <c r="H28" i="21"/>
  <c r="I28" i="21" s="1"/>
  <c r="E29" i="21"/>
  <c r="F29" i="21" s="1"/>
  <c r="H29" i="21"/>
  <c r="I29" i="21" s="1"/>
  <c r="E30" i="21"/>
  <c r="F30" i="21" s="1"/>
  <c r="H30" i="21"/>
  <c r="E31" i="21"/>
  <c r="F31" i="21" s="1"/>
  <c r="H31" i="21"/>
  <c r="E32" i="21"/>
  <c r="F32" i="21" s="1"/>
  <c r="H32" i="21"/>
  <c r="E33" i="21"/>
  <c r="F33" i="21"/>
  <c r="H33" i="21"/>
  <c r="I33" i="21" s="1"/>
  <c r="E34" i="21"/>
  <c r="F34" i="21" s="1"/>
  <c r="H34" i="21"/>
  <c r="I34" i="21" s="1"/>
  <c r="E35" i="21"/>
  <c r="F35" i="21"/>
  <c r="H35" i="21"/>
  <c r="I35" i="21" s="1"/>
  <c r="E36" i="21"/>
  <c r="F36" i="21"/>
  <c r="H36" i="21"/>
  <c r="I36" i="21" s="1"/>
  <c r="E37" i="21"/>
  <c r="F37" i="21"/>
  <c r="H37" i="21"/>
  <c r="I37" i="21" s="1"/>
  <c r="E38" i="21"/>
  <c r="F38" i="21" s="1"/>
  <c r="H38" i="21"/>
  <c r="E39" i="21"/>
  <c r="F39" i="21"/>
  <c r="H39" i="21"/>
  <c r="I39" i="21" s="1"/>
  <c r="E40" i="21"/>
  <c r="F40" i="21"/>
  <c r="H40" i="21"/>
  <c r="I40" i="21" s="1"/>
  <c r="E41" i="21"/>
  <c r="F41" i="21"/>
  <c r="H41" i="21"/>
  <c r="E42" i="21"/>
  <c r="F42" i="21" s="1"/>
  <c r="H42" i="21"/>
  <c r="I42" i="21" s="1"/>
  <c r="E43" i="21"/>
  <c r="F43" i="21" s="1"/>
  <c r="H43" i="21"/>
  <c r="I43" i="21" s="1"/>
  <c r="E44" i="21"/>
  <c r="F44" i="21" s="1"/>
  <c r="H44" i="21"/>
  <c r="I44" i="21" s="1"/>
  <c r="E45" i="21"/>
  <c r="F45" i="21" s="1"/>
  <c r="H45" i="21"/>
  <c r="E46" i="21"/>
  <c r="F46" i="21" s="1"/>
  <c r="H46" i="21"/>
  <c r="I46" i="21" s="1"/>
  <c r="E47" i="21"/>
  <c r="F47" i="21" s="1"/>
  <c r="H47" i="21"/>
  <c r="I47" i="21" s="1"/>
  <c r="E48" i="21"/>
  <c r="F48" i="21" s="1"/>
  <c r="H48" i="21"/>
  <c r="E49" i="21"/>
  <c r="F49" i="21"/>
  <c r="H49" i="21"/>
  <c r="E50" i="21"/>
  <c r="F50" i="21" s="1"/>
  <c r="H50" i="21"/>
  <c r="E51" i="21"/>
  <c r="F51" i="21" s="1"/>
  <c r="H51" i="21"/>
  <c r="I51" i="21" s="1"/>
  <c r="E52" i="21"/>
  <c r="F52" i="21"/>
  <c r="H52" i="21"/>
  <c r="E53" i="21"/>
  <c r="F53" i="21" s="1"/>
  <c r="H53" i="21"/>
  <c r="E54" i="21"/>
  <c r="F54" i="21"/>
  <c r="H54" i="21"/>
  <c r="E55" i="21"/>
  <c r="F55" i="21"/>
  <c r="H55" i="21"/>
  <c r="I55" i="21" s="1"/>
  <c r="E56" i="21"/>
  <c r="F56" i="21"/>
  <c r="H56" i="21"/>
  <c r="I56" i="21" s="1"/>
  <c r="E57" i="21"/>
  <c r="F57" i="21"/>
  <c r="H57" i="21"/>
  <c r="I57" i="21" s="1"/>
  <c r="E58" i="21"/>
  <c r="F58" i="21" s="1"/>
  <c r="H58" i="21"/>
  <c r="I58" i="21" s="1"/>
  <c r="E59" i="21"/>
  <c r="F59" i="21" s="1"/>
  <c r="H59" i="21"/>
  <c r="E60" i="21"/>
  <c r="F60" i="21"/>
  <c r="H60" i="21"/>
  <c r="I60" i="21" s="1"/>
  <c r="E61" i="21"/>
  <c r="F61" i="21" s="1"/>
  <c r="H61" i="21"/>
  <c r="E62" i="21"/>
  <c r="F62" i="21" s="1"/>
  <c r="H62" i="21"/>
  <c r="E63" i="21"/>
  <c r="F63" i="21"/>
  <c r="H63" i="21"/>
  <c r="I63" i="21" s="1"/>
  <c r="E64" i="21"/>
  <c r="F64" i="21"/>
  <c r="H64" i="21"/>
  <c r="E65" i="21"/>
  <c r="F65" i="21" s="1"/>
  <c r="H65" i="21"/>
  <c r="E66" i="21"/>
  <c r="F66" i="21" s="1"/>
  <c r="H66" i="21"/>
  <c r="E67" i="21"/>
  <c r="F67" i="21" s="1"/>
  <c r="H67" i="21"/>
  <c r="E68" i="21"/>
  <c r="F68" i="21" s="1"/>
  <c r="H68" i="21"/>
  <c r="I68" i="21" s="1"/>
  <c r="E26" i="4"/>
  <c r="F26" i="4"/>
  <c r="H26" i="4"/>
  <c r="I26" i="4" s="1"/>
  <c r="E27" i="4"/>
  <c r="F27" i="4"/>
  <c r="H27" i="4"/>
  <c r="I27" i="4"/>
  <c r="E28" i="4"/>
  <c r="F28" i="4" s="1"/>
  <c r="H28" i="4"/>
  <c r="I28" i="4"/>
  <c r="E29" i="4"/>
  <c r="F29" i="4"/>
  <c r="H29" i="4"/>
  <c r="I29" i="4"/>
  <c r="E30" i="4"/>
  <c r="F30" i="4" s="1"/>
  <c r="H30" i="4"/>
  <c r="I30" i="4" s="1"/>
  <c r="E31" i="4"/>
  <c r="F31" i="4"/>
  <c r="H31" i="4"/>
  <c r="I31" i="4" s="1"/>
  <c r="E32" i="4"/>
  <c r="F32" i="4"/>
  <c r="H32" i="4"/>
  <c r="I32" i="4" s="1"/>
  <c r="E33" i="4"/>
  <c r="F33" i="4"/>
  <c r="H33" i="4"/>
  <c r="I33" i="4" s="1"/>
  <c r="E34" i="4"/>
  <c r="F34" i="4" s="1"/>
  <c r="H34" i="4"/>
  <c r="I34" i="4" s="1"/>
  <c r="E35" i="4"/>
  <c r="F35" i="4"/>
  <c r="H35" i="4"/>
  <c r="I35" i="4"/>
  <c r="E36" i="4"/>
  <c r="F36" i="4"/>
  <c r="H36" i="4"/>
  <c r="I36" i="4" s="1"/>
  <c r="E37" i="4"/>
  <c r="F37" i="4"/>
  <c r="H37" i="4"/>
  <c r="I37" i="4" s="1"/>
  <c r="E38" i="4"/>
  <c r="F38" i="4"/>
  <c r="H38" i="4"/>
  <c r="I38" i="4" s="1"/>
  <c r="E39" i="4"/>
  <c r="F39" i="4"/>
  <c r="H39" i="4"/>
  <c r="E40" i="4"/>
  <c r="F40" i="4"/>
  <c r="H40" i="4"/>
  <c r="I40" i="4" s="1"/>
  <c r="E41" i="4"/>
  <c r="F41" i="4" s="1"/>
  <c r="H41" i="4"/>
  <c r="I41" i="4" s="1"/>
  <c r="E42" i="4"/>
  <c r="F42" i="4"/>
  <c r="H42" i="4"/>
  <c r="I42" i="4" s="1"/>
  <c r="E43" i="4"/>
  <c r="F43" i="4" s="1"/>
  <c r="H43" i="4"/>
  <c r="I43" i="4" s="1"/>
  <c r="E44" i="4"/>
  <c r="F44" i="4"/>
  <c r="H44" i="4"/>
  <c r="I44" i="4" s="1"/>
  <c r="E45" i="4"/>
  <c r="F45" i="4" s="1"/>
  <c r="H45" i="4"/>
  <c r="I45" i="4" s="1"/>
  <c r="E46" i="4"/>
  <c r="F46" i="4" s="1"/>
  <c r="H46" i="4"/>
  <c r="I46" i="4" s="1"/>
  <c r="E47" i="4"/>
  <c r="F47" i="4"/>
  <c r="H47" i="4"/>
  <c r="I47" i="4" s="1"/>
  <c r="E48" i="4"/>
  <c r="F48" i="4"/>
  <c r="H48" i="4"/>
  <c r="I48" i="4" s="1"/>
  <c r="E49" i="4"/>
  <c r="F49" i="4"/>
  <c r="H49" i="4"/>
  <c r="I49" i="4" s="1"/>
  <c r="E50" i="4"/>
  <c r="F50" i="4" s="1"/>
  <c r="H50" i="4"/>
  <c r="I50" i="4" s="1"/>
  <c r="E51" i="4"/>
  <c r="F51" i="4" s="1"/>
  <c r="H51" i="4"/>
  <c r="I51" i="4"/>
  <c r="E52" i="4"/>
  <c r="F52" i="4"/>
  <c r="H52" i="4"/>
  <c r="I52" i="4" s="1"/>
  <c r="E53" i="4"/>
  <c r="F53" i="4"/>
  <c r="H53" i="4"/>
  <c r="I53" i="4" s="1"/>
  <c r="E54" i="4"/>
  <c r="F54" i="4"/>
  <c r="H54" i="4"/>
  <c r="I54" i="4" s="1"/>
  <c r="E55" i="4"/>
  <c r="F55" i="4"/>
  <c r="H55" i="4"/>
  <c r="I55" i="4" s="1"/>
  <c r="E56" i="4"/>
  <c r="F56" i="4"/>
  <c r="H56" i="4"/>
  <c r="I56" i="4" s="1"/>
  <c r="E57" i="4"/>
  <c r="F57" i="4" s="1"/>
  <c r="H57" i="4"/>
  <c r="I57" i="4" s="1"/>
  <c r="E58" i="4"/>
  <c r="F58" i="4"/>
  <c r="H58" i="4"/>
  <c r="I58" i="4" s="1"/>
  <c r="E59" i="4"/>
  <c r="F59" i="4"/>
  <c r="H59" i="4"/>
  <c r="I59" i="4" s="1"/>
  <c r="E60" i="4"/>
  <c r="F60" i="4"/>
  <c r="H60" i="4"/>
  <c r="I60" i="4"/>
  <c r="E61" i="4"/>
  <c r="F61" i="4" s="1"/>
  <c r="H61" i="4"/>
  <c r="I61" i="4"/>
  <c r="E62" i="4"/>
  <c r="F62" i="4"/>
  <c r="H62" i="4"/>
  <c r="I62" i="4" s="1"/>
  <c r="E63" i="4"/>
  <c r="F63" i="4" s="1"/>
  <c r="H63" i="4"/>
  <c r="I63" i="4" s="1"/>
  <c r="E64" i="4"/>
  <c r="F64" i="4"/>
  <c r="H64" i="4"/>
  <c r="I64" i="4" s="1"/>
  <c r="E65" i="4"/>
  <c r="F65" i="4"/>
  <c r="H65" i="4"/>
  <c r="I65" i="4" s="1"/>
  <c r="E66" i="4"/>
  <c r="F66" i="4" s="1"/>
  <c r="H66" i="4"/>
  <c r="I66" i="4" s="1"/>
  <c r="E67" i="4"/>
  <c r="F67" i="4" s="1"/>
  <c r="H67" i="4"/>
  <c r="I67" i="4" s="1"/>
  <c r="E68" i="4"/>
  <c r="F68" i="4"/>
  <c r="H68" i="4"/>
  <c r="I68" i="4" s="1"/>
  <c r="E26" i="3"/>
  <c r="F26" i="3"/>
  <c r="H26" i="3"/>
  <c r="I26" i="3" s="1"/>
  <c r="E27" i="3"/>
  <c r="F27" i="3"/>
  <c r="H27" i="3"/>
  <c r="E28" i="3"/>
  <c r="F28" i="3"/>
  <c r="H28" i="3"/>
  <c r="I28" i="3"/>
  <c r="E29" i="3"/>
  <c r="F29" i="3"/>
  <c r="H29" i="3"/>
  <c r="E30" i="3"/>
  <c r="F30" i="3"/>
  <c r="H30" i="3"/>
  <c r="I30" i="3"/>
  <c r="E31" i="3"/>
  <c r="F31" i="3"/>
  <c r="H31" i="3"/>
  <c r="E32" i="3"/>
  <c r="F32" i="3"/>
  <c r="H32" i="3"/>
  <c r="I32" i="3" s="1"/>
  <c r="E33" i="3"/>
  <c r="F33" i="3"/>
  <c r="H33" i="3"/>
  <c r="I33" i="3" s="1"/>
  <c r="E34" i="3"/>
  <c r="F34" i="3"/>
  <c r="H34" i="3"/>
  <c r="I34" i="3"/>
  <c r="E35" i="3"/>
  <c r="F35" i="3"/>
  <c r="H35" i="3"/>
  <c r="E36" i="3"/>
  <c r="F36" i="3"/>
  <c r="H36" i="3"/>
  <c r="I36" i="3" s="1"/>
  <c r="E37" i="3"/>
  <c r="F37" i="3"/>
  <c r="H37" i="3"/>
  <c r="I37" i="3" s="1"/>
  <c r="E38" i="3"/>
  <c r="F38" i="3"/>
  <c r="H38" i="3"/>
  <c r="I38" i="3"/>
  <c r="E39" i="3"/>
  <c r="F39" i="3"/>
  <c r="H39" i="3"/>
  <c r="I39" i="3" s="1"/>
  <c r="F40" i="3"/>
  <c r="H40" i="3"/>
  <c r="I40" i="3" s="1"/>
  <c r="E41" i="3"/>
  <c r="F41" i="3"/>
  <c r="H41" i="3"/>
  <c r="E42" i="3"/>
  <c r="F42" i="3"/>
  <c r="H42" i="3"/>
  <c r="I42" i="3" s="1"/>
  <c r="E43" i="3"/>
  <c r="F43" i="3"/>
  <c r="H43" i="3"/>
  <c r="I43" i="3" s="1"/>
  <c r="E44" i="3"/>
  <c r="F44" i="3"/>
  <c r="H44" i="3"/>
  <c r="I44" i="3" s="1"/>
  <c r="E45" i="3"/>
  <c r="F45" i="3"/>
  <c r="H45" i="3"/>
  <c r="I45" i="3" s="1"/>
  <c r="E46" i="3"/>
  <c r="F46" i="3"/>
  <c r="H46" i="3"/>
  <c r="I46" i="3" s="1"/>
  <c r="E47" i="3"/>
  <c r="F47" i="3"/>
  <c r="H47" i="3"/>
  <c r="I47" i="3"/>
  <c r="F48" i="3"/>
  <c r="H48" i="3"/>
  <c r="E49" i="3"/>
  <c r="F49" i="3" s="1"/>
  <c r="H49" i="3"/>
  <c r="I49" i="3"/>
  <c r="E50" i="3"/>
  <c r="F50" i="3"/>
  <c r="H50" i="3"/>
  <c r="E51" i="3"/>
  <c r="F51" i="3" s="1"/>
  <c r="H51" i="3"/>
  <c r="I51" i="3" s="1"/>
  <c r="E52" i="3"/>
  <c r="F52" i="3"/>
  <c r="H52" i="3"/>
  <c r="I52" i="3"/>
  <c r="E53" i="3"/>
  <c r="F53" i="3" s="1"/>
  <c r="H53" i="3"/>
  <c r="I53" i="3" s="1"/>
  <c r="E54" i="3"/>
  <c r="F54" i="3"/>
  <c r="H54" i="3"/>
  <c r="I54" i="3" s="1"/>
  <c r="E55" i="3"/>
  <c r="F55" i="3" s="1"/>
  <c r="H55" i="3"/>
  <c r="E56" i="3"/>
  <c r="F56" i="3"/>
  <c r="H56" i="3"/>
  <c r="I56" i="3" s="1"/>
  <c r="E57" i="3"/>
  <c r="F57" i="3" s="1"/>
  <c r="H57" i="3"/>
  <c r="I57" i="3"/>
  <c r="E58" i="3"/>
  <c r="F58" i="3" s="1"/>
  <c r="H58" i="3"/>
  <c r="I58" i="3" s="1"/>
  <c r="E59" i="3"/>
  <c r="F59" i="3" s="1"/>
  <c r="H59" i="3"/>
  <c r="I59" i="3"/>
  <c r="E60" i="3"/>
  <c r="F60" i="3" s="1"/>
  <c r="H60" i="3"/>
  <c r="I60" i="3"/>
  <c r="E61" i="3"/>
  <c r="F61" i="3" s="1"/>
  <c r="H61" i="3"/>
  <c r="I61" i="3"/>
  <c r="E62" i="3"/>
  <c r="F62" i="3"/>
  <c r="H62" i="3"/>
  <c r="I62" i="3" s="1"/>
  <c r="E63" i="3"/>
  <c r="F63" i="3" s="1"/>
  <c r="H63" i="3"/>
  <c r="I63" i="3" s="1"/>
  <c r="E64" i="3"/>
  <c r="F64" i="3"/>
  <c r="H64" i="3"/>
  <c r="E65" i="3"/>
  <c r="F65" i="3" s="1"/>
  <c r="H65" i="3"/>
  <c r="I65" i="3"/>
  <c r="E66" i="3"/>
  <c r="F66" i="3"/>
  <c r="H66" i="3"/>
  <c r="I66" i="3"/>
  <c r="E67" i="3"/>
  <c r="F67" i="3" s="1"/>
  <c r="H67" i="3"/>
  <c r="I67" i="3" s="1"/>
  <c r="E68" i="3"/>
  <c r="F68" i="3"/>
  <c r="H68" i="3"/>
  <c r="I68" i="3" s="1"/>
  <c r="E26" i="72"/>
  <c r="F26" i="72" s="1"/>
  <c r="H26" i="72"/>
  <c r="I26" i="72" s="1"/>
  <c r="E27" i="72"/>
  <c r="F27" i="72" s="1"/>
  <c r="H27" i="72"/>
  <c r="I27" i="72" s="1"/>
  <c r="E28" i="72"/>
  <c r="F28" i="72" s="1"/>
  <c r="H28" i="72"/>
  <c r="E29" i="72"/>
  <c r="F29" i="72" s="1"/>
  <c r="H29" i="72"/>
  <c r="I29" i="72" s="1"/>
  <c r="E30" i="72"/>
  <c r="F30" i="72" s="1"/>
  <c r="H30" i="72"/>
  <c r="I30" i="72" s="1"/>
  <c r="F31" i="72"/>
  <c r="H31" i="72"/>
  <c r="E32" i="72"/>
  <c r="F32" i="72" s="1"/>
  <c r="H32" i="72"/>
  <c r="I32" i="72" s="1"/>
  <c r="E33" i="72"/>
  <c r="F33" i="72" s="1"/>
  <c r="H33" i="72"/>
  <c r="H33" i="1" s="1"/>
  <c r="I33" i="1" s="1"/>
  <c r="E34" i="72"/>
  <c r="F34" i="72" s="1"/>
  <c r="H34" i="72"/>
  <c r="E35" i="72"/>
  <c r="F35" i="72" s="1"/>
  <c r="H35" i="72"/>
  <c r="I35" i="72" s="1"/>
  <c r="E36" i="72"/>
  <c r="F36" i="72" s="1"/>
  <c r="H36" i="72"/>
  <c r="E37" i="72"/>
  <c r="F37" i="72" s="1"/>
  <c r="H37" i="72"/>
  <c r="I37" i="72" s="1"/>
  <c r="E38" i="72"/>
  <c r="F38" i="72" s="1"/>
  <c r="H38" i="72"/>
  <c r="I38" i="72" s="1"/>
  <c r="E39" i="72"/>
  <c r="F39" i="72" s="1"/>
  <c r="H39" i="72"/>
  <c r="I39" i="72" s="1"/>
  <c r="E40" i="72"/>
  <c r="F40" i="72"/>
  <c r="H40" i="72"/>
  <c r="I40" i="72" s="1"/>
  <c r="E41" i="72"/>
  <c r="F41" i="72" s="1"/>
  <c r="E42" i="72"/>
  <c r="F42" i="72" s="1"/>
  <c r="H42" i="72"/>
  <c r="I42" i="72" s="1"/>
  <c r="E43" i="72"/>
  <c r="F43" i="72" s="1"/>
  <c r="H43" i="72"/>
  <c r="I43" i="72" s="1"/>
  <c r="E44" i="72"/>
  <c r="F44" i="72" s="1"/>
  <c r="H44" i="72"/>
  <c r="I44" i="72" s="1"/>
  <c r="E45" i="72"/>
  <c r="F45" i="72" s="1"/>
  <c r="H45" i="72"/>
  <c r="I45" i="72" s="1"/>
  <c r="E46" i="72"/>
  <c r="F46" i="72" s="1"/>
  <c r="H46" i="72"/>
  <c r="I46" i="72"/>
  <c r="E47" i="72"/>
  <c r="F47" i="72" s="1"/>
  <c r="H47" i="72"/>
  <c r="I47" i="72" s="1"/>
  <c r="E48" i="72"/>
  <c r="F48" i="72" s="1"/>
  <c r="H48" i="72"/>
  <c r="I48" i="72" s="1"/>
  <c r="E49" i="72"/>
  <c r="F49" i="72" s="1"/>
  <c r="H49" i="72"/>
  <c r="I49" i="72" s="1"/>
  <c r="E50" i="72"/>
  <c r="F50" i="72" s="1"/>
  <c r="H50" i="72"/>
  <c r="I50" i="72"/>
  <c r="E51" i="72"/>
  <c r="F51" i="72" s="1"/>
  <c r="H51" i="72"/>
  <c r="H51" i="1" s="1"/>
  <c r="E52" i="72"/>
  <c r="F52" i="72" s="1"/>
  <c r="H52" i="72"/>
  <c r="I52" i="72" s="1"/>
  <c r="E53" i="72"/>
  <c r="F53" i="72" s="1"/>
  <c r="H53" i="72"/>
  <c r="H53" i="1" s="1"/>
  <c r="E54" i="72"/>
  <c r="F54" i="72" s="1"/>
  <c r="H54" i="72"/>
  <c r="E55" i="72"/>
  <c r="F55" i="72" s="1"/>
  <c r="H55" i="72"/>
  <c r="I55" i="72" s="1"/>
  <c r="E56" i="72"/>
  <c r="F56" i="72" s="1"/>
  <c r="H56" i="72"/>
  <c r="I56" i="72"/>
  <c r="E57" i="72"/>
  <c r="F57" i="72" s="1"/>
  <c r="H57" i="72"/>
  <c r="I57" i="72" s="1"/>
  <c r="E58" i="72"/>
  <c r="F58" i="72" s="1"/>
  <c r="H58" i="72"/>
  <c r="I58" i="72" s="1"/>
  <c r="E59" i="72"/>
  <c r="F59" i="72" s="1"/>
  <c r="H59" i="72"/>
  <c r="I59" i="72" s="1"/>
  <c r="E60" i="72"/>
  <c r="F60" i="72" s="1"/>
  <c r="H60" i="72"/>
  <c r="I60" i="72" s="1"/>
  <c r="E61" i="72"/>
  <c r="F61" i="72" s="1"/>
  <c r="H61" i="72"/>
  <c r="E62" i="72"/>
  <c r="F62" i="72" s="1"/>
  <c r="H62" i="72"/>
  <c r="I62" i="72" s="1"/>
  <c r="E63" i="72"/>
  <c r="F63" i="72" s="1"/>
  <c r="H63" i="72"/>
  <c r="I63" i="72" s="1"/>
  <c r="E64" i="72"/>
  <c r="F64" i="72" s="1"/>
  <c r="H64" i="72"/>
  <c r="I64" i="72" s="1"/>
  <c r="E65" i="72"/>
  <c r="F65" i="72"/>
  <c r="H65" i="72"/>
  <c r="I65" i="72" s="1"/>
  <c r="E66" i="72"/>
  <c r="F66" i="72" s="1"/>
  <c r="H66" i="72"/>
  <c r="I66" i="72" s="1"/>
  <c r="E67" i="72"/>
  <c r="F67" i="72"/>
  <c r="H67" i="72"/>
  <c r="I67" i="72" s="1"/>
  <c r="E68" i="72"/>
  <c r="F68" i="72" s="1"/>
  <c r="H68" i="72"/>
  <c r="G5" i="29"/>
  <c r="G6" i="29"/>
  <c r="G7" i="29"/>
  <c r="G8" i="29"/>
  <c r="G9" i="29"/>
  <c r="G10" i="29"/>
  <c r="G11" i="29"/>
  <c r="G12" i="29"/>
  <c r="G13" i="29"/>
  <c r="G14" i="29"/>
  <c r="G15" i="29"/>
  <c r="G16" i="29"/>
  <c r="G17" i="29"/>
  <c r="G18" i="29"/>
  <c r="G19" i="29"/>
  <c r="G20" i="29"/>
  <c r="G4" i="29"/>
  <c r="D4" i="29"/>
  <c r="H25" i="26"/>
  <c r="E25" i="26"/>
  <c r="F25" i="26" s="1"/>
  <c r="H24" i="26"/>
  <c r="E24" i="26"/>
  <c r="F24" i="26" s="1"/>
  <c r="H23" i="26"/>
  <c r="E23" i="26"/>
  <c r="F23" i="26" s="1"/>
  <c r="H22" i="26"/>
  <c r="E22" i="26"/>
  <c r="F22" i="26" s="1"/>
  <c r="H21" i="26"/>
  <c r="E21" i="26"/>
  <c r="F21" i="26" s="1"/>
  <c r="H20" i="26"/>
  <c r="E20" i="26"/>
  <c r="F20" i="26" s="1"/>
  <c r="H19" i="26"/>
  <c r="E19" i="26"/>
  <c r="F19" i="26" s="1"/>
  <c r="H18" i="26"/>
  <c r="I18" i="26" s="1"/>
  <c r="E18" i="26"/>
  <c r="F18" i="26" s="1"/>
  <c r="G25" i="1"/>
  <c r="H18" i="19"/>
  <c r="I18" i="19" s="1"/>
  <c r="H19" i="19"/>
  <c r="I19" i="19" s="1"/>
  <c r="H20" i="19"/>
  <c r="H21" i="19"/>
  <c r="I21" i="19" s="1"/>
  <c r="H22" i="19"/>
  <c r="I22" i="19" s="1"/>
  <c r="H23" i="19"/>
  <c r="I23" i="19" s="1"/>
  <c r="H24" i="19"/>
  <c r="I24" i="19" s="1"/>
  <c r="H25" i="19"/>
  <c r="I25" i="19" s="1"/>
  <c r="E18" i="19"/>
  <c r="F18" i="19" s="1"/>
  <c r="E19" i="19"/>
  <c r="F19" i="19" s="1"/>
  <c r="E20" i="19"/>
  <c r="F20" i="19" s="1"/>
  <c r="E21" i="19"/>
  <c r="F21" i="19" s="1"/>
  <c r="E22" i="19"/>
  <c r="F22" i="19" s="1"/>
  <c r="E23" i="19"/>
  <c r="F23" i="19" s="1"/>
  <c r="E24" i="19"/>
  <c r="F24" i="19" s="1"/>
  <c r="E25" i="19"/>
  <c r="F25" i="19" s="1"/>
  <c r="E18" i="20"/>
  <c r="F18" i="20" s="1"/>
  <c r="E19" i="20"/>
  <c r="F19" i="20" s="1"/>
  <c r="E20" i="20"/>
  <c r="F20" i="20" s="1"/>
  <c r="E21" i="20"/>
  <c r="F21" i="20" s="1"/>
  <c r="E22" i="20"/>
  <c r="F22" i="20" s="1"/>
  <c r="E23" i="20"/>
  <c r="F23" i="20" s="1"/>
  <c r="E24" i="20"/>
  <c r="F24" i="20" s="1"/>
  <c r="E25" i="20"/>
  <c r="F25" i="20" s="1"/>
  <c r="H18" i="20"/>
  <c r="I18" i="20" s="1"/>
  <c r="H19" i="20"/>
  <c r="H20" i="20"/>
  <c r="I20" i="20" s="1"/>
  <c r="H21" i="20"/>
  <c r="I21" i="20" s="1"/>
  <c r="H22" i="20"/>
  <c r="I22" i="20" s="1"/>
  <c r="H23" i="20"/>
  <c r="I23" i="20" s="1"/>
  <c r="H24" i="20"/>
  <c r="I24" i="20" s="1"/>
  <c r="H25" i="20"/>
  <c r="I25" i="20" s="1"/>
  <c r="G4" i="18"/>
  <c r="G6" i="18"/>
  <c r="G7" i="18"/>
  <c r="G8" i="18"/>
  <c r="G9" i="18"/>
  <c r="G10" i="18"/>
  <c r="G11" i="18"/>
  <c r="G12" i="18"/>
  <c r="G13" i="18"/>
  <c r="G14" i="18"/>
  <c r="G15" i="18"/>
  <c r="G5" i="18"/>
  <c r="G4" i="1"/>
  <c r="H18" i="21"/>
  <c r="I18" i="21" s="1"/>
  <c r="H19" i="21"/>
  <c r="I19" i="21" s="1"/>
  <c r="H20" i="21"/>
  <c r="I20" i="21" s="1"/>
  <c r="H21" i="21"/>
  <c r="I21" i="21" s="1"/>
  <c r="H23" i="21"/>
  <c r="H24" i="21"/>
  <c r="H25" i="21"/>
  <c r="I25" i="21" s="1"/>
  <c r="E25" i="21"/>
  <c r="F25" i="21" s="1"/>
  <c r="E24" i="21"/>
  <c r="F24" i="21" s="1"/>
  <c r="E23" i="21"/>
  <c r="F23" i="21"/>
  <c r="E22" i="21"/>
  <c r="F22" i="21" s="1"/>
  <c r="E21" i="21"/>
  <c r="F21" i="21"/>
  <c r="E20" i="21"/>
  <c r="F20" i="21" s="1"/>
  <c r="E19" i="21"/>
  <c r="F19" i="21"/>
  <c r="E18" i="21"/>
  <c r="F18" i="21" s="1"/>
  <c r="H23" i="4"/>
  <c r="I23" i="4" s="1"/>
  <c r="H24" i="4"/>
  <c r="I24" i="4" s="1"/>
  <c r="H25" i="4"/>
  <c r="E25" i="4"/>
  <c r="F25" i="4" s="1"/>
  <c r="E24" i="4"/>
  <c r="F24" i="4"/>
  <c r="E23" i="4"/>
  <c r="F23" i="4" s="1"/>
  <c r="E22" i="4"/>
  <c r="F22" i="4"/>
  <c r="E21" i="4"/>
  <c r="F21" i="4" s="1"/>
  <c r="E20" i="4"/>
  <c r="F20" i="4"/>
  <c r="E19" i="4"/>
  <c r="F19" i="4" s="1"/>
  <c r="E18" i="4"/>
  <c r="F18" i="4"/>
  <c r="H18" i="4"/>
  <c r="I18" i="4"/>
  <c r="H19" i="4"/>
  <c r="I19" i="4" s="1"/>
  <c r="H20" i="4"/>
  <c r="I20" i="4" s="1"/>
  <c r="H21" i="4"/>
  <c r="I21" i="4"/>
  <c r="H22" i="4"/>
  <c r="I22" i="4"/>
  <c r="E24" i="3"/>
  <c r="F24" i="3" s="1"/>
  <c r="E25" i="3"/>
  <c r="F25" i="3" s="1"/>
  <c r="E18" i="3"/>
  <c r="F18" i="3"/>
  <c r="E19" i="3"/>
  <c r="F19" i="3"/>
  <c r="E20" i="3"/>
  <c r="F20" i="3"/>
  <c r="E21" i="3"/>
  <c r="F21" i="3" s="1"/>
  <c r="E22" i="3"/>
  <c r="F22" i="3"/>
  <c r="E23" i="3"/>
  <c r="F23" i="3"/>
  <c r="H18" i="3"/>
  <c r="I18" i="3" s="1"/>
  <c r="H19" i="3"/>
  <c r="H20" i="3"/>
  <c r="I20" i="3" s="1"/>
  <c r="H21" i="3"/>
  <c r="I21" i="3"/>
  <c r="H22" i="3"/>
  <c r="I22" i="3" s="1"/>
  <c r="H23" i="3"/>
  <c r="I23" i="3" s="1"/>
  <c r="H24" i="3"/>
  <c r="I24" i="3" s="1"/>
  <c r="H25" i="3"/>
  <c r="I25" i="3" s="1"/>
  <c r="C2" i="3"/>
  <c r="J2" i="3"/>
  <c r="C18" i="29"/>
  <c r="D18" i="29"/>
  <c r="C24" i="1"/>
  <c r="D24" i="1"/>
  <c r="C25" i="1"/>
  <c r="D25" i="1"/>
  <c r="C18" i="1"/>
  <c r="D18" i="1"/>
  <c r="G18" i="1"/>
  <c r="C19" i="1"/>
  <c r="D19" i="1"/>
  <c r="G19" i="1"/>
  <c r="C20" i="1"/>
  <c r="D20" i="1"/>
  <c r="G20" i="1"/>
  <c r="C21" i="1"/>
  <c r="D21" i="1"/>
  <c r="G21" i="1"/>
  <c r="C22" i="1"/>
  <c r="D22" i="1"/>
  <c r="G22" i="1"/>
  <c r="C23" i="1"/>
  <c r="E23" i="1" s="1"/>
  <c r="F23" i="1" s="1"/>
  <c r="D23" i="1"/>
  <c r="G23" i="1"/>
  <c r="G24" i="1"/>
  <c r="E18" i="72"/>
  <c r="F18" i="72" s="1"/>
  <c r="E19" i="72"/>
  <c r="F19" i="72" s="1"/>
  <c r="E20" i="72"/>
  <c r="F20" i="72" s="1"/>
  <c r="E21" i="72"/>
  <c r="F21" i="72" s="1"/>
  <c r="E22" i="72"/>
  <c r="F22" i="72" s="1"/>
  <c r="E23" i="72"/>
  <c r="F23" i="72" s="1"/>
  <c r="E24" i="72"/>
  <c r="F24" i="72" s="1"/>
  <c r="E25" i="72"/>
  <c r="F25" i="72" s="1"/>
  <c r="H18" i="72"/>
  <c r="H18" i="1" s="1"/>
  <c r="H19" i="72"/>
  <c r="I19" i="72" s="1"/>
  <c r="H20" i="72"/>
  <c r="I20" i="72"/>
  <c r="H21" i="72"/>
  <c r="I21" i="72" s="1"/>
  <c r="H22" i="72"/>
  <c r="H22" i="1" s="1"/>
  <c r="H23" i="72"/>
  <c r="I23" i="72" s="1"/>
  <c r="H24" i="72"/>
  <c r="H25" i="72"/>
  <c r="I25" i="72" s="1"/>
  <c r="C16" i="30"/>
  <c r="D16" i="30"/>
  <c r="C16" i="29"/>
  <c r="D16" i="29"/>
  <c r="C17" i="29"/>
  <c r="D17" i="29"/>
  <c r="C16" i="1"/>
  <c r="D16" i="1"/>
  <c r="G16" i="1"/>
  <c r="C17" i="1"/>
  <c r="D17" i="1"/>
  <c r="G17" i="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H17" i="19"/>
  <c r="I17" i="19" s="1"/>
  <c r="E17" i="19"/>
  <c r="F17" i="19" s="1"/>
  <c r="H16" i="19"/>
  <c r="I16" i="19" s="1"/>
  <c r="E16" i="19"/>
  <c r="F16" i="19" s="1"/>
  <c r="H17" i="20"/>
  <c r="I17" i="20" s="1"/>
  <c r="E17" i="20"/>
  <c r="F17" i="20" s="1"/>
  <c r="H16" i="20"/>
  <c r="I16" i="20" s="1"/>
  <c r="E16" i="20"/>
  <c r="F16" i="20"/>
  <c r="H17" i="21"/>
  <c r="E17" i="21"/>
  <c r="F17" i="21"/>
  <c r="H16" i="21"/>
  <c r="E16" i="21"/>
  <c r="F16" i="21"/>
  <c r="H17" i="4"/>
  <c r="I17" i="4"/>
  <c r="E17" i="4"/>
  <c r="F17" i="4"/>
  <c r="H16" i="4"/>
  <c r="I16" i="4" s="1"/>
  <c r="E16" i="4"/>
  <c r="F16" i="4"/>
  <c r="E16" i="3"/>
  <c r="F16" i="3"/>
  <c r="H16" i="3"/>
  <c r="I16" i="3" s="1"/>
  <c r="E17" i="3"/>
  <c r="F17" i="3" s="1"/>
  <c r="H17" i="3"/>
  <c r="I17" i="3"/>
  <c r="E16" i="72"/>
  <c r="F16" i="72" s="1"/>
  <c r="H16" i="72"/>
  <c r="E17" i="72"/>
  <c r="F17" i="72" s="1"/>
  <c r="H17" i="72"/>
  <c r="I17" i="72" s="1"/>
  <c r="E15" i="72"/>
  <c r="F15" i="72"/>
  <c r="E14" i="72"/>
  <c r="F14" i="72" s="1"/>
  <c r="E13" i="72"/>
  <c r="F13" i="72" s="1"/>
  <c r="E12" i="72"/>
  <c r="F12" i="72" s="1"/>
  <c r="E11" i="72"/>
  <c r="F11" i="72" s="1"/>
  <c r="E10" i="72"/>
  <c r="F10" i="72" s="1"/>
  <c r="E9" i="72"/>
  <c r="F9" i="72" s="1"/>
  <c r="E8" i="72"/>
  <c r="F8" i="72" s="1"/>
  <c r="E7" i="72"/>
  <c r="F7" i="72" s="1"/>
  <c r="E6" i="72"/>
  <c r="F6" i="72" s="1"/>
  <c r="F5" i="72"/>
  <c r="F4" i="72"/>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c r="E5" i="3"/>
  <c r="F5" i="3"/>
  <c r="H5" i="3"/>
  <c r="E6" i="3"/>
  <c r="F6" i="3" s="1"/>
  <c r="H6" i="3"/>
  <c r="I6" i="3"/>
  <c r="E7" i="3"/>
  <c r="F7" i="3"/>
  <c r="H7" i="3"/>
  <c r="I7" i="3"/>
  <c r="E8" i="3"/>
  <c r="F8" i="3" s="1"/>
  <c r="H8" i="3"/>
  <c r="I8" i="3" s="1"/>
  <c r="E9" i="3"/>
  <c r="F9" i="3"/>
  <c r="H9" i="3"/>
  <c r="I9" i="3" s="1"/>
  <c r="E10" i="3"/>
  <c r="F10" i="3" s="1"/>
  <c r="H10" i="3"/>
  <c r="I10" i="3" s="1"/>
  <c r="E11" i="3"/>
  <c r="F11" i="3"/>
  <c r="H11" i="3"/>
  <c r="I11" i="3"/>
  <c r="E12" i="3"/>
  <c r="F12" i="3" s="1"/>
  <c r="H12" i="3"/>
  <c r="I12" i="3"/>
  <c r="E13" i="3"/>
  <c r="F13" i="3" s="1"/>
  <c r="H13" i="3"/>
  <c r="I13" i="3" s="1"/>
  <c r="E14" i="3"/>
  <c r="F14" i="3" s="1"/>
  <c r="H14" i="3"/>
  <c r="I14" i="3"/>
  <c r="E15" i="3"/>
  <c r="F15" i="3" s="1"/>
  <c r="H15" i="3"/>
  <c r="I15" i="3"/>
  <c r="G6" i="1"/>
  <c r="G7" i="1"/>
  <c r="G8" i="1"/>
  <c r="G9" i="1"/>
  <c r="G10" i="1"/>
  <c r="G11" i="1"/>
  <c r="G12" i="1"/>
  <c r="G13" i="1"/>
  <c r="G14" i="1"/>
  <c r="G15" i="1"/>
  <c r="G5" i="1"/>
  <c r="B4" i="34" a="1"/>
  <c r="B4" i="34"/>
  <c r="A4" i="34" a="1"/>
  <c r="A4" i="34"/>
  <c r="A1" i="34" a="1"/>
  <c r="A1" i="34"/>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s="1"/>
  <c r="A1" i="29" a="1"/>
  <c r="A1" i="29"/>
  <c r="B4" i="18" a="1"/>
  <c r="B4" i="18"/>
  <c r="A4" i="18" a="1"/>
  <c r="A4" i="18" s="1"/>
  <c r="A1" i="18" a="1"/>
  <c r="A1" i="18"/>
  <c r="C15" i="1"/>
  <c r="C14" i="1"/>
  <c r="C13" i="1"/>
  <c r="C12" i="1"/>
  <c r="C11" i="1"/>
  <c r="C10" i="1"/>
  <c r="C9" i="1"/>
  <c r="C8" i="1"/>
  <c r="C7" i="1"/>
  <c r="C6" i="1"/>
  <c r="C5" i="1"/>
  <c r="C4" i="1"/>
  <c r="D6" i="1"/>
  <c r="E6" i="1" s="1"/>
  <c r="F6" i="1" s="1"/>
  <c r="D7" i="1"/>
  <c r="D8" i="1"/>
  <c r="D9" i="1"/>
  <c r="D10" i="1"/>
  <c r="D11" i="1"/>
  <c r="D12" i="1"/>
  <c r="D13" i="1"/>
  <c r="D14" i="1"/>
  <c r="E14" i="1" s="1"/>
  <c r="F14" i="1" s="1"/>
  <c r="D15" i="1"/>
  <c r="D5" i="1"/>
  <c r="D4" i="1"/>
  <c r="B4" i="1" a="1"/>
  <c r="B4" i="1"/>
  <c r="A4" i="1" a="1"/>
  <c r="A4" i="1" s="1"/>
  <c r="A1" i="1" a="1"/>
  <c r="A1" i="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E7" i="32"/>
  <c r="F7" i="32" s="1"/>
  <c r="H6" i="32"/>
  <c r="I6" i="32" s="1"/>
  <c r="E6" i="32"/>
  <c r="F6" i="32" s="1"/>
  <c r="H5" i="32"/>
  <c r="I5" i="32" s="1"/>
  <c r="E5" i="32"/>
  <c r="F5" i="32" s="1"/>
  <c r="H4" i="32"/>
  <c r="I4" i="32" s="1"/>
  <c r="E4" i="32"/>
  <c r="F4" i="32" s="1"/>
  <c r="G2" i="32"/>
  <c r="D2" i="32"/>
  <c r="C2" i="32"/>
  <c r="A1" i="32" a="1"/>
  <c r="A1" i="32" s="1"/>
  <c r="H15" i="31"/>
  <c r="E15" i="31"/>
  <c r="F15" i="31" s="1"/>
  <c r="H14" i="31"/>
  <c r="E14" i="31"/>
  <c r="F14" i="31" s="1"/>
  <c r="H13" i="31"/>
  <c r="I13" i="31" s="1"/>
  <c r="E13" i="31"/>
  <c r="F13" i="31" s="1"/>
  <c r="H12" i="31"/>
  <c r="E12" i="31"/>
  <c r="F12" i="31" s="1"/>
  <c r="H11" i="3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c r="E6" i="28"/>
  <c r="F6" i="28" s="1"/>
  <c r="H5" i="28"/>
  <c r="I5" i="28" s="1"/>
  <c r="E5" i="28"/>
  <c r="F5" i="28" s="1"/>
  <c r="H4" i="28"/>
  <c r="I4" i="28" s="1"/>
  <c r="E4" i="28"/>
  <c r="F4" i="28"/>
  <c r="B4" i="28" a="1"/>
  <c r="B4" i="28" s="1"/>
  <c r="A4" i="28" a="1"/>
  <c r="A4" i="28" s="1"/>
  <c r="G2" i="28"/>
  <c r="D2" i="28"/>
  <c r="C2" i="28"/>
  <c r="J2" i="28" s="1"/>
  <c r="A1" i="28" a="1"/>
  <c r="A1" i="28"/>
  <c r="H15" i="27"/>
  <c r="I15" i="27" s="1"/>
  <c r="E15" i="27"/>
  <c r="F15" i="27" s="1"/>
  <c r="H14" i="27"/>
  <c r="I14" i="27" s="1"/>
  <c r="E14" i="27"/>
  <c r="F14" i="27" s="1"/>
  <c r="H13" i="27"/>
  <c r="I13" i="27" s="1"/>
  <c r="E13" i="27"/>
  <c r="F13" i="27" s="1"/>
  <c r="H12" i="27"/>
  <c r="I12" i="27"/>
  <c r="E12" i="27"/>
  <c r="F12" i="27" s="1"/>
  <c r="H11" i="27"/>
  <c r="I11" i="27" s="1"/>
  <c r="E11" i="27"/>
  <c r="F11" i="27" s="1"/>
  <c r="G2" i="27"/>
  <c r="D2" i="27"/>
  <c r="C2" i="27"/>
  <c r="J2" i="27" s="1"/>
  <c r="A1" i="27" a="1"/>
  <c r="A1" i="27"/>
  <c r="H15" i="26"/>
  <c r="I15" i="26" s="1"/>
  <c r="E15" i="26"/>
  <c r="F15" i="26" s="1"/>
  <c r="H14" i="26"/>
  <c r="I14" i="26" s="1"/>
  <c r="E14" i="26"/>
  <c r="F14" i="26" s="1"/>
  <c r="H13" i="26"/>
  <c r="E13" i="26"/>
  <c r="F13" i="26" s="1"/>
  <c r="H12" i="26"/>
  <c r="I12" i="26" s="1"/>
  <c r="E12" i="26"/>
  <c r="F12" i="26" s="1"/>
  <c r="H11" i="26"/>
  <c r="I11" i="26" s="1"/>
  <c r="E11" i="26"/>
  <c r="F11" i="26" s="1"/>
  <c r="H10" i="26"/>
  <c r="I10" i="26" s="1"/>
  <c r="E10" i="26"/>
  <c r="F10" i="26" s="1"/>
  <c r="H9" i="26"/>
  <c r="I9" i="26" s="1"/>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s="1"/>
  <c r="H11" i="19"/>
  <c r="I11" i="19" s="1"/>
  <c r="E11" i="19"/>
  <c r="F11" i="19" s="1"/>
  <c r="H10" i="19"/>
  <c r="I10" i="19" s="1"/>
  <c r="E10" i="19"/>
  <c r="F10" i="19"/>
  <c r="H9" i="19"/>
  <c r="I9" i="19" s="1"/>
  <c r="E9" i="19"/>
  <c r="F9" i="19" s="1"/>
  <c r="H8" i="19"/>
  <c r="I8" i="19" s="1"/>
  <c r="E8" i="19"/>
  <c r="F8" i="19" s="1"/>
  <c r="H7" i="19"/>
  <c r="I7" i="19" s="1"/>
  <c r="E7" i="19"/>
  <c r="F7" i="19"/>
  <c r="H6" i="19"/>
  <c r="I6" i="19" s="1"/>
  <c r="E6" i="19"/>
  <c r="F6" i="19" s="1"/>
  <c r="H5" i="19"/>
  <c r="I5" i="19" s="1"/>
  <c r="E5" i="19"/>
  <c r="F5" i="19" s="1"/>
  <c r="H4" i="19"/>
  <c r="I4" i="19" s="1"/>
  <c r="E4" i="19"/>
  <c r="F4" i="19" s="1"/>
  <c r="G2" i="19"/>
  <c r="D2" i="19"/>
  <c r="C2" i="19"/>
  <c r="J2" i="19" s="1"/>
  <c r="A1" i="19" a="1"/>
  <c r="A1" i="19"/>
  <c r="H15" i="20"/>
  <c r="I15" i="20" s="1"/>
  <c r="E15" i="20"/>
  <c r="F15" i="20" s="1"/>
  <c r="H14" i="20"/>
  <c r="I14" i="20" s="1"/>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s="1"/>
  <c r="E7" i="20"/>
  <c r="F7" i="20"/>
  <c r="H6" i="20"/>
  <c r="I6" i="20" s="1"/>
  <c r="E6" i="20"/>
  <c r="F6" i="20" s="1"/>
  <c r="H5" i="20"/>
  <c r="I5" i="20"/>
  <c r="E5" i="20"/>
  <c r="F5" i="20" s="1"/>
  <c r="H4" i="20"/>
  <c r="I4" i="20" s="1"/>
  <c r="E4" i="20"/>
  <c r="F4" i="20" s="1"/>
  <c r="G2" i="20"/>
  <c r="D2" i="20"/>
  <c r="C2" i="20"/>
  <c r="J2" i="20" s="1"/>
  <c r="A1" i="20" a="1"/>
  <c r="A1" i="20"/>
  <c r="H15" i="21"/>
  <c r="I15" i="21" s="1"/>
  <c r="E15" i="21"/>
  <c r="F15" i="21"/>
  <c r="H14" i="21"/>
  <c r="I14" i="21" s="1"/>
  <c r="E14" i="21"/>
  <c r="F14" i="21"/>
  <c r="H13" i="21"/>
  <c r="E13" i="21"/>
  <c r="F13" i="21" s="1"/>
  <c r="H12" i="21"/>
  <c r="I12" i="21"/>
  <c r="E12" i="21"/>
  <c r="F12" i="21"/>
  <c r="H11" i="21"/>
  <c r="I11" i="21"/>
  <c r="E11" i="21"/>
  <c r="F11" i="21" s="1"/>
  <c r="H10" i="21"/>
  <c r="E10" i="21"/>
  <c r="F10" i="21" s="1"/>
  <c r="H9" i="21"/>
  <c r="I9" i="21"/>
  <c r="E9" i="21"/>
  <c r="F9" i="21"/>
  <c r="H8" i="21"/>
  <c r="I8" i="21" s="1"/>
  <c r="E8" i="21"/>
  <c r="F8" i="21" s="1"/>
  <c r="H7" i="21"/>
  <c r="I7" i="21" s="1"/>
  <c r="E7" i="21"/>
  <c r="F7" i="21"/>
  <c r="H6" i="21"/>
  <c r="I6" i="21" s="1"/>
  <c r="E6" i="21"/>
  <c r="F6" i="21"/>
  <c r="H5" i="21"/>
  <c r="I5" i="21" s="1"/>
  <c r="E5" i="21"/>
  <c r="F5" i="21"/>
  <c r="H4" i="21"/>
  <c r="E4" i="21"/>
  <c r="F4" i="21" s="1"/>
  <c r="G2" i="21"/>
  <c r="D2" i="21"/>
  <c r="C2" i="21"/>
  <c r="A1" i="21" a="1"/>
  <c r="A1" i="21"/>
  <c r="H15" i="4"/>
  <c r="I15" i="4"/>
  <c r="E15" i="4"/>
  <c r="F15" i="4"/>
  <c r="H14" i="4"/>
  <c r="I14" i="4" s="1"/>
  <c r="E14" i="4"/>
  <c r="F14" i="4"/>
  <c r="H13" i="4"/>
  <c r="I13" i="4" s="1"/>
  <c r="E13" i="4"/>
  <c r="F13" i="4"/>
  <c r="H12" i="4"/>
  <c r="I12" i="4" s="1"/>
  <c r="E12" i="4"/>
  <c r="F12" i="4"/>
  <c r="H11" i="4"/>
  <c r="E11" i="4"/>
  <c r="F11" i="4" s="1"/>
  <c r="H10" i="4"/>
  <c r="I10" i="4"/>
  <c r="F10" i="4"/>
  <c r="H9" i="4"/>
  <c r="I9" i="4" s="1"/>
  <c r="F9" i="4"/>
  <c r="H8" i="4"/>
  <c r="I8" i="4" s="1"/>
  <c r="E8" i="4"/>
  <c r="F8" i="4" s="1"/>
  <c r="H7" i="4"/>
  <c r="I7" i="4" s="1"/>
  <c r="E7" i="4"/>
  <c r="F7" i="4" s="1"/>
  <c r="H6" i="4"/>
  <c r="I6" i="4" s="1"/>
  <c r="E6" i="4"/>
  <c r="F6" i="4" s="1"/>
  <c r="H5" i="4"/>
  <c r="I5" i="4"/>
  <c r="E5" i="4"/>
  <c r="F5" i="4"/>
  <c r="H4" i="4"/>
  <c r="E4" i="4"/>
  <c r="F4" i="4" s="1"/>
  <c r="G2" i="4"/>
  <c r="D2" i="4"/>
  <c r="C2" i="4"/>
  <c r="A1" i="4" a="1"/>
  <c r="A1" i="4"/>
  <c r="G2" i="3"/>
  <c r="H2" i="3" s="1"/>
  <c r="I2" i="3" s="1"/>
  <c r="D2" i="3"/>
  <c r="E2" i="3" s="1"/>
  <c r="F2" i="3" s="1"/>
  <c r="A1" i="3" a="1"/>
  <c r="A1" i="3"/>
  <c r="H6" i="72"/>
  <c r="I6" i="72" s="1"/>
  <c r="H7" i="72"/>
  <c r="I7" i="72" s="1"/>
  <c r="H8" i="72"/>
  <c r="H9" i="72"/>
  <c r="I9" i="72" s="1"/>
  <c r="H10" i="72"/>
  <c r="I10" i="72" s="1"/>
  <c r="H11" i="72"/>
  <c r="I11" i="72" s="1"/>
  <c r="H12" i="72"/>
  <c r="I12" i="72" s="1"/>
  <c r="H13" i="72"/>
  <c r="H14" i="72"/>
  <c r="I14" i="72" s="1"/>
  <c r="H15" i="72"/>
  <c r="I15" i="72" s="1"/>
  <c r="I5" i="72"/>
  <c r="I4" i="72"/>
  <c r="G2" i="72"/>
  <c r="D2" i="72"/>
  <c r="C2" i="72"/>
  <c r="A1" i="72" a="1"/>
  <c r="A1" i="72" s="1"/>
  <c r="E45" i="1"/>
  <c r="F45" i="1" s="1"/>
  <c r="I41" i="3"/>
  <c r="E28" i="1"/>
  <c r="F28" i="1" s="1"/>
  <c r="E52" i="1"/>
  <c r="F52" i="1" s="1"/>
  <c r="H20" i="1"/>
  <c r="E47" i="1"/>
  <c r="F47" i="1" s="1"/>
  <c r="H16" i="1"/>
  <c r="I16" i="72"/>
  <c r="H34" i="1"/>
  <c r="I34" i="72"/>
  <c r="I31" i="72"/>
  <c r="E63" i="1"/>
  <c r="F63" i="1" s="1"/>
  <c r="E60" i="1"/>
  <c r="F60" i="1" s="1"/>
  <c r="E55" i="1"/>
  <c r="F55" i="1" s="1"/>
  <c r="E50" i="1"/>
  <c r="F50" i="1" s="1"/>
  <c r="E44" i="1"/>
  <c r="F44" i="1"/>
  <c r="E39" i="1"/>
  <c r="F39" i="1" s="1"/>
  <c r="E31" i="1"/>
  <c r="F31" i="1"/>
  <c r="E29" i="1"/>
  <c r="F29" i="1" s="1"/>
  <c r="E26" i="1"/>
  <c r="F26" i="1"/>
  <c r="H44" i="1"/>
  <c r="I44" i="1" s="1"/>
  <c r="I11" i="4"/>
  <c r="E66" i="1"/>
  <c r="F66" i="1" s="1"/>
  <c r="H62" i="1"/>
  <c r="I62" i="1" s="1"/>
  <c r="H42" i="1"/>
  <c r="I42" i="1" s="1"/>
  <c r="J2" i="4"/>
  <c r="E68" i="1"/>
  <c r="F68" i="1"/>
  <c r="D33" i="34"/>
  <c r="E52" i="29"/>
  <c r="F52" i="29" s="1"/>
  <c r="E46" i="29"/>
  <c r="F46" i="29" s="1"/>
  <c r="E30" i="29"/>
  <c r="F30" i="29" s="1"/>
  <c r="E33" i="29"/>
  <c r="F33" i="29" s="1"/>
  <c r="E44" i="29"/>
  <c r="F44" i="29" s="1"/>
  <c r="E42" i="1" l="1"/>
  <c r="F42" i="1" s="1"/>
  <c r="E27" i="1"/>
  <c r="F27" i="1" s="1"/>
  <c r="I51" i="1"/>
  <c r="H67" i="1"/>
  <c r="I67" i="1" s="1"/>
  <c r="I22" i="1"/>
  <c r="H49" i="1"/>
  <c r="I49" i="1" s="1"/>
  <c r="I16" i="1"/>
  <c r="E20" i="1"/>
  <c r="F20" i="1" s="1"/>
  <c r="E62" i="1"/>
  <c r="F62" i="1" s="1"/>
  <c r="E15" i="1"/>
  <c r="F15" i="1" s="1"/>
  <c r="E7" i="1"/>
  <c r="F7" i="1" s="1"/>
  <c r="I20" i="1"/>
  <c r="E57" i="1"/>
  <c r="F57" i="1" s="1"/>
  <c r="D2" i="1"/>
  <c r="E10" i="1"/>
  <c r="F10" i="1" s="1"/>
  <c r="E11" i="1"/>
  <c r="F11" i="1" s="1"/>
  <c r="E12" i="1"/>
  <c r="F12" i="1" s="1"/>
  <c r="E13" i="1"/>
  <c r="F13" i="1" s="1"/>
  <c r="E16" i="1"/>
  <c r="F16" i="1" s="1"/>
  <c r="E19" i="1"/>
  <c r="F19" i="1" s="1"/>
  <c r="E18" i="1"/>
  <c r="F18" i="1" s="1"/>
  <c r="E25" i="1"/>
  <c r="F25" i="1" s="1"/>
  <c r="E24" i="1"/>
  <c r="F24" i="1" s="1"/>
  <c r="H50" i="1"/>
  <c r="I50" i="1" s="1"/>
  <c r="E64" i="1"/>
  <c r="F64" i="1" s="1"/>
  <c r="E61" i="1"/>
  <c r="F61" i="1" s="1"/>
  <c r="E54" i="1"/>
  <c r="F54" i="1" s="1"/>
  <c r="E53" i="1"/>
  <c r="F53" i="1" s="1"/>
  <c r="E51" i="1"/>
  <c r="F51" i="1" s="1"/>
  <c r="E46" i="1"/>
  <c r="F46" i="1" s="1"/>
  <c r="E41" i="1"/>
  <c r="F41" i="1" s="1"/>
  <c r="E36" i="1"/>
  <c r="F36" i="1" s="1"/>
  <c r="E35" i="1"/>
  <c r="F35" i="1" s="1"/>
  <c r="I34" i="1"/>
  <c r="E34" i="1"/>
  <c r="F34" i="1" s="1"/>
  <c r="E30" i="1"/>
  <c r="F30" i="1" s="1"/>
  <c r="D32" i="34"/>
  <c r="H63" i="1"/>
  <c r="I63" i="1" s="1"/>
  <c r="I53" i="1"/>
  <c r="H39" i="1"/>
  <c r="I39" i="1" s="1"/>
  <c r="E22" i="1"/>
  <c r="F22" i="1" s="1"/>
  <c r="I22" i="72"/>
  <c r="E21" i="1"/>
  <c r="F21" i="1" s="1"/>
  <c r="H21" i="1"/>
  <c r="I21" i="1" s="1"/>
  <c r="I18" i="1"/>
  <c r="E4" i="1"/>
  <c r="F4" i="1" s="1"/>
  <c r="E33" i="1"/>
  <c r="F33" i="1" s="1"/>
  <c r="G2" i="1"/>
  <c r="C2" i="1"/>
  <c r="H2" i="72"/>
  <c r="I2" i="72" s="1"/>
  <c r="E2" i="4"/>
  <c r="F2" i="4" s="1"/>
  <c r="E2" i="72"/>
  <c r="F2" i="72" s="1"/>
  <c r="H59" i="1"/>
  <c r="I59" i="1" s="1"/>
  <c r="H11" i="1"/>
  <c r="I11" i="1" s="1"/>
  <c r="H56" i="1"/>
  <c r="I56" i="1" s="1"/>
  <c r="I53" i="72"/>
  <c r="H38" i="1"/>
  <c r="I38" i="1" s="1"/>
  <c r="H57" i="1"/>
  <c r="I57" i="1" s="1"/>
  <c r="I39" i="4"/>
  <c r="H39" i="29"/>
  <c r="I39" i="29" s="1"/>
  <c r="I33" i="72"/>
  <c r="H52" i="1"/>
  <c r="I52" i="1" s="1"/>
  <c r="H58" i="1"/>
  <c r="I58" i="1" s="1"/>
  <c r="G41" i="34"/>
  <c r="H66" i="1"/>
  <c r="I66" i="1" s="1"/>
  <c r="I18" i="72"/>
  <c r="H17" i="1"/>
  <c r="I17" i="1" s="1"/>
  <c r="H7" i="1"/>
  <c r="I7" i="1" s="1"/>
  <c r="H60" i="1"/>
  <c r="I60" i="1" s="1"/>
  <c r="H41" i="1"/>
  <c r="I41" i="1" s="1"/>
  <c r="H40" i="1"/>
  <c r="I40" i="1" s="1"/>
  <c r="H26" i="1"/>
  <c r="I26" i="1" s="1"/>
  <c r="H30" i="1"/>
  <c r="I30" i="1" s="1"/>
  <c r="H43" i="1"/>
  <c r="I43" i="1" s="1"/>
  <c r="H2" i="4"/>
  <c r="I2" i="4" s="1"/>
  <c r="H47" i="1"/>
  <c r="I47" i="1" s="1"/>
  <c r="H5" i="1"/>
  <c r="I5" i="1" s="1"/>
  <c r="H6" i="1"/>
  <c r="I6" i="1" s="1"/>
  <c r="I5" i="3"/>
  <c r="I51" i="72"/>
  <c r="I50" i="3"/>
  <c r="H64" i="18"/>
  <c r="I35" i="3"/>
  <c r="H35" i="1"/>
  <c r="I35" i="1" s="1"/>
  <c r="I24" i="72"/>
  <c r="H24" i="1"/>
  <c r="I24" i="1" s="1"/>
  <c r="I61" i="72"/>
  <c r="H61" i="1"/>
  <c r="I61" i="1" s="1"/>
  <c r="E9" i="1"/>
  <c r="F9" i="1" s="1"/>
  <c r="I4" i="4"/>
  <c r="H4" i="1"/>
  <c r="I4" i="1" s="1"/>
  <c r="E8" i="1"/>
  <c r="F8" i="1" s="1"/>
  <c r="I36" i="72"/>
  <c r="H36" i="1"/>
  <c r="I36" i="1" s="1"/>
  <c r="H13" i="1"/>
  <c r="I13" i="1" s="1"/>
  <c r="I13" i="72"/>
  <c r="I19" i="3"/>
  <c r="H19" i="1"/>
  <c r="I19" i="1" s="1"/>
  <c r="H14" i="1"/>
  <c r="I14" i="1" s="1"/>
  <c r="I68" i="72"/>
  <c r="H68" i="1"/>
  <c r="I68" i="1" s="1"/>
  <c r="I64" i="3"/>
  <c r="H64" i="1"/>
  <c r="I64" i="1" s="1"/>
  <c r="I27" i="3"/>
  <c r="H27" i="1"/>
  <c r="I27" i="1" s="1"/>
  <c r="H12" i="1"/>
  <c r="I12" i="1" s="1"/>
  <c r="H37" i="1"/>
  <c r="I37" i="1" s="1"/>
  <c r="I29" i="3"/>
  <c r="H29" i="1"/>
  <c r="I29" i="1" s="1"/>
  <c r="I55" i="3"/>
  <c r="H55" i="1"/>
  <c r="I55" i="1" s="1"/>
  <c r="C67" i="34"/>
  <c r="I28" i="72"/>
  <c r="H28" i="1"/>
  <c r="I28" i="1" s="1"/>
  <c r="I48" i="3"/>
  <c r="H48" i="1"/>
  <c r="I48" i="1" s="1"/>
  <c r="H8" i="1"/>
  <c r="I8" i="1" s="1"/>
  <c r="I8" i="72"/>
  <c r="I31" i="3"/>
  <c r="H31" i="1"/>
  <c r="I31" i="1" s="1"/>
  <c r="E5" i="1"/>
  <c r="F5" i="1" s="1"/>
  <c r="I25" i="4"/>
  <c r="H25" i="1"/>
  <c r="I25" i="1" s="1"/>
  <c r="I54" i="72"/>
  <c r="H54" i="1"/>
  <c r="I54" i="1" s="1"/>
  <c r="E56" i="1"/>
  <c r="F56" i="1" s="1"/>
  <c r="E48" i="1"/>
  <c r="F48" i="1" s="1"/>
  <c r="E38" i="1"/>
  <c r="F38" i="1" s="1"/>
  <c r="E17" i="1"/>
  <c r="F17" i="1" s="1"/>
  <c r="H26" i="18"/>
  <c r="I26" i="18" s="1"/>
  <c r="D23" i="34"/>
  <c r="H45" i="1"/>
  <c r="I45" i="1" s="1"/>
  <c r="H55" i="29"/>
  <c r="I55" i="29" s="1"/>
  <c r="E58" i="1"/>
  <c r="F58" i="1" s="1"/>
  <c r="H9" i="18"/>
  <c r="J2" i="72"/>
  <c r="H65" i="1"/>
  <c r="I65" i="1" s="1"/>
  <c r="H23" i="1"/>
  <c r="I23" i="1" s="1"/>
  <c r="H32" i="1"/>
  <c r="I32" i="1" s="1"/>
  <c r="H46" i="1"/>
  <c r="I46" i="1" s="1"/>
  <c r="H9" i="1"/>
  <c r="I9" i="1" s="1"/>
  <c r="H15" i="1"/>
  <c r="I15" i="1" s="1"/>
  <c r="H10" i="1"/>
  <c r="I10" i="1" s="1"/>
  <c r="H5" i="18"/>
  <c r="H30" i="29"/>
  <c r="I30" i="29" s="1"/>
  <c r="H20" i="18"/>
  <c r="I20" i="18" s="1"/>
  <c r="H9" i="29"/>
  <c r="H16" i="18"/>
  <c r="I68" i="27"/>
  <c r="H68" i="29"/>
  <c r="I68" i="29" s="1"/>
  <c r="H38" i="29"/>
  <c r="I38" i="29" s="1"/>
  <c r="H34" i="29"/>
  <c r="I34" i="29" s="1"/>
  <c r="H51" i="30"/>
  <c r="I51" i="30" s="1"/>
  <c r="D52" i="34"/>
  <c r="D44" i="34"/>
  <c r="D36" i="34"/>
  <c r="D20" i="34"/>
  <c r="C52" i="34"/>
  <c r="E52" i="34" s="1"/>
  <c r="F52" i="34" s="1"/>
  <c r="E18" i="29"/>
  <c r="F18" i="29" s="1"/>
  <c r="D62" i="34"/>
  <c r="E49" i="30"/>
  <c r="F49" i="30" s="1"/>
  <c r="C33" i="34"/>
  <c r="E33" i="34" s="1"/>
  <c r="F33" i="34" s="1"/>
  <c r="C69" i="34"/>
  <c r="D59" i="34"/>
  <c r="D43" i="34"/>
  <c r="D69" i="34"/>
  <c r="D5" i="34"/>
  <c r="D13" i="34"/>
  <c r="I19" i="26"/>
  <c r="H19" i="29"/>
  <c r="I20" i="26"/>
  <c r="H20" i="29"/>
  <c r="I20" i="29" s="1"/>
  <c r="I21" i="26"/>
  <c r="H21" i="29"/>
  <c r="I21" i="29" s="1"/>
  <c r="I22" i="26"/>
  <c r="H22" i="29"/>
  <c r="I22" i="29" s="1"/>
  <c r="I23" i="26"/>
  <c r="H23" i="29"/>
  <c r="I23" i="29" s="1"/>
  <c r="I24" i="26"/>
  <c r="H24" i="29"/>
  <c r="I24" i="29" s="1"/>
  <c r="I25" i="26"/>
  <c r="H25" i="29"/>
  <c r="I25" i="29" s="1"/>
  <c r="E4" i="29"/>
  <c r="F4" i="29" s="1"/>
  <c r="D2" i="29"/>
  <c r="I67" i="26"/>
  <c r="H67" i="29"/>
  <c r="I67" i="29" s="1"/>
  <c r="I66" i="26"/>
  <c r="H66" i="29"/>
  <c r="I66" i="29" s="1"/>
  <c r="I65" i="26"/>
  <c r="H65" i="29"/>
  <c r="I65" i="29" s="1"/>
  <c r="I64" i="26"/>
  <c r="H64" i="29"/>
  <c r="I64" i="29" s="1"/>
  <c r="I63" i="26"/>
  <c r="H63" i="29"/>
  <c r="I63" i="29" s="1"/>
  <c r="I62" i="26"/>
  <c r="H62" i="29"/>
  <c r="I62" i="29" s="1"/>
  <c r="I61" i="26"/>
  <c r="H61" i="29"/>
  <c r="I61" i="29" s="1"/>
  <c r="I60" i="26"/>
  <c r="H60" i="29"/>
  <c r="I60" i="29" s="1"/>
  <c r="I59" i="26"/>
  <c r="H59" i="29"/>
  <c r="I59" i="29" s="1"/>
  <c r="I58" i="26"/>
  <c r="H58" i="29"/>
  <c r="I58" i="29" s="1"/>
  <c r="I57" i="26"/>
  <c r="H57" i="29"/>
  <c r="I57" i="29" s="1"/>
  <c r="I56" i="26"/>
  <c r="H56" i="29"/>
  <c r="I56" i="29" s="1"/>
  <c r="I54" i="26"/>
  <c r="H54" i="29"/>
  <c r="I54" i="29" s="1"/>
  <c r="I53" i="26"/>
  <c r="H53" i="29"/>
  <c r="I53" i="29" s="1"/>
  <c r="I52" i="26"/>
  <c r="H52" i="29"/>
  <c r="I52" i="29" s="1"/>
  <c r="I51" i="26"/>
  <c r="H51" i="29"/>
  <c r="I51" i="29" s="1"/>
  <c r="I50" i="26"/>
  <c r="H50" i="29"/>
  <c r="I50" i="29" s="1"/>
  <c r="I49" i="26"/>
  <c r="H49" i="29"/>
  <c r="I49" i="29" s="1"/>
  <c r="I48" i="26"/>
  <c r="H48" i="29"/>
  <c r="I48" i="29" s="1"/>
  <c r="I47" i="26"/>
  <c r="H47" i="29"/>
  <c r="I47" i="29" s="1"/>
  <c r="I46" i="26"/>
  <c r="H46" i="29"/>
  <c r="I46" i="29" s="1"/>
  <c r="I45" i="26"/>
  <c r="H45" i="29"/>
  <c r="I45" i="29" s="1"/>
  <c r="I44" i="26"/>
  <c r="H44" i="29"/>
  <c r="I44" i="29" s="1"/>
  <c r="I43" i="26"/>
  <c r="H43" i="29"/>
  <c r="I43" i="29" s="1"/>
  <c r="I42" i="26"/>
  <c r="H42" i="29"/>
  <c r="I42" i="29" s="1"/>
  <c r="I41" i="26"/>
  <c r="H41" i="29"/>
  <c r="I41" i="29" s="1"/>
  <c r="I40" i="26"/>
  <c r="H40" i="29"/>
  <c r="I40" i="29" s="1"/>
  <c r="I37" i="26"/>
  <c r="H37" i="29"/>
  <c r="I37" i="29" s="1"/>
  <c r="I36" i="26"/>
  <c r="H36" i="29"/>
  <c r="I36" i="29" s="1"/>
  <c r="I35" i="26"/>
  <c r="H35" i="29"/>
  <c r="I35" i="29" s="1"/>
  <c r="I33" i="26"/>
  <c r="H33" i="29"/>
  <c r="I33" i="29" s="1"/>
  <c r="I32" i="26"/>
  <c r="H32" i="29"/>
  <c r="I32" i="29" s="1"/>
  <c r="I31" i="26"/>
  <c r="H31" i="29"/>
  <c r="I31" i="29" s="1"/>
  <c r="I29" i="26"/>
  <c r="H29" i="29"/>
  <c r="I29" i="29" s="1"/>
  <c r="I28" i="26"/>
  <c r="H28" i="29"/>
  <c r="I28" i="29" s="1"/>
  <c r="I27" i="26"/>
  <c r="H27" i="29"/>
  <c r="I27" i="29" s="1"/>
  <c r="I26" i="26"/>
  <c r="H26" i="29"/>
  <c r="I26" i="29" s="1"/>
  <c r="H30" i="30"/>
  <c r="E2" i="33"/>
  <c r="F2" i="33" s="1"/>
  <c r="H36" i="30"/>
  <c r="I36" i="30" s="1"/>
  <c r="H63" i="30"/>
  <c r="I63" i="30" s="1"/>
  <c r="H62" i="30"/>
  <c r="H53" i="30"/>
  <c r="I53" i="30" s="1"/>
  <c r="H38" i="30"/>
  <c r="I38" i="30" s="1"/>
  <c r="H19" i="30"/>
  <c r="I19" i="30" s="1"/>
  <c r="H15" i="30"/>
  <c r="I15" i="30" s="1"/>
  <c r="J2" i="33"/>
  <c r="E27" i="30"/>
  <c r="F27" i="30" s="1"/>
  <c r="H2" i="33"/>
  <c r="I2" i="33" s="1"/>
  <c r="E6" i="30"/>
  <c r="F6" i="30" s="1"/>
  <c r="H61" i="30"/>
  <c r="I61" i="30" s="1"/>
  <c r="H37" i="30"/>
  <c r="I37" i="30" s="1"/>
  <c r="H47" i="30"/>
  <c r="I47" i="30" s="1"/>
  <c r="H23" i="30"/>
  <c r="H58" i="30"/>
  <c r="I58" i="30" s="1"/>
  <c r="H46" i="30"/>
  <c r="I46" i="30" s="1"/>
  <c r="H22" i="30"/>
  <c r="I22" i="30" s="1"/>
  <c r="H44" i="30"/>
  <c r="I44" i="30" s="1"/>
  <c r="H20" i="30"/>
  <c r="I20" i="30" s="1"/>
  <c r="H28" i="30"/>
  <c r="I28" i="30" s="1"/>
  <c r="H39" i="30"/>
  <c r="I39" i="30" s="1"/>
  <c r="E2" i="32"/>
  <c r="F2" i="32" s="1"/>
  <c r="H25" i="30"/>
  <c r="I25" i="30" s="1"/>
  <c r="H48" i="30"/>
  <c r="E20" i="30"/>
  <c r="F20" i="30" s="1"/>
  <c r="H45" i="30"/>
  <c r="I45" i="30" s="1"/>
  <c r="H33" i="30"/>
  <c r="I33" i="30" s="1"/>
  <c r="H21" i="30"/>
  <c r="I21" i="30" s="1"/>
  <c r="H11" i="30"/>
  <c r="I11" i="30" s="1"/>
  <c r="G20" i="34"/>
  <c r="E58" i="30"/>
  <c r="F58" i="30" s="1"/>
  <c r="I7" i="32"/>
  <c r="H7" i="30"/>
  <c r="I7" i="30" s="1"/>
  <c r="E21" i="30"/>
  <c r="F21" i="30" s="1"/>
  <c r="E57" i="30"/>
  <c r="F57" i="30" s="1"/>
  <c r="E23" i="30"/>
  <c r="F23" i="30" s="1"/>
  <c r="E45" i="30"/>
  <c r="F45" i="30" s="1"/>
  <c r="J2" i="32"/>
  <c r="H17" i="30"/>
  <c r="H14" i="30"/>
  <c r="I14" i="30" s="1"/>
  <c r="H12" i="30"/>
  <c r="I12" i="30" s="1"/>
  <c r="H10" i="30"/>
  <c r="I10" i="30" s="1"/>
  <c r="H6" i="30"/>
  <c r="I6" i="30" s="1"/>
  <c r="E31" i="30"/>
  <c r="F31" i="30" s="1"/>
  <c r="E29" i="30"/>
  <c r="F29" i="30" s="1"/>
  <c r="H2" i="32"/>
  <c r="I2" i="32" s="1"/>
  <c r="I17" i="30"/>
  <c r="E36" i="30"/>
  <c r="F36" i="30" s="1"/>
  <c r="E41" i="30"/>
  <c r="F41" i="30" s="1"/>
  <c r="E25" i="30"/>
  <c r="F25" i="30" s="1"/>
  <c r="E66" i="30"/>
  <c r="F66" i="30" s="1"/>
  <c r="E60" i="30"/>
  <c r="F60" i="30" s="1"/>
  <c r="E18" i="30"/>
  <c r="F18" i="30" s="1"/>
  <c r="D17" i="34"/>
  <c r="C17" i="34"/>
  <c r="I46" i="31"/>
  <c r="E5" i="30"/>
  <c r="F5" i="30" s="1"/>
  <c r="E13" i="30"/>
  <c r="F13" i="30" s="1"/>
  <c r="I45" i="31"/>
  <c r="E42" i="30"/>
  <c r="F42" i="30" s="1"/>
  <c r="I23" i="30"/>
  <c r="H4" i="30"/>
  <c r="I4" i="30" s="1"/>
  <c r="E8" i="30"/>
  <c r="F8" i="30" s="1"/>
  <c r="E37" i="30"/>
  <c r="F37" i="30" s="1"/>
  <c r="H16" i="30"/>
  <c r="I16" i="30" s="1"/>
  <c r="I15" i="31"/>
  <c r="E9" i="30"/>
  <c r="F9" i="30" s="1"/>
  <c r="E24" i="30"/>
  <c r="F24" i="30" s="1"/>
  <c r="D24" i="34"/>
  <c r="I48" i="30"/>
  <c r="E50" i="30"/>
  <c r="F50" i="30" s="1"/>
  <c r="E10" i="30"/>
  <c r="F10" i="30" s="1"/>
  <c r="E55" i="30"/>
  <c r="F55" i="30" s="1"/>
  <c r="G10" i="34"/>
  <c r="E12" i="30"/>
  <c r="F12" i="30" s="1"/>
  <c r="I44" i="31"/>
  <c r="D68" i="34"/>
  <c r="D48" i="34"/>
  <c r="H29" i="30"/>
  <c r="I29" i="30" s="1"/>
  <c r="H60" i="30"/>
  <c r="I60" i="30" s="1"/>
  <c r="E59" i="30"/>
  <c r="F59" i="30" s="1"/>
  <c r="I62" i="30"/>
  <c r="E52" i="30"/>
  <c r="F52" i="30" s="1"/>
  <c r="I53" i="31"/>
  <c r="E51" i="30"/>
  <c r="F51" i="30" s="1"/>
  <c r="I21" i="31"/>
  <c r="E32" i="30"/>
  <c r="F32" i="30" s="1"/>
  <c r="E35" i="30"/>
  <c r="F35" i="30" s="1"/>
  <c r="D16" i="34"/>
  <c r="I48" i="31"/>
  <c r="E33" i="30"/>
  <c r="F33" i="30" s="1"/>
  <c r="G49" i="34"/>
  <c r="E54" i="30"/>
  <c r="F54" i="30" s="1"/>
  <c r="E48" i="30"/>
  <c r="F48" i="30" s="1"/>
  <c r="I12" i="31"/>
  <c r="G65" i="34"/>
  <c r="I47" i="31"/>
  <c r="H64" i="30"/>
  <c r="I64" i="30" s="1"/>
  <c r="E56" i="30"/>
  <c r="F56" i="30" s="1"/>
  <c r="E46" i="30"/>
  <c r="F46" i="30" s="1"/>
  <c r="H57" i="30"/>
  <c r="I57" i="30" s="1"/>
  <c r="E30" i="30"/>
  <c r="F30" i="30" s="1"/>
  <c r="H32" i="30"/>
  <c r="I32" i="30" s="1"/>
  <c r="E47" i="30"/>
  <c r="F47" i="30" s="1"/>
  <c r="D58" i="34"/>
  <c r="I22" i="31"/>
  <c r="D2" i="30"/>
  <c r="G37" i="34"/>
  <c r="D60" i="34"/>
  <c r="D51" i="34"/>
  <c r="I39" i="31"/>
  <c r="I20" i="31"/>
  <c r="D6" i="34"/>
  <c r="I30" i="30"/>
  <c r="E63" i="30"/>
  <c r="F63" i="30" s="1"/>
  <c r="E17" i="30"/>
  <c r="F17" i="30" s="1"/>
  <c r="E11" i="30"/>
  <c r="F11" i="30" s="1"/>
  <c r="D7" i="34"/>
  <c r="E43" i="30"/>
  <c r="F43" i="30" s="1"/>
  <c r="I11" i="31"/>
  <c r="E4" i="30"/>
  <c r="F4" i="30" s="1"/>
  <c r="I51" i="31"/>
  <c r="I19" i="31"/>
  <c r="H31" i="30"/>
  <c r="I31" i="30" s="1"/>
  <c r="D39" i="34"/>
  <c r="I30" i="31"/>
  <c r="H35" i="30"/>
  <c r="I35" i="30" s="1"/>
  <c r="I17" i="31"/>
  <c r="D53" i="34"/>
  <c r="H34" i="30"/>
  <c r="I34" i="30" s="1"/>
  <c r="G22" i="34"/>
  <c r="D35" i="34"/>
  <c r="D21" i="34"/>
  <c r="D29" i="34"/>
  <c r="I63" i="31"/>
  <c r="H27" i="30"/>
  <c r="I27" i="30" s="1"/>
  <c r="D57" i="34"/>
  <c r="D45" i="34"/>
  <c r="D34" i="34"/>
  <c r="I61" i="31"/>
  <c r="C4" i="34"/>
  <c r="C11" i="34"/>
  <c r="E7" i="30"/>
  <c r="F7" i="30" s="1"/>
  <c r="E15" i="30"/>
  <c r="F15" i="30" s="1"/>
  <c r="G17" i="34"/>
  <c r="C63" i="34"/>
  <c r="I58" i="31"/>
  <c r="H8" i="30"/>
  <c r="I8" i="30" s="1"/>
  <c r="H18" i="30"/>
  <c r="I18" i="30" s="1"/>
  <c r="I33" i="31"/>
  <c r="I14" i="31"/>
  <c r="G16" i="34"/>
  <c r="G38" i="34"/>
  <c r="I28" i="31"/>
  <c r="E65" i="30"/>
  <c r="F65" i="30" s="1"/>
  <c r="H65" i="30"/>
  <c r="I65" i="30" s="1"/>
  <c r="I65" i="31"/>
  <c r="E64" i="30"/>
  <c r="F64" i="30" s="1"/>
  <c r="E62" i="30"/>
  <c r="F62" i="30" s="1"/>
  <c r="E68" i="30"/>
  <c r="F68" i="30" s="1"/>
  <c r="H54" i="30"/>
  <c r="I54" i="30" s="1"/>
  <c r="I54" i="31"/>
  <c r="E53" i="30"/>
  <c r="F53" i="30" s="1"/>
  <c r="E44" i="30"/>
  <c r="F44" i="30" s="1"/>
  <c r="H52" i="30"/>
  <c r="I52" i="30" s="1"/>
  <c r="I52" i="31"/>
  <c r="E39" i="30"/>
  <c r="F39" i="30" s="1"/>
  <c r="E38" i="30"/>
  <c r="F38" i="30" s="1"/>
  <c r="E26" i="30"/>
  <c r="F26" i="30" s="1"/>
  <c r="H59" i="30"/>
  <c r="I59" i="30" s="1"/>
  <c r="I59" i="31"/>
  <c r="E22" i="30"/>
  <c r="F22" i="30" s="1"/>
  <c r="E19" i="30"/>
  <c r="F19" i="30" s="1"/>
  <c r="E16" i="30"/>
  <c r="F16" i="30" s="1"/>
  <c r="E34" i="30"/>
  <c r="F34" i="30" s="1"/>
  <c r="E28" i="30"/>
  <c r="F28" i="30" s="1"/>
  <c r="E61" i="30"/>
  <c r="F61" i="30" s="1"/>
  <c r="H50" i="30"/>
  <c r="I50" i="30" s="1"/>
  <c r="I50" i="31"/>
  <c r="E40" i="30"/>
  <c r="F40" i="30" s="1"/>
  <c r="H41" i="30"/>
  <c r="I41" i="30" s="1"/>
  <c r="I41" i="31"/>
  <c r="H49" i="30"/>
  <c r="I49" i="30" s="1"/>
  <c r="I49" i="31"/>
  <c r="D67" i="34"/>
  <c r="E67" i="30"/>
  <c r="F67" i="30" s="1"/>
  <c r="H67" i="30"/>
  <c r="I67" i="30" s="1"/>
  <c r="I67" i="31"/>
  <c r="H66" i="30"/>
  <c r="I66" i="30" s="1"/>
  <c r="I66" i="31"/>
  <c r="H43" i="30"/>
  <c r="I43" i="30" s="1"/>
  <c r="I62" i="31"/>
  <c r="C68" i="34"/>
  <c r="H68" i="30"/>
  <c r="I68" i="30" s="1"/>
  <c r="H55" i="30"/>
  <c r="I55" i="30" s="1"/>
  <c r="H56" i="30"/>
  <c r="I56" i="30" s="1"/>
  <c r="G56" i="34"/>
  <c r="G45" i="34"/>
  <c r="H42" i="30"/>
  <c r="I42" i="30" s="1"/>
  <c r="I38" i="31"/>
  <c r="H26" i="30"/>
  <c r="I26" i="30" s="1"/>
  <c r="G25" i="34"/>
  <c r="I25" i="31"/>
  <c r="H24" i="30"/>
  <c r="I24" i="30" s="1"/>
  <c r="I23" i="31"/>
  <c r="C60" i="34"/>
  <c r="C21" i="34"/>
  <c r="G21" i="34"/>
  <c r="C19" i="34"/>
  <c r="G18" i="34"/>
  <c r="H13" i="30"/>
  <c r="I13" i="30" s="1"/>
  <c r="H9" i="30"/>
  <c r="I9" i="30" s="1"/>
  <c r="H5" i="30"/>
  <c r="I5" i="30" s="1"/>
  <c r="I37" i="31"/>
  <c r="I36" i="31"/>
  <c r="G36" i="34"/>
  <c r="G33" i="34"/>
  <c r="G30" i="34"/>
  <c r="C2" i="30"/>
  <c r="H2" i="31"/>
  <c r="I2" i="31" s="1"/>
  <c r="G2" i="30"/>
  <c r="H40" i="30"/>
  <c r="I40" i="30" s="1"/>
  <c r="G40" i="34"/>
  <c r="G48" i="34"/>
  <c r="J2" i="31"/>
  <c r="E2" i="31"/>
  <c r="F2" i="31" s="1"/>
  <c r="E41" i="29"/>
  <c r="F41" i="29" s="1"/>
  <c r="E61" i="29"/>
  <c r="F61" i="29" s="1"/>
  <c r="E66" i="29"/>
  <c r="F66" i="29" s="1"/>
  <c r="E36" i="29"/>
  <c r="F36" i="29" s="1"/>
  <c r="E35" i="29"/>
  <c r="F35" i="29" s="1"/>
  <c r="E59" i="29"/>
  <c r="F59" i="29" s="1"/>
  <c r="H14" i="29"/>
  <c r="I14" i="29" s="1"/>
  <c r="H13" i="29"/>
  <c r="I13" i="29" s="1"/>
  <c r="C35" i="34"/>
  <c r="H2" i="28"/>
  <c r="I2" i="28" s="1"/>
  <c r="E2" i="28"/>
  <c r="F2" i="28"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C53" i="34"/>
  <c r="E21" i="29"/>
  <c r="F21" i="29" s="1"/>
  <c r="H18" i="29"/>
  <c r="I18" i="29" s="1"/>
  <c r="H11" i="29"/>
  <c r="I11" i="29" s="1"/>
  <c r="H8" i="29"/>
  <c r="E28" i="29"/>
  <c r="F28" i="29" s="1"/>
  <c r="H2" i="27"/>
  <c r="I2" i="27" s="1"/>
  <c r="E2" i="27"/>
  <c r="F2" i="27" s="1"/>
  <c r="E16" i="29"/>
  <c r="F16" i="29" s="1"/>
  <c r="E25" i="29"/>
  <c r="F25" i="29" s="1"/>
  <c r="E58" i="29"/>
  <c r="F58" i="29" s="1"/>
  <c r="E49" i="29"/>
  <c r="F49" i="29" s="1"/>
  <c r="E40" i="29"/>
  <c r="F40" i="29" s="1"/>
  <c r="E27" i="29"/>
  <c r="F27" i="29" s="1"/>
  <c r="E67" i="29"/>
  <c r="F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C56" i="34"/>
  <c r="E42" i="29"/>
  <c r="F42" i="29" s="1"/>
  <c r="I19" i="29"/>
  <c r="E15" i="29"/>
  <c r="F15" i="29" s="1"/>
  <c r="H15" i="29"/>
  <c r="I15" i="29" s="1"/>
  <c r="E14" i="29"/>
  <c r="F14" i="29" s="1"/>
  <c r="H12" i="29"/>
  <c r="I12" i="29" s="1"/>
  <c r="E11" i="29"/>
  <c r="F11" i="29" s="1"/>
  <c r="E10" i="29"/>
  <c r="F10" i="29" s="1"/>
  <c r="H10" i="29"/>
  <c r="I10" i="29" s="1"/>
  <c r="I9" i="29"/>
  <c r="H6" i="29"/>
  <c r="I6" i="29" s="1"/>
  <c r="H5" i="29"/>
  <c r="I5" i="29" s="1"/>
  <c r="E37" i="29"/>
  <c r="F37" i="29" s="1"/>
  <c r="E31" i="29"/>
  <c r="F31" i="29" s="1"/>
  <c r="C51" i="34"/>
  <c r="H2" i="26"/>
  <c r="I2" i="26" s="1"/>
  <c r="H7" i="29"/>
  <c r="I7" i="29" s="1"/>
  <c r="H17" i="29"/>
  <c r="I17" i="29" s="1"/>
  <c r="E29" i="29"/>
  <c r="F29" i="29" s="1"/>
  <c r="E19" i="29"/>
  <c r="F19" i="29" s="1"/>
  <c r="D22" i="34"/>
  <c r="E17" i="29"/>
  <c r="F17" i="29" s="1"/>
  <c r="I8" i="29"/>
  <c r="E60" i="29"/>
  <c r="F60" i="29" s="1"/>
  <c r="E20" i="29"/>
  <c r="F20" i="29" s="1"/>
  <c r="E39" i="29"/>
  <c r="F39" i="29" s="1"/>
  <c r="E23" i="29"/>
  <c r="F23" i="29" s="1"/>
  <c r="C2" i="29"/>
  <c r="G2" i="29"/>
  <c r="E2" i="26"/>
  <c r="F2" i="26" s="1"/>
  <c r="J2" i="26"/>
  <c r="E6" i="29"/>
  <c r="F6" i="29" s="1"/>
  <c r="H16" i="29"/>
  <c r="I16" i="29" s="1"/>
  <c r="I8" i="26"/>
  <c r="H4" i="29"/>
  <c r="I4" i="29" s="1"/>
  <c r="E7" i="29"/>
  <c r="F7" i="29" s="1"/>
  <c r="I55" i="26"/>
  <c r="I39" i="26"/>
  <c r="I38" i="26"/>
  <c r="I30" i="26"/>
  <c r="I13" i="26"/>
  <c r="I34" i="26"/>
  <c r="C5" i="34"/>
  <c r="E5" i="34" s="1"/>
  <c r="F5" i="34" s="1"/>
  <c r="C8" i="34"/>
  <c r="C13" i="34"/>
  <c r="C14" i="34"/>
  <c r="G5" i="34"/>
  <c r="G15" i="34"/>
  <c r="G14" i="34"/>
  <c r="G13" i="34"/>
  <c r="G12" i="34"/>
  <c r="G11" i="34"/>
  <c r="G9" i="34"/>
  <c r="G8" i="34"/>
  <c r="G7" i="34"/>
  <c r="G6" i="34"/>
  <c r="G4" i="34"/>
  <c r="G68" i="34"/>
  <c r="G67" i="34"/>
  <c r="G66" i="34"/>
  <c r="C66" i="34"/>
  <c r="C65" i="34"/>
  <c r="G64" i="34"/>
  <c r="G63" i="34"/>
  <c r="G62" i="34"/>
  <c r="G61" i="34"/>
  <c r="G60" i="34"/>
  <c r="G59" i="34"/>
  <c r="C59" i="34"/>
  <c r="G58" i="34"/>
  <c r="C58" i="34"/>
  <c r="G57" i="34"/>
  <c r="C57" i="34"/>
  <c r="G55" i="34"/>
  <c r="G54" i="34"/>
  <c r="C54" i="34"/>
  <c r="G53" i="34"/>
  <c r="G52" i="34"/>
  <c r="G51" i="34"/>
  <c r="G50" i="34"/>
  <c r="C50" i="34"/>
  <c r="C48" i="34"/>
  <c r="G47" i="34"/>
  <c r="G46" i="34"/>
  <c r="G44" i="34"/>
  <c r="G43" i="34"/>
  <c r="G42" i="34"/>
  <c r="G39" i="34"/>
  <c r="C38" i="34"/>
  <c r="G35" i="34"/>
  <c r="G34" i="34"/>
  <c r="G32" i="34"/>
  <c r="G31" i="34"/>
  <c r="G29" i="34"/>
  <c r="G28" i="34"/>
  <c r="G26" i="34"/>
  <c r="C25" i="34"/>
  <c r="G24" i="34"/>
  <c r="C24" i="34"/>
  <c r="G23" i="34"/>
  <c r="C22" i="34"/>
  <c r="G19" i="34"/>
  <c r="C18" i="34"/>
  <c r="C16" i="34"/>
  <c r="H69" i="1"/>
  <c r="I69" i="1" s="1"/>
  <c r="E69" i="1"/>
  <c r="F69" i="1" s="1"/>
  <c r="C55" i="34"/>
  <c r="C47" i="34"/>
  <c r="C46" i="34"/>
  <c r="D46" i="34"/>
  <c r="C44" i="34"/>
  <c r="E44" i="34" s="1"/>
  <c r="F44" i="34" s="1"/>
  <c r="C43" i="34"/>
  <c r="C42" i="34"/>
  <c r="D64" i="34"/>
  <c r="D63" i="34"/>
  <c r="C41" i="34"/>
  <c r="D61" i="34"/>
  <c r="H60" i="18"/>
  <c r="I60" i="18" s="1"/>
  <c r="D56" i="34"/>
  <c r="C39" i="34"/>
  <c r="D54" i="34"/>
  <c r="D55" i="34"/>
  <c r="D49" i="34"/>
  <c r="D47" i="34"/>
  <c r="D42" i="34"/>
  <c r="D41" i="34"/>
  <c r="C37" i="34"/>
  <c r="D37" i="34"/>
  <c r="C34" i="34"/>
  <c r="H35" i="18"/>
  <c r="I35" i="18" s="1"/>
  <c r="C32" i="34"/>
  <c r="C31" i="34"/>
  <c r="D30" i="34"/>
  <c r="C30" i="34"/>
  <c r="C29" i="34"/>
  <c r="D27" i="34"/>
  <c r="C27" i="34"/>
  <c r="D26" i="34"/>
  <c r="C26" i="34"/>
  <c r="D25" i="34"/>
  <c r="C23" i="34"/>
  <c r="D19" i="34"/>
  <c r="D15" i="34"/>
  <c r="D14" i="34"/>
  <c r="D12" i="34"/>
  <c r="E20" i="18"/>
  <c r="F20" i="18" s="1"/>
  <c r="D11" i="34"/>
  <c r="D10" i="34"/>
  <c r="D9" i="34"/>
  <c r="D8" i="34"/>
  <c r="D4" i="34"/>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11" i="18"/>
  <c r="F11" i="18" s="1"/>
  <c r="E15" i="18"/>
  <c r="F15" i="18" s="1"/>
  <c r="E49" i="18"/>
  <c r="F49" i="18" s="1"/>
  <c r="E65" i="18"/>
  <c r="F65" i="18" s="1"/>
  <c r="E59" i="18"/>
  <c r="F59" i="18" s="1"/>
  <c r="E41" i="18"/>
  <c r="F41" i="18" s="1"/>
  <c r="C49" i="34"/>
  <c r="D65" i="34"/>
  <c r="D50" i="34"/>
  <c r="D66" i="34"/>
  <c r="H62" i="18"/>
  <c r="H62" i="34" s="1"/>
  <c r="H68" i="18"/>
  <c r="E68" i="18"/>
  <c r="F68" i="18" s="1"/>
  <c r="H55" i="18"/>
  <c r="I55" i="18" s="1"/>
  <c r="E55" i="18"/>
  <c r="F55" i="18" s="1"/>
  <c r="H45" i="18"/>
  <c r="H42" i="18"/>
  <c r="H38" i="18"/>
  <c r="I38" i="18" s="1"/>
  <c r="E38" i="18"/>
  <c r="F38" i="18" s="1"/>
  <c r="E23" i="18"/>
  <c r="F23" i="18" s="1"/>
  <c r="I60" i="19"/>
  <c r="E60" i="18"/>
  <c r="F60" i="18" s="1"/>
  <c r="H21" i="18"/>
  <c r="I20" i="19"/>
  <c r="C20" i="34"/>
  <c r="H19" i="18"/>
  <c r="H13" i="18"/>
  <c r="I13" i="18" s="1"/>
  <c r="C12" i="34"/>
  <c r="H8" i="18"/>
  <c r="H7" i="18"/>
  <c r="I7" i="18" s="1"/>
  <c r="H4" i="18"/>
  <c r="I35" i="19"/>
  <c r="E35" i="18"/>
  <c r="F35" i="18" s="1"/>
  <c r="E32" i="18"/>
  <c r="F32" i="18" s="1"/>
  <c r="E31" i="18"/>
  <c r="F31" i="18" s="1"/>
  <c r="H28" i="18"/>
  <c r="I28" i="18" s="1"/>
  <c r="H51" i="18"/>
  <c r="H2" i="19"/>
  <c r="I2" i="19" s="1"/>
  <c r="E27" i="18"/>
  <c r="F27" i="18" s="1"/>
  <c r="E2" i="19"/>
  <c r="F2" i="19" s="1"/>
  <c r="D38" i="34"/>
  <c r="E9" i="18"/>
  <c r="F9" i="18" s="1"/>
  <c r="E7" i="18"/>
  <c r="F7" i="18" s="1"/>
  <c r="E6" i="18"/>
  <c r="F6" i="18" s="1"/>
  <c r="E4" i="18"/>
  <c r="F4" i="18" s="1"/>
  <c r="D31" i="34"/>
  <c r="D2" i="18"/>
  <c r="D40" i="34"/>
  <c r="E54" i="18"/>
  <c r="F54" i="18" s="1"/>
  <c r="E64" i="18"/>
  <c r="F64" i="18" s="1"/>
  <c r="E61" i="18"/>
  <c r="F61" i="18" s="1"/>
  <c r="E56" i="18"/>
  <c r="F56" i="18" s="1"/>
  <c r="E28" i="18"/>
  <c r="F28" i="18" s="1"/>
  <c r="E17" i="18"/>
  <c r="F17" i="18" s="1"/>
  <c r="E69" i="18"/>
  <c r="F69" i="18" s="1"/>
  <c r="I69" i="18"/>
  <c r="C64" i="34"/>
  <c r="I68" i="20"/>
  <c r="I68" i="18"/>
  <c r="H53" i="18"/>
  <c r="I55" i="20"/>
  <c r="H44" i="18"/>
  <c r="E44" i="18"/>
  <c r="F44" i="18" s="1"/>
  <c r="E26" i="18"/>
  <c r="F26" i="18" s="1"/>
  <c r="H24" i="18"/>
  <c r="H23" i="18"/>
  <c r="H58" i="18"/>
  <c r="E58" i="18"/>
  <c r="F58" i="18" s="1"/>
  <c r="H22" i="18"/>
  <c r="E21" i="18"/>
  <c r="F21" i="18" s="1"/>
  <c r="I19" i="20"/>
  <c r="E18" i="18"/>
  <c r="F18" i="18" s="1"/>
  <c r="H17" i="18"/>
  <c r="H14" i="18"/>
  <c r="I14" i="18" s="1"/>
  <c r="E13" i="18"/>
  <c r="F13" i="18" s="1"/>
  <c r="H12" i="18"/>
  <c r="H11" i="18"/>
  <c r="H10" i="18"/>
  <c r="I9" i="18"/>
  <c r="E8" i="18"/>
  <c r="F8" i="18" s="1"/>
  <c r="C7" i="34"/>
  <c r="H6" i="18"/>
  <c r="C6" i="34"/>
  <c r="H47" i="18"/>
  <c r="H36" i="18"/>
  <c r="I36" i="18" s="1"/>
  <c r="H34" i="18"/>
  <c r="I34" i="18" s="1"/>
  <c r="E34" i="18"/>
  <c r="F34" i="18" s="1"/>
  <c r="H32" i="18"/>
  <c r="I32" i="18" s="1"/>
  <c r="H31" i="18"/>
  <c r="H30" i="18"/>
  <c r="C28" i="34"/>
  <c r="I28" i="20"/>
  <c r="H2" i="20"/>
  <c r="I2" i="20" s="1"/>
  <c r="C61" i="34"/>
  <c r="H61" i="18"/>
  <c r="E2" i="20"/>
  <c r="F2" i="20" s="1"/>
  <c r="H65" i="18"/>
  <c r="I65" i="21"/>
  <c r="H59" i="18"/>
  <c r="I59" i="21"/>
  <c r="H54" i="18"/>
  <c r="I54" i="21"/>
  <c r="H52" i="18"/>
  <c r="I52" i="2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21"/>
  <c r="H25" i="18"/>
  <c r="I24" i="21"/>
  <c r="I23" i="21"/>
  <c r="H57" i="18"/>
  <c r="I21" i="18"/>
  <c r="H18" i="18"/>
  <c r="I17" i="21"/>
  <c r="I16" i="18"/>
  <c r="I16" i="21"/>
  <c r="H15" i="18"/>
  <c r="C15" i="34"/>
  <c r="E14" i="18"/>
  <c r="F14" i="18" s="1"/>
  <c r="I13" i="21"/>
  <c r="I12" i="18"/>
  <c r="C10" i="34"/>
  <c r="I10" i="21"/>
  <c r="C9" i="34"/>
  <c r="E5" i="18"/>
  <c r="F5" i="18" s="1"/>
  <c r="I47" i="18"/>
  <c r="I4" i="21"/>
  <c r="I4" i="18"/>
  <c r="H37" i="18"/>
  <c r="C36" i="34"/>
  <c r="H33" i="18"/>
  <c r="I32" i="21"/>
  <c r="H2" i="21"/>
  <c r="I2" i="21" s="1"/>
  <c r="I31" i="21"/>
  <c r="I30" i="21"/>
  <c r="J2" i="21"/>
  <c r="H29" i="18"/>
  <c r="I61" i="21"/>
  <c r="G2" i="18"/>
  <c r="H27" i="18"/>
  <c r="G27" i="34"/>
  <c r="H40" i="18"/>
  <c r="C2" i="18"/>
  <c r="C40" i="34"/>
  <c r="E2" i="21"/>
  <c r="F2" i="21" s="1"/>
  <c r="K52" i="34" l="1"/>
  <c r="K41" i="34"/>
  <c r="E69" i="34"/>
  <c r="F69" i="34" s="1"/>
  <c r="E32" i="34"/>
  <c r="F32" i="34" s="1"/>
  <c r="H2" i="1"/>
  <c r="I2" i="1" s="1"/>
  <c r="E2" i="1"/>
  <c r="F2" i="1" s="1"/>
  <c r="K33" i="34"/>
  <c r="H23" i="34"/>
  <c r="I23" i="34" s="1"/>
  <c r="H69" i="34"/>
  <c r="I69" i="34" s="1"/>
  <c r="H61" i="34"/>
  <c r="E67" i="34"/>
  <c r="F67" i="34" s="1"/>
  <c r="H53" i="34"/>
  <c r="I53" i="34" s="1"/>
  <c r="H51" i="34"/>
  <c r="I51" i="34" s="1"/>
  <c r="E59" i="34"/>
  <c r="F59" i="34" s="1"/>
  <c r="E13" i="34"/>
  <c r="F13" i="34" s="1"/>
  <c r="H20" i="34"/>
  <c r="I20" i="34" s="1"/>
  <c r="H47" i="34"/>
  <c r="I47" i="34" s="1"/>
  <c r="K25" i="34"/>
  <c r="H10" i="34"/>
  <c r="I10" i="34" s="1"/>
  <c r="H6" i="34"/>
  <c r="I6" i="34" s="1"/>
  <c r="K19" i="34"/>
  <c r="E58" i="34"/>
  <c r="F58" i="34" s="1"/>
  <c r="E68" i="34"/>
  <c r="F68" i="34" s="1"/>
  <c r="E17" i="34"/>
  <c r="F17" i="34" s="1"/>
  <c r="E57" i="34"/>
  <c r="F57" i="34" s="1"/>
  <c r="E35" i="34"/>
  <c r="F35" i="34" s="1"/>
  <c r="K17" i="34"/>
  <c r="K49" i="34"/>
  <c r="H8" i="34"/>
  <c r="I8" i="34" s="1"/>
  <c r="E24" i="34"/>
  <c r="F24" i="34" s="1"/>
  <c r="E29" i="34"/>
  <c r="F29" i="34" s="1"/>
  <c r="H68" i="34"/>
  <c r="I68" i="34" s="1"/>
  <c r="E60" i="34"/>
  <c r="F60" i="34" s="1"/>
  <c r="E21" i="34"/>
  <c r="F21" i="34" s="1"/>
  <c r="K21" i="34"/>
  <c r="K56" i="34"/>
  <c r="K65" i="34"/>
  <c r="K48" i="34"/>
  <c r="K63" i="34"/>
  <c r="E2" i="30"/>
  <c r="F2" i="30" s="1"/>
  <c r="E51" i="34"/>
  <c r="F51" i="34" s="1"/>
  <c r="K37" i="34"/>
  <c r="E19" i="34"/>
  <c r="F19" i="34" s="1"/>
  <c r="H9" i="34"/>
  <c r="I9" i="34" s="1"/>
  <c r="H35" i="34"/>
  <c r="I35" i="34" s="1"/>
  <c r="E39" i="34"/>
  <c r="F39" i="34" s="1"/>
  <c r="E34" i="34"/>
  <c r="F34" i="34" s="1"/>
  <c r="E50" i="34"/>
  <c r="F50" i="34" s="1"/>
  <c r="H26" i="34"/>
  <c r="I26" i="34" s="1"/>
  <c r="E4" i="34"/>
  <c r="F4" i="34" s="1"/>
  <c r="K4" i="34"/>
  <c r="K16" i="34"/>
  <c r="K35" i="34"/>
  <c r="E18" i="34"/>
  <c r="F18" i="34" s="1"/>
  <c r="H55" i="34"/>
  <c r="I55" i="34" s="1"/>
  <c r="E11" i="34"/>
  <c r="F11" i="34" s="1"/>
  <c r="E63" i="34"/>
  <c r="F63" i="34" s="1"/>
  <c r="K22" i="34"/>
  <c r="K60" i="34"/>
  <c r="E53" i="34"/>
  <c r="F53" i="34" s="1"/>
  <c r="K30" i="34"/>
  <c r="K11" i="34"/>
  <c r="E14" i="34"/>
  <c r="F14" i="34" s="1"/>
  <c r="H2" i="30"/>
  <c r="I2" i="30" s="1"/>
  <c r="K12" i="34"/>
  <c r="K47" i="34"/>
  <c r="K53" i="34"/>
  <c r="H19" i="34"/>
  <c r="I19" i="34" s="1"/>
  <c r="K66" i="34"/>
  <c r="K54" i="34"/>
  <c r="E66" i="34"/>
  <c r="F66" i="34" s="1"/>
  <c r="H5" i="34"/>
  <c r="I5" i="34" s="1"/>
  <c r="K51" i="34"/>
  <c r="K5" i="34"/>
  <c r="H64" i="34"/>
  <c r="I64" i="34" s="1"/>
  <c r="I62" i="34"/>
  <c r="E55" i="34"/>
  <c r="F55" i="34" s="1"/>
  <c r="E56" i="34"/>
  <c r="F56" i="34" s="1"/>
  <c r="H45" i="34"/>
  <c r="I45" i="34" s="1"/>
  <c r="H42" i="34"/>
  <c r="I42" i="34" s="1"/>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K38" i="34"/>
  <c r="E25" i="34"/>
  <c r="F25" i="34" s="1"/>
  <c r="H24" i="34"/>
  <c r="I24" i="34" s="1"/>
  <c r="H60" i="34"/>
  <c r="I60" i="34" s="1"/>
  <c r="H58" i="34"/>
  <c r="I58" i="34" s="1"/>
  <c r="E22" i="34"/>
  <c r="F22" i="34" s="1"/>
  <c r="H2" i="29"/>
  <c r="I2" i="29" s="1"/>
  <c r="H17" i="34"/>
  <c r="I17" i="34" s="1"/>
  <c r="H21" i="34"/>
  <c r="I21" i="34" s="1"/>
  <c r="K18" i="34"/>
  <c r="E54" i="34"/>
  <c r="F54" i="34" s="1"/>
  <c r="K59" i="34"/>
  <c r="E47" i="34"/>
  <c r="F47" i="34" s="1"/>
  <c r="K31" i="34"/>
  <c r="K43" i="34"/>
  <c r="K24" i="34"/>
  <c r="K55" i="34"/>
  <c r="K67" i="34"/>
  <c r="E8" i="34"/>
  <c r="F8" i="34" s="1"/>
  <c r="K64" i="34"/>
  <c r="E65" i="34"/>
  <c r="F65" i="34" s="1"/>
  <c r="K23" i="34"/>
  <c r="E30" i="34"/>
  <c r="F30" i="34" s="1"/>
  <c r="E42" i="34"/>
  <c r="F42" i="34" s="1"/>
  <c r="E46" i="34"/>
  <c r="F46" i="34" s="1"/>
  <c r="K26" i="34"/>
  <c r="K39" i="34"/>
  <c r="K13" i="34"/>
  <c r="H4" i="34"/>
  <c r="I4" i="34" s="1"/>
  <c r="H16" i="34"/>
  <c r="I16" i="34" s="1"/>
  <c r="I61" i="34"/>
  <c r="E16" i="34"/>
  <c r="F16" i="34" s="1"/>
  <c r="K57" i="34"/>
  <c r="K61" i="34"/>
  <c r="E43" i="34"/>
  <c r="F43" i="34" s="1"/>
  <c r="K46" i="34"/>
  <c r="K29" i="34"/>
  <c r="K32" i="34"/>
  <c r="G2" i="34"/>
  <c r="E23" i="34"/>
  <c r="F23" i="34" s="1"/>
  <c r="E48" i="34"/>
  <c r="F48" i="34" s="1"/>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tc={4952F409-6E45-4AEF-B24D-A04DDC225189}</author>
    <author>tc={CCBCB1E3-6BFF-4E73-BE23-7715326CEA40}</author>
    <author>tc={FA3229AD-4956-43E8-82BE-1BAD4F677D82}</author>
  </authors>
  <commentList>
    <comment ref="C6" authorId="0" shapeId="0" xr:uid="{4952F409-6E45-4AEF-B24D-A04DDC225189}">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11" authorId="1" shapeId="0" xr:uid="{CCBCB1E3-6BFF-4E73-BE23-7715326CEA40}">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 ref="C37" authorId="2" shapeId="0" xr:uid="{FA3229AD-4956-43E8-82BE-1BAD4F677D82}">
      <text>
        <t>[Threaded comment]
Your version of Excel allows you to read this threaded comment; however, any edits to it will get removed if the file is opened in a newer version of Excel. Learn more: https://go.microsoft.com/fwlink/?linkid=870924
Comment:
    Actual energy is taken from total inverter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<sst xmlns="http://schemas.openxmlformats.org/spreadsheetml/2006/main" count="753" uniqueCount="343">
  <si>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</si>
  <si>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</si>
  <si>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</si>
  <si>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</si>
  <si>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</si>
  <si>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</si>
  <si>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</si>
  <si>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</si>
  <si>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</si>
  <si>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</si>
  <si>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</si>
  <si>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</si>
  <si>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</si>
  <si>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</si>
  <si>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</si>
  <si>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</si>
  <si>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</si>
  <si>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</si>
  <si>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</si>
  <si>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</si>
  <si>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</si>
  <si>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</si>
  <si>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</si>
  <si>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1. Site production was low on 01/17 to 01/22, 01/25 to 01/27 due to snow.</t>
  </si>
  <si>
    <t>1. Site was barely producing from 01/12 to 01/22 and was offline from 01/25 to 01/27 due to snow.</t>
  </si>
  <si>
    <t>1.Meter was not communicated for whole month but production can be verified at interver
2. Inverter was offline from 11:00 on 01/17 to end of the month due to snow.</t>
  </si>
  <si>
    <t>1.	SR111409
2.  	SR114708</t>
  </si>
  <si>
    <t>1.pending
2. Pending</t>
  </si>
  <si>
    <t>SR114708</t>
  </si>
  <si>
    <t>1. Site production was low from 01/25 to end of the month due to snow.
2. Inverter was offline from 09:40 to 10:40 on 01/02.</t>
  </si>
  <si>
    <t>1. SR113990</t>
  </si>
  <si>
    <t>1. Closed</t>
  </si>
  <si>
    <t>1. Site production was low on 01/04, 01/05, 01/07,01/11,01/15,01/22, 01/29,01/30due to snow.</t>
  </si>
  <si>
    <t>1. Site was not communicated from 01:40 on 01/15 to end of the month.</t>
  </si>
  <si>
    <t>1. SR114652</t>
  </si>
  <si>
    <t>1. Work in progress</t>
  </si>
  <si>
    <t>1. Site production was low most of the days in month due to snow</t>
  </si>
  <si>
    <t>1. Meter was not communicated for whole month but production can be verified at interver
2. Inverter was offline from 01/25 to end of the month due to snow.</t>
  </si>
  <si>
    <t>1.SR108676</t>
  </si>
  <si>
    <t>1.pending</t>
  </si>
  <si>
    <t>1. Meter 3 stopped communicating at 16:23 from 06/23 but production can be verified at inverter level. Meter has failed and needs to be replaced. Due to this the overall meter is reporting 200kW down than the produced value.
2. Site production was low on 01/25 to end of the month due to snow.</t>
  </si>
  <si>
    <t>1. SR107924</t>
  </si>
  <si>
    <t>1.Deined</t>
  </si>
  <si>
    <t>1.  Site production was low on 01/25 to end of the month due to snow.</t>
  </si>
  <si>
    <t>1. Site production was low  on 01/17 to 01/22, 01/25 to 01/27 due to snow.</t>
  </si>
  <si>
    <t>1.  Site production was low on 01/25 to end of the month due to snow.
2. Inverter started late for production on 01/17 at 09:10.</t>
  </si>
  <si>
    <t>2. SR095654</t>
  </si>
  <si>
    <t>1. closed</t>
  </si>
  <si>
    <t>1. Meter was not communicated for whole month but production can be verified at interver
2. Site production was low on 01/25 to end of the month due to snow.</t>
  </si>
  <si>
    <t>1.	SR103499</t>
  </si>
  <si>
    <t xml:space="preserve">1.closed
</t>
  </si>
  <si>
    <t>1. Site production was low on 01/25 to end of the month due to snow.
2.  Site was offline from 12/27 to 01/07.</t>
  </si>
  <si>
    <t>2. SR114087</t>
  </si>
  <si>
    <t>2. Completed</t>
  </si>
  <si>
    <t>1. Inverter is barely producing, mostly remained offline and reporting "AC Surge Warning" from 11/27. There was snow accumulation and clearing at the site from past couple of days</t>
  </si>
  <si>
    <t>1.	SR111831</t>
  </si>
  <si>
    <t>1. 13 modules nee to bereplaced.
2. Inverter 8, 20, 21 were offline for whole month.
3. Pyronometer was displaying 0w/m2 for whole month.</t>
  </si>
  <si>
    <t>1. SR105403
2. SR095623	
3. SR108240</t>
  </si>
  <si>
    <t>1. Pending
2. Pending 
3. Denied</t>
  </si>
  <si>
    <t>SR095623</t>
  </si>
  <si>
    <t>SR108240</t>
  </si>
  <si>
    <t>1.  Site was barely producing from 01/17 to 01/22 and also from 01/25 to end of the month due to snow.</t>
  </si>
  <si>
    <t xml:space="preserve">1.  Site was barely producing from 01/17 to 01/22 and also from 01/25 to end of the month due to snow.
</t>
  </si>
  <si>
    <t>1. Inverter 1 PAD 1 was offline form 10/14and back online  at 12:10 on 01/02.</t>
  </si>
  <si>
    <t>1.	SR109478</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</si>
  <si>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</si>
  <si>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12 additional damaged modules.  Combiner left offline.
2.Weather station reporting 0W/M^2 from 01/25</t>
  </si>
  <si>
    <t>1.	SR109483</t>
  </si>
  <si>
    <t>1. 1 module need to be replaced.</t>
  </si>
  <si>
    <t>1. SR109260</t>
  </si>
  <si>
    <t xml:space="preserve">1. Pending
</t>
  </si>
  <si>
    <t>1. 14 modules need to be replaced.
2. Meter intermettently drops to zero but production can be verified at inverter.
3. CB 460 was offline for whole month.</t>
  </si>
  <si>
    <t>1. SR110823
2. SR091550
3. SR110826</t>
  </si>
  <si>
    <t>1. Pending
2. Pending
3. Pending</t>
  </si>
  <si>
    <t>SR091550</t>
  </si>
  <si>
    <t>SR110826</t>
  </si>
  <si>
    <t xml:space="preserve">1. 5 Modules need to be replaced.
2.As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</si>
  <si>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SR111114</t>
  </si>
  <si>
    <t>1. Pending</t>
  </si>
  <si>
    <t>1.Meter reporting half of inverter production since 6/11/22 waiting for client approval for investigation.</t>
  </si>
  <si>
    <t>1.SR106741</t>
  </si>
  <si>
    <t>1. Site was not communicated for whole month GPM recommended NPort failure.</t>
  </si>
  <si>
    <t>1.SR111715</t>
  </si>
  <si>
    <t>N/A</t>
  </si>
  <si>
    <t>1. The meter has been reporting 60 kW of production onsite since 07/25.
2. 14 replacement modules and connector repairs are needed onsite, along with 16 strings that require repair.
3. Inverter was offline from 12/20 to 12:20 on 01/18 and was again offline from 12:50 to 16:50 on 01/26.</t>
  </si>
  <si>
    <t>1.SR105065
2.SR105063
3. SR113382</t>
  </si>
  <si>
    <t>1.pending
2.pending
3. Pending</t>
  </si>
  <si>
    <t>SR105063</t>
  </si>
  <si>
    <t>SR113382</t>
  </si>
  <si>
    <t>1. Site was not offline from 10:20 to 11:55 on 01/16.
2. Site was offline from 08:10 on 01/06 to 09:15 on 01/07 and was offline from 08:25 to 13:30on 01/05.</t>
  </si>
  <si>
    <t>2. SR114200</t>
  </si>
  <si>
    <t>2. Closed</t>
  </si>
  <si>
    <t>1.  Inverter 9 has been offline since 12:30 on 07/05.
2.  Inverter 1 tripped offline at 08:40 on 06/02/25, reporting "Ground Fault", and has remained offline since then.
3. Inverter 8 is offline Since 02/07/2024 and inverter is under RMA'd.
4.  Inverters 3 was offline since 08/23/2024 and inverter is under RMA'd.</t>
  </si>
  <si>
    <t>1. SR104027
2. SR102346
3. SR090375, SR105124, SR112520
4. SR089461, SR105124, SR101136</t>
  </si>
  <si>
    <t>1.Closed
2.Closed
3.Pending
4.Closed</t>
  </si>
  <si>
    <t>SR102346</t>
  </si>
  <si>
    <t>SR090375</t>
  </si>
  <si>
    <t>SR105124</t>
  </si>
  <si>
    <t>SR112520</t>
  </si>
  <si>
    <t>SR089461</t>
  </si>
  <si>
    <t>SR101136</t>
  </si>
  <si>
    <t>1. Inverter 1 was offline from 09/12 to 08:35 on 01/27. 
2. Weather station was not communicated for whole month.</t>
  </si>
  <si>
    <t>1. SR113878
2. SR092276</t>
  </si>
  <si>
    <t>1. Pending
2. Pending</t>
  </si>
  <si>
    <t>SR092276</t>
  </si>
  <si>
    <t>1. PAD 1 meter was offline from 09:20 on 01/05 to 14:20 on 01/06.</t>
  </si>
  <si>
    <t>1. SR114191</t>
  </si>
  <si>
    <t>1. Weather station reporting zero from 16:20 on 05/20/25. Pending PO for weather station sensor
2. Combiner Box 1-4 - Multiple Strings reading low - string 1 has a blown fuse. Combiner Box 1-3 - string one reading low due to modules have some sort of fading in the front, Combiner Box 1-5 - May have multiple strings low on this one</t>
  </si>
  <si>
    <t>1.SR105133
2. SR110453</t>
  </si>
  <si>
    <t xml:space="preserve">1. Closed
2. Pending
</t>
  </si>
  <si>
    <t>SR110453</t>
  </si>
  <si>
    <t>1. Inverter 3 was offline for whole month and Meter energy values are inaccurate.
2. POA 1 was reporting zero for whole month.
3.  Trackers NCU 1 SPC 1.1.13, 1.1.16, 1.2.17, 1.2.38 and NCU 2 SPC 2.2.07, 2.2.22, 2.2.37, 2.2.38 were stuck for whole month.</t>
  </si>
  <si>
    <t>1. SR111285, SR112280
2. SR111737
3. SR108289</t>
  </si>
  <si>
    <t>1. Work inprogress, Pending
2. Pending
3. Pending</t>
  </si>
  <si>
    <t>SR112280</t>
  </si>
  <si>
    <t>SR111737</t>
  </si>
  <si>
    <t>SR108289</t>
  </si>
  <si>
    <t>1. Several modules need to be replaced
2. Inverter 1 was offline from 12:30 on 01/05 to 12:45 on 01/08.</t>
  </si>
  <si>
    <t>1. SR105129
2. SR114173</t>
  </si>
  <si>
    <t>1. Pending
2. Completed</t>
  </si>
  <si>
    <t>SR114173</t>
  </si>
  <si>
    <t>1. Site had no communications since 07/03 and need to replace Modem and Datalogger.
2.One inverter was offline  or due to the active comms failure.</t>
  </si>
  <si>
    <t>1. SR104249, SR110688
2. SR108213, SR104249</t>
  </si>
  <si>
    <t>1.Pending
2. closed</t>
  </si>
  <si>
    <t>SR110688</t>
  </si>
  <si>
    <t>SR108213</t>
  </si>
  <si>
    <t>SR104249</t>
  </si>
  <si>
    <t>1. Inverters 1 and 2 tripped offline at 13:55 on 05/29 due to bad circuit breakers. Until the CBs are replaced, the inverters will remain offline.</t>
  </si>
  <si>
    <t>1. SR105759, SR109811</t>
  </si>
  <si>
    <t>1.closed, deined</t>
  </si>
  <si>
    <t>SR109811</t>
  </si>
  <si>
    <t>1. 16 modules need to be replaced.
2. Inverter 2 was derated to 52 kW from 10:20 to 14:40 on 01/12</t>
  </si>
  <si>
    <t>1. 	SR109932
2. SR108694</t>
  </si>
  <si>
    <t>SR108694</t>
  </si>
  <si>
    <t>1.Meter lost communication but inverter reporting production.
2. Inverter was intermitently dropping to zero.</t>
  </si>
  <si>
    <t>1.SR112430
2. SR114794</t>
  </si>
  <si>
    <t>1.pending
2. Completed</t>
  </si>
  <si>
    <t>SR114794</t>
  </si>
  <si>
    <t>1. Weather station has intermittent communication issue(irradiance is dropping to zero intermittently)</t>
  </si>
  <si>
    <t>1.	SR110590</t>
  </si>
  <si>
    <t>1.Pending</t>
  </si>
  <si>
    <t>1.Site was offline at 11:25 on 01/04 and it came back online at 12:10 on 01/08
2.Weather station is reporting 0w/m2 during day time.</t>
  </si>
  <si>
    <t>1.	SR114127
2.SR107807</t>
  </si>
  <si>
    <t>1.Completed
2.Closed</t>
  </si>
  <si>
    <t>SR107807</t>
  </si>
  <si>
    <t>1.Inverter 4 is tripping offline during high irradiance, reading increased DC voltage.</t>
  </si>
  <si>
    <t>1.	SR113032</t>
  </si>
  <si>
    <t xml:space="preserve">1.Closed
</t>
  </si>
  <si>
    <t>1. Inverters 7 and 12 were offline for whole month.
2. Inverter 2 was offline for whole month.</t>
  </si>
  <si>
    <t>1.SR111374
2.SR105126</t>
  </si>
  <si>
    <t>1.pending
2.Pending</t>
  </si>
  <si>
    <t>SR105126</t>
  </si>
  <si>
    <t>1. Inverter 1 was underproduced by 30kW compared to inverter 2 for whole month</t>
  </si>
  <si>
    <t>1.SR108137 , SR112530</t>
  </si>
  <si>
    <t>SR112530</t>
  </si>
  <si>
    <t>1. The production meter is reporting incorrect energy values, so the actual energy has been taken from the inverter total energy instead. Since the expected energy is calculated using the PR derived from the meter’s actual value, the expected energy data is also erroneous. Reached out to GPM support on this.</t>
  </si>
  <si>
    <t>1.SR110601</t>
  </si>
  <si>
    <t>1. The forecasted (theoretical) values appear lower because they are based on long-term average weather data (typically 10–15 years). In contrast, actual vs expected generation reflects real-time weather conditions during the period, providing a more accurate measure of current performance.</t>
  </si>
  <si>
    <t>1. PAD A meter reporting zero for whole month.</t>
  </si>
  <si>
    <t>1.SR114198</t>
  </si>
  <si>
    <t>1.Site tripped offline at 10:40 on 01/15 and it came back online at 10:30 on 01/21</t>
  </si>
  <si>
    <t>1.SR114782</t>
  </si>
  <si>
    <t>1.Completed</t>
  </si>
  <si>
    <t>1.SR114783</t>
  </si>
  <si>
    <t>1.Compleetd</t>
  </si>
  <si>
    <t>1. Inverter 1 is derating and constantly producing ~18kW as per meter data and inverter has no communication</t>
  </si>
  <si>
    <t>1.SR114203</t>
  </si>
  <si>
    <t>1.Inverter A.02.15 RMAD</t>
  </si>
  <si>
    <t>1.SR114892</t>
  </si>
  <si>
    <t xml:space="preserve">1.pending
</t>
  </si>
  <si>
    <t>1. Pad 1 is not communication but online and producing on site.
2. Inverter D07.12  back online at 13:20 on 01/23
3.Site was offline at 18:15 on 01/08 and it came back online at 08:25 on 01/13</t>
  </si>
  <si>
    <t>1.SR112560
2.SR113885
3.SR114419</t>
  </si>
  <si>
    <t>1.Pending
2.Completed
3.Completed</t>
  </si>
  <si>
    <t>SR113885</t>
  </si>
  <si>
    <t>SR114419</t>
  </si>
  <si>
    <t>February Actual v. Expected</t>
  </si>
  <si>
    <t>February Actual v. Forecasted</t>
  </si>
  <si>
    <t>March Actual v. Expected</t>
  </si>
  <si>
    <t>March Actual v. Forecasted</t>
  </si>
  <si>
    <t>April Actual v. Expected</t>
  </si>
  <si>
    <t>April Actual v. Forecasted</t>
  </si>
  <si>
    <t>May Actual v. Expected</t>
  </si>
  <si>
    <t>May Actual v. Forecasted</t>
  </si>
  <si>
    <t>SR101285</t>
  </si>
  <si>
    <t>SR102153</t>
  </si>
  <si>
    <t>June Actual v. Expected</t>
  </si>
  <si>
    <t>June Actual v. Forecasted</t>
  </si>
  <si>
    <t>July Actual v. Expected</t>
  </si>
  <si>
    <t>July Actual v. Forecasted</t>
  </si>
  <si>
    <t>August Actual v. Expected</t>
  </si>
  <si>
    <t>August Actual v. Forecasted</t>
  </si>
  <si>
    <t>SR104174</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</si>
  <si>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</si>
  <si>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</si>
  <si>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</si>
  <si>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</si>
  <si>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</si>
  <si>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</si>
  <si>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</si>
  <si>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</si>
  <si>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</si>
  <si>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</si>
  <si>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</si>
  <si>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</si>
  <si>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</si>
  <si>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</si>
  <si>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</si>
  <si>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</si>
  <si>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</si>
  <si>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</si>
  <si>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</si>
  <si>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</si>
  <si>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</si>
  <si>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</si>
  <si>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</si>
  <si>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</si>
  <si>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</si>
  <si>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</si>
  <si>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</si>
  <si>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</si>
  <si>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</si>
  <si>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</si>
  <si>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</si>
  <si>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</si>
  <si>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</si>
  <si>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</si>
  <si>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</si>
  <si>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</si>
  <si>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</si>
  <si>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</si>
  <si>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</si>
  <si>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</si>
  <si>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</si>
  <si>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</si>
  <si>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</si>
  <si>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</si>
  <si>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</si>
  <si>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</si>
  <si>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</si>
  <si>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</si>
  <si>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</si>
  <si>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</si>
  <si>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</si>
  <si>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</si>
  <si>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</si>
  <si>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</si>
  <si>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</si>
  <si>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</si>
  <si>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</si>
  <si>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</si>
  <si>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</si>
  <si>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</si>
  <si>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</si>
  <si>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</si>
  <si>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</si>
  <si>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</si>
  <si>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</si>
  <si>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</si>
  <si>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</si>
  <si>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</si>
  <si>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</si>
  <si>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</si>
  <si>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</si>
  <si>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</si>
  <si>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</si>
  <si>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</si>
  <si>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</si>
  <si>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</si>
  <si>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</si>
  <si>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</si>
  <si>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</si>
  <si>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</si>
  <si>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</si>
  <si>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</si>
  <si>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</si>
  <si>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</si>
  <si>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</si>
  <si>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</si>
  <si>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</si>
  <si>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</si>
  <si>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</si>
  <si>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</si>
  <si>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</si>
  <si>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</si>
  <si>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</si>
  <si>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</si>
  <si>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</si>
  <si>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</si>
  <si>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</si>
  <si>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</si>
  <si>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</si>
  <si>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</si>
  <si>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</si>
  <si>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</si>
  <si>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</si>
  <si>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</si>
  <si>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</si>
  <si>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</si>
  <si>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</si>
  <si>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</si>
  <si>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</si>
  <si>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</si>
  <si>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</si>
  <si>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</si>
  <si>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</si>
  <si>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</si>
  <si>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</si>
  <si>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</si>
  <si>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</si>
  <si>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</si>
  <si>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</si>
  <si>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</si>
  <si>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</si>
  <si>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</si>
  <si>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</si>
  <si>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</si>
  <si>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</si>
  <si>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</si>
  <si>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</si>
  <si>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</si>
  <si>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</si>
  <si>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</si>
  <si>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</si>
  <si>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</si>
  <si>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</si>
  <si>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</si>
  <si>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</si>
  <si>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</si>
  <si>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</si>
  <si>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</si>
  <si>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</si>
  <si>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</si>
  <si>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</si>
  <si>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</si>
  <si>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</si>
  <si>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</si>
  <si>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</si>
  <si>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</si>
  <si>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</si>
  <si>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</si>
  <si>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</si>
  <si>
    <t>Litchfield</t>
  </si>
  <si>
    <t>CT: Torrington - 2-298 Rossi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</si>
</sst>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1"/>
      <color rgb="FF242424"/>
      <name val="Calibri"/>
      <family val="2"/>
      <scheme val="minor"/>
    </font>
    <font>
      <u/>
      <sz val="10"/>
      <color theme="10"/>
      <name val="Arial"/>
      <family val="2"/>
    </font>
    <font>
      <u/>
      <sz val="10"/>
      <color rgb="FF0563C1"/>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4" fillId="0" borderId="0" applyNumberFormat="0" applyFill="0" applyBorder="0" applyAlignment="0" applyProtection="0"/>
  </cellStyleXfs>
  <cellXfs count="13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49" fontId="40" fillId="0" borderId="0" xfId="0" applyNumberFormat="1" applyFont="1" applyAlignment="1">
      <alignment horizontal="left" vertical="top" wrapText="1"/>
    </xf>
    <xf numFmtId="49" fontId="39" fillId="38" borderId="0" xfId="2" applyNumberFormat="1" applyFont="1" applyFill="1" applyBorder="1" applyAlignment="1">
      <alignment horizontal="left" vertical="top" wrapText="1"/>
    </xf>
    <xf numFmtId="0" fontId="43"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4" fillId="0" borderId="0" xfId="45" applyNumberFormat="1" applyAlignment="1">
      <alignment vertical="top" wrapText="1"/>
    </xf>
    <xf numFmtId="49" fontId="44" fillId="38" borderId="0" xfId="45" applyNumberFormat="1" applyFill="1" applyBorder="1" applyAlignment="1">
      <alignment vertical="top" wrapText="1"/>
    </xf>
    <xf numFmtId="0" fontId="44" fillId="0" borderId="0" xfId="45"/>
    <xf numFmtId="49" fontId="44" fillId="0" borderId="0" xfId="45" applyNumberFormat="1" applyAlignment="1">
      <alignment horizontal="left" vertical="top" wrapText="1"/>
    </xf>
    <xf numFmtId="49" fontId="44" fillId="38" borderId="0" xfId="45" applyNumberFormat="1" applyFill="1" applyBorder="1" applyAlignment="1">
      <alignment horizontal="left" vertical="top" wrapText="1"/>
    </xf>
    <xf numFmtId="49" fontId="44" fillId="0" borderId="0" xfId="45" applyNumberFormat="1" applyAlignment="1">
      <alignment vertical="center" wrapText="1"/>
    </xf>
    <xf numFmtId="0" fontId="44"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4" fillId="0" borderId="0" xfId="45" applyAlignment="1">
      <alignment horizontal="left" vertical="top"/>
    </xf>
    <xf numFmtId="0" fontId="37" fillId="0" borderId="0" xfId="0" applyFont="1" applyAlignment="1">
      <alignment horizontal="left" vertical="top" wrapText="1"/>
    </xf>
    <xf numFmtId="164" fontId="0" fillId="0" borderId="0" xfId="0" applyNumberFormat="1"/>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3" fontId="31" fillId="0" borderId="0" xfId="1" applyNumberFormat="1" applyFont="1" applyAlignment="1">
      <alignment horizontal="right" vertical="center"/>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3" fillId="0" borderId="0" xfId="0" applyFont="1" applyAlignment="1">
      <alignment horizontal="left" vertical="top"/>
    </xf>
    <xf numFmtId="3" fontId="31" fillId="0" borderId="0" xfId="1" applyNumberFormat="1" applyFont="1" applyAlignment="1">
      <alignment vertical="top" wrapText="1"/>
    </xf>
    <xf numFmtId="3" fontId="44" fillId="0" borderId="0" xfId="45" applyNumberFormat="1" applyAlignment="1">
      <alignment vertical="top"/>
    </xf>
    <xf numFmtId="49" fontId="44" fillId="38" borderId="0" xfId="45" applyNumberFormat="1" applyFill="1" applyAlignment="1">
      <alignment vertical="top" wrapText="1"/>
    </xf>
    <xf numFmtId="0" fontId="28" fillId="0" borderId="0" xfId="0" applyFont="1" applyAlignment="1">
      <alignment horizontal="left" vertical="top"/>
    </xf>
    <xf numFmtId="3" fontId="31" fillId="0" borderId="0" xfId="1" applyNumberFormat="1" applyFont="1" applyAlignment="1">
      <alignment horizontal="left" vertical="top" wrapText="1"/>
    </xf>
    <xf numFmtId="3" fontId="31" fillId="0" borderId="0" xfId="1" applyNumberFormat="1" applyFont="1" applyFill="1" applyBorder="1" applyAlignment="1">
      <alignment horizontal="right"/>
    </xf>
    <xf numFmtId="0" fontId="0" fillId="0" borderId="0" xfId="0" applyAlignment="1">
      <alignment horizontal="left" vertical="top" wrapText="1"/>
    </xf>
    <xf numFmtId="3" fontId="31" fillId="4" borderId="0" xfId="1" applyNumberFormat="1" applyFont="1" applyFill="1" applyAlignment="1">
      <alignment horizontal="right" vertical="center"/>
    </xf>
    <xf numFmtId="0" fontId="0" fillId="0" borderId="0" xfId="0" applyAlignment="1">
      <alignment vertical="center"/>
    </xf>
    <xf numFmtId="3" fontId="31" fillId="4" borderId="0" xfId="1" applyNumberFormat="1" applyFont="1" applyFill="1" applyBorder="1" applyAlignment="1">
      <alignment horizontal="right"/>
    </xf>
    <xf numFmtId="49" fontId="44" fillId="38" borderId="0" xfId="45" applyNumberFormat="1" applyFill="1" applyAlignment="1">
      <alignment horizontal="left" vertical="top" wrapText="1"/>
    </xf>
    <xf numFmtId="0" fontId="45" fillId="0" borderId="0" xfId="0" applyFont="1"/>
    <xf numFmtId="49" fontId="1" fillId="0" borderId="0" xfId="0" applyNumberFormat="1" applyFont="1" applyAlignment="1">
      <alignment horizontal="left" vertical="top" wrapText="1"/>
    </xf>
    <xf numFmtId="3" fontId="31" fillId="4" borderId="0" xfId="1" applyNumberFormat="1" applyFont="1" applyFill="1" applyBorder="1" applyAlignment="1">
      <alignment horizontal="right" vertical="center"/>
    </xf>
    <xf numFmtId="0" fontId="31" fillId="47" borderId="0" xfId="0" applyFont="1" applyFill="1" applyAlignment="1">
      <alignment vertical="top" wrapText="1"/>
    </xf>
    <xf numFmtId="49" fontId="44" fillId="0" borderId="0" xfId="45" applyNumberFormat="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connections" Target="connections.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person displayName="Kusuma Potlada [AGS]" id="{FB56CCA9-C6B3-4A45-BA07-5F37199B638F}" userId="S::kusumapotlada@amgsol.com::a4794fd0-fb2a-418d-b379-bb3c7e6c0e3d" providerId="AD"/>
  <person displayName="Jayasri  Garapati [AGS]" id="{9926D1DD-A286-4523-8D5C-9CB3570AB5F9}" userId="S::JayasriGarapati@amgsol.com::282c909e-c88d-461e-8dcb-55676bfed37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65</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2-04T09:24:37.08" personId="{FB56CCA9-C6B3-4A45-BA07-5F37199B638F}" id="{4952F409-6E45-4AEF-B24D-A04DDC225189}">
    <text>Actual energy is taken from total inverter energy</text>
  </threadedComment>
  <threadedComment ref="C11" dT="2025-12-04T09:39:19.26" personId="{FB56CCA9-C6B3-4A45-BA07-5F37199B638F}" id="{CCBCB1E3-6BFF-4E73-BE23-7715326CEA40}">
    <text>Actual energy is taken from total inverter energy</text>
  </threadedComment>
  <threadedComment ref="C37" dT="2025-12-04T11:11:11.43" personId="{9926D1DD-A286-4523-8D5C-9CB3570AB5F9}" id="{FA3229AD-4956-43E8-82BE-1BAD4F677D82}">
    <text>Actual energy is taken from total inverter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114200" TargetMode="External"/><Relationship Id="rId21" Type="http://schemas.openxmlformats.org/officeDocument/2006/relationships/hyperlink" Target="https://us3.assetplanner.com/service_request?ID=106741" TargetMode="External"/><Relationship Id="rId42" Type="http://schemas.openxmlformats.org/officeDocument/2006/relationships/hyperlink" Target="https://us3.assetplanner.com/service_request?ID=111737" TargetMode="External"/><Relationship Id="rId47" Type="http://schemas.openxmlformats.org/officeDocument/2006/relationships/hyperlink" Target="https://us3.assetplanner.com/service_request?ID=110688" TargetMode="External"/><Relationship Id="rId63" Type="http://schemas.openxmlformats.org/officeDocument/2006/relationships/hyperlink" Target="https://us3.assetplanner.com/service_request?ID=112530" TargetMode="External"/><Relationship Id="rId68" Type="http://schemas.openxmlformats.org/officeDocument/2006/relationships/hyperlink" Target="https://us3.assetplanner.com/service_request?ID=114203" TargetMode="External"/><Relationship Id="rId2" Type="http://schemas.openxmlformats.org/officeDocument/2006/relationships/hyperlink" Target="https://us3.assetplanner.com/service_request?ID=114708" TargetMode="External"/><Relationship Id="rId16" Type="http://schemas.openxmlformats.org/officeDocument/2006/relationships/hyperlink" Target="https://us3.assetplanner.com/service_request?ID=109260" TargetMode="External"/><Relationship Id="rId29" Type="http://schemas.openxmlformats.org/officeDocument/2006/relationships/hyperlink" Target="https://us3.assetplanner.com/service_request?ID=090375" TargetMode="External"/><Relationship Id="rId11" Type="http://schemas.openxmlformats.org/officeDocument/2006/relationships/hyperlink" Target="https://us3.assetplanner.com/service_request?ID=105403" TargetMode="External"/><Relationship Id="rId24" Type="http://schemas.openxmlformats.org/officeDocument/2006/relationships/hyperlink" Target="https://us3.assetplanner.com/service_request?ID=105063" TargetMode="External"/><Relationship Id="rId32" Type="http://schemas.openxmlformats.org/officeDocument/2006/relationships/hyperlink" Target="https://us3.assetplanner.com/service_request?ID=089461" TargetMode="External"/><Relationship Id="rId37" Type="http://schemas.openxmlformats.org/officeDocument/2006/relationships/hyperlink" Target="https://us3.assetplanner.com/service_request?ID=114191" TargetMode="External"/><Relationship Id="rId40" Type="http://schemas.openxmlformats.org/officeDocument/2006/relationships/hyperlink" Target="https://us3.assetplanner.com/service_request?ID=111285" TargetMode="External"/><Relationship Id="rId45" Type="http://schemas.openxmlformats.org/officeDocument/2006/relationships/hyperlink" Target="https://us3.assetplanner.com/service_request?ID=114173" TargetMode="External"/><Relationship Id="rId53" Type="http://schemas.openxmlformats.org/officeDocument/2006/relationships/hyperlink" Target="https://us3.assetplanner.com/service_request?ID=108694" TargetMode="External"/><Relationship Id="rId58" Type="http://schemas.openxmlformats.org/officeDocument/2006/relationships/hyperlink" Target="https://us3.assetplanner.com/service_request?ID=107807" TargetMode="External"/><Relationship Id="rId66" Type="http://schemas.openxmlformats.org/officeDocument/2006/relationships/hyperlink" Target="https://us3.assetplanner.com/service_request?ID=114782" TargetMode="External"/><Relationship Id="rId5" Type="http://schemas.openxmlformats.org/officeDocument/2006/relationships/hyperlink" Target="https://us3.assetplanner.com/service_request?ID=108676" TargetMode="External"/><Relationship Id="rId61" Type="http://schemas.openxmlformats.org/officeDocument/2006/relationships/hyperlink" Target="https://us3.assetplanner.com/service_request?ID=105126" TargetMode="External"/><Relationship Id="rId19" Type="http://schemas.openxmlformats.org/officeDocument/2006/relationships/hyperlink" Target="https://us3.assetplanner.com/service_request?ID=110826" TargetMode="External"/><Relationship Id="rId14" Type="http://schemas.openxmlformats.org/officeDocument/2006/relationships/hyperlink" Target="https://us3.assetplanner.com/service_request?ID=109478" TargetMode="External"/><Relationship Id="rId22" Type="http://schemas.openxmlformats.org/officeDocument/2006/relationships/hyperlink" Target="https://us3.assetplanner.com/service_request?ID=111715" TargetMode="External"/><Relationship Id="rId27" Type="http://schemas.openxmlformats.org/officeDocument/2006/relationships/hyperlink" Target="https://us3.assetplanner.com/service_request?ID=104027" TargetMode="External"/><Relationship Id="rId30" Type="http://schemas.openxmlformats.org/officeDocument/2006/relationships/hyperlink" Target="https://us3.assetplanner.com/service_request?ID=105124" TargetMode="External"/><Relationship Id="rId35" Type="http://schemas.openxmlformats.org/officeDocument/2006/relationships/hyperlink" Target="https://us3.assetplanner.com/service_request?ID=113878" TargetMode="External"/><Relationship Id="rId43" Type="http://schemas.openxmlformats.org/officeDocument/2006/relationships/hyperlink" Target="https://us3.assetplanner.com/service_request?ID=108289" TargetMode="External"/><Relationship Id="rId48" Type="http://schemas.openxmlformats.org/officeDocument/2006/relationships/hyperlink" Target="https://us3.assetplanner.com/service_request?ID=108213" TargetMode="External"/><Relationship Id="rId56" Type="http://schemas.openxmlformats.org/officeDocument/2006/relationships/hyperlink" Target="https://us3.assetplanner.com/service_request?ID=110590" TargetMode="External"/><Relationship Id="rId64" Type="http://schemas.openxmlformats.org/officeDocument/2006/relationships/hyperlink" Target="https://us3.assetplanner.com/service_request?ID=110601" TargetMode="External"/><Relationship Id="rId69" Type="http://schemas.openxmlformats.org/officeDocument/2006/relationships/hyperlink" Target="https://us3.assetplanner.com/service_request?ID=114892" TargetMode="External"/><Relationship Id="rId8" Type="http://schemas.openxmlformats.org/officeDocument/2006/relationships/hyperlink" Target="https://us3.assetplanner.com/service_request?ID=103499" TargetMode="External"/><Relationship Id="rId51" Type="http://schemas.openxmlformats.org/officeDocument/2006/relationships/hyperlink" Target="https://us3.assetplanner.com/service_request?ID=109811" TargetMode="External"/><Relationship Id="rId72" Type="http://schemas.openxmlformats.org/officeDocument/2006/relationships/hyperlink" Target="https://us3.assetplanner.com/service_request?ID=114419" TargetMode="External"/><Relationship Id="rId3" Type="http://schemas.openxmlformats.org/officeDocument/2006/relationships/hyperlink" Target="https://us3.assetplanner.com/service_request?ID=113990" TargetMode="External"/><Relationship Id="rId12" Type="http://schemas.openxmlformats.org/officeDocument/2006/relationships/hyperlink" Target="https://us3.assetplanner.com/service_request?ID=095623" TargetMode="External"/><Relationship Id="rId17" Type="http://schemas.openxmlformats.org/officeDocument/2006/relationships/hyperlink" Target="https://us3.assetplanner.com/service_request?ID=110823" TargetMode="External"/><Relationship Id="rId25" Type="http://schemas.openxmlformats.org/officeDocument/2006/relationships/hyperlink" Target="https://us3.assetplanner.com/service_request?ID=113382" TargetMode="External"/><Relationship Id="rId33" Type="http://schemas.openxmlformats.org/officeDocument/2006/relationships/hyperlink" Target="https://us3.assetplanner.com/service_request?ID=105124" TargetMode="External"/><Relationship Id="rId38" Type="http://schemas.openxmlformats.org/officeDocument/2006/relationships/hyperlink" Target="https://us3.assetplanner.com/service_request?ID=105133" TargetMode="External"/><Relationship Id="rId46" Type="http://schemas.openxmlformats.org/officeDocument/2006/relationships/hyperlink" Target="https://us3.assetplanner.com/service_request?ID=104249" TargetMode="External"/><Relationship Id="rId59" Type="http://schemas.openxmlformats.org/officeDocument/2006/relationships/hyperlink" Target="https://us3.assetplanner.com/service_request?ID=113032" TargetMode="External"/><Relationship Id="rId67" Type="http://schemas.openxmlformats.org/officeDocument/2006/relationships/hyperlink" Target="https://us3.assetplanner.com/service_request?ID=114783" TargetMode="External"/><Relationship Id="rId20" Type="http://schemas.openxmlformats.org/officeDocument/2006/relationships/hyperlink" Target="https://us3.assetplanner.com/service_request?ID=111114" TargetMode="External"/><Relationship Id="rId41" Type="http://schemas.openxmlformats.org/officeDocument/2006/relationships/hyperlink" Target="https://us3.assetplanner.com/service_request?ID=112280" TargetMode="External"/><Relationship Id="rId54" Type="http://schemas.openxmlformats.org/officeDocument/2006/relationships/hyperlink" Target="https://us3.assetplanner.com/service_request?ID=112430" TargetMode="External"/><Relationship Id="rId62" Type="http://schemas.openxmlformats.org/officeDocument/2006/relationships/hyperlink" Target="https://us3.assetplanner.com/service_request?ID=108137" TargetMode="External"/><Relationship Id="rId70" Type="http://schemas.openxmlformats.org/officeDocument/2006/relationships/hyperlink" Target="https://us3.assetplanner.com/service_request?ID=112560" TargetMode="External"/><Relationship Id="rId1" Type="http://schemas.openxmlformats.org/officeDocument/2006/relationships/hyperlink" Target="https://us3.assetplanner.com/service_request?ID=111409" TargetMode="External"/><Relationship Id="rId6" Type="http://schemas.openxmlformats.org/officeDocument/2006/relationships/hyperlink" Target="https://us3.assetplanner.com/service_request?ID=107924" TargetMode="External"/><Relationship Id="rId15" Type="http://schemas.openxmlformats.org/officeDocument/2006/relationships/hyperlink" Target="https://us3.assetplanner.com/service_request?ID=109483" TargetMode="External"/><Relationship Id="rId23" Type="http://schemas.openxmlformats.org/officeDocument/2006/relationships/hyperlink" Target="https://us3.assetplanner.com/service_request?ID=105065" TargetMode="External"/><Relationship Id="rId28" Type="http://schemas.openxmlformats.org/officeDocument/2006/relationships/hyperlink" Target="https://us3.assetplanner.com/service_request?ID=102346" TargetMode="External"/><Relationship Id="rId36" Type="http://schemas.openxmlformats.org/officeDocument/2006/relationships/hyperlink" Target="https://us3.assetplanner.com/service_request?ID=092276" TargetMode="External"/><Relationship Id="rId49" Type="http://schemas.openxmlformats.org/officeDocument/2006/relationships/hyperlink" Target="https://us3.assetplanner.com/service_request?ID=104249" TargetMode="External"/><Relationship Id="rId57" Type="http://schemas.openxmlformats.org/officeDocument/2006/relationships/hyperlink" Target="https://us3.assetplanner.com/service_request?ID=114127" TargetMode="External"/><Relationship Id="rId10" Type="http://schemas.openxmlformats.org/officeDocument/2006/relationships/hyperlink" Target="https://us3.assetplanner.com/service_request?ID=111831" TargetMode="External"/><Relationship Id="rId31" Type="http://schemas.openxmlformats.org/officeDocument/2006/relationships/hyperlink" Target="https://us3.assetplanner.com/service_request?ID=112520" TargetMode="External"/><Relationship Id="rId44" Type="http://schemas.openxmlformats.org/officeDocument/2006/relationships/hyperlink" Target="https://us3.assetplanner.com/service_request?ID=105129" TargetMode="External"/><Relationship Id="rId52" Type="http://schemas.openxmlformats.org/officeDocument/2006/relationships/hyperlink" Target="https://us3.assetplanner.com/service_request?ID=109932" TargetMode="External"/><Relationship Id="rId60" Type="http://schemas.openxmlformats.org/officeDocument/2006/relationships/hyperlink" Target="https://us3.assetplanner.com/service_request?ID=111374" TargetMode="External"/><Relationship Id="rId65" Type="http://schemas.openxmlformats.org/officeDocument/2006/relationships/hyperlink" Target="https://us3.assetplanner.com/service_request?ID=114198" TargetMode="External"/><Relationship Id="rId73" Type="http://schemas.openxmlformats.org/officeDocument/2006/relationships/printerSettings" Target="../printerSettings/printerSettings3.bin"/><Relationship Id="rId4" Type="http://schemas.openxmlformats.org/officeDocument/2006/relationships/hyperlink" Target="https://us3.assetplanner.com/service_request?ID=114652" TargetMode="External"/><Relationship Id="rId9" Type="http://schemas.openxmlformats.org/officeDocument/2006/relationships/hyperlink" Target="https://us3.assetplanner.com/service_request?ID=114087" TargetMode="External"/><Relationship Id="rId13" Type="http://schemas.openxmlformats.org/officeDocument/2006/relationships/hyperlink" Target="https://us3.assetplanner.com/service_request?ID=108240" TargetMode="External"/><Relationship Id="rId18" Type="http://schemas.openxmlformats.org/officeDocument/2006/relationships/hyperlink" Target="https://us3.assetplanner.com/service_request?ID=091550" TargetMode="External"/><Relationship Id="rId39" Type="http://schemas.openxmlformats.org/officeDocument/2006/relationships/hyperlink" Target="https://us3.assetplanner.com/service_request?ID=110453" TargetMode="External"/><Relationship Id="rId34" Type="http://schemas.openxmlformats.org/officeDocument/2006/relationships/hyperlink" Target="https://us3.assetplanner.com/service_request?ID=101136" TargetMode="External"/><Relationship Id="rId50" Type="http://schemas.openxmlformats.org/officeDocument/2006/relationships/hyperlink" Target="https://us3.assetplanner.com/service_request?ID=105759" TargetMode="External"/><Relationship Id="rId55" Type="http://schemas.openxmlformats.org/officeDocument/2006/relationships/hyperlink" Target="https://us3.assetplanner.com/service_request?ID=114794" TargetMode="External"/><Relationship Id="rId7" Type="http://schemas.openxmlformats.org/officeDocument/2006/relationships/hyperlink" Target="https://us3.assetplanner.com/service_request?ID=095654" TargetMode="External"/><Relationship Id="rId71" Type="http://schemas.openxmlformats.org/officeDocument/2006/relationships/hyperlink" Target="https://us3.assetplanner.com/service_request?ID=113885"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2153" TargetMode="External"/><Relationship Id="rId1" Type="http://schemas.openxmlformats.org/officeDocument/2006/relationships/hyperlink" Target="https://us3.assetplanner.com/service_request?ID=10128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4174" TargetMode="External"/><Relationship Id="rId2" Type="http://schemas.openxmlformats.org/officeDocument/2006/relationships/hyperlink" Target="https://us3.assetplanner.com/service_request?ID=101136" TargetMode="External"/><Relationship Id="rId1" Type="http://schemas.openxmlformats.org/officeDocument/2006/relationships/hyperlink" Target="https://us3.assetplanner.com/service_request?ID=10512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4174" TargetMode="External"/><Relationship Id="rId2" Type="http://schemas.openxmlformats.org/officeDocument/2006/relationships/hyperlink" Target="https://us3.assetplanner.com/service_request?ID=101136" TargetMode="External"/><Relationship Id="rId1" Type="http://schemas.openxmlformats.org/officeDocument/2006/relationships/hyperlink" Target="https://us3.assetplanner.com/service_request?ID=10512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1136" TargetMode="External"/><Relationship Id="rId2" Type="http://schemas.openxmlformats.org/officeDocument/2006/relationships/hyperlink" Target="https://us3.assetplanner.com/service_request?ID=105124" TargetMode="External"/><Relationship Id="rId1" Type="http://schemas.openxmlformats.org/officeDocument/2006/relationships/hyperlink" Target="https://us3.assetplanner.com/service_request?ID=08946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101136" TargetMode="External"/><Relationship Id="rId7" Type="http://schemas.microsoft.com/office/2017/10/relationships/threadedComment" Target="../threadedComments/threadedComment1.xml"/><Relationship Id="rId2" Type="http://schemas.openxmlformats.org/officeDocument/2006/relationships/hyperlink" Target="https://us3.assetplanner.com/service_request?ID=105124" TargetMode="External"/><Relationship Id="rId1" Type="http://schemas.openxmlformats.org/officeDocument/2006/relationships/hyperlink" Target="https://us3.assetplanner.com/service_request?ID=08946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hyperlink" Target="https://us3.assetplanner.com/service_request?ID=101136" TargetMode="External"/><Relationship Id="rId1" Type="http://schemas.openxmlformats.org/officeDocument/2006/relationships/hyperlink" Target="https://us3.assetplanner.com/service_request?ID=105124"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Normal="100" workbookViewId="0">
      <pane xSplit="2" ySplit="3" topLeftCell="C57" activePane="bottomRight" state="frozen"/>
      <selection pane="bottomRight" activeCell="E79" sqref="E7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35" t="str" cm="1">
        <f t="array" ref="A1">portfolio</f>
        <v>Silicon Ranch</v>
      </c>
      <c r="B1" s="135"/>
      <c r="C1" s="135"/>
      <c r="D1" s="136" t="s">
        <v>0</v>
      </c>
      <c r="E1" s="136"/>
      <c r="F1" s="136"/>
      <c r="G1" s="134" t="s">
        <v>1</v>
      </c>
      <c r="H1" s="134"/>
      <c r="I1" s="134"/>
    </row>
    <row r="2" spans="1:11" ht="19.5" customHeight="1">
      <c r="A2" s="137" t="s">
        <v>2</v>
      </c>
      <c r="B2" s="137"/>
      <c r="C2" s="5">
        <f>SUM(C4:C99)</f>
        <v>1984478.15</v>
      </c>
      <c r="D2" s="5">
        <f>SUM(D4:D99)</f>
        <v>1107350</v>
      </c>
      <c r="E2" s="5">
        <f>C2-D2</f>
        <v>877128.14999999991</v>
      </c>
      <c r="F2" s="6">
        <f>IFERROR(E2/D2, 0)</f>
        <v>0.79209658192983234</v>
      </c>
      <c r="G2" s="5">
        <f>SUM(G4:G99)</f>
        <v>1915460.74</v>
      </c>
      <c r="H2" s="7">
        <f>C2-G2</f>
        <v>69017.409999999916</v>
      </c>
      <c r="I2" s="6">
        <f>IFERROR(H2/G2, 0)</f>
        <v>3.6031753905851352E-2</v>
      </c>
    </row>
    <row r="3" spans="1:11" ht="14.25" customHeight="1">
      <c r="A3" s="8" t="s">
        <v>3</v>
      </c>
      <c r="B3" s="8" t="s">
        <v>4</v>
      </c>
      <c r="C3" s="23" t="s">
        <v>5</v>
      </c>
      <c r="D3" s="35" t="s">
        <v>6</v>
      </c>
      <c r="E3" s="35" t="s">
        <v>7</v>
      </c>
      <c r="F3" s="36" t="s">
        <v>8</v>
      </c>
      <c r="G3" s="37" t="s">
        <v>9</v>
      </c>
      <c r="H3" s="38" t="s">
        <v>7</v>
      </c>
      <c r="I3" s="39" t="s">
        <v>8</v>
      </c>
    </row>
    <row r="4" spans="1:11" ht="15.6">
      <c r="A4" s="50" t="str" cm="1">
        <f t="array" ref="A4:A69">Sites[Site]</f>
        <v>Iron Mountain - Windsor</v>
      </c>
      <c r="B4" s="32" t="str" cm="1">
        <f t="array" ref="B4:B69">Sites[State]</f>
        <v>CT</v>
      </c>
      <c r="C4" s="24">
        <f>SUM('1st Qtr'!C4, '2nd Qtr'!C4, '3rd Qtr'!C4, '4th Qtr'!C4)</f>
        <v>6816</v>
      </c>
      <c r="D4" s="13">
        <f>SUM('1st Qtr'!D4, '2nd Qtr'!D4, '3rd Qtr'!D4, '4th Qtr'!D4)</f>
        <v>6764</v>
      </c>
      <c r="E4" s="13">
        <f>IF(AND(ISNUMBER(C4),ISNUMBER(D4)), C4-D4, "")</f>
        <v>52</v>
      </c>
      <c r="F4" s="14">
        <f>IFERROR(E4/D4, "")</f>
        <v>7.68775872264932E-3</v>
      </c>
      <c r="G4" s="15">
        <f>SUM('1st Qtr'!G4, '2nd Qtr'!G4, '3rd Qtr'!G4, '4th Qtr'!G4)</f>
        <v>12840.66</v>
      </c>
      <c r="H4" s="15">
        <f>SUM('1st Qtr'!H4, '2nd Qtr'!H4, '3rd Qtr'!H4, '4th Qtr'!H4)</f>
        <v>-6024.66</v>
      </c>
      <c r="I4" s="16">
        <f>IFERROR(H4/G4, "")</f>
        <v>-0.46918616332805324</v>
      </c>
      <c r="K4" s="100">
        <f>C4-G4</f>
        <v>-6024.66</v>
      </c>
    </row>
    <row r="5" spans="1:11" ht="15.6">
      <c r="A5" s="51" t="str">
        <v>Kohls - Auburn</v>
      </c>
      <c r="B5" s="30" t="str">
        <v>NY</v>
      </c>
      <c r="C5" s="11">
        <f>SUM('1st Qtr'!C5, '2nd Qtr'!C5, '3rd Qtr'!C5, '4th Qtr'!C5)</f>
        <v>645</v>
      </c>
      <c r="D5" s="18">
        <f>SUM('1st Qtr'!D5, '2nd Qtr'!D5, '3rd Qtr'!D5, '4th Qtr'!D5)</f>
        <v>645</v>
      </c>
      <c r="E5" s="18">
        <f t="shared" ref="E5:E15" si="0">IF(AND(ISNUMBER(C5),ISNUMBER(D5)), C5-D5, "")</f>
        <v>0</v>
      </c>
      <c r="F5" s="19">
        <f>IFERROR(E5/D5, "")</f>
        <v>0</v>
      </c>
      <c r="G5" s="20">
        <f>SUM('1st Qtr'!G5, '2nd Qtr'!G5, '3rd Qtr'!G5, '4th Qtr'!G5)</f>
        <v>4715.29</v>
      </c>
      <c r="H5" s="20">
        <f>SUM('1st Qtr'!H5, '2nd Qtr'!H5, '3rd Qtr'!H5, '4th Qtr'!H5)</f>
        <v>-4070.29</v>
      </c>
      <c r="I5" s="19">
        <f>IFERROR(H5/G5, "")</f>
        <v>-0.86321095839280304</v>
      </c>
      <c r="K5" s="100">
        <f t="shared" ref="K5:K68" si="1">C5-G5</f>
        <v>-4070.29</v>
      </c>
    </row>
    <row r="6" spans="1:11" ht="15.6">
      <c r="A6" s="52" t="str">
        <v>Kohls - Bensalem</v>
      </c>
      <c r="B6" s="28" t="str">
        <v>PA</v>
      </c>
      <c r="C6" s="24">
        <f>SUM('1st Qtr'!C6, '2nd Qtr'!C6, '3rd Qtr'!C6, '4th Qtr'!C6)</f>
        <v>10621</v>
      </c>
      <c r="D6" s="13">
        <f>SUM('1st Qtr'!D6, '2nd Qtr'!D6, '3rd Qtr'!D6, '4th Qtr'!D6)</f>
        <v>0</v>
      </c>
      <c r="E6" s="13">
        <f t="shared" si="0"/>
        <v>10621</v>
      </c>
      <c r="F6" s="14" t="str">
        <f t="shared" ref="F6:F15" si="2">IFERROR(E6/D6, "")</f>
        <v/>
      </c>
      <c r="G6" s="15">
        <f>SUM('1st Qtr'!G6, '2nd Qtr'!G6, '3rd Qtr'!G6, '4th Qtr'!G6)</f>
        <v>15534.61</v>
      </c>
      <c r="H6" s="15">
        <f>SUM('1st Qtr'!H6, '2nd Qtr'!H6, '3rd Qtr'!H6, '4th Qtr'!H6)</f>
        <v>-4913.6100000000006</v>
      </c>
      <c r="I6" s="16">
        <f t="shared" ref="I6:I15" si="3">IFERROR(H6/G6, "")</f>
        <v>-0.31630082763584028</v>
      </c>
      <c r="K6" s="100">
        <f t="shared" si="1"/>
        <v>-4913.6100000000006</v>
      </c>
    </row>
    <row r="7" spans="1:11" ht="15.6">
      <c r="A7" s="51" t="str">
        <v>Kohls - Brick</v>
      </c>
      <c r="B7" s="30" t="str">
        <v>NJ</v>
      </c>
      <c r="C7" s="11">
        <f>SUM('1st Qtr'!C7, '2nd Qtr'!C7, '3rd Qtr'!C7, '4th Qtr'!C7)</f>
        <v>12552</v>
      </c>
      <c r="D7" s="18">
        <f>SUM('1st Qtr'!D7, '2nd Qtr'!D7, '3rd Qtr'!D7, '4th Qtr'!D7)</f>
        <v>12511</v>
      </c>
      <c r="E7" s="18">
        <f t="shared" si="0"/>
        <v>41</v>
      </c>
      <c r="F7" s="19">
        <f t="shared" si="2"/>
        <v>3.2771161377987373E-3</v>
      </c>
      <c r="G7" s="20">
        <f>SUM('1st Qtr'!G7, '2nd Qtr'!G7, '3rd Qtr'!G7, '4th Qtr'!G7)</f>
        <v>16463.560000000001</v>
      </c>
      <c r="H7" s="20">
        <f>SUM('1st Qtr'!H7, '2nd Qtr'!H7, '3rd Qtr'!H7, '4th Qtr'!H7)</f>
        <v>-3911.5600000000013</v>
      </c>
      <c r="I7" s="19">
        <f t="shared" si="3"/>
        <v>-0.23758895402938374</v>
      </c>
      <c r="K7" s="100">
        <f t="shared" si="1"/>
        <v>-3911.5600000000013</v>
      </c>
    </row>
    <row r="8" spans="1:11" ht="15.6">
      <c r="A8" s="52" t="str">
        <v>Kohls - Buffalo</v>
      </c>
      <c r="B8" s="28" t="str">
        <v>NY</v>
      </c>
      <c r="C8" s="24">
        <f>SUM('1st Qtr'!C8, '2nd Qtr'!C8, '3rd Qtr'!C8, '4th Qtr'!C8)</f>
        <v>3229</v>
      </c>
      <c r="D8" s="13">
        <f>SUM('1st Qtr'!D8, '2nd Qtr'!D8, '3rd Qtr'!D8, '4th Qtr'!D8)</f>
        <v>0</v>
      </c>
      <c r="E8" s="13">
        <f t="shared" si="0"/>
        <v>3229</v>
      </c>
      <c r="F8" s="14" t="str">
        <f t="shared" si="2"/>
        <v/>
      </c>
      <c r="G8" s="15">
        <f>SUM('1st Qtr'!G8, '2nd Qtr'!G8, '3rd Qtr'!G8, '4th Qtr'!G8)</f>
        <v>7932.35</v>
      </c>
      <c r="H8" s="15">
        <f>SUM('1st Qtr'!H8, '2nd Qtr'!H8, '3rd Qtr'!H8, '4th Qtr'!H8)</f>
        <v>-4703.3500000000004</v>
      </c>
      <c r="I8" s="16">
        <f t="shared" si="3"/>
        <v>-0.59293273746115593</v>
      </c>
      <c r="K8" s="100">
        <f t="shared" si="1"/>
        <v>-4703.3500000000004</v>
      </c>
    </row>
    <row r="9" spans="1:11" ht="15.6">
      <c r="A9" s="51" t="str">
        <v>Kohls - Canton</v>
      </c>
      <c r="B9" s="30" t="str">
        <v>CT</v>
      </c>
      <c r="C9" s="11">
        <f>SUM('1st Qtr'!C9, '2nd Qtr'!C9, '3rd Qtr'!C9, '4th Qtr'!C9)</f>
        <v>1564</v>
      </c>
      <c r="D9" s="18">
        <f>SUM('1st Qtr'!D9, '2nd Qtr'!D9, '3rd Qtr'!D9, '4th Qtr'!D9)</f>
        <v>1330</v>
      </c>
      <c r="E9" s="18">
        <f t="shared" si="0"/>
        <v>234</v>
      </c>
      <c r="F9" s="19">
        <f t="shared" si="2"/>
        <v>0.17593984962406015</v>
      </c>
      <c r="G9" s="20">
        <f>SUM('1st Qtr'!G9, '2nd Qtr'!G9, '3rd Qtr'!G9, '4th Qtr'!G9)</f>
        <v>5755.92</v>
      </c>
      <c r="H9" s="20">
        <f>SUM('1st Qtr'!H9, '2nd Qtr'!H9, '3rd Qtr'!H9, '4th Qtr'!H9)</f>
        <v>-4191.92</v>
      </c>
      <c r="I9" s="19">
        <f t="shared" si="3"/>
        <v>-0.72827975371443665</v>
      </c>
      <c r="K9" s="100">
        <f t="shared" si="1"/>
        <v>-4191.92</v>
      </c>
    </row>
    <row r="10" spans="1:11" ht="15.6">
      <c r="A10" s="52" t="str">
        <v>Kohls - East Amherst</v>
      </c>
      <c r="B10" s="28" t="str">
        <v>NY</v>
      </c>
      <c r="C10" s="24">
        <f>SUM('1st Qtr'!C10, '2nd Qtr'!C10, '3rd Qtr'!C10, '4th Qtr'!C10)</f>
        <v>1721</v>
      </c>
      <c r="D10" s="13">
        <f>SUM('1st Qtr'!D10, '2nd Qtr'!D10, '3rd Qtr'!D10, '4th Qtr'!D10)</f>
        <v>1585</v>
      </c>
      <c r="E10" s="13">
        <f t="shared" si="0"/>
        <v>136</v>
      </c>
      <c r="F10" s="14">
        <f t="shared" si="2"/>
        <v>8.5804416403785486E-2</v>
      </c>
      <c r="G10" s="15">
        <f>SUM('1st Qtr'!G10, '2nd Qtr'!G10, '3rd Qtr'!G10, '4th Qtr'!G10)</f>
        <v>8364.35</v>
      </c>
      <c r="H10" s="15">
        <f>SUM('1st Qtr'!H10, '2nd Qtr'!H10, '3rd Qtr'!H10, '4th Qtr'!H10)</f>
        <v>-6643.35</v>
      </c>
      <c r="I10" s="16">
        <f t="shared" si="3"/>
        <v>-0.79424581706886965</v>
      </c>
      <c r="K10" s="100">
        <f t="shared" si="1"/>
        <v>-6643.35</v>
      </c>
    </row>
    <row r="11" spans="1:11" ht="15.6">
      <c r="A11" s="51" t="str">
        <v>Kohls - East Brunswick</v>
      </c>
      <c r="B11" s="30" t="str">
        <v>NJ</v>
      </c>
      <c r="C11" s="11">
        <f>SUM('1st Qtr'!C11, '2nd Qtr'!C11, '3rd Qtr'!C11, '4th Qtr'!C11)</f>
        <v>13312.05</v>
      </c>
      <c r="D11" s="18">
        <f>SUM('1st Qtr'!D11, '2nd Qtr'!D11, '3rd Qtr'!D11, '4th Qtr'!D11)</f>
        <v>0</v>
      </c>
      <c r="E11" s="18">
        <f t="shared" si="0"/>
        <v>13312.05</v>
      </c>
      <c r="F11" s="19" t="str">
        <f t="shared" si="2"/>
        <v/>
      </c>
      <c r="G11" s="20">
        <f>SUM('1st Qtr'!G11, '2nd Qtr'!G11, '3rd Qtr'!G11, '4th Qtr'!G11)</f>
        <v>22969.47</v>
      </c>
      <c r="H11" s="20">
        <f>SUM('1st Qtr'!H11, '2nd Qtr'!H11, '3rd Qtr'!H11, '4th Qtr'!H11)</f>
        <v>-9657.4200000000019</v>
      </c>
      <c r="I11" s="19">
        <f t="shared" si="3"/>
        <v>-0.42044592234823014</v>
      </c>
      <c r="K11" s="100">
        <f t="shared" si="1"/>
        <v>-9657.4200000000019</v>
      </c>
    </row>
    <row r="12" spans="1:11" ht="15.6">
      <c r="A12" s="52" t="str">
        <v>Kohls - Edgewood</v>
      </c>
      <c r="B12" s="28" t="str">
        <v>MD</v>
      </c>
      <c r="C12" s="24">
        <f>SUM('1st Qtr'!C12, '2nd Qtr'!C12, '3rd Qtr'!C12, '4th Qtr'!C12)</f>
        <v>69205</v>
      </c>
      <c r="D12" s="13">
        <f>SUM('1st Qtr'!D12, '2nd Qtr'!D12, '3rd Qtr'!D12, '4th Qtr'!D12)</f>
        <v>68059</v>
      </c>
      <c r="E12" s="13">
        <f t="shared" si="0"/>
        <v>1146</v>
      </c>
      <c r="F12" s="14">
        <f t="shared" si="2"/>
        <v>1.6838331447714482E-2</v>
      </c>
      <c r="G12" s="15">
        <f>SUM('1st Qtr'!G12, '2nd Qtr'!G12, '3rd Qtr'!G12, '4th Qtr'!G12)</f>
        <v>134337.97</v>
      </c>
      <c r="H12" s="15">
        <f>SUM('1st Qtr'!H12, '2nd Qtr'!H12, '3rd Qtr'!H12, '4th Qtr'!H12)</f>
        <v>-65132.97</v>
      </c>
      <c r="I12" s="16">
        <f t="shared" si="3"/>
        <v>-0.48484408391759976</v>
      </c>
      <c r="K12" s="100">
        <f t="shared" si="1"/>
        <v>-65132.97</v>
      </c>
    </row>
    <row r="13" spans="1:11" ht="15.6">
      <c r="A13" s="51" t="str">
        <v>Kohls - Granite Run</v>
      </c>
      <c r="B13" s="30" t="str">
        <v>PA</v>
      </c>
      <c r="C13" s="11">
        <f>SUM('1st Qtr'!C13, '2nd Qtr'!C13, '3rd Qtr'!C13, '4th Qtr'!C13)</f>
        <v>9634</v>
      </c>
      <c r="D13" s="18">
        <f>SUM('1st Qtr'!D13, '2nd Qtr'!D13, '3rd Qtr'!D13, '4th Qtr'!D13)</f>
        <v>9462</v>
      </c>
      <c r="E13" s="18">
        <f t="shared" si="0"/>
        <v>172</v>
      </c>
      <c r="F13" s="19">
        <f t="shared" si="2"/>
        <v>1.8177975058127245E-2</v>
      </c>
      <c r="G13" s="20">
        <f>SUM('1st Qtr'!G13, '2nd Qtr'!G13, '3rd Qtr'!G13, '4th Qtr'!G13)</f>
        <v>15797.45</v>
      </c>
      <c r="H13" s="20">
        <f>SUM('1st Qtr'!H13, '2nd Qtr'!H13, '3rd Qtr'!H13, '4th Qtr'!H13)</f>
        <v>-6163.4500000000007</v>
      </c>
      <c r="I13" s="19">
        <f t="shared" si="3"/>
        <v>-0.39015474016376062</v>
      </c>
      <c r="K13" s="100">
        <f t="shared" si="1"/>
        <v>-6163.4500000000007</v>
      </c>
    </row>
    <row r="14" spans="1:11" ht="15.6">
      <c r="A14" s="52" t="str">
        <v>Kohls - Greece</v>
      </c>
      <c r="B14" s="28" t="str">
        <v>NY</v>
      </c>
      <c r="C14" s="24">
        <f>SUM('1st Qtr'!C14, '2nd Qtr'!C14, '3rd Qtr'!C14, '4th Qtr'!C14)</f>
        <v>2440</v>
      </c>
      <c r="D14" s="13">
        <f>SUM('1st Qtr'!D14, '2nd Qtr'!D14, '3rd Qtr'!D14, '4th Qtr'!D14)</f>
        <v>2296</v>
      </c>
      <c r="E14" s="13">
        <f t="shared" si="0"/>
        <v>144</v>
      </c>
      <c r="F14" s="14">
        <f t="shared" si="2"/>
        <v>6.2717770034843204E-2</v>
      </c>
      <c r="G14" s="15">
        <f>SUM('1st Qtr'!G14, '2nd Qtr'!G14, '3rd Qtr'!G14, '4th Qtr'!G14)</f>
        <v>9292.7099999999991</v>
      </c>
      <c r="H14" s="15">
        <f>SUM('1st Qtr'!H14, '2nd Qtr'!H14, '3rd Qtr'!H14, '4th Qtr'!H14)</f>
        <v>-6852.7099999999991</v>
      </c>
      <c r="I14" s="16">
        <f t="shared" si="3"/>
        <v>-0.73742858649414433</v>
      </c>
      <c r="K14" s="100">
        <f t="shared" si="1"/>
        <v>-6852.7099999999991</v>
      </c>
    </row>
    <row r="15" spans="1:11" ht="15.6">
      <c r="A15" s="51" t="str">
        <v>Kohls - Hanover</v>
      </c>
      <c r="B15" s="30" t="str">
        <v>PA</v>
      </c>
      <c r="C15" s="11">
        <f>SUM('1st Qtr'!C15, '2nd Qtr'!C15, '3rd Qtr'!C15, '4th Qtr'!C15)</f>
        <v>13956</v>
      </c>
      <c r="D15" s="18">
        <f>SUM('1st Qtr'!D15, '2nd Qtr'!D15, '3rd Qtr'!D15, '4th Qtr'!D15)</f>
        <v>13682</v>
      </c>
      <c r="E15" s="18">
        <f t="shared" si="0"/>
        <v>274</v>
      </c>
      <c r="F15" s="19">
        <f t="shared" si="2"/>
        <v>2.0026311942698435E-2</v>
      </c>
      <c r="G15" s="20">
        <f>SUM('1st Qtr'!G15, '2nd Qtr'!G15, '3rd Qtr'!G15, '4th Qtr'!G15)</f>
        <v>18615.25</v>
      </c>
      <c r="H15" s="20">
        <f>SUM('1st Qtr'!H15, '2nd Qtr'!H15, '3rd Qtr'!H15, '4th Qtr'!H15)</f>
        <v>-4659.25</v>
      </c>
      <c r="I15" s="19">
        <f t="shared" si="3"/>
        <v>-0.25029209921972578</v>
      </c>
      <c r="K15" s="100">
        <f t="shared" si="1"/>
        <v>-4659.25</v>
      </c>
    </row>
    <row r="16" spans="1:11" ht="15.6">
      <c r="A16" s="52" t="str">
        <v>Kohls - Horsehead</v>
      </c>
      <c r="B16" s="28" t="str">
        <v>NY</v>
      </c>
      <c r="C16" s="24">
        <f>SUM('1st Qtr'!C16, '2nd Qtr'!C16, '3rd Qtr'!C16, '4th Qtr'!C16)</f>
        <v>7602</v>
      </c>
      <c r="D16" s="13">
        <f>SUM('1st Qtr'!D16, '2nd Qtr'!D16, '3rd Qtr'!D16, '4th Qtr'!D16)</f>
        <v>7428</v>
      </c>
      <c r="E16" s="13">
        <f t="shared" ref="E16:E19" si="4">IF(AND(ISNUMBER(C16),ISNUMBER(D16)), C16-D16, "")</f>
        <v>174</v>
      </c>
      <c r="F16" s="14">
        <f t="shared" ref="F16:F19" si="5">IFERROR(E16/D16, "")</f>
        <v>2.3424878836833602E-2</v>
      </c>
      <c r="G16" s="15">
        <f>SUM('1st Qtr'!G16, '2nd Qtr'!G16, '3rd Qtr'!G16, '4th Qtr'!G16)</f>
        <v>12592.49</v>
      </c>
      <c r="H16" s="15">
        <f>SUM('1st Qtr'!H16, '2nd Qtr'!H16, '3rd Qtr'!H16, '4th Qtr'!H16)</f>
        <v>-4990.49</v>
      </c>
      <c r="I16" s="16">
        <f t="shared" ref="I16:I19" si="6">IFERROR(H16/G16, "")</f>
        <v>-0.39630684638224845</v>
      </c>
      <c r="K16" s="100">
        <f t="shared" si="1"/>
        <v>-4990.49</v>
      </c>
    </row>
    <row r="17" spans="1:11" ht="15.6">
      <c r="A17" s="51" t="str">
        <v>Kohls - Hudson</v>
      </c>
      <c r="B17" s="30" t="str">
        <v>NY</v>
      </c>
      <c r="C17" s="11">
        <f>SUM('1st Qtr'!C17, '2nd Qtr'!C17, '3rd Qtr'!C17, '4th Qtr'!C17)</f>
        <v>5478</v>
      </c>
      <c r="D17" s="18">
        <f>SUM('1st Qtr'!D17, '2nd Qtr'!D17, '3rd Qtr'!D17, '4th Qtr'!D17)</f>
        <v>0</v>
      </c>
      <c r="E17" s="18">
        <f t="shared" si="4"/>
        <v>5478</v>
      </c>
      <c r="F17" s="19" t="str">
        <f t="shared" si="5"/>
        <v/>
      </c>
      <c r="G17" s="20">
        <f>SUM('1st Qtr'!G17, '2nd Qtr'!G17, '3rd Qtr'!G17, '4th Qtr'!G17)</f>
        <v>12675.21</v>
      </c>
      <c r="H17" s="20">
        <f>SUM('1st Qtr'!H17, '2nd Qtr'!H17, '3rd Qtr'!H17, '4th Qtr'!H17)</f>
        <v>-7197.2099999999991</v>
      </c>
      <c r="I17" s="19">
        <f t="shared" si="6"/>
        <v>-0.56781781130253461</v>
      </c>
      <c r="K17" s="100">
        <f t="shared" si="1"/>
        <v>-7197.2099999999991</v>
      </c>
    </row>
    <row r="18" spans="1:11" ht="12.75" customHeight="1">
      <c r="A18" s="52" t="str">
        <v>Kohls - Ithaca</v>
      </c>
      <c r="B18" s="28" t="str">
        <v>NY</v>
      </c>
      <c r="C18" s="24">
        <f>SUM('1st Qtr'!C18, '2nd Qtr'!C18, '3rd Qtr'!C18, '4th Qtr'!C18)</f>
        <v>5406</v>
      </c>
      <c r="D18" s="13">
        <f>SUM('1st Qtr'!D18, '2nd Qtr'!D18, '3rd Qtr'!D18, '4th Qtr'!D18)</f>
        <v>5279</v>
      </c>
      <c r="E18" s="13">
        <f t="shared" si="4"/>
        <v>127</v>
      </c>
      <c r="F18" s="14">
        <f t="shared" si="5"/>
        <v>2.4057586664140936E-2</v>
      </c>
      <c r="G18" s="15">
        <f>SUM('1st Qtr'!G18, '2nd Qtr'!G18, '3rd Qtr'!G18, '4th Qtr'!G18)</f>
        <v>11746.86</v>
      </c>
      <c r="H18" s="15">
        <f>SUM('1st Qtr'!H18, '2nd Qtr'!H18, '3rd Qtr'!H18, '4th Qtr'!H18)</f>
        <v>-6340.8600000000006</v>
      </c>
      <c r="I18" s="16">
        <f t="shared" si="6"/>
        <v>-0.53979191034880813</v>
      </c>
      <c r="K18" s="100">
        <f t="shared" si="1"/>
        <v>-6340.8600000000006</v>
      </c>
    </row>
    <row r="19" spans="1:11" ht="15.6">
      <c r="A19" s="51" t="str">
        <v>Kohls - Kingston</v>
      </c>
      <c r="B19" s="30" t="str">
        <v>NY</v>
      </c>
      <c r="C19" s="11">
        <f>SUM('1st Qtr'!C19, '2nd Qtr'!C19, '3rd Qtr'!C19, '4th Qtr'!C19)</f>
        <v>5082</v>
      </c>
      <c r="D19" s="18">
        <f>SUM('1st Qtr'!D19, '2nd Qtr'!D19, '3rd Qtr'!D19, '4th Qtr'!D19)</f>
        <v>5015</v>
      </c>
      <c r="E19" s="18">
        <f t="shared" si="4"/>
        <v>67</v>
      </c>
      <c r="F19" s="19">
        <f t="shared" si="5"/>
        <v>1.3359920239282154E-2</v>
      </c>
      <c r="G19" s="20">
        <f>SUM('1st Qtr'!G19, '2nd Qtr'!G19, '3rd Qtr'!G19, '4th Qtr'!G19)</f>
        <v>22069.03</v>
      </c>
      <c r="H19" s="20">
        <f>SUM('1st Qtr'!H19, '2nd Qtr'!H19, '3rd Qtr'!H19, '4th Qtr'!H19)</f>
        <v>-16987.03</v>
      </c>
      <c r="I19" s="19">
        <f t="shared" si="6"/>
        <v>-0.7697225478419305</v>
      </c>
      <c r="K19" s="100">
        <f t="shared" si="1"/>
        <v>-16987.03</v>
      </c>
    </row>
    <row r="20" spans="1:11" ht="15.6">
      <c r="A20" s="52" t="str">
        <v>Kohls - Mechanicsburg</v>
      </c>
      <c r="B20" s="28" t="str">
        <v>PA</v>
      </c>
      <c r="C20" s="24">
        <f>SUM('1st Qtr'!C20, '2nd Qtr'!C20, '3rd Qtr'!C20, '4th Qtr'!C20)</f>
        <v>13803</v>
      </c>
      <c r="D20" s="13">
        <f>SUM('1st Qtr'!D20, '2nd Qtr'!D20, '3rd Qtr'!D20, '4th Qtr'!D20)</f>
        <v>13468</v>
      </c>
      <c r="E20" s="13">
        <f t="shared" ref="E20:E25" si="7">IF(AND(ISNUMBER(C20),ISNUMBER(D20)), C20-D20, "")</f>
        <v>335</v>
      </c>
      <c r="F20" s="14">
        <f t="shared" ref="F20:F25" si="8">IFERROR(E20/D20, "")</f>
        <v>2.4873774873774873E-2</v>
      </c>
      <c r="G20" s="15">
        <f>SUM('1st Qtr'!G20, '2nd Qtr'!G20, '3rd Qtr'!G20, '4th Qtr'!G20)</f>
        <v>21317.040000000001</v>
      </c>
      <c r="H20" s="15">
        <f>SUM('1st Qtr'!H20, '2nd Qtr'!H20, '3rd Qtr'!H20, '4th Qtr'!H20)</f>
        <v>-7514.0400000000009</v>
      </c>
      <c r="I20" s="16">
        <f t="shared" ref="I20:I25" si="9">IFERROR(H20/G20, "")</f>
        <v>-0.35248983911462384</v>
      </c>
      <c r="K20" s="100">
        <f t="shared" si="1"/>
        <v>-7514.0400000000009</v>
      </c>
    </row>
    <row r="21" spans="1:11" ht="15.6">
      <c r="A21" s="51" t="str">
        <v>Kohls - Middletown</v>
      </c>
      <c r="B21" s="30" t="str">
        <v>NJ</v>
      </c>
      <c r="C21" s="11">
        <f>SUM('1st Qtr'!C21, '2nd Qtr'!C21, '3rd Qtr'!C21, '4th Qtr'!C21)</f>
        <v>18759</v>
      </c>
      <c r="D21" s="18">
        <f>SUM('1st Qtr'!D21, '2nd Qtr'!D21, '3rd Qtr'!D21, '4th Qtr'!D21)</f>
        <v>18144</v>
      </c>
      <c r="E21" s="18">
        <f t="shared" si="7"/>
        <v>615</v>
      </c>
      <c r="F21" s="19">
        <f t="shared" si="8"/>
        <v>3.3895502645502645E-2</v>
      </c>
      <c r="G21" s="20">
        <f>SUM('1st Qtr'!G21, '2nd Qtr'!G21, '3rd Qtr'!G21, '4th Qtr'!G21)</f>
        <v>29222.37</v>
      </c>
      <c r="H21" s="20">
        <f>SUM('1st Qtr'!H21, '2nd Qtr'!H21, '3rd Qtr'!H21, '4th Qtr'!H21)</f>
        <v>-10463.369999999999</v>
      </c>
      <c r="I21" s="19">
        <f t="shared" si="9"/>
        <v>-0.35806028053166117</v>
      </c>
      <c r="K21" s="100">
        <f t="shared" si="1"/>
        <v>-10463.369999999999</v>
      </c>
    </row>
    <row r="22" spans="1:11" ht="15.6">
      <c r="A22" s="52" t="str">
        <v>Kohls - North Amherst</v>
      </c>
      <c r="B22" s="28" t="str">
        <v>NY</v>
      </c>
      <c r="C22" s="24">
        <f>SUM('1st Qtr'!C22, '2nd Qtr'!C22, '3rd Qtr'!C22, '4th Qtr'!C22)</f>
        <v>2216</v>
      </c>
      <c r="D22" s="13">
        <f>SUM('1st Qtr'!D22, '2nd Qtr'!D22, '3rd Qtr'!D22, '4th Qtr'!D22)</f>
        <v>2114</v>
      </c>
      <c r="E22" s="13">
        <f t="shared" si="7"/>
        <v>102</v>
      </c>
      <c r="F22" s="14">
        <f t="shared" si="8"/>
        <v>4.8249763481551564E-2</v>
      </c>
      <c r="G22" s="15">
        <f>SUM('1st Qtr'!G22, '2nd Qtr'!G22, '3rd Qtr'!G22, '4th Qtr'!G22)</f>
        <v>6434.12</v>
      </c>
      <c r="H22" s="15">
        <f>SUM('1st Qtr'!H22, '2nd Qtr'!H22, '3rd Qtr'!H22, '4th Qtr'!H22)</f>
        <v>-4218.12</v>
      </c>
      <c r="I22" s="16">
        <f t="shared" si="9"/>
        <v>-0.65558615630420325</v>
      </c>
      <c r="K22" s="100">
        <f t="shared" si="1"/>
        <v>-4218.12</v>
      </c>
    </row>
    <row r="23" spans="1:11" ht="15.6">
      <c r="A23" s="51" t="str">
        <v>Kohls - Staten Island</v>
      </c>
      <c r="B23" s="30" t="str">
        <v>NY</v>
      </c>
      <c r="C23" s="11">
        <f>SUM('1st Qtr'!C23, '2nd Qtr'!C23, '3rd Qtr'!C23, '4th Qtr'!C23)</f>
        <v>7744</v>
      </c>
      <c r="D23" s="18">
        <f>SUM('1st Qtr'!D23, '2nd Qtr'!D23, '3rd Qtr'!D23, '4th Qtr'!D23)</f>
        <v>0</v>
      </c>
      <c r="E23" s="18">
        <f t="shared" si="7"/>
        <v>7744</v>
      </c>
      <c r="F23" s="19" t="str">
        <f t="shared" si="8"/>
        <v/>
      </c>
      <c r="G23" s="20">
        <f>SUM('1st Qtr'!G23, '2nd Qtr'!G23, '3rd Qtr'!G23, '4th Qtr'!G23)</f>
        <v>15260.77</v>
      </c>
      <c r="H23" s="20">
        <f>SUM('1st Qtr'!H23, '2nd Qtr'!H23, '3rd Qtr'!H23, '4th Qtr'!H23)</f>
        <v>-7516.77</v>
      </c>
      <c r="I23" s="19">
        <f t="shared" si="9"/>
        <v>-0.49255509387796292</v>
      </c>
      <c r="K23" s="100">
        <f t="shared" si="1"/>
        <v>-7516.77</v>
      </c>
    </row>
    <row r="24" spans="1:11" ht="15.6">
      <c r="A24" s="52" t="str">
        <v>Kohls - Warminster</v>
      </c>
      <c r="B24" s="28" t="str">
        <v>PA</v>
      </c>
      <c r="C24" s="24">
        <f>SUM('1st Qtr'!C24, '2nd Qtr'!C24, '3rd Qtr'!C24, '4th Qtr'!C24)</f>
        <v>11746</v>
      </c>
      <c r="D24" s="13">
        <f>SUM('1st Qtr'!D24, '2nd Qtr'!D24, '3rd Qtr'!D24, '4th Qtr'!D24)</f>
        <v>11528</v>
      </c>
      <c r="E24" s="13">
        <f t="shared" si="7"/>
        <v>218</v>
      </c>
      <c r="F24" s="14">
        <f t="shared" si="8"/>
        <v>1.8910478834142957E-2</v>
      </c>
      <c r="G24" s="15">
        <f>SUM('1st Qtr'!G24, '2nd Qtr'!G24, '3rd Qtr'!G24, '4th Qtr'!G24)</f>
        <v>19268.71</v>
      </c>
      <c r="H24" s="15">
        <f>SUM('1st Qtr'!H24, '2nd Qtr'!H24, '3rd Qtr'!H24, '4th Qtr'!H24)</f>
        <v>-7522.7099999999991</v>
      </c>
      <c r="I24" s="16">
        <f t="shared" si="9"/>
        <v>-0.39041067097901205</v>
      </c>
      <c r="K24" s="100">
        <f t="shared" si="1"/>
        <v>-7522.7099999999991</v>
      </c>
    </row>
    <row r="25" spans="1:11" ht="15.6">
      <c r="A25" s="51" t="str">
        <v xml:space="preserve">Kohls - Waterbury </v>
      </c>
      <c r="B25" s="30" t="str">
        <v>CT</v>
      </c>
      <c r="C25" s="11">
        <f>SUM('1st Qtr'!C25, '2nd Qtr'!C25, '3rd Qtr'!C25, '4th Qtr'!C25)</f>
        <v>6175</v>
      </c>
      <c r="D25" s="18">
        <f>SUM('1st Qtr'!D25, '2nd Qtr'!D25, '3rd Qtr'!D25, '4th Qtr'!D25)</f>
        <v>6085</v>
      </c>
      <c r="E25" s="18">
        <f t="shared" si="7"/>
        <v>90</v>
      </c>
      <c r="F25" s="19">
        <f t="shared" si="8"/>
        <v>1.4790468364831553E-2</v>
      </c>
      <c r="G25" s="20">
        <f>SUM('1st Qtr'!G25, '2nd Qtr'!G25, '3rd Qtr'!G25, '4th Qtr'!G25)</f>
        <v>15189.49</v>
      </c>
      <c r="H25" s="20">
        <f>SUM('1st Qtr'!H25, '2nd Qtr'!H25, '3rd Qtr'!H25, '4th Qtr'!H25)</f>
        <v>-9014.49</v>
      </c>
      <c r="I25" s="19">
        <f t="shared" si="9"/>
        <v>-0.59346890514428063</v>
      </c>
      <c r="K25" s="100">
        <f t="shared" si="1"/>
        <v>-9014.49</v>
      </c>
    </row>
    <row r="26" spans="1:11" ht="15.6">
      <c r="A26" s="52" t="str">
        <v>Mojave Water Agency - Headquarters</v>
      </c>
      <c r="B26" s="28" t="str">
        <v>CA</v>
      </c>
      <c r="C26" s="24">
        <f>SUM('1st Qtr'!C26, '2nd Qtr'!C26, '3rd Qtr'!C26, '4th Qtr'!C26)</f>
        <v>26259</v>
      </c>
      <c r="D26" s="13">
        <f>SUM('1st Qtr'!D26, '2nd Qtr'!D26, '3rd Qtr'!D26, '4th Qtr'!D26)</f>
        <v>26144</v>
      </c>
      <c r="E26" s="13">
        <f t="shared" ref="E26:E69" si="10">IF(AND(ISNUMBER(C26),ISNUMBER(D26)), C26-D26, "")</f>
        <v>115</v>
      </c>
      <c r="F26" s="14">
        <f t="shared" ref="F26:F69" si="11">IFERROR(E26/D26, "")</f>
        <v>4.3987148102815178E-3</v>
      </c>
      <c r="G26" s="15">
        <f>SUM('1st Qtr'!G26, '2nd Qtr'!G26, '3rd Qtr'!G26, '4th Qtr'!G26)</f>
        <v>25672.5</v>
      </c>
      <c r="H26" s="15">
        <f>SUM('1st Qtr'!H26, '2nd Qtr'!H26, '3rd Qtr'!H26, '4th Qtr'!H26)</f>
        <v>586.5</v>
      </c>
      <c r="I26" s="16">
        <f t="shared" ref="I26:I69" si="12">IFERROR(H26/G26, "")</f>
        <v>2.2845457201285422E-2</v>
      </c>
      <c r="K26" s="100">
        <f t="shared" si="1"/>
        <v>586.5</v>
      </c>
    </row>
    <row r="27" spans="1:11" ht="15.6">
      <c r="A27" s="51" t="str">
        <v>CSU - Bakersfield</v>
      </c>
      <c r="B27" s="30" t="str">
        <v>CA</v>
      </c>
      <c r="C27" s="11">
        <f>SUM('1st Qtr'!C27, '2nd Qtr'!C27, '3rd Qtr'!C27, '4th Qtr'!C27)</f>
        <v>61123</v>
      </c>
      <c r="D27" s="18">
        <f>SUM('1st Qtr'!D27, '2nd Qtr'!D27, '3rd Qtr'!D27, '4th Qtr'!D27)</f>
        <v>60461</v>
      </c>
      <c r="E27" s="18">
        <f t="shared" si="10"/>
        <v>662</v>
      </c>
      <c r="F27" s="19">
        <f t="shared" si="11"/>
        <v>1.0949206926779247E-2</v>
      </c>
      <c r="G27" s="20">
        <f>SUM('1st Qtr'!G27, '2nd Qtr'!G27, '3rd Qtr'!G27, '4th Qtr'!G27)</f>
        <v>60206.76</v>
      </c>
      <c r="H27" s="20">
        <f>SUM('1st Qtr'!H27, '2nd Qtr'!H27, '3rd Qtr'!H27, '4th Qtr'!H27)</f>
        <v>916.23999999999796</v>
      </c>
      <c r="I27" s="19">
        <f t="shared" si="12"/>
        <v>1.5218224664472859E-2</v>
      </c>
      <c r="K27" s="100">
        <f t="shared" si="1"/>
        <v>916.23999999999796</v>
      </c>
    </row>
    <row r="28" spans="1:11" ht="15.6">
      <c r="A28" s="52" t="str">
        <v>Greenfield USD - Fairfield ES</v>
      </c>
      <c r="B28" s="28" t="str">
        <v>CA</v>
      </c>
      <c r="C28" s="24">
        <f>SUM('1st Qtr'!C28, '2nd Qtr'!C28, '3rd Qtr'!C28, '4th Qtr'!C28)</f>
        <v>6362</v>
      </c>
      <c r="D28" s="13">
        <f>SUM('1st Qtr'!D28, '2nd Qtr'!D28, '3rd Qtr'!D28, '4th Qtr'!D28)</f>
        <v>6298</v>
      </c>
      <c r="E28" s="13">
        <f t="shared" si="10"/>
        <v>64</v>
      </c>
      <c r="F28" s="14">
        <f t="shared" si="11"/>
        <v>1.0161956176563989E-2</v>
      </c>
      <c r="G28" s="15">
        <f>SUM('1st Qtr'!G28, '2nd Qtr'!G28, '3rd Qtr'!G28, '4th Qtr'!G28)</f>
        <v>6700.67</v>
      </c>
      <c r="H28" s="15">
        <f>SUM('1st Qtr'!H28, '2nd Qtr'!H28, '3rd Qtr'!H28, '4th Qtr'!H28)</f>
        <v>-338.67000000000007</v>
      </c>
      <c r="I28" s="16">
        <f t="shared" si="12"/>
        <v>-5.0542706923337524E-2</v>
      </c>
      <c r="K28" s="100">
        <f t="shared" si="1"/>
        <v>-338.67000000000007</v>
      </c>
    </row>
    <row r="29" spans="1:11" ht="15.6">
      <c r="A29" s="51" t="str">
        <v>Greenfield USD - Granite Point ES</v>
      </c>
      <c r="B29" s="30" t="str">
        <v>CA</v>
      </c>
      <c r="C29" s="11">
        <f>SUM('1st Qtr'!C29, '2nd Qtr'!C29, '3rd Qtr'!C29, '4th Qtr'!C29)</f>
        <v>20053</v>
      </c>
      <c r="D29" s="18">
        <f>SUM('1st Qtr'!D29, '2nd Qtr'!D29, '3rd Qtr'!D29, '4th Qtr'!D29)</f>
        <v>19951</v>
      </c>
      <c r="E29" s="18">
        <f t="shared" si="10"/>
        <v>102</v>
      </c>
      <c r="F29" s="19">
        <f t="shared" si="11"/>
        <v>5.1125256879354418E-3</v>
      </c>
      <c r="G29" s="20">
        <f>SUM('1st Qtr'!G29, '2nd Qtr'!G29, '3rd Qtr'!G29, '4th Qtr'!G29)</f>
        <v>17528.38</v>
      </c>
      <c r="H29" s="20">
        <f>SUM('1st Qtr'!H29, '2nd Qtr'!H29, '3rd Qtr'!H29, '4th Qtr'!H29)</f>
        <v>2524.619999999999</v>
      </c>
      <c r="I29" s="19">
        <f t="shared" si="12"/>
        <v>0.14403042380413927</v>
      </c>
      <c r="K29" s="100">
        <f t="shared" si="1"/>
        <v>2524.619999999999</v>
      </c>
    </row>
    <row r="30" spans="1:11" ht="15.6">
      <c r="A30" s="52" t="str">
        <v>Greenfield USD - Greenfield MS</v>
      </c>
      <c r="B30" s="28" t="str">
        <v>CA</v>
      </c>
      <c r="C30" s="24">
        <f>SUM('1st Qtr'!C30, '2nd Qtr'!C30, '3rd Qtr'!C30, '4th Qtr'!C30)</f>
        <v>8745</v>
      </c>
      <c r="D30" s="13">
        <f>SUM('1st Qtr'!D30, '2nd Qtr'!D30, '3rd Qtr'!D30, '4th Qtr'!D30)</f>
        <v>8723</v>
      </c>
      <c r="E30" s="13">
        <f t="shared" si="10"/>
        <v>22</v>
      </c>
      <c r="F30" s="14">
        <f t="shared" si="11"/>
        <v>2.5220680958385876E-3</v>
      </c>
      <c r="G30" s="15">
        <f>SUM('1st Qtr'!G30, '2nd Qtr'!G30, '3rd Qtr'!G30, '4th Qtr'!G30)</f>
        <v>12096.14</v>
      </c>
      <c r="H30" s="15">
        <f>SUM('1st Qtr'!H30, '2nd Qtr'!H30, '3rd Qtr'!H30, '4th Qtr'!H30)</f>
        <v>-3351.1399999999994</v>
      </c>
      <c r="I30" s="16">
        <f t="shared" si="12"/>
        <v>-0.27704209772704347</v>
      </c>
      <c r="K30" s="100">
        <f t="shared" si="1"/>
        <v>-3351.1399999999994</v>
      </c>
    </row>
    <row r="31" spans="1:11" ht="15.6">
      <c r="A31" s="51" t="str">
        <v>Greenfield USD - Horizon ES</v>
      </c>
      <c r="B31" s="30" t="str">
        <v>CA</v>
      </c>
      <c r="C31" s="11">
        <f>SUM('1st Qtr'!C31, '2nd Qtr'!C31, '3rd Qtr'!C31, '4th Qtr'!C31)</f>
        <v>19976</v>
      </c>
      <c r="D31" s="18">
        <f>SUM('1st Qtr'!D31, '2nd Qtr'!D31, '3rd Qtr'!D31, '4th Qtr'!D31)</f>
        <v>19760</v>
      </c>
      <c r="E31" s="18">
        <f t="shared" si="10"/>
        <v>216</v>
      </c>
      <c r="F31" s="19">
        <f t="shared" si="11"/>
        <v>1.0931174089068825E-2</v>
      </c>
      <c r="G31" s="20">
        <f>SUM('1st Qtr'!G31, '2nd Qtr'!G31, '3rd Qtr'!G31, '4th Qtr'!G31)</f>
        <v>17758.169999999998</v>
      </c>
      <c r="H31" s="20">
        <f>SUM('1st Qtr'!H31, '2nd Qtr'!H31, '3rd Qtr'!H31, '4th Qtr'!H31)</f>
        <v>2217.8300000000017</v>
      </c>
      <c r="I31" s="19">
        <f t="shared" si="12"/>
        <v>0.12489068411891552</v>
      </c>
      <c r="K31" s="100">
        <f t="shared" si="1"/>
        <v>2217.8300000000017</v>
      </c>
    </row>
    <row r="32" spans="1:11" ht="15.6">
      <c r="A32" s="52" t="str">
        <v>Greenfield USD - McKee MS</v>
      </c>
      <c r="B32" s="28" t="str">
        <v>CA</v>
      </c>
      <c r="C32" s="24">
        <f>SUM('1st Qtr'!C32, '2nd Qtr'!C32, '3rd Qtr'!C32, '4th Qtr'!C32)</f>
        <v>5085</v>
      </c>
      <c r="D32" s="13">
        <f>SUM('1st Qtr'!D32, '2nd Qtr'!D32, '3rd Qtr'!D32, '4th Qtr'!D32)</f>
        <v>3700</v>
      </c>
      <c r="E32" s="13">
        <f t="shared" si="10"/>
        <v>1385</v>
      </c>
      <c r="F32" s="14">
        <f t="shared" si="11"/>
        <v>0.37432432432432433</v>
      </c>
      <c r="G32" s="15">
        <f>SUM('1st Qtr'!G32, '2nd Qtr'!G32, '3rd Qtr'!G32, '4th Qtr'!G32)</f>
        <v>10873.66</v>
      </c>
      <c r="H32" s="15">
        <f>SUM('1st Qtr'!H32, '2nd Qtr'!H32, '3rd Qtr'!H32, '4th Qtr'!H32)</f>
        <v>-5788.66</v>
      </c>
      <c r="I32" s="16">
        <f t="shared" si="12"/>
        <v>-0.53235617078334252</v>
      </c>
      <c r="K32" s="100">
        <f t="shared" si="1"/>
        <v>-5788.66</v>
      </c>
    </row>
    <row r="33" spans="1:11" ht="15.6">
      <c r="A33" s="51" t="str">
        <v>Greenfield USD - Plantation ES</v>
      </c>
      <c r="B33" s="30" t="str">
        <v>CA</v>
      </c>
      <c r="C33" s="11">
        <f>SUM('1st Qtr'!C33, '2nd Qtr'!C33, '3rd Qtr'!C33, '4th Qtr'!C33)</f>
        <v>8003</v>
      </c>
      <c r="D33" s="18">
        <f>SUM('1st Qtr'!D33, '2nd Qtr'!D33, '3rd Qtr'!D33, '4th Qtr'!D33)</f>
        <v>7982</v>
      </c>
      <c r="E33" s="18">
        <f t="shared" si="10"/>
        <v>21</v>
      </c>
      <c r="F33" s="19">
        <f t="shared" si="11"/>
        <v>2.6309195690303183E-3</v>
      </c>
      <c r="G33" s="20">
        <f>SUM('1st Qtr'!G33, '2nd Qtr'!G33, '3rd Qtr'!G33, '4th Qtr'!G33)</f>
        <v>7785.28</v>
      </c>
      <c r="H33" s="20">
        <f>SUM('1st Qtr'!H33, '2nd Qtr'!H33, '3rd Qtr'!H33, '4th Qtr'!H33)</f>
        <v>217.72000000000025</v>
      </c>
      <c r="I33" s="19">
        <f t="shared" si="12"/>
        <v>2.7965596613095518E-2</v>
      </c>
      <c r="K33" s="100">
        <f t="shared" si="1"/>
        <v>217.72000000000025</v>
      </c>
    </row>
    <row r="34" spans="1:11" ht="15.6">
      <c r="A34" s="52" t="str">
        <v>Greenfield USD - Planz ES</v>
      </c>
      <c r="B34" s="28" t="str">
        <v>CA</v>
      </c>
      <c r="C34" s="24">
        <f>SUM('1st Qtr'!C34, '2nd Qtr'!C34, '3rd Qtr'!C34, '4th Qtr'!C34)</f>
        <v>8297</v>
      </c>
      <c r="D34" s="13">
        <f>SUM('1st Qtr'!D34, '2nd Qtr'!D34, '3rd Qtr'!D34, '4th Qtr'!D34)</f>
        <v>8233</v>
      </c>
      <c r="E34" s="13">
        <f t="shared" si="10"/>
        <v>64</v>
      </c>
      <c r="F34" s="14">
        <f t="shared" si="11"/>
        <v>7.7735940726345199E-3</v>
      </c>
      <c r="G34" s="15">
        <f>SUM('1st Qtr'!G34, '2nd Qtr'!G34, '3rd Qtr'!G34, '4th Qtr'!G34)</f>
        <v>8649.2900000000009</v>
      </c>
      <c r="H34" s="15">
        <f>SUM('1st Qtr'!H34, '2nd Qtr'!H34, '3rd Qtr'!H34, '4th Qtr'!H34)</f>
        <v>-352.29000000000087</v>
      </c>
      <c r="I34" s="16">
        <f t="shared" si="12"/>
        <v>-4.0730510828056503E-2</v>
      </c>
      <c r="K34" s="100">
        <f t="shared" si="1"/>
        <v>-352.29000000000087</v>
      </c>
    </row>
    <row r="35" spans="1:11" ht="15.6">
      <c r="A35" s="51" t="str">
        <v>Greenfield USD - Raffaello Palla ES</v>
      </c>
      <c r="B35" s="30" t="str">
        <v>CA</v>
      </c>
      <c r="C35" s="11">
        <f>SUM('1st Qtr'!C35, '2nd Qtr'!C35, '3rd Qtr'!C35, '4th Qtr'!C35)</f>
        <v>17711</v>
      </c>
      <c r="D35" s="18">
        <f>SUM('1st Qtr'!D35, '2nd Qtr'!D35, '3rd Qtr'!D35, '4th Qtr'!D35)</f>
        <v>17200</v>
      </c>
      <c r="E35" s="18">
        <f t="shared" si="10"/>
        <v>511</v>
      </c>
      <c r="F35" s="19">
        <f t="shared" si="11"/>
        <v>2.9709302325581395E-2</v>
      </c>
      <c r="G35" s="20">
        <f>SUM('1st Qtr'!G35, '2nd Qtr'!G35, '3rd Qtr'!G35, '4th Qtr'!G35)</f>
        <v>19651.64</v>
      </c>
      <c r="H35" s="20">
        <f>SUM('1st Qtr'!H35, '2nd Qtr'!H35, '3rd Qtr'!H35, '4th Qtr'!H35)</f>
        <v>-1940.6399999999994</v>
      </c>
      <c r="I35" s="19">
        <f t="shared" si="12"/>
        <v>-9.8752063441015586E-2</v>
      </c>
      <c r="K35" s="100">
        <f t="shared" si="1"/>
        <v>-1940.6399999999994</v>
      </c>
    </row>
    <row r="36" spans="1:11" ht="15.6">
      <c r="A36" s="52" t="str">
        <v>Greenfield USD - Valle Verde ES</v>
      </c>
      <c r="B36" s="28" t="str">
        <v>CA</v>
      </c>
      <c r="C36" s="24">
        <f>SUM('1st Qtr'!C36, '2nd Qtr'!C36, '3rd Qtr'!C36, '4th Qtr'!C36)</f>
        <v>11095</v>
      </c>
      <c r="D36" s="13">
        <f>SUM('1st Qtr'!D36, '2nd Qtr'!D36, '3rd Qtr'!D36, '4th Qtr'!D36)</f>
        <v>11046</v>
      </c>
      <c r="E36" s="13">
        <f t="shared" si="10"/>
        <v>49</v>
      </c>
      <c r="F36" s="14">
        <f t="shared" si="11"/>
        <v>4.4359949302915083E-3</v>
      </c>
      <c r="G36" s="15">
        <f>SUM('1st Qtr'!G36, '2nd Qtr'!G36, '3rd Qtr'!G36, '4th Qtr'!G36)</f>
        <v>18530.259999999998</v>
      </c>
      <c r="H36" s="15">
        <f>SUM('1st Qtr'!H36, '2nd Qtr'!H36, '3rd Qtr'!H36, '4th Qtr'!H36)</f>
        <v>-7435.2599999999984</v>
      </c>
      <c r="I36" s="16">
        <f t="shared" si="12"/>
        <v>-0.40124963168352734</v>
      </c>
      <c r="K36" s="100">
        <f t="shared" si="1"/>
        <v>-7435.2599999999984</v>
      </c>
    </row>
    <row r="37" spans="1:11" ht="15.6">
      <c r="A37" s="51" t="str">
        <v>Greenfield USD - W.A. Kendrick ES</v>
      </c>
      <c r="B37" s="30" t="str">
        <v>CA</v>
      </c>
      <c r="C37" s="11">
        <f>SUM('1st Qtr'!C37, '2nd Qtr'!C37, '3rd Qtr'!C37, '4th Qtr'!C37)</f>
        <v>7387</v>
      </c>
      <c r="D37" s="18">
        <f>SUM('1st Qtr'!D37, '2nd Qtr'!D37, '3rd Qtr'!D37, '4th Qtr'!D37)</f>
        <v>0</v>
      </c>
      <c r="E37" s="18">
        <f t="shared" si="10"/>
        <v>7387</v>
      </c>
      <c r="F37" s="19" t="str">
        <f t="shared" si="11"/>
        <v/>
      </c>
      <c r="G37" s="20">
        <f>SUM('1st Qtr'!G37, '2nd Qtr'!G37, '3rd Qtr'!G37, '4th Qtr'!G37)</f>
        <v>7151.06</v>
      </c>
      <c r="H37" s="20">
        <f>SUM('1st Qtr'!H37, '2nd Qtr'!H37, '3rd Qtr'!H37, '4th Qtr'!H37)</f>
        <v>235.9399999999996</v>
      </c>
      <c r="I37" s="19">
        <f t="shared" si="12"/>
        <v>3.2993710023409062E-2</v>
      </c>
      <c r="K37" s="100">
        <f t="shared" si="1"/>
        <v>235.9399999999996</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23447.83</v>
      </c>
      <c r="H38" s="15">
        <f>SUM('1st Qtr'!H38, '2nd Qtr'!H38, '3rd Qtr'!H38, '4th Qtr'!H38)</f>
        <v>-23447.83</v>
      </c>
      <c r="I38" s="16">
        <f t="shared" si="12"/>
        <v>-1</v>
      </c>
      <c r="K38" s="100">
        <f t="shared" si="1"/>
        <v>-23447.83</v>
      </c>
    </row>
    <row r="39" spans="1:11" ht="15.6">
      <c r="A39" s="51" t="str">
        <v>Muroc Joint USD - W. Boron ES</v>
      </c>
      <c r="B39" s="30" t="str">
        <v>CA</v>
      </c>
      <c r="C39" s="11">
        <f>SUM('1st Qtr'!C39, '2nd Qtr'!C39, '3rd Qtr'!C39, '4th Qtr'!C39)</f>
        <v>7080</v>
      </c>
      <c r="D39" s="18">
        <f>SUM('1st Qtr'!D39, '2nd Qtr'!D39, '3rd Qtr'!D39, '4th Qtr'!D39)</f>
        <v>7052</v>
      </c>
      <c r="E39" s="18">
        <f t="shared" si="10"/>
        <v>28</v>
      </c>
      <c r="F39" s="19">
        <f t="shared" si="11"/>
        <v>3.9705048213272828E-3</v>
      </c>
      <c r="G39" s="20">
        <f>SUM('1st Qtr'!G39, '2nd Qtr'!G39, '3rd Qtr'!G39, '4th Qtr'!G39)</f>
        <v>8694.49</v>
      </c>
      <c r="H39" s="20">
        <f>SUM('1st Qtr'!H39, '2nd Qtr'!H39, '3rd Qtr'!H39, '4th Qtr'!H39)</f>
        <v>-1614.4899999999998</v>
      </c>
      <c r="I39" s="19">
        <f t="shared" si="12"/>
        <v>-0.18569116762455301</v>
      </c>
      <c r="K39" s="100">
        <f t="shared" si="1"/>
        <v>-1614.4899999999998</v>
      </c>
    </row>
    <row r="40" spans="1:11" ht="15.6">
      <c r="A40" s="52" t="str">
        <v>Colusa - WTP</v>
      </c>
      <c r="B40" s="28" t="str">
        <v>CA</v>
      </c>
      <c r="C40" s="24">
        <f>SUM('1st Qtr'!C40, '2nd Qtr'!C40, '3rd Qtr'!C40, '4th Qtr'!C40)</f>
        <v>14057</v>
      </c>
      <c r="D40" s="13">
        <f>SUM('1st Qtr'!D40, '2nd Qtr'!D40, '3rd Qtr'!D40, '4th Qtr'!D40)</f>
        <v>0</v>
      </c>
      <c r="E40" s="13">
        <f t="shared" si="10"/>
        <v>14057</v>
      </c>
      <c r="F40" s="14" t="str">
        <f t="shared" si="11"/>
        <v/>
      </c>
      <c r="G40" s="15">
        <f>SUM('1st Qtr'!G40, '2nd Qtr'!G40, '3rd Qtr'!G40, '4th Qtr'!G40)</f>
        <v>0</v>
      </c>
      <c r="H40" s="15">
        <f>SUM('1st Qtr'!H40, '2nd Qtr'!H40, '3rd Qtr'!H40, '4th Qtr'!H40)</f>
        <v>0</v>
      </c>
      <c r="I40" s="16" t="str">
        <f t="shared" si="12"/>
        <v/>
      </c>
      <c r="K40" s="100">
        <f t="shared" si="1"/>
        <v>14057</v>
      </c>
    </row>
    <row r="41" spans="1:11" ht="15.6">
      <c r="A41" s="51" t="str">
        <v>CDCR-North Kern State Prision</v>
      </c>
      <c r="B41" s="30" t="str">
        <v>CA</v>
      </c>
      <c r="C41" s="11">
        <f>SUM('1st Qtr'!C41, '2nd Qtr'!C41, '3rd Qtr'!C41, '4th Qtr'!C41)</f>
        <v>62226</v>
      </c>
      <c r="D41" s="18">
        <f>SUM('1st Qtr'!D41, '2nd Qtr'!D41, '3rd Qtr'!D41, '4th Qtr'!D41)</f>
        <v>61499</v>
      </c>
      <c r="E41" s="18">
        <f t="shared" si="10"/>
        <v>727</v>
      </c>
      <c r="F41" s="19">
        <f t="shared" si="11"/>
        <v>1.1821330428137043E-2</v>
      </c>
      <c r="G41" s="20">
        <f>SUM('1st Qtr'!G41, '2nd Qtr'!G41, '3rd Qtr'!G41, '4th Qtr'!G41)</f>
        <v>79757.61</v>
      </c>
      <c r="H41" s="20">
        <f>SUM('1st Qtr'!H41, '2nd Qtr'!H41, '3rd Qtr'!H41, '4th Qtr'!H41)</f>
        <v>-17531.61</v>
      </c>
      <c r="I41" s="19">
        <f t="shared" si="12"/>
        <v>-0.21981112523306554</v>
      </c>
      <c r="K41" s="100">
        <f t="shared" si="1"/>
        <v>-17531.61</v>
      </c>
    </row>
    <row r="42" spans="1:11" ht="15.6">
      <c r="A42" s="52" t="str">
        <v>Muroc Joint USD - District Office</v>
      </c>
      <c r="B42" s="28" t="str">
        <v>CA</v>
      </c>
      <c r="C42" s="24">
        <f>SUM('1st Qtr'!C42, '2nd Qtr'!C42, '3rd Qtr'!C42, '4th Qtr'!C42)</f>
        <v>7120</v>
      </c>
      <c r="D42" s="13">
        <f>SUM('1st Qtr'!D42, '2nd Qtr'!D42, '3rd Qtr'!D42, '4th Qtr'!D42)</f>
        <v>7105</v>
      </c>
      <c r="E42" s="13">
        <f t="shared" si="10"/>
        <v>15</v>
      </c>
      <c r="F42" s="14">
        <f t="shared" si="11"/>
        <v>2.11118930330753E-3</v>
      </c>
      <c r="G42" s="15">
        <f>SUM('1st Qtr'!G42, '2nd Qtr'!G42, '3rd Qtr'!G42, '4th Qtr'!G42)</f>
        <v>6135.9</v>
      </c>
      <c r="H42" s="15">
        <f>SUM('1st Qtr'!H42, '2nd Qtr'!H42, '3rd Qtr'!H42, '4th Qtr'!H42)</f>
        <v>984.10000000000036</v>
      </c>
      <c r="I42" s="16">
        <f t="shared" si="12"/>
        <v>0.16038396975178873</v>
      </c>
      <c r="K42" s="100">
        <f t="shared" si="1"/>
        <v>984.10000000000036</v>
      </c>
    </row>
    <row r="43" spans="1:11" ht="15.6">
      <c r="A43" s="51" t="str">
        <v>Whole Foods - Manhattan Beach</v>
      </c>
      <c r="B43" s="30" t="str">
        <v>CA</v>
      </c>
      <c r="C43" s="11">
        <f>SUM('1st Qtr'!C43, '2nd Qtr'!C43, '3rd Qtr'!C43, '4th Qtr'!C43)</f>
        <v>13065</v>
      </c>
      <c r="D43" s="18">
        <f>SUM('1st Qtr'!D43, '2nd Qtr'!D43, '3rd Qtr'!D43, '4th Qtr'!D43)</f>
        <v>13027</v>
      </c>
      <c r="E43" s="18">
        <f t="shared" si="10"/>
        <v>38</v>
      </c>
      <c r="F43" s="19">
        <f t="shared" si="11"/>
        <v>2.9170185000383817E-3</v>
      </c>
      <c r="G43" s="20">
        <f>SUM('1st Qtr'!G43, '2nd Qtr'!G43, '3rd Qtr'!G43, '4th Qtr'!G43)</f>
        <v>13690.88</v>
      </c>
      <c r="H43" s="20">
        <f>SUM('1st Qtr'!H43, '2nd Qtr'!H43, '3rd Qtr'!H43, '4th Qtr'!H43)</f>
        <v>-625.8799999999992</v>
      </c>
      <c r="I43" s="19">
        <f t="shared" si="12"/>
        <v>-4.5715103777112881E-2</v>
      </c>
      <c r="K43" s="100">
        <f t="shared" si="1"/>
        <v>-625.8799999999992</v>
      </c>
    </row>
    <row r="44" spans="1:11" ht="15.6">
      <c r="A44" s="52" t="str">
        <v>Pioneer USD - Frontier ES</v>
      </c>
      <c r="B44" s="28" t="str">
        <v>CA</v>
      </c>
      <c r="C44" s="24">
        <f>SUM('1st Qtr'!C44, '2nd Qtr'!C44, '3rd Qtr'!C44, '4th Qtr'!C44)</f>
        <v>2844</v>
      </c>
      <c r="D44" s="13">
        <f>SUM('1st Qtr'!D44, '2nd Qtr'!D44, '3rd Qtr'!D44, '4th Qtr'!D44)</f>
        <v>0</v>
      </c>
      <c r="E44" s="13">
        <f t="shared" si="10"/>
        <v>2844</v>
      </c>
      <c r="F44" s="14" t="str">
        <f t="shared" si="11"/>
        <v/>
      </c>
      <c r="G44" s="15">
        <f>SUM('1st Qtr'!G44, '2nd Qtr'!G44, '3rd Qtr'!G44, '4th Qtr'!G44)</f>
        <v>11753.84</v>
      </c>
      <c r="H44" s="15">
        <f>SUM('1st Qtr'!H44, '2nd Qtr'!H44, '3rd Qtr'!H44, '4th Qtr'!H44)</f>
        <v>-8909.84</v>
      </c>
      <c r="I44" s="16">
        <f t="shared" si="12"/>
        <v>-0.75803652253221077</v>
      </c>
      <c r="K44" s="100">
        <f t="shared" si="1"/>
        <v>-8909.84</v>
      </c>
    </row>
    <row r="45" spans="1:11" ht="15.6">
      <c r="A45" s="51" t="str">
        <v>Pioneer USD - Pioneer ES</v>
      </c>
      <c r="B45" s="30" t="str">
        <v>CA</v>
      </c>
      <c r="C45" s="11">
        <f>SUM('1st Qtr'!C45, '2nd Qtr'!C45, '3rd Qtr'!C45, '4th Qtr'!C45)</f>
        <v>12485</v>
      </c>
      <c r="D45" s="18">
        <f>SUM('1st Qtr'!D45, '2nd Qtr'!D45, '3rd Qtr'!D45, '4th Qtr'!D45)</f>
        <v>0</v>
      </c>
      <c r="E45" s="18">
        <f t="shared" si="10"/>
        <v>12485</v>
      </c>
      <c r="F45" s="19" t="str">
        <f t="shared" si="11"/>
        <v/>
      </c>
      <c r="G45" s="20">
        <f>SUM('1st Qtr'!G45, '2nd Qtr'!G45, '3rd Qtr'!G45, '4th Qtr'!G45)</f>
        <v>11589.4</v>
      </c>
      <c r="H45" s="20">
        <f>SUM('1st Qtr'!H45, '2nd Qtr'!H45, '3rd Qtr'!H45, '4th Qtr'!H45)</f>
        <v>895.60000000000036</v>
      </c>
      <c r="I45" s="19">
        <f t="shared" si="12"/>
        <v>7.7277512209432797E-2</v>
      </c>
      <c r="K45" s="100">
        <f t="shared" si="1"/>
        <v>895.60000000000036</v>
      </c>
    </row>
    <row r="46" spans="1:11" ht="15.6">
      <c r="A46" s="52" t="str">
        <v>Pioneer USD - Pioneer MS</v>
      </c>
      <c r="B46" s="28" t="str">
        <v>CA</v>
      </c>
      <c r="C46" s="24">
        <f>SUM('1st Qtr'!C46, '2nd Qtr'!C46, '3rd Qtr'!C46, '4th Qtr'!C46)</f>
        <v>20024</v>
      </c>
      <c r="D46" s="13">
        <f>SUM('1st Qtr'!D46, '2nd Qtr'!D46, '3rd Qtr'!D46, '4th Qtr'!D46)</f>
        <v>0</v>
      </c>
      <c r="E46" s="13">
        <f t="shared" si="10"/>
        <v>20024</v>
      </c>
      <c r="F46" s="14" t="str">
        <f t="shared" si="11"/>
        <v/>
      </c>
      <c r="G46" s="15">
        <f>SUM('1st Qtr'!G46, '2nd Qtr'!G46, '3rd Qtr'!G46, '4th Qtr'!G46)</f>
        <v>15741.5</v>
      </c>
      <c r="H46" s="15">
        <f>SUM('1st Qtr'!H46, '2nd Qtr'!H46, '3rd Qtr'!H46, '4th Qtr'!H46)</f>
        <v>4282.5</v>
      </c>
      <c r="I46" s="16">
        <f t="shared" si="12"/>
        <v>0.27205158339421276</v>
      </c>
      <c r="K46" s="100">
        <f t="shared" si="1"/>
        <v>4282.5</v>
      </c>
    </row>
    <row r="47" spans="1:11" ht="15.6">
      <c r="A47" s="51" t="str">
        <v>Kingsburg Joint UHSD - Kingsburg HS</v>
      </c>
      <c r="B47" s="30" t="str">
        <v>CA</v>
      </c>
      <c r="C47" s="11">
        <f>SUM('1st Qtr'!C47, '2nd Qtr'!C47, '3rd Qtr'!C47, '4th Qtr'!C47)</f>
        <v>43493</v>
      </c>
      <c r="D47" s="18">
        <f>SUM('1st Qtr'!D47, '2nd Qtr'!D47, '3rd Qtr'!D47, '4th Qtr'!D47)</f>
        <v>0</v>
      </c>
      <c r="E47" s="18">
        <f t="shared" si="10"/>
        <v>43493</v>
      </c>
      <c r="F47" s="19" t="str">
        <f t="shared" si="11"/>
        <v/>
      </c>
      <c r="G47" s="20">
        <f>SUM('1st Qtr'!G47, '2nd Qtr'!G47, '3rd Qtr'!G47, '4th Qtr'!G47)</f>
        <v>35400.980000000003</v>
      </c>
      <c r="H47" s="20">
        <f>SUM('1st Qtr'!H47, '2nd Qtr'!H47, '3rd Qtr'!H47, '4th Qtr'!H47)</f>
        <v>8092.0199999999968</v>
      </c>
      <c r="I47" s="19">
        <f t="shared" si="12"/>
        <v>0.22858180762227476</v>
      </c>
      <c r="K47" s="100">
        <f t="shared" si="1"/>
        <v>8092.0199999999968</v>
      </c>
    </row>
    <row r="48" spans="1:11" ht="15.6">
      <c r="A48" s="52" t="str">
        <v>CADRB</v>
      </c>
      <c r="B48" s="28" t="str">
        <v>CA</v>
      </c>
      <c r="C48" s="24">
        <f>SUM('1st Qtr'!C48, '2nd Qtr'!C48, '3rd Qtr'!C48, '4th Qtr'!C48)</f>
        <v>182200</v>
      </c>
      <c r="D48" s="13">
        <f>SUM('1st Qtr'!D48, '2nd Qtr'!D48, '3rd Qtr'!D48, '4th Qtr'!D48)</f>
        <v>0</v>
      </c>
      <c r="E48" s="13">
        <f t="shared" si="10"/>
        <v>182200</v>
      </c>
      <c r="F48" s="14" t="str">
        <f t="shared" si="11"/>
        <v/>
      </c>
      <c r="G48" s="15">
        <f>SUM('1st Qtr'!G48, '2nd Qtr'!G48, '3rd Qtr'!G48, '4th Qtr'!G48)</f>
        <v>404452</v>
      </c>
      <c r="H48" s="15">
        <f>SUM('1st Qtr'!H48, '2nd Qtr'!H48, '3rd Qtr'!H48, '4th Qtr'!H48)</f>
        <v>-222252</v>
      </c>
      <c r="I48" s="16">
        <f t="shared" si="12"/>
        <v>-0.54951391017969997</v>
      </c>
      <c r="K48" s="100">
        <f t="shared" si="1"/>
        <v>-222252</v>
      </c>
    </row>
    <row r="49" spans="1:11" ht="15.6">
      <c r="A49" s="51" t="str">
        <v>CDCR-CA State Prison LA County</v>
      </c>
      <c r="B49" s="30" t="str">
        <v>CA</v>
      </c>
      <c r="C49" s="11">
        <f>SUM('1st Qtr'!C49, '2nd Qtr'!C49, '3rd Qtr'!C49, '4th Qtr'!C49)</f>
        <v>184043</v>
      </c>
      <c r="D49" s="18">
        <f>SUM('1st Qtr'!D49, '2nd Qtr'!D49, '3rd Qtr'!D49, '4th Qtr'!D49)</f>
        <v>183347</v>
      </c>
      <c r="E49" s="18">
        <f t="shared" si="10"/>
        <v>696</v>
      </c>
      <c r="F49" s="19">
        <f t="shared" si="11"/>
        <v>3.7960806558056583E-3</v>
      </c>
      <c r="G49" s="20">
        <f>SUM('1st Qtr'!G49, '2nd Qtr'!G49, '3rd Qtr'!G49, '4th Qtr'!G49)</f>
        <v>266789.69</v>
      </c>
      <c r="H49" s="20">
        <f>SUM('1st Qtr'!H49, '2nd Qtr'!H49, '3rd Qtr'!H49, '4th Qtr'!H49)</f>
        <v>-82746.69</v>
      </c>
      <c r="I49" s="19">
        <f t="shared" si="12"/>
        <v>-0.31015700044480732</v>
      </c>
      <c r="K49" s="100">
        <f t="shared" si="1"/>
        <v>-82746.69</v>
      </c>
    </row>
    <row r="50" spans="1:11" ht="15.6">
      <c r="A50" s="52" t="str">
        <v>Central USD Akers ES</v>
      </c>
      <c r="B50" s="28" t="str">
        <v>CA</v>
      </c>
      <c r="C50" s="24">
        <f>SUM('1st Qtr'!C50, '2nd Qtr'!C50, '3rd Qtr'!C50, '4th Qtr'!C50)</f>
        <v>0</v>
      </c>
      <c r="D50" s="13">
        <f>SUM('1st Qtr'!D50, '2nd Qtr'!D50, '3rd Qtr'!D50, '4th Qtr'!D50)</f>
        <v>0</v>
      </c>
      <c r="E50" s="13">
        <f t="shared" si="10"/>
        <v>0</v>
      </c>
      <c r="F50" s="14" t="str">
        <f t="shared" si="11"/>
        <v/>
      </c>
      <c r="G50" s="15">
        <f>SUM('1st Qtr'!G50, '2nd Qtr'!G50, '3rd Qtr'!G50, '4th Qtr'!G50)</f>
        <v>0</v>
      </c>
      <c r="H50" s="15">
        <f>SUM('1st Qtr'!H50, '2nd Qtr'!H50, '3rd Qtr'!H50, '4th Qtr'!H50)</f>
        <v>0</v>
      </c>
      <c r="I50" s="16" t="str">
        <f t="shared" si="12"/>
        <v/>
      </c>
      <c r="K50" s="100">
        <f t="shared" si="1"/>
        <v>0</v>
      </c>
    </row>
    <row r="51" spans="1:11" ht="15.6">
      <c r="A51" s="51" t="str">
        <v>CUSD - District Office</v>
      </c>
      <c r="B51" s="30" t="str">
        <v>CA</v>
      </c>
      <c r="C51" s="11">
        <f>SUM('1st Qtr'!C51, '2nd Qtr'!C51, '3rd Qtr'!C51, '4th Qtr'!C51)</f>
        <v>5231</v>
      </c>
      <c r="D51" s="18">
        <f>SUM('1st Qtr'!D51, '2nd Qtr'!D51, '3rd Qtr'!D51, '4th Qtr'!D51)</f>
        <v>5179</v>
      </c>
      <c r="E51" s="18">
        <f t="shared" si="10"/>
        <v>52</v>
      </c>
      <c r="F51" s="19">
        <f t="shared" si="11"/>
        <v>1.004054836841089E-2</v>
      </c>
      <c r="G51" s="20">
        <f>SUM('1st Qtr'!G51, '2nd Qtr'!G51, '3rd Qtr'!G51, '4th Qtr'!G51)</f>
        <v>9998.91</v>
      </c>
      <c r="H51" s="20">
        <f>SUM('1st Qtr'!H51, '2nd Qtr'!H51, '3rd Qtr'!H51, '4th Qtr'!H51)</f>
        <v>-4767.91</v>
      </c>
      <c r="I51" s="19">
        <f t="shared" si="12"/>
        <v>-0.47684297588437141</v>
      </c>
      <c r="K51" s="100">
        <f t="shared" si="1"/>
        <v>-4767.91</v>
      </c>
    </row>
    <row r="52" spans="1:11" ht="15.6">
      <c r="A52" s="52" t="str">
        <v>Parlier - WTP</v>
      </c>
      <c r="B52" s="28" t="str">
        <v>CA</v>
      </c>
      <c r="C52" s="24">
        <f>SUM('1st Qtr'!C52, '2nd Qtr'!C52, '3rd Qtr'!C52, '4th Qtr'!C52)</f>
        <v>22445</v>
      </c>
      <c r="D52" s="13">
        <f>SUM('1st Qtr'!D52, '2nd Qtr'!D52, '3rd Qtr'!D52, '4th Qtr'!D52)</f>
        <v>22289</v>
      </c>
      <c r="E52" s="13">
        <f t="shared" si="10"/>
        <v>156</v>
      </c>
      <c r="F52" s="14">
        <f t="shared" si="11"/>
        <v>6.9989681008569248E-3</v>
      </c>
      <c r="G52" s="15">
        <f>SUM('1st Qtr'!G52, '2nd Qtr'!G52, '3rd Qtr'!G52, '4th Qtr'!G52)</f>
        <v>24046.92</v>
      </c>
      <c r="H52" s="15">
        <f>SUM('1st Qtr'!H52, '2nd Qtr'!H52, '3rd Qtr'!H52, '4th Qtr'!H52)</f>
        <v>-1601.9199999999983</v>
      </c>
      <c r="I52" s="16">
        <f t="shared" si="12"/>
        <v>-6.6616431543000038E-2</v>
      </c>
      <c r="K52" s="100">
        <f t="shared" si="1"/>
        <v>-1601.9199999999983</v>
      </c>
    </row>
    <row r="53" spans="1:11" ht="15.6">
      <c r="A53" s="51" t="str">
        <v>Snowline SD - Quail Valley MS</v>
      </c>
      <c r="B53" s="30" t="str">
        <v>CA</v>
      </c>
      <c r="C53" s="11">
        <f>SUM('1st Qtr'!C53, '2nd Qtr'!C53, '3rd Qtr'!C53, '4th Qtr'!C53)</f>
        <v>21133</v>
      </c>
      <c r="D53" s="18">
        <f>SUM('1st Qtr'!D53, '2nd Qtr'!D53, '3rd Qtr'!D53, '4th Qtr'!D53)</f>
        <v>0</v>
      </c>
      <c r="E53" s="18">
        <f t="shared" si="10"/>
        <v>21133</v>
      </c>
      <c r="F53" s="19" t="str">
        <f t="shared" si="11"/>
        <v/>
      </c>
      <c r="G53" s="20">
        <f>SUM('1st Qtr'!G53, '2nd Qtr'!G53, '3rd Qtr'!G53, '4th Qtr'!G53)</f>
        <v>23410.67</v>
      </c>
      <c r="H53" s="20">
        <f>SUM('1st Qtr'!H53, '2nd Qtr'!H53, '3rd Qtr'!H53, '4th Qtr'!H53)</f>
        <v>-2277.6699999999983</v>
      </c>
      <c r="I53" s="19">
        <f t="shared" si="12"/>
        <v>-9.729196131507549E-2</v>
      </c>
      <c r="K53" s="100">
        <f t="shared" si="1"/>
        <v>-2277.6699999999983</v>
      </c>
    </row>
    <row r="54" spans="1:11" ht="15.6">
      <c r="A54" s="52" t="str">
        <v>Snowline SD - Serrano HS - Middle Lot</v>
      </c>
      <c r="B54" s="28" t="str">
        <v>CA</v>
      </c>
      <c r="C54" s="24">
        <f>SUM('1st Qtr'!C54, '2nd Qtr'!C54, '3rd Qtr'!C54, '4th Qtr'!C54)</f>
        <v>28683</v>
      </c>
      <c r="D54" s="13">
        <f>SUM('1st Qtr'!D54, '2nd Qtr'!D54, '3rd Qtr'!D54, '4th Qtr'!D54)</f>
        <v>28597</v>
      </c>
      <c r="E54" s="13">
        <f t="shared" si="10"/>
        <v>86</v>
      </c>
      <c r="F54" s="14">
        <f t="shared" si="11"/>
        <v>3.0073084589292585E-3</v>
      </c>
      <c r="G54" s="15">
        <f>SUM('1st Qtr'!G54, '2nd Qtr'!G54, '3rd Qtr'!G54, '4th Qtr'!G54)</f>
        <v>26474.09</v>
      </c>
      <c r="H54" s="15">
        <f>SUM('1st Qtr'!H54, '2nd Qtr'!H54, '3rd Qtr'!H54, '4th Qtr'!H54)</f>
        <v>2208.91</v>
      </c>
      <c r="I54" s="16">
        <f t="shared" si="12"/>
        <v>8.3436673366298897E-2</v>
      </c>
      <c r="K54" s="100">
        <f t="shared" si="1"/>
        <v>2208.91</v>
      </c>
    </row>
    <row r="55" spans="1:11" ht="15.6">
      <c r="A55" s="51" t="str">
        <v>Snowline SD - Pinon Hills ES</v>
      </c>
      <c r="B55" s="30" t="str">
        <v>CA</v>
      </c>
      <c r="C55" s="11">
        <f>SUM('1st Qtr'!C55, '2nd Qtr'!C55, '3rd Qtr'!C55, '4th Qtr'!C55)</f>
        <v>17533</v>
      </c>
      <c r="D55" s="18">
        <f>SUM('1st Qtr'!D55, '2nd Qtr'!D55, '3rd Qtr'!D55, '4th Qtr'!D55)</f>
        <v>17486</v>
      </c>
      <c r="E55" s="18">
        <f t="shared" si="10"/>
        <v>47</v>
      </c>
      <c r="F55" s="19">
        <f t="shared" si="11"/>
        <v>2.6878645773761867E-3</v>
      </c>
      <c r="G55" s="20">
        <f>SUM('1st Qtr'!G55, '2nd Qtr'!G55, '3rd Qtr'!G55, '4th Qtr'!G55)</f>
        <v>14938.58</v>
      </c>
      <c r="H55" s="20">
        <f>SUM('1st Qtr'!H55, '2nd Qtr'!H55, '3rd Qtr'!H55, '4th Qtr'!H55)</f>
        <v>2594.42</v>
      </c>
      <c r="I55" s="19">
        <f t="shared" si="12"/>
        <v>0.17367246418334273</v>
      </c>
      <c r="K55" s="100">
        <f t="shared" si="1"/>
        <v>2594.42</v>
      </c>
    </row>
    <row r="56" spans="1:11" ht="15.6">
      <c r="A56" s="52" t="str">
        <v>Ramona - Santa Maria WTP</v>
      </c>
      <c r="B56" s="28" t="str">
        <v>CA</v>
      </c>
      <c r="C56" s="24">
        <f>SUM('1st Qtr'!C56, '2nd Qtr'!C56, '3rd Qtr'!C56, '4th Qtr'!C56)</f>
        <v>48081</v>
      </c>
      <c r="D56" s="13">
        <f>SUM('1st Qtr'!D56, '2nd Qtr'!D56, '3rd Qtr'!D56, '4th Qtr'!D56)</f>
        <v>46414</v>
      </c>
      <c r="E56" s="13">
        <f t="shared" si="10"/>
        <v>1667</v>
      </c>
      <c r="F56" s="14">
        <f t="shared" si="11"/>
        <v>3.5915887447752835E-2</v>
      </c>
      <c r="G56" s="15">
        <f>SUM('1st Qtr'!G56, '2nd Qtr'!G56, '3rd Qtr'!G56, '4th Qtr'!G56)</f>
        <v>57154.879999999997</v>
      </c>
      <c r="H56" s="15">
        <f>SUM('1st Qtr'!H56, '2nd Qtr'!H56, '3rd Qtr'!H56, '4th Qtr'!H56)</f>
        <v>-9073.8799999999974</v>
      </c>
      <c r="I56" s="16">
        <f t="shared" si="12"/>
        <v>-0.15875949700183078</v>
      </c>
      <c r="K56" s="100">
        <f t="shared" si="1"/>
        <v>-9073.8799999999974</v>
      </c>
    </row>
    <row r="57" spans="1:11" ht="15.6">
      <c r="A57" s="51" t="str">
        <v>Kohls - Redding</v>
      </c>
      <c r="B57" s="30" t="str">
        <v>CA</v>
      </c>
      <c r="C57" s="11">
        <f>SUM('1st Qtr'!C57, '2nd Qtr'!C57, '3rd Qtr'!C57, '4th Qtr'!C57)</f>
        <v>15248</v>
      </c>
      <c r="D57" s="18">
        <f>SUM('1st Qtr'!D57, '2nd Qtr'!D57, '3rd Qtr'!D57, '4th Qtr'!D57)</f>
        <v>0</v>
      </c>
      <c r="E57" s="18">
        <f t="shared" si="10"/>
        <v>15248</v>
      </c>
      <c r="F57" s="19" t="str">
        <f t="shared" si="11"/>
        <v/>
      </c>
      <c r="G57" s="20">
        <f>SUM('1st Qtr'!G57, '2nd Qtr'!G57, '3rd Qtr'!G57, '4th Qtr'!G57)</f>
        <v>12683.27</v>
      </c>
      <c r="H57" s="20">
        <f>SUM('1st Qtr'!H57, '2nd Qtr'!H57, '3rd Qtr'!H57, '4th Qtr'!H57)</f>
        <v>2564.7299999999996</v>
      </c>
      <c r="I57" s="19">
        <f t="shared" si="12"/>
        <v>0.20221362471980803</v>
      </c>
      <c r="K57" s="100">
        <f t="shared" si="1"/>
        <v>2564.7299999999996</v>
      </c>
    </row>
    <row r="58" spans="1:11" ht="15.6">
      <c r="A58" s="52" t="str">
        <v>Kohls - Salinas</v>
      </c>
      <c r="B58" s="28" t="str">
        <v>CA</v>
      </c>
      <c r="C58" s="24">
        <f>SUM('1st Qtr'!C58, '2nd Qtr'!C58, '3rd Qtr'!C58, '4th Qtr'!C58)</f>
        <v>25871</v>
      </c>
      <c r="D58" s="13">
        <f>SUM('1st Qtr'!D58, '2nd Qtr'!D58, '3rd Qtr'!D58, '4th Qtr'!D58)</f>
        <v>25385</v>
      </c>
      <c r="E58" s="13">
        <f t="shared" si="10"/>
        <v>486</v>
      </c>
      <c r="F58" s="14">
        <f t="shared" si="11"/>
        <v>1.9145164467205041E-2</v>
      </c>
      <c r="G58" s="15">
        <f>SUM('1st Qtr'!G58, '2nd Qtr'!G58, '3rd Qtr'!G58, '4th Qtr'!G58)</f>
        <v>24168.97</v>
      </c>
      <c r="H58" s="15">
        <f>SUM('1st Qtr'!H58, '2nd Qtr'!H58, '3rd Qtr'!H58, '4th Qtr'!H58)</f>
        <v>1702.0299999999988</v>
      </c>
      <c r="I58" s="16">
        <f t="shared" si="12"/>
        <v>7.042211563008266E-2</v>
      </c>
      <c r="K58" s="100">
        <f t="shared" si="1"/>
        <v>1702.0299999999988</v>
      </c>
    </row>
    <row r="59" spans="1:11" ht="15.6">
      <c r="A59" s="51" t="str">
        <v>Kohls - Sonora</v>
      </c>
      <c r="B59" s="30" t="str">
        <v>CA</v>
      </c>
      <c r="C59" s="11">
        <f>SUM('1st Qtr'!C59, '2nd Qtr'!C59, '3rd Qtr'!C59, '4th Qtr'!C59)</f>
        <v>16236</v>
      </c>
      <c r="D59" s="18">
        <f>SUM('1st Qtr'!D59, '2nd Qtr'!D59, '3rd Qtr'!D59, '4th Qtr'!D59)</f>
        <v>16103</v>
      </c>
      <c r="E59" s="18">
        <f t="shared" si="10"/>
        <v>133</v>
      </c>
      <c r="F59" s="19">
        <f t="shared" si="11"/>
        <v>8.2593305595230707E-3</v>
      </c>
      <c r="G59" s="20">
        <f>SUM('1st Qtr'!G59, '2nd Qtr'!G59, '3rd Qtr'!G59, '4th Qtr'!G59)</f>
        <v>14564.36</v>
      </c>
      <c r="H59" s="20">
        <f>SUM('1st Qtr'!H59, '2nd Qtr'!H59, '3rd Qtr'!H59, '4th Qtr'!H59)</f>
        <v>1671.6399999999994</v>
      </c>
      <c r="I59" s="19">
        <f t="shared" si="12"/>
        <v>0.11477606980327315</v>
      </c>
      <c r="K59" s="100">
        <f t="shared" si="1"/>
        <v>1671.6399999999994</v>
      </c>
    </row>
    <row r="60" spans="1:11" ht="15.6">
      <c r="A60" s="52" t="str">
        <v>CUSD - Stratford ES</v>
      </c>
      <c r="B60" s="28" t="str">
        <v>CA</v>
      </c>
      <c r="C60" s="24">
        <f>SUM('1st Qtr'!C60, '2nd Qtr'!C60, '3rd Qtr'!C60, '4th Qtr'!C60)</f>
        <v>12662</v>
      </c>
      <c r="D60" s="13">
        <f>SUM('1st Qtr'!D60, '2nd Qtr'!D60, '3rd Qtr'!D60, '4th Qtr'!D60)</f>
        <v>12560</v>
      </c>
      <c r="E60" s="13">
        <f t="shared" si="10"/>
        <v>102</v>
      </c>
      <c r="F60" s="14">
        <f t="shared" si="11"/>
        <v>8.1210191082802547E-3</v>
      </c>
      <c r="G60" s="15">
        <f>SUM('1st Qtr'!G60, '2nd Qtr'!G60, '3rd Qtr'!G60, '4th Qtr'!G60)</f>
        <v>8731.1299999999992</v>
      </c>
      <c r="H60" s="15">
        <f>SUM('1st Qtr'!H60, '2nd Qtr'!H60, '3rd Qtr'!H60, '4th Qtr'!H60)</f>
        <v>3930.8700000000008</v>
      </c>
      <c r="I60" s="16">
        <f t="shared" si="12"/>
        <v>0.45021320264387327</v>
      </c>
      <c r="K60" s="100">
        <f t="shared" si="1"/>
        <v>3930.8700000000008</v>
      </c>
    </row>
    <row r="61" spans="1:11" ht="15.6">
      <c r="A61" s="51" t="str">
        <v>Taft - City Hall</v>
      </c>
      <c r="B61" s="30" t="str">
        <v>CA</v>
      </c>
      <c r="C61" s="11">
        <f>SUM('1st Qtr'!C61, '2nd Qtr'!C61, '3rd Qtr'!C61, '4th Qtr'!C61)</f>
        <v>6060.67</v>
      </c>
      <c r="D61" s="18">
        <f>SUM('1st Qtr'!D61, '2nd Qtr'!D61, '3rd Qtr'!D61, '4th Qtr'!D61)</f>
        <v>0</v>
      </c>
      <c r="E61" s="18">
        <f t="shared" si="10"/>
        <v>6060.67</v>
      </c>
      <c r="F61" s="19" t="str">
        <f t="shared" si="11"/>
        <v/>
      </c>
      <c r="G61" s="20">
        <f>SUM('1st Qtr'!G61, '2nd Qtr'!G61, '3rd Qtr'!G61, '4th Qtr'!G61)</f>
        <v>4111.83</v>
      </c>
      <c r="H61" s="20">
        <f>SUM('1st Qtr'!H61, '2nd Qtr'!H61, '3rd Qtr'!H61, '4th Qtr'!H61)</f>
        <v>1948.8400000000001</v>
      </c>
      <c r="I61" s="19">
        <f t="shared" si="12"/>
        <v>0.47395928333613019</v>
      </c>
      <c r="K61" s="100">
        <f t="shared" si="1"/>
        <v>1948.8400000000001</v>
      </c>
    </row>
    <row r="62" spans="1:11" ht="15.6">
      <c r="A62" s="52" t="str">
        <v>Taft - Federal Prison</v>
      </c>
      <c r="B62" s="28" t="str">
        <v>CA</v>
      </c>
      <c r="C62" s="24">
        <f>SUM('1st Qtr'!C62, '2nd Qtr'!C62, '3rd Qtr'!C62, '4th Qtr'!C62)</f>
        <v>11593</v>
      </c>
      <c r="D62" s="13">
        <f>SUM('1st Qtr'!D62, '2nd Qtr'!D62, '3rd Qtr'!D62, '4th Qtr'!D62)</f>
        <v>11541</v>
      </c>
      <c r="E62" s="13">
        <f t="shared" si="10"/>
        <v>52</v>
      </c>
      <c r="F62" s="14">
        <f t="shared" si="11"/>
        <v>4.5056754180746901E-3</v>
      </c>
      <c r="G62" s="15">
        <f>SUM('1st Qtr'!G62, '2nd Qtr'!G62, '3rd Qtr'!G62, '4th Qtr'!G62)</f>
        <v>7357.48</v>
      </c>
      <c r="H62" s="15">
        <f>SUM('1st Qtr'!H62, '2nd Qtr'!H62, '3rd Qtr'!H62, '4th Qtr'!H62)</f>
        <v>4235.5200000000004</v>
      </c>
      <c r="I62" s="16">
        <f t="shared" si="12"/>
        <v>0.57567536710939082</v>
      </c>
      <c r="K62" s="100">
        <f t="shared" si="1"/>
        <v>4235.5200000000004</v>
      </c>
    </row>
    <row r="63" spans="1:11" ht="15.6">
      <c r="A63" s="51" t="str">
        <v>Taft - Police Department</v>
      </c>
      <c r="B63" s="30" t="str">
        <v>CA</v>
      </c>
      <c r="C63" s="11">
        <f>SUM('1st Qtr'!C63, '2nd Qtr'!C63, '3rd Qtr'!C63, '4th Qtr'!C63)</f>
        <v>6662</v>
      </c>
      <c r="D63" s="18">
        <f>SUM('1st Qtr'!D63, '2nd Qtr'!D63, '3rd Qtr'!D63, '4th Qtr'!D63)</f>
        <v>6449</v>
      </c>
      <c r="E63" s="18">
        <f t="shared" si="10"/>
        <v>213</v>
      </c>
      <c r="F63" s="19">
        <f t="shared" si="11"/>
        <v>3.3028376492479451E-2</v>
      </c>
      <c r="G63" s="20">
        <f>SUM('1st Qtr'!G63, '2nd Qtr'!G63, '3rd Qtr'!G63, '4th Qtr'!G63)</f>
        <v>4732.4799999999996</v>
      </c>
      <c r="H63" s="20">
        <f>SUM('1st Qtr'!H63, '2nd Qtr'!H63, '3rd Qtr'!H63, '4th Qtr'!H63)</f>
        <v>1929.5200000000004</v>
      </c>
      <c r="I63" s="19">
        <f t="shared" si="12"/>
        <v>0.40771857461626898</v>
      </c>
      <c r="K63" s="100">
        <f t="shared" si="1"/>
        <v>1929.5200000000004</v>
      </c>
    </row>
    <row r="64" spans="1:11" ht="15.6">
      <c r="A64" s="52" t="str">
        <v>Taft - WTP</v>
      </c>
      <c r="B64" s="28" t="str">
        <v>CA</v>
      </c>
      <c r="C64" s="24">
        <f>SUM('1st Qtr'!C64, '2nd Qtr'!C64, '3rd Qtr'!C64, '4th Qtr'!C64)</f>
        <v>50292.800000000003</v>
      </c>
      <c r="D64" s="13">
        <f>SUM('1st Qtr'!D64, '2nd Qtr'!D64, '3rd Qtr'!D64, '4th Qtr'!D64)</f>
        <v>37054</v>
      </c>
      <c r="E64" s="13">
        <f t="shared" si="10"/>
        <v>13238.800000000003</v>
      </c>
      <c r="F64" s="14">
        <f t="shared" si="11"/>
        <v>0.35728396394451351</v>
      </c>
      <c r="G64" s="15">
        <f>SUM('1st Qtr'!G64, '2nd Qtr'!G64, '3rd Qtr'!G64, '4th Qtr'!G64)</f>
        <v>32415.45</v>
      </c>
      <c r="H64" s="15">
        <f>SUM('1st Qtr'!H64, '2nd Qtr'!H64, '3rd Qtr'!H64, '4th Qtr'!H64)</f>
        <v>17877.350000000002</v>
      </c>
      <c r="I64" s="16">
        <f t="shared" si="12"/>
        <v>0.5515070745585825</v>
      </c>
      <c r="K64" s="100">
        <f t="shared" si="1"/>
        <v>17877.350000000002</v>
      </c>
    </row>
    <row r="65" spans="1:11" ht="15.6">
      <c r="A65" s="51" t="str">
        <v>CDCR - CA Correctional Institution</v>
      </c>
      <c r="B65" s="30" t="str">
        <v>CA</v>
      </c>
      <c r="C65" s="11">
        <f>SUM('1st Qtr'!C65, '2nd Qtr'!C65, '3rd Qtr'!C65, '4th Qtr'!C65)</f>
        <v>74538</v>
      </c>
      <c r="D65" s="18">
        <f>SUM('1st Qtr'!D65, '2nd Qtr'!D65, '3rd Qtr'!D65, '4th Qtr'!D65)</f>
        <v>73920</v>
      </c>
      <c r="E65" s="18">
        <f t="shared" si="10"/>
        <v>618</v>
      </c>
      <c r="F65" s="19">
        <f t="shared" si="11"/>
        <v>8.3603896103896097E-3</v>
      </c>
      <c r="G65" s="20">
        <f>SUM('1st Qtr'!G65, '2nd Qtr'!G65, '3rd Qtr'!G65, '4th Qtr'!G65)</f>
        <v>105328.53</v>
      </c>
      <c r="H65" s="20">
        <f>SUM('1st Qtr'!H65, '2nd Qtr'!H65, '3rd Qtr'!H65, '4th Qtr'!H65)</f>
        <v>-30790.53</v>
      </c>
      <c r="I65" s="19">
        <f t="shared" si="12"/>
        <v>-0.29232848877697237</v>
      </c>
      <c r="K65" s="100">
        <f t="shared" si="1"/>
        <v>-30790.53</v>
      </c>
    </row>
    <row r="66" spans="1:11" ht="15.6">
      <c r="A66" s="52" t="str">
        <v>CDCR - CA Correctional Institution II</v>
      </c>
      <c r="B66" s="28" t="str">
        <v>CA</v>
      </c>
      <c r="C66" s="24">
        <f>SUM('1st Qtr'!C66, '2nd Qtr'!C66, '3rd Qtr'!C66, '4th Qtr'!C66)</f>
        <v>145341</v>
      </c>
      <c r="D66" s="13">
        <f>SUM('1st Qtr'!D66, '2nd Qtr'!D66, '3rd Qtr'!D66, '4th Qtr'!D66)</f>
        <v>144585</v>
      </c>
      <c r="E66" s="13">
        <f t="shared" si="10"/>
        <v>756</v>
      </c>
      <c r="F66" s="14">
        <f t="shared" si="11"/>
        <v>5.2287581699346402E-3</v>
      </c>
      <c r="G66" s="15">
        <f>SUM('1st Qtr'!G66, '2nd Qtr'!G66, '3rd Qtr'!G66, '4th Qtr'!G66)</f>
        <v>0</v>
      </c>
      <c r="H66" s="15">
        <f>SUM('1st Qtr'!H66, '2nd Qtr'!H66, '3rd Qtr'!H66, '4th Qtr'!H66)</f>
        <v>0</v>
      </c>
      <c r="I66" s="16" t="str">
        <f t="shared" si="12"/>
        <v/>
      </c>
      <c r="K66" s="100">
        <f t="shared" si="1"/>
        <v>145341</v>
      </c>
    </row>
    <row r="67" spans="1:11" ht="15.6">
      <c r="A67" s="51" t="str">
        <v>Snowline SD - Vista Verde ES</v>
      </c>
      <c r="B67" s="30" t="str">
        <v>CA</v>
      </c>
      <c r="C67" s="11">
        <f>SUM('1st Qtr'!C67, '2nd Qtr'!C67, '3rd Qtr'!C67, '4th Qtr'!C67)</f>
        <v>15353</v>
      </c>
      <c r="D67" s="18">
        <f>SUM('1st Qtr'!D67, '2nd Qtr'!D67, '3rd Qtr'!D67, '4th Qtr'!D67)</f>
        <v>12865</v>
      </c>
      <c r="E67" s="18">
        <f t="shared" si="10"/>
        <v>2488</v>
      </c>
      <c r="F67" s="19">
        <f t="shared" si="11"/>
        <v>0.19339292654488924</v>
      </c>
      <c r="G67" s="20">
        <f>SUM('1st Qtr'!G67, '2nd Qtr'!G67, '3rd Qtr'!G67, '4th Qtr'!G67)</f>
        <v>16889.580000000002</v>
      </c>
      <c r="H67" s="20">
        <f>SUM('1st Qtr'!H67, '2nd Qtr'!H67, '3rd Qtr'!H67, '4th Qtr'!H67)</f>
        <v>-1536.5800000000017</v>
      </c>
      <c r="I67" s="19">
        <f t="shared" si="12"/>
        <v>-9.0977987611296524E-2</v>
      </c>
      <c r="K67" s="100">
        <f t="shared" si="1"/>
        <v>-1536.5800000000017</v>
      </c>
    </row>
    <row r="68" spans="1:11" ht="15.6">
      <c r="A68" s="52" t="str">
        <v>North Stonington</v>
      </c>
      <c r="B68" s="28" t="str">
        <v>CT</v>
      </c>
      <c r="C68" s="24">
        <f>SUM('1st Qtr'!C68, '2nd Qtr'!C68, '3rd Qtr'!C68, '4th Qtr'!C68)</f>
        <v>482520</v>
      </c>
      <c r="D68" s="13">
        <f>SUM('1st Qtr'!D68, '2nd Qtr'!D68, '3rd Qtr'!D68, '4th Qtr'!D68)</f>
        <v>0</v>
      </c>
      <c r="E68" s="13">
        <f t="shared" si="10"/>
        <v>482520</v>
      </c>
      <c r="F68" s="14" t="str">
        <f t="shared" si="11"/>
        <v/>
      </c>
      <c r="G68" s="15">
        <f>SUM('1st Qtr'!G68, '2nd Qtr'!G68, '3rd Qtr'!G68, '4th Qtr'!G68)</f>
        <v>0</v>
      </c>
      <c r="H68" s="15">
        <f>SUM('1st Qtr'!H68, '2nd Qtr'!H68, '3rd Qtr'!H68, '4th Qtr'!H68)</f>
        <v>0</v>
      </c>
      <c r="I68" s="16" t="str">
        <f t="shared" si="12"/>
        <v/>
      </c>
      <c r="K68" s="100">
        <f t="shared" si="1"/>
        <v>482520</v>
      </c>
    </row>
    <row r="69" spans="1:11" s="2" customFormat="1" ht="15.6">
      <c r="A69" s="51" t="str">
        <v>CT: Torrington - 2-298 Rossi Road</v>
      </c>
      <c r="B69" s="30" t="str">
        <v>CT</v>
      </c>
      <c r="C69" s="11">
        <f>SUM('1st Qtr'!C69, '2nd Qtr'!C69, '3rd Qtr'!C69, '4th Qtr'!C69)</f>
        <v>555.63</v>
      </c>
      <c r="D69" s="18">
        <f>SUM('1st Qtr'!D69, '2nd Qtr'!D69, '3rd Qtr'!D69, '4th Qtr'!D69)</f>
        <v>0</v>
      </c>
      <c r="E69" s="18">
        <f t="shared" si="10"/>
        <v>555.63</v>
      </c>
      <c r="F69" s="19" t="str">
        <f t="shared" si="11"/>
        <v/>
      </c>
      <c r="G69" s="20">
        <f>SUM('1st Qtr'!G69, '2nd Qtr'!G69, '3rd Qtr'!G69, '4th Qtr'!G69)</f>
        <v>0</v>
      </c>
      <c r="H69" s="20">
        <f>SUM('1st Qtr'!H69, '2nd Qtr'!H69, '3rd Qtr'!H69, '4th Qtr'!H69)</f>
        <v>0</v>
      </c>
      <c r="I69" s="19" t="str">
        <f t="shared" si="12"/>
        <v/>
      </c>
      <c r="J69"/>
      <c r="K69" s="100"/>
    </row>
    <row r="70" spans="1:11" ht="13.9">
      <c r="A70" s="21"/>
      <c r="B70" s="21"/>
      <c r="C70" s="21"/>
      <c r="D70" s="21"/>
      <c r="E70" s="21"/>
      <c r="F70" s="22"/>
      <c r="G70" s="21"/>
      <c r="H70" s="21"/>
      <c r="I70" s="22"/>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2.75"/>
  </sheetData>
  <autoFilter ref="A2:I2" xr:uid="{D5C25034-9971-4A61-864F-C938F31EB1B8}"/>
  <mergeCells count="4">
    <mergeCell ref="G1:I1"/>
    <mergeCell ref="A1:C1"/>
    <mergeCell ref="D1:F1"/>
    <mergeCell ref="A2:B2"/>
  </mergeCells>
  <conditionalFormatting sqref="F2 I2 F4:F99 I4:I99">
    <cfRule type="cellIs" dxfId="60" priority="1" stopIfTrue="1" operator="lessThanOrEqual">
      <formula>-0.1</formula>
    </cfRule>
    <cfRule type="expression" dxfId="5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D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5" t="str" cm="1">
        <f t="array" ref="A1">portfolio</f>
        <v>Silicon Ranch</v>
      </c>
      <c r="B1" s="135"/>
      <c r="C1" s="135"/>
      <c r="D1" s="136" t="s">
        <v>10</v>
      </c>
      <c r="E1" s="136"/>
      <c r="F1" s="136"/>
      <c r="G1" s="134" t="s">
        <v>11</v>
      </c>
      <c r="H1" s="134"/>
      <c r="I1" s="134"/>
    </row>
    <row r="2" spans="1:9" ht="19.5" customHeight="1">
      <c r="A2" s="137" t="s">
        <v>2</v>
      </c>
      <c r="B2" s="137"/>
      <c r="C2" s="5">
        <f>SUM(C4:C100)</f>
        <v>1984478.15</v>
      </c>
      <c r="D2" s="5">
        <f>SUM(D4:D100)</f>
        <v>1107350</v>
      </c>
      <c r="E2" s="5">
        <f>C2-D2</f>
        <v>877128.14999999991</v>
      </c>
      <c r="F2" s="6">
        <f>IFERROR(E2/D2, 0)</f>
        <v>0.79209658192983234</v>
      </c>
      <c r="G2" s="5">
        <f>SUM(G4:G100)</f>
        <v>1915460.74</v>
      </c>
      <c r="H2" s="7">
        <f>C2-G2</f>
        <v>69017.409999999916</v>
      </c>
      <c r="I2" s="6">
        <f>IFERROR(H2/G2, 0)</f>
        <v>3.6031753905851352E-2</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SUM(Jan!C4, Feb!C4, Mar!C4)</f>
        <v>6816</v>
      </c>
      <c r="D4" s="13">
        <f>SUM(Jan!D4, Feb!D4, Mar!D4)</f>
        <v>6764</v>
      </c>
      <c r="E4" s="13">
        <f>IF(AND(ISNUMBER(C4),ISNUMBER(D4)), C4-D4, "")</f>
        <v>52</v>
      </c>
      <c r="F4" s="14">
        <f>IFERROR(E4/D4, "")</f>
        <v>7.68775872264932E-3</v>
      </c>
      <c r="G4" s="15">
        <f>SUM(Jan!G4, Feb!G4, Mar!G4)</f>
        <v>12840.66</v>
      </c>
      <c r="H4" s="15">
        <f>SUM(Jan!H4, Feb!H4, Mar!H4)</f>
        <v>-6024.66</v>
      </c>
      <c r="I4" s="16">
        <f>IFERROR(H4/G4, "")</f>
        <v>-0.46918616332805324</v>
      </c>
    </row>
    <row r="5" spans="1:9" ht="15.6">
      <c r="A5" s="48" t="str">
        <v>Kohls - Auburn</v>
      </c>
      <c r="B5" s="10" t="str">
        <v>NY</v>
      </c>
      <c r="C5" s="11">
        <f>SUM(Jan!C5, Feb!C5, Mar!C5)</f>
        <v>645</v>
      </c>
      <c r="D5" s="18">
        <f>SUM(Jan!D5, Feb!D5, Mar!D5)</f>
        <v>645</v>
      </c>
      <c r="E5" s="18">
        <f t="shared" ref="E5:E15" si="0">IF(AND(ISNUMBER(C5),ISNUMBER(D5)), C5-D5, "")</f>
        <v>0</v>
      </c>
      <c r="F5" s="19">
        <f>IFERROR(E5/D5, "")</f>
        <v>0</v>
      </c>
      <c r="G5" s="20">
        <f>SUM(Jan!G5, Feb!G5, Mar!G5)</f>
        <v>4715.29</v>
      </c>
      <c r="H5" s="20">
        <f>SUM(Jan!H5, Feb!H5, Mar!H5)</f>
        <v>-4070.29</v>
      </c>
      <c r="I5" s="19">
        <f>IFERROR(H5/G5, "")</f>
        <v>-0.86321095839280304</v>
      </c>
    </row>
    <row r="6" spans="1:9" ht="15.6">
      <c r="A6" s="47" t="str">
        <v>Kohls - Bensalem</v>
      </c>
      <c r="B6" s="9" t="str">
        <v>PA</v>
      </c>
      <c r="C6" s="24">
        <f>SUM(Jan!C6, Feb!C6, Mar!C6)</f>
        <v>10621</v>
      </c>
      <c r="D6" s="13">
        <f>SUM(Jan!D6, Feb!D6, Mar!D6)</f>
        <v>0</v>
      </c>
      <c r="E6" s="13">
        <f t="shared" si="0"/>
        <v>10621</v>
      </c>
      <c r="F6" s="14" t="str">
        <f t="shared" ref="F6:F15" si="1">IFERROR(E6/D6, "")</f>
        <v/>
      </c>
      <c r="G6" s="15">
        <f>SUM(Jan!G6, Feb!G6, Mar!G6)</f>
        <v>15534.61</v>
      </c>
      <c r="H6" s="15">
        <f>SUM(Jan!H6, Feb!H6, Mar!H6)</f>
        <v>-4913.6100000000006</v>
      </c>
      <c r="I6" s="16">
        <f t="shared" ref="I6:I69" si="2">IFERROR(H6/G6, "")</f>
        <v>-0.31630082763584028</v>
      </c>
    </row>
    <row r="7" spans="1:9" ht="15.6">
      <c r="A7" s="48" t="str">
        <v>Kohls - Brick</v>
      </c>
      <c r="B7" s="10" t="str">
        <v>NJ</v>
      </c>
      <c r="C7" s="11">
        <f>SUM(Jan!C7, Feb!C7, Mar!C7)</f>
        <v>12552</v>
      </c>
      <c r="D7" s="18">
        <f>SUM(Jan!D7, Feb!D7, Mar!D7)</f>
        <v>12511</v>
      </c>
      <c r="E7" s="18">
        <f t="shared" si="0"/>
        <v>41</v>
      </c>
      <c r="F7" s="19">
        <f t="shared" si="1"/>
        <v>3.2771161377987373E-3</v>
      </c>
      <c r="G7" s="20">
        <f>SUM(Jan!G7, Feb!G7, Mar!G7)</f>
        <v>16463.560000000001</v>
      </c>
      <c r="H7" s="20">
        <f>SUM(Jan!H7, Feb!H7, Mar!H7)</f>
        <v>-3911.5600000000013</v>
      </c>
      <c r="I7" s="19">
        <f t="shared" si="2"/>
        <v>-0.23758895402938374</v>
      </c>
    </row>
    <row r="8" spans="1:9" ht="15.6">
      <c r="A8" s="47" t="str">
        <v>Kohls - Buffalo</v>
      </c>
      <c r="B8" s="9" t="str">
        <v>NY</v>
      </c>
      <c r="C8" s="24">
        <f>SUM(Jan!C8, Feb!C8, Mar!C8)</f>
        <v>3229</v>
      </c>
      <c r="D8" s="13">
        <f>SUM(Jan!D8, Feb!D8, Mar!D8)</f>
        <v>0</v>
      </c>
      <c r="E8" s="13">
        <f t="shared" si="0"/>
        <v>3229</v>
      </c>
      <c r="F8" s="14" t="str">
        <f t="shared" si="1"/>
        <v/>
      </c>
      <c r="G8" s="15">
        <f>SUM(Jan!G8, Feb!G8, Mar!G8)</f>
        <v>7932.35</v>
      </c>
      <c r="H8" s="15">
        <f>SUM(Jan!H8, Feb!H8, Mar!H8)</f>
        <v>-4703.3500000000004</v>
      </c>
      <c r="I8" s="16">
        <f t="shared" si="2"/>
        <v>-0.59293273746115593</v>
      </c>
    </row>
    <row r="9" spans="1:9" ht="15.6">
      <c r="A9" s="48" t="str">
        <v>Kohls - Canton</v>
      </c>
      <c r="B9" s="10" t="str">
        <v>CT</v>
      </c>
      <c r="C9" s="11">
        <f>SUM(Jan!C9, Feb!C9, Mar!C9)</f>
        <v>1564</v>
      </c>
      <c r="D9" s="18">
        <f>SUM(Jan!D9, Feb!D9, Mar!D9)</f>
        <v>1330</v>
      </c>
      <c r="E9" s="18">
        <f t="shared" si="0"/>
        <v>234</v>
      </c>
      <c r="F9" s="19">
        <f t="shared" si="1"/>
        <v>0.17593984962406015</v>
      </c>
      <c r="G9" s="20">
        <f>SUM(Jan!G9, Feb!G9, Mar!G9)</f>
        <v>5755.92</v>
      </c>
      <c r="H9" s="20">
        <f>SUM(Jan!H9, Feb!H9, Mar!H9)</f>
        <v>-4191.92</v>
      </c>
      <c r="I9" s="19">
        <f t="shared" si="2"/>
        <v>-0.72827975371443665</v>
      </c>
    </row>
    <row r="10" spans="1:9" ht="15.6">
      <c r="A10" s="47" t="str">
        <v>Kohls - East Amherst</v>
      </c>
      <c r="B10" s="9" t="str">
        <v>NY</v>
      </c>
      <c r="C10" s="24">
        <f>SUM(Jan!C10, Feb!C10, Mar!C10)</f>
        <v>1721</v>
      </c>
      <c r="D10" s="13">
        <f>SUM(Jan!D10, Feb!D10, Mar!D10)</f>
        <v>1585</v>
      </c>
      <c r="E10" s="13">
        <f t="shared" si="0"/>
        <v>136</v>
      </c>
      <c r="F10" s="14">
        <f t="shared" si="1"/>
        <v>8.5804416403785486E-2</v>
      </c>
      <c r="G10" s="15">
        <f>SUM(Jan!G10, Feb!G10, Mar!G10)</f>
        <v>8364.35</v>
      </c>
      <c r="H10" s="15">
        <f>SUM(Jan!H10, Feb!H10, Mar!H10)</f>
        <v>-6643.35</v>
      </c>
      <c r="I10" s="16">
        <f t="shared" si="2"/>
        <v>-0.79424581706886965</v>
      </c>
    </row>
    <row r="11" spans="1:9" ht="15.6">
      <c r="A11" s="48" t="str">
        <v>Kohls - East Brunswick</v>
      </c>
      <c r="B11" s="10" t="str">
        <v>NJ</v>
      </c>
      <c r="C11" s="11">
        <f>SUM(Jan!C11, Feb!C11, Mar!C11)</f>
        <v>13312.05</v>
      </c>
      <c r="D11" s="18">
        <f>SUM(Jan!D11, Feb!D11, Mar!D11)</f>
        <v>0</v>
      </c>
      <c r="E11" s="18">
        <f t="shared" si="0"/>
        <v>13312.05</v>
      </c>
      <c r="F11" s="19" t="str">
        <f t="shared" si="1"/>
        <v/>
      </c>
      <c r="G11" s="20">
        <f>SUM(Jan!G11, Feb!G11, Mar!G11)</f>
        <v>22969.47</v>
      </c>
      <c r="H11" s="20">
        <f>SUM(Jan!H11, Feb!H11, Mar!H11)</f>
        <v>-9657.4200000000019</v>
      </c>
      <c r="I11" s="19">
        <f t="shared" si="2"/>
        <v>-0.42044592234823014</v>
      </c>
    </row>
    <row r="12" spans="1:9" ht="15.6">
      <c r="A12" s="47" t="str">
        <v>Kohls - Edgewood</v>
      </c>
      <c r="B12" s="9" t="str">
        <v>MD</v>
      </c>
      <c r="C12" s="24">
        <f>SUM(Jan!C12, Feb!C12, Mar!C12)</f>
        <v>69205</v>
      </c>
      <c r="D12" s="13">
        <f>SUM(Jan!D12, Feb!D12, Mar!D12)</f>
        <v>68059</v>
      </c>
      <c r="E12" s="13">
        <f t="shared" si="0"/>
        <v>1146</v>
      </c>
      <c r="F12" s="14">
        <f t="shared" si="1"/>
        <v>1.6838331447714482E-2</v>
      </c>
      <c r="G12" s="15">
        <f>SUM(Jan!G12, Feb!G12, Mar!G12)</f>
        <v>134337.97</v>
      </c>
      <c r="H12" s="15">
        <f>SUM(Jan!H12, Feb!H12, Mar!H12)</f>
        <v>-65132.97</v>
      </c>
      <c r="I12" s="16">
        <f t="shared" si="2"/>
        <v>-0.48484408391759976</v>
      </c>
    </row>
    <row r="13" spans="1:9" ht="15.6">
      <c r="A13" s="48" t="str">
        <v>Kohls - Granite Run</v>
      </c>
      <c r="B13" s="10" t="str">
        <v>PA</v>
      </c>
      <c r="C13" s="11">
        <f>SUM(Jan!C13, Feb!C13, Mar!C13)</f>
        <v>9634</v>
      </c>
      <c r="D13" s="18">
        <f>SUM(Jan!D13, Feb!D13, Mar!D13)</f>
        <v>9462</v>
      </c>
      <c r="E13" s="18">
        <f t="shared" si="0"/>
        <v>172</v>
      </c>
      <c r="F13" s="19">
        <f t="shared" si="1"/>
        <v>1.8177975058127245E-2</v>
      </c>
      <c r="G13" s="20">
        <f>SUM(Jan!G13, Feb!G13, Mar!G13)</f>
        <v>15797.45</v>
      </c>
      <c r="H13" s="20">
        <f>SUM(Jan!H13, Feb!H13, Mar!H13)</f>
        <v>-6163.4500000000007</v>
      </c>
      <c r="I13" s="19">
        <f t="shared" si="2"/>
        <v>-0.39015474016376062</v>
      </c>
    </row>
    <row r="14" spans="1:9" ht="15.6">
      <c r="A14" s="47" t="str">
        <v>Kohls - Greece</v>
      </c>
      <c r="B14" s="9" t="str">
        <v>NY</v>
      </c>
      <c r="C14" s="24">
        <f>SUM(Jan!C14, Feb!C14, Mar!C14)</f>
        <v>2440</v>
      </c>
      <c r="D14" s="13">
        <f>SUM(Jan!D14, Feb!D14, Mar!D14)</f>
        <v>2296</v>
      </c>
      <c r="E14" s="13">
        <f t="shared" si="0"/>
        <v>144</v>
      </c>
      <c r="F14" s="14">
        <f t="shared" si="1"/>
        <v>6.2717770034843204E-2</v>
      </c>
      <c r="G14" s="15">
        <f>SUM(Jan!G14, Feb!G14, Mar!G14)</f>
        <v>9292.7099999999991</v>
      </c>
      <c r="H14" s="15">
        <f>SUM(Jan!H14, Feb!H14, Mar!H14)</f>
        <v>-6852.7099999999991</v>
      </c>
      <c r="I14" s="16">
        <f t="shared" si="2"/>
        <v>-0.73742858649414433</v>
      </c>
    </row>
    <row r="15" spans="1:9" ht="15.6">
      <c r="A15" s="48" t="str">
        <v>Kohls - Hanover</v>
      </c>
      <c r="B15" s="10" t="str">
        <v>PA</v>
      </c>
      <c r="C15" s="11">
        <f>SUM(Jan!C15, Feb!C15, Mar!C15)</f>
        <v>13956</v>
      </c>
      <c r="D15" s="18">
        <f>SUM(Jan!D15, Feb!D15, Mar!D15)</f>
        <v>13682</v>
      </c>
      <c r="E15" s="18">
        <f t="shared" si="0"/>
        <v>274</v>
      </c>
      <c r="F15" s="19">
        <f t="shared" si="1"/>
        <v>2.0026311942698435E-2</v>
      </c>
      <c r="G15" s="20">
        <f>SUM(Jan!G15, Feb!G15, Mar!G15)</f>
        <v>18615.25</v>
      </c>
      <c r="H15" s="20">
        <f>SUM(Jan!H15, Feb!H15, Mar!H15)</f>
        <v>-4659.25</v>
      </c>
      <c r="I15" s="19">
        <f t="shared" si="2"/>
        <v>-0.25029209921972578</v>
      </c>
    </row>
    <row r="16" spans="1:9" ht="15.6">
      <c r="A16" s="47" t="str">
        <v>Kohls - Horsehead</v>
      </c>
      <c r="B16" s="9" t="str">
        <v>NY</v>
      </c>
      <c r="C16" s="24">
        <f>SUM(Jan!C16, Feb!C16, Mar!C16)</f>
        <v>7602</v>
      </c>
      <c r="D16" s="13">
        <f>SUM(Jan!D16, Feb!D16, Mar!D16)</f>
        <v>7428</v>
      </c>
      <c r="E16" s="13">
        <f t="shared" ref="E16:E18" si="3">IF(AND(ISNUMBER(C16),ISNUMBER(D16)), C16-D16, "")</f>
        <v>174</v>
      </c>
      <c r="F16" s="14">
        <f t="shared" ref="F16:F18" si="4">IFERROR(E16/D16, "")</f>
        <v>2.3424878836833602E-2</v>
      </c>
      <c r="G16" s="15">
        <f>SUM(Jan!G16, Feb!G16, Mar!G16)</f>
        <v>12592.49</v>
      </c>
      <c r="H16" s="15">
        <f>SUM(Jan!H16, Feb!H16, Mar!H16)</f>
        <v>-4990.49</v>
      </c>
      <c r="I16" s="16">
        <f t="shared" si="2"/>
        <v>-0.39630684638224845</v>
      </c>
    </row>
    <row r="17" spans="1:9" ht="15.6">
      <c r="A17" s="48" t="str">
        <v>Kohls - Hudson</v>
      </c>
      <c r="B17" s="10" t="str">
        <v>NY</v>
      </c>
      <c r="C17" s="11">
        <f>SUM(Jan!C17, Feb!C17, Mar!C17)</f>
        <v>5478</v>
      </c>
      <c r="D17" s="18">
        <f>SUM(Jan!D17, Feb!D17, Mar!D17)</f>
        <v>0</v>
      </c>
      <c r="E17" s="18">
        <f t="shared" si="3"/>
        <v>5478</v>
      </c>
      <c r="F17" s="19" t="str">
        <f t="shared" si="4"/>
        <v/>
      </c>
      <c r="G17" s="20">
        <f>SUM(Jan!G17, Feb!G17, Mar!G17)</f>
        <v>12675.21</v>
      </c>
      <c r="H17" s="20">
        <f>SUM(Jan!H17, Feb!H17, Mar!H17)</f>
        <v>-7197.2099999999991</v>
      </c>
      <c r="I17" s="19">
        <f t="shared" si="2"/>
        <v>-0.56781781130253461</v>
      </c>
    </row>
    <row r="18" spans="1:9" ht="12.75" customHeight="1">
      <c r="A18" s="47" t="str">
        <v>Kohls - Ithaca</v>
      </c>
      <c r="B18" s="9" t="str">
        <v>NY</v>
      </c>
      <c r="C18" s="24">
        <f>SUM(Jan!C18, Feb!C18, Mar!C18)</f>
        <v>5406</v>
      </c>
      <c r="D18" s="13">
        <f>SUM(Jan!D18, Feb!D18, Mar!D18)</f>
        <v>5279</v>
      </c>
      <c r="E18" s="13">
        <f t="shared" si="3"/>
        <v>127</v>
      </c>
      <c r="F18" s="14">
        <f t="shared" si="4"/>
        <v>2.4057586664140936E-2</v>
      </c>
      <c r="G18" s="15">
        <f>SUM(Jan!G18, Feb!G18, Mar!G18)</f>
        <v>11746.86</v>
      </c>
      <c r="H18" s="15">
        <f>SUM(Jan!H18, Feb!H18, Mar!H18)</f>
        <v>-6340.8600000000006</v>
      </c>
      <c r="I18" s="16">
        <f t="shared" si="2"/>
        <v>-0.53979191034880813</v>
      </c>
    </row>
    <row r="19" spans="1:9" ht="15.6">
      <c r="A19" s="48" t="str">
        <v>Kohls - Kingston</v>
      </c>
      <c r="B19" s="10" t="str">
        <v>NY</v>
      </c>
      <c r="C19" s="11">
        <f>SUM(Jan!C19, Feb!C19, Mar!C19)</f>
        <v>5082</v>
      </c>
      <c r="D19" s="18">
        <f>SUM(Jan!D19, Feb!D19, Mar!D19)</f>
        <v>5015</v>
      </c>
      <c r="E19" s="18">
        <f t="shared" ref="E19:E25" si="5">IF(AND(ISNUMBER(C19),ISNUMBER(D19)), C19-D19, "")</f>
        <v>67</v>
      </c>
      <c r="F19" s="19">
        <f t="shared" ref="F19:F25" si="6">IFERROR(E19/D19, "")</f>
        <v>1.3359920239282154E-2</v>
      </c>
      <c r="G19" s="20">
        <f>SUM(Jan!G19, Feb!G19, Mar!G19)</f>
        <v>22069.03</v>
      </c>
      <c r="H19" s="20">
        <f>SUM(Jan!H19, Feb!H19, Mar!H19)</f>
        <v>-16987.03</v>
      </c>
      <c r="I19" s="19">
        <f t="shared" si="2"/>
        <v>-0.7697225478419305</v>
      </c>
    </row>
    <row r="20" spans="1:9" ht="15.6">
      <c r="A20" s="47" t="str">
        <v>Kohls - Mechanicsburg</v>
      </c>
      <c r="B20" s="9" t="str">
        <v>PA</v>
      </c>
      <c r="C20" s="24">
        <f>SUM(Jan!C20, Feb!C20, Mar!C20)</f>
        <v>13803</v>
      </c>
      <c r="D20" s="13">
        <f>SUM(Jan!D20, Feb!D20, Mar!D20)</f>
        <v>13468</v>
      </c>
      <c r="E20" s="13">
        <f t="shared" si="5"/>
        <v>335</v>
      </c>
      <c r="F20" s="14">
        <f t="shared" si="6"/>
        <v>2.4873774873774873E-2</v>
      </c>
      <c r="G20" s="15">
        <f>SUM(Jan!G20, Feb!G20, Mar!G20)</f>
        <v>21317.040000000001</v>
      </c>
      <c r="H20" s="15">
        <f>SUM(Jan!H20, Feb!H20, Mar!H20)</f>
        <v>-7514.0400000000009</v>
      </c>
      <c r="I20" s="16">
        <f t="shared" si="2"/>
        <v>-0.35248983911462384</v>
      </c>
    </row>
    <row r="21" spans="1:9" ht="15.6">
      <c r="A21" s="48" t="str">
        <v>Kohls - Middletown</v>
      </c>
      <c r="B21" s="10" t="str">
        <v>NJ</v>
      </c>
      <c r="C21" s="11">
        <f>SUM(Jan!C21, Feb!C21, Mar!C21)</f>
        <v>18759</v>
      </c>
      <c r="D21" s="18">
        <f>SUM(Jan!D21, Feb!D21, Mar!D21)</f>
        <v>18144</v>
      </c>
      <c r="E21" s="18">
        <f t="shared" si="5"/>
        <v>615</v>
      </c>
      <c r="F21" s="19">
        <f t="shared" si="6"/>
        <v>3.3895502645502645E-2</v>
      </c>
      <c r="G21" s="20">
        <f>SUM(Jan!G21, Feb!G21, Mar!G21)</f>
        <v>29222.37</v>
      </c>
      <c r="H21" s="20">
        <f>SUM(Jan!H21, Feb!H21, Mar!H21)</f>
        <v>-10463.369999999999</v>
      </c>
      <c r="I21" s="19">
        <f t="shared" si="2"/>
        <v>-0.35806028053166117</v>
      </c>
    </row>
    <row r="22" spans="1:9" ht="15.6">
      <c r="A22" s="47" t="str">
        <v>Kohls - North Amherst</v>
      </c>
      <c r="B22" s="9" t="str">
        <v>NY</v>
      </c>
      <c r="C22" s="24">
        <f>SUM(Jan!C22, Feb!C22, Mar!C22)</f>
        <v>2216</v>
      </c>
      <c r="D22" s="13">
        <f>SUM(Jan!D22, Feb!D22, Mar!D22)</f>
        <v>2114</v>
      </c>
      <c r="E22" s="13">
        <f t="shared" si="5"/>
        <v>102</v>
      </c>
      <c r="F22" s="14">
        <f t="shared" si="6"/>
        <v>4.8249763481551564E-2</v>
      </c>
      <c r="G22" s="15">
        <f>SUM(Jan!G22, Feb!G22, Mar!G22)</f>
        <v>6434.12</v>
      </c>
      <c r="H22" s="15">
        <f>SUM(Jan!H22, Feb!H22, Mar!H22)</f>
        <v>-4218.12</v>
      </c>
      <c r="I22" s="16">
        <f t="shared" si="2"/>
        <v>-0.65558615630420325</v>
      </c>
    </row>
    <row r="23" spans="1:9" ht="15.6">
      <c r="A23" s="48" t="str">
        <v>Kohls - Staten Island</v>
      </c>
      <c r="B23" s="10" t="str">
        <v>NY</v>
      </c>
      <c r="C23" s="11">
        <f>SUM(Jan!C23, Feb!C23, Mar!C23)</f>
        <v>7744</v>
      </c>
      <c r="D23" s="18">
        <f>SUM(Jan!D23, Feb!D23, Mar!D23)</f>
        <v>0</v>
      </c>
      <c r="E23" s="18">
        <f t="shared" si="5"/>
        <v>7744</v>
      </c>
      <c r="F23" s="19" t="str">
        <f t="shared" si="6"/>
        <v/>
      </c>
      <c r="G23" s="20">
        <f>SUM(Jan!G23, Feb!G23, Mar!G24)</f>
        <v>15260.77</v>
      </c>
      <c r="H23" s="20">
        <f>SUM(Jan!H23, Feb!H23, Mar!H23)</f>
        <v>-7516.77</v>
      </c>
      <c r="I23" s="19">
        <f t="shared" si="2"/>
        <v>-0.49255509387796292</v>
      </c>
    </row>
    <row r="24" spans="1:9" ht="15.6">
      <c r="A24" s="47" t="str">
        <v>Kohls - Warminster</v>
      </c>
      <c r="B24" s="9" t="str">
        <v>PA</v>
      </c>
      <c r="C24" s="24">
        <f>SUM(Jan!C24, Feb!C24, Mar!C24)</f>
        <v>11746</v>
      </c>
      <c r="D24" s="13">
        <f>SUM(Jan!D24, Feb!D24, Mar!D24)</f>
        <v>11528</v>
      </c>
      <c r="E24" s="13">
        <f t="shared" si="5"/>
        <v>218</v>
      </c>
      <c r="F24" s="14">
        <f t="shared" si="6"/>
        <v>1.8910478834142957E-2</v>
      </c>
      <c r="G24" s="15">
        <f>SUM(Jan!G24, Feb!G24, Mar!G25)</f>
        <v>19268.71</v>
      </c>
      <c r="H24" s="15">
        <f>SUM(Jan!H24, Feb!H24, Mar!H24)</f>
        <v>-7522.7099999999991</v>
      </c>
      <c r="I24" s="16">
        <f t="shared" si="2"/>
        <v>-0.39041067097901205</v>
      </c>
    </row>
    <row r="25" spans="1:9" ht="15.6">
      <c r="A25" s="48" t="str">
        <v xml:space="preserve">Kohls - Waterbury </v>
      </c>
      <c r="B25" s="10" t="str">
        <v>CT</v>
      </c>
      <c r="C25" s="11">
        <f>SUM(Jan!C25, Feb!C25, Mar!C25)</f>
        <v>6175</v>
      </c>
      <c r="D25" s="18">
        <f>SUM(Jan!D25, Feb!D25, Mar!D25)</f>
        <v>6085</v>
      </c>
      <c r="E25" s="18">
        <f t="shared" si="5"/>
        <v>90</v>
      </c>
      <c r="F25" s="19">
        <f t="shared" si="6"/>
        <v>1.4790468364831553E-2</v>
      </c>
      <c r="G25" s="20">
        <f>SUM(Jan!G25, Feb!G25,Mar!G25)</f>
        <v>15189.49</v>
      </c>
      <c r="H25" s="20">
        <f>SUM(Jan!H25, Feb!H25, Mar!H25)</f>
        <v>-9014.49</v>
      </c>
      <c r="I25" s="19">
        <f t="shared" si="2"/>
        <v>-0.59346890514428063</v>
      </c>
    </row>
    <row r="26" spans="1:9" ht="15.6">
      <c r="A26" s="47" t="str">
        <v>Mojave Water Agency - Headquarters</v>
      </c>
      <c r="B26" s="9" t="str">
        <v>CA</v>
      </c>
      <c r="C26" s="24">
        <f>SUM(Jan!C26, Feb!C26, Mar!C26)</f>
        <v>26259</v>
      </c>
      <c r="D26" s="13">
        <f>SUM(Jan!D26, Feb!D26, Mar!D26)</f>
        <v>26144</v>
      </c>
      <c r="E26" s="13">
        <f t="shared" ref="E26:E69" si="7">IF(AND(ISNUMBER(C26),ISNUMBER(D26)), C26-D26, "")</f>
        <v>115</v>
      </c>
      <c r="F26" s="14">
        <f t="shared" ref="F26:F69" si="8">IFERROR(E26/D26, "")</f>
        <v>4.3987148102815178E-3</v>
      </c>
      <c r="G26" s="15">
        <f>SUM(Jan!G26, Feb!G26, Mar!G27)</f>
        <v>25672.5</v>
      </c>
      <c r="H26" s="15">
        <f>SUM(Jan!H26, Feb!H26, Mar!H26)</f>
        <v>586.5</v>
      </c>
      <c r="I26" s="16">
        <f t="shared" si="2"/>
        <v>2.2845457201285422E-2</v>
      </c>
    </row>
    <row r="27" spans="1:9" ht="15.6">
      <c r="A27" s="48" t="str">
        <v>CSU - Bakersfield</v>
      </c>
      <c r="B27" s="10" t="str">
        <v>CA</v>
      </c>
      <c r="C27" s="11">
        <f>SUM(Jan!C27, Feb!C27, Mar!C27)</f>
        <v>61123</v>
      </c>
      <c r="D27" s="18">
        <f>SUM(Jan!D27, Feb!D27, Mar!D27)</f>
        <v>60461</v>
      </c>
      <c r="E27" s="18">
        <f t="shared" si="7"/>
        <v>662</v>
      </c>
      <c r="F27" s="19">
        <f t="shared" si="8"/>
        <v>1.0949206926779247E-2</v>
      </c>
      <c r="G27" s="20">
        <f>SUM(Jan!G27, Feb!G27,Mar!G27)</f>
        <v>60206.76</v>
      </c>
      <c r="H27" s="20">
        <f>SUM(Jan!H27, Feb!H27, Mar!H27)</f>
        <v>916.23999999999796</v>
      </c>
      <c r="I27" s="19">
        <f t="shared" si="2"/>
        <v>1.5218224664472859E-2</v>
      </c>
    </row>
    <row r="28" spans="1:9" ht="15.6">
      <c r="A28" s="47" t="str">
        <v>Greenfield USD - Fairfield ES</v>
      </c>
      <c r="B28" s="9" t="str">
        <v>CA</v>
      </c>
      <c r="C28" s="24">
        <f>SUM(Jan!C28, Feb!C28, Mar!C28)</f>
        <v>6362</v>
      </c>
      <c r="D28" s="13">
        <f>SUM(Jan!D28, Feb!D28, Mar!D28)</f>
        <v>6298</v>
      </c>
      <c r="E28" s="13">
        <f t="shared" si="7"/>
        <v>64</v>
      </c>
      <c r="F28" s="14">
        <f t="shared" si="8"/>
        <v>1.0161956176563989E-2</v>
      </c>
      <c r="G28" s="15">
        <f>SUM(Jan!G28, Feb!G28, Mar!G29)</f>
        <v>6700.67</v>
      </c>
      <c r="H28" s="15">
        <f>SUM(Jan!H28, Feb!H28, Mar!H28)</f>
        <v>-338.67000000000007</v>
      </c>
      <c r="I28" s="16">
        <f t="shared" si="2"/>
        <v>-5.0542706923337524E-2</v>
      </c>
    </row>
    <row r="29" spans="1:9" ht="15.6">
      <c r="A29" s="48" t="str">
        <v>Greenfield USD - Granite Point ES</v>
      </c>
      <c r="B29" s="10" t="str">
        <v>CA</v>
      </c>
      <c r="C29" s="11">
        <f>SUM(Jan!C29, Feb!C29, Mar!C29)</f>
        <v>20053</v>
      </c>
      <c r="D29" s="18">
        <f>SUM(Jan!D29, Feb!D29, Mar!D29)</f>
        <v>19951</v>
      </c>
      <c r="E29" s="18">
        <f t="shared" si="7"/>
        <v>102</v>
      </c>
      <c r="F29" s="19">
        <f t="shared" si="8"/>
        <v>5.1125256879354418E-3</v>
      </c>
      <c r="G29" s="20">
        <f>SUM(Jan!G29, Feb!G29,Mar!G29)</f>
        <v>17528.38</v>
      </c>
      <c r="H29" s="20">
        <f>SUM(Jan!H29, Feb!H29, Mar!H29)</f>
        <v>2524.619999999999</v>
      </c>
      <c r="I29" s="19">
        <f t="shared" si="2"/>
        <v>0.14403042380413927</v>
      </c>
    </row>
    <row r="30" spans="1:9" ht="15.6">
      <c r="A30" s="47" t="str">
        <v>Greenfield USD - Greenfield MS</v>
      </c>
      <c r="B30" s="9" t="str">
        <v>CA</v>
      </c>
      <c r="C30" s="24">
        <f>SUM(Jan!C30, Feb!C30, Mar!C30)</f>
        <v>8745</v>
      </c>
      <c r="D30" s="13">
        <f>SUM(Jan!D30, Feb!D30, Mar!D30)</f>
        <v>8723</v>
      </c>
      <c r="E30" s="13">
        <f t="shared" si="7"/>
        <v>22</v>
      </c>
      <c r="F30" s="14">
        <f t="shared" si="8"/>
        <v>2.5220680958385876E-3</v>
      </c>
      <c r="G30" s="15">
        <f>SUM(Jan!G30, Feb!G30, Mar!G31)</f>
        <v>12096.14</v>
      </c>
      <c r="H30" s="15">
        <f>SUM(Jan!H30, Feb!H30, Mar!H30)</f>
        <v>-3351.1399999999994</v>
      </c>
      <c r="I30" s="16">
        <f t="shared" si="2"/>
        <v>-0.27704209772704347</v>
      </c>
    </row>
    <row r="31" spans="1:9" ht="15.6">
      <c r="A31" s="48" t="str">
        <v>Greenfield USD - Horizon ES</v>
      </c>
      <c r="B31" s="10" t="str">
        <v>CA</v>
      </c>
      <c r="C31" s="11">
        <f>SUM(Jan!C31, Feb!C31, Mar!C31)</f>
        <v>19976</v>
      </c>
      <c r="D31" s="18">
        <f>SUM(Jan!D31, Feb!D31, Mar!D31)</f>
        <v>19760</v>
      </c>
      <c r="E31" s="18">
        <f t="shared" si="7"/>
        <v>216</v>
      </c>
      <c r="F31" s="19">
        <f t="shared" si="8"/>
        <v>1.0931174089068825E-2</v>
      </c>
      <c r="G31" s="20">
        <f>SUM(Jan!G31, Feb!G31,Mar!G31)</f>
        <v>17758.169999999998</v>
      </c>
      <c r="H31" s="20">
        <f>SUM(Jan!H31, Feb!H31, Mar!H31)</f>
        <v>2217.8300000000017</v>
      </c>
      <c r="I31" s="19">
        <f t="shared" si="2"/>
        <v>0.12489068411891552</v>
      </c>
    </row>
    <row r="32" spans="1:9" ht="15.6">
      <c r="A32" s="47" t="str">
        <v>Greenfield USD - McKee MS</v>
      </c>
      <c r="B32" s="9" t="str">
        <v>CA</v>
      </c>
      <c r="C32" s="24">
        <f>SUM(Jan!C32, Feb!C32, Mar!C32)</f>
        <v>5085</v>
      </c>
      <c r="D32" s="13">
        <f>SUM(Jan!D32, Feb!D32, Mar!D32)</f>
        <v>3700</v>
      </c>
      <c r="E32" s="13">
        <f t="shared" si="7"/>
        <v>1385</v>
      </c>
      <c r="F32" s="14">
        <f t="shared" si="8"/>
        <v>0.37432432432432433</v>
      </c>
      <c r="G32" s="15">
        <f>SUM(Jan!G32, Feb!G32, Mar!G33)</f>
        <v>10873.66</v>
      </c>
      <c r="H32" s="15">
        <f>SUM(Jan!H32, Feb!H32, Mar!H32)</f>
        <v>-5788.66</v>
      </c>
      <c r="I32" s="16">
        <f t="shared" si="2"/>
        <v>-0.53235617078334252</v>
      </c>
    </row>
    <row r="33" spans="1:9" ht="15.6">
      <c r="A33" s="48" t="str">
        <v>Greenfield USD - Plantation ES</v>
      </c>
      <c r="B33" s="10" t="str">
        <v>CA</v>
      </c>
      <c r="C33" s="11">
        <f>SUM(Jan!C33, Feb!C33, Mar!C33)</f>
        <v>8003</v>
      </c>
      <c r="D33" s="18">
        <f>SUM(Jan!D33, Feb!D33, Mar!D33)</f>
        <v>7982</v>
      </c>
      <c r="E33" s="18">
        <f t="shared" si="7"/>
        <v>21</v>
      </c>
      <c r="F33" s="19">
        <f t="shared" si="8"/>
        <v>2.6309195690303183E-3</v>
      </c>
      <c r="G33" s="20">
        <f>SUM(Jan!G33, Feb!G33,Mar!G33)</f>
        <v>7785.28</v>
      </c>
      <c r="H33" s="20">
        <f>SUM(Jan!H33, Feb!H33, Mar!H33)</f>
        <v>217.72000000000025</v>
      </c>
      <c r="I33" s="19">
        <f t="shared" si="2"/>
        <v>2.7965596613095518E-2</v>
      </c>
    </row>
    <row r="34" spans="1:9" ht="15.6">
      <c r="A34" s="47" t="str">
        <v>Greenfield USD - Planz ES</v>
      </c>
      <c r="B34" s="9" t="str">
        <v>CA</v>
      </c>
      <c r="C34" s="24">
        <f>SUM(Jan!C34, Feb!C34, Mar!C34)</f>
        <v>8297</v>
      </c>
      <c r="D34" s="13">
        <f>SUM(Jan!D34, Feb!D34, Mar!D34)</f>
        <v>8233</v>
      </c>
      <c r="E34" s="13">
        <f t="shared" si="7"/>
        <v>64</v>
      </c>
      <c r="F34" s="14">
        <f t="shared" si="8"/>
        <v>7.7735940726345199E-3</v>
      </c>
      <c r="G34" s="15">
        <f>SUM(Jan!G34, Feb!G34, Mar!G35)</f>
        <v>8649.2900000000009</v>
      </c>
      <c r="H34" s="15">
        <f>SUM(Jan!H34, Feb!H34, Mar!H34)</f>
        <v>-352.29000000000087</v>
      </c>
      <c r="I34" s="16">
        <f t="shared" si="2"/>
        <v>-4.0730510828056503E-2</v>
      </c>
    </row>
    <row r="35" spans="1:9" ht="15.6">
      <c r="A35" s="48" t="str">
        <v>Greenfield USD - Raffaello Palla ES</v>
      </c>
      <c r="B35" s="10" t="str">
        <v>CA</v>
      </c>
      <c r="C35" s="11">
        <f>SUM(Jan!C35, Feb!C35, Mar!C35)</f>
        <v>17711</v>
      </c>
      <c r="D35" s="18">
        <f>SUM(Jan!D35, Feb!D35, Mar!D35)</f>
        <v>17200</v>
      </c>
      <c r="E35" s="18">
        <f t="shared" si="7"/>
        <v>511</v>
      </c>
      <c r="F35" s="19">
        <f t="shared" si="8"/>
        <v>2.9709302325581395E-2</v>
      </c>
      <c r="G35" s="20">
        <f>SUM(Jan!G35, Feb!G35,Mar!G35)</f>
        <v>19651.64</v>
      </c>
      <c r="H35" s="20">
        <f>SUM(Jan!H35, Feb!H35, Mar!H35)</f>
        <v>-1940.6399999999994</v>
      </c>
      <c r="I35" s="19">
        <f t="shared" si="2"/>
        <v>-9.8752063441015586E-2</v>
      </c>
    </row>
    <row r="36" spans="1:9" ht="15.6">
      <c r="A36" s="47" t="str">
        <v>Greenfield USD - Valle Verde ES</v>
      </c>
      <c r="B36" s="9" t="str">
        <v>CA</v>
      </c>
      <c r="C36" s="24">
        <f>SUM(Jan!C36, Feb!C36, Mar!C36)</f>
        <v>11095</v>
      </c>
      <c r="D36" s="13">
        <f>SUM(Jan!D36, Feb!D36, Mar!D36)</f>
        <v>11046</v>
      </c>
      <c r="E36" s="13">
        <f t="shared" si="7"/>
        <v>49</v>
      </c>
      <c r="F36" s="14">
        <f t="shared" si="8"/>
        <v>4.4359949302915083E-3</v>
      </c>
      <c r="G36" s="15">
        <f>SUM(Jan!G36, Feb!G36, Mar!G37)</f>
        <v>18530.259999999998</v>
      </c>
      <c r="H36" s="15">
        <f>SUM(Jan!H36, Feb!H36, Mar!H36)</f>
        <v>-7435.2599999999984</v>
      </c>
      <c r="I36" s="16">
        <f t="shared" si="2"/>
        <v>-0.40124963168352734</v>
      </c>
    </row>
    <row r="37" spans="1:9" ht="15.6">
      <c r="A37" s="48" t="str">
        <v>Greenfield USD - W.A. Kendrick ES</v>
      </c>
      <c r="B37" s="10" t="str">
        <v>CA</v>
      </c>
      <c r="C37" s="11">
        <f>SUM(Jan!C37, Feb!C37, Mar!C37)</f>
        <v>7387</v>
      </c>
      <c r="D37" s="18">
        <f>SUM(Jan!D37, Feb!D37, Mar!D37)</f>
        <v>0</v>
      </c>
      <c r="E37" s="18">
        <f t="shared" si="7"/>
        <v>7387</v>
      </c>
      <c r="F37" s="19" t="str">
        <f t="shared" si="8"/>
        <v/>
      </c>
      <c r="G37" s="20">
        <f>SUM(Jan!G37, Feb!G37,Mar!G37)</f>
        <v>7151.06</v>
      </c>
      <c r="H37" s="20">
        <f>SUM(Jan!H37, Feb!H37, Mar!H37)</f>
        <v>235.9399999999996</v>
      </c>
      <c r="I37" s="19">
        <f t="shared" si="2"/>
        <v>3.2993710023409062E-2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23447.83</v>
      </c>
      <c r="H38" s="15">
        <f>SUM(Jan!H38, Feb!H38, Mar!H38)</f>
        <v>-23447.83</v>
      </c>
      <c r="I38" s="16">
        <f t="shared" si="2"/>
        <v>-1</v>
      </c>
    </row>
    <row r="39" spans="1:9" ht="15.6">
      <c r="A39" s="48" t="str">
        <v>Muroc Joint USD - W. Boron ES</v>
      </c>
      <c r="B39" s="10" t="str">
        <v>CA</v>
      </c>
      <c r="C39" s="11">
        <f>SUM(Jan!C39, Feb!C39, Mar!C39)</f>
        <v>7080</v>
      </c>
      <c r="D39" s="18">
        <f>SUM(Jan!D39, Feb!D39, Mar!D39)</f>
        <v>7052</v>
      </c>
      <c r="E39" s="18">
        <f t="shared" si="7"/>
        <v>28</v>
      </c>
      <c r="F39" s="19">
        <f t="shared" si="8"/>
        <v>3.9705048213272828E-3</v>
      </c>
      <c r="G39" s="20">
        <f>SUM(Jan!G39, Feb!G39,Mar!G39)</f>
        <v>8694.49</v>
      </c>
      <c r="H39" s="20">
        <f>SUM(Jan!H39, Feb!H39, Mar!H39)</f>
        <v>-1614.4899999999998</v>
      </c>
      <c r="I39" s="19">
        <f t="shared" si="2"/>
        <v>-0.18569116762455301</v>
      </c>
    </row>
    <row r="40" spans="1:9" ht="15.6">
      <c r="A40" s="47" t="str">
        <v>Colusa - WTP</v>
      </c>
      <c r="B40" s="9" t="str">
        <v>CA</v>
      </c>
      <c r="C40" s="24">
        <f>SUM(Jan!C40, Feb!C40, Mar!C40)</f>
        <v>14057</v>
      </c>
      <c r="D40" s="13">
        <f>SUM(Jan!D40, Feb!D40, Mar!D40)</f>
        <v>0</v>
      </c>
      <c r="E40" s="13">
        <f t="shared" si="7"/>
        <v>14057</v>
      </c>
      <c r="F40" s="14" t="str">
        <f t="shared" si="8"/>
        <v/>
      </c>
      <c r="G40" s="15">
        <f>SUM(Jan!G40, Feb!G40, Mar!G41)</f>
        <v>0</v>
      </c>
      <c r="H40" s="15">
        <f>SUM(Jan!H40, Feb!H40, Mar!H40)</f>
        <v>0</v>
      </c>
      <c r="I40" s="16" t="str">
        <f t="shared" si="2"/>
        <v/>
      </c>
    </row>
    <row r="41" spans="1:9" ht="15.6">
      <c r="A41" s="48" t="str">
        <v>CDCR-North Kern State Prision</v>
      </c>
      <c r="B41" s="10" t="str">
        <v>CA</v>
      </c>
      <c r="C41" s="11">
        <f>SUM(Jan!C41, Feb!C41, Mar!C41)</f>
        <v>62226</v>
      </c>
      <c r="D41" s="18">
        <f>SUM(Jan!D41, Feb!D41, Mar!D41)</f>
        <v>61499</v>
      </c>
      <c r="E41" s="18">
        <f t="shared" si="7"/>
        <v>727</v>
      </c>
      <c r="F41" s="19">
        <f t="shared" si="8"/>
        <v>1.1821330428137043E-2</v>
      </c>
      <c r="G41" s="20">
        <f>SUM(Jan!G41, Feb!G41,Mar!G41)</f>
        <v>79757.61</v>
      </c>
      <c r="H41" s="20">
        <f>SUM(Jan!H41, Feb!H41, Mar!H41)</f>
        <v>-17531.61</v>
      </c>
      <c r="I41" s="19">
        <f t="shared" si="2"/>
        <v>-0.21981112523306554</v>
      </c>
    </row>
    <row r="42" spans="1:9" ht="15.6">
      <c r="A42" s="47" t="str">
        <v>Muroc Joint USD - District Office</v>
      </c>
      <c r="B42" s="9" t="str">
        <v>CA</v>
      </c>
      <c r="C42" s="24">
        <f>SUM(Jan!C42, Feb!C42, Mar!C42)</f>
        <v>7120</v>
      </c>
      <c r="D42" s="13">
        <f>SUM(Jan!D42, Feb!D42, Mar!D42)</f>
        <v>7105</v>
      </c>
      <c r="E42" s="13">
        <f t="shared" si="7"/>
        <v>15</v>
      </c>
      <c r="F42" s="14">
        <f t="shared" si="8"/>
        <v>2.11118930330753E-3</v>
      </c>
      <c r="G42" s="15">
        <f>SUM(Jan!G42, Feb!G42, Mar!G43)</f>
        <v>6135.9</v>
      </c>
      <c r="H42" s="15">
        <f>SUM(Jan!H42, Feb!H42, Mar!H42)</f>
        <v>984.10000000000036</v>
      </c>
      <c r="I42" s="16">
        <f t="shared" si="2"/>
        <v>0.16038396975178873</v>
      </c>
    </row>
    <row r="43" spans="1:9" ht="15.6">
      <c r="A43" s="48" t="str">
        <v>Whole Foods - Manhattan Beach</v>
      </c>
      <c r="B43" s="10" t="str">
        <v>CA</v>
      </c>
      <c r="C43" s="11">
        <f>SUM(Jan!C43, Feb!C43, Mar!C43)</f>
        <v>13065</v>
      </c>
      <c r="D43" s="18">
        <f>SUM(Jan!D43, Feb!D43, Mar!D43)</f>
        <v>13027</v>
      </c>
      <c r="E43" s="18">
        <f t="shared" si="7"/>
        <v>38</v>
      </c>
      <c r="F43" s="19">
        <f t="shared" si="8"/>
        <v>2.9170185000383817E-3</v>
      </c>
      <c r="G43" s="20">
        <f>SUM(Jan!G43, Feb!G43,Mar!G43)</f>
        <v>13690.88</v>
      </c>
      <c r="H43" s="20">
        <f>SUM(Jan!H43, Feb!H43, Mar!H43)</f>
        <v>-625.8799999999992</v>
      </c>
      <c r="I43" s="19">
        <f t="shared" si="2"/>
        <v>-4.5715103777112881E-2</v>
      </c>
    </row>
    <row r="44" spans="1:9" ht="15.6">
      <c r="A44" s="47" t="str">
        <v>Pioneer USD - Frontier ES</v>
      </c>
      <c r="B44" s="9" t="str">
        <v>CA</v>
      </c>
      <c r="C44" s="24">
        <f>SUM(Jan!C44, Feb!C44, Mar!C44)</f>
        <v>2844</v>
      </c>
      <c r="D44" s="13">
        <f>SUM(Jan!D44, Feb!D44, Mar!D44)</f>
        <v>0</v>
      </c>
      <c r="E44" s="13">
        <f t="shared" si="7"/>
        <v>2844</v>
      </c>
      <c r="F44" s="14" t="str">
        <f t="shared" si="8"/>
        <v/>
      </c>
      <c r="G44" s="15">
        <f>SUM(Jan!G44, Feb!G44, Mar!G45)</f>
        <v>11753.84</v>
      </c>
      <c r="H44" s="15">
        <f>SUM(Jan!H44, Feb!H44, Mar!H44)</f>
        <v>-8909.84</v>
      </c>
      <c r="I44" s="16">
        <f t="shared" si="2"/>
        <v>-0.75803652253221077</v>
      </c>
    </row>
    <row r="45" spans="1:9" ht="15.6">
      <c r="A45" s="48" t="str">
        <v>Pioneer USD - Pioneer ES</v>
      </c>
      <c r="B45" s="10" t="str">
        <v>CA</v>
      </c>
      <c r="C45" s="11">
        <f>SUM(Jan!C45, Feb!C45, Mar!C45)</f>
        <v>12485</v>
      </c>
      <c r="D45" s="18">
        <f>SUM(Jan!D45, Feb!D45, Mar!D45)</f>
        <v>0</v>
      </c>
      <c r="E45" s="18">
        <f t="shared" si="7"/>
        <v>12485</v>
      </c>
      <c r="F45" s="19" t="str">
        <f t="shared" si="8"/>
        <v/>
      </c>
      <c r="G45" s="20">
        <f>SUM(Jan!G45, Feb!G45,Mar!G45)</f>
        <v>11589.4</v>
      </c>
      <c r="H45" s="20">
        <f>SUM(Jan!H45, Feb!H45, Mar!H45)</f>
        <v>895.60000000000036</v>
      </c>
      <c r="I45" s="19">
        <f t="shared" si="2"/>
        <v>7.7277512209432797E-2</v>
      </c>
    </row>
    <row r="46" spans="1:9" ht="15.6">
      <c r="A46" s="47" t="str">
        <v>Pioneer USD - Pioneer MS</v>
      </c>
      <c r="B46" s="9" t="str">
        <v>CA</v>
      </c>
      <c r="C46" s="24">
        <f>SUM(Jan!C46, Feb!C46, Mar!C46)</f>
        <v>20024</v>
      </c>
      <c r="D46" s="13">
        <f>SUM(Jan!D46, Feb!D46, Mar!D46)</f>
        <v>0</v>
      </c>
      <c r="E46" s="13">
        <f t="shared" si="7"/>
        <v>20024</v>
      </c>
      <c r="F46" s="14" t="str">
        <f t="shared" si="8"/>
        <v/>
      </c>
      <c r="G46" s="15">
        <f>SUM(Jan!G46, Feb!G46, Mar!G47)</f>
        <v>15741.5</v>
      </c>
      <c r="H46" s="15">
        <f>SUM(Jan!H46, Feb!H46, Mar!H46)</f>
        <v>4282.5</v>
      </c>
      <c r="I46" s="16">
        <f t="shared" si="2"/>
        <v>0.27205158339421276</v>
      </c>
    </row>
    <row r="47" spans="1:9" ht="15.6">
      <c r="A47" s="48" t="str">
        <v>Kingsburg Joint UHSD - Kingsburg HS</v>
      </c>
      <c r="B47" s="10" t="str">
        <v>CA</v>
      </c>
      <c r="C47" s="11">
        <f>SUM(Jan!C47, Feb!C47, Mar!C47)</f>
        <v>43493</v>
      </c>
      <c r="D47" s="18">
        <f>SUM(Jan!D47, Feb!D47, Mar!D47)</f>
        <v>0</v>
      </c>
      <c r="E47" s="18">
        <f t="shared" si="7"/>
        <v>43493</v>
      </c>
      <c r="F47" s="19" t="str">
        <f t="shared" si="8"/>
        <v/>
      </c>
      <c r="G47" s="20">
        <f>SUM(Jan!G47, Feb!G47,Mar!G47)</f>
        <v>35400.980000000003</v>
      </c>
      <c r="H47" s="20">
        <f>SUM(Jan!H47, Feb!H47, Mar!H47)</f>
        <v>8092.0199999999968</v>
      </c>
      <c r="I47" s="19">
        <f t="shared" si="2"/>
        <v>0.22858180762227476</v>
      </c>
    </row>
    <row r="48" spans="1:9" ht="15.6">
      <c r="A48" s="47" t="str">
        <v>CADRB</v>
      </c>
      <c r="B48" s="9" t="str">
        <v>CA</v>
      </c>
      <c r="C48" s="24">
        <f>SUM(Jan!C48, Feb!C48, Mar!C48)</f>
        <v>182200</v>
      </c>
      <c r="D48" s="13">
        <f>SUM(Jan!D48, Feb!D48, Mar!D48)</f>
        <v>0</v>
      </c>
      <c r="E48" s="13">
        <f t="shared" si="7"/>
        <v>182200</v>
      </c>
      <c r="F48" s="14" t="str">
        <f t="shared" si="8"/>
        <v/>
      </c>
      <c r="G48" s="15">
        <f>SUM(Jan!G48, Feb!G48, Mar!G49)</f>
        <v>404452</v>
      </c>
      <c r="H48" s="15">
        <f>SUM(Jan!H48, Feb!H48, Mar!H48)</f>
        <v>-222252</v>
      </c>
      <c r="I48" s="16">
        <f t="shared" si="2"/>
        <v>-0.54951391017969997</v>
      </c>
    </row>
    <row r="49" spans="1:9" ht="15.6">
      <c r="A49" s="48" t="str">
        <v>CDCR-CA State Prison LA County</v>
      </c>
      <c r="B49" s="10" t="str">
        <v>CA</v>
      </c>
      <c r="C49" s="11">
        <f>SUM(Jan!C49, Feb!C49, Mar!C49)</f>
        <v>184043</v>
      </c>
      <c r="D49" s="18">
        <f>SUM(Jan!D49, Feb!D49, Mar!D49)</f>
        <v>183347</v>
      </c>
      <c r="E49" s="18">
        <f t="shared" si="7"/>
        <v>696</v>
      </c>
      <c r="F49" s="19">
        <f t="shared" si="8"/>
        <v>3.7960806558056583E-3</v>
      </c>
      <c r="G49" s="20">
        <f>SUM(Jan!G49, Feb!G49,Mar!G49)</f>
        <v>266789.69</v>
      </c>
      <c r="H49" s="20">
        <f>SUM(Jan!H49, Feb!H49, Mar!H49)</f>
        <v>-82746.69</v>
      </c>
      <c r="I49" s="19">
        <f t="shared" si="2"/>
        <v>-0.31015700044480732</v>
      </c>
    </row>
    <row r="50" spans="1:9" ht="15.6">
      <c r="A50" s="47" t="str">
        <v>Central USD Akers ES</v>
      </c>
      <c r="B50" s="9" t="str">
        <v>CA</v>
      </c>
      <c r="C50" s="24">
        <f>SUM(Jan!C50, Feb!C50, Mar!C50)</f>
        <v>0</v>
      </c>
      <c r="D50" s="13">
        <f>SUM(Jan!D50, Feb!D50, Mar!D50)</f>
        <v>0</v>
      </c>
      <c r="E50" s="13">
        <f t="shared" si="7"/>
        <v>0</v>
      </c>
      <c r="F50" s="14" t="str">
        <f t="shared" si="8"/>
        <v/>
      </c>
      <c r="G50" s="15">
        <f>SUM(Jan!G50, Feb!G50, Mar!G51)</f>
        <v>0</v>
      </c>
      <c r="H50" s="15">
        <f>SUM(Jan!H50, Feb!H50, Mar!H50)</f>
        <v>0</v>
      </c>
      <c r="I50" s="16" t="str">
        <f t="shared" si="2"/>
        <v/>
      </c>
    </row>
    <row r="51" spans="1:9" ht="15.6">
      <c r="A51" s="48" t="str">
        <v>CUSD - District Office</v>
      </c>
      <c r="B51" s="10" t="str">
        <v>CA</v>
      </c>
      <c r="C51" s="11">
        <f>SUM(Jan!C51, Feb!C51, Mar!C51)</f>
        <v>5231</v>
      </c>
      <c r="D51" s="18">
        <f>SUM(Jan!D51, Feb!D51, Mar!D51)</f>
        <v>5179</v>
      </c>
      <c r="E51" s="18">
        <f t="shared" si="7"/>
        <v>52</v>
      </c>
      <c r="F51" s="19">
        <f t="shared" si="8"/>
        <v>1.004054836841089E-2</v>
      </c>
      <c r="G51" s="20">
        <f>SUM(Jan!G51, Feb!G51,Mar!G51)</f>
        <v>9998.91</v>
      </c>
      <c r="H51" s="20">
        <f>SUM(Jan!H51, Feb!H51, Mar!H51)</f>
        <v>-4767.91</v>
      </c>
      <c r="I51" s="19">
        <f t="shared" si="2"/>
        <v>-0.47684297588437141</v>
      </c>
    </row>
    <row r="52" spans="1:9" ht="15.6">
      <c r="A52" s="47" t="str">
        <v>Parlier - WTP</v>
      </c>
      <c r="B52" s="9" t="str">
        <v>CA</v>
      </c>
      <c r="C52" s="24">
        <f>SUM(Jan!C52, Feb!C52, Mar!C52)</f>
        <v>22445</v>
      </c>
      <c r="D52" s="13">
        <f>SUM(Jan!D52, Feb!D52, Mar!D52)</f>
        <v>22289</v>
      </c>
      <c r="E52" s="13">
        <f t="shared" si="7"/>
        <v>156</v>
      </c>
      <c r="F52" s="14">
        <f t="shared" si="8"/>
        <v>6.9989681008569248E-3</v>
      </c>
      <c r="G52" s="15">
        <f>SUM(Jan!G52, Feb!G52, Mar!G53)</f>
        <v>24046.92</v>
      </c>
      <c r="H52" s="15">
        <f>SUM(Jan!H52, Feb!H52, Mar!H52)</f>
        <v>-1601.9199999999983</v>
      </c>
      <c r="I52" s="16">
        <f t="shared" si="2"/>
        <v>-6.6616431543000038E-2</v>
      </c>
    </row>
    <row r="53" spans="1:9" ht="15.6">
      <c r="A53" s="48" t="str">
        <v>Snowline SD - Quail Valley MS</v>
      </c>
      <c r="B53" s="10" t="str">
        <v>CA</v>
      </c>
      <c r="C53" s="11">
        <f>SUM(Jan!C53, Feb!C53, Mar!C53)</f>
        <v>21133</v>
      </c>
      <c r="D53" s="18">
        <f>SUM(Jan!D53, Feb!D53, Mar!D53)</f>
        <v>0</v>
      </c>
      <c r="E53" s="18">
        <f t="shared" si="7"/>
        <v>21133</v>
      </c>
      <c r="F53" s="19" t="str">
        <f t="shared" si="8"/>
        <v/>
      </c>
      <c r="G53" s="20">
        <f>SUM(Jan!G53, Feb!G53,Mar!G53)</f>
        <v>23410.67</v>
      </c>
      <c r="H53" s="20">
        <f>SUM(Jan!H53, Feb!H53, Mar!H53)</f>
        <v>-2277.6699999999983</v>
      </c>
      <c r="I53" s="19">
        <f t="shared" si="2"/>
        <v>-9.729196131507549E-2</v>
      </c>
    </row>
    <row r="54" spans="1:9" ht="15.6">
      <c r="A54" s="47" t="str">
        <v>Snowline SD - Serrano HS - Middle Lot</v>
      </c>
      <c r="B54" s="9" t="str">
        <v>CA</v>
      </c>
      <c r="C54" s="24">
        <f>SUM(Jan!C54, Feb!C54, Mar!C54)</f>
        <v>28683</v>
      </c>
      <c r="D54" s="13">
        <f>SUM(Jan!D54, Feb!D54, Mar!D54)</f>
        <v>28597</v>
      </c>
      <c r="E54" s="13">
        <f t="shared" si="7"/>
        <v>86</v>
      </c>
      <c r="F54" s="14">
        <f t="shared" si="8"/>
        <v>3.0073084589292585E-3</v>
      </c>
      <c r="G54" s="15">
        <f>SUM(Jan!G54, Feb!G54, Mar!G55)</f>
        <v>26474.09</v>
      </c>
      <c r="H54" s="15">
        <f>SUM(Jan!H54, Feb!H54, Mar!H54)</f>
        <v>2208.91</v>
      </c>
      <c r="I54" s="16">
        <f t="shared" si="2"/>
        <v>8.3436673366298897E-2</v>
      </c>
    </row>
    <row r="55" spans="1:9" ht="15.6">
      <c r="A55" s="48" t="str">
        <v>Snowline SD - Pinon Hills ES</v>
      </c>
      <c r="B55" s="10" t="str">
        <v>CA</v>
      </c>
      <c r="C55" s="11">
        <f>SUM(Jan!C55, Feb!C55, Mar!C55)</f>
        <v>17533</v>
      </c>
      <c r="D55" s="18">
        <f>SUM(Jan!D55, Feb!D55, Mar!D55)</f>
        <v>17486</v>
      </c>
      <c r="E55" s="18">
        <f t="shared" si="7"/>
        <v>47</v>
      </c>
      <c r="F55" s="19">
        <f t="shared" si="8"/>
        <v>2.6878645773761867E-3</v>
      </c>
      <c r="G55" s="20">
        <f>SUM(Jan!G55, Feb!G55,Mar!G55)</f>
        <v>14938.58</v>
      </c>
      <c r="H55" s="20">
        <f>SUM(Jan!H55, Feb!H55, Mar!H55)</f>
        <v>2594.42</v>
      </c>
      <c r="I55" s="19">
        <f t="shared" si="2"/>
        <v>0.17367246418334273</v>
      </c>
    </row>
    <row r="56" spans="1:9" ht="15.6">
      <c r="A56" s="47" t="str">
        <v>Ramona - Santa Maria WTP</v>
      </c>
      <c r="B56" s="9" t="str">
        <v>CA</v>
      </c>
      <c r="C56" s="24">
        <f>SUM(Jan!C56, Feb!C56, Mar!C56)</f>
        <v>48081</v>
      </c>
      <c r="D56" s="13">
        <f>SUM(Jan!D56, Feb!D56, Mar!D56)</f>
        <v>46414</v>
      </c>
      <c r="E56" s="13">
        <f t="shared" si="7"/>
        <v>1667</v>
      </c>
      <c r="F56" s="14">
        <f t="shared" si="8"/>
        <v>3.5915887447752835E-2</v>
      </c>
      <c r="G56" s="15">
        <f>SUM(Jan!G56, Feb!G56, Mar!G57)</f>
        <v>57154.879999999997</v>
      </c>
      <c r="H56" s="15">
        <f>SUM(Jan!H56, Feb!H56, Mar!H56)</f>
        <v>-9073.8799999999974</v>
      </c>
      <c r="I56" s="16">
        <f t="shared" si="2"/>
        <v>-0.15875949700183078</v>
      </c>
    </row>
    <row r="57" spans="1:9" ht="15.6">
      <c r="A57" s="48" t="str">
        <v>Kohls - Redding</v>
      </c>
      <c r="B57" s="10" t="str">
        <v>CA</v>
      </c>
      <c r="C57" s="11">
        <f>SUM(Jan!C57, Feb!C57, Mar!C57)</f>
        <v>15248</v>
      </c>
      <c r="D57" s="18">
        <f>SUM(Jan!D57, Feb!D57, Mar!D57)</f>
        <v>0</v>
      </c>
      <c r="E57" s="18">
        <f t="shared" si="7"/>
        <v>15248</v>
      </c>
      <c r="F57" s="19" t="str">
        <f t="shared" si="8"/>
        <v/>
      </c>
      <c r="G57" s="20">
        <f>SUM(Jan!G57, Feb!G57,Mar!G57)</f>
        <v>12683.27</v>
      </c>
      <c r="H57" s="20">
        <f>SUM(Jan!H57, Feb!H57, Mar!H57)</f>
        <v>2564.7299999999996</v>
      </c>
      <c r="I57" s="19">
        <f t="shared" si="2"/>
        <v>0.20221362471980803</v>
      </c>
    </row>
    <row r="58" spans="1:9" ht="15.6">
      <c r="A58" s="47" t="str">
        <v>Kohls - Salinas</v>
      </c>
      <c r="B58" s="9" t="str">
        <v>CA</v>
      </c>
      <c r="C58" s="24">
        <f>SUM(Jan!C58, Feb!C58, Mar!C58)</f>
        <v>25871</v>
      </c>
      <c r="D58" s="13">
        <f>SUM(Jan!D58, Feb!D58, Mar!D58)</f>
        <v>25385</v>
      </c>
      <c r="E58" s="13">
        <f t="shared" si="7"/>
        <v>486</v>
      </c>
      <c r="F58" s="14">
        <f t="shared" si="8"/>
        <v>1.9145164467205041E-2</v>
      </c>
      <c r="G58" s="15">
        <f>SUM(Jan!G58, Feb!G58, Mar!G59)</f>
        <v>24168.97</v>
      </c>
      <c r="H58" s="15">
        <f>SUM(Jan!H58, Feb!H58, Mar!H58)</f>
        <v>1702.0299999999988</v>
      </c>
      <c r="I58" s="16">
        <f t="shared" si="2"/>
        <v>7.042211563008266E-2</v>
      </c>
    </row>
    <row r="59" spans="1:9" ht="15.6">
      <c r="A59" s="48" t="str">
        <v>Kohls - Sonora</v>
      </c>
      <c r="B59" s="10" t="str">
        <v>CA</v>
      </c>
      <c r="C59" s="11">
        <f>SUM(Jan!C59, Feb!C59, Mar!C59)</f>
        <v>16236</v>
      </c>
      <c r="D59" s="18">
        <f>SUM(Jan!D59, Feb!D59, Mar!D59)</f>
        <v>16103</v>
      </c>
      <c r="E59" s="18">
        <f t="shared" si="7"/>
        <v>133</v>
      </c>
      <c r="F59" s="19">
        <f t="shared" si="8"/>
        <v>8.2593305595230707E-3</v>
      </c>
      <c r="G59" s="20">
        <f>SUM(Jan!G59, Feb!G59,Mar!G59)</f>
        <v>14564.36</v>
      </c>
      <c r="H59" s="20">
        <f>SUM(Jan!H59, Feb!H59, Mar!H59)</f>
        <v>1671.6399999999994</v>
      </c>
      <c r="I59" s="19">
        <f t="shared" si="2"/>
        <v>0.11477606980327315</v>
      </c>
    </row>
    <row r="60" spans="1:9" ht="15.6">
      <c r="A60" s="47" t="str">
        <v>CUSD - Stratford ES</v>
      </c>
      <c r="B60" s="9" t="str">
        <v>CA</v>
      </c>
      <c r="C60" s="24">
        <f>SUM(Jan!C60, Feb!C60, Mar!C60)</f>
        <v>12662</v>
      </c>
      <c r="D60" s="13">
        <f>SUM(Jan!D60, Feb!D60, Mar!D60)</f>
        <v>12560</v>
      </c>
      <c r="E60" s="13">
        <f t="shared" si="7"/>
        <v>102</v>
      </c>
      <c r="F60" s="14">
        <f t="shared" si="8"/>
        <v>8.1210191082802547E-3</v>
      </c>
      <c r="G60" s="15">
        <f>SUM(Jan!G60, Feb!G60, Mar!G61)</f>
        <v>8731.1299999999992</v>
      </c>
      <c r="H60" s="15">
        <f>SUM(Jan!H60, Feb!H60, Mar!H60)</f>
        <v>3930.8700000000008</v>
      </c>
      <c r="I60" s="16">
        <f t="shared" si="2"/>
        <v>0.45021320264387327</v>
      </c>
    </row>
    <row r="61" spans="1:9" ht="15.6">
      <c r="A61" s="48" t="str">
        <v>Taft - City Hall</v>
      </c>
      <c r="B61" s="10" t="str">
        <v>CA</v>
      </c>
      <c r="C61" s="11">
        <f>SUM(Jan!C61, Feb!C61, Mar!C61)</f>
        <v>6060.67</v>
      </c>
      <c r="D61" s="18">
        <f>SUM(Jan!D61, Feb!D61, Mar!D61)</f>
        <v>0</v>
      </c>
      <c r="E61" s="18">
        <f t="shared" si="7"/>
        <v>6060.67</v>
      </c>
      <c r="F61" s="19" t="str">
        <f t="shared" si="8"/>
        <v/>
      </c>
      <c r="G61" s="20">
        <f>SUM(Jan!G61, Feb!G61,Mar!G61)</f>
        <v>4111.83</v>
      </c>
      <c r="H61" s="20">
        <f>SUM(Jan!H61, Feb!H61, Mar!H61)</f>
        <v>1948.8400000000001</v>
      </c>
      <c r="I61" s="19">
        <f t="shared" si="2"/>
        <v>0.47395928333613019</v>
      </c>
    </row>
    <row r="62" spans="1:9" ht="15.6">
      <c r="A62" s="47" t="str">
        <v>Taft - Federal Prison</v>
      </c>
      <c r="B62" s="9" t="str">
        <v>CA</v>
      </c>
      <c r="C62" s="24">
        <f>SUM(Jan!C62, Feb!C62, Mar!C62)</f>
        <v>11593</v>
      </c>
      <c r="D62" s="13">
        <f>SUM(Jan!D62, Feb!D62, Mar!D62)</f>
        <v>11541</v>
      </c>
      <c r="E62" s="13">
        <f t="shared" si="7"/>
        <v>52</v>
      </c>
      <c r="F62" s="14">
        <f t="shared" si="8"/>
        <v>4.5056754180746901E-3</v>
      </c>
      <c r="G62" s="15">
        <f>SUM(Jan!G62, Feb!G62, Mar!G63)</f>
        <v>7357.48</v>
      </c>
      <c r="H62" s="15">
        <f>SUM(Jan!H62, Feb!H62, Mar!H62)</f>
        <v>4235.5200000000004</v>
      </c>
      <c r="I62" s="16">
        <f t="shared" si="2"/>
        <v>0.57567536710939082</v>
      </c>
    </row>
    <row r="63" spans="1:9" ht="15.6">
      <c r="A63" s="48" t="str">
        <v>Taft - Police Department</v>
      </c>
      <c r="B63" s="10" t="str">
        <v>CA</v>
      </c>
      <c r="C63" s="11">
        <f>SUM(Jan!C63, Feb!C63, Mar!C63)</f>
        <v>6662</v>
      </c>
      <c r="D63" s="18">
        <f>SUM(Jan!D63, Feb!D63, Mar!D63)</f>
        <v>6449</v>
      </c>
      <c r="E63" s="18">
        <f t="shared" si="7"/>
        <v>213</v>
      </c>
      <c r="F63" s="19">
        <f t="shared" si="8"/>
        <v>3.3028376492479451E-2</v>
      </c>
      <c r="G63" s="20">
        <f>SUM(Jan!G63, Feb!G63,Mar!G63)</f>
        <v>4732.4799999999996</v>
      </c>
      <c r="H63" s="20">
        <f>SUM(Jan!H63, Feb!H63, Mar!H63)</f>
        <v>1929.5200000000004</v>
      </c>
      <c r="I63" s="19">
        <f t="shared" si="2"/>
        <v>0.40771857461626898</v>
      </c>
    </row>
    <row r="64" spans="1:9" ht="15.6">
      <c r="A64" s="47" t="str">
        <v>Taft - WTP</v>
      </c>
      <c r="B64" s="9" t="str">
        <v>CA</v>
      </c>
      <c r="C64" s="24">
        <f>SUM(Jan!C64, Feb!C64, Mar!C64)</f>
        <v>50292.800000000003</v>
      </c>
      <c r="D64" s="13">
        <f>SUM(Jan!D64, Feb!D64, Mar!D64)</f>
        <v>37054</v>
      </c>
      <c r="E64" s="13">
        <f t="shared" si="7"/>
        <v>13238.800000000003</v>
      </c>
      <c r="F64" s="14">
        <f t="shared" si="8"/>
        <v>0.35728396394451351</v>
      </c>
      <c r="G64" s="15">
        <f>SUM(Jan!G64, Feb!G64, Mar!G65)</f>
        <v>32415.45</v>
      </c>
      <c r="H64" s="15">
        <f>SUM(Jan!H64, Feb!H64, Mar!H64)</f>
        <v>17877.350000000002</v>
      </c>
      <c r="I64" s="16">
        <f t="shared" si="2"/>
        <v>0.5515070745585825</v>
      </c>
    </row>
    <row r="65" spans="1:9" ht="15.6">
      <c r="A65" s="48" t="str">
        <v>CDCR - CA Correctional Institution</v>
      </c>
      <c r="B65" s="10" t="str">
        <v>CA</v>
      </c>
      <c r="C65" s="11">
        <f>SUM(Jan!C65, Feb!C65, Mar!C65)</f>
        <v>74538</v>
      </c>
      <c r="D65" s="18">
        <f>SUM(Jan!D65, Feb!D65, Mar!D65)</f>
        <v>73920</v>
      </c>
      <c r="E65" s="18">
        <f t="shared" si="7"/>
        <v>618</v>
      </c>
      <c r="F65" s="19">
        <f t="shared" si="8"/>
        <v>8.3603896103896097E-3</v>
      </c>
      <c r="G65" s="20">
        <f>SUM(Jan!G65, Feb!G65,Mar!G65)</f>
        <v>105328.53</v>
      </c>
      <c r="H65" s="20">
        <f>SUM(Jan!H65, Feb!H65, Mar!H65)</f>
        <v>-30790.53</v>
      </c>
      <c r="I65" s="19">
        <f t="shared" si="2"/>
        <v>-0.29232848877697237</v>
      </c>
    </row>
    <row r="66" spans="1:9" ht="15.6">
      <c r="A66" s="47" t="str">
        <v>CDCR - CA Correctional Institution II</v>
      </c>
      <c r="B66" s="9" t="str">
        <v>CA</v>
      </c>
      <c r="C66" s="24">
        <f>SUM(Jan!C66, Feb!C66, Mar!C66)</f>
        <v>145341</v>
      </c>
      <c r="D66" s="13">
        <f>SUM(Jan!D66, Feb!D66, Mar!D66)</f>
        <v>144585</v>
      </c>
      <c r="E66" s="13">
        <f t="shared" si="7"/>
        <v>756</v>
      </c>
      <c r="F66" s="14">
        <f t="shared" si="8"/>
        <v>5.2287581699346402E-3</v>
      </c>
      <c r="G66" s="15">
        <f>SUM(Jan!G66, Feb!G66, Mar!G67)</f>
        <v>0</v>
      </c>
      <c r="H66" s="15">
        <f>SUM(Jan!H66, Feb!H66, Mar!H66)</f>
        <v>0</v>
      </c>
      <c r="I66" s="16" t="str">
        <f t="shared" si="2"/>
        <v/>
      </c>
    </row>
    <row r="67" spans="1:9" ht="15.6">
      <c r="A67" s="48" t="str">
        <v>Snowline SD - Vista Verde ES</v>
      </c>
      <c r="B67" s="10" t="str">
        <v>CA</v>
      </c>
      <c r="C67" s="11">
        <f>SUM(Jan!C67, Feb!C67, Mar!C67)</f>
        <v>15353</v>
      </c>
      <c r="D67" s="18">
        <f>SUM(Jan!D67, Feb!D67, Mar!D67)</f>
        <v>12865</v>
      </c>
      <c r="E67" s="18">
        <f t="shared" si="7"/>
        <v>2488</v>
      </c>
      <c r="F67" s="19">
        <f t="shared" si="8"/>
        <v>0.19339292654488924</v>
      </c>
      <c r="G67" s="20">
        <f>SUM(Jan!G67, Feb!G67,Mar!G67)</f>
        <v>16889.580000000002</v>
      </c>
      <c r="H67" s="20">
        <f>SUM(Jan!H67, Feb!H67, Mar!H67)</f>
        <v>-1536.5800000000017</v>
      </c>
      <c r="I67" s="19">
        <f t="shared" si="2"/>
        <v>-9.0977987611296524E-2</v>
      </c>
    </row>
    <row r="68" spans="1:9" ht="15.6">
      <c r="A68" s="47" t="str">
        <v>North Stonington</v>
      </c>
      <c r="B68" s="9" t="str">
        <v>CT</v>
      </c>
      <c r="C68" s="24">
        <f>SUM(Jan!C68, Feb!C68, Mar!C68)</f>
        <v>482520</v>
      </c>
      <c r="D68" s="13">
        <f>SUM(Jan!D68, Feb!D68, Mar!D68)</f>
        <v>0</v>
      </c>
      <c r="E68" s="13">
        <f t="shared" si="7"/>
        <v>482520</v>
      </c>
      <c r="F68" s="14" t="str">
        <f t="shared" si="8"/>
        <v/>
      </c>
      <c r="G68" s="15">
        <f>SUM(Jan!G68, Feb!G68, Mar!G69)</f>
        <v>0</v>
      </c>
      <c r="H68" s="15">
        <f>SUM(Jan!H68, Feb!H68, Mar!H68)</f>
        <v>0</v>
      </c>
      <c r="I68" s="16" t="str">
        <f t="shared" si="2"/>
        <v/>
      </c>
    </row>
    <row r="69" spans="1:9" ht="15.6">
      <c r="A69" s="48" t="str">
        <v>CT: Torrington - 2-298 Rossi Road</v>
      </c>
      <c r="B69" s="10" t="str">
        <v>CT</v>
      </c>
      <c r="C69" s="11">
        <f>SUM(Jan!C69, Feb!C69, Mar!C69)</f>
        <v>555.63</v>
      </c>
      <c r="D69" s="18">
        <f>SUM(Jan!D69, Feb!D69, Mar!D69)</f>
        <v>0</v>
      </c>
      <c r="E69" s="18">
        <f t="shared" si="7"/>
        <v>555.63</v>
      </c>
      <c r="F69" s="19" t="str">
        <f t="shared" si="8"/>
        <v/>
      </c>
      <c r="G69" s="20">
        <f>SUM(Jan!G69, Feb!G69,Mar!G69)</f>
        <v>0</v>
      </c>
      <c r="H69" s="20">
        <f>SUM(Jan!H69, Feb!H69, Mar!H69)</f>
        <v>0</v>
      </c>
      <c r="I69" s="19" t="str">
        <f t="shared" si="2"/>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59" activePane="bottomRight" state="frozen"/>
      <selection pane="bottomRight" activeCell="C69" sqref="C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5" t="str" cm="1">
        <f t="array" ref="A1">portfolio</f>
        <v>Silicon Ranch</v>
      </c>
      <c r="B1" s="135"/>
      <c r="C1" s="135"/>
      <c r="D1" s="136" t="s">
        <v>12</v>
      </c>
      <c r="E1" s="136"/>
      <c r="F1" s="136"/>
      <c r="G1" s="134" t="s">
        <v>13</v>
      </c>
      <c r="H1" s="134"/>
      <c r="I1" s="134"/>
    </row>
    <row r="2" spans="1:9" ht="19.5" customHeight="1">
      <c r="A2" s="137" t="s">
        <v>2</v>
      </c>
      <c r="B2" s="137"/>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SUM(Apr!C4, May!C4, Jun!C4)</f>
        <v>0</v>
      </c>
      <c r="D4" s="13">
        <f>SUM(Apr!D4, May!D4, Jun!D4)</f>
        <v>0</v>
      </c>
      <c r="E4" s="13">
        <f>IF(AND(ISNUMBER(C4),ISNUMBER(D4)), C4-D4, "")</f>
        <v>0</v>
      </c>
      <c r="F4" s="14" t="str">
        <f>IFERROR(E4/D4, "")</f>
        <v/>
      </c>
      <c r="G4" s="15">
        <f>SUM(Apr!G4, May!G4, Jun!G4)</f>
        <v>0</v>
      </c>
      <c r="H4" s="15">
        <f>SUM(Apr!H4, May!H4, Jun!H4)</f>
        <v>0</v>
      </c>
      <c r="I4" s="16" t="str">
        <f>IFERROR(H4/G4, "")</f>
        <v/>
      </c>
    </row>
    <row r="5" spans="1:9" ht="15.6">
      <c r="A5" s="48" t="str">
        <v>Kohls - Auburn</v>
      </c>
      <c r="B5" s="10" t="str">
        <v>NY</v>
      </c>
      <c r="C5" s="11">
        <f>SUM(Apr!C5, May!C5, Jun!C5)</f>
        <v>0</v>
      </c>
      <c r="D5" s="18">
        <f>SUM(Apr!D5, May!D5, Jun!D5)</f>
        <v>0</v>
      </c>
      <c r="E5" s="18">
        <f t="shared" ref="E5:E15" si="0">IF(AND(ISNUMBER(C5),ISNUMBER(D5)), C5-D5, "")</f>
        <v>0</v>
      </c>
      <c r="F5" s="19" t="str">
        <f>IFERROR(E5/D5, "")</f>
        <v/>
      </c>
      <c r="G5" s="20">
        <f>SUM(Apr!G5, May!G5, Jun!G5)</f>
        <v>0</v>
      </c>
      <c r="H5" s="20">
        <f>SUM(Apr!H5, May!H5, Jun!H5)</f>
        <v>0</v>
      </c>
      <c r="I5" s="19" t="str">
        <f>IFERROR(H5/G5, "")</f>
        <v/>
      </c>
    </row>
    <row r="6" spans="1:9" ht="15.6">
      <c r="A6" s="47" t="str">
        <v>Kohls - Bensalem</v>
      </c>
      <c r="B6" s="9" t="str">
        <v>PA</v>
      </c>
      <c r="C6" s="24">
        <f>SUM(Apr!C6, May!C6, Jun!C6)</f>
        <v>0</v>
      </c>
      <c r="D6" s="13">
        <f>SUM(Apr!D6, May!D6, Jun!D6)</f>
        <v>0</v>
      </c>
      <c r="E6" s="13">
        <f t="shared" si="0"/>
        <v>0</v>
      </c>
      <c r="F6" s="14" t="str">
        <f t="shared" ref="F6:F15" si="1">IFERROR(E6/D6, "")</f>
        <v/>
      </c>
      <c r="G6" s="15">
        <f>SUM(Apr!G6, May!G6, Jun!G6)</f>
        <v>0</v>
      </c>
      <c r="H6" s="15">
        <f>SUM(Apr!H6, May!H6, Jun!H6)</f>
        <v>0</v>
      </c>
      <c r="I6" s="16" t="str">
        <f t="shared" ref="I6:I15" si="2">IFERROR(H6/G6, "")</f>
        <v/>
      </c>
    </row>
    <row r="7" spans="1:9" ht="15.6">
      <c r="A7" s="48" t="str">
        <v>Kohls - Brick</v>
      </c>
      <c r="B7" s="10" t="str">
        <v>NJ</v>
      </c>
      <c r="C7" s="11">
        <f>SUM(Apr!C7, May!C7, Jun!C7)</f>
        <v>0</v>
      </c>
      <c r="D7" s="18">
        <f>SUM(Apr!D7, May!D7, Jun!D7)</f>
        <v>0</v>
      </c>
      <c r="E7" s="18">
        <f t="shared" si="0"/>
        <v>0</v>
      </c>
      <c r="F7" s="19" t="str">
        <f t="shared" si="1"/>
        <v/>
      </c>
      <c r="G7" s="20">
        <f>SUM(Apr!G7, May!G7, Jun!G7)</f>
        <v>0</v>
      </c>
      <c r="H7" s="20">
        <f>SUM(Apr!H7, May!H7, Jun!H7)</f>
        <v>0</v>
      </c>
      <c r="I7" s="19" t="str">
        <f t="shared" si="2"/>
        <v/>
      </c>
    </row>
    <row r="8" spans="1:9" ht="15.6">
      <c r="A8" s="47" t="str">
        <v>Kohls - Buffalo</v>
      </c>
      <c r="B8" s="9" t="str">
        <v>NY</v>
      </c>
      <c r="C8" s="24">
        <f>SUM(Apr!C8, May!C8, Jun!C8)</f>
        <v>0</v>
      </c>
      <c r="D8" s="13">
        <f>SUM(Apr!D8, May!D8, Jun!D8)</f>
        <v>0</v>
      </c>
      <c r="E8" s="13">
        <f t="shared" si="0"/>
        <v>0</v>
      </c>
      <c r="F8" s="14" t="str">
        <f t="shared" si="1"/>
        <v/>
      </c>
      <c r="G8" s="15">
        <f>SUM(Apr!G8, May!G8, Jun!G8)</f>
        <v>0</v>
      </c>
      <c r="H8" s="15">
        <f>SUM(Apr!H8, May!H8, Jun!H8)</f>
        <v>0</v>
      </c>
      <c r="I8" s="16" t="str">
        <f t="shared" si="2"/>
        <v/>
      </c>
    </row>
    <row r="9" spans="1:9" ht="15.6">
      <c r="A9" s="48" t="str">
        <v>Kohls - Canton</v>
      </c>
      <c r="B9" s="10" t="str">
        <v>CT</v>
      </c>
      <c r="C9" s="11">
        <f>SUM(Apr!C9, May!C9, Jun!C9)</f>
        <v>0</v>
      </c>
      <c r="D9" s="18">
        <f>SUM(Apr!D9, May!D9, Jun!D9)</f>
        <v>0</v>
      </c>
      <c r="E9" s="18">
        <f t="shared" si="0"/>
        <v>0</v>
      </c>
      <c r="F9" s="19" t="str">
        <f t="shared" si="1"/>
        <v/>
      </c>
      <c r="G9" s="20">
        <f>SUM(Apr!G9, May!G9, Jun!G9)</f>
        <v>0</v>
      </c>
      <c r="H9" s="20">
        <f>SUM(Apr!H9, May!H9, Jun!H9)</f>
        <v>0</v>
      </c>
      <c r="I9" s="19" t="str">
        <f t="shared" si="2"/>
        <v/>
      </c>
    </row>
    <row r="10" spans="1:9" ht="15.6">
      <c r="A10" s="47" t="str">
        <v>Kohls - East Amherst</v>
      </c>
      <c r="B10" s="9" t="str">
        <v>NY</v>
      </c>
      <c r="C10" s="24">
        <f>SUM(Apr!C10, May!C10, Jun!C10)</f>
        <v>0</v>
      </c>
      <c r="D10" s="13">
        <f>SUM(Apr!D10, May!D10, Jun!D10)</f>
        <v>0</v>
      </c>
      <c r="E10" s="13">
        <f t="shared" si="0"/>
        <v>0</v>
      </c>
      <c r="F10" s="14" t="str">
        <f t="shared" si="1"/>
        <v/>
      </c>
      <c r="G10" s="15">
        <f>SUM(Apr!G10, May!G10, Jun!G10)</f>
        <v>0</v>
      </c>
      <c r="H10" s="15">
        <f>SUM(Apr!H10, May!H10, Jun!H10)</f>
        <v>0</v>
      </c>
      <c r="I10" s="16" t="str">
        <f t="shared" si="2"/>
        <v/>
      </c>
    </row>
    <row r="11" spans="1:9" ht="15.6">
      <c r="A11" s="48" t="str">
        <v>Kohls - East Brunswick</v>
      </c>
      <c r="B11" s="10" t="str">
        <v>NJ</v>
      </c>
      <c r="C11" s="11">
        <f>SUM(Apr!C11, May!C11, Jun!C11)</f>
        <v>0</v>
      </c>
      <c r="D11" s="18">
        <f>SUM(Apr!D11, May!D11, Jun!D11)</f>
        <v>0</v>
      </c>
      <c r="E11" s="18">
        <f t="shared" si="0"/>
        <v>0</v>
      </c>
      <c r="F11" s="19" t="str">
        <f t="shared" si="1"/>
        <v/>
      </c>
      <c r="G11" s="20">
        <f>SUM(Apr!G11, May!G11, Jun!G11)</f>
        <v>0</v>
      </c>
      <c r="H11" s="20">
        <f>SUM(Apr!H11, May!H11, Jun!H11)</f>
        <v>0</v>
      </c>
      <c r="I11" s="19" t="str">
        <f t="shared" si="2"/>
        <v/>
      </c>
    </row>
    <row r="12" spans="1:9" ht="15.6">
      <c r="A12" s="47" t="str">
        <v>Kohls - Edgewood</v>
      </c>
      <c r="B12" s="9" t="str">
        <v>MD</v>
      </c>
      <c r="C12" s="24">
        <f>SUM(Apr!C12, May!C12, Jun!C12)</f>
        <v>0</v>
      </c>
      <c r="D12" s="13">
        <f>SUM(Apr!D12, May!D12, Jun!D12)</f>
        <v>0</v>
      </c>
      <c r="E12" s="13">
        <f t="shared" si="0"/>
        <v>0</v>
      </c>
      <c r="F12" s="14" t="str">
        <f t="shared" si="1"/>
        <v/>
      </c>
      <c r="G12" s="15">
        <f>SUM(Apr!G12, May!G12, Jun!G12)</f>
        <v>0</v>
      </c>
      <c r="H12" s="15">
        <f>SUM(Apr!H12, May!H12, Jun!H12)</f>
        <v>0</v>
      </c>
      <c r="I12" s="16" t="str">
        <f t="shared" si="2"/>
        <v/>
      </c>
    </row>
    <row r="13" spans="1:9" ht="15.6">
      <c r="A13" s="48" t="str">
        <v>Kohls - Granite Run</v>
      </c>
      <c r="B13" s="10" t="str">
        <v>PA</v>
      </c>
      <c r="C13" s="11">
        <f>SUM(Apr!C13, May!C13, Jun!C13)</f>
        <v>0</v>
      </c>
      <c r="D13" s="18">
        <f>SUM(Apr!D13, May!D13, Jun!D13)</f>
        <v>0</v>
      </c>
      <c r="E13" s="18">
        <f t="shared" si="0"/>
        <v>0</v>
      </c>
      <c r="F13" s="19" t="str">
        <f t="shared" si="1"/>
        <v/>
      </c>
      <c r="G13" s="20">
        <f>SUM(Apr!G13, May!G13, Jun!G13)</f>
        <v>0</v>
      </c>
      <c r="H13" s="20">
        <f>SUM(Apr!H13, May!H13, Jun!H13)</f>
        <v>0</v>
      </c>
      <c r="I13" s="19" t="str">
        <f t="shared" si="2"/>
        <v/>
      </c>
    </row>
    <row r="14" spans="1:9" ht="15.6">
      <c r="A14" s="47" t="str">
        <v>Kohls - Greece</v>
      </c>
      <c r="B14" s="9" t="str">
        <v>NY</v>
      </c>
      <c r="C14" s="24">
        <f>SUM(Apr!C14, May!C14, Jun!C14)</f>
        <v>0</v>
      </c>
      <c r="D14" s="13">
        <f>SUM(Apr!D14, May!D14, Jun!D14)</f>
        <v>0</v>
      </c>
      <c r="E14" s="13">
        <f t="shared" si="0"/>
        <v>0</v>
      </c>
      <c r="F14" s="14" t="str">
        <f t="shared" si="1"/>
        <v/>
      </c>
      <c r="G14" s="15">
        <f>SUM(Apr!G14, May!G14, Jun!G14)</f>
        <v>0</v>
      </c>
      <c r="H14" s="15">
        <f>SUM(Apr!H14, May!H14, Jun!H14)</f>
        <v>0</v>
      </c>
      <c r="I14" s="16" t="str">
        <f t="shared" si="2"/>
        <v/>
      </c>
    </row>
    <row r="15" spans="1:9" ht="15.6">
      <c r="A15" s="48" t="str">
        <v>Kohls - Hanover</v>
      </c>
      <c r="B15" s="10" t="str">
        <v>PA</v>
      </c>
      <c r="C15" s="11">
        <f>SUM(Apr!C15, May!C15, Jun!C15)</f>
        <v>0</v>
      </c>
      <c r="D15" s="18">
        <f>SUM(Apr!D15, May!D15, Jun!D15)</f>
        <v>0</v>
      </c>
      <c r="E15" s="18">
        <f t="shared" si="0"/>
        <v>0</v>
      </c>
      <c r="F15" s="19" t="str">
        <f t="shared" si="1"/>
        <v/>
      </c>
      <c r="G15" s="20">
        <f>SUM(Apr!G15, May!G15, Jun!G15)</f>
        <v>0</v>
      </c>
      <c r="H15" s="20">
        <f>SUM(Apr!H15, May!H15, Jun!H15)</f>
        <v>0</v>
      </c>
      <c r="I15" s="19" t="str">
        <f t="shared" si="2"/>
        <v/>
      </c>
    </row>
    <row r="16" spans="1:9" ht="15.6">
      <c r="A16" s="47" t="str">
        <v>Kohls - Horsehead</v>
      </c>
      <c r="B16" s="9" t="str">
        <v>NY</v>
      </c>
      <c r="C16" s="24">
        <f>SUM(Apr!C16, May!C16, Jun!C16)</f>
        <v>0</v>
      </c>
      <c r="D16" s="13">
        <f>SUM(Apr!D16, May!D16, Jun!D16)</f>
        <v>0</v>
      </c>
      <c r="E16" s="13">
        <f t="shared" ref="E16:E69" si="3">IF(AND(ISNUMBER(C16),ISNUMBER(D16)), C16-D16, "")</f>
        <v>0</v>
      </c>
      <c r="F16" s="14" t="str">
        <f t="shared" ref="F16:F69" si="4">IFERROR(E16/D16, "")</f>
        <v/>
      </c>
      <c r="G16" s="15">
        <f>SUM(Apr!G16, May!G16, Jun!G16)</f>
        <v>0</v>
      </c>
      <c r="H16" s="15">
        <f>SUM(Apr!H16, May!H16, Jun!H16)</f>
        <v>0</v>
      </c>
      <c r="I16" s="16" t="str">
        <f t="shared" ref="I16:I69" si="5">IFERROR(H16/G16, "")</f>
        <v/>
      </c>
    </row>
    <row r="17" spans="1:9" ht="15.6">
      <c r="A17" s="48" t="str">
        <v>Kohls - Hudson</v>
      </c>
      <c r="B17" s="10" t="str">
        <v>NY</v>
      </c>
      <c r="C17" s="11">
        <f>SUM(Apr!C17, May!C17, Jun!C17)</f>
        <v>0</v>
      </c>
      <c r="D17" s="18">
        <f>SUM(Apr!D17, May!D17, Jun!D17)</f>
        <v>0</v>
      </c>
      <c r="E17" s="18">
        <f t="shared" si="3"/>
        <v>0</v>
      </c>
      <c r="F17" s="19" t="str">
        <f t="shared" si="4"/>
        <v/>
      </c>
      <c r="G17" s="20">
        <f>SUM(Apr!G17, May!G17, Jun!G17)</f>
        <v>0</v>
      </c>
      <c r="H17" s="20">
        <f>SUM(Apr!H17, May!H17, Jun!H17)</f>
        <v>0</v>
      </c>
      <c r="I17" s="19" t="str">
        <f t="shared" si="5"/>
        <v/>
      </c>
    </row>
    <row r="18" spans="1:9" ht="12.75" customHeight="1">
      <c r="A18" s="47" t="str">
        <v>Kohls - Ithaca</v>
      </c>
      <c r="B18" s="9" t="str">
        <v>NY</v>
      </c>
      <c r="C18" s="24">
        <f>SUM(Apr!C18, May!C18, Jun!C18)</f>
        <v>0</v>
      </c>
      <c r="D18" s="13">
        <f>SUM(Apr!D18, May!D18, Jun!D18)</f>
        <v>0</v>
      </c>
      <c r="E18" s="13">
        <f t="shared" si="3"/>
        <v>0</v>
      </c>
      <c r="F18" s="14" t="str">
        <f t="shared" si="4"/>
        <v/>
      </c>
      <c r="G18" s="15">
        <f>SUM(Apr!G18, May!G18, Jun!G18)</f>
        <v>0</v>
      </c>
      <c r="H18" s="15">
        <f>SUM(Apr!H18, May!H18, Jun!H18)</f>
        <v>0</v>
      </c>
      <c r="I18" s="16" t="str">
        <f t="shared" si="5"/>
        <v/>
      </c>
    </row>
    <row r="19" spans="1:9" ht="15.6">
      <c r="A19" s="48" t="str">
        <v>Kohls - Kingston</v>
      </c>
      <c r="B19" s="10" t="str">
        <v>NY</v>
      </c>
      <c r="C19" s="11">
        <f>SUM(Apr!C19, May!C19, Jun!C19)</f>
        <v>0</v>
      </c>
      <c r="D19" s="18">
        <f>SUM(Apr!D19, May!D19, Jun!D19)</f>
        <v>0</v>
      </c>
      <c r="E19" s="18">
        <f t="shared" si="3"/>
        <v>0</v>
      </c>
      <c r="F19" s="19" t="str">
        <f t="shared" si="4"/>
        <v/>
      </c>
      <c r="G19" s="20">
        <f>SUM(Apr!G19, May!G19, Jun!G19)</f>
        <v>0</v>
      </c>
      <c r="H19" s="20">
        <f>SUM(Apr!H19, May!H19, Jun!H19)</f>
        <v>0</v>
      </c>
      <c r="I19" s="19" t="str">
        <f t="shared" si="5"/>
        <v/>
      </c>
    </row>
    <row r="20" spans="1:9" ht="15.6">
      <c r="A20" s="47" t="str">
        <v>Kohls - Mechanicsburg</v>
      </c>
      <c r="B20" s="9" t="str">
        <v>PA</v>
      </c>
      <c r="C20" s="24">
        <f>SUM(Apr!C20, May!C20, Jun!C20)</f>
        <v>0</v>
      </c>
      <c r="D20" s="13">
        <f>SUM(Apr!D20, May!D20, Jun!D20)</f>
        <v>0</v>
      </c>
      <c r="E20" s="13">
        <f t="shared" si="3"/>
        <v>0</v>
      </c>
      <c r="F20" s="14" t="str">
        <f t="shared" si="4"/>
        <v/>
      </c>
      <c r="G20" s="15">
        <f>SUM(Apr!G20, May!G20, Jun!G20)</f>
        <v>0</v>
      </c>
      <c r="H20" s="15">
        <f>SUM(Apr!H20, May!H20, Jun!H20)</f>
        <v>0</v>
      </c>
      <c r="I20" s="16" t="str">
        <f t="shared" si="5"/>
        <v/>
      </c>
    </row>
    <row r="21" spans="1:9" ht="15.6">
      <c r="A21" s="48" t="str">
        <v>Kohls - Middletown</v>
      </c>
      <c r="B21" s="10" t="str">
        <v>NJ</v>
      </c>
      <c r="C21" s="11">
        <f>SUM(Apr!C21, May!C21, Jun!C21)</f>
        <v>0</v>
      </c>
      <c r="D21" s="18">
        <f>SUM(Apr!D21, May!D21, Jun!D21)</f>
        <v>0</v>
      </c>
      <c r="E21" s="18">
        <f t="shared" si="3"/>
        <v>0</v>
      </c>
      <c r="F21" s="19" t="str">
        <f t="shared" si="4"/>
        <v/>
      </c>
      <c r="G21" s="20">
        <f>SUM(Apr!G21, May!G21, Jun!G21)</f>
        <v>0</v>
      </c>
      <c r="H21" s="20">
        <f>SUM(Apr!H21, May!H21, Jun!H21)</f>
        <v>0</v>
      </c>
      <c r="I21" s="19" t="str">
        <f t="shared" si="5"/>
        <v/>
      </c>
    </row>
    <row r="22" spans="1:9" ht="15.6">
      <c r="A22" s="47" t="str">
        <v>Kohls - North Amherst</v>
      </c>
      <c r="B22" s="9" t="str">
        <v>NY</v>
      </c>
      <c r="C22" s="24">
        <f>SUM(Apr!C22, May!C22, Jun!C22)</f>
        <v>0</v>
      </c>
      <c r="D22" s="13">
        <f>SUM(Apr!D22, May!D22, Jun!D22)</f>
        <v>0</v>
      </c>
      <c r="E22" s="13">
        <f t="shared" si="3"/>
        <v>0</v>
      </c>
      <c r="F22" s="14" t="str">
        <f t="shared" si="4"/>
        <v/>
      </c>
      <c r="G22" s="15">
        <f>SUM(Apr!G22, May!G22, Jun!G22)</f>
        <v>0</v>
      </c>
      <c r="H22" s="15">
        <f>SUM(Apr!H22, May!H22, Jun!H22)</f>
        <v>0</v>
      </c>
      <c r="I22" s="16" t="str">
        <f t="shared" si="5"/>
        <v/>
      </c>
    </row>
    <row r="23" spans="1:9" ht="15.6">
      <c r="A23" s="48" t="str">
        <v>Kohls - Staten Island</v>
      </c>
      <c r="B23" s="10" t="str">
        <v>NY</v>
      </c>
      <c r="C23" s="11">
        <f>SUM(Apr!C23, May!C23, Jun!C23)</f>
        <v>0</v>
      </c>
      <c r="D23" s="18">
        <f>SUM(Apr!D23, May!D23, Jun!D23)</f>
        <v>0</v>
      </c>
      <c r="E23" s="18">
        <f t="shared" si="3"/>
        <v>0</v>
      </c>
      <c r="F23" s="19" t="str">
        <f t="shared" si="4"/>
        <v/>
      </c>
      <c r="G23" s="20">
        <f>SUM(Apr!G23, May!G23, Jun!G23)</f>
        <v>0</v>
      </c>
      <c r="H23" s="20">
        <f>SUM(Apr!H23, May!H23, Jun!H23)</f>
        <v>0</v>
      </c>
      <c r="I23" s="19" t="str">
        <f t="shared" si="5"/>
        <v/>
      </c>
    </row>
    <row r="24" spans="1:9" ht="15.6">
      <c r="A24" s="47" t="str">
        <v>Kohls - Warminster</v>
      </c>
      <c r="B24" s="9" t="str">
        <v>PA</v>
      </c>
      <c r="C24" s="24">
        <f>SUM(Apr!C24, May!C24, Jun!C24)</f>
        <v>0</v>
      </c>
      <c r="D24" s="13">
        <f>SUM(Apr!D24, May!D24, Jun!D24)</f>
        <v>0</v>
      </c>
      <c r="E24" s="13">
        <f t="shared" si="3"/>
        <v>0</v>
      </c>
      <c r="F24" s="14" t="str">
        <f t="shared" si="4"/>
        <v/>
      </c>
      <c r="G24" s="15">
        <f>SUM(Apr!G24, May!G24, Jun!G24)</f>
        <v>0</v>
      </c>
      <c r="H24" s="15">
        <f>SUM(Apr!H24, May!H24, Jun!H24)</f>
        <v>0</v>
      </c>
      <c r="I24" s="16" t="str">
        <f t="shared" si="5"/>
        <v/>
      </c>
    </row>
    <row r="25" spans="1:9" ht="15.6">
      <c r="A25" s="48" t="str">
        <v xml:space="preserve">Kohls - Waterbury </v>
      </c>
      <c r="B25" s="10" t="str">
        <v>CT</v>
      </c>
      <c r="C25" s="11">
        <f>SUM(Apr!C25, May!C25, Jun!C25)</f>
        <v>0</v>
      </c>
      <c r="D25" s="18">
        <f>SUM(Apr!D25, May!D25, Jun!D25)</f>
        <v>0</v>
      </c>
      <c r="E25" s="18">
        <f t="shared" si="3"/>
        <v>0</v>
      </c>
      <c r="F25" s="19" t="str">
        <f t="shared" si="4"/>
        <v/>
      </c>
      <c r="G25" s="20">
        <f>SUM(Apr!G25, May!G25, Jun!G25)</f>
        <v>0</v>
      </c>
      <c r="H25" s="20">
        <f>SUM(Apr!H25, May!H25, Jun!H25)</f>
        <v>0</v>
      </c>
      <c r="I25" s="19" t="str">
        <f t="shared" si="5"/>
        <v/>
      </c>
    </row>
    <row r="26" spans="1:9" ht="15.6">
      <c r="A26" s="47" t="str">
        <v>Mojave Water Agency - Headquarters</v>
      </c>
      <c r="B26" s="9" t="str">
        <v>CA</v>
      </c>
      <c r="C26" s="24">
        <f>SUM(Apr!C26, May!C26, Jun!C26)</f>
        <v>0</v>
      </c>
      <c r="D26" s="13">
        <f>SUM(Apr!D26, May!D26, Jun!D26)</f>
        <v>0</v>
      </c>
      <c r="E26" s="13">
        <f t="shared" si="3"/>
        <v>0</v>
      </c>
      <c r="F26" s="14" t="str">
        <f t="shared" si="4"/>
        <v/>
      </c>
      <c r="G26" s="15">
        <f>SUM(Apr!G26, May!G26, Jun!G26)</f>
        <v>0</v>
      </c>
      <c r="H26" s="15">
        <f>SUM(Apr!H26, May!H26, Jun!H26)</f>
        <v>0</v>
      </c>
      <c r="I26" s="16" t="str">
        <f t="shared" si="5"/>
        <v/>
      </c>
    </row>
    <row r="27" spans="1:9" ht="15.6">
      <c r="A27" s="48" t="str">
        <v>CSU - Bakersfield</v>
      </c>
      <c r="B27" s="10" t="str">
        <v>CA</v>
      </c>
      <c r="C27" s="11">
        <f>SUM(Apr!C27, May!C27, Jun!C27)</f>
        <v>0</v>
      </c>
      <c r="D27" s="18">
        <f>SUM(Apr!D27, May!D27, Jun!D27)</f>
        <v>0</v>
      </c>
      <c r="E27" s="18">
        <f t="shared" si="3"/>
        <v>0</v>
      </c>
      <c r="F27" s="19" t="str">
        <f t="shared" si="4"/>
        <v/>
      </c>
      <c r="G27" s="20">
        <f>SUM(Apr!G27, May!G27, Jun!G27)</f>
        <v>0</v>
      </c>
      <c r="H27" s="20">
        <f>SUM(Apr!H27, May!H27, Jun!H27)</f>
        <v>0</v>
      </c>
      <c r="I27" s="19" t="str">
        <f t="shared" si="5"/>
        <v/>
      </c>
    </row>
    <row r="28" spans="1:9" ht="15.6">
      <c r="A28" s="47" t="str">
        <v>Greenfield USD - Fairfield ES</v>
      </c>
      <c r="B28" s="9" t="str">
        <v>CA</v>
      </c>
      <c r="C28" s="24">
        <f>SUM(Apr!C28, May!C28, Jun!C28)</f>
        <v>0</v>
      </c>
      <c r="D28" s="13">
        <f>SUM(Apr!D28, May!D28, Jun!D28)</f>
        <v>0</v>
      </c>
      <c r="E28" s="13">
        <f t="shared" si="3"/>
        <v>0</v>
      </c>
      <c r="F28" s="14" t="str">
        <f t="shared" si="4"/>
        <v/>
      </c>
      <c r="G28" s="15">
        <f>SUM(Apr!G28, May!G28, Jun!G28)</f>
        <v>0</v>
      </c>
      <c r="H28" s="15">
        <f>SUM(Apr!H28, May!H28, Jun!H28)</f>
        <v>0</v>
      </c>
      <c r="I28" s="16" t="str">
        <f t="shared" si="5"/>
        <v/>
      </c>
    </row>
    <row r="29" spans="1:9" ht="15.6">
      <c r="A29" s="48" t="str">
        <v>Greenfield USD - Granite Point ES</v>
      </c>
      <c r="B29" s="10" t="str">
        <v>CA</v>
      </c>
      <c r="C29" s="11">
        <f>SUM(Apr!C29, May!C29, Jun!C29)</f>
        <v>0</v>
      </c>
      <c r="D29" s="18">
        <f>SUM(Apr!D29, May!D29, Jun!D29)</f>
        <v>0</v>
      </c>
      <c r="E29" s="18">
        <f t="shared" si="3"/>
        <v>0</v>
      </c>
      <c r="F29" s="19" t="str">
        <f t="shared" si="4"/>
        <v/>
      </c>
      <c r="G29" s="20">
        <f>SUM(Apr!G29, May!G29, Jun!G29)</f>
        <v>0</v>
      </c>
      <c r="H29" s="20">
        <f>SUM(Apr!H29, May!H29, Jun!H29)</f>
        <v>0</v>
      </c>
      <c r="I29" s="19" t="str">
        <f t="shared" si="5"/>
        <v/>
      </c>
    </row>
    <row r="30" spans="1:9" ht="15.6">
      <c r="A30" s="47" t="str">
        <v>Greenfield USD - Greenfield MS</v>
      </c>
      <c r="B30" s="9" t="str">
        <v>CA</v>
      </c>
      <c r="C30" s="24">
        <f>SUM(Apr!C30, May!C30, Jun!C30)</f>
        <v>0</v>
      </c>
      <c r="D30" s="13">
        <f>SUM(Apr!D30, May!D30, Jun!D30)</f>
        <v>0</v>
      </c>
      <c r="E30" s="13">
        <f t="shared" si="3"/>
        <v>0</v>
      </c>
      <c r="F30" s="14" t="str">
        <f t="shared" si="4"/>
        <v/>
      </c>
      <c r="G30" s="15">
        <f>SUM(Apr!G30, May!G30, Jun!G30)</f>
        <v>0</v>
      </c>
      <c r="H30" s="15">
        <f>SUM(Apr!H30, May!H30, Jun!H30)</f>
        <v>0</v>
      </c>
      <c r="I30" s="16" t="str">
        <f t="shared" si="5"/>
        <v/>
      </c>
    </row>
    <row r="31" spans="1:9" ht="15.6">
      <c r="A31" s="48" t="str">
        <v>Greenfield USD - Horizon ES</v>
      </c>
      <c r="B31" s="10" t="str">
        <v>CA</v>
      </c>
      <c r="C31" s="11">
        <f>SUM(Apr!C31, May!C31, Jun!C31)</f>
        <v>0</v>
      </c>
      <c r="D31" s="18">
        <f>SUM(Apr!D31, May!D31, Jun!D31)</f>
        <v>0</v>
      </c>
      <c r="E31" s="18">
        <f t="shared" si="3"/>
        <v>0</v>
      </c>
      <c r="F31" s="19" t="str">
        <f t="shared" si="4"/>
        <v/>
      </c>
      <c r="G31" s="20">
        <f>SUM(Apr!G31, May!G31, Jun!G31)</f>
        <v>0</v>
      </c>
      <c r="H31" s="20">
        <f>SUM(Apr!H31, May!H31, Jun!H31)</f>
        <v>0</v>
      </c>
      <c r="I31" s="19" t="str">
        <f t="shared" si="5"/>
        <v/>
      </c>
    </row>
    <row r="32" spans="1:9" ht="15.6">
      <c r="A32" s="47" t="str">
        <v>Greenfield USD - McKee MS</v>
      </c>
      <c r="B32" s="9" t="str">
        <v>CA</v>
      </c>
      <c r="C32" s="24">
        <f>SUM(Apr!C32, May!C32, Jun!C32)</f>
        <v>0</v>
      </c>
      <c r="D32" s="13">
        <f>SUM(Apr!D32, May!D32, Jun!D32)</f>
        <v>0</v>
      </c>
      <c r="E32" s="13">
        <f t="shared" si="3"/>
        <v>0</v>
      </c>
      <c r="F32" s="14" t="str">
        <f t="shared" si="4"/>
        <v/>
      </c>
      <c r="G32" s="15">
        <f>SUM(Apr!G32, May!G32, Jun!G32)</f>
        <v>0</v>
      </c>
      <c r="H32" s="15">
        <f>SUM(Apr!H32, May!H32, Jun!H32)</f>
        <v>0</v>
      </c>
      <c r="I32" s="16" t="str">
        <f t="shared" si="5"/>
        <v/>
      </c>
    </row>
    <row r="33" spans="1:9" ht="15.6">
      <c r="A33" s="48" t="str">
        <v>Greenfield USD - Plantation ES</v>
      </c>
      <c r="B33" s="10" t="str">
        <v>CA</v>
      </c>
      <c r="C33" s="11">
        <f>SUM(Apr!C33, May!C33, Jun!C33)</f>
        <v>0</v>
      </c>
      <c r="D33" s="18">
        <f>SUM(Apr!D33, May!D33, Jun!D33)</f>
        <v>0</v>
      </c>
      <c r="E33" s="18">
        <f t="shared" si="3"/>
        <v>0</v>
      </c>
      <c r="F33" s="19" t="str">
        <f t="shared" si="4"/>
        <v/>
      </c>
      <c r="G33" s="20">
        <f>SUM(Apr!G33, May!G33, Jun!G33)</f>
        <v>0</v>
      </c>
      <c r="H33" s="20">
        <f>SUM(Apr!H33, May!H33, Jun!H33)</f>
        <v>0</v>
      </c>
      <c r="I33" s="19" t="str">
        <f t="shared" si="5"/>
        <v/>
      </c>
    </row>
    <row r="34" spans="1:9" ht="15.6">
      <c r="A34" s="47" t="str">
        <v>Greenfield USD - Planz ES</v>
      </c>
      <c r="B34" s="9" t="str">
        <v>CA</v>
      </c>
      <c r="C34" s="24">
        <f>SUM(Apr!C34, May!C34, Jun!C34)</f>
        <v>0</v>
      </c>
      <c r="D34" s="13">
        <f>SUM(Apr!D34, May!D34, Jun!D34)</f>
        <v>0</v>
      </c>
      <c r="E34" s="13">
        <f t="shared" si="3"/>
        <v>0</v>
      </c>
      <c r="F34" s="14" t="str">
        <f t="shared" si="4"/>
        <v/>
      </c>
      <c r="G34" s="15">
        <f>SUM(Apr!G34, May!G34, Jun!G34)</f>
        <v>0</v>
      </c>
      <c r="H34" s="15">
        <f>SUM(Apr!H34, May!H34, Jun!H34)</f>
        <v>0</v>
      </c>
      <c r="I34" s="16" t="str">
        <f t="shared" si="5"/>
        <v/>
      </c>
    </row>
    <row r="35" spans="1:9" ht="15.6">
      <c r="A35" s="48" t="str">
        <v>Greenfield USD - Raffaello Palla ES</v>
      </c>
      <c r="B35" s="10" t="str">
        <v>CA</v>
      </c>
      <c r="C35" s="11">
        <f>SUM(Apr!C35, May!C35, Jun!C35)</f>
        <v>0</v>
      </c>
      <c r="D35" s="18">
        <f>SUM(Apr!D35, May!D35, Jun!D35)</f>
        <v>0</v>
      </c>
      <c r="E35" s="18">
        <f t="shared" si="3"/>
        <v>0</v>
      </c>
      <c r="F35" s="19" t="str">
        <f t="shared" si="4"/>
        <v/>
      </c>
      <c r="G35" s="20">
        <f>SUM(Apr!G35, May!G35, Jun!G35)</f>
        <v>0</v>
      </c>
      <c r="H35" s="20">
        <f>SUM(Apr!H35, May!H35, Jun!H35)</f>
        <v>0</v>
      </c>
      <c r="I35" s="19" t="str">
        <f t="shared" si="5"/>
        <v/>
      </c>
    </row>
    <row r="36" spans="1:9" ht="15.6">
      <c r="A36" s="47" t="str">
        <v>Greenfield USD - Valle Verde ES</v>
      </c>
      <c r="B36" s="9" t="str">
        <v>CA</v>
      </c>
      <c r="C36" s="24">
        <f>SUM(Apr!C36, May!C36, Jun!C36)</f>
        <v>0</v>
      </c>
      <c r="D36" s="13">
        <f>SUM(Apr!D36, May!D36, Jun!D36)</f>
        <v>0</v>
      </c>
      <c r="E36" s="13">
        <f t="shared" si="3"/>
        <v>0</v>
      </c>
      <c r="F36" s="14" t="str">
        <f t="shared" si="4"/>
        <v/>
      </c>
      <c r="G36" s="15">
        <f>SUM(Apr!G36, May!G36, Jun!G36)</f>
        <v>0</v>
      </c>
      <c r="H36" s="15">
        <f>SUM(Apr!H36, May!H36, Jun!H36)</f>
        <v>0</v>
      </c>
      <c r="I36" s="16" t="str">
        <f t="shared" si="5"/>
        <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0</v>
      </c>
      <c r="H37" s="20">
        <f>SUM(Apr!H37, May!H37, Jun!H37)</f>
        <v>0</v>
      </c>
      <c r="I37" s="19" t="str">
        <f t="shared" si="5"/>
        <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0</v>
      </c>
      <c r="H38" s="15">
        <f>SUM(Apr!H38, May!H38, Jun!H38)</f>
        <v>0</v>
      </c>
      <c r="I38" s="16" t="str">
        <f t="shared" si="5"/>
        <v/>
      </c>
    </row>
    <row r="39" spans="1:9" ht="15.6">
      <c r="A39" s="48" t="str">
        <v>Muroc Joint USD - W. Boron ES</v>
      </c>
      <c r="B39" s="10" t="str">
        <v>CA</v>
      </c>
      <c r="C39" s="11">
        <f>SUM(Apr!C39, May!C39, Jun!C39)</f>
        <v>0</v>
      </c>
      <c r="D39" s="18">
        <f>SUM(Apr!D39, May!D39, Jun!D39)</f>
        <v>0</v>
      </c>
      <c r="E39" s="18">
        <f t="shared" si="3"/>
        <v>0</v>
      </c>
      <c r="F39" s="19" t="str">
        <f t="shared" si="4"/>
        <v/>
      </c>
      <c r="G39" s="20">
        <f>SUM(Apr!G39, May!G39, Jun!G39)</f>
        <v>0</v>
      </c>
      <c r="H39" s="20">
        <f>SUM(Apr!H39, May!H39, Jun!H39)</f>
        <v>0</v>
      </c>
      <c r="I39" s="19" t="str">
        <f t="shared" si="5"/>
        <v/>
      </c>
    </row>
    <row r="40" spans="1:9" ht="15.6">
      <c r="A40" s="47" t="str">
        <v>Colusa - WTP</v>
      </c>
      <c r="B40" s="9" t="str">
        <v>CA</v>
      </c>
      <c r="C40" s="24">
        <f>SUM(Apr!C40, May!C40, Jun!C40)</f>
        <v>0</v>
      </c>
      <c r="D40" s="13">
        <f>SUM(Apr!D40, May!D40, Jun!D40)</f>
        <v>0</v>
      </c>
      <c r="E40" s="13">
        <f t="shared" si="3"/>
        <v>0</v>
      </c>
      <c r="F40" s="14" t="str">
        <f t="shared" si="4"/>
        <v/>
      </c>
      <c r="G40" s="15">
        <f>SUM(Apr!G40, May!G40, Jun!G40)</f>
        <v>0</v>
      </c>
      <c r="H40" s="15">
        <f>SUM(Apr!H40, May!H40, Jun!H40)</f>
        <v>0</v>
      </c>
      <c r="I40" s="16" t="str">
        <f t="shared" si="5"/>
        <v/>
      </c>
    </row>
    <row r="41" spans="1:9" ht="15.6">
      <c r="A41" s="48" t="str">
        <v>CDCR-North Kern State Prision</v>
      </c>
      <c r="B41" s="10" t="str">
        <v>CA</v>
      </c>
      <c r="C41" s="11">
        <f>SUM(Apr!C41, May!C41, Jun!C41)</f>
        <v>0</v>
      </c>
      <c r="D41" s="18">
        <f>SUM(Apr!D41, May!D41, Jun!D41)</f>
        <v>0</v>
      </c>
      <c r="E41" s="18">
        <f t="shared" si="3"/>
        <v>0</v>
      </c>
      <c r="F41" s="19" t="str">
        <f t="shared" si="4"/>
        <v/>
      </c>
      <c r="G41" s="20">
        <f>SUM(Apr!G41, May!G41, Jun!G41)</f>
        <v>0</v>
      </c>
      <c r="H41" s="20">
        <f>SUM(Apr!H41, May!H41, Jun!H41)</f>
        <v>0</v>
      </c>
      <c r="I41" s="19" t="str">
        <f t="shared" si="5"/>
        <v/>
      </c>
    </row>
    <row r="42" spans="1:9" ht="15.6">
      <c r="A42" s="47" t="str">
        <v>Muroc Joint USD - District Office</v>
      </c>
      <c r="B42" s="9" t="str">
        <v>CA</v>
      </c>
      <c r="C42" s="24">
        <f>SUM(Apr!C42, May!C42, Jun!C42)</f>
        <v>0</v>
      </c>
      <c r="D42" s="13">
        <f>SUM(Apr!D42, May!D42, Jun!D42)</f>
        <v>0</v>
      </c>
      <c r="E42" s="13">
        <f t="shared" si="3"/>
        <v>0</v>
      </c>
      <c r="F42" s="14" t="str">
        <f t="shared" si="4"/>
        <v/>
      </c>
      <c r="G42" s="15">
        <f>SUM(Apr!G42, May!G42, Jun!G42)</f>
        <v>0</v>
      </c>
      <c r="H42" s="15">
        <f>SUM(Apr!H42, May!H42, Jun!H42)</f>
        <v>0</v>
      </c>
      <c r="I42" s="16" t="str">
        <f t="shared" si="5"/>
        <v/>
      </c>
    </row>
    <row r="43" spans="1:9" ht="15.6">
      <c r="A43" s="48" t="str">
        <v>Whole Foods - Manhattan Beach</v>
      </c>
      <c r="B43" s="10" t="str">
        <v>CA</v>
      </c>
      <c r="C43" s="11">
        <f>SUM(Apr!C43, May!C43, Jun!C43)</f>
        <v>0</v>
      </c>
      <c r="D43" s="18">
        <f>SUM(Apr!D43, May!D43, Jun!D43)</f>
        <v>0</v>
      </c>
      <c r="E43" s="18">
        <f t="shared" si="3"/>
        <v>0</v>
      </c>
      <c r="F43" s="19" t="str">
        <f t="shared" si="4"/>
        <v/>
      </c>
      <c r="G43" s="20">
        <f>SUM(Apr!G43, May!G43, Jun!G43)</f>
        <v>0</v>
      </c>
      <c r="H43" s="20">
        <f>SUM(Apr!H43, May!H43, Jun!H43)</f>
        <v>0</v>
      </c>
      <c r="I43" s="19" t="str">
        <f t="shared" si="5"/>
        <v/>
      </c>
    </row>
    <row r="44" spans="1:9" ht="15.6">
      <c r="A44" s="47" t="str">
        <v>Pioneer USD - Frontier ES</v>
      </c>
      <c r="B44" s="9" t="str">
        <v>CA</v>
      </c>
      <c r="C44" s="24">
        <f>SUM(Apr!C44, May!C44, Jun!C44)</f>
        <v>0</v>
      </c>
      <c r="D44" s="13">
        <f>SUM(Apr!D44, May!D44, Jun!D44)</f>
        <v>0</v>
      </c>
      <c r="E44" s="13">
        <f t="shared" si="3"/>
        <v>0</v>
      </c>
      <c r="F44" s="14" t="str">
        <f t="shared" si="4"/>
        <v/>
      </c>
      <c r="G44" s="15">
        <f>SUM(Apr!G44, May!G44, Jun!G44)</f>
        <v>0</v>
      </c>
      <c r="H44" s="15">
        <f>SUM(Apr!H44, May!H44, Jun!H44)</f>
        <v>0</v>
      </c>
      <c r="I44" s="16" t="str">
        <f t="shared" si="5"/>
        <v/>
      </c>
    </row>
    <row r="45" spans="1:9" ht="15.6">
      <c r="A45" s="48" t="str">
        <v>Pioneer USD - Pioneer ES</v>
      </c>
      <c r="B45" s="10" t="str">
        <v>CA</v>
      </c>
      <c r="C45" s="11">
        <f>SUM(Apr!C45, May!C45, Jun!C45)</f>
        <v>0</v>
      </c>
      <c r="D45" s="18">
        <f>SUM(Apr!D45, May!D45, Jun!D45)</f>
        <v>0</v>
      </c>
      <c r="E45" s="18">
        <f t="shared" si="3"/>
        <v>0</v>
      </c>
      <c r="F45" s="19" t="str">
        <f t="shared" si="4"/>
        <v/>
      </c>
      <c r="G45" s="20">
        <f>SUM(Apr!G45, May!G45, Jun!G45)</f>
        <v>0</v>
      </c>
      <c r="H45" s="20">
        <f>SUM(Apr!H45, May!H45, Jun!H45)</f>
        <v>0</v>
      </c>
      <c r="I45" s="19" t="str">
        <f t="shared" si="5"/>
        <v/>
      </c>
    </row>
    <row r="46" spans="1:9" ht="15.6">
      <c r="A46" s="47" t="str">
        <v>Pioneer USD - Pioneer MS</v>
      </c>
      <c r="B46" s="9" t="str">
        <v>CA</v>
      </c>
      <c r="C46" s="24">
        <f>SUM(Apr!C46, May!C46, Jun!C46)</f>
        <v>0</v>
      </c>
      <c r="D46" s="13">
        <f>SUM(Apr!D46, May!D46, Jun!D46)</f>
        <v>0</v>
      </c>
      <c r="E46" s="13">
        <f t="shared" si="3"/>
        <v>0</v>
      </c>
      <c r="F46" s="14" t="str">
        <f t="shared" si="4"/>
        <v/>
      </c>
      <c r="G46" s="15">
        <f>SUM(Apr!G46, May!G46, Jun!G46)</f>
        <v>0</v>
      </c>
      <c r="H46" s="15">
        <f>SUM(Apr!H46, May!H46, Jun!H46)</f>
        <v>0</v>
      </c>
      <c r="I46" s="16" t="str">
        <f t="shared" si="5"/>
        <v/>
      </c>
    </row>
    <row r="47" spans="1:9" ht="15.6">
      <c r="A47" s="48" t="str">
        <v>Kingsburg Joint UHSD - Kingsburg HS</v>
      </c>
      <c r="B47" s="10" t="str">
        <v>CA</v>
      </c>
      <c r="C47" s="11">
        <f>SUM(Apr!C47, May!C47, Jun!C47)</f>
        <v>0</v>
      </c>
      <c r="D47" s="18">
        <f>SUM(Apr!D47, May!D47, Jun!D47)</f>
        <v>0</v>
      </c>
      <c r="E47" s="18">
        <f t="shared" si="3"/>
        <v>0</v>
      </c>
      <c r="F47" s="19" t="str">
        <f t="shared" si="4"/>
        <v/>
      </c>
      <c r="G47" s="20">
        <f>SUM(Apr!G47, May!G47, Jun!G47)</f>
        <v>0</v>
      </c>
      <c r="H47" s="20">
        <f>SUM(Apr!H47, May!H47, Jun!H47)</f>
        <v>0</v>
      </c>
      <c r="I47" s="19" t="str">
        <f t="shared" si="5"/>
        <v/>
      </c>
    </row>
    <row r="48" spans="1:9" ht="15.6">
      <c r="A48" s="47" t="str">
        <v>CADRB</v>
      </c>
      <c r="B48" s="9" t="str">
        <v>CA</v>
      </c>
      <c r="C48" s="24">
        <f>SUM(Apr!C48, May!C48, Jun!C48)</f>
        <v>0</v>
      </c>
      <c r="D48" s="13">
        <f>SUM(Apr!D48, May!D48, Jun!D48)</f>
        <v>0</v>
      </c>
      <c r="E48" s="13">
        <f t="shared" si="3"/>
        <v>0</v>
      </c>
      <c r="F48" s="14" t="str">
        <f t="shared" si="4"/>
        <v/>
      </c>
      <c r="G48" s="15">
        <f>SUM(Apr!G48, May!G48, Jun!G48)</f>
        <v>0</v>
      </c>
      <c r="H48" s="15">
        <f>SUM(Apr!H48, May!H48, Jun!H48)</f>
        <v>0</v>
      </c>
      <c r="I48" s="16" t="str">
        <f t="shared" si="5"/>
        <v/>
      </c>
    </row>
    <row r="49" spans="1:9" ht="15.6">
      <c r="A49" s="48" t="str">
        <v>CDCR-CA State Prison LA County</v>
      </c>
      <c r="B49" s="10" t="str">
        <v>CA</v>
      </c>
      <c r="C49" s="11">
        <f>SUM(Apr!C49, May!C49, Jun!C49)</f>
        <v>0</v>
      </c>
      <c r="D49" s="18">
        <f>SUM(Apr!D49, May!D49, Jun!D49)</f>
        <v>0</v>
      </c>
      <c r="E49" s="18">
        <f t="shared" si="3"/>
        <v>0</v>
      </c>
      <c r="F49" s="19" t="str">
        <f t="shared" si="4"/>
        <v/>
      </c>
      <c r="G49" s="20">
        <f>SUM(Apr!G49, May!G49, Jun!G49)</f>
        <v>0</v>
      </c>
      <c r="H49" s="20">
        <f>SUM(Apr!H49, May!H49, Jun!H49)</f>
        <v>0</v>
      </c>
      <c r="I49" s="19" t="str">
        <f t="shared" si="5"/>
        <v/>
      </c>
    </row>
    <row r="50" spans="1:9" ht="15.6">
      <c r="A50" s="47" t="str">
        <v>Central USD Akers ES</v>
      </c>
      <c r="B50" s="9" t="str">
        <v>CA</v>
      </c>
      <c r="C50" s="24">
        <f>SUM(Apr!C50, May!C50, Jun!C50)</f>
        <v>0</v>
      </c>
      <c r="D50" s="13">
        <f>SUM(Apr!D50, May!D50, Jun!D50)</f>
        <v>0</v>
      </c>
      <c r="E50" s="13">
        <f t="shared" si="3"/>
        <v>0</v>
      </c>
      <c r="F50" s="14" t="str">
        <f t="shared" si="4"/>
        <v/>
      </c>
      <c r="G50" s="15">
        <f>SUM(Apr!G50, May!G50, Jun!G50)</f>
        <v>0</v>
      </c>
      <c r="H50" s="15">
        <f>SUM(Apr!H50, May!H50, Jun!H50)</f>
        <v>0</v>
      </c>
      <c r="I50" s="16" t="str">
        <f t="shared" si="5"/>
        <v/>
      </c>
    </row>
    <row r="51" spans="1:9" ht="15.6">
      <c r="A51" s="48" t="str">
        <v>CUSD - District Office</v>
      </c>
      <c r="B51" s="10" t="str">
        <v>CA</v>
      </c>
      <c r="C51" s="11">
        <f>SUM(Apr!C51, May!C51, Jun!C51)</f>
        <v>0</v>
      </c>
      <c r="D51" s="18">
        <f>SUM(Apr!D51, May!D51, Jun!D51)</f>
        <v>0</v>
      </c>
      <c r="E51" s="18">
        <f t="shared" si="3"/>
        <v>0</v>
      </c>
      <c r="F51" s="19" t="str">
        <f t="shared" si="4"/>
        <v/>
      </c>
      <c r="G51" s="20">
        <f>SUM(Apr!G51, May!G51, Jun!G51)</f>
        <v>0</v>
      </c>
      <c r="H51" s="20">
        <f>SUM(Apr!H51, May!H51, Jun!H51)</f>
        <v>0</v>
      </c>
      <c r="I51" s="19" t="str">
        <f t="shared" si="5"/>
        <v/>
      </c>
    </row>
    <row r="52" spans="1:9" ht="15.6">
      <c r="A52" s="47" t="str">
        <v>Parlier - WTP</v>
      </c>
      <c r="B52" s="9" t="str">
        <v>CA</v>
      </c>
      <c r="C52" s="24">
        <f>SUM(Apr!C52, May!C52, Jun!C52)</f>
        <v>0</v>
      </c>
      <c r="D52" s="13">
        <f>SUM(Apr!D52, May!D52, Jun!D52)</f>
        <v>0</v>
      </c>
      <c r="E52" s="13">
        <f t="shared" si="3"/>
        <v>0</v>
      </c>
      <c r="F52" s="14" t="str">
        <f t="shared" si="4"/>
        <v/>
      </c>
      <c r="G52" s="15">
        <f>SUM(Apr!G52, May!G52, Jun!G52)</f>
        <v>0</v>
      </c>
      <c r="H52" s="15">
        <f>SUM(Apr!H52, May!H52, Jun!H52)</f>
        <v>0</v>
      </c>
      <c r="I52" s="16" t="str">
        <f t="shared" si="5"/>
        <v/>
      </c>
    </row>
    <row r="53" spans="1:9" ht="15.6">
      <c r="A53" s="48" t="str">
        <v>Snowline SD - Quail Valley MS</v>
      </c>
      <c r="B53" s="10" t="str">
        <v>CA</v>
      </c>
      <c r="C53" s="11">
        <f>SUM(Apr!C53, May!C53, Jun!C53)</f>
        <v>0</v>
      </c>
      <c r="D53" s="18">
        <f>SUM(Apr!D53, May!D53, Jun!D53)</f>
        <v>0</v>
      </c>
      <c r="E53" s="18">
        <f t="shared" si="3"/>
        <v>0</v>
      </c>
      <c r="F53" s="19" t="str">
        <f t="shared" si="4"/>
        <v/>
      </c>
      <c r="G53" s="20">
        <f>SUM(Apr!G53, May!G53, Jun!G53)</f>
        <v>0</v>
      </c>
      <c r="H53" s="20">
        <f>SUM(Apr!H53, May!H53, Jun!H53)</f>
        <v>0</v>
      </c>
      <c r="I53" s="19" t="str">
        <f t="shared" si="5"/>
        <v/>
      </c>
    </row>
    <row r="54" spans="1:9" ht="15.6">
      <c r="A54" s="47" t="str">
        <v>Snowline SD - Serrano HS - Middle Lot</v>
      </c>
      <c r="B54" s="9" t="str">
        <v>CA</v>
      </c>
      <c r="C54" s="24">
        <f>SUM(Apr!C54, May!C54, Jun!C54)</f>
        <v>0</v>
      </c>
      <c r="D54" s="13">
        <f>SUM(Apr!D54, May!D54, Jun!D54)</f>
        <v>0</v>
      </c>
      <c r="E54" s="13">
        <f t="shared" si="3"/>
        <v>0</v>
      </c>
      <c r="F54" s="14" t="str">
        <f t="shared" si="4"/>
        <v/>
      </c>
      <c r="G54" s="15">
        <f>SUM(Apr!G54, May!G54, Jun!G54)</f>
        <v>0</v>
      </c>
      <c r="H54" s="15">
        <f>SUM(Apr!H54, May!H54, Jun!H54)</f>
        <v>0</v>
      </c>
      <c r="I54" s="16" t="str">
        <f t="shared" si="5"/>
        <v/>
      </c>
    </row>
    <row r="55" spans="1:9" ht="15.6">
      <c r="A55" s="48" t="str">
        <v>Snowline SD - Pinon Hills ES</v>
      </c>
      <c r="B55" s="10" t="str">
        <v>CA</v>
      </c>
      <c r="C55" s="11">
        <f>SUM(Apr!C55, May!C55, Jun!C55)</f>
        <v>0</v>
      </c>
      <c r="D55" s="18">
        <f>SUM(Apr!D55, May!D55, Jun!D55)</f>
        <v>0</v>
      </c>
      <c r="E55" s="18">
        <f t="shared" si="3"/>
        <v>0</v>
      </c>
      <c r="F55" s="19" t="str">
        <f t="shared" si="4"/>
        <v/>
      </c>
      <c r="G55" s="20">
        <f>SUM(Apr!G55, May!G55, Jun!G55)</f>
        <v>0</v>
      </c>
      <c r="H55" s="20">
        <f>SUM(Apr!H55, May!H55, Jun!H55)</f>
        <v>0</v>
      </c>
      <c r="I55" s="19" t="str">
        <f t="shared" si="5"/>
        <v/>
      </c>
    </row>
    <row r="56" spans="1:9" ht="15.6">
      <c r="A56" s="47" t="str">
        <v>Ramona - Santa Maria WTP</v>
      </c>
      <c r="B56" s="9" t="str">
        <v>CA</v>
      </c>
      <c r="C56" s="24">
        <f>SUM(Apr!C56, May!C56, Jun!C56)</f>
        <v>0</v>
      </c>
      <c r="D56" s="13">
        <f>SUM(Apr!D56, May!D56, Jun!D56)</f>
        <v>0</v>
      </c>
      <c r="E56" s="13">
        <f t="shared" si="3"/>
        <v>0</v>
      </c>
      <c r="F56" s="14" t="str">
        <f t="shared" si="4"/>
        <v/>
      </c>
      <c r="G56" s="15">
        <f>SUM(Apr!G56, May!G56, Jun!G56)</f>
        <v>0</v>
      </c>
      <c r="H56" s="15">
        <f>SUM(Apr!H56, May!H56, Jun!H56)</f>
        <v>0</v>
      </c>
      <c r="I56" s="16" t="str">
        <f t="shared" si="5"/>
        <v/>
      </c>
    </row>
    <row r="57" spans="1:9" ht="15.6">
      <c r="A57" s="48" t="str">
        <v>Kohls - Redding</v>
      </c>
      <c r="B57" s="10" t="str">
        <v>CA</v>
      </c>
      <c r="C57" s="11">
        <f>SUM(Apr!C57, May!C57, Jun!C57)</f>
        <v>0</v>
      </c>
      <c r="D57" s="18">
        <f>SUM(Apr!D57, May!D57, Jun!D57)</f>
        <v>0</v>
      </c>
      <c r="E57" s="18">
        <f t="shared" si="3"/>
        <v>0</v>
      </c>
      <c r="F57" s="19" t="str">
        <f t="shared" si="4"/>
        <v/>
      </c>
      <c r="G57" s="20">
        <f>SUM(Apr!G57, May!G57, Jun!G57)</f>
        <v>0</v>
      </c>
      <c r="H57" s="20">
        <f>SUM(Apr!H57, May!H57, Jun!H57)</f>
        <v>0</v>
      </c>
      <c r="I57" s="19" t="str">
        <f t="shared" si="5"/>
        <v/>
      </c>
    </row>
    <row r="58" spans="1:9" ht="15.6">
      <c r="A58" s="47" t="str">
        <v>Kohls - Salinas</v>
      </c>
      <c r="B58" s="9" t="str">
        <v>CA</v>
      </c>
      <c r="C58" s="24">
        <f>SUM(Apr!C58, May!C58, Jun!C58)</f>
        <v>0</v>
      </c>
      <c r="D58" s="13">
        <f>SUM(Apr!D58, May!D58, Jun!D58)</f>
        <v>0</v>
      </c>
      <c r="E58" s="13">
        <f t="shared" si="3"/>
        <v>0</v>
      </c>
      <c r="F58" s="14" t="str">
        <f t="shared" si="4"/>
        <v/>
      </c>
      <c r="G58" s="15">
        <f>SUM(Apr!G58, May!G58, Jun!G58)</f>
        <v>0</v>
      </c>
      <c r="H58" s="15">
        <f>SUM(Apr!H58, May!H58, Jun!H58)</f>
        <v>0</v>
      </c>
      <c r="I58" s="16" t="str">
        <f t="shared" si="5"/>
        <v/>
      </c>
    </row>
    <row r="59" spans="1:9" ht="15.6">
      <c r="A59" s="48" t="str">
        <v>Kohls - Sonora</v>
      </c>
      <c r="B59" s="10" t="str">
        <v>CA</v>
      </c>
      <c r="C59" s="11">
        <f>SUM(Apr!C59, May!C59, Jun!C59)</f>
        <v>0</v>
      </c>
      <c r="D59" s="18">
        <f>SUM(Apr!D59, May!D59, Jun!D59)</f>
        <v>0</v>
      </c>
      <c r="E59" s="18">
        <f t="shared" si="3"/>
        <v>0</v>
      </c>
      <c r="F59" s="19" t="str">
        <f t="shared" si="4"/>
        <v/>
      </c>
      <c r="G59" s="20">
        <f>SUM(Apr!G59, May!G59, Jun!G59)</f>
        <v>0</v>
      </c>
      <c r="H59" s="20">
        <f>SUM(Apr!H59, May!H59, Jun!H59)</f>
        <v>0</v>
      </c>
      <c r="I59" s="19" t="str">
        <f t="shared" si="5"/>
        <v/>
      </c>
    </row>
    <row r="60" spans="1:9" ht="15.6">
      <c r="A60" s="47" t="str">
        <v>CUSD - Stratford ES</v>
      </c>
      <c r="B60" s="9" t="str">
        <v>CA</v>
      </c>
      <c r="C60" s="24">
        <f>SUM(Apr!C60, May!C60, Jun!C60)</f>
        <v>0</v>
      </c>
      <c r="D60" s="13">
        <f>SUM(Apr!D60, May!D60, Jun!D60)</f>
        <v>0</v>
      </c>
      <c r="E60" s="13">
        <f t="shared" si="3"/>
        <v>0</v>
      </c>
      <c r="F60" s="14" t="str">
        <f t="shared" si="4"/>
        <v/>
      </c>
      <c r="G60" s="15">
        <f>SUM(Apr!G60, May!G60, Jun!G60)</f>
        <v>0</v>
      </c>
      <c r="H60" s="15">
        <f>SUM(Apr!H60, May!H60, Jun!H60)</f>
        <v>0</v>
      </c>
      <c r="I60" s="16" t="str">
        <f t="shared" si="5"/>
        <v/>
      </c>
    </row>
    <row r="61" spans="1:9" ht="15.6">
      <c r="A61" s="48" t="str">
        <v>Taft - City Hall</v>
      </c>
      <c r="B61" s="10" t="str">
        <v>CA</v>
      </c>
      <c r="C61" s="11">
        <f>SUM(Apr!C61, May!C61, Jun!C61)</f>
        <v>0</v>
      </c>
      <c r="D61" s="18">
        <f>SUM(Apr!D61, May!D61, Jun!D61)</f>
        <v>0</v>
      </c>
      <c r="E61" s="18">
        <f t="shared" si="3"/>
        <v>0</v>
      </c>
      <c r="F61" s="19" t="str">
        <f t="shared" si="4"/>
        <v/>
      </c>
      <c r="G61" s="20">
        <f>SUM(Apr!G61, May!G61, Jun!G61)</f>
        <v>0</v>
      </c>
      <c r="H61" s="20">
        <f>SUM(Apr!H61, May!H61, Jun!H61)</f>
        <v>0</v>
      </c>
      <c r="I61" s="19" t="str">
        <f t="shared" si="5"/>
        <v/>
      </c>
    </row>
    <row r="62" spans="1:9" ht="15.6">
      <c r="A62" s="47" t="str">
        <v>Taft - Federal Prison</v>
      </c>
      <c r="B62" s="9" t="str">
        <v>CA</v>
      </c>
      <c r="C62" s="24">
        <f>SUM(Apr!C62, May!C62, Jun!C62)</f>
        <v>0</v>
      </c>
      <c r="D62" s="13">
        <f>SUM(Apr!D62, May!D62, Jun!D62)</f>
        <v>0</v>
      </c>
      <c r="E62" s="13">
        <f t="shared" si="3"/>
        <v>0</v>
      </c>
      <c r="F62" s="14" t="str">
        <f t="shared" si="4"/>
        <v/>
      </c>
      <c r="G62" s="15">
        <f>SUM(Apr!G62, May!G62, Jun!G62)</f>
        <v>0</v>
      </c>
      <c r="H62" s="15">
        <f>SUM(Apr!H62, May!H62, Jun!H62)</f>
        <v>0</v>
      </c>
      <c r="I62" s="16" t="str">
        <f t="shared" si="5"/>
        <v/>
      </c>
    </row>
    <row r="63" spans="1:9" ht="15.6">
      <c r="A63" s="48" t="str">
        <v>Taft - Police Department</v>
      </c>
      <c r="B63" s="10" t="str">
        <v>CA</v>
      </c>
      <c r="C63" s="11">
        <f>SUM(Apr!C63, May!C63, Jun!C63)</f>
        <v>0</v>
      </c>
      <c r="D63" s="18">
        <f>SUM(Apr!D63, May!D63, Jun!D63)</f>
        <v>0</v>
      </c>
      <c r="E63" s="18">
        <f t="shared" si="3"/>
        <v>0</v>
      </c>
      <c r="F63" s="19" t="str">
        <f t="shared" si="4"/>
        <v/>
      </c>
      <c r="G63" s="20">
        <f>SUM(Apr!G63, May!G63, Jun!G63)</f>
        <v>0</v>
      </c>
      <c r="H63" s="20">
        <f>SUM(Apr!H63, May!H63, Jun!H63)</f>
        <v>0</v>
      </c>
      <c r="I63" s="19" t="str">
        <f t="shared" si="5"/>
        <v/>
      </c>
    </row>
    <row r="64" spans="1:9" ht="15.6">
      <c r="A64" s="47" t="str">
        <v>Taft - WTP</v>
      </c>
      <c r="B64" s="9" t="str">
        <v>CA</v>
      </c>
      <c r="C64" s="24">
        <f>SUM(Apr!C64, May!C64, Jun!C64)</f>
        <v>0</v>
      </c>
      <c r="D64" s="13">
        <f>SUM(Apr!D64, May!D64, Jun!D64)</f>
        <v>0</v>
      </c>
      <c r="E64" s="13">
        <f t="shared" si="3"/>
        <v>0</v>
      </c>
      <c r="F64" s="14" t="str">
        <f t="shared" si="4"/>
        <v/>
      </c>
      <c r="G64" s="15">
        <f>SUM(Apr!G64, May!G64, Jun!G64)</f>
        <v>0</v>
      </c>
      <c r="H64" s="15">
        <f>SUM(Apr!H64, May!H64, Jun!H64)</f>
        <v>0</v>
      </c>
      <c r="I64" s="16" t="str">
        <f t="shared" si="5"/>
        <v/>
      </c>
    </row>
    <row r="65" spans="1:9" ht="15.6">
      <c r="A65" s="48" t="str">
        <v>CDCR - CA Correctional Institution</v>
      </c>
      <c r="B65" s="10" t="str">
        <v>CA</v>
      </c>
      <c r="C65" s="11">
        <f>SUM(Apr!C65, May!C65, Jun!C65)</f>
        <v>0</v>
      </c>
      <c r="D65" s="18">
        <f>SUM(Apr!D65, May!D65, Jun!D65)</f>
        <v>0</v>
      </c>
      <c r="E65" s="18">
        <f t="shared" si="3"/>
        <v>0</v>
      </c>
      <c r="F65" s="19" t="str">
        <f t="shared" si="4"/>
        <v/>
      </c>
      <c r="G65" s="20">
        <f>SUM(Apr!G65, May!G65, Jun!G65)</f>
        <v>0</v>
      </c>
      <c r="H65" s="20">
        <f>SUM(Apr!H65, May!H65, Jun!H65)</f>
        <v>0</v>
      </c>
      <c r="I65" s="19" t="str">
        <f t="shared" si="5"/>
        <v/>
      </c>
    </row>
    <row r="66" spans="1:9" ht="15.6">
      <c r="A66" s="47" t="str">
        <v>CDCR - CA Correctional Institution II</v>
      </c>
      <c r="B66" s="9" t="str">
        <v>CA</v>
      </c>
      <c r="C66" s="24">
        <f>SUM(Apr!C66, May!C66, Jun!C66)</f>
        <v>0</v>
      </c>
      <c r="D66" s="13">
        <f>SUM(Apr!D66, May!D66, Jun!D66)</f>
        <v>0</v>
      </c>
      <c r="E66" s="13">
        <f t="shared" si="3"/>
        <v>0</v>
      </c>
      <c r="F66" s="14" t="str">
        <f t="shared" si="4"/>
        <v/>
      </c>
      <c r="G66" s="15">
        <f>SUM(Apr!G66, May!G66, Jun!G66)</f>
        <v>0</v>
      </c>
      <c r="H66" s="15">
        <f>SUM(Apr!H66, May!H66, Jun!H66)</f>
        <v>0</v>
      </c>
      <c r="I66" s="16" t="str">
        <f t="shared" si="5"/>
        <v/>
      </c>
    </row>
    <row r="67" spans="1:9" ht="15.6">
      <c r="A67" s="48" t="str">
        <v>Snowline SD - Vista Verde ES</v>
      </c>
      <c r="B67" s="10" t="str">
        <v>CA</v>
      </c>
      <c r="C67" s="11">
        <f>SUM(Apr!C67, May!C67, Jun!C67)</f>
        <v>0</v>
      </c>
      <c r="D67" s="18">
        <f>SUM(Apr!D67, May!D67, Jun!D67)</f>
        <v>0</v>
      </c>
      <c r="E67" s="18">
        <f t="shared" si="3"/>
        <v>0</v>
      </c>
      <c r="F67" s="19" t="str">
        <f t="shared" si="4"/>
        <v/>
      </c>
      <c r="G67" s="20">
        <f>SUM(Apr!G67, May!G67, Jun!G67)</f>
        <v>0</v>
      </c>
      <c r="H67" s="20">
        <f>SUM(Apr!H67, May!H67, Jun!H67)</f>
        <v>0</v>
      </c>
      <c r="I67" s="19" t="str">
        <f t="shared" si="5"/>
        <v/>
      </c>
    </row>
    <row r="68" spans="1:9" ht="15.6">
      <c r="A68" s="47" t="str">
        <v>North Stonington</v>
      </c>
      <c r="B68" s="9" t="str">
        <v>CT</v>
      </c>
      <c r="C68" s="24">
        <f>SUM(Apr!C68, May!C68, Jun!C68)</f>
        <v>0</v>
      </c>
      <c r="D68" s="13">
        <f>SUM(Apr!D68, May!D68, Jun!D68)</f>
        <v>0</v>
      </c>
      <c r="E68" s="13">
        <f t="shared" si="3"/>
        <v>0</v>
      </c>
      <c r="F68" s="14" t="str">
        <f t="shared" si="4"/>
        <v/>
      </c>
      <c r="G68" s="15">
        <f>SUM(Apr!G68, May!G68, Jun!G68)</f>
        <v>0</v>
      </c>
      <c r="H68" s="15">
        <f>SUM(Apr!H68, May!H68, Jun!H68)</f>
        <v>0</v>
      </c>
      <c r="I68" s="16" t="str">
        <f t="shared" si="5"/>
        <v/>
      </c>
    </row>
    <row r="69" spans="1:9" ht="15.6">
      <c r="A69" s="48" t="str">
        <v>CT: Torrington - 2-298 Rossi Road</v>
      </c>
      <c r="B69" s="10" t="str">
        <v>CT</v>
      </c>
      <c r="C69" s="11">
        <f>SUM(Apr!C69, May!C69, Jun!C69)</f>
        <v>0</v>
      </c>
      <c r="D69" s="18">
        <f>SUM(Apr!D69, May!D69, Jun!D69)</f>
        <v>0</v>
      </c>
      <c r="E69" s="18">
        <f t="shared" si="3"/>
        <v>0</v>
      </c>
      <c r="F69" s="19" t="str">
        <f t="shared" si="4"/>
        <v/>
      </c>
      <c r="G69" s="20">
        <f>SUM(Apr!G69, May!G69, Jun!G69)</f>
        <v>0</v>
      </c>
      <c r="H69" s="20">
        <f>SUM(Apr!H69, May!H69, Jun!H69)</f>
        <v>0</v>
      </c>
      <c r="I69" s="19" t="str">
        <f t="shared" si="5"/>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zoomScale="78" workbookViewId="0">
      <pane xSplit="2" ySplit="3" topLeftCell="C13" activePane="bottomRight" state="frozen"/>
      <selection pane="bottomRight" activeCell="G60" sqref="G6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5" t="str" cm="1">
        <f t="array" ref="A1">portfolio</f>
        <v>Silicon Ranch</v>
      </c>
      <c r="B1" s="135"/>
      <c r="C1" s="135"/>
      <c r="D1" s="136" t="s">
        <v>14</v>
      </c>
      <c r="E1" s="136"/>
      <c r="F1" s="136"/>
      <c r="G1" s="134" t="s">
        <v>15</v>
      </c>
      <c r="H1" s="134"/>
      <c r="I1" s="134"/>
    </row>
    <row r="2" spans="1:9" ht="19.5" customHeight="1">
      <c r="A2" s="137" t="s">
        <v>2</v>
      </c>
      <c r="B2" s="137"/>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48" t="str">
        <v>Kohls - Auburn</v>
      </c>
      <c r="B5" s="10" t="str">
        <v>NY</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48" t="str">
        <v>Kohls - Brick</v>
      </c>
      <c r="B7" s="10" t="str">
        <v>NJ</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47" t="str">
        <v>Kohls - Buffalo</v>
      </c>
      <c r="B8" s="9" t="str">
        <v>NY</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48" t="str">
        <v>Kohls - Canton</v>
      </c>
      <c r="B9" s="10" t="str">
        <v>CT</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48" t="str">
        <v>Kohls - East Brunswick</v>
      </c>
      <c r="B11" s="10" t="str">
        <v>NJ</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47" t="str">
        <v>Kohls - Edgewood</v>
      </c>
      <c r="B12" s="9" t="str">
        <v>MD</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48" t="str">
        <v>Kohls - Granite Run</v>
      </c>
      <c r="B13" s="10" t="str">
        <v>PA</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47" t="str">
        <v>Kohls - Greece</v>
      </c>
      <c r="B14" s="9" t="str">
        <v>NY</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48" t="str">
        <v>Kohls - Hanover</v>
      </c>
      <c r="B15" s="10" t="str">
        <v>PA</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47" t="str">
        <v>Kohls - Horsehead</v>
      </c>
      <c r="B16" s="9" t="str">
        <v>NY</v>
      </c>
      <c r="C16" s="24">
        <f>SUM(Jul!C16, Aug!C16, Sep!C16)</f>
        <v>0</v>
      </c>
      <c r="D16" s="13">
        <f>SUM(Jul!D16, Aug!D16, Sep!D16)</f>
        <v>0</v>
      </c>
      <c r="E16" s="13">
        <f t="shared" ref="E16:E19" si="3">IF(AND(ISNUMBER(C16),ISNUMBER(D16)), C16-D16, "")</f>
        <v>0</v>
      </c>
      <c r="F16" s="14" t="str">
        <f t="shared" ref="F16:F19" si="4">IFERROR(E16/D16, "")</f>
        <v/>
      </c>
      <c r="G16" s="15">
        <f>SUM(Jul!G16, Aug!G16, Sep!G16)</f>
        <v>0</v>
      </c>
      <c r="H16" s="15">
        <f>SUM(Jul!H16, Aug!H16, Sep!H16)</f>
        <v>0</v>
      </c>
      <c r="I16" s="16" t="str">
        <f t="shared" ref="I16:I19" si="5">IFERROR(H16/G16, "")</f>
        <v/>
      </c>
    </row>
    <row r="17" spans="1:9" ht="15.6">
      <c r="A17" s="48" t="str">
        <v>Kohls - Hudson</v>
      </c>
      <c r="B17" s="10" t="str">
        <v>NY</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47" t="str">
        <v>Kohls - Ithaca</v>
      </c>
      <c r="B18" s="12" t="str">
        <v>NY</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48" t="str">
        <v>Kohls - Kingston</v>
      </c>
      <c r="B19" s="17" t="str">
        <v>NY</v>
      </c>
      <c r="C19" s="11">
        <f>SUM(Jul!C19, Aug!C19, Sep!C19)</f>
        <v>0</v>
      </c>
      <c r="D19" s="18">
        <f>SUM(Jul!D19, Aug!D19, Sep!D19)</f>
        <v>0</v>
      </c>
      <c r="E19" s="18">
        <f t="shared" si="3"/>
        <v>0</v>
      </c>
      <c r="F19" s="19" t="str">
        <f t="shared" si="4"/>
        <v/>
      </c>
      <c r="G19" s="20">
        <f>SUM(Jul!G19, Aug!G19, Sep!G19)</f>
        <v>0</v>
      </c>
      <c r="H19" s="20">
        <f>SUM(Jul!H19, Aug!H19, Sep!H19)</f>
        <v>0</v>
      </c>
      <c r="I19" s="19" t="str">
        <f t="shared" si="5"/>
        <v/>
      </c>
    </row>
    <row r="20" spans="1:9" ht="15.6">
      <c r="A20" s="47" t="str">
        <v>Kohls - Mechanicsburg</v>
      </c>
      <c r="B20" s="12" t="str">
        <v>PA</v>
      </c>
      <c r="C20" s="24">
        <f>SUM(Jul!C20, Aug!C20, Sep!C20)</f>
        <v>0</v>
      </c>
      <c r="D20" s="13">
        <f>SUM(Jul!D20, Aug!D20, Sep!D20)</f>
        <v>0</v>
      </c>
      <c r="E20" s="13">
        <f t="shared" ref="E20:E25" si="6">IF(AND(ISNUMBER(C20),ISNUMBER(D20)), C20-D20, "")</f>
        <v>0</v>
      </c>
      <c r="F20" s="14" t="str">
        <f t="shared" ref="F20:F25" si="7">IFERROR(E20/D20, "")</f>
        <v/>
      </c>
      <c r="G20" s="15">
        <f>SUM(Jul!G20, Aug!G20, Sep!G20)</f>
        <v>0</v>
      </c>
      <c r="H20" s="15">
        <f>SUM(Jul!H20, Aug!H20, Sep!H20)</f>
        <v>0</v>
      </c>
      <c r="I20" s="16" t="str">
        <f t="shared" ref="I20" si="8">IFERROR(H20/G20, "")</f>
        <v/>
      </c>
    </row>
    <row r="21" spans="1:9" ht="15.6">
      <c r="A21" s="48" t="str">
        <v>Kohls - Middletown</v>
      </c>
      <c r="B21" s="17" t="str">
        <v>NJ</v>
      </c>
      <c r="C21" s="11">
        <f>SUM(Jul!C21, Aug!C21, Sep!C21)</f>
        <v>0</v>
      </c>
      <c r="D21" s="18">
        <f>SUM(Jul!D21, Aug!D21, Sep!D21)</f>
        <v>0</v>
      </c>
      <c r="E21" s="18">
        <f t="shared" si="6"/>
        <v>0</v>
      </c>
      <c r="F21" s="19" t="str">
        <f t="shared" si="7"/>
        <v/>
      </c>
      <c r="G21" s="20">
        <f>SUM(Jul!G21, Aug!G21, Sep!G21)</f>
        <v>0</v>
      </c>
      <c r="H21" s="20">
        <f>SUM(Jul!H21, Aug!H21, Sep!H21)</f>
        <v>0</v>
      </c>
      <c r="I21" s="19" t="str">
        <f t="shared" ref="I21:I70" si="9">IFERROR(H21/G21, "")</f>
        <v/>
      </c>
    </row>
    <row r="22" spans="1:9" ht="15.6">
      <c r="A22" s="47" t="str">
        <v>Kohls - North Amherst</v>
      </c>
      <c r="B22" s="12" t="str">
        <v>NY</v>
      </c>
      <c r="C22" s="24">
        <f>SUM(Jul!C22, Aug!C22, Sep!C22)</f>
        <v>0</v>
      </c>
      <c r="D22" s="13">
        <f>SUM(Jul!D22, Aug!D22, Sep!D22)</f>
        <v>0</v>
      </c>
      <c r="E22" s="13">
        <f t="shared" si="6"/>
        <v>0</v>
      </c>
      <c r="F22" s="14" t="str">
        <f t="shared" si="7"/>
        <v/>
      </c>
      <c r="G22" s="15">
        <f>SUM(Jul!G22, Aug!G22, Sep!G22)</f>
        <v>0</v>
      </c>
      <c r="H22" s="15">
        <f>SUM(Jul!H22, Aug!H22, Sep!H22)</f>
        <v>0</v>
      </c>
      <c r="I22" s="16" t="str">
        <f t="shared" si="9"/>
        <v/>
      </c>
    </row>
    <row r="23" spans="1:9" ht="15.6">
      <c r="A23" s="48" t="str">
        <v>Kohls - Staten Island</v>
      </c>
      <c r="B23" s="17" t="str">
        <v>NY</v>
      </c>
      <c r="C23" s="11">
        <f>SUM(Jul!C23, Aug!C23, Sep!C23)</f>
        <v>0</v>
      </c>
      <c r="D23" s="18">
        <f>SUM(Jul!D23, Aug!D23, Sep!D23)</f>
        <v>0</v>
      </c>
      <c r="E23" s="18">
        <f t="shared" si="6"/>
        <v>0</v>
      </c>
      <c r="F23" s="19" t="str">
        <f t="shared" si="7"/>
        <v/>
      </c>
      <c r="G23" s="20">
        <f>SUM(Jul!G23, Aug!G23, Sep!G23)</f>
        <v>0</v>
      </c>
      <c r="H23" s="20">
        <f>SUM(Jul!H23, Aug!H23, Sep!H23)</f>
        <v>0</v>
      </c>
      <c r="I23" s="19" t="str">
        <f t="shared" si="9"/>
        <v/>
      </c>
    </row>
    <row r="24" spans="1:9" ht="15.6">
      <c r="A24" s="47" t="str">
        <v>Kohls - Warminster</v>
      </c>
      <c r="B24" s="12" t="str">
        <v>PA</v>
      </c>
      <c r="C24" s="24">
        <f>SUM(Jul!C24, Aug!C24, Sep!C24)</f>
        <v>0</v>
      </c>
      <c r="D24" s="13">
        <f>SUM(Jul!D24, Aug!D24, Sep!D24)</f>
        <v>0</v>
      </c>
      <c r="E24" s="13">
        <f t="shared" si="6"/>
        <v>0</v>
      </c>
      <c r="F24" s="14" t="str">
        <f t="shared" si="7"/>
        <v/>
      </c>
      <c r="G24" s="15">
        <f>SUM(Jul!G24, Aug!G24, Sep!G24)</f>
        <v>0</v>
      </c>
      <c r="H24" s="15">
        <f>SUM(Jul!H24, Aug!H24, Sep!H24)</f>
        <v>0</v>
      </c>
      <c r="I24" s="16" t="str">
        <f t="shared" si="9"/>
        <v/>
      </c>
    </row>
    <row r="25" spans="1:9" ht="15.6">
      <c r="A25" s="48" t="str">
        <v xml:space="preserve">Kohls - Waterbury </v>
      </c>
      <c r="B25" s="17" t="str">
        <v>CT</v>
      </c>
      <c r="C25" s="11">
        <f>SUM(Jul!C25, Aug!C25, Sep!C25)</f>
        <v>0</v>
      </c>
      <c r="D25" s="18">
        <f>SUM(Jul!D25, Aug!D25, Sep!D25)</f>
        <v>0</v>
      </c>
      <c r="E25" s="18">
        <f t="shared" si="6"/>
        <v>0</v>
      </c>
      <c r="F25" s="19" t="str">
        <f t="shared" si="7"/>
        <v/>
      </c>
      <c r="G25" s="20">
        <f>SUM(Jul!G25, Aug!G25, Sep!G25)</f>
        <v>0</v>
      </c>
      <c r="H25" s="20">
        <f>SUM(Jul!H25, Aug!H25, Sep!H25)</f>
        <v>0</v>
      </c>
      <c r="I25" s="19" t="str">
        <f t="shared" si="9"/>
        <v/>
      </c>
    </row>
    <row r="26" spans="1:9" ht="15.6">
      <c r="A26" s="47" t="str">
        <v>Mojave Water Agency - Headquarters</v>
      </c>
      <c r="B26" s="12" t="str">
        <v>CA</v>
      </c>
      <c r="C26" s="24">
        <f>SUM(Jul!C26, Aug!C26, Sep!C26)</f>
        <v>0</v>
      </c>
      <c r="D26" s="13">
        <f>SUM(Jul!D26, Aug!D26, Sep!D26)</f>
        <v>0</v>
      </c>
      <c r="E26" s="13">
        <f t="shared" ref="E26:E69" si="10">IF(AND(ISNUMBER(C26),ISNUMBER(D26)), C26-D26, "")</f>
        <v>0</v>
      </c>
      <c r="F26" s="14" t="str">
        <f t="shared" ref="F26:F69" si="11">IFERROR(E26/D26, "")</f>
        <v/>
      </c>
      <c r="G26" s="15">
        <f>SUM(Jul!G26, Aug!G26, Sep!G26)</f>
        <v>0</v>
      </c>
      <c r="H26" s="15">
        <f>SUM(Jul!H26, Aug!H26, Sep!H26)</f>
        <v>0</v>
      </c>
      <c r="I26" s="16" t="str">
        <f t="shared" si="9"/>
        <v/>
      </c>
    </row>
    <row r="27" spans="1:9" ht="15.6">
      <c r="A27" s="48" t="str">
        <v>CSU - Bakersfield</v>
      </c>
      <c r="B27" s="17" t="str">
        <v>CA</v>
      </c>
      <c r="C27" s="11">
        <f>SUM(Jul!C27, Aug!C27, Sep!C27)</f>
        <v>0</v>
      </c>
      <c r="D27" s="18">
        <f>SUM(Jul!D27, Aug!D27, Sep!D27)</f>
        <v>0</v>
      </c>
      <c r="E27" s="18">
        <f t="shared" si="10"/>
        <v>0</v>
      </c>
      <c r="F27" s="19" t="str">
        <f t="shared" si="11"/>
        <v/>
      </c>
      <c r="G27" s="20">
        <f>SUM(Jul!G27, Aug!G27, Sep!G27)</f>
        <v>0</v>
      </c>
      <c r="H27" s="20">
        <f>SUM(Jul!H27, Aug!H27, Sep!H27)</f>
        <v>0</v>
      </c>
      <c r="I27" s="19" t="str">
        <f t="shared" si="9"/>
        <v/>
      </c>
    </row>
    <row r="28" spans="1:9" ht="15.6">
      <c r="A28" s="47" t="str">
        <v>Greenfield USD - Fairfield ES</v>
      </c>
      <c r="B28" s="12" t="str">
        <v>CA</v>
      </c>
      <c r="C28" s="24">
        <f>SUM(Jul!C28, Aug!C28, Sep!C28)</f>
        <v>0</v>
      </c>
      <c r="D28" s="13">
        <f>SUM(Jul!D28, Aug!D28, Sep!D28)</f>
        <v>0</v>
      </c>
      <c r="E28" s="13">
        <f t="shared" si="10"/>
        <v>0</v>
      </c>
      <c r="F28" s="14" t="str">
        <f t="shared" si="11"/>
        <v/>
      </c>
      <c r="G28" s="15">
        <f>SUM(Jul!G28, Aug!G28, Sep!G28)</f>
        <v>0</v>
      </c>
      <c r="H28" s="15">
        <f>SUM(Jul!H28, Aug!H28, Sep!H28)</f>
        <v>0</v>
      </c>
      <c r="I28" s="16" t="str">
        <f t="shared" si="9"/>
        <v/>
      </c>
    </row>
    <row r="29" spans="1:9" ht="15.6">
      <c r="A29" s="48" t="str">
        <v>Greenfield USD - Granite Point ES</v>
      </c>
      <c r="B29" s="17" t="str">
        <v>CA</v>
      </c>
      <c r="C29" s="11">
        <f>SUM(Jul!C29, Aug!C29, Sep!C29)</f>
        <v>0</v>
      </c>
      <c r="D29" s="18">
        <f>SUM(Jul!D29, Aug!D29, Sep!D29)</f>
        <v>0</v>
      </c>
      <c r="E29" s="18">
        <f t="shared" si="10"/>
        <v>0</v>
      </c>
      <c r="F29" s="19" t="str">
        <f t="shared" si="11"/>
        <v/>
      </c>
      <c r="G29" s="20">
        <f>SUM(Jul!G29, Aug!G29, Sep!G29)</f>
        <v>0</v>
      </c>
      <c r="H29" s="20">
        <f>SUM(Jul!H29, Aug!H29, Sep!H29)</f>
        <v>0</v>
      </c>
      <c r="I29" s="19" t="str">
        <f t="shared" si="9"/>
        <v/>
      </c>
    </row>
    <row r="30" spans="1:9" ht="15.6">
      <c r="A30" s="47" t="str">
        <v>Greenfield USD - Greenfield MS</v>
      </c>
      <c r="B30" s="12" t="str">
        <v>CA</v>
      </c>
      <c r="C30" s="24">
        <f>SUM(Jul!C30, Aug!C30, Sep!C30)</f>
        <v>0</v>
      </c>
      <c r="D30" s="13">
        <f>SUM(Jul!D30, Aug!D30, Sep!D30)</f>
        <v>0</v>
      </c>
      <c r="E30" s="13">
        <f t="shared" si="10"/>
        <v>0</v>
      </c>
      <c r="F30" s="14" t="str">
        <f t="shared" si="11"/>
        <v/>
      </c>
      <c r="G30" s="15">
        <f>SUM(Jul!G30, Aug!G30, Sep!G30)</f>
        <v>0</v>
      </c>
      <c r="H30" s="15">
        <f>SUM(Jul!H30, Aug!H30, Sep!H30)</f>
        <v>0</v>
      </c>
      <c r="I30" s="16" t="str">
        <f t="shared" si="9"/>
        <v/>
      </c>
    </row>
    <row r="31" spans="1:9" ht="15.6">
      <c r="A31" s="48" t="str">
        <v>Greenfield USD - Horizon ES</v>
      </c>
      <c r="B31" s="17" t="str">
        <v>CA</v>
      </c>
      <c r="C31" s="11">
        <f>SUM(Jul!C31, Aug!C31, Sep!C31)</f>
        <v>0</v>
      </c>
      <c r="D31" s="18">
        <f>SUM(Jul!D31, Aug!D31, Sep!D31)</f>
        <v>0</v>
      </c>
      <c r="E31" s="18">
        <f t="shared" si="10"/>
        <v>0</v>
      </c>
      <c r="F31" s="19" t="str">
        <f t="shared" si="11"/>
        <v/>
      </c>
      <c r="G31" s="20">
        <f>SUM(Jul!G31, Aug!G31, Sep!G31)</f>
        <v>0</v>
      </c>
      <c r="H31" s="20">
        <f>SUM(Jul!H31, Aug!H31, Sep!H31)</f>
        <v>0</v>
      </c>
      <c r="I31" s="19" t="str">
        <f t="shared" si="9"/>
        <v/>
      </c>
    </row>
    <row r="32" spans="1:9" ht="15.6">
      <c r="A32" s="47" t="str">
        <v>Greenfield USD - McKee MS</v>
      </c>
      <c r="B32" s="12" t="str">
        <v>CA</v>
      </c>
      <c r="C32" s="24">
        <f>SUM(Jul!C32, Aug!C32, Sep!C32)</f>
        <v>0</v>
      </c>
      <c r="D32" s="13">
        <f>SUM(Jul!D32, Aug!D32, Sep!D32)</f>
        <v>0</v>
      </c>
      <c r="E32" s="13">
        <f t="shared" si="10"/>
        <v>0</v>
      </c>
      <c r="F32" s="14" t="str">
        <f t="shared" si="11"/>
        <v/>
      </c>
      <c r="G32" s="15">
        <f>SUM(Jul!G32, Aug!G32, Sep!G32)</f>
        <v>0</v>
      </c>
      <c r="H32" s="15">
        <f>SUM(Jul!H32, Aug!H32, Sep!H32)</f>
        <v>0</v>
      </c>
      <c r="I32" s="16" t="str">
        <f t="shared" si="9"/>
        <v/>
      </c>
    </row>
    <row r="33" spans="1:9" ht="15.6">
      <c r="A33" s="48" t="str">
        <v>Greenfield USD - Plantation ES</v>
      </c>
      <c r="B33" s="17" t="str">
        <v>CA</v>
      </c>
      <c r="C33" s="11">
        <f>SUM(Jul!C33, Aug!C33, Sep!C33)</f>
        <v>0</v>
      </c>
      <c r="D33" s="18">
        <f>SUM(Jul!D33, Aug!D33, Sep!D33)</f>
        <v>0</v>
      </c>
      <c r="E33" s="18">
        <f t="shared" si="10"/>
        <v>0</v>
      </c>
      <c r="F33" s="19" t="str">
        <f t="shared" si="11"/>
        <v/>
      </c>
      <c r="G33" s="20">
        <f>SUM(Jul!G33, Aug!G33, Sep!G33)</f>
        <v>0</v>
      </c>
      <c r="H33" s="20">
        <f>SUM(Jul!H33, Aug!H33, Sep!H33)</f>
        <v>0</v>
      </c>
      <c r="I33" s="19" t="str">
        <f t="shared" si="9"/>
        <v/>
      </c>
    </row>
    <row r="34" spans="1:9" ht="15.6">
      <c r="A34" s="47" t="str">
        <v>Greenfield USD - Planz ES</v>
      </c>
      <c r="B34" s="12" t="str">
        <v>CA</v>
      </c>
      <c r="C34" s="24">
        <f>SUM(Jul!C34, Aug!C34, Sep!C34)</f>
        <v>0</v>
      </c>
      <c r="D34" s="13">
        <f>SUM(Jul!D34, Aug!D34, Sep!D34)</f>
        <v>0</v>
      </c>
      <c r="E34" s="13">
        <f t="shared" si="10"/>
        <v>0</v>
      </c>
      <c r="F34" s="14" t="str">
        <f t="shared" si="11"/>
        <v/>
      </c>
      <c r="G34" s="15">
        <f>SUM(Jul!G34, Aug!G34, Sep!G34)</f>
        <v>0</v>
      </c>
      <c r="H34" s="15">
        <f>SUM(Jul!H34, Aug!H34, Sep!H34)</f>
        <v>0</v>
      </c>
      <c r="I34" s="16" t="str">
        <f t="shared" si="9"/>
        <v/>
      </c>
    </row>
    <row r="35" spans="1:9" ht="15.6">
      <c r="A35" s="48" t="str">
        <v>Greenfield USD - Raffaello Palla ES</v>
      </c>
      <c r="B35" s="17" t="str">
        <v>CA</v>
      </c>
      <c r="C35" s="11">
        <f>SUM(Jul!C35, Aug!C35, Sep!C35)</f>
        <v>0</v>
      </c>
      <c r="D35" s="18">
        <f>SUM(Jul!D35, Aug!D35, Sep!D35)</f>
        <v>0</v>
      </c>
      <c r="E35" s="18">
        <f t="shared" si="10"/>
        <v>0</v>
      </c>
      <c r="F35" s="19" t="str">
        <f t="shared" si="11"/>
        <v/>
      </c>
      <c r="G35" s="20">
        <f>SUM(Jul!G35, Aug!G35, Sep!G35)</f>
        <v>0</v>
      </c>
      <c r="H35" s="20">
        <f>SUM(Jul!H35, Aug!H35, Sep!H35)</f>
        <v>0</v>
      </c>
      <c r="I35" s="19" t="str">
        <f t="shared" si="9"/>
        <v/>
      </c>
    </row>
    <row r="36" spans="1:9" ht="15.6">
      <c r="A36" s="47" t="str">
        <v>Greenfield USD - Valle Verde ES</v>
      </c>
      <c r="B36" s="12" t="str">
        <v>CA</v>
      </c>
      <c r="C36" s="24">
        <f>SUM(Jul!C36, Aug!C36, Sep!C36)</f>
        <v>0</v>
      </c>
      <c r="D36" s="13">
        <f>SUM(Jul!D36, Aug!D36, Sep!D36)</f>
        <v>0</v>
      </c>
      <c r="E36" s="13">
        <f t="shared" si="10"/>
        <v>0</v>
      </c>
      <c r="F36" s="14" t="str">
        <f t="shared" si="11"/>
        <v/>
      </c>
      <c r="G36" s="15">
        <f>SUM(Jul!G36, Aug!G36, Sep!G36)</f>
        <v>0</v>
      </c>
      <c r="H36" s="15">
        <f>SUM(Jul!H36, Aug!H36, Sep!H36)</f>
        <v>0</v>
      </c>
      <c r="I36" s="16" t="str">
        <f t="shared" si="9"/>
        <v/>
      </c>
    </row>
    <row r="37" spans="1:9" ht="15.6">
      <c r="A37" s="48" t="str">
        <v>Greenfield USD - W.A. Kendrick ES</v>
      </c>
      <c r="B37" s="17" t="str">
        <v>CA</v>
      </c>
      <c r="C37" s="11">
        <f>SUM(Jul!C37, Aug!C37, Sep!C37)</f>
        <v>0</v>
      </c>
      <c r="D37" s="18">
        <f>SUM(Jul!D37, Aug!D37, Sep!D37)</f>
        <v>0</v>
      </c>
      <c r="E37" s="18">
        <f t="shared" si="10"/>
        <v>0</v>
      </c>
      <c r="F37" s="19" t="str">
        <f t="shared" si="11"/>
        <v/>
      </c>
      <c r="G37" s="20">
        <f>SUM(Jul!G37, Aug!G37, Sep!G37)</f>
        <v>0</v>
      </c>
      <c r="H37" s="20">
        <f>SUM(Jul!H37, Aug!H37, Sep!H37)</f>
        <v>0</v>
      </c>
      <c r="I37" s="19" t="str">
        <f t="shared" si="9"/>
        <v/>
      </c>
    </row>
    <row r="38" spans="1:9" ht="15.6">
      <c r="A38" s="47" t="str">
        <v>Muroc Joint USD - Boron HS</v>
      </c>
      <c r="B38" s="12" t="str">
        <v>CA</v>
      </c>
      <c r="C38" s="24">
        <f>SUM(Jul!B38, Aug!C38, Sep!C38)</f>
        <v>0</v>
      </c>
      <c r="D38" s="13">
        <f>SUM(Jul!D38, Aug!D38, Sep!D38)</f>
        <v>0</v>
      </c>
      <c r="E38" s="13">
        <f t="shared" si="10"/>
        <v>0</v>
      </c>
      <c r="F38" s="14" t="str">
        <f t="shared" si="11"/>
        <v/>
      </c>
      <c r="G38" s="15">
        <f>SUM(Jul!G38, Aug!G38, Sep!G38)</f>
        <v>0</v>
      </c>
      <c r="H38" s="15">
        <f>SUM(Jul!H38, Aug!H38, Sep!H38)</f>
        <v>0</v>
      </c>
      <c r="I38" s="16" t="str">
        <f t="shared" si="9"/>
        <v/>
      </c>
    </row>
    <row r="39" spans="1:9" ht="15.6">
      <c r="A39" s="48" t="str">
        <v>Muroc Joint USD - W. Boron ES</v>
      </c>
      <c r="B39" s="17" t="str">
        <v>CA</v>
      </c>
      <c r="C39" s="11">
        <f>SUM(Jul!C39, Aug!C39, Sep!C39)</f>
        <v>0</v>
      </c>
      <c r="D39" s="18">
        <f>SUM(Jul!D39, Aug!D39, Sep!D39)</f>
        <v>0</v>
      </c>
      <c r="E39" s="18">
        <f t="shared" si="10"/>
        <v>0</v>
      </c>
      <c r="F39" s="19" t="str">
        <f t="shared" si="11"/>
        <v/>
      </c>
      <c r="G39" s="20">
        <f>SUM(Jul!G39, Aug!G39, Sep!G39)</f>
        <v>0</v>
      </c>
      <c r="H39" s="20">
        <f>SUM(Jul!H39, Aug!H39, Sep!H39)</f>
        <v>0</v>
      </c>
      <c r="I39" s="19" t="str">
        <f t="shared" si="9"/>
        <v/>
      </c>
    </row>
    <row r="40" spans="1:9" ht="15.6">
      <c r="A40" s="47" t="str">
        <v>Colusa - WTP</v>
      </c>
      <c r="B40" s="12" t="str">
        <v>CA</v>
      </c>
      <c r="C40" s="24">
        <f>SUM(Jul!C40, Aug!C40, Sep!C40)</f>
        <v>0</v>
      </c>
      <c r="D40" s="13">
        <f>SUM(Jul!D40, Aug!D40, Sep!D40)</f>
        <v>0</v>
      </c>
      <c r="E40" s="13">
        <f t="shared" si="10"/>
        <v>0</v>
      </c>
      <c r="F40" s="14" t="str">
        <f t="shared" si="11"/>
        <v/>
      </c>
      <c r="G40" s="15">
        <f>SUM(Jul!G40, Aug!G40, Sep!G40)</f>
        <v>0</v>
      </c>
      <c r="H40" s="15">
        <f>SUM(Jul!H40, Aug!H40, Sep!H40)</f>
        <v>0</v>
      </c>
      <c r="I40" s="16" t="str">
        <f t="shared" si="9"/>
        <v/>
      </c>
    </row>
    <row r="41" spans="1:9" ht="15.6">
      <c r="A41" s="48" t="str">
        <v>CDCR-North Kern State Prision</v>
      </c>
      <c r="B41" s="17" t="str">
        <v>CA</v>
      </c>
      <c r="C41" s="11">
        <f>SUM(Jul!C41, Aug!C41, Sep!C41)</f>
        <v>0</v>
      </c>
      <c r="D41" s="18">
        <f>SUM(Jul!D41, Aug!D41, Sep!D41)</f>
        <v>0</v>
      </c>
      <c r="E41" s="18">
        <f t="shared" si="10"/>
        <v>0</v>
      </c>
      <c r="F41" s="19" t="str">
        <f t="shared" si="11"/>
        <v/>
      </c>
      <c r="G41" s="20">
        <f>SUM(Jul!G41, Aug!G41, Sep!G41)</f>
        <v>0</v>
      </c>
      <c r="H41" s="20">
        <f>SUM(Jul!H41, Aug!H41, Sep!H41)</f>
        <v>0</v>
      </c>
      <c r="I41" s="19" t="str">
        <f t="shared" si="9"/>
        <v/>
      </c>
    </row>
    <row r="42" spans="1:9" ht="15.6">
      <c r="A42" s="47" t="str">
        <v>Muroc Joint USD - District Office</v>
      </c>
      <c r="B42" s="12" t="str">
        <v>CA</v>
      </c>
      <c r="C42" s="24">
        <f>SUM(Jul!C42, Aug!C42, Sep!C42)</f>
        <v>0</v>
      </c>
      <c r="D42" s="13">
        <f>SUM(Jul!D42, Aug!D42, Sep!D42)</f>
        <v>0</v>
      </c>
      <c r="E42" s="13">
        <f t="shared" si="10"/>
        <v>0</v>
      </c>
      <c r="F42" s="14" t="str">
        <f t="shared" si="11"/>
        <v/>
      </c>
      <c r="G42" s="15">
        <f>SUM(Jul!G42, Aug!G42, Sep!G42)</f>
        <v>0</v>
      </c>
      <c r="H42" s="15">
        <f>SUM(Jul!H42, Aug!H42, Sep!H42)</f>
        <v>0</v>
      </c>
      <c r="I42" s="16" t="str">
        <f t="shared" si="9"/>
        <v/>
      </c>
    </row>
    <row r="43" spans="1:9" ht="15.6">
      <c r="A43" s="48" t="str">
        <v>Whole Foods - Manhattan Beach</v>
      </c>
      <c r="B43" s="17" t="str">
        <v>CA</v>
      </c>
      <c r="C43" s="11">
        <f>SUM(Jul!C43, Aug!C43, Sep!C43)</f>
        <v>0</v>
      </c>
      <c r="D43" s="18">
        <f>SUM(Jul!D43, Aug!D43, Sep!D43)</f>
        <v>0</v>
      </c>
      <c r="E43" s="18">
        <f t="shared" si="10"/>
        <v>0</v>
      </c>
      <c r="F43" s="19" t="str">
        <f t="shared" si="11"/>
        <v/>
      </c>
      <c r="G43" s="20">
        <f>SUM(Jul!G43, Aug!G43, Sep!G43)</f>
        <v>0</v>
      </c>
      <c r="H43" s="20">
        <f>SUM(Jul!H43, Aug!H43, Sep!H43)</f>
        <v>0</v>
      </c>
      <c r="I43" s="19" t="str">
        <f t="shared" si="9"/>
        <v/>
      </c>
    </row>
    <row r="44" spans="1:9" ht="15.6">
      <c r="A44" s="47" t="str">
        <v>Pioneer USD - Frontier ES</v>
      </c>
      <c r="B44" s="12" t="str">
        <v>CA</v>
      </c>
      <c r="C44" s="24">
        <f>SUM(Jul!C44, Aug!C44, Sep!C44)</f>
        <v>0</v>
      </c>
      <c r="D44" s="13">
        <f>SUM(Jul!D44, Aug!D44, Sep!D44)</f>
        <v>0</v>
      </c>
      <c r="E44" s="13">
        <f t="shared" si="10"/>
        <v>0</v>
      </c>
      <c r="F44" s="14" t="str">
        <f t="shared" si="11"/>
        <v/>
      </c>
      <c r="G44" s="15">
        <f>SUM(Jul!G44, Aug!G44, Sep!G44)</f>
        <v>0</v>
      </c>
      <c r="H44" s="15">
        <f>SUM(Jul!H44, Aug!H44, Sep!H44)</f>
        <v>0</v>
      </c>
      <c r="I44" s="16" t="str">
        <f t="shared" si="9"/>
        <v/>
      </c>
    </row>
    <row r="45" spans="1:9" ht="15.6">
      <c r="A45" s="48" t="str">
        <v>Pioneer USD - Pioneer ES</v>
      </c>
      <c r="B45" s="17" t="str">
        <v>CA</v>
      </c>
      <c r="C45" s="11">
        <f>SUM(Jul!C45, Aug!C45, Sep!C45)</f>
        <v>0</v>
      </c>
      <c r="D45" s="18">
        <f>SUM(Jul!D45, Aug!D45, Sep!D45)</f>
        <v>0</v>
      </c>
      <c r="E45" s="18">
        <f t="shared" si="10"/>
        <v>0</v>
      </c>
      <c r="F45" s="19" t="str">
        <f t="shared" si="11"/>
        <v/>
      </c>
      <c r="G45" s="20">
        <f>SUM(Jul!G45, Aug!G45, Sep!G45)</f>
        <v>0</v>
      </c>
      <c r="H45" s="20">
        <f>SUM(Jul!H45, Aug!H45, Sep!H45)</f>
        <v>0</v>
      </c>
      <c r="I45" s="19" t="str">
        <f t="shared" si="9"/>
        <v/>
      </c>
    </row>
    <row r="46" spans="1:9" ht="15.6">
      <c r="A46" s="47" t="str">
        <v>Pioneer USD - Pioneer MS</v>
      </c>
      <c r="B46" s="12" t="str">
        <v>CA</v>
      </c>
      <c r="C46" s="24">
        <f>SUM(Jul!C46, Aug!C46, Sep!C46)</f>
        <v>0</v>
      </c>
      <c r="D46" s="13">
        <f>SUM(Jul!D46, Aug!D46, Sep!D46)</f>
        <v>0</v>
      </c>
      <c r="E46" s="13">
        <f t="shared" si="10"/>
        <v>0</v>
      </c>
      <c r="F46" s="14" t="str">
        <f t="shared" si="11"/>
        <v/>
      </c>
      <c r="G46" s="15">
        <f>SUM(Jul!G46, Aug!G46, Sep!G46)</f>
        <v>0</v>
      </c>
      <c r="H46" s="15">
        <f>SUM(Jul!H46, Aug!H46, Sep!H46)</f>
        <v>0</v>
      </c>
      <c r="I46" s="16" t="str">
        <f t="shared" si="9"/>
        <v/>
      </c>
    </row>
    <row r="47" spans="1:9" ht="15.6">
      <c r="A47" s="48" t="str">
        <v>Kingsburg Joint UHSD - Kingsburg HS</v>
      </c>
      <c r="B47" s="17" t="str">
        <v>CA</v>
      </c>
      <c r="C47" s="11">
        <f>SUM(Jul!C47, Aug!C47, Sep!C47)</f>
        <v>0</v>
      </c>
      <c r="D47" s="18">
        <f>SUM(Jul!D47, Aug!D47, Sep!D47)</f>
        <v>0</v>
      </c>
      <c r="E47" s="18">
        <f t="shared" si="10"/>
        <v>0</v>
      </c>
      <c r="F47" s="19" t="str">
        <f t="shared" si="11"/>
        <v/>
      </c>
      <c r="G47" s="20">
        <f>SUM(Jul!G47, Aug!G47, Sep!G47)</f>
        <v>0</v>
      </c>
      <c r="H47" s="20">
        <f>SUM(Jul!H47, Aug!H47, Sep!H47)</f>
        <v>0</v>
      </c>
      <c r="I47" s="19" t="str">
        <f t="shared" si="9"/>
        <v/>
      </c>
    </row>
    <row r="48" spans="1:9" ht="15.6">
      <c r="A48" s="47" t="str">
        <v>CADRB</v>
      </c>
      <c r="B48" s="12" t="str">
        <v>CA</v>
      </c>
      <c r="C48" s="24">
        <f>SUM(Jul!C48, Aug!C48, Sep!C48)</f>
        <v>0</v>
      </c>
      <c r="D48" s="13">
        <f>SUM(Jul!D48, Aug!D48, Sep!D48)</f>
        <v>0</v>
      </c>
      <c r="E48" s="13">
        <f t="shared" si="10"/>
        <v>0</v>
      </c>
      <c r="F48" s="14" t="str">
        <f t="shared" si="11"/>
        <v/>
      </c>
      <c r="G48" s="15">
        <f>SUM(Jul!G48, Aug!G48, Sep!G48)</f>
        <v>0</v>
      </c>
      <c r="H48" s="15">
        <f>SUM(Jul!H48, Aug!H48, Sep!H48)</f>
        <v>0</v>
      </c>
      <c r="I48" s="16" t="str">
        <f t="shared" si="9"/>
        <v/>
      </c>
    </row>
    <row r="49" spans="1:9" ht="15.6">
      <c r="A49" s="48" t="str">
        <v>CDCR-CA State Prison LA County</v>
      </c>
      <c r="B49" s="17" t="str">
        <v>CA</v>
      </c>
      <c r="C49" s="11">
        <f>SUM(Jul!C49, Aug!C49, Sep!C49)</f>
        <v>0</v>
      </c>
      <c r="D49" s="18">
        <f>SUM(Jul!D49, Aug!D49, Sep!D49)</f>
        <v>0</v>
      </c>
      <c r="E49" s="18">
        <f t="shared" si="10"/>
        <v>0</v>
      </c>
      <c r="F49" s="19" t="str">
        <f t="shared" si="11"/>
        <v/>
      </c>
      <c r="G49" s="20">
        <f>SUM(Jul!G49, Aug!G49, Sep!G49)</f>
        <v>0</v>
      </c>
      <c r="H49" s="20">
        <f>SUM(Jul!H49, Aug!H49, Sep!H49)</f>
        <v>0</v>
      </c>
      <c r="I49" s="19" t="str">
        <f t="shared" si="9"/>
        <v/>
      </c>
    </row>
    <row r="50" spans="1:9" ht="15.6">
      <c r="A50" s="47" t="str">
        <v>Central USD Akers ES</v>
      </c>
      <c r="B50" s="12" t="str">
        <v>CA</v>
      </c>
      <c r="C50" s="24">
        <f>SUM(Jul!C50, Aug!C50, Sep!C50)</f>
        <v>0</v>
      </c>
      <c r="D50" s="13">
        <f>SUM(Jul!D50, Aug!D50, Sep!D50)</f>
        <v>0</v>
      </c>
      <c r="E50" s="13">
        <f t="shared" si="10"/>
        <v>0</v>
      </c>
      <c r="F50" s="14" t="str">
        <f t="shared" si="11"/>
        <v/>
      </c>
      <c r="G50" s="15">
        <f>SUM(Jul!G50, Aug!G50, Sep!G50)</f>
        <v>0</v>
      </c>
      <c r="H50" s="15">
        <f>SUM(Jul!H50, Aug!H50, Sep!H50)</f>
        <v>0</v>
      </c>
      <c r="I50" s="16" t="str">
        <f t="shared" si="9"/>
        <v/>
      </c>
    </row>
    <row r="51" spans="1:9" ht="15.6">
      <c r="A51" s="48" t="str">
        <v>CUSD - District Office</v>
      </c>
      <c r="B51" s="17" t="str">
        <v>CA</v>
      </c>
      <c r="C51" s="11">
        <f>SUM(Jul!C51, Aug!C51, Sep!C51)</f>
        <v>0</v>
      </c>
      <c r="D51" s="18">
        <f>SUM(Jul!D51, Aug!D51, Sep!D51)</f>
        <v>0</v>
      </c>
      <c r="E51" s="18">
        <f t="shared" si="10"/>
        <v>0</v>
      </c>
      <c r="F51" s="19" t="str">
        <f t="shared" si="11"/>
        <v/>
      </c>
      <c r="G51" s="20">
        <f>SUM(Jul!G51, Aug!G51, Sep!G51)</f>
        <v>0</v>
      </c>
      <c r="H51" s="20">
        <f>SUM(Jul!H51, Aug!H51, Sep!H51)</f>
        <v>0</v>
      </c>
      <c r="I51" s="19" t="str">
        <f t="shared" si="9"/>
        <v/>
      </c>
    </row>
    <row r="52" spans="1:9" ht="15.6">
      <c r="A52" s="47" t="str">
        <v>Parlier - WTP</v>
      </c>
      <c r="B52" s="12" t="str">
        <v>CA</v>
      </c>
      <c r="C52" s="24">
        <f>SUM(Jul!C52, Aug!C52, Sep!C52)</f>
        <v>0</v>
      </c>
      <c r="D52" s="13">
        <f>SUM(Jul!D52, Aug!D52, Sep!D52)</f>
        <v>0</v>
      </c>
      <c r="E52" s="13">
        <f t="shared" si="10"/>
        <v>0</v>
      </c>
      <c r="F52" s="14" t="str">
        <f t="shared" si="11"/>
        <v/>
      </c>
      <c r="G52" s="15">
        <f>SUM(Jul!G52, Aug!G52, Sep!G52)</f>
        <v>0</v>
      </c>
      <c r="H52" s="15">
        <f>SUM(Jul!H52, Aug!H52, Sep!H52)</f>
        <v>0</v>
      </c>
      <c r="I52" s="16" t="str">
        <f t="shared" si="9"/>
        <v/>
      </c>
    </row>
    <row r="53" spans="1:9" ht="15.6">
      <c r="A53" s="48" t="str">
        <v>Snowline SD - Quail Valley MS</v>
      </c>
      <c r="B53" s="17" t="str">
        <v>CA</v>
      </c>
      <c r="C53" s="11">
        <f>SUM(Jul!C53, Aug!C53, Sep!C53)</f>
        <v>0</v>
      </c>
      <c r="D53" s="18">
        <f>SUM(Jul!D53, Aug!D53, Sep!D53)</f>
        <v>0</v>
      </c>
      <c r="E53" s="18">
        <f t="shared" si="10"/>
        <v>0</v>
      </c>
      <c r="F53" s="19" t="str">
        <f t="shared" si="11"/>
        <v/>
      </c>
      <c r="G53" s="20">
        <f>SUM(Jul!G53, Aug!G53, Sep!G53)</f>
        <v>0</v>
      </c>
      <c r="H53" s="20">
        <f>SUM(Jul!H53, Aug!H53, Sep!H53)</f>
        <v>0</v>
      </c>
      <c r="I53" s="19" t="str">
        <f t="shared" si="9"/>
        <v/>
      </c>
    </row>
    <row r="54" spans="1:9" ht="15.6">
      <c r="A54" s="47" t="str">
        <v>Snowline SD - Serrano HS - Middle Lot</v>
      </c>
      <c r="B54" s="12" t="str">
        <v>CA</v>
      </c>
      <c r="C54" s="24">
        <f>SUM(Jul!C54, Aug!C54, Sep!C54)</f>
        <v>0</v>
      </c>
      <c r="D54" s="13">
        <f>SUM(Jul!D54, Aug!D54, Sep!D54)</f>
        <v>0</v>
      </c>
      <c r="E54" s="13">
        <f t="shared" si="10"/>
        <v>0</v>
      </c>
      <c r="F54" s="14" t="str">
        <f t="shared" si="11"/>
        <v/>
      </c>
      <c r="G54" s="15">
        <f>SUM(Jul!G54, Aug!G54, Sep!G54)</f>
        <v>0</v>
      </c>
      <c r="H54" s="15">
        <f>SUM(Jul!H54, Aug!H54, Sep!H54)</f>
        <v>0</v>
      </c>
      <c r="I54" s="16" t="str">
        <f t="shared" si="9"/>
        <v/>
      </c>
    </row>
    <row r="55" spans="1:9" ht="15.6">
      <c r="A55" s="48" t="str">
        <v>Snowline SD - Pinon Hills ES</v>
      </c>
      <c r="B55" s="17" t="str">
        <v>CA</v>
      </c>
      <c r="C55" s="11">
        <f>SUM(Jul!C55, Aug!C55, Sep!C55)</f>
        <v>0</v>
      </c>
      <c r="D55" s="18">
        <f>SUM(Jul!D55, Aug!D55, Sep!D55)</f>
        <v>0</v>
      </c>
      <c r="E55" s="18">
        <f t="shared" si="10"/>
        <v>0</v>
      </c>
      <c r="F55" s="19" t="str">
        <f t="shared" si="11"/>
        <v/>
      </c>
      <c r="G55" s="20">
        <f>SUM(Jul!G55, Aug!G55, Sep!G55)</f>
        <v>0</v>
      </c>
      <c r="H55" s="20">
        <f>SUM(Jul!H55, Aug!H55, Sep!H55)</f>
        <v>0</v>
      </c>
      <c r="I55" s="19" t="str">
        <f t="shared" si="9"/>
        <v/>
      </c>
    </row>
    <row r="56" spans="1:9" ht="15.6">
      <c r="A56" s="47" t="str">
        <v>Ramona - Santa Maria WTP</v>
      </c>
      <c r="B56" s="12" t="str">
        <v>CA</v>
      </c>
      <c r="C56" s="24">
        <f>SUM(Jul!C56, Aug!C56, Sep!C56)</f>
        <v>0</v>
      </c>
      <c r="D56" s="13">
        <f>SUM(Jul!D56, Aug!D56, Sep!D56)</f>
        <v>0</v>
      </c>
      <c r="E56" s="13">
        <f t="shared" si="10"/>
        <v>0</v>
      </c>
      <c r="F56" s="14" t="str">
        <f t="shared" si="11"/>
        <v/>
      </c>
      <c r="G56" s="15">
        <f>SUM(Jul!G56, Aug!G56, Sep!G56)</f>
        <v>0</v>
      </c>
      <c r="H56" s="15">
        <f>SUM(Jul!H56, Aug!H56, Sep!H56)</f>
        <v>0</v>
      </c>
      <c r="I56" s="16" t="str">
        <f t="shared" si="9"/>
        <v/>
      </c>
    </row>
    <row r="57" spans="1:9" ht="15.6">
      <c r="A57" s="48" t="str">
        <v>Kohls - Redding</v>
      </c>
      <c r="B57" s="17" t="str">
        <v>CA</v>
      </c>
      <c r="C57" s="11">
        <f>SUM(Jul!C57, Aug!C57, Sep!C57)</f>
        <v>0</v>
      </c>
      <c r="D57" s="18">
        <f>SUM(Jul!D57, Aug!D57, Sep!D57)</f>
        <v>0</v>
      </c>
      <c r="E57" s="18">
        <f t="shared" si="10"/>
        <v>0</v>
      </c>
      <c r="F57" s="19" t="str">
        <f t="shared" si="11"/>
        <v/>
      </c>
      <c r="G57" s="20">
        <f>SUM(Jul!G57, Aug!G57, Sep!G57)</f>
        <v>0</v>
      </c>
      <c r="H57" s="20">
        <f>SUM(Jul!H57, Aug!H57, Sep!H57)</f>
        <v>0</v>
      </c>
      <c r="I57" s="19" t="str">
        <f t="shared" si="9"/>
        <v/>
      </c>
    </row>
    <row r="58" spans="1:9" ht="15.6">
      <c r="A58" s="47" t="str">
        <v>Kohls - Salinas</v>
      </c>
      <c r="B58" s="12" t="str">
        <v>CA</v>
      </c>
      <c r="C58" s="24">
        <f>SUM(Jul!C58, Aug!C58, Sep!C58)</f>
        <v>0</v>
      </c>
      <c r="D58" s="13">
        <f>SUM(Jul!D58, Aug!D58, Sep!D58)</f>
        <v>0</v>
      </c>
      <c r="E58" s="13">
        <f t="shared" si="10"/>
        <v>0</v>
      </c>
      <c r="F58" s="14" t="str">
        <f t="shared" si="11"/>
        <v/>
      </c>
      <c r="G58" s="15">
        <f>SUM(Jul!G58, Aug!G58, Sep!G58)</f>
        <v>0</v>
      </c>
      <c r="H58" s="15">
        <f>SUM(Jul!H58, Aug!H58, Sep!H58)</f>
        <v>0</v>
      </c>
      <c r="I58" s="16" t="str">
        <f t="shared" si="9"/>
        <v/>
      </c>
    </row>
    <row r="59" spans="1:9" ht="15.6">
      <c r="A59" s="48" t="str">
        <v>Kohls - Sonora</v>
      </c>
      <c r="B59" s="17" t="str">
        <v>CA</v>
      </c>
      <c r="C59" s="11">
        <f>SUM(Jul!C59, Aug!C59, Sep!C59)</f>
        <v>0</v>
      </c>
      <c r="D59" s="18">
        <f>SUM(Jul!D59, Aug!D59, Sep!D59)</f>
        <v>0</v>
      </c>
      <c r="E59" s="18">
        <f t="shared" si="10"/>
        <v>0</v>
      </c>
      <c r="F59" s="19" t="str">
        <f t="shared" si="11"/>
        <v/>
      </c>
      <c r="G59" s="20">
        <f>SUM(Jul!G59, Aug!G59, Sep!G59)</f>
        <v>0</v>
      </c>
      <c r="H59" s="20">
        <f>SUM(Jul!H59, Aug!H59, Sep!H59)</f>
        <v>0</v>
      </c>
      <c r="I59" s="19" t="str">
        <f t="shared" si="9"/>
        <v/>
      </c>
    </row>
    <row r="60" spans="1:9" ht="15.6">
      <c r="A60" s="47" t="str">
        <v>CUSD - Stratford ES</v>
      </c>
      <c r="B60" s="12" t="str">
        <v>CA</v>
      </c>
      <c r="C60" s="24">
        <f>SUM(Jul!C60, Aug!C60, Sep!C60)</f>
        <v>0</v>
      </c>
      <c r="D60" s="13">
        <f>SUM(Jul!D60, Aug!D60, Sep!D60)</f>
        <v>0</v>
      </c>
      <c r="E60" s="13">
        <f t="shared" si="10"/>
        <v>0</v>
      </c>
      <c r="F60" s="14" t="str">
        <f t="shared" si="11"/>
        <v/>
      </c>
      <c r="G60" s="15">
        <f>SUM(Jul!G60, Aug!G60, Sep!G60)</f>
        <v>0</v>
      </c>
      <c r="H60" s="15">
        <f>SUM(Jul!H60, Aug!H60, Sep!H60)</f>
        <v>0</v>
      </c>
      <c r="I60" s="16" t="str">
        <f t="shared" si="9"/>
        <v/>
      </c>
    </row>
    <row r="61" spans="1:9" ht="15.6">
      <c r="A61" s="48" t="str">
        <v>Taft - City Hall</v>
      </c>
      <c r="B61" s="17" t="str">
        <v>CA</v>
      </c>
      <c r="C61" s="11">
        <f>SUM(Jul!C61, Aug!C61, Sep!C61)</f>
        <v>0</v>
      </c>
      <c r="D61" s="18">
        <f>SUM(Jul!D61, Aug!D61, Sep!D61)</f>
        <v>0</v>
      </c>
      <c r="E61" s="18">
        <f t="shared" si="10"/>
        <v>0</v>
      </c>
      <c r="F61" s="19" t="str">
        <f t="shared" si="11"/>
        <v/>
      </c>
      <c r="G61" s="20">
        <f>SUM(Jul!G61, Aug!G61, Sep!G61)</f>
        <v>0</v>
      </c>
      <c r="H61" s="20">
        <f>SUM(Jul!H61, Aug!H61, Sep!H61)</f>
        <v>0</v>
      </c>
      <c r="I61" s="19" t="str">
        <f t="shared" si="9"/>
        <v/>
      </c>
    </row>
    <row r="62" spans="1:9" ht="15.6">
      <c r="A62" s="47" t="str">
        <v>Taft - Federal Prison</v>
      </c>
      <c r="B62" s="12" t="str">
        <v>CA</v>
      </c>
      <c r="C62" s="24">
        <f>SUM(Jul!C62, Aug!C62, Sep!C62)</f>
        <v>0</v>
      </c>
      <c r="D62" s="13">
        <f>SUM(Jul!D62, Aug!D62, Sep!D62)</f>
        <v>0</v>
      </c>
      <c r="E62" s="13">
        <f t="shared" si="10"/>
        <v>0</v>
      </c>
      <c r="F62" s="14" t="str">
        <f t="shared" si="11"/>
        <v/>
      </c>
      <c r="G62" s="15">
        <f>SUM(Jul!G62, Aug!G62, Sep!G62)</f>
        <v>0</v>
      </c>
      <c r="H62" s="15">
        <f>SUM(Jul!H62, Aug!H62, Sep!H62)</f>
        <v>0</v>
      </c>
      <c r="I62" s="16" t="str">
        <f t="shared" si="9"/>
        <v/>
      </c>
    </row>
    <row r="63" spans="1:9" ht="15.6">
      <c r="A63" s="48" t="str">
        <v>Taft - Police Department</v>
      </c>
      <c r="B63" s="17" t="str">
        <v>CA</v>
      </c>
      <c r="C63" s="11">
        <f>SUM(Jul!C63, Aug!C63, Sep!C63)</f>
        <v>0</v>
      </c>
      <c r="D63" s="18">
        <f>SUM(Jul!D63, Aug!D63, Sep!D63)</f>
        <v>0</v>
      </c>
      <c r="E63" s="18">
        <f t="shared" si="10"/>
        <v>0</v>
      </c>
      <c r="F63" s="19" t="str">
        <f t="shared" si="11"/>
        <v/>
      </c>
      <c r="G63" s="20">
        <f>SUM(Jul!G63, Aug!G63, Sep!G63)</f>
        <v>0</v>
      </c>
      <c r="H63" s="20">
        <f>SUM(Jul!H63, Aug!H63, Sep!H63)</f>
        <v>0</v>
      </c>
      <c r="I63" s="19" t="str">
        <f t="shared" si="9"/>
        <v/>
      </c>
    </row>
    <row r="64" spans="1:9" ht="15.6">
      <c r="A64" s="47" t="str">
        <v>Taft - WTP</v>
      </c>
      <c r="B64" s="12" t="str">
        <v>CA</v>
      </c>
      <c r="C64" s="24">
        <f>SUM(Jul!C64, Aug!C64, Sep!C64)</f>
        <v>0</v>
      </c>
      <c r="D64" s="13">
        <f>SUM(Jul!D64, Aug!D64, Sep!D64)</f>
        <v>0</v>
      </c>
      <c r="E64" s="13">
        <f t="shared" si="10"/>
        <v>0</v>
      </c>
      <c r="F64" s="14" t="str">
        <f t="shared" si="11"/>
        <v/>
      </c>
      <c r="G64" s="15">
        <f>SUM(Jul!G64, Aug!G64, Sep!G64)</f>
        <v>0</v>
      </c>
      <c r="H64" s="15">
        <f>SUM(Jul!H64, Aug!H64, Sep!H64)</f>
        <v>0</v>
      </c>
      <c r="I64" s="16" t="str">
        <f t="shared" si="9"/>
        <v/>
      </c>
    </row>
    <row r="65" spans="1:9" ht="15.6">
      <c r="A65" s="48" t="str">
        <v>CDCR - CA Correctional Institution</v>
      </c>
      <c r="B65" s="17" t="str">
        <v>CA</v>
      </c>
      <c r="C65" s="11">
        <f>SUM(Jul!C65, Aug!C65, Sep!C65)</f>
        <v>0</v>
      </c>
      <c r="D65" s="18">
        <f>SUM(Jul!D65, Aug!D65, Sep!D65)</f>
        <v>0</v>
      </c>
      <c r="E65" s="18">
        <f t="shared" si="10"/>
        <v>0</v>
      </c>
      <c r="F65" s="19" t="str">
        <f t="shared" si="11"/>
        <v/>
      </c>
      <c r="G65" s="20">
        <f>SUM(Jul!G65, Aug!G65, Sep!G65)</f>
        <v>0</v>
      </c>
      <c r="H65" s="20">
        <f>SUM(Jul!H65, Aug!H65, Sep!H65)</f>
        <v>0</v>
      </c>
      <c r="I65" s="19" t="str">
        <f t="shared" si="9"/>
        <v/>
      </c>
    </row>
    <row r="66" spans="1:9" ht="15.6">
      <c r="A66" s="47" t="str">
        <v>CDCR - CA Correctional Institution II</v>
      </c>
      <c r="B66" s="12" t="str">
        <v>CA</v>
      </c>
      <c r="C66" s="24">
        <f>SUM(Jul!C66, Aug!C66, Sep!C66)</f>
        <v>0</v>
      </c>
      <c r="D66" s="13">
        <f>SUM(Jul!D66, Aug!D66, Sep!D66)</f>
        <v>0</v>
      </c>
      <c r="E66" s="13">
        <f t="shared" si="10"/>
        <v>0</v>
      </c>
      <c r="F66" s="14" t="str">
        <f t="shared" si="11"/>
        <v/>
      </c>
      <c r="G66" s="15">
        <f>SUM(Jul!G66, Aug!G66, Sep!G66)</f>
        <v>0</v>
      </c>
      <c r="H66" s="15">
        <f>SUM(Jul!H66, Aug!H66, Sep!H66)</f>
        <v>0</v>
      </c>
      <c r="I66" s="16" t="str">
        <f t="shared" si="9"/>
        <v/>
      </c>
    </row>
    <row r="67" spans="1:9" ht="15.6">
      <c r="A67" s="48" t="str">
        <v>Snowline SD - Vista Verde ES</v>
      </c>
      <c r="B67" s="17" t="str">
        <v>CA</v>
      </c>
      <c r="C67" s="11">
        <f>SUM(Jul!C67, Aug!C67, Sep!C67)</f>
        <v>0</v>
      </c>
      <c r="D67" s="18">
        <f>SUM(Jul!D67, Aug!D67, Sep!D67)</f>
        <v>0</v>
      </c>
      <c r="E67" s="18">
        <f t="shared" si="10"/>
        <v>0</v>
      </c>
      <c r="F67" s="19" t="str">
        <f t="shared" si="11"/>
        <v/>
      </c>
      <c r="G67" s="20">
        <f>SUM(Jul!G67, Aug!G67, Sep!G67)</f>
        <v>0</v>
      </c>
      <c r="H67" s="20">
        <f>SUM(Jul!H67, Aug!H67, Sep!H67)</f>
        <v>0</v>
      </c>
      <c r="I67" s="19" t="str">
        <f t="shared" si="9"/>
        <v/>
      </c>
    </row>
    <row r="68" spans="1:9" ht="15.6">
      <c r="A68" s="47" t="str">
        <v>North Stonington</v>
      </c>
      <c r="B68" s="12" t="str">
        <v>CT</v>
      </c>
      <c r="C68" s="24">
        <f>SUM(Jul!C68, Aug!C68, Sep!C68)</f>
        <v>0</v>
      </c>
      <c r="D68" s="13">
        <f>SUM(Jul!D68, Aug!D68, Sep!D68)</f>
        <v>0</v>
      </c>
      <c r="E68" s="13">
        <f t="shared" si="10"/>
        <v>0</v>
      </c>
      <c r="F68" s="14" t="str">
        <f t="shared" si="11"/>
        <v/>
      </c>
      <c r="G68" s="15">
        <f>SUM(Jul!G68, Aug!G68, Sep!G68)</f>
        <v>0</v>
      </c>
      <c r="H68" s="15">
        <f>SUM(Jul!H68, Aug!H68, Sep!H68)</f>
        <v>0</v>
      </c>
      <c r="I68" s="16" t="str">
        <f t="shared" si="9"/>
        <v/>
      </c>
    </row>
    <row r="69" spans="1:9" ht="15.6">
      <c r="A69" s="48" t="str">
        <v>CT: Torrington - 2-298 Rossi Road</v>
      </c>
      <c r="B69" s="17" t="str">
        <v>CT</v>
      </c>
      <c r="C69" s="11">
        <f>SUM(Jul!C69, Aug!C69, Sep!C69)</f>
        <v>0</v>
      </c>
      <c r="D69" s="18">
        <f>SUM(Jul!D69, Aug!D69, Sep!D69)</f>
        <v>0</v>
      </c>
      <c r="E69" s="18">
        <f t="shared" si="10"/>
        <v>0</v>
      </c>
      <c r="F69" s="19" t="str">
        <f t="shared" si="11"/>
        <v/>
      </c>
      <c r="G69" s="20">
        <f>SUM(Jul!G69, Aug!G69, Sep!G69)</f>
        <v>0</v>
      </c>
      <c r="H69" s="20">
        <f>SUM(Jul!H69, Aug!H69, Sep!H69)</f>
        <v>0</v>
      </c>
      <c r="I69" s="19" t="str">
        <f t="shared" si="9"/>
        <v/>
      </c>
    </row>
    <row r="70" spans="1:9" ht="15.6">
      <c r="A70" s="47"/>
      <c r="B70" s="12"/>
      <c r="C70" s="24"/>
      <c r="D70" s="13"/>
      <c r="E70" s="13" t="str">
        <f t="shared" ref="E70" si="12">IF(AND(ISNUMBER(C70),ISNUMBER(D70)), C70-D70, "")</f>
        <v/>
      </c>
      <c r="F70" s="14" t="str">
        <f t="shared" ref="F70" si="13">IFERROR(E70/D70, "")</f>
        <v/>
      </c>
      <c r="G70" s="15">
        <f>SUM(Jul!G70, Aug!G70, Sep!G70)</f>
        <v>0</v>
      </c>
      <c r="H70" s="15">
        <f>SUM(Jul!H70, Aug!H70, Sep!H70)</f>
        <v>0</v>
      </c>
      <c r="I70" s="16" t="str">
        <f t="shared" si="9"/>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4" activePane="bottomRight" state="frozen"/>
      <selection pane="bottomRight" activeCell="C2" sqref="C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35" t="str" cm="1">
        <f t="array" ref="A1">portfolio</f>
        <v>Silicon Ranch</v>
      </c>
      <c r="B1" s="135"/>
      <c r="C1" s="135"/>
      <c r="D1" s="136" t="s">
        <v>16</v>
      </c>
      <c r="E1" s="136"/>
      <c r="F1" s="136"/>
      <c r="G1" s="134" t="s">
        <v>17</v>
      </c>
      <c r="H1" s="134"/>
      <c r="I1" s="134"/>
    </row>
    <row r="2" spans="1:9" ht="19.5" customHeight="1">
      <c r="A2" s="137" t="s">
        <v>2</v>
      </c>
      <c r="B2" s="137"/>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8" t="str">
        <v>Kohls - Auburn</v>
      </c>
      <c r="B5" s="10" t="str">
        <v>NY</v>
      </c>
      <c r="C5" s="11">
        <f>SUM(Oct!C5, Nov!C5, Dec!C5)</f>
        <v>0</v>
      </c>
      <c r="D5" s="18">
        <f>SUM(Oct!D5, Nov!D5, Dec!D5)</f>
        <v>0</v>
      </c>
      <c r="E5" s="18">
        <f t="shared" ref="E5:E15" si="0">IF(AND(ISNUMBER(C5),ISNUMBER(D5)), C5-D5, "")</f>
        <v>0</v>
      </c>
      <c r="F5" s="19" t="str">
        <f>IFERROR(E5/D5, "")</f>
        <v/>
      </c>
      <c r="G5" s="61">
        <f>SUM(Oct!G5,Nov!G5,Dec!G5)</f>
        <v>0</v>
      </c>
      <c r="H5" s="20">
        <f>SUM(Oct!H5, Nov!H5, Dec!H5)</f>
        <v>0</v>
      </c>
      <c r="I5" s="19" t="str">
        <f>IFERROR(H5/G5, "")</f>
        <v/>
      </c>
    </row>
    <row r="6" spans="1:9" ht="15.6">
      <c r="A6" s="47"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8"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7"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8"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7"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8"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7"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8"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7"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8"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7"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8"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7"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8"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7"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8"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7"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8"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7"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8"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7"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8"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7"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8"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7"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8"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7"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8"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7"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8"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7"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8"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8"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7"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8"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7"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8"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7"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8"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7"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8"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7"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8"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8"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7"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7"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8"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7"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8"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7"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8" t="str">
        <v>Kohls - Sonora</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7" t="str">
        <v>CUSD - Stratford ES</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8" t="str">
        <v>Taft - City Hall</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7" t="str">
        <v>Taft - Federal Prison</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8" t="str">
        <v>Taft - Police Department</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7" t="str">
        <v>Taft - WTP</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8" t="str">
        <v>CDCR - CA Correctional Institution</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7" t="str">
        <v>CDCR - CA Correctional Institution II</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8" t="str">
        <v>Snowline SD - Vista Verde ES</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7" t="str">
        <v>North Stonington</v>
      </c>
      <c r="B68" s="9" t="str">
        <v>CT</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5.6">
      <c r="A69" s="48" t="str">
        <v>CT: Torrington - 2-298 Rossi Road</v>
      </c>
      <c r="B69" s="10" t="str">
        <v>CT</v>
      </c>
      <c r="C69" s="11">
        <f>SUM(Oct!C69, Nov!C69, Dec!C69)</f>
        <v>0</v>
      </c>
      <c r="D69" s="18">
        <f>SUM(Oct!D69, Nov!D69, Dec!D69)</f>
        <v>0</v>
      </c>
      <c r="E69" s="18">
        <f t="shared" ref="E69:E70" si="9">IF(AND(ISNUMBER(C69),ISNUMBER(D69)), C69-D69, "")</f>
        <v>0</v>
      </c>
      <c r="F69" s="19" t="str">
        <f t="shared" ref="F69:F70" si="10">IFERROR(E69/D69, "")</f>
        <v/>
      </c>
      <c r="G69" s="20">
        <f>SUM(Oct!G69,Nov!G69,Dec!G69)</f>
        <v>0</v>
      </c>
      <c r="H69" s="20">
        <f>SUM(Oct!H69, Nov!H69, Dec!H69)</f>
        <v>0</v>
      </c>
      <c r="I69" s="19" t="str">
        <f t="shared" ref="I69:I70" si="11">IFERROR(H69/G69, "")</f>
        <v/>
      </c>
    </row>
    <row r="70" spans="1:9" ht="15.6">
      <c r="A70" s="47"/>
      <c r="B70" s="9"/>
      <c r="C70" s="24">
        <f>SUM(Oct!C70, Nov!C70, Dec!C70)</f>
        <v>0</v>
      </c>
      <c r="D70" s="13">
        <f>SUM(Oct!D70, Nov!D70, Dec!D70)</f>
        <v>0</v>
      </c>
      <c r="E70" s="13">
        <f t="shared" si="9"/>
        <v>0</v>
      </c>
      <c r="F70" s="14" t="str">
        <f t="shared" si="10"/>
        <v/>
      </c>
      <c r="G70" s="15">
        <f>SUM(Oct!G70,Nov!G70,Dec!G70)</f>
        <v>0</v>
      </c>
      <c r="H70" s="15">
        <f>SUM(Oct!H70, Nov!H70, Dec!H70)</f>
        <v>0</v>
      </c>
      <c r="I70" s="16" t="str">
        <f t="shared" si="11"/>
        <v/>
      </c>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S340"/>
  <sheetViews>
    <sheetView tabSelected="1" zoomScale="70" zoomScaleNormal="70" workbookViewId="0">
      <pane xSplit="2" ySplit="3" topLeftCell="C4" activePane="bottomRight" state="frozen"/>
      <selection pane="bottomRight" activeCell="L1" sqref="L1"/>
      <selection pane="bottomLeft" activeCell="I74" sqref="I74"/>
      <selection pane="topRight" activeCell="I74" sqref="I74"/>
    </sheetView>
  </sheetViews>
  <sheetFormatPr defaultRowHeight="13.9"/>
  <cols>
    <col min="1" max="1" width="39.140625"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12" width="16.42578125" style="97" customWidth="1"/>
    <col min="13" max="13" width="8.85546875" style="97"/>
    <col min="14" max="18" width="9.140625" style="97" customWidth="1"/>
    <col min="19" max="21" width="9.140625" customWidth="1"/>
  </cols>
  <sheetData>
    <row r="1" spans="1:14" ht="19.5" customHeight="1">
      <c r="A1" s="135" t="str" cm="1">
        <f t="array" ref="A1">portfolio</f>
        <v>Silicon Ranch</v>
      </c>
      <c r="B1" s="135"/>
      <c r="C1" s="135"/>
      <c r="D1" s="136" t="s">
        <v>18</v>
      </c>
      <c r="E1" s="136"/>
      <c r="F1" s="136"/>
      <c r="G1" s="134" t="s">
        <v>19</v>
      </c>
      <c r="H1" s="134"/>
      <c r="I1" s="134"/>
      <c r="J1" s="4"/>
      <c r="K1" s="4"/>
      <c r="L1" s="114"/>
    </row>
    <row r="2" spans="1:14" ht="19.5" customHeight="1">
      <c r="A2" s="137" t="s">
        <v>2</v>
      </c>
      <c r="B2" s="137"/>
      <c r="C2" s="5">
        <f>SUM(C4:C98)</f>
        <v>1984478.15</v>
      </c>
      <c r="D2" s="5">
        <f>SUM(D4:D98)</f>
        <v>1107350</v>
      </c>
      <c r="E2" s="5">
        <f>C2-D2</f>
        <v>877128.14999999991</v>
      </c>
      <c r="F2" s="6">
        <f>IFERROR(E2/D2, 0)</f>
        <v>0.79209658192983234</v>
      </c>
      <c r="G2" s="5">
        <f>SUM(G4:G98)</f>
        <v>1915460.74</v>
      </c>
      <c r="H2" s="7">
        <f>C2-G2</f>
        <v>69017.409999999916</v>
      </c>
      <c r="I2" s="6">
        <f>IFERROR(H2/G2, 0)</f>
        <v>3.6031753905851352E-2</v>
      </c>
      <c r="J2" s="26" t="str">
        <f ca="1">IF(AND(TODAY()&gt;DATE(2024, 1, 1), COUNTA(Sites[Site])&lt;&gt;(COUNT(C:C)-1)), "Some sites are missing actual data; if new sites were added, make sure they are aligned correctly (including prior months!)", "")</f>
        <v/>
      </c>
      <c r="K2" s="4"/>
      <c r="L2" s="114"/>
    </row>
    <row r="3" spans="1:14" ht="14.25" customHeight="1">
      <c r="A3" s="27" t="s">
        <v>3</v>
      </c>
      <c r="B3" s="8" t="s">
        <v>4</v>
      </c>
      <c r="C3" s="23" t="s">
        <v>5</v>
      </c>
      <c r="D3" s="35" t="s">
        <v>6</v>
      </c>
      <c r="E3" s="35" t="s">
        <v>7</v>
      </c>
      <c r="F3" s="36" t="s">
        <v>8</v>
      </c>
      <c r="G3" s="40" t="s">
        <v>9</v>
      </c>
      <c r="H3" s="38" t="s">
        <v>7</v>
      </c>
      <c r="I3" s="39" t="s">
        <v>8</v>
      </c>
      <c r="J3" s="25" t="s">
        <v>20</v>
      </c>
      <c r="K3" s="25" t="s">
        <v>21</v>
      </c>
      <c r="L3" s="116" t="s">
        <v>22</v>
      </c>
    </row>
    <row r="4" spans="1:14" ht="15.6">
      <c r="A4" s="32" t="str" cm="1">
        <f t="array" ref="A4:A69">Sites[Site]</f>
        <v>Iron Mountain - Windsor</v>
      </c>
      <c r="B4" s="29" t="str" cm="1">
        <f t="array" ref="B4:B69">Sites[State]</f>
        <v>CT</v>
      </c>
      <c r="C4" s="24">
        <v>6816</v>
      </c>
      <c r="D4" s="13">
        <v>6764</v>
      </c>
      <c r="E4" s="13">
        <f>IF(AND(ISNUMBER(C4),ISNUMBER(D4)), C4-D4, "")</f>
        <v>52</v>
      </c>
      <c r="F4" s="14">
        <f>IFERROR(E4/D4, "")</f>
        <v>7.68775872264932E-3</v>
      </c>
      <c r="G4" s="15">
        <v>12840.66</v>
      </c>
      <c r="H4" s="15">
        <f>IF(AND(ISNUMBER(C4),ISNUMBER(G4)), C4-G4, "")</f>
        <v>-6024.66</v>
      </c>
      <c r="I4" s="16">
        <f>IFERROR(H4/G4, "")</f>
        <v>-0.46918616332805324</v>
      </c>
      <c r="J4" s="56" t="s">
        <v>23</v>
      </c>
      <c r="K4" s="56"/>
      <c r="L4" s="86"/>
    </row>
    <row r="5" spans="1:14" ht="28.9">
      <c r="A5" s="30" t="str">
        <v>Kohls - Auburn</v>
      </c>
      <c r="B5" s="31" t="str">
        <v>NY</v>
      </c>
      <c r="C5" s="11">
        <v>645</v>
      </c>
      <c r="D5" s="18">
        <v>645</v>
      </c>
      <c r="E5" s="18">
        <f>IF(AND(ISNUMBER(C5),ISNUMBER(D5)), C5-D5, "")</f>
        <v>0</v>
      </c>
      <c r="F5" s="19">
        <f t="shared" ref="F5:F25" si="0">IFERROR(E5/D5, "")</f>
        <v>0</v>
      </c>
      <c r="G5" s="20">
        <v>4715.29</v>
      </c>
      <c r="H5" s="20">
        <f>IF(AND(ISNUMBER(C5),ISNUMBER(G5)), C5-G5, "")</f>
        <v>-4070.29</v>
      </c>
      <c r="I5" s="19">
        <f t="shared" ref="I5:I6" si="1">IFERROR(H5/G5, "")</f>
        <v>-0.86321095839280304</v>
      </c>
      <c r="J5" s="58" t="s">
        <v>24</v>
      </c>
      <c r="K5" s="58"/>
      <c r="L5" s="54"/>
    </row>
    <row r="6" spans="1:14" ht="61.5" customHeight="1">
      <c r="A6" s="28" t="str">
        <v>Kohls - Bensalem</v>
      </c>
      <c r="B6" s="29" t="str">
        <v>PA</v>
      </c>
      <c r="C6" s="24">
        <v>10621</v>
      </c>
      <c r="D6" s="13">
        <v>0</v>
      </c>
      <c r="E6" s="13">
        <f t="shared" ref="E6:E15" si="2">IF(AND(ISNUMBER(C6),ISNUMBER(D6)), C6-D6, "")</f>
        <v>10621</v>
      </c>
      <c r="F6" s="14" t="str">
        <f t="shared" si="0"/>
        <v/>
      </c>
      <c r="G6" s="15">
        <v>15534.61</v>
      </c>
      <c r="H6" s="15">
        <f t="shared" ref="H6" si="3">IF(AND(ISNUMBER(C6),ISNUMBER(G6)), C6-G6, "")</f>
        <v>-4913.6100000000006</v>
      </c>
      <c r="I6" s="16">
        <f t="shared" si="1"/>
        <v>-0.31630082763584028</v>
      </c>
      <c r="J6" s="56" t="s">
        <v>25</v>
      </c>
      <c r="K6" s="91" t="s">
        <v>26</v>
      </c>
      <c r="L6" s="86" t="s">
        <v>27</v>
      </c>
      <c r="M6" s="98" t="s">
        <v>28</v>
      </c>
    </row>
    <row r="7" spans="1:14" ht="28.9">
      <c r="A7" s="30" t="str">
        <v>Kohls - Brick</v>
      </c>
      <c r="B7" s="31" t="str">
        <v>NJ</v>
      </c>
      <c r="C7" s="11">
        <v>12552</v>
      </c>
      <c r="D7" s="18">
        <v>12511</v>
      </c>
      <c r="E7" s="18">
        <f t="shared" si="2"/>
        <v>41</v>
      </c>
      <c r="F7" s="19">
        <f t="shared" si="0"/>
        <v>3.2771161377987373E-3</v>
      </c>
      <c r="G7" s="20">
        <v>16463.560000000001</v>
      </c>
      <c r="H7" s="20">
        <f t="shared" ref="H7:H15" si="4">IF(AND(ISNUMBER(C7),ISNUMBER(G7)), C7-G7, "")</f>
        <v>-3911.5600000000013</v>
      </c>
      <c r="I7" s="19">
        <f t="shared" ref="I7:I69" si="5">IFERROR(H7/G7, "")</f>
        <v>-0.23758895402938374</v>
      </c>
      <c r="J7" s="58" t="s">
        <v>29</v>
      </c>
      <c r="K7" s="133" t="s">
        <v>30</v>
      </c>
      <c r="L7" s="57" t="s">
        <v>31</v>
      </c>
    </row>
    <row r="8" spans="1:14" ht="28.9">
      <c r="A8" s="28" t="str">
        <v>Kohls - Buffalo</v>
      </c>
      <c r="B8" s="29" t="str">
        <v>NY</v>
      </c>
      <c r="C8" s="24">
        <v>3229</v>
      </c>
      <c r="D8" s="13">
        <v>0</v>
      </c>
      <c r="E8" s="13">
        <f t="shared" si="2"/>
        <v>3229</v>
      </c>
      <c r="F8" s="14" t="str">
        <f t="shared" si="0"/>
        <v/>
      </c>
      <c r="G8" s="15">
        <v>7932.35</v>
      </c>
      <c r="H8" s="15">
        <f t="shared" si="4"/>
        <v>-4703.3500000000004</v>
      </c>
      <c r="I8" s="16">
        <f t="shared" si="5"/>
        <v>-0.59293273746115593</v>
      </c>
      <c r="J8" s="56" t="s">
        <v>32</v>
      </c>
      <c r="K8" s="56"/>
      <c r="L8" s="86"/>
      <c r="N8" s="98"/>
    </row>
    <row r="9" spans="1:14" ht="31.15">
      <c r="A9" s="30" t="str">
        <v>Kohls - Canton</v>
      </c>
      <c r="B9" s="31" t="str">
        <v>CT</v>
      </c>
      <c r="C9" s="11">
        <v>1564</v>
      </c>
      <c r="D9" s="18">
        <v>1330</v>
      </c>
      <c r="E9" s="18">
        <f t="shared" si="2"/>
        <v>234</v>
      </c>
      <c r="F9" s="19">
        <f t="shared" si="0"/>
        <v>0.17593984962406015</v>
      </c>
      <c r="G9" s="20">
        <v>5755.92</v>
      </c>
      <c r="H9" s="20">
        <f t="shared" si="4"/>
        <v>-4191.92</v>
      </c>
      <c r="I9" s="19">
        <f t="shared" si="5"/>
        <v>-0.72827975371443665</v>
      </c>
      <c r="J9" s="54" t="s">
        <v>33</v>
      </c>
      <c r="K9" s="133" t="s">
        <v>34</v>
      </c>
      <c r="L9" s="57" t="s">
        <v>35</v>
      </c>
    </row>
    <row r="10" spans="1:14" ht="15.6">
      <c r="A10" s="28" t="str">
        <v>Kohls - East Amherst</v>
      </c>
      <c r="B10" s="29" t="str">
        <v>NY</v>
      </c>
      <c r="C10" s="24">
        <v>1721</v>
      </c>
      <c r="D10" s="13">
        <v>1585</v>
      </c>
      <c r="E10" s="13">
        <f t="shared" si="2"/>
        <v>136</v>
      </c>
      <c r="F10" s="14">
        <f t="shared" si="0"/>
        <v>8.5804416403785486E-2</v>
      </c>
      <c r="G10" s="15">
        <v>8364.35</v>
      </c>
      <c r="H10" s="15">
        <f t="shared" si="4"/>
        <v>-6643.35</v>
      </c>
      <c r="I10" s="16">
        <f t="shared" si="5"/>
        <v>-0.79424581706886965</v>
      </c>
      <c r="J10" s="56" t="s">
        <v>36</v>
      </c>
      <c r="K10" s="56"/>
      <c r="L10" s="86"/>
    </row>
    <row r="11" spans="1:14" ht="43.15">
      <c r="A11" s="30" t="str">
        <v>Kohls - East Brunswick</v>
      </c>
      <c r="B11" s="31" t="str">
        <v>NJ</v>
      </c>
      <c r="C11" s="11">
        <v>13312.05</v>
      </c>
      <c r="D11" s="18">
        <v>0</v>
      </c>
      <c r="E11" s="18">
        <f t="shared" si="2"/>
        <v>13312.05</v>
      </c>
      <c r="F11" s="19" t="str">
        <f t="shared" si="0"/>
        <v/>
      </c>
      <c r="G11" s="20">
        <v>22969.47</v>
      </c>
      <c r="H11" s="20">
        <f t="shared" si="4"/>
        <v>-9657.4200000000019</v>
      </c>
      <c r="I11" s="19">
        <f t="shared" si="5"/>
        <v>-0.42044592234823014</v>
      </c>
      <c r="J11" s="53" t="s">
        <v>37</v>
      </c>
      <c r="K11" s="87" t="s">
        <v>38</v>
      </c>
      <c r="L11" s="57" t="s">
        <v>39</v>
      </c>
    </row>
    <row r="12" spans="1:14" ht="57.6">
      <c r="A12" s="28" t="str">
        <v>Kohls - Edgewood</v>
      </c>
      <c r="B12" s="29" t="str">
        <v>MD</v>
      </c>
      <c r="C12" s="24">
        <v>69205</v>
      </c>
      <c r="D12" s="13">
        <v>68059</v>
      </c>
      <c r="E12" s="13">
        <f t="shared" si="2"/>
        <v>1146</v>
      </c>
      <c r="F12" s="14">
        <f t="shared" si="0"/>
        <v>1.6838331447714482E-2</v>
      </c>
      <c r="G12" s="15">
        <v>134337.97</v>
      </c>
      <c r="H12" s="15">
        <f t="shared" si="4"/>
        <v>-65132.97</v>
      </c>
      <c r="I12" s="16">
        <f t="shared" si="5"/>
        <v>-0.48484408391759976</v>
      </c>
      <c r="J12" s="64" t="s">
        <v>40</v>
      </c>
      <c r="K12" s="120" t="s">
        <v>41</v>
      </c>
      <c r="L12" s="86" t="s">
        <v>42</v>
      </c>
    </row>
    <row r="13" spans="1:14" ht="15.6">
      <c r="A13" s="30" t="str">
        <v>Kohls - Granite Run</v>
      </c>
      <c r="B13" s="31" t="str">
        <v>PA</v>
      </c>
      <c r="C13" s="11">
        <v>9634</v>
      </c>
      <c r="D13" s="18">
        <v>9462</v>
      </c>
      <c r="E13" s="18">
        <f t="shared" si="2"/>
        <v>172</v>
      </c>
      <c r="F13" s="19">
        <f t="shared" si="0"/>
        <v>1.8177975058127245E-2</v>
      </c>
      <c r="G13" s="20">
        <v>15797.45</v>
      </c>
      <c r="H13" s="20">
        <f t="shared" si="4"/>
        <v>-6163.4500000000007</v>
      </c>
      <c r="I13" s="19">
        <f t="shared" si="5"/>
        <v>-0.39015474016376062</v>
      </c>
      <c r="J13" s="58" t="s">
        <v>43</v>
      </c>
      <c r="K13" s="59"/>
      <c r="L13" s="57"/>
    </row>
    <row r="14" spans="1:14" ht="15.6">
      <c r="A14" s="28" t="str">
        <v>Kohls - Greece</v>
      </c>
      <c r="B14" s="29" t="str">
        <v>NY</v>
      </c>
      <c r="C14" s="24">
        <v>2440</v>
      </c>
      <c r="D14" s="13">
        <v>2296</v>
      </c>
      <c r="E14" s="13">
        <f t="shared" si="2"/>
        <v>144</v>
      </c>
      <c r="F14" s="14">
        <f t="shared" si="0"/>
        <v>6.2717770034843204E-2</v>
      </c>
      <c r="G14" s="15">
        <v>9292.7099999999991</v>
      </c>
      <c r="H14" s="15">
        <f t="shared" si="4"/>
        <v>-6852.7099999999991</v>
      </c>
      <c r="I14" s="16">
        <f t="shared" si="5"/>
        <v>-0.73742858649414433</v>
      </c>
      <c r="J14" s="56" t="s">
        <v>43</v>
      </c>
      <c r="K14" s="56"/>
      <c r="L14" s="86"/>
    </row>
    <row r="15" spans="1:14" ht="15.6">
      <c r="A15" s="30" t="str">
        <v>Kohls - Hanover</v>
      </c>
      <c r="B15" s="31" t="str">
        <v>PA</v>
      </c>
      <c r="C15" s="11">
        <v>13956</v>
      </c>
      <c r="D15" s="18">
        <v>13682</v>
      </c>
      <c r="E15" s="18">
        <f t="shared" si="2"/>
        <v>274</v>
      </c>
      <c r="F15" s="19">
        <f t="shared" si="0"/>
        <v>2.0026311942698435E-2</v>
      </c>
      <c r="G15" s="20">
        <v>18615.25</v>
      </c>
      <c r="H15" s="20">
        <f t="shared" si="4"/>
        <v>-4659.25</v>
      </c>
      <c r="I15" s="19">
        <f t="shared" si="5"/>
        <v>-0.25029209921972578</v>
      </c>
      <c r="J15" s="58" t="s">
        <v>44</v>
      </c>
      <c r="K15" s="59"/>
      <c r="L15" s="57"/>
      <c r="N15" s="124"/>
    </row>
    <row r="16" spans="1:14" ht="28.9">
      <c r="A16" s="28" t="str">
        <v>Kohls - Horsehead</v>
      </c>
      <c r="B16" s="29" t="str">
        <v>NY</v>
      </c>
      <c r="C16" s="24">
        <v>7602</v>
      </c>
      <c r="D16" s="13">
        <v>7428</v>
      </c>
      <c r="E16" s="13">
        <f t="shared" ref="E16:E25" si="6">IF(AND(ISNUMBER(C16),ISNUMBER(D16)), C16-D16, "")</f>
        <v>174</v>
      </c>
      <c r="F16" s="14">
        <f t="shared" si="0"/>
        <v>2.3424878836833602E-2</v>
      </c>
      <c r="G16" s="15">
        <v>12592.49</v>
      </c>
      <c r="H16" s="15">
        <f t="shared" ref="H16:H17" si="7">IF(AND(ISNUMBER(C16),ISNUMBER(G16)), C16-G16, "")</f>
        <v>-4990.49</v>
      </c>
      <c r="I16" s="16">
        <f t="shared" si="5"/>
        <v>-0.39630684638224845</v>
      </c>
      <c r="J16" s="56" t="s">
        <v>45</v>
      </c>
      <c r="K16" s="91" t="s">
        <v>46</v>
      </c>
      <c r="L16" s="86" t="s">
        <v>47</v>
      </c>
    </row>
    <row r="17" spans="1:15" ht="43.15">
      <c r="A17" s="30" t="str">
        <v>Kohls - Hudson</v>
      </c>
      <c r="B17" s="31" t="str">
        <v>NY</v>
      </c>
      <c r="C17" s="11">
        <v>5478</v>
      </c>
      <c r="D17" s="18">
        <v>0</v>
      </c>
      <c r="E17" s="18">
        <f t="shared" si="6"/>
        <v>5478</v>
      </c>
      <c r="F17" s="19" t="str">
        <f t="shared" si="0"/>
        <v/>
      </c>
      <c r="G17" s="20">
        <v>12675.21</v>
      </c>
      <c r="H17" s="20">
        <f t="shared" si="7"/>
        <v>-7197.2099999999991</v>
      </c>
      <c r="I17" s="19">
        <f t="shared" si="5"/>
        <v>-0.56781781130253461</v>
      </c>
      <c r="J17" s="58" t="s">
        <v>48</v>
      </c>
      <c r="K17" s="133" t="s">
        <v>49</v>
      </c>
      <c r="L17" s="54" t="s">
        <v>50</v>
      </c>
    </row>
    <row r="18" spans="1:15" ht="15.6">
      <c r="A18" s="32" t="str">
        <v>Kohls - Ithaca</v>
      </c>
      <c r="B18" s="29" t="str">
        <v>NY</v>
      </c>
      <c r="C18" s="24">
        <v>5406</v>
      </c>
      <c r="D18" s="13">
        <v>5279</v>
      </c>
      <c r="E18" s="13">
        <f t="shared" si="6"/>
        <v>127</v>
      </c>
      <c r="F18" s="14">
        <f t="shared" si="0"/>
        <v>2.4057586664140936E-2</v>
      </c>
      <c r="G18" s="15">
        <v>11746.86</v>
      </c>
      <c r="H18" s="15">
        <f t="shared" ref="H18:H25" si="8">IF(AND(ISNUMBER(C18),ISNUMBER(G18)), C18-G18, "")</f>
        <v>-6340.8600000000006</v>
      </c>
      <c r="I18" s="16">
        <f t="shared" si="5"/>
        <v>-0.53979191034880813</v>
      </c>
      <c r="J18" s="56" t="s">
        <v>23</v>
      </c>
      <c r="K18" s="56"/>
      <c r="L18" s="86"/>
    </row>
    <row r="19" spans="1:15" ht="28.9">
      <c r="A19" s="30" t="str">
        <v>Kohls - Kingston</v>
      </c>
      <c r="B19" s="31" t="str">
        <v>NY</v>
      </c>
      <c r="C19" s="11">
        <v>5082</v>
      </c>
      <c r="D19" s="18">
        <v>5015</v>
      </c>
      <c r="E19" s="18">
        <f t="shared" si="6"/>
        <v>67</v>
      </c>
      <c r="F19" s="19">
        <f t="shared" si="0"/>
        <v>1.3359920239282154E-2</v>
      </c>
      <c r="G19" s="20">
        <v>22069.03</v>
      </c>
      <c r="H19" s="20">
        <f t="shared" si="8"/>
        <v>-16987.03</v>
      </c>
      <c r="I19" s="19">
        <f t="shared" si="5"/>
        <v>-0.7697225478419305</v>
      </c>
      <c r="J19" s="58" t="s">
        <v>51</v>
      </c>
      <c r="K19" s="87" t="s">
        <v>52</v>
      </c>
      <c r="L19" s="54" t="s">
        <v>53</v>
      </c>
    </row>
    <row r="20" spans="1:15" ht="15.6">
      <c r="A20" s="28" t="str">
        <v>Kohls - Mechanicsburg</v>
      </c>
      <c r="B20" s="29" t="str">
        <v>PA</v>
      </c>
      <c r="C20" s="24">
        <v>13803</v>
      </c>
      <c r="D20" s="13">
        <v>13468</v>
      </c>
      <c r="E20" s="13">
        <f t="shared" si="6"/>
        <v>335</v>
      </c>
      <c r="F20" s="14">
        <f t="shared" si="0"/>
        <v>2.4873774873774873E-2</v>
      </c>
      <c r="G20" s="15">
        <v>21317.040000000001</v>
      </c>
      <c r="H20" s="15">
        <f t="shared" si="8"/>
        <v>-7514.0400000000009</v>
      </c>
      <c r="I20" s="16">
        <f t="shared" si="5"/>
        <v>-0.35248983911462384</v>
      </c>
      <c r="J20" s="56" t="s">
        <v>43</v>
      </c>
      <c r="K20" s="56"/>
      <c r="L20" s="86"/>
    </row>
    <row r="21" spans="1:15" ht="15.6">
      <c r="A21" s="30" t="str">
        <v>Kohls - Middletown</v>
      </c>
      <c r="B21" s="31" t="str">
        <v>NJ</v>
      </c>
      <c r="C21" s="11">
        <v>18759</v>
      </c>
      <c r="D21" s="18">
        <v>18144</v>
      </c>
      <c r="E21" s="18">
        <f t="shared" si="6"/>
        <v>615</v>
      </c>
      <c r="F21" s="19">
        <f t="shared" si="0"/>
        <v>3.3895502645502645E-2</v>
      </c>
      <c r="G21" s="20">
        <v>29222.37</v>
      </c>
      <c r="H21" s="20">
        <f t="shared" si="8"/>
        <v>-10463.369999999999</v>
      </c>
      <c r="I21" s="19">
        <f t="shared" si="5"/>
        <v>-0.35806028053166117</v>
      </c>
      <c r="J21" s="54" t="s">
        <v>43</v>
      </c>
      <c r="K21" s="57"/>
      <c r="L21" s="57"/>
    </row>
    <row r="22" spans="1:15" ht="46.5" customHeight="1">
      <c r="A22" s="28" t="str">
        <v>Kohls - North Amherst</v>
      </c>
      <c r="B22" s="29" t="str">
        <v>NY</v>
      </c>
      <c r="C22" s="24">
        <v>2216</v>
      </c>
      <c r="D22" s="13">
        <v>2114</v>
      </c>
      <c r="E22" s="13">
        <f t="shared" si="6"/>
        <v>102</v>
      </c>
      <c r="F22" s="14">
        <f t="shared" si="0"/>
        <v>4.8249763481551564E-2</v>
      </c>
      <c r="G22" s="15">
        <v>6434.12</v>
      </c>
      <c r="H22" s="15">
        <f t="shared" si="8"/>
        <v>-4218.12</v>
      </c>
      <c r="I22" s="16">
        <f t="shared" si="5"/>
        <v>-0.65558615630420325</v>
      </c>
      <c r="J22" s="56" t="s">
        <v>54</v>
      </c>
      <c r="K22" s="91" t="s">
        <v>55</v>
      </c>
      <c r="L22" s="86" t="s">
        <v>39</v>
      </c>
    </row>
    <row r="23" spans="1:15" ht="46.9">
      <c r="A23" s="30" t="str">
        <v>Kohls - Staten Island</v>
      </c>
      <c r="B23" s="31" t="str">
        <v>NY</v>
      </c>
      <c r="C23" s="11">
        <v>7744</v>
      </c>
      <c r="D23" s="18">
        <v>0</v>
      </c>
      <c r="E23" s="18">
        <f t="shared" si="6"/>
        <v>7744</v>
      </c>
      <c r="F23" s="19" t="str">
        <f t="shared" si="0"/>
        <v/>
      </c>
      <c r="G23" s="20">
        <v>15260.77</v>
      </c>
      <c r="H23" s="20">
        <f t="shared" si="8"/>
        <v>-7516.77</v>
      </c>
      <c r="I23" s="19">
        <f t="shared" si="5"/>
        <v>-0.49255509387796292</v>
      </c>
      <c r="J23" s="53" t="s">
        <v>56</v>
      </c>
      <c r="K23" s="90" t="s">
        <v>57</v>
      </c>
      <c r="L23" s="57" t="s">
        <v>58</v>
      </c>
      <c r="M23" s="98" t="s">
        <v>59</v>
      </c>
      <c r="N23" s="98" t="s">
        <v>60</v>
      </c>
      <c r="O23" s="98"/>
    </row>
    <row r="24" spans="1:15" ht="28.9">
      <c r="A24" s="28" t="str">
        <v>Kohls - Warminster</v>
      </c>
      <c r="B24" s="29" t="str">
        <v>PA</v>
      </c>
      <c r="C24" s="24">
        <v>11746</v>
      </c>
      <c r="D24" s="13">
        <v>11528</v>
      </c>
      <c r="E24" s="13">
        <f t="shared" si="6"/>
        <v>218</v>
      </c>
      <c r="F24" s="14">
        <f t="shared" si="0"/>
        <v>1.8910478834142957E-2</v>
      </c>
      <c r="G24" s="15">
        <v>19268.71</v>
      </c>
      <c r="H24" s="15">
        <f t="shared" si="8"/>
        <v>-7522.7099999999991</v>
      </c>
      <c r="I24" s="16">
        <f t="shared" si="5"/>
        <v>-0.39041067097901205</v>
      </c>
      <c r="J24" s="56" t="s">
        <v>61</v>
      </c>
      <c r="K24" s="56"/>
      <c r="L24" s="86"/>
    </row>
    <row r="25" spans="1:15" ht="43.15">
      <c r="A25" s="30" t="str">
        <v xml:space="preserve">Kohls - Waterbury </v>
      </c>
      <c r="B25" s="31" t="str">
        <v>CT</v>
      </c>
      <c r="C25" s="11">
        <v>6175</v>
      </c>
      <c r="D25" s="18">
        <v>6085</v>
      </c>
      <c r="E25" s="18">
        <f t="shared" si="6"/>
        <v>90</v>
      </c>
      <c r="F25" s="19">
        <f t="shared" si="0"/>
        <v>1.4790468364831553E-2</v>
      </c>
      <c r="G25" s="20">
        <v>15189.49</v>
      </c>
      <c r="H25" s="20">
        <f t="shared" si="8"/>
        <v>-9014.49</v>
      </c>
      <c r="I25" s="19">
        <f t="shared" si="5"/>
        <v>-0.59346890514428063</v>
      </c>
      <c r="J25" s="42" t="s">
        <v>62</v>
      </c>
      <c r="K25" s="60"/>
      <c r="L25" s="57"/>
    </row>
    <row r="26" spans="1:15" ht="15.6">
      <c r="A26" s="28" t="str">
        <v>Mojave Water Agency - Headquarters</v>
      </c>
      <c r="B26" s="29" t="str">
        <v>CA</v>
      </c>
      <c r="C26" s="24">
        <v>26259</v>
      </c>
      <c r="D26" s="13">
        <v>26144</v>
      </c>
      <c r="E26" s="13">
        <f t="shared" ref="E26:E69" si="9">IF(AND(ISNUMBER(C26),ISNUMBER(D26)), C26-D26, "")</f>
        <v>115</v>
      </c>
      <c r="F26" s="14">
        <f t="shared" ref="F26:F68" si="10">IFERROR(E26/D26, "")</f>
        <v>4.3987148102815178E-3</v>
      </c>
      <c r="G26" s="15">
        <v>25672.5</v>
      </c>
      <c r="H26" s="15">
        <f t="shared" ref="H26:H69" si="11">IF(AND(ISNUMBER(C26),ISNUMBER(G26)), C26-G26, "")</f>
        <v>586.5</v>
      </c>
      <c r="I26" s="16">
        <f t="shared" si="5"/>
        <v>2.2845457201285422E-2</v>
      </c>
      <c r="J26" s="56"/>
      <c r="K26" s="56"/>
      <c r="L26" s="86"/>
    </row>
    <row r="27" spans="1:15" ht="15.6">
      <c r="A27" s="30" t="str">
        <v>CSU - Bakersfield</v>
      </c>
      <c r="B27" s="31" t="str">
        <v>CA</v>
      </c>
      <c r="C27" s="11">
        <v>61123</v>
      </c>
      <c r="D27" s="18">
        <v>60461</v>
      </c>
      <c r="E27" s="18">
        <f t="shared" si="9"/>
        <v>662</v>
      </c>
      <c r="F27" s="19">
        <f t="shared" si="10"/>
        <v>1.0949206926779247E-2</v>
      </c>
      <c r="G27" s="20">
        <v>60206.76</v>
      </c>
      <c r="H27" s="20">
        <f t="shared" si="11"/>
        <v>916.23999999999796</v>
      </c>
      <c r="I27" s="19">
        <f t="shared" si="5"/>
        <v>1.5218224664472859E-2</v>
      </c>
      <c r="J27" s="42"/>
      <c r="K27" s="43"/>
      <c r="L27" s="57"/>
    </row>
    <row r="28" spans="1:15" ht="15.6">
      <c r="A28" s="28" t="str">
        <v>Greenfield USD - Fairfield ES</v>
      </c>
      <c r="B28" s="29" t="str">
        <v>CA</v>
      </c>
      <c r="C28" s="24">
        <v>6362</v>
      </c>
      <c r="D28" s="13">
        <v>6298</v>
      </c>
      <c r="E28" s="13">
        <f t="shared" si="9"/>
        <v>64</v>
      </c>
      <c r="F28" s="14">
        <f t="shared" si="10"/>
        <v>1.0161956176563989E-2</v>
      </c>
      <c r="G28" s="15">
        <v>6700.67</v>
      </c>
      <c r="H28" s="15">
        <f t="shared" si="11"/>
        <v>-338.67000000000007</v>
      </c>
      <c r="I28" s="16">
        <f t="shared" si="5"/>
        <v>-5.0542706923337524E-2</v>
      </c>
      <c r="J28" s="56"/>
      <c r="K28" s="56"/>
      <c r="L28" s="86"/>
    </row>
    <row r="29" spans="1:15" ht="15.6">
      <c r="A29" s="30" t="str">
        <v>Greenfield USD - Granite Point ES</v>
      </c>
      <c r="B29" s="31" t="str">
        <v>CA</v>
      </c>
      <c r="C29" s="11">
        <v>20053</v>
      </c>
      <c r="D29" s="18">
        <v>19951</v>
      </c>
      <c r="E29" s="18">
        <f t="shared" si="9"/>
        <v>102</v>
      </c>
      <c r="F29" s="19">
        <f t="shared" si="10"/>
        <v>5.1125256879354418E-3</v>
      </c>
      <c r="G29" s="20">
        <v>17528.38</v>
      </c>
      <c r="H29" s="20">
        <f t="shared" si="11"/>
        <v>2524.619999999999</v>
      </c>
      <c r="I29" s="19">
        <f t="shared" si="5"/>
        <v>0.14403042380413927</v>
      </c>
      <c r="J29" s="102" t="s">
        <v>63</v>
      </c>
      <c r="K29" s="90" t="s">
        <v>64</v>
      </c>
      <c r="L29" s="57" t="s">
        <v>31</v>
      </c>
    </row>
    <row r="30" spans="1:15" ht="72">
      <c r="A30" s="28" t="str">
        <v>Greenfield USD - Greenfield MS</v>
      </c>
      <c r="B30" s="29" t="str">
        <v>CA</v>
      </c>
      <c r="C30" s="24">
        <v>8745</v>
      </c>
      <c r="D30" s="13">
        <v>8723</v>
      </c>
      <c r="E30" s="13">
        <f t="shared" si="9"/>
        <v>22</v>
      </c>
      <c r="F30" s="14">
        <f t="shared" si="10"/>
        <v>2.5220680958385876E-3</v>
      </c>
      <c r="G30" s="15">
        <v>12096.14</v>
      </c>
      <c r="H30" s="15">
        <f t="shared" si="11"/>
        <v>-3351.1399999999994</v>
      </c>
      <c r="I30" s="16">
        <f t="shared" si="5"/>
        <v>-0.27704209772704347</v>
      </c>
      <c r="J30" s="132" t="s">
        <v>65</v>
      </c>
      <c r="K30" s="56"/>
      <c r="L30" s="86"/>
    </row>
    <row r="31" spans="1:15" ht="72">
      <c r="A31" s="30" t="str">
        <v>Greenfield USD - Horizon ES</v>
      </c>
      <c r="B31" s="31" t="str">
        <v>CA</v>
      </c>
      <c r="C31" s="11">
        <v>19976</v>
      </c>
      <c r="D31" s="18">
        <v>19760</v>
      </c>
      <c r="E31" s="18">
        <f>IF(AND(ISNUMBER(C31),ISNUMBER(D31)), C31-D31, "")</f>
        <v>216</v>
      </c>
      <c r="F31" s="19">
        <f t="shared" si="10"/>
        <v>1.0931174089068825E-2</v>
      </c>
      <c r="G31" s="20">
        <v>17758.169999999998</v>
      </c>
      <c r="H31" s="20">
        <f t="shared" si="11"/>
        <v>2217.8300000000017</v>
      </c>
      <c r="I31" s="19">
        <f t="shared" si="5"/>
        <v>0.12489068411891552</v>
      </c>
      <c r="J31" s="54" t="s">
        <v>65</v>
      </c>
      <c r="K31" s="57"/>
      <c r="L31" s="57"/>
    </row>
    <row r="32" spans="1:15" ht="28.9">
      <c r="A32" s="28" t="str">
        <v>Greenfield USD - McKee MS</v>
      </c>
      <c r="B32" s="29" t="str">
        <v>CA</v>
      </c>
      <c r="C32" s="24">
        <v>5085</v>
      </c>
      <c r="D32" s="13">
        <v>3700</v>
      </c>
      <c r="E32" s="13">
        <f>IF(AND(ISNUMBER(C32),ISNUMBER(D32)), C32-D32, "")</f>
        <v>1385</v>
      </c>
      <c r="F32" s="14">
        <f>IFERROR(E32/D32, "")</f>
        <v>0.37432432432432433</v>
      </c>
      <c r="G32" s="15">
        <v>10873.66</v>
      </c>
      <c r="H32" s="15">
        <f t="shared" si="11"/>
        <v>-5788.66</v>
      </c>
      <c r="I32" s="16">
        <f t="shared" si="5"/>
        <v>-0.53235617078334252</v>
      </c>
      <c r="J32" s="56" t="s">
        <v>66</v>
      </c>
      <c r="K32" s="91" t="s">
        <v>67</v>
      </c>
      <c r="L32" s="86" t="s">
        <v>39</v>
      </c>
    </row>
    <row r="33" spans="1:19" ht="31.15">
      <c r="A33" s="30" t="str">
        <v>Greenfield USD - Plantation ES</v>
      </c>
      <c r="B33" s="31" t="str">
        <v>CA</v>
      </c>
      <c r="C33" s="11">
        <v>8003</v>
      </c>
      <c r="D33" s="18">
        <v>7982</v>
      </c>
      <c r="E33" s="18">
        <f>IF(AND(ISNUMBER(C33),ISNUMBER(D33)), C33-D33, "")</f>
        <v>21</v>
      </c>
      <c r="F33" s="19">
        <f>IFERROR(E33/D33, "")</f>
        <v>2.6309195690303183E-3</v>
      </c>
      <c r="G33" s="20">
        <v>7785.28</v>
      </c>
      <c r="H33" s="20">
        <f t="shared" si="11"/>
        <v>217.72000000000025</v>
      </c>
      <c r="I33" s="19">
        <f t="shared" si="5"/>
        <v>2.7965596613095518E-2</v>
      </c>
      <c r="J33" s="53" t="s">
        <v>68</v>
      </c>
      <c r="K33" s="87" t="s">
        <v>69</v>
      </c>
      <c r="L33" s="57" t="s">
        <v>70</v>
      </c>
    </row>
    <row r="34" spans="1:19" ht="15.6">
      <c r="A34" s="28" t="str">
        <v>Greenfield USD - Planz ES</v>
      </c>
      <c r="B34" s="29" t="str">
        <v>CA</v>
      </c>
      <c r="C34" s="24">
        <v>8297</v>
      </c>
      <c r="D34" s="13">
        <v>8233</v>
      </c>
      <c r="E34" s="13">
        <f t="shared" si="9"/>
        <v>64</v>
      </c>
      <c r="F34" s="14">
        <f t="shared" si="10"/>
        <v>7.7735940726345199E-3</v>
      </c>
      <c r="G34" s="15">
        <v>8649.2900000000009</v>
      </c>
      <c r="H34" s="15">
        <f t="shared" si="11"/>
        <v>-352.29000000000087</v>
      </c>
      <c r="I34" s="16">
        <f t="shared" si="5"/>
        <v>-4.0730510828056503E-2</v>
      </c>
      <c r="J34" s="56"/>
      <c r="K34" s="56"/>
      <c r="L34" s="86"/>
    </row>
    <row r="35" spans="1:19" ht="57.6">
      <c r="A35" s="30" t="str">
        <v>Greenfield USD - Raffaello Palla ES</v>
      </c>
      <c r="B35" s="31" t="str">
        <v>CA</v>
      </c>
      <c r="C35" s="11">
        <v>17711</v>
      </c>
      <c r="D35" s="18">
        <v>17200</v>
      </c>
      <c r="E35" s="18">
        <f t="shared" si="9"/>
        <v>511</v>
      </c>
      <c r="F35" s="19">
        <f t="shared" si="10"/>
        <v>2.9709302325581395E-2</v>
      </c>
      <c r="G35" s="20">
        <v>19651.64</v>
      </c>
      <c r="H35" s="20">
        <f t="shared" si="11"/>
        <v>-1940.6399999999994</v>
      </c>
      <c r="I35" s="19">
        <f t="shared" si="5"/>
        <v>-9.8752063441015586E-2</v>
      </c>
      <c r="J35" s="42" t="s">
        <v>71</v>
      </c>
      <c r="K35" s="92" t="s">
        <v>72</v>
      </c>
      <c r="L35" s="57" t="s">
        <v>73</v>
      </c>
      <c r="M35" s="98" t="s">
        <v>74</v>
      </c>
      <c r="N35" s="98" t="s">
        <v>75</v>
      </c>
    </row>
    <row r="36" spans="1:19" ht="100.9">
      <c r="A36" s="28" t="str">
        <v>Greenfield USD - Valle Verde ES</v>
      </c>
      <c r="B36" s="29" t="str">
        <v>CA</v>
      </c>
      <c r="C36" s="24">
        <v>11095</v>
      </c>
      <c r="D36" s="13">
        <v>11046</v>
      </c>
      <c r="E36" s="13">
        <f t="shared" si="9"/>
        <v>49</v>
      </c>
      <c r="F36" s="14">
        <f t="shared" si="10"/>
        <v>4.4359949302915083E-3</v>
      </c>
      <c r="G36" s="15">
        <v>18530.259999999998</v>
      </c>
      <c r="H36" s="15">
        <f t="shared" si="11"/>
        <v>-7435.2599999999984</v>
      </c>
      <c r="I36" s="16">
        <f t="shared" si="5"/>
        <v>-0.40124963168352734</v>
      </c>
      <c r="J36" s="56" t="s">
        <v>76</v>
      </c>
      <c r="K36" s="91" t="s">
        <v>77</v>
      </c>
      <c r="L36" s="86" t="s">
        <v>78</v>
      </c>
    </row>
    <row r="37" spans="1:19" ht="28.9">
      <c r="A37" s="30" t="str">
        <v>Greenfield USD - W.A. Kendrick ES</v>
      </c>
      <c r="B37" s="31" t="str">
        <v>CA</v>
      </c>
      <c r="C37" s="11">
        <v>7387</v>
      </c>
      <c r="D37" s="18">
        <v>0</v>
      </c>
      <c r="E37" s="18">
        <f t="shared" si="9"/>
        <v>7387</v>
      </c>
      <c r="F37" s="19" t="str">
        <f t="shared" si="10"/>
        <v/>
      </c>
      <c r="G37" s="20">
        <v>7151.06</v>
      </c>
      <c r="H37" s="20">
        <f t="shared" si="11"/>
        <v>235.9399999999996</v>
      </c>
      <c r="I37" s="19">
        <f t="shared" si="5"/>
        <v>3.2993710023409062E-2</v>
      </c>
      <c r="J37" s="42" t="s">
        <v>79</v>
      </c>
      <c r="K37" s="87" t="s">
        <v>80</v>
      </c>
      <c r="L37" s="57" t="s">
        <v>39</v>
      </c>
    </row>
    <row r="38" spans="1:19" ht="28.9">
      <c r="A38" s="28" t="str">
        <v>Muroc Joint USD - Boron HS</v>
      </c>
      <c r="B38" s="29" t="str">
        <v>CA</v>
      </c>
      <c r="C38" s="24">
        <v>0</v>
      </c>
      <c r="D38" s="13">
        <v>0</v>
      </c>
      <c r="E38" s="13">
        <f t="shared" si="9"/>
        <v>0</v>
      </c>
      <c r="F38" s="14" t="str">
        <f t="shared" si="10"/>
        <v/>
      </c>
      <c r="G38" s="15">
        <v>23447.83</v>
      </c>
      <c r="H38" s="15">
        <f t="shared" si="11"/>
        <v>-23447.83</v>
      </c>
      <c r="I38" s="16">
        <f t="shared" si="5"/>
        <v>-1</v>
      </c>
      <c r="J38" s="56" t="s">
        <v>81</v>
      </c>
      <c r="K38" s="91" t="s">
        <v>82</v>
      </c>
      <c r="L38" s="86" t="s">
        <v>39</v>
      </c>
      <c r="N38" s="98"/>
    </row>
    <row r="39" spans="1:19" ht="72">
      <c r="A39" s="30" t="str">
        <v>Muroc Joint USD - W. Boron ES</v>
      </c>
      <c r="B39" s="31" t="str">
        <v>CA</v>
      </c>
      <c r="C39" s="11">
        <v>7080</v>
      </c>
      <c r="D39" s="18">
        <v>7052</v>
      </c>
      <c r="E39" s="18">
        <f t="shared" si="9"/>
        <v>28</v>
      </c>
      <c r="F39" s="19">
        <f t="shared" si="10"/>
        <v>3.9705048213272828E-3</v>
      </c>
      <c r="G39" s="20">
        <v>8694.49</v>
      </c>
      <c r="H39" s="20">
        <f>IF(AND(ISNUMBER(C39),ISNUMBER(G39)), C39-G39, "")</f>
        <v>-1614.4899999999998</v>
      </c>
      <c r="I39" s="19">
        <f>IFERROR(H39/G39, "")</f>
        <v>-0.18569116762455301</v>
      </c>
      <c r="J39" s="42" t="s">
        <v>65</v>
      </c>
      <c r="K39" s="43"/>
      <c r="L39" s="57"/>
    </row>
    <row r="40" spans="1:19" ht="84.75" customHeight="1">
      <c r="A40" s="28" t="str">
        <v>Colusa - WTP</v>
      </c>
      <c r="B40" s="29" t="str">
        <v>CA</v>
      </c>
      <c r="C40" s="24">
        <v>14057</v>
      </c>
      <c r="D40" s="13">
        <v>0</v>
      </c>
      <c r="E40" s="13">
        <f t="shared" si="9"/>
        <v>14057</v>
      </c>
      <c r="F40" s="14" t="str">
        <f t="shared" si="10"/>
        <v/>
      </c>
      <c r="G40" s="131" t="s">
        <v>83</v>
      </c>
      <c r="H40" s="15" t="str">
        <f>IF(AND(ISNUMBER(C40),ISNUMBER(G40)), C40-G40, "")</f>
        <v/>
      </c>
      <c r="I40" s="16" t="str">
        <f>IFERROR(H40/G40, "")</f>
        <v/>
      </c>
      <c r="J40" s="56" t="s">
        <v>84</v>
      </c>
      <c r="K40" s="91" t="s">
        <v>85</v>
      </c>
      <c r="L40" s="86" t="s">
        <v>86</v>
      </c>
      <c r="M40" s="98" t="s">
        <v>87</v>
      </c>
      <c r="N40" s="98" t="s">
        <v>88</v>
      </c>
      <c r="O40" s="98"/>
    </row>
    <row r="41" spans="1:19" ht="43.15">
      <c r="A41" s="30" t="str">
        <v>CDCR-North Kern State Prision</v>
      </c>
      <c r="B41" s="31" t="str">
        <v>CA</v>
      </c>
      <c r="C41" s="11">
        <v>62226</v>
      </c>
      <c r="D41" s="18">
        <v>61499</v>
      </c>
      <c r="E41" s="18">
        <f t="shared" si="9"/>
        <v>727</v>
      </c>
      <c r="F41" s="19">
        <f t="shared" si="10"/>
        <v>1.1821330428137043E-2</v>
      </c>
      <c r="G41" s="20">
        <v>79757.61</v>
      </c>
      <c r="H41" s="20">
        <f>IF(AND(ISNUMBER(C41),ISNUMBER(G41)), C41-G41, "")</f>
        <v>-17531.61</v>
      </c>
      <c r="I41" s="19">
        <f>IFERROR(H41/G41, "")</f>
        <v>-0.21981112523306554</v>
      </c>
      <c r="J41" s="42" t="s">
        <v>89</v>
      </c>
      <c r="K41" s="92" t="s">
        <v>90</v>
      </c>
      <c r="L41" s="57" t="s">
        <v>91</v>
      </c>
    </row>
    <row r="42" spans="1:19" ht="72">
      <c r="A42" s="28" t="str">
        <v>Muroc Joint USD - District Office</v>
      </c>
      <c r="B42" s="29" t="str">
        <v>CA</v>
      </c>
      <c r="C42" s="24">
        <v>7120</v>
      </c>
      <c r="D42" s="13">
        <v>7105</v>
      </c>
      <c r="E42" s="13">
        <f t="shared" si="9"/>
        <v>15</v>
      </c>
      <c r="F42" s="14">
        <f t="shared" si="10"/>
        <v>2.11118930330753E-3</v>
      </c>
      <c r="G42" s="15">
        <v>6135.9</v>
      </c>
      <c r="H42" s="15">
        <f t="shared" si="11"/>
        <v>984.10000000000036</v>
      </c>
      <c r="I42" s="16">
        <f t="shared" si="5"/>
        <v>0.16038396975178873</v>
      </c>
      <c r="J42" s="86" t="s">
        <v>65</v>
      </c>
      <c r="K42" s="56"/>
      <c r="L42" s="86"/>
    </row>
    <row r="43" spans="1:19" ht="79.150000000000006">
      <c r="A43" s="30" t="str">
        <v>Whole Foods - Manhattan Beach</v>
      </c>
      <c r="B43" s="31" t="str">
        <v>CA</v>
      </c>
      <c r="C43" s="11">
        <v>13065</v>
      </c>
      <c r="D43" s="18">
        <v>13027</v>
      </c>
      <c r="E43" s="18">
        <f t="shared" si="9"/>
        <v>38</v>
      </c>
      <c r="F43" s="19">
        <f t="shared" si="10"/>
        <v>2.9170185000383817E-3</v>
      </c>
      <c r="G43" s="20">
        <v>13690.88</v>
      </c>
      <c r="H43" s="20">
        <f t="shared" si="11"/>
        <v>-625.8799999999992</v>
      </c>
      <c r="I43" s="19">
        <f t="shared" si="5"/>
        <v>-4.5715103777112881E-2</v>
      </c>
      <c r="J43" s="54" t="s">
        <v>92</v>
      </c>
      <c r="K43" s="90" t="s">
        <v>93</v>
      </c>
      <c r="L43" s="54" t="s">
        <v>94</v>
      </c>
      <c r="M43" s="98" t="s">
        <v>95</v>
      </c>
      <c r="N43" s="98" t="s">
        <v>96</v>
      </c>
      <c r="O43" s="98" t="s">
        <v>97</v>
      </c>
      <c r="P43" s="98" t="s">
        <v>98</v>
      </c>
      <c r="Q43" s="98" t="s">
        <v>99</v>
      </c>
      <c r="R43" s="98" t="s">
        <v>97</v>
      </c>
      <c r="S43" s="89" t="s">
        <v>100</v>
      </c>
    </row>
    <row r="44" spans="1:19" ht="47.25" customHeight="1">
      <c r="A44" s="28" t="str">
        <v>Pioneer USD - Frontier ES</v>
      </c>
      <c r="B44" s="29" t="str">
        <v>CA</v>
      </c>
      <c r="C44" s="24">
        <v>2844</v>
      </c>
      <c r="D44" s="13">
        <v>0</v>
      </c>
      <c r="E44" s="13">
        <f t="shared" si="9"/>
        <v>2844</v>
      </c>
      <c r="F44" s="14" t="str">
        <f t="shared" si="10"/>
        <v/>
      </c>
      <c r="G44" s="15">
        <v>11753.84</v>
      </c>
      <c r="H44" s="15">
        <f t="shared" si="11"/>
        <v>-8909.84</v>
      </c>
      <c r="I44" s="16">
        <f t="shared" si="5"/>
        <v>-0.75803652253221077</v>
      </c>
      <c r="J44" s="56" t="s">
        <v>101</v>
      </c>
      <c r="K44" s="91" t="s">
        <v>102</v>
      </c>
      <c r="L44" s="86" t="s">
        <v>103</v>
      </c>
      <c r="M44" s="98" t="s">
        <v>104</v>
      </c>
    </row>
    <row r="45" spans="1:19" ht="15.6">
      <c r="A45" s="30" t="str">
        <v>Pioneer USD - Pioneer ES</v>
      </c>
      <c r="B45" s="31" t="str">
        <v>CA</v>
      </c>
      <c r="C45" s="11">
        <v>12485</v>
      </c>
      <c r="D45" s="18">
        <v>0</v>
      </c>
      <c r="E45" s="18">
        <f t="shared" si="9"/>
        <v>12485</v>
      </c>
      <c r="F45" s="19" t="str">
        <f t="shared" si="10"/>
        <v/>
      </c>
      <c r="G45" s="20">
        <v>11589.4</v>
      </c>
      <c r="H45" s="20">
        <f t="shared" si="11"/>
        <v>895.60000000000036</v>
      </c>
      <c r="I45" s="19">
        <f t="shared" si="5"/>
        <v>7.7277512209432797E-2</v>
      </c>
      <c r="J45" s="42" t="s">
        <v>105</v>
      </c>
      <c r="K45" s="90" t="s">
        <v>106</v>
      </c>
      <c r="L45" s="57" t="s">
        <v>78</v>
      </c>
      <c r="N45" s="98"/>
      <c r="O45" s="98"/>
    </row>
    <row r="46" spans="1:19" ht="15.6">
      <c r="A46" s="28" t="str">
        <v>Pioneer USD - Pioneer MS</v>
      </c>
      <c r="B46" s="29" t="str">
        <v>CA</v>
      </c>
      <c r="C46" s="24">
        <v>20024</v>
      </c>
      <c r="D46" s="13">
        <v>0</v>
      </c>
      <c r="E46" s="13">
        <f t="shared" si="9"/>
        <v>20024</v>
      </c>
      <c r="F46" s="14" t="str">
        <f t="shared" si="10"/>
        <v/>
      </c>
      <c r="G46" s="15">
        <v>15741.5</v>
      </c>
      <c r="H46" s="15">
        <f t="shared" si="11"/>
        <v>4282.5</v>
      </c>
      <c r="I46" s="16">
        <f t="shared" si="5"/>
        <v>0.27205158339421276</v>
      </c>
      <c r="J46" s="56"/>
      <c r="K46" s="56"/>
      <c r="L46" s="86"/>
    </row>
    <row r="47" spans="1:19" ht="99.75" customHeight="1">
      <c r="A47" s="30" t="str">
        <v>Kingsburg Joint UHSD - Kingsburg HS</v>
      </c>
      <c r="B47" s="31" t="str">
        <v>CA</v>
      </c>
      <c r="C47" s="11">
        <v>43493</v>
      </c>
      <c r="D47" s="18">
        <v>0</v>
      </c>
      <c r="E47" s="18">
        <f t="shared" si="9"/>
        <v>43493</v>
      </c>
      <c r="F47" s="19" t="str">
        <f t="shared" si="10"/>
        <v/>
      </c>
      <c r="G47" s="20">
        <v>35400.980000000003</v>
      </c>
      <c r="H47" s="20">
        <f t="shared" si="11"/>
        <v>8092.0199999999968</v>
      </c>
      <c r="I47" s="19">
        <f t="shared" si="5"/>
        <v>0.22858180762227476</v>
      </c>
      <c r="J47" s="54" t="s">
        <v>107</v>
      </c>
      <c r="K47" s="90" t="s">
        <v>108</v>
      </c>
      <c r="L47" s="57" t="s">
        <v>109</v>
      </c>
      <c r="M47" s="98" t="s">
        <v>110</v>
      </c>
      <c r="N47" s="98"/>
    </row>
    <row r="48" spans="1:19" ht="108" customHeight="1">
      <c r="A48" s="28" t="str">
        <v>CADRB</v>
      </c>
      <c r="B48" s="29" t="str">
        <v>CA</v>
      </c>
      <c r="C48" s="24">
        <v>182200</v>
      </c>
      <c r="D48" s="13">
        <v>0</v>
      </c>
      <c r="E48" s="13">
        <f t="shared" si="9"/>
        <v>182200</v>
      </c>
      <c r="F48" s="14" t="str">
        <f t="shared" si="10"/>
        <v/>
      </c>
      <c r="G48" s="15">
        <v>404452</v>
      </c>
      <c r="H48" s="15">
        <f t="shared" si="11"/>
        <v>-222252</v>
      </c>
      <c r="I48" s="16">
        <f t="shared" si="5"/>
        <v>-0.54951391017969997</v>
      </c>
      <c r="J48" s="56" t="s">
        <v>111</v>
      </c>
      <c r="K48" s="91" t="s">
        <v>112</v>
      </c>
      <c r="L48" s="86" t="s">
        <v>113</v>
      </c>
      <c r="M48" s="98" t="s">
        <v>114</v>
      </c>
      <c r="N48" s="98" t="s">
        <v>115</v>
      </c>
      <c r="O48" s="98" t="s">
        <v>116</v>
      </c>
    </row>
    <row r="49" spans="1:15" ht="31.15">
      <c r="A49" s="30" t="str">
        <v>CDCR-CA State Prison LA County</v>
      </c>
      <c r="B49" s="31" t="str">
        <v>CA</v>
      </c>
      <c r="C49" s="11">
        <v>184043</v>
      </c>
      <c r="D49" s="18">
        <v>183347</v>
      </c>
      <c r="E49" s="18">
        <f t="shared" si="9"/>
        <v>696</v>
      </c>
      <c r="F49" s="19">
        <f t="shared" si="10"/>
        <v>3.7960806558056583E-3</v>
      </c>
      <c r="G49" s="20">
        <v>266789.69</v>
      </c>
      <c r="H49" s="20">
        <f t="shared" si="11"/>
        <v>-82746.69</v>
      </c>
      <c r="I49" s="19">
        <f t="shared" si="5"/>
        <v>-0.31015700044480732</v>
      </c>
      <c r="J49" s="42" t="s">
        <v>117</v>
      </c>
      <c r="K49" s="90" t="s">
        <v>118</v>
      </c>
      <c r="L49" s="57" t="s">
        <v>119</v>
      </c>
      <c r="M49" s="98" t="s">
        <v>120</v>
      </c>
    </row>
    <row r="50" spans="1:15" ht="53.25" customHeight="1">
      <c r="A50" s="28" t="str">
        <v>Central USD Akers ES</v>
      </c>
      <c r="B50" s="29" t="str">
        <v>CA</v>
      </c>
      <c r="C50" s="24">
        <v>0</v>
      </c>
      <c r="D50" s="13">
        <v>0</v>
      </c>
      <c r="E50" s="13">
        <f t="shared" si="9"/>
        <v>0</v>
      </c>
      <c r="F50" s="14" t="str">
        <f t="shared" si="10"/>
        <v/>
      </c>
      <c r="G50" s="15">
        <v>0</v>
      </c>
      <c r="H50" s="15">
        <f t="shared" si="11"/>
        <v>0</v>
      </c>
      <c r="I50" s="16" t="str">
        <f t="shared" si="5"/>
        <v/>
      </c>
      <c r="J50" s="41" t="s">
        <v>121</v>
      </c>
      <c r="K50" s="88" t="s">
        <v>122</v>
      </c>
      <c r="L50" s="56" t="s">
        <v>123</v>
      </c>
      <c r="M50" s="98" t="s">
        <v>124</v>
      </c>
      <c r="N50" s="98" t="s">
        <v>125</v>
      </c>
      <c r="O50" s="98" t="s">
        <v>126</v>
      </c>
    </row>
    <row r="51" spans="1:15" ht="28.9">
      <c r="A51" s="30" t="str">
        <v>CUSD - District Office</v>
      </c>
      <c r="B51" s="31" t="str">
        <v>CA</v>
      </c>
      <c r="C51" s="11">
        <v>5231</v>
      </c>
      <c r="D51" s="18">
        <v>5179</v>
      </c>
      <c r="E51" s="18">
        <f t="shared" si="9"/>
        <v>52</v>
      </c>
      <c r="F51" s="19">
        <f t="shared" si="10"/>
        <v>1.004054836841089E-2</v>
      </c>
      <c r="G51" s="20">
        <v>9998.91</v>
      </c>
      <c r="H51" s="20">
        <f t="shared" si="11"/>
        <v>-4767.91</v>
      </c>
      <c r="I51" s="19">
        <f t="shared" si="5"/>
        <v>-0.47684297588437141</v>
      </c>
      <c r="J51" s="42" t="s">
        <v>127</v>
      </c>
      <c r="K51" s="90" t="s">
        <v>128</v>
      </c>
      <c r="L51" s="130" t="s">
        <v>129</v>
      </c>
      <c r="M51" s="98" t="s">
        <v>130</v>
      </c>
    </row>
    <row r="52" spans="1:15" ht="39.75" customHeight="1">
      <c r="A52" s="28" t="str">
        <v>Parlier - WTP</v>
      </c>
      <c r="B52" s="29" t="str">
        <v>CA</v>
      </c>
      <c r="C52" s="24">
        <v>22445</v>
      </c>
      <c r="D52" s="13">
        <v>22289</v>
      </c>
      <c r="E52" s="13">
        <f t="shared" si="9"/>
        <v>156</v>
      </c>
      <c r="F52" s="14">
        <f t="shared" si="10"/>
        <v>6.9989681008569248E-3</v>
      </c>
      <c r="G52" s="15">
        <v>24046.92</v>
      </c>
      <c r="H52" s="15">
        <f t="shared" si="11"/>
        <v>-1601.9199999999983</v>
      </c>
      <c r="I52" s="16">
        <f t="shared" si="5"/>
        <v>-6.6616431543000038E-2</v>
      </c>
      <c r="J52" s="56" t="s">
        <v>131</v>
      </c>
      <c r="K52" s="91" t="s">
        <v>132</v>
      </c>
      <c r="L52" s="76" t="s">
        <v>103</v>
      </c>
      <c r="M52" s="98" t="s">
        <v>133</v>
      </c>
    </row>
    <row r="53" spans="1:15" ht="54" customHeight="1">
      <c r="A53" s="30" t="str">
        <v>Snowline SD - Quail Valley MS</v>
      </c>
      <c r="B53" s="31" t="str">
        <v>CA</v>
      </c>
      <c r="C53" s="11">
        <v>21133</v>
      </c>
      <c r="D53" s="18">
        <v>0</v>
      </c>
      <c r="E53" s="18">
        <f t="shared" si="9"/>
        <v>21133</v>
      </c>
      <c r="F53" s="19" t="str">
        <f t="shared" si="10"/>
        <v/>
      </c>
      <c r="G53" s="20">
        <v>23410.67</v>
      </c>
      <c r="H53" s="20">
        <f t="shared" si="11"/>
        <v>-2277.6699999999983</v>
      </c>
      <c r="I53" s="19">
        <f t="shared" si="5"/>
        <v>-9.729196131507549E-2</v>
      </c>
      <c r="J53" s="130" t="s">
        <v>134</v>
      </c>
      <c r="K53" s="93" t="s">
        <v>135</v>
      </c>
      <c r="L53" s="77" t="s">
        <v>136</v>
      </c>
      <c r="M53" s="98" t="s">
        <v>137</v>
      </c>
      <c r="N53" s="98"/>
    </row>
    <row r="54" spans="1:15" ht="15.6">
      <c r="A54" s="28" t="str">
        <v>Snowline SD - Serrano HS - Middle Lot</v>
      </c>
      <c r="B54" s="29" t="str">
        <v>CA</v>
      </c>
      <c r="C54" s="24">
        <v>28683</v>
      </c>
      <c r="D54" s="13">
        <v>28597</v>
      </c>
      <c r="E54" s="13">
        <f t="shared" si="9"/>
        <v>86</v>
      </c>
      <c r="F54" s="14">
        <f t="shared" si="10"/>
        <v>3.0073084589292585E-3</v>
      </c>
      <c r="G54" s="15">
        <v>26474.09</v>
      </c>
      <c r="H54" s="15">
        <f t="shared" si="11"/>
        <v>2208.91</v>
      </c>
      <c r="I54" s="16">
        <f t="shared" si="5"/>
        <v>8.3436673366298897E-2</v>
      </c>
      <c r="J54" s="56"/>
      <c r="K54" s="56"/>
      <c r="L54" s="86"/>
    </row>
    <row r="55" spans="1:15" ht="15.6">
      <c r="A55" s="30" t="str">
        <v>Snowline SD - Pinon Hills ES</v>
      </c>
      <c r="B55" s="31" t="str">
        <v>CA</v>
      </c>
      <c r="C55" s="11">
        <v>17533</v>
      </c>
      <c r="D55" s="18">
        <v>17486</v>
      </c>
      <c r="E55" s="18">
        <f t="shared" si="9"/>
        <v>47</v>
      </c>
      <c r="F55" s="19">
        <f t="shared" si="10"/>
        <v>2.6878645773761867E-3</v>
      </c>
      <c r="G55" s="20">
        <v>14938.58</v>
      </c>
      <c r="H55" s="20">
        <f t="shared" si="11"/>
        <v>2594.42</v>
      </c>
      <c r="I55" s="19">
        <f t="shared" si="5"/>
        <v>0.17367246418334273</v>
      </c>
      <c r="J55" s="54"/>
      <c r="K55" s="57"/>
      <c r="L55" s="57"/>
    </row>
    <row r="56" spans="1:15" ht="28.9">
      <c r="A56" s="28" t="str">
        <v>Ramona - Santa Maria WTP</v>
      </c>
      <c r="B56" s="29" t="str">
        <v>CA</v>
      </c>
      <c r="C56" s="24">
        <v>48081</v>
      </c>
      <c r="D56" s="13">
        <v>46414</v>
      </c>
      <c r="E56" s="13">
        <f t="shared" si="9"/>
        <v>1667</v>
      </c>
      <c r="F56" s="14">
        <f t="shared" si="10"/>
        <v>3.5915887447752835E-2</v>
      </c>
      <c r="G56" s="15">
        <v>57154.879999999997</v>
      </c>
      <c r="H56" s="15">
        <f t="shared" si="11"/>
        <v>-9073.8799999999974</v>
      </c>
      <c r="I56" s="16">
        <f t="shared" si="5"/>
        <v>-0.15875949700183078</v>
      </c>
      <c r="J56" s="56" t="s">
        <v>138</v>
      </c>
      <c r="K56" s="91" t="s">
        <v>139</v>
      </c>
      <c r="L56" s="86" t="s">
        <v>140</v>
      </c>
    </row>
    <row r="57" spans="1:15" ht="31.15">
      <c r="A57" s="30" t="str">
        <v>Kohls - Redding</v>
      </c>
      <c r="B57" s="31" t="str">
        <v>CA</v>
      </c>
      <c r="C57" s="11">
        <v>15248</v>
      </c>
      <c r="D57" s="18">
        <v>0</v>
      </c>
      <c r="E57" s="18">
        <f t="shared" si="9"/>
        <v>15248</v>
      </c>
      <c r="F57" s="19" t="str">
        <f t="shared" si="10"/>
        <v/>
      </c>
      <c r="G57" s="20">
        <v>12683.27</v>
      </c>
      <c r="H57" s="20">
        <f t="shared" si="11"/>
        <v>2564.7299999999996</v>
      </c>
      <c r="I57" s="19">
        <f t="shared" si="5"/>
        <v>0.20221362471980803</v>
      </c>
      <c r="J57" s="53" t="s">
        <v>141</v>
      </c>
      <c r="K57" s="90" t="s">
        <v>142</v>
      </c>
      <c r="L57" s="57" t="s">
        <v>143</v>
      </c>
      <c r="M57" s="98" t="s">
        <v>144</v>
      </c>
    </row>
    <row r="58" spans="1:15" ht="28.9">
      <c r="A58" s="28" t="str">
        <v>Kohls - Salinas</v>
      </c>
      <c r="B58" s="29" t="str">
        <v>CA</v>
      </c>
      <c r="C58" s="24">
        <v>25871</v>
      </c>
      <c r="D58" s="13">
        <v>25385</v>
      </c>
      <c r="E58" s="13">
        <f t="shared" si="9"/>
        <v>486</v>
      </c>
      <c r="F58" s="14">
        <f t="shared" si="10"/>
        <v>1.9145164467205041E-2</v>
      </c>
      <c r="G58" s="15">
        <v>24168.97</v>
      </c>
      <c r="H58" s="15">
        <f t="shared" si="11"/>
        <v>1702.0299999999988</v>
      </c>
      <c r="I58" s="16">
        <f t="shared" si="5"/>
        <v>7.042211563008266E-2</v>
      </c>
      <c r="J58" s="56" t="s">
        <v>145</v>
      </c>
      <c r="K58" s="91" t="s">
        <v>146</v>
      </c>
      <c r="L58" s="86" t="s">
        <v>147</v>
      </c>
      <c r="N58" s="98"/>
      <c r="O58" s="98"/>
    </row>
    <row r="59" spans="1:15" ht="31.15">
      <c r="A59" s="30" t="str">
        <v>Kohls - Sonora</v>
      </c>
      <c r="B59" s="31" t="str">
        <v>CA</v>
      </c>
      <c r="C59" s="11">
        <v>16236</v>
      </c>
      <c r="D59" s="18">
        <v>16103</v>
      </c>
      <c r="E59" s="18">
        <f t="shared" si="9"/>
        <v>133</v>
      </c>
      <c r="F59" s="19">
        <f t="shared" si="10"/>
        <v>8.2593305595230707E-3</v>
      </c>
      <c r="G59" s="20">
        <v>14564.36</v>
      </c>
      <c r="H59" s="20">
        <f t="shared" si="11"/>
        <v>1671.6399999999994</v>
      </c>
      <c r="I59" s="19">
        <f t="shared" si="5"/>
        <v>0.11477606980327315</v>
      </c>
      <c r="J59" s="42" t="s">
        <v>148</v>
      </c>
      <c r="K59" s="90" t="s">
        <v>149</v>
      </c>
      <c r="L59" s="57" t="s">
        <v>150</v>
      </c>
      <c r="M59" s="98" t="s">
        <v>151</v>
      </c>
    </row>
    <row r="60" spans="1:15" ht="37.9" customHeight="1">
      <c r="A60" s="28" t="str">
        <v>CUSD - Stratford ES</v>
      </c>
      <c r="B60" s="29" t="str">
        <v>CA</v>
      </c>
      <c r="C60" s="24">
        <v>12662</v>
      </c>
      <c r="D60" s="13">
        <v>12560</v>
      </c>
      <c r="E60" s="13">
        <f t="shared" si="9"/>
        <v>102</v>
      </c>
      <c r="F60" s="14">
        <f t="shared" si="10"/>
        <v>8.1210191082802547E-3</v>
      </c>
      <c r="G60" s="15">
        <v>8731.1299999999992</v>
      </c>
      <c r="H60" s="15">
        <f t="shared" si="11"/>
        <v>3930.8700000000008</v>
      </c>
      <c r="I60" s="16">
        <f t="shared" si="5"/>
        <v>0.45021320264387327</v>
      </c>
      <c r="J60" s="56" t="s">
        <v>152</v>
      </c>
      <c r="K60" s="91" t="s">
        <v>153</v>
      </c>
      <c r="L60" s="86" t="s">
        <v>140</v>
      </c>
      <c r="M60" s="98" t="s">
        <v>154</v>
      </c>
      <c r="N60" s="98"/>
    </row>
    <row r="61" spans="1:15" ht="85.5" customHeight="1">
      <c r="A61" s="30" t="str">
        <v>Taft - City Hall</v>
      </c>
      <c r="B61" s="31" t="str">
        <v>CA</v>
      </c>
      <c r="C61" s="11">
        <v>6060.67</v>
      </c>
      <c r="D61" s="18">
        <v>0</v>
      </c>
      <c r="E61" s="18">
        <f t="shared" si="9"/>
        <v>6060.67</v>
      </c>
      <c r="F61" s="19" t="str">
        <f t="shared" si="10"/>
        <v/>
      </c>
      <c r="G61" s="20">
        <v>4111.83</v>
      </c>
      <c r="H61" s="20">
        <f t="shared" si="11"/>
        <v>1948.8400000000001</v>
      </c>
      <c r="I61" s="19">
        <f t="shared" si="5"/>
        <v>0.47395928333613019</v>
      </c>
      <c r="J61" s="42" t="s">
        <v>155</v>
      </c>
      <c r="K61" s="90" t="s">
        <v>156</v>
      </c>
      <c r="L61" s="57" t="s">
        <v>39</v>
      </c>
    </row>
    <row r="62" spans="1:15" ht="57.6">
      <c r="A62" s="28" t="str">
        <v>Taft - Federal Prison</v>
      </c>
      <c r="B62" s="29" t="str">
        <v>CA</v>
      </c>
      <c r="C62" s="24">
        <v>11593</v>
      </c>
      <c r="D62" s="13">
        <v>11541</v>
      </c>
      <c r="E62" s="13">
        <f t="shared" si="9"/>
        <v>52</v>
      </c>
      <c r="F62" s="14">
        <f t="shared" si="10"/>
        <v>4.5056754180746901E-3</v>
      </c>
      <c r="G62" s="15">
        <v>7357.48</v>
      </c>
      <c r="H62" s="15">
        <f t="shared" si="11"/>
        <v>4235.5200000000004</v>
      </c>
      <c r="I62" s="16">
        <f t="shared" si="5"/>
        <v>0.57567536710939082</v>
      </c>
      <c r="J62" s="56" t="s">
        <v>157</v>
      </c>
      <c r="K62" s="56"/>
      <c r="L62" s="86"/>
    </row>
    <row r="63" spans="1:15" ht="57.6">
      <c r="A63" s="30" t="str">
        <v>Taft - Police Department</v>
      </c>
      <c r="B63" s="31" t="str">
        <v>CA</v>
      </c>
      <c r="C63" s="11">
        <v>6662</v>
      </c>
      <c r="D63" s="18">
        <v>6449</v>
      </c>
      <c r="E63" s="18">
        <f t="shared" si="9"/>
        <v>213</v>
      </c>
      <c r="F63" s="19">
        <f t="shared" si="10"/>
        <v>3.3028376492479451E-2</v>
      </c>
      <c r="G63" s="20">
        <v>4732.4799999999996</v>
      </c>
      <c r="H63" s="20">
        <f t="shared" si="11"/>
        <v>1929.5200000000004</v>
      </c>
      <c r="I63" s="19">
        <f t="shared" si="5"/>
        <v>0.40771857461626898</v>
      </c>
      <c r="J63" s="42" t="s">
        <v>157</v>
      </c>
      <c r="K63" s="43"/>
      <c r="L63" s="57"/>
    </row>
    <row r="64" spans="1:15" ht="15.6">
      <c r="A64" s="28" t="str">
        <v>Taft - WTP</v>
      </c>
      <c r="B64" s="29" t="str">
        <v>CA</v>
      </c>
      <c r="C64" s="24">
        <v>50292.800000000003</v>
      </c>
      <c r="D64" s="13">
        <v>37054</v>
      </c>
      <c r="E64" s="13">
        <f t="shared" si="9"/>
        <v>13238.800000000003</v>
      </c>
      <c r="F64" s="14">
        <f t="shared" si="10"/>
        <v>0.35728396394451351</v>
      </c>
      <c r="G64" s="15">
        <v>32415.45</v>
      </c>
      <c r="H64" s="15">
        <f t="shared" si="11"/>
        <v>17877.350000000002</v>
      </c>
      <c r="I64" s="16">
        <f t="shared" si="5"/>
        <v>0.5515070745585825</v>
      </c>
      <c r="J64" s="56" t="s">
        <v>158</v>
      </c>
      <c r="K64" s="91" t="s">
        <v>159</v>
      </c>
      <c r="L64" s="86" t="s">
        <v>39</v>
      </c>
    </row>
    <row r="65" spans="1:14" ht="29.1" customHeight="1">
      <c r="A65" s="30" t="str">
        <v>CDCR - CA Correctional Institution</v>
      </c>
      <c r="B65" s="31" t="str">
        <v>CA</v>
      </c>
      <c r="C65" s="11">
        <v>74538</v>
      </c>
      <c r="D65" s="18">
        <v>73920</v>
      </c>
      <c r="E65" s="18">
        <f t="shared" si="9"/>
        <v>618</v>
      </c>
      <c r="F65" s="19">
        <f t="shared" si="10"/>
        <v>8.3603896103896097E-3</v>
      </c>
      <c r="G65" s="20">
        <v>105328.53</v>
      </c>
      <c r="H65" s="20">
        <f t="shared" si="11"/>
        <v>-30790.53</v>
      </c>
      <c r="I65" s="19">
        <f t="shared" si="5"/>
        <v>-0.29232848877697237</v>
      </c>
      <c r="J65" s="53" t="s">
        <v>160</v>
      </c>
      <c r="K65" s="90" t="s">
        <v>161</v>
      </c>
      <c r="L65" s="57" t="s">
        <v>162</v>
      </c>
    </row>
    <row r="66" spans="1:14" ht="28.9">
      <c r="A66" s="28" t="str">
        <v>CDCR - CA Correctional Institution II</v>
      </c>
      <c r="B66" s="29" t="str">
        <v>CA</v>
      </c>
      <c r="C66" s="24">
        <v>145341</v>
      </c>
      <c r="D66" s="13">
        <v>144585</v>
      </c>
      <c r="E66" s="13">
        <f t="shared" si="9"/>
        <v>756</v>
      </c>
      <c r="F66" s="14">
        <f t="shared" si="10"/>
        <v>5.2287581699346402E-3</v>
      </c>
      <c r="G66" s="131" t="s">
        <v>83</v>
      </c>
      <c r="H66" s="15" t="str">
        <f t="shared" si="11"/>
        <v/>
      </c>
      <c r="I66" s="16" t="str">
        <f t="shared" si="5"/>
        <v/>
      </c>
      <c r="J66" s="56" t="s">
        <v>160</v>
      </c>
      <c r="K66" s="91" t="s">
        <v>163</v>
      </c>
      <c r="L66" s="86" t="s">
        <v>164</v>
      </c>
      <c r="N66" s="98"/>
    </row>
    <row r="67" spans="1:14" ht="45" customHeight="1">
      <c r="A67" s="30" t="str">
        <v>Snowline SD - Vista Verde ES</v>
      </c>
      <c r="B67" s="31" t="str">
        <v>CA</v>
      </c>
      <c r="C67" s="11">
        <v>15353</v>
      </c>
      <c r="D67" s="18">
        <v>12865</v>
      </c>
      <c r="E67" s="18">
        <f t="shared" si="9"/>
        <v>2488</v>
      </c>
      <c r="F67" s="19">
        <f t="shared" si="10"/>
        <v>0.19339292654488924</v>
      </c>
      <c r="G67" s="20">
        <v>16889.580000000002</v>
      </c>
      <c r="H67" s="20">
        <f t="shared" si="11"/>
        <v>-1536.5800000000017</v>
      </c>
      <c r="I67" s="19">
        <f t="shared" si="5"/>
        <v>-9.0977987611296524E-2</v>
      </c>
      <c r="J67" s="53" t="s">
        <v>165</v>
      </c>
      <c r="K67" s="90" t="s">
        <v>166</v>
      </c>
      <c r="L67" s="57" t="s">
        <v>140</v>
      </c>
      <c r="N67" s="98"/>
    </row>
    <row r="68" spans="1:14" ht="28.9">
      <c r="A68" s="28" t="str">
        <v>North Stonington</v>
      </c>
      <c r="B68" s="29" t="str">
        <v>CT</v>
      </c>
      <c r="C68" s="24">
        <v>482520</v>
      </c>
      <c r="D68" s="13" t="s">
        <v>83</v>
      </c>
      <c r="E68" s="13" t="str">
        <f t="shared" si="9"/>
        <v/>
      </c>
      <c r="F68" s="14" t="str">
        <f t="shared" si="10"/>
        <v/>
      </c>
      <c r="G68" s="131" t="s">
        <v>83</v>
      </c>
      <c r="H68" s="15" t="str">
        <f t="shared" si="11"/>
        <v/>
      </c>
      <c r="I68" s="16" t="str">
        <f t="shared" si="5"/>
        <v/>
      </c>
      <c r="J68" s="56" t="s">
        <v>167</v>
      </c>
      <c r="K68" s="91" t="s">
        <v>168</v>
      </c>
      <c r="L68" s="86" t="s">
        <v>169</v>
      </c>
    </row>
    <row r="69" spans="1:14" ht="46.9">
      <c r="A69" s="30" t="str">
        <v>CT: Torrington - 2-298 Rossi Road</v>
      </c>
      <c r="B69" s="31" t="str">
        <v>CT</v>
      </c>
      <c r="C69" s="11">
        <v>555.63</v>
      </c>
      <c r="D69" s="18" t="s">
        <v>83</v>
      </c>
      <c r="E69" s="18" t="str">
        <f t="shared" si="9"/>
        <v/>
      </c>
      <c r="F69" s="19"/>
      <c r="G69" s="113" t="s">
        <v>83</v>
      </c>
      <c r="H69" s="20" t="str">
        <f t="shared" si="11"/>
        <v/>
      </c>
      <c r="I69" s="19" t="str">
        <f t="shared" si="5"/>
        <v/>
      </c>
      <c r="J69" s="53" t="s">
        <v>170</v>
      </c>
      <c r="K69" s="90" t="s">
        <v>171</v>
      </c>
      <c r="L69" s="57" t="s">
        <v>172</v>
      </c>
      <c r="M69" s="98" t="s">
        <v>173</v>
      </c>
      <c r="N69" s="98" t="s">
        <v>174</v>
      </c>
    </row>
    <row r="70" spans="1:14" ht="14.45">
      <c r="A70" s="21"/>
      <c r="B70" s="33"/>
      <c r="C70" s="21"/>
      <c r="D70" s="21"/>
      <c r="E70" s="21"/>
      <c r="F70" s="22"/>
      <c r="G70" s="21"/>
      <c r="H70" s="21"/>
      <c r="I70" s="22"/>
      <c r="J70" s="21"/>
      <c r="K70" s="21"/>
      <c r="L70" s="117"/>
    </row>
    <row r="71" spans="1:14" ht="14.45">
      <c r="A71" s="21"/>
      <c r="B71" s="33"/>
      <c r="C71" s="21"/>
      <c r="D71" s="21"/>
      <c r="E71" s="21"/>
      <c r="F71" s="22"/>
      <c r="G71" s="21"/>
      <c r="H71" s="21"/>
      <c r="I71" s="22"/>
      <c r="J71" s="21"/>
      <c r="K71" s="21"/>
      <c r="L71" s="117"/>
    </row>
    <row r="72" spans="1:14" ht="14.45">
      <c r="A72" s="21"/>
      <c r="B72" s="33"/>
      <c r="C72" s="21"/>
      <c r="D72" s="21"/>
      <c r="E72" s="21"/>
      <c r="F72" s="22"/>
      <c r="G72" s="21"/>
      <c r="H72" s="21"/>
      <c r="I72" s="22"/>
      <c r="J72" s="21"/>
      <c r="K72" s="21"/>
      <c r="L72" s="117"/>
    </row>
    <row r="73" spans="1:14" ht="14.45">
      <c r="A73" s="21"/>
      <c r="B73" s="33"/>
      <c r="C73" s="21"/>
      <c r="D73" s="21"/>
      <c r="E73" s="21"/>
      <c r="F73" s="22"/>
      <c r="G73" s="21"/>
      <c r="H73" s="21"/>
      <c r="I73" s="22"/>
      <c r="J73" s="21"/>
      <c r="K73" s="21"/>
      <c r="L73" s="117"/>
    </row>
    <row r="74" spans="1:14" ht="14.45">
      <c r="A74" s="21"/>
      <c r="B74" s="33"/>
      <c r="C74" s="21"/>
      <c r="D74" s="21"/>
      <c r="E74" s="21"/>
      <c r="F74" s="22"/>
      <c r="G74" s="21"/>
      <c r="H74" s="21"/>
      <c r="I74" s="22"/>
      <c r="J74" s="21"/>
      <c r="K74" s="21"/>
      <c r="L74" s="117"/>
    </row>
    <row r="75" spans="1:14" ht="14.45">
      <c r="A75" s="21"/>
      <c r="B75" s="33"/>
      <c r="C75" s="21"/>
      <c r="D75" s="21"/>
      <c r="E75" s="21"/>
      <c r="F75" s="22"/>
      <c r="G75" s="21"/>
      <c r="H75" s="21"/>
      <c r="I75" s="22"/>
      <c r="J75" s="21"/>
      <c r="K75" s="21"/>
      <c r="L75" s="117"/>
    </row>
    <row r="76" spans="1:14" ht="14.45">
      <c r="A76" s="21"/>
      <c r="B76" s="33"/>
      <c r="C76" s="21"/>
      <c r="D76" s="21"/>
      <c r="E76" s="21"/>
      <c r="F76" s="22"/>
      <c r="G76" s="21"/>
      <c r="H76" s="21"/>
      <c r="I76" s="22"/>
      <c r="J76" s="21"/>
      <c r="K76" s="21"/>
      <c r="L76" s="117"/>
    </row>
    <row r="77" spans="1:14" ht="14.45">
      <c r="A77" s="21"/>
      <c r="B77" s="33"/>
      <c r="C77" s="21"/>
      <c r="D77" s="21"/>
      <c r="E77" s="21"/>
      <c r="F77" s="22"/>
      <c r="G77" s="18"/>
      <c r="H77" s="21"/>
      <c r="I77" s="22"/>
      <c r="J77" s="21"/>
      <c r="K77" s="21"/>
      <c r="L77" s="117"/>
    </row>
    <row r="78" spans="1:14" ht="14.45">
      <c r="A78" s="21"/>
      <c r="B78" s="33"/>
      <c r="C78" s="21"/>
      <c r="D78" s="21"/>
      <c r="E78" s="21"/>
      <c r="F78" s="22"/>
      <c r="G78" s="21"/>
      <c r="H78" s="21"/>
      <c r="I78" s="22"/>
      <c r="J78" s="21"/>
      <c r="K78" s="21"/>
      <c r="L78" s="117"/>
    </row>
    <row r="79" spans="1:14" ht="14.45">
      <c r="A79" s="21"/>
      <c r="B79" s="33"/>
      <c r="C79" s="21"/>
      <c r="D79" s="21"/>
      <c r="E79" s="21"/>
      <c r="F79" s="22"/>
      <c r="G79" s="21"/>
      <c r="H79" s="21"/>
      <c r="I79" s="22"/>
      <c r="J79" s="21"/>
      <c r="K79" s="21"/>
      <c r="L79" s="117"/>
    </row>
    <row r="80" spans="1:14" ht="14.45">
      <c r="A80" s="21"/>
      <c r="B80" s="33"/>
      <c r="C80" s="21"/>
      <c r="D80" s="21"/>
      <c r="E80" s="21"/>
      <c r="F80" s="22"/>
      <c r="G80" s="21"/>
      <c r="H80" s="21"/>
      <c r="I80" s="22"/>
      <c r="J80" s="21"/>
      <c r="K80" s="21"/>
      <c r="L80" s="117"/>
    </row>
    <row r="81" spans="1:12" ht="14.45">
      <c r="A81" s="21"/>
      <c r="B81" s="33"/>
      <c r="C81" s="21"/>
      <c r="D81" s="21"/>
      <c r="E81" s="21"/>
      <c r="F81" s="22"/>
      <c r="G81" s="21"/>
      <c r="H81" s="21"/>
      <c r="I81" s="22"/>
      <c r="J81" s="21"/>
      <c r="K81" s="21"/>
      <c r="L81" s="117"/>
    </row>
    <row r="82" spans="1:12" ht="14.45">
      <c r="A82" s="21"/>
      <c r="B82" s="33"/>
      <c r="C82" s="21"/>
      <c r="D82" s="21"/>
      <c r="E82" s="21"/>
      <c r="F82" s="22"/>
      <c r="G82" s="21"/>
      <c r="H82" s="21"/>
      <c r="I82" s="22"/>
      <c r="J82" s="21"/>
      <c r="K82" s="21"/>
      <c r="L82" s="117"/>
    </row>
    <row r="83" spans="1:12" ht="14.45">
      <c r="A83" s="21"/>
      <c r="B83" s="33"/>
      <c r="C83" s="21"/>
      <c r="D83" s="21"/>
      <c r="E83" s="21"/>
      <c r="F83" s="22"/>
      <c r="G83" s="21"/>
      <c r="H83" s="21"/>
      <c r="I83" s="22"/>
      <c r="J83" s="21"/>
      <c r="K83" s="21"/>
      <c r="L83" s="117"/>
    </row>
    <row r="84" spans="1:12" ht="14.45">
      <c r="A84" s="21"/>
      <c r="B84" s="33"/>
      <c r="C84" s="21"/>
      <c r="D84" s="21"/>
      <c r="E84" s="21"/>
      <c r="F84" s="22"/>
      <c r="G84" s="21"/>
      <c r="H84" s="21"/>
      <c r="I84" s="22"/>
      <c r="J84" s="21"/>
      <c r="K84" s="21"/>
      <c r="L84" s="117"/>
    </row>
    <row r="85" spans="1:12" ht="14.45">
      <c r="A85" s="21"/>
      <c r="B85" s="33"/>
      <c r="C85" s="21"/>
      <c r="D85" s="21"/>
      <c r="E85" s="21"/>
      <c r="F85" s="22"/>
      <c r="G85" s="21"/>
      <c r="H85" s="21"/>
      <c r="I85" s="22"/>
      <c r="J85" s="21"/>
      <c r="K85" s="21"/>
      <c r="L85" s="117"/>
    </row>
    <row r="86" spans="1:12" ht="14.45">
      <c r="A86" s="21"/>
      <c r="B86" s="33"/>
      <c r="C86" s="21"/>
      <c r="D86" s="21"/>
      <c r="E86" s="21"/>
      <c r="F86" s="22"/>
      <c r="G86" s="21"/>
      <c r="H86" s="21"/>
      <c r="I86" s="22"/>
      <c r="J86" s="21"/>
      <c r="K86" s="21"/>
      <c r="L86" s="117"/>
    </row>
    <row r="87" spans="1:12" ht="14.45">
      <c r="A87" s="21"/>
      <c r="B87" s="33"/>
      <c r="C87" s="21"/>
      <c r="D87" s="21"/>
      <c r="E87" s="21"/>
      <c r="F87" s="22"/>
      <c r="G87" s="21"/>
      <c r="H87" s="21"/>
      <c r="I87" s="22"/>
      <c r="J87" s="21"/>
      <c r="K87" s="21"/>
      <c r="L87" s="117"/>
    </row>
    <row r="88" spans="1:12" ht="14.45">
      <c r="A88" s="21"/>
      <c r="B88" s="33"/>
      <c r="C88" s="21"/>
      <c r="D88" s="21"/>
      <c r="E88" s="21"/>
      <c r="F88" s="22"/>
      <c r="G88" s="21"/>
      <c r="H88" s="21"/>
      <c r="I88" s="22"/>
      <c r="J88" s="21"/>
      <c r="K88" s="21"/>
      <c r="L88" s="117"/>
    </row>
    <row r="89" spans="1:12" ht="14.45">
      <c r="A89" s="21"/>
      <c r="B89" s="33"/>
      <c r="C89" s="21"/>
      <c r="D89" s="21"/>
      <c r="E89" s="21"/>
      <c r="F89" s="22"/>
      <c r="G89" s="21"/>
      <c r="H89" s="21"/>
      <c r="I89" s="22"/>
      <c r="J89" s="21"/>
      <c r="K89" s="21"/>
      <c r="L89" s="117"/>
    </row>
    <row r="90" spans="1:12" ht="14.45">
      <c r="A90" s="21"/>
      <c r="B90" s="33"/>
      <c r="C90" s="21"/>
      <c r="D90" s="21"/>
      <c r="E90" s="21"/>
      <c r="F90" s="22"/>
      <c r="G90" s="21"/>
      <c r="H90" s="21"/>
      <c r="I90" s="22"/>
      <c r="J90" s="21"/>
      <c r="K90" s="21"/>
      <c r="L90" s="117"/>
    </row>
    <row r="91" spans="1:12" ht="14.45">
      <c r="A91" s="21"/>
      <c r="B91" s="33"/>
      <c r="C91" s="21"/>
      <c r="D91" s="21"/>
      <c r="E91" s="21"/>
      <c r="F91" s="22"/>
      <c r="G91" s="21"/>
      <c r="H91" s="21"/>
      <c r="I91" s="22"/>
      <c r="J91" s="21"/>
      <c r="K91" s="21"/>
      <c r="L91" s="117"/>
    </row>
    <row r="92" spans="1:12" ht="14.45">
      <c r="A92" s="21"/>
      <c r="B92" s="33"/>
      <c r="C92" s="21"/>
      <c r="D92" s="21"/>
      <c r="E92" s="21"/>
      <c r="F92" s="22"/>
      <c r="G92" s="21"/>
      <c r="H92" s="21"/>
      <c r="I92" s="22"/>
      <c r="J92" s="21"/>
      <c r="K92" s="21"/>
      <c r="L92" s="117"/>
    </row>
    <row r="93" spans="1:12" ht="14.45">
      <c r="A93" s="21"/>
      <c r="B93" s="33"/>
      <c r="C93" s="21"/>
      <c r="D93" s="21"/>
      <c r="E93" s="21"/>
      <c r="F93" s="22"/>
      <c r="G93" s="21"/>
      <c r="H93" s="21"/>
      <c r="I93" s="22"/>
      <c r="J93" s="21"/>
      <c r="K93" s="21"/>
      <c r="L93" s="117"/>
    </row>
    <row r="94" spans="1:12" ht="14.45">
      <c r="A94" s="21"/>
      <c r="B94" s="33"/>
      <c r="C94" s="21"/>
      <c r="D94" s="21"/>
      <c r="E94" s="21"/>
      <c r="F94" s="22"/>
      <c r="G94" s="21"/>
      <c r="H94" s="21"/>
      <c r="I94" s="22"/>
      <c r="J94" s="21"/>
      <c r="K94" s="21"/>
      <c r="L94" s="117"/>
    </row>
    <row r="95" spans="1:12" ht="14.45">
      <c r="A95" s="21"/>
      <c r="B95" s="33"/>
      <c r="C95" s="21"/>
      <c r="D95" s="21"/>
      <c r="E95" s="21"/>
      <c r="F95" s="22"/>
      <c r="G95" s="21"/>
      <c r="H95" s="21"/>
      <c r="I95" s="22"/>
      <c r="J95" s="21"/>
      <c r="K95" s="21"/>
      <c r="L95" s="117"/>
    </row>
    <row r="96" spans="1:12" ht="14.45">
      <c r="A96" s="21"/>
      <c r="B96" s="33"/>
      <c r="C96" s="21"/>
      <c r="D96" s="21"/>
      <c r="E96" s="21"/>
      <c r="F96" s="22"/>
      <c r="G96" s="21"/>
      <c r="H96" s="21"/>
      <c r="I96" s="22"/>
      <c r="J96" s="21"/>
      <c r="K96" s="21"/>
      <c r="L96" s="117"/>
    </row>
    <row r="97" spans="1:12" ht="14.45">
      <c r="A97" s="21"/>
      <c r="B97" s="33"/>
      <c r="C97" s="21"/>
      <c r="D97" s="21"/>
      <c r="E97" s="21"/>
      <c r="F97" s="22"/>
      <c r="G97" s="21"/>
      <c r="H97" s="21"/>
      <c r="I97" s="22"/>
      <c r="J97" s="21"/>
      <c r="K97" s="21"/>
      <c r="L97" s="117"/>
    </row>
    <row r="98" spans="1:12" ht="14.45">
      <c r="A98" s="21"/>
      <c r="B98" s="33"/>
      <c r="C98" s="21"/>
      <c r="D98" s="21"/>
      <c r="E98" s="21"/>
      <c r="F98" s="22"/>
      <c r="G98" s="21"/>
      <c r="H98" s="21"/>
      <c r="I98" s="22"/>
      <c r="J98" s="21"/>
      <c r="K98" s="21"/>
      <c r="L98" s="117"/>
    </row>
    <row r="99" spans="1:12" ht="14.45">
      <c r="A99" s="21"/>
      <c r="B99" s="33"/>
      <c r="C99" s="21"/>
      <c r="D99" s="21"/>
      <c r="E99" s="21"/>
      <c r="F99" s="22"/>
      <c r="G99" s="21"/>
      <c r="H99" s="21"/>
      <c r="I99" s="22"/>
      <c r="J99" s="21"/>
      <c r="K99" s="21"/>
      <c r="L99" s="117"/>
    </row>
    <row r="100" spans="1:12" ht="14.45">
      <c r="A100" s="21"/>
      <c r="B100" s="33"/>
      <c r="C100" s="21"/>
      <c r="D100" s="21"/>
      <c r="E100" s="21"/>
      <c r="F100" s="22"/>
      <c r="G100" s="21"/>
      <c r="H100" s="21"/>
      <c r="I100" s="22"/>
      <c r="J100" s="21"/>
      <c r="K100" s="21"/>
      <c r="L100" s="117"/>
    </row>
    <row r="101" spans="1:12" ht="14.45">
      <c r="A101" s="21"/>
      <c r="B101" s="33"/>
      <c r="C101" s="21"/>
      <c r="D101" s="21"/>
      <c r="E101" s="21"/>
      <c r="F101" s="22"/>
      <c r="G101" s="21"/>
      <c r="H101" s="21"/>
      <c r="I101" s="22"/>
      <c r="J101" s="21"/>
      <c r="K101" s="21"/>
      <c r="L101" s="117"/>
    </row>
    <row r="102" spans="1:12" ht="14.45">
      <c r="A102" s="21"/>
      <c r="B102" s="33"/>
      <c r="C102" s="21"/>
      <c r="D102" s="21"/>
      <c r="E102" s="21"/>
      <c r="F102" s="22"/>
      <c r="G102" s="21"/>
      <c r="H102" s="21"/>
      <c r="I102" s="22"/>
      <c r="J102" s="21"/>
      <c r="K102" s="21"/>
      <c r="L102" s="117"/>
    </row>
    <row r="103" spans="1:12" ht="14.45">
      <c r="A103" s="21"/>
      <c r="B103" s="33"/>
      <c r="C103" s="21"/>
      <c r="D103" s="21"/>
      <c r="E103" s="21"/>
      <c r="F103" s="22"/>
      <c r="G103" s="21"/>
      <c r="H103" s="21"/>
      <c r="I103" s="22"/>
      <c r="J103" s="21"/>
      <c r="K103" s="21"/>
      <c r="L103" s="117"/>
    </row>
    <row r="104" spans="1:12" ht="14.45">
      <c r="A104" s="21"/>
      <c r="B104" s="33"/>
      <c r="C104" s="21"/>
      <c r="D104" s="21"/>
      <c r="E104" s="21"/>
      <c r="F104" s="22"/>
      <c r="G104" s="21"/>
      <c r="H104" s="21"/>
      <c r="I104" s="22"/>
      <c r="J104" s="21"/>
      <c r="K104" s="21"/>
      <c r="L104" s="117"/>
    </row>
    <row r="105" spans="1:12" ht="14.45">
      <c r="A105" s="21"/>
      <c r="B105" s="33"/>
      <c r="C105" s="21"/>
      <c r="D105" s="21"/>
      <c r="E105" s="21"/>
      <c r="F105" s="22"/>
      <c r="G105" s="21"/>
      <c r="H105" s="21"/>
      <c r="I105" s="22"/>
      <c r="J105" s="21"/>
      <c r="K105" s="21"/>
      <c r="L105" s="117"/>
    </row>
    <row r="106" spans="1:12" ht="14.45">
      <c r="A106" s="21"/>
      <c r="B106" s="33"/>
      <c r="C106" s="21"/>
      <c r="D106" s="21"/>
      <c r="E106" s="21"/>
      <c r="F106" s="22"/>
      <c r="G106" s="21"/>
      <c r="H106" s="21"/>
      <c r="I106" s="22"/>
      <c r="J106" s="21"/>
      <c r="K106" s="21"/>
      <c r="L106" s="117"/>
    </row>
    <row r="107" spans="1:12" ht="14.45">
      <c r="A107" s="21"/>
      <c r="B107" s="33"/>
      <c r="C107" s="21"/>
      <c r="D107" s="21"/>
      <c r="E107" s="21"/>
      <c r="F107" s="22"/>
      <c r="G107" s="21"/>
      <c r="H107" s="21"/>
      <c r="I107" s="22"/>
      <c r="J107" s="21"/>
      <c r="K107" s="21"/>
      <c r="L107" s="117"/>
    </row>
    <row r="108" spans="1:12" ht="14.45">
      <c r="A108" s="21"/>
      <c r="B108" s="33"/>
      <c r="C108" s="21"/>
      <c r="D108" s="21"/>
      <c r="E108" s="21"/>
      <c r="F108" s="22"/>
      <c r="G108" s="21"/>
      <c r="H108" s="21"/>
      <c r="I108" s="22"/>
      <c r="J108" s="21"/>
      <c r="K108" s="21"/>
      <c r="L108" s="117"/>
    </row>
    <row r="109" spans="1:12" ht="14.45">
      <c r="A109" s="21"/>
      <c r="B109" s="33"/>
      <c r="C109" s="21"/>
      <c r="D109" s="21"/>
      <c r="E109" s="21"/>
      <c r="F109" s="22"/>
      <c r="G109" s="21"/>
      <c r="H109" s="21"/>
      <c r="I109" s="22"/>
      <c r="J109" s="21"/>
      <c r="K109" s="21"/>
      <c r="L109" s="117"/>
    </row>
    <row r="110" spans="1:12" ht="14.45">
      <c r="A110" s="21"/>
      <c r="B110" s="33"/>
      <c r="C110" s="21"/>
      <c r="D110" s="21"/>
      <c r="E110" s="21"/>
      <c r="F110" s="22"/>
      <c r="G110" s="21"/>
      <c r="H110" s="21"/>
      <c r="I110" s="22"/>
      <c r="J110" s="21"/>
      <c r="K110" s="21"/>
      <c r="L110" s="117"/>
    </row>
    <row r="111" spans="1:12" ht="14.45">
      <c r="A111" s="21"/>
      <c r="B111" s="33"/>
      <c r="C111" s="21"/>
      <c r="D111" s="21"/>
      <c r="E111" s="21"/>
      <c r="F111" s="22"/>
      <c r="G111" s="21"/>
      <c r="H111" s="21"/>
      <c r="I111" s="22"/>
      <c r="J111" s="21"/>
      <c r="K111" s="21"/>
      <c r="L111" s="117"/>
    </row>
    <row r="112" spans="1:12" ht="14.45">
      <c r="A112" s="21"/>
      <c r="B112" s="33"/>
      <c r="C112" s="21"/>
      <c r="D112" s="21"/>
      <c r="E112" s="21"/>
      <c r="F112" s="22"/>
      <c r="G112" s="21"/>
      <c r="H112" s="21"/>
      <c r="I112" s="22"/>
      <c r="J112" s="21"/>
      <c r="K112" s="21"/>
      <c r="L112" s="117"/>
    </row>
    <row r="113" spans="1:12" ht="14.45">
      <c r="A113" s="21"/>
      <c r="B113" s="33"/>
      <c r="C113" s="21"/>
      <c r="D113" s="21"/>
      <c r="E113" s="21"/>
      <c r="F113" s="22"/>
      <c r="G113" s="21"/>
      <c r="H113" s="21"/>
      <c r="I113" s="22"/>
      <c r="J113" s="21"/>
      <c r="K113" s="21"/>
      <c r="L113" s="117"/>
    </row>
    <row r="114" spans="1:12" ht="14.45">
      <c r="A114" s="21"/>
      <c r="B114" s="33"/>
      <c r="C114" s="21"/>
      <c r="D114" s="21"/>
      <c r="E114" s="21"/>
      <c r="F114" s="22"/>
      <c r="G114" s="21"/>
      <c r="H114" s="21"/>
      <c r="I114" s="22"/>
      <c r="J114" s="21"/>
      <c r="K114" s="21"/>
      <c r="L114" s="117"/>
    </row>
    <row r="115" spans="1:12" ht="14.45">
      <c r="A115" s="21"/>
      <c r="B115" s="33"/>
      <c r="C115" s="21"/>
      <c r="D115" s="21"/>
      <c r="E115" s="21"/>
      <c r="F115" s="22"/>
      <c r="G115" s="21"/>
      <c r="H115" s="21"/>
      <c r="I115" s="22"/>
      <c r="J115" s="21"/>
      <c r="K115" s="21"/>
      <c r="L115" s="117"/>
    </row>
    <row r="116" spans="1:12" ht="14.45">
      <c r="A116" s="21"/>
      <c r="B116" s="33"/>
      <c r="C116" s="21"/>
      <c r="D116" s="21"/>
      <c r="E116" s="21"/>
      <c r="F116" s="22"/>
      <c r="G116" s="21"/>
      <c r="H116" s="21"/>
      <c r="I116" s="22"/>
      <c r="J116" s="21"/>
      <c r="K116" s="21"/>
      <c r="L116" s="117"/>
    </row>
    <row r="117" spans="1:12" ht="14.45">
      <c r="A117" s="21"/>
      <c r="B117" s="33"/>
      <c r="C117" s="21"/>
      <c r="D117" s="21"/>
      <c r="E117" s="21"/>
      <c r="F117" s="22"/>
      <c r="G117" s="21"/>
      <c r="H117" s="21"/>
      <c r="I117" s="22"/>
      <c r="J117" s="21"/>
      <c r="K117" s="21"/>
      <c r="L117" s="117"/>
    </row>
    <row r="118" spans="1:12" ht="14.45">
      <c r="A118" s="21"/>
      <c r="B118" s="33"/>
      <c r="C118" s="21"/>
      <c r="D118" s="21"/>
      <c r="E118" s="21"/>
      <c r="F118" s="22"/>
      <c r="G118" s="21"/>
      <c r="H118" s="21"/>
      <c r="I118" s="22"/>
      <c r="J118" s="21"/>
      <c r="K118" s="21"/>
      <c r="L118" s="117"/>
    </row>
    <row r="119" spans="1:12" ht="14.45">
      <c r="A119" s="21"/>
      <c r="B119" s="33"/>
      <c r="C119" s="21"/>
      <c r="D119" s="21"/>
      <c r="E119" s="21"/>
      <c r="F119" s="22"/>
      <c r="G119" s="21"/>
      <c r="H119" s="21"/>
      <c r="I119" s="22"/>
      <c r="J119" s="21"/>
      <c r="K119" s="21"/>
      <c r="L119" s="117"/>
    </row>
    <row r="120" spans="1:12" ht="14.45">
      <c r="A120" s="21"/>
      <c r="B120" s="33"/>
      <c r="C120" s="21"/>
      <c r="D120" s="21"/>
      <c r="E120" s="21"/>
      <c r="F120" s="22"/>
      <c r="G120" s="21"/>
      <c r="H120" s="21"/>
      <c r="I120" s="22"/>
      <c r="J120" s="21"/>
      <c r="K120" s="21"/>
      <c r="L120" s="117"/>
    </row>
    <row r="121" spans="1:12" ht="14.45">
      <c r="A121" s="21"/>
      <c r="B121" s="33"/>
      <c r="C121" s="21"/>
      <c r="D121" s="21"/>
      <c r="E121" s="21"/>
      <c r="F121" s="22"/>
      <c r="G121" s="21"/>
      <c r="H121" s="21"/>
      <c r="I121" s="22"/>
      <c r="J121" s="21"/>
      <c r="K121" s="21"/>
      <c r="L121" s="117"/>
    </row>
    <row r="122" spans="1:12" ht="14.45">
      <c r="A122" s="21"/>
      <c r="B122" s="33"/>
      <c r="C122" s="21"/>
      <c r="D122" s="21"/>
      <c r="E122" s="21"/>
      <c r="F122" s="22"/>
      <c r="G122" s="21"/>
      <c r="H122" s="21"/>
      <c r="I122" s="22"/>
      <c r="J122" s="21"/>
      <c r="K122" s="21"/>
      <c r="L122" s="117"/>
    </row>
    <row r="123" spans="1:12" ht="14.45">
      <c r="A123" s="21"/>
      <c r="B123" s="33"/>
      <c r="C123" s="21"/>
      <c r="D123" s="21"/>
      <c r="E123" s="21"/>
      <c r="F123" s="22"/>
      <c r="G123" s="21"/>
      <c r="H123" s="21"/>
      <c r="I123" s="22"/>
      <c r="J123" s="21"/>
      <c r="K123" s="21"/>
      <c r="L123" s="117"/>
    </row>
    <row r="124" spans="1:12" ht="14.45">
      <c r="A124" s="21"/>
      <c r="B124" s="33"/>
      <c r="C124" s="21"/>
      <c r="D124" s="21"/>
      <c r="E124" s="21"/>
      <c r="F124" s="22"/>
      <c r="G124" s="21"/>
      <c r="H124" s="21"/>
      <c r="I124" s="22"/>
      <c r="J124" s="21"/>
      <c r="K124" s="21"/>
      <c r="L124" s="117"/>
    </row>
    <row r="125" spans="1:12" ht="14.45">
      <c r="A125" s="21"/>
      <c r="B125" s="33"/>
      <c r="C125" s="21"/>
      <c r="D125" s="21"/>
      <c r="E125" s="21"/>
      <c r="F125" s="22"/>
      <c r="G125" s="21"/>
      <c r="H125" s="21"/>
      <c r="I125" s="22"/>
      <c r="J125" s="21"/>
      <c r="K125" s="21"/>
      <c r="L125" s="117"/>
    </row>
    <row r="126" spans="1:12" ht="14.45">
      <c r="A126" s="21"/>
      <c r="B126" s="33"/>
      <c r="C126" s="21"/>
      <c r="D126" s="21"/>
      <c r="E126" s="21"/>
      <c r="F126" s="22"/>
      <c r="G126" s="21"/>
      <c r="H126" s="21"/>
      <c r="I126" s="22"/>
      <c r="J126" s="21"/>
      <c r="K126" s="21"/>
      <c r="L126" s="117"/>
    </row>
    <row r="127" spans="1:12" ht="14.45">
      <c r="A127" s="21"/>
      <c r="B127" s="33"/>
      <c r="C127" s="21"/>
      <c r="D127" s="21"/>
      <c r="E127" s="21"/>
      <c r="F127" s="22"/>
      <c r="G127" s="21"/>
      <c r="H127" s="21"/>
      <c r="I127" s="22"/>
      <c r="J127" s="21"/>
      <c r="K127" s="21"/>
      <c r="L127" s="117"/>
    </row>
    <row r="128" spans="1:12" ht="14.45">
      <c r="A128" s="21"/>
      <c r="B128" s="33"/>
      <c r="C128" s="21"/>
      <c r="D128" s="21"/>
      <c r="E128" s="21"/>
      <c r="F128" s="22"/>
      <c r="G128" s="21"/>
      <c r="H128" s="21"/>
      <c r="I128" s="22"/>
      <c r="J128" s="21"/>
      <c r="K128" s="21"/>
      <c r="L128" s="117"/>
    </row>
    <row r="129" spans="1:12" ht="14.45">
      <c r="A129" s="21"/>
      <c r="B129" s="33"/>
      <c r="C129" s="21"/>
      <c r="D129" s="21"/>
      <c r="E129" s="21"/>
      <c r="F129" s="22"/>
      <c r="G129" s="21"/>
      <c r="H129" s="21"/>
      <c r="I129" s="22"/>
      <c r="J129" s="21"/>
      <c r="K129" s="21"/>
      <c r="L129" s="117"/>
    </row>
    <row r="130" spans="1:12" ht="14.45">
      <c r="A130" s="21"/>
      <c r="B130" s="33"/>
      <c r="C130" s="21"/>
      <c r="D130" s="21"/>
      <c r="E130" s="21"/>
      <c r="F130" s="22"/>
      <c r="G130" s="21"/>
      <c r="H130" s="21"/>
      <c r="I130" s="22"/>
      <c r="J130" s="21"/>
      <c r="K130" s="21"/>
      <c r="L130" s="117"/>
    </row>
    <row r="131" spans="1:12" ht="14.45">
      <c r="A131" s="21"/>
      <c r="B131" s="33"/>
      <c r="C131" s="21"/>
      <c r="D131" s="21"/>
      <c r="E131" s="21"/>
      <c r="F131" s="22"/>
      <c r="G131" s="21"/>
      <c r="H131" s="21"/>
      <c r="I131" s="22"/>
      <c r="J131" s="21"/>
      <c r="K131" s="21"/>
      <c r="L131" s="117"/>
    </row>
    <row r="132" spans="1:12" ht="14.45">
      <c r="A132" s="21"/>
      <c r="B132" s="33"/>
      <c r="C132" s="21"/>
      <c r="D132" s="21"/>
      <c r="E132" s="21"/>
      <c r="F132" s="22"/>
      <c r="G132" s="21"/>
      <c r="H132" s="21"/>
      <c r="I132" s="22"/>
      <c r="J132" s="21"/>
      <c r="K132" s="21"/>
      <c r="L132" s="117"/>
    </row>
    <row r="133" spans="1:12" ht="14.45">
      <c r="A133" s="21"/>
      <c r="B133" s="33"/>
      <c r="C133" s="21"/>
      <c r="D133" s="21"/>
      <c r="E133" s="21"/>
      <c r="F133" s="22"/>
      <c r="G133" s="21"/>
      <c r="H133" s="21"/>
      <c r="I133" s="22"/>
      <c r="J133" s="21"/>
      <c r="K133" s="21"/>
      <c r="L133" s="117"/>
    </row>
    <row r="134" spans="1:12" ht="14.45">
      <c r="A134" s="21"/>
      <c r="B134" s="33"/>
      <c r="C134" s="21"/>
      <c r="D134" s="21"/>
      <c r="E134" s="21"/>
      <c r="F134" s="22"/>
      <c r="G134" s="21"/>
      <c r="H134" s="21"/>
      <c r="I134" s="22"/>
      <c r="J134" s="21"/>
      <c r="K134" s="21"/>
      <c r="L134" s="117"/>
    </row>
    <row r="135" spans="1:12" ht="14.45">
      <c r="A135" s="21"/>
      <c r="B135" s="33"/>
      <c r="C135" s="21"/>
      <c r="D135" s="21"/>
      <c r="E135" s="21"/>
      <c r="F135" s="22"/>
      <c r="G135" s="21"/>
      <c r="H135" s="21"/>
      <c r="I135" s="22"/>
      <c r="J135" s="21"/>
      <c r="K135" s="21"/>
      <c r="L135" s="117"/>
    </row>
    <row r="136" spans="1:12" ht="14.45">
      <c r="A136" s="21"/>
      <c r="B136" s="33"/>
      <c r="C136" s="21"/>
      <c r="D136" s="21"/>
      <c r="E136" s="21"/>
      <c r="F136" s="22"/>
      <c r="G136" s="21"/>
      <c r="H136" s="21"/>
      <c r="I136" s="22"/>
      <c r="J136" s="21"/>
      <c r="K136" s="21"/>
      <c r="L136" s="117"/>
    </row>
    <row r="137" spans="1:12" ht="14.45">
      <c r="A137" s="21"/>
      <c r="B137" s="33"/>
      <c r="C137" s="21"/>
      <c r="D137" s="21"/>
      <c r="E137" s="21"/>
      <c r="F137" s="22"/>
      <c r="G137" s="21"/>
      <c r="H137" s="21"/>
      <c r="I137" s="22"/>
      <c r="J137" s="21"/>
      <c r="K137" s="21"/>
      <c r="L137" s="117"/>
    </row>
    <row r="138" spans="1:12" ht="14.45">
      <c r="A138" s="21"/>
      <c r="B138" s="33"/>
      <c r="C138" s="21"/>
      <c r="D138" s="21"/>
      <c r="E138" s="21"/>
      <c r="F138" s="22"/>
      <c r="G138" s="21"/>
      <c r="H138" s="21"/>
      <c r="I138" s="22"/>
      <c r="J138" s="21"/>
      <c r="K138" s="21"/>
      <c r="L138" s="117"/>
    </row>
    <row r="139" spans="1:12" ht="14.45">
      <c r="A139" s="21"/>
      <c r="B139" s="33"/>
      <c r="C139" s="21"/>
      <c r="D139" s="21"/>
      <c r="E139" s="21"/>
      <c r="F139" s="22"/>
      <c r="G139" s="21"/>
      <c r="H139" s="21"/>
      <c r="I139" s="22"/>
      <c r="J139" s="21"/>
      <c r="K139" s="21"/>
      <c r="L139" s="117"/>
    </row>
    <row r="140" spans="1:12" ht="14.45">
      <c r="A140" s="21"/>
      <c r="B140" s="33"/>
      <c r="C140" s="21"/>
      <c r="D140" s="21"/>
      <c r="E140" s="21"/>
      <c r="F140" s="22"/>
      <c r="G140" s="21"/>
      <c r="H140" s="21"/>
      <c r="I140" s="22"/>
      <c r="J140" s="21"/>
      <c r="K140" s="21"/>
      <c r="L140" s="117"/>
    </row>
    <row r="141" spans="1:12" ht="14.45">
      <c r="A141" s="21"/>
      <c r="B141" s="33"/>
      <c r="C141" s="21"/>
      <c r="D141" s="21"/>
      <c r="E141" s="21"/>
      <c r="F141" s="22"/>
      <c r="G141" s="21"/>
      <c r="H141" s="21"/>
      <c r="I141" s="22"/>
      <c r="J141" s="21"/>
      <c r="K141" s="21"/>
      <c r="L141" s="117"/>
    </row>
    <row r="142" spans="1:12" ht="14.45">
      <c r="A142" s="21"/>
      <c r="B142" s="33"/>
      <c r="C142" s="21"/>
      <c r="D142" s="21"/>
      <c r="E142" s="21"/>
      <c r="F142" s="22"/>
      <c r="G142" s="21"/>
      <c r="H142" s="21"/>
      <c r="I142" s="22"/>
      <c r="J142" s="21"/>
      <c r="K142" s="21"/>
      <c r="L142" s="117"/>
    </row>
    <row r="143" spans="1:12" ht="14.45">
      <c r="A143" s="21"/>
      <c r="B143" s="33"/>
      <c r="C143" s="21"/>
      <c r="D143" s="21"/>
      <c r="E143" s="21"/>
      <c r="F143" s="22"/>
      <c r="G143" s="21"/>
      <c r="H143" s="21"/>
      <c r="I143" s="22"/>
      <c r="J143" s="21"/>
      <c r="K143" s="21"/>
      <c r="L143" s="117"/>
    </row>
    <row r="144" spans="1:12" ht="14.45">
      <c r="A144" s="21"/>
      <c r="B144" s="33"/>
      <c r="C144" s="21"/>
      <c r="D144" s="21"/>
      <c r="E144" s="21"/>
      <c r="F144" s="22"/>
      <c r="G144" s="21"/>
      <c r="H144" s="21"/>
      <c r="I144" s="22"/>
      <c r="J144" s="21"/>
      <c r="K144" s="21"/>
      <c r="L144" s="117"/>
    </row>
    <row r="145" spans="1:12" ht="14.45">
      <c r="A145" s="21"/>
      <c r="B145" s="33"/>
      <c r="C145" s="21"/>
      <c r="D145" s="21"/>
      <c r="E145" s="21"/>
      <c r="F145" s="22"/>
      <c r="G145" s="21"/>
      <c r="H145" s="21"/>
      <c r="I145" s="22"/>
      <c r="J145" s="21"/>
      <c r="K145" s="21"/>
      <c r="L145" s="117"/>
    </row>
    <row r="146" spans="1:12" ht="14.45">
      <c r="A146" s="21"/>
      <c r="B146" s="33"/>
      <c r="C146" s="21"/>
      <c r="D146" s="21"/>
      <c r="E146" s="21"/>
      <c r="F146" s="22"/>
      <c r="G146" s="21"/>
      <c r="H146" s="21"/>
      <c r="I146" s="22"/>
      <c r="J146" s="21"/>
      <c r="K146" s="21"/>
      <c r="L146" s="117"/>
    </row>
    <row r="147" spans="1:12" ht="14.45">
      <c r="A147" s="21"/>
      <c r="B147" s="33"/>
      <c r="C147" s="21"/>
      <c r="D147" s="21"/>
      <c r="E147" s="21"/>
      <c r="F147" s="22"/>
      <c r="G147" s="21"/>
      <c r="H147" s="21"/>
      <c r="I147" s="22"/>
      <c r="J147" s="21"/>
      <c r="K147" s="21"/>
      <c r="L147" s="117"/>
    </row>
    <row r="148" spans="1:12" ht="14.45">
      <c r="A148" s="21"/>
      <c r="B148" s="33"/>
      <c r="C148" s="21"/>
      <c r="D148" s="21"/>
      <c r="E148" s="21"/>
      <c r="F148" s="22"/>
      <c r="G148" s="21"/>
      <c r="H148" s="21"/>
      <c r="I148" s="22"/>
      <c r="J148" s="21"/>
      <c r="K148" s="21"/>
      <c r="L148" s="117"/>
    </row>
    <row r="149" spans="1:12" ht="14.45">
      <c r="A149" s="21"/>
      <c r="B149" s="33"/>
      <c r="C149" s="21"/>
      <c r="D149" s="21"/>
      <c r="E149" s="21"/>
      <c r="F149" s="22"/>
      <c r="G149" s="21"/>
      <c r="H149" s="21"/>
      <c r="I149" s="22"/>
      <c r="J149" s="21"/>
      <c r="K149" s="21"/>
      <c r="L149" s="117"/>
    </row>
    <row r="150" spans="1:12" ht="14.45">
      <c r="A150" s="21"/>
      <c r="B150" s="33"/>
      <c r="C150" s="21"/>
      <c r="D150" s="21"/>
      <c r="E150" s="21"/>
      <c r="F150" s="22"/>
      <c r="G150" s="21"/>
      <c r="H150" s="21"/>
      <c r="I150" s="22"/>
      <c r="J150" s="21"/>
      <c r="K150" s="21"/>
      <c r="L150" s="117"/>
    </row>
    <row r="151" spans="1:12" ht="14.45">
      <c r="A151" s="21"/>
      <c r="B151" s="33"/>
      <c r="C151" s="21"/>
      <c r="D151" s="21"/>
      <c r="E151" s="21"/>
      <c r="F151" s="22"/>
      <c r="G151" s="21"/>
      <c r="H151" s="21"/>
      <c r="I151" s="22"/>
      <c r="J151" s="21"/>
      <c r="K151" s="21"/>
      <c r="L151" s="117"/>
    </row>
    <row r="152" spans="1:12" ht="14.45">
      <c r="A152" s="21"/>
      <c r="B152" s="33"/>
      <c r="C152" s="21"/>
      <c r="D152" s="21"/>
      <c r="E152" s="21"/>
      <c r="F152" s="22"/>
      <c r="G152" s="21"/>
      <c r="H152" s="21"/>
      <c r="I152" s="22"/>
      <c r="J152" s="21"/>
      <c r="K152" s="21"/>
      <c r="L152" s="117"/>
    </row>
    <row r="153" spans="1:12" ht="14.45">
      <c r="A153" s="21"/>
      <c r="B153" s="33"/>
      <c r="C153" s="21"/>
      <c r="D153" s="21"/>
      <c r="E153" s="21"/>
      <c r="F153" s="22"/>
      <c r="G153" s="21"/>
      <c r="H153" s="21"/>
      <c r="I153" s="22"/>
      <c r="J153" s="21"/>
      <c r="K153" s="21"/>
      <c r="L153" s="117"/>
    </row>
    <row r="154" spans="1:12" ht="14.45">
      <c r="A154" s="21"/>
      <c r="B154" s="33"/>
      <c r="C154" s="21"/>
      <c r="D154" s="21"/>
      <c r="E154" s="21"/>
      <c r="F154" s="22"/>
      <c r="G154" s="21"/>
      <c r="H154" s="21"/>
      <c r="I154" s="22"/>
      <c r="J154" s="21"/>
      <c r="K154" s="21"/>
      <c r="L154" s="117"/>
    </row>
    <row r="155" spans="1:12" ht="14.45">
      <c r="A155" s="21"/>
      <c r="B155" s="33"/>
      <c r="C155" s="21"/>
      <c r="D155" s="21"/>
      <c r="E155" s="21"/>
      <c r="F155" s="22"/>
      <c r="G155" s="21"/>
      <c r="H155" s="21"/>
      <c r="I155" s="22"/>
      <c r="J155" s="21"/>
      <c r="K155" s="21"/>
      <c r="L155" s="117"/>
    </row>
    <row r="156" spans="1:12" ht="14.45">
      <c r="A156" s="21"/>
      <c r="B156" s="33"/>
      <c r="C156" s="21"/>
      <c r="D156" s="21"/>
      <c r="E156" s="21"/>
      <c r="F156" s="22"/>
      <c r="G156" s="21"/>
      <c r="H156" s="21"/>
      <c r="I156" s="22"/>
      <c r="J156" s="21"/>
      <c r="K156" s="21"/>
      <c r="L156" s="117"/>
    </row>
    <row r="157" spans="1:12" ht="14.45">
      <c r="A157" s="21"/>
      <c r="B157" s="33"/>
      <c r="C157" s="21"/>
      <c r="D157" s="21"/>
      <c r="E157" s="21"/>
      <c r="F157" s="22"/>
      <c r="G157" s="21"/>
      <c r="H157" s="21"/>
      <c r="I157" s="22"/>
      <c r="J157" s="21"/>
      <c r="K157" s="21"/>
      <c r="L157" s="117"/>
    </row>
    <row r="158" spans="1:12" ht="14.45">
      <c r="A158" s="21"/>
      <c r="B158" s="33"/>
      <c r="C158" s="21"/>
      <c r="D158" s="21"/>
      <c r="E158" s="21"/>
      <c r="F158" s="22"/>
      <c r="G158" s="21"/>
      <c r="H158" s="21"/>
      <c r="I158" s="22"/>
      <c r="J158" s="21"/>
      <c r="K158" s="21"/>
      <c r="L158" s="117"/>
    </row>
    <row r="159" spans="1:12" ht="14.45">
      <c r="A159" s="21"/>
      <c r="B159" s="33"/>
      <c r="C159" s="21"/>
      <c r="D159" s="21"/>
      <c r="E159" s="21"/>
      <c r="F159" s="22"/>
      <c r="G159" s="21"/>
      <c r="H159" s="21"/>
      <c r="I159" s="22"/>
      <c r="J159" s="21"/>
      <c r="K159" s="21"/>
      <c r="L159" s="117"/>
    </row>
    <row r="160" spans="1:12" ht="14.45">
      <c r="A160" s="21"/>
      <c r="B160" s="33"/>
      <c r="C160" s="21"/>
      <c r="D160" s="21"/>
      <c r="E160" s="21"/>
      <c r="F160" s="22"/>
      <c r="G160" s="21"/>
      <c r="H160" s="21"/>
      <c r="I160" s="22"/>
      <c r="J160" s="21"/>
      <c r="K160" s="21"/>
      <c r="L160" s="117"/>
    </row>
    <row r="161" spans="1:12" ht="14.45">
      <c r="A161" s="21"/>
      <c r="B161" s="33"/>
      <c r="C161" s="21"/>
      <c r="D161" s="21"/>
      <c r="E161" s="21"/>
      <c r="F161" s="22"/>
      <c r="G161" s="21"/>
      <c r="H161" s="21"/>
      <c r="I161" s="22"/>
      <c r="J161" s="21"/>
      <c r="K161" s="21"/>
      <c r="L161" s="117"/>
    </row>
    <row r="162" spans="1:12" ht="14.45">
      <c r="A162" s="21"/>
      <c r="B162" s="33"/>
      <c r="C162" s="21"/>
      <c r="D162" s="21"/>
      <c r="E162" s="21"/>
      <c r="F162" s="22"/>
      <c r="G162" s="21"/>
      <c r="H162" s="21"/>
      <c r="I162" s="22"/>
      <c r="J162" s="21"/>
      <c r="K162" s="21"/>
      <c r="L162" s="117"/>
    </row>
    <row r="163" spans="1:12" ht="14.45">
      <c r="A163" s="21"/>
      <c r="B163" s="33"/>
      <c r="C163" s="21"/>
      <c r="D163" s="21"/>
      <c r="E163" s="21"/>
      <c r="F163" s="22"/>
      <c r="G163" s="21"/>
      <c r="H163" s="21"/>
      <c r="I163" s="22"/>
      <c r="J163" s="21"/>
      <c r="K163" s="21"/>
      <c r="L163" s="117"/>
    </row>
    <row r="164" spans="1:12" ht="14.45">
      <c r="A164" s="21"/>
      <c r="B164" s="33"/>
      <c r="C164" s="21"/>
      <c r="D164" s="21"/>
      <c r="E164" s="21"/>
      <c r="F164" s="22"/>
      <c r="G164" s="21"/>
      <c r="H164" s="21"/>
      <c r="I164" s="22"/>
      <c r="J164" s="21"/>
      <c r="K164" s="21"/>
      <c r="L164" s="117"/>
    </row>
    <row r="165" spans="1:12" ht="14.45">
      <c r="A165" s="21"/>
      <c r="B165" s="33"/>
      <c r="C165" s="21"/>
      <c r="D165" s="21"/>
      <c r="E165" s="21"/>
      <c r="F165" s="22"/>
      <c r="G165" s="21"/>
      <c r="H165" s="21"/>
      <c r="I165" s="22"/>
      <c r="J165" s="21"/>
      <c r="K165" s="21"/>
      <c r="L165" s="117"/>
    </row>
    <row r="166" spans="1:12" ht="14.45">
      <c r="A166" s="21"/>
      <c r="B166" s="33"/>
      <c r="C166" s="21"/>
      <c r="D166" s="21"/>
      <c r="E166" s="21"/>
      <c r="F166" s="22"/>
      <c r="G166" s="21"/>
      <c r="H166" s="21"/>
      <c r="I166" s="22"/>
      <c r="J166" s="21"/>
      <c r="K166" s="21"/>
      <c r="L166" s="117"/>
    </row>
    <row r="167" spans="1:12" ht="14.45">
      <c r="A167" s="21"/>
      <c r="B167" s="33"/>
      <c r="C167" s="21"/>
      <c r="D167" s="21"/>
      <c r="E167" s="21"/>
      <c r="F167" s="22"/>
      <c r="G167" s="21"/>
      <c r="H167" s="21"/>
      <c r="I167" s="22"/>
      <c r="J167" s="21"/>
      <c r="K167" s="21"/>
      <c r="L167" s="117"/>
    </row>
    <row r="168" spans="1:12" ht="14.45">
      <c r="A168" s="21"/>
      <c r="B168" s="33"/>
      <c r="C168" s="21"/>
      <c r="D168" s="21"/>
      <c r="E168" s="21"/>
      <c r="F168" s="22"/>
      <c r="G168" s="21"/>
      <c r="H168" s="21"/>
      <c r="I168" s="22"/>
      <c r="J168" s="21"/>
      <c r="K168" s="21"/>
      <c r="L168" s="117"/>
    </row>
    <row r="169" spans="1:12" ht="14.45">
      <c r="A169" s="21"/>
      <c r="B169" s="33"/>
      <c r="C169" s="21"/>
      <c r="D169" s="21"/>
      <c r="E169" s="21"/>
      <c r="F169" s="22"/>
      <c r="G169" s="21"/>
      <c r="H169" s="21"/>
      <c r="I169" s="22"/>
      <c r="J169" s="21"/>
      <c r="K169" s="21"/>
      <c r="L169" s="117"/>
    </row>
    <row r="170" spans="1:12" ht="14.45">
      <c r="A170" s="21"/>
      <c r="B170" s="33"/>
      <c r="C170" s="21"/>
      <c r="D170" s="21"/>
      <c r="E170" s="21"/>
      <c r="F170" s="22"/>
      <c r="G170" s="21"/>
      <c r="H170" s="21"/>
      <c r="I170" s="22"/>
      <c r="J170" s="21"/>
      <c r="K170" s="21"/>
      <c r="L170" s="117"/>
    </row>
    <row r="171" spans="1:12" ht="14.45">
      <c r="A171" s="21"/>
      <c r="B171" s="33"/>
      <c r="C171" s="21"/>
      <c r="D171" s="21"/>
      <c r="E171" s="21"/>
      <c r="F171" s="22"/>
      <c r="G171" s="21"/>
      <c r="H171" s="21"/>
      <c r="I171" s="22"/>
      <c r="J171" s="21"/>
      <c r="K171" s="21"/>
      <c r="L171" s="117"/>
    </row>
    <row r="172" spans="1:12" ht="14.45">
      <c r="A172" s="21"/>
      <c r="B172" s="33"/>
      <c r="C172" s="21"/>
      <c r="D172" s="21"/>
      <c r="E172" s="21"/>
      <c r="F172" s="22"/>
      <c r="G172" s="21"/>
      <c r="H172" s="21"/>
      <c r="I172" s="22"/>
      <c r="J172" s="21"/>
      <c r="K172" s="21"/>
      <c r="L172" s="117"/>
    </row>
    <row r="173" spans="1:12" ht="14.45">
      <c r="A173" s="21"/>
      <c r="B173" s="33"/>
      <c r="C173" s="21"/>
      <c r="D173" s="21"/>
      <c r="E173" s="21"/>
      <c r="F173" s="22"/>
      <c r="G173" s="21"/>
      <c r="H173" s="21"/>
      <c r="I173" s="22"/>
      <c r="J173" s="21"/>
      <c r="K173" s="21"/>
      <c r="L173" s="117"/>
    </row>
    <row r="174" spans="1:12" ht="14.45">
      <c r="A174" s="21"/>
      <c r="B174" s="33"/>
      <c r="C174" s="21"/>
      <c r="D174" s="21"/>
      <c r="E174" s="21"/>
      <c r="F174" s="22"/>
      <c r="G174" s="21"/>
      <c r="H174" s="21"/>
      <c r="I174" s="22"/>
      <c r="J174" s="21"/>
      <c r="K174" s="21"/>
      <c r="L174" s="117"/>
    </row>
    <row r="175" spans="1:12" ht="14.45">
      <c r="A175" s="21"/>
      <c r="B175" s="33"/>
      <c r="C175" s="21"/>
      <c r="D175" s="21"/>
      <c r="E175" s="21"/>
      <c r="F175" s="22"/>
      <c r="G175" s="21"/>
      <c r="H175" s="21"/>
      <c r="I175" s="22"/>
      <c r="J175" s="21"/>
      <c r="K175" s="21"/>
      <c r="L175" s="117"/>
    </row>
    <row r="176" spans="1:12" ht="14.45">
      <c r="A176" s="21"/>
      <c r="B176" s="33"/>
      <c r="C176" s="21"/>
      <c r="D176" s="21"/>
      <c r="E176" s="21"/>
      <c r="F176" s="22"/>
      <c r="G176" s="21"/>
      <c r="H176" s="21"/>
      <c r="I176" s="22"/>
      <c r="J176" s="21"/>
      <c r="K176" s="21"/>
      <c r="L176" s="117"/>
    </row>
    <row r="177" spans="1:12" ht="14.45">
      <c r="A177" s="21"/>
      <c r="B177" s="33"/>
      <c r="C177" s="21"/>
      <c r="D177" s="21"/>
      <c r="E177" s="21"/>
      <c r="F177" s="22"/>
      <c r="G177" s="21"/>
      <c r="H177" s="21"/>
      <c r="I177" s="22"/>
      <c r="J177" s="21"/>
      <c r="K177" s="21"/>
      <c r="L177" s="117"/>
    </row>
    <row r="178" spans="1:12" ht="14.45">
      <c r="A178" s="21"/>
      <c r="B178" s="33"/>
      <c r="C178" s="21"/>
      <c r="D178" s="21"/>
      <c r="E178" s="21"/>
      <c r="F178" s="22"/>
      <c r="G178" s="21"/>
      <c r="H178" s="21"/>
      <c r="I178" s="22"/>
      <c r="J178" s="21"/>
      <c r="K178" s="21"/>
      <c r="L178" s="117"/>
    </row>
    <row r="179" spans="1:12" ht="14.45">
      <c r="A179" s="21"/>
      <c r="B179" s="33"/>
      <c r="C179" s="21"/>
      <c r="D179" s="21"/>
      <c r="E179" s="21"/>
      <c r="F179" s="22"/>
      <c r="G179" s="21"/>
      <c r="H179" s="21"/>
      <c r="I179" s="22"/>
      <c r="J179" s="21"/>
      <c r="K179" s="21"/>
      <c r="L179" s="117"/>
    </row>
    <row r="180" spans="1:12" ht="14.45">
      <c r="A180" s="21"/>
      <c r="B180" s="33"/>
      <c r="C180" s="21"/>
      <c r="D180" s="21"/>
      <c r="E180" s="21"/>
      <c r="F180" s="22"/>
      <c r="G180" s="21"/>
      <c r="H180" s="21"/>
      <c r="I180" s="22"/>
      <c r="J180" s="21"/>
      <c r="K180" s="21"/>
      <c r="L180" s="117"/>
    </row>
    <row r="181" spans="1:12" ht="14.45">
      <c r="A181" s="21"/>
      <c r="B181" s="33"/>
      <c r="C181" s="21"/>
      <c r="D181" s="21"/>
      <c r="E181" s="21"/>
      <c r="F181" s="22"/>
      <c r="G181" s="21"/>
      <c r="H181" s="21"/>
      <c r="I181" s="22"/>
      <c r="J181" s="21"/>
      <c r="K181" s="21"/>
      <c r="L181" s="117"/>
    </row>
    <row r="182" spans="1:12" ht="14.45">
      <c r="A182" s="21"/>
      <c r="B182" s="33"/>
      <c r="C182" s="21"/>
      <c r="D182" s="21"/>
      <c r="E182" s="21"/>
      <c r="F182" s="22"/>
      <c r="G182" s="21"/>
      <c r="H182" s="21"/>
      <c r="I182" s="22"/>
      <c r="J182" s="21"/>
      <c r="K182" s="21"/>
      <c r="L182" s="117"/>
    </row>
    <row r="183" spans="1:12" ht="14.45">
      <c r="A183" s="21"/>
      <c r="B183" s="33"/>
      <c r="C183" s="21"/>
      <c r="D183" s="21"/>
      <c r="E183" s="21"/>
      <c r="F183" s="22"/>
      <c r="G183" s="21"/>
      <c r="H183" s="21"/>
      <c r="I183" s="22"/>
      <c r="J183" s="21"/>
      <c r="K183" s="21"/>
      <c r="L183" s="117"/>
    </row>
    <row r="184" spans="1:12" ht="14.45">
      <c r="A184" s="21"/>
      <c r="B184" s="33"/>
      <c r="C184" s="21"/>
      <c r="D184" s="21"/>
      <c r="E184" s="21"/>
      <c r="F184" s="22"/>
      <c r="G184" s="21"/>
      <c r="H184" s="21"/>
      <c r="I184" s="22"/>
      <c r="J184" s="21"/>
      <c r="K184" s="21"/>
      <c r="L184" s="117"/>
    </row>
    <row r="185" spans="1:12" ht="14.45">
      <c r="A185" s="21"/>
      <c r="B185" s="33"/>
      <c r="C185" s="21"/>
      <c r="D185" s="21"/>
      <c r="E185" s="21"/>
      <c r="F185" s="22"/>
      <c r="G185" s="21"/>
      <c r="H185" s="21"/>
      <c r="I185" s="22"/>
      <c r="J185" s="21"/>
      <c r="K185" s="21"/>
      <c r="L185" s="117"/>
    </row>
    <row r="186" spans="1:12" ht="14.45">
      <c r="A186" s="21"/>
      <c r="B186" s="33"/>
      <c r="C186" s="21"/>
      <c r="D186" s="21"/>
      <c r="E186" s="21"/>
      <c r="F186" s="22"/>
      <c r="G186" s="21"/>
      <c r="H186" s="21"/>
      <c r="I186" s="22"/>
      <c r="J186" s="21"/>
      <c r="K186" s="21"/>
      <c r="L186" s="117"/>
    </row>
    <row r="187" spans="1:12" ht="14.45">
      <c r="A187" s="21"/>
      <c r="B187" s="33"/>
      <c r="C187" s="21"/>
      <c r="D187" s="21"/>
      <c r="E187" s="21"/>
      <c r="F187" s="22"/>
      <c r="G187" s="21"/>
      <c r="H187" s="21"/>
      <c r="I187" s="22"/>
      <c r="J187" s="21"/>
      <c r="K187" s="21"/>
      <c r="L187" s="117"/>
    </row>
    <row r="188" spans="1:12" ht="14.45">
      <c r="A188" s="21"/>
      <c r="B188" s="33"/>
      <c r="C188" s="21"/>
      <c r="D188" s="21"/>
      <c r="E188" s="21"/>
      <c r="F188" s="22"/>
      <c r="G188" s="21"/>
      <c r="H188" s="21"/>
      <c r="I188" s="22"/>
      <c r="J188" s="21"/>
      <c r="K188" s="21"/>
      <c r="L188" s="117"/>
    </row>
    <row r="189" spans="1:12" ht="14.45">
      <c r="A189" s="21"/>
      <c r="B189" s="33"/>
      <c r="C189" s="21"/>
      <c r="D189" s="21"/>
      <c r="E189" s="21"/>
      <c r="F189" s="22"/>
      <c r="G189" s="21"/>
      <c r="H189" s="21"/>
      <c r="I189" s="22"/>
      <c r="J189" s="21"/>
      <c r="K189" s="21"/>
      <c r="L189" s="117"/>
    </row>
    <row r="190" spans="1:12" ht="14.45">
      <c r="A190" s="21"/>
      <c r="B190" s="33"/>
      <c r="C190" s="21"/>
      <c r="D190" s="21"/>
      <c r="E190" s="21"/>
      <c r="F190" s="22"/>
      <c r="G190" s="21"/>
      <c r="H190" s="21"/>
      <c r="I190" s="22"/>
      <c r="J190" s="21"/>
      <c r="K190" s="21"/>
      <c r="L190" s="117"/>
    </row>
    <row r="191" spans="1:12" ht="14.45">
      <c r="A191" s="21"/>
      <c r="B191" s="33"/>
      <c r="C191" s="21"/>
      <c r="D191" s="21"/>
      <c r="E191" s="21"/>
      <c r="F191" s="22"/>
      <c r="G191" s="21"/>
      <c r="H191" s="21"/>
      <c r="I191" s="22"/>
      <c r="J191" s="21"/>
      <c r="K191" s="21"/>
      <c r="L191" s="117"/>
    </row>
    <row r="192" spans="1:12" ht="14.45">
      <c r="A192" s="21"/>
      <c r="B192" s="33"/>
      <c r="C192" s="21"/>
      <c r="D192" s="21"/>
      <c r="E192" s="21"/>
      <c r="F192" s="22"/>
      <c r="G192" s="21"/>
      <c r="H192" s="21"/>
      <c r="I192" s="22"/>
      <c r="J192" s="21"/>
      <c r="K192" s="21"/>
      <c r="L192" s="117"/>
    </row>
    <row r="193" spans="1:12" ht="14.45">
      <c r="A193" s="21"/>
      <c r="B193" s="33"/>
      <c r="C193" s="21"/>
      <c r="D193" s="21"/>
      <c r="E193" s="21"/>
      <c r="F193" s="22"/>
      <c r="G193" s="21"/>
      <c r="H193" s="21"/>
      <c r="I193" s="22"/>
      <c r="J193" s="21"/>
      <c r="K193" s="21"/>
      <c r="L193" s="117"/>
    </row>
    <row r="194" spans="1:12" ht="14.45">
      <c r="A194" s="21"/>
      <c r="B194" s="33"/>
      <c r="C194" s="21"/>
      <c r="D194" s="21"/>
      <c r="E194" s="21"/>
      <c r="F194" s="22"/>
      <c r="G194" s="21"/>
      <c r="H194" s="21"/>
      <c r="I194" s="22"/>
      <c r="J194" s="21"/>
      <c r="K194" s="21"/>
      <c r="L194" s="117"/>
    </row>
    <row r="195" spans="1:12" ht="14.45">
      <c r="A195" s="21"/>
      <c r="B195" s="33"/>
      <c r="C195" s="21"/>
      <c r="D195" s="21"/>
      <c r="E195" s="21"/>
      <c r="F195" s="22"/>
      <c r="G195" s="21"/>
      <c r="H195" s="21"/>
      <c r="I195" s="22"/>
      <c r="J195" s="21"/>
      <c r="K195" s="21"/>
      <c r="L195" s="117"/>
    </row>
    <row r="196" spans="1:12" ht="14.45">
      <c r="A196" s="21"/>
      <c r="B196" s="33"/>
      <c r="C196" s="21"/>
      <c r="D196" s="21"/>
      <c r="E196" s="21"/>
      <c r="F196" s="22"/>
      <c r="G196" s="21"/>
      <c r="H196" s="21"/>
      <c r="I196" s="22"/>
      <c r="J196" s="21"/>
      <c r="K196" s="21"/>
      <c r="L196" s="117"/>
    </row>
    <row r="197" spans="1:12" ht="14.45">
      <c r="A197" s="21"/>
      <c r="B197" s="33"/>
      <c r="C197" s="21"/>
      <c r="D197" s="21"/>
      <c r="E197" s="21"/>
      <c r="F197" s="22"/>
      <c r="G197" s="21"/>
      <c r="H197" s="21"/>
      <c r="I197" s="22"/>
      <c r="J197" s="21"/>
      <c r="K197" s="21"/>
      <c r="L197" s="117"/>
    </row>
    <row r="198" spans="1:12" ht="14.45">
      <c r="A198" s="21"/>
      <c r="B198" s="33"/>
      <c r="C198" s="21"/>
      <c r="D198" s="21"/>
      <c r="E198" s="21"/>
      <c r="F198" s="22"/>
      <c r="G198" s="21"/>
      <c r="H198" s="21"/>
      <c r="I198" s="22"/>
      <c r="J198" s="21"/>
      <c r="K198" s="21"/>
      <c r="L198" s="117"/>
    </row>
    <row r="199" spans="1:12" ht="14.45">
      <c r="A199" s="21"/>
      <c r="B199" s="33"/>
      <c r="C199" s="21"/>
      <c r="D199" s="21"/>
      <c r="E199" s="21"/>
      <c r="F199" s="22"/>
      <c r="G199" s="21"/>
      <c r="H199" s="21"/>
      <c r="I199" s="22"/>
      <c r="J199" s="21"/>
      <c r="K199" s="21"/>
      <c r="L199" s="117"/>
    </row>
    <row r="200" spans="1:12" ht="14.45">
      <c r="A200" s="21"/>
      <c r="B200" s="33"/>
      <c r="C200" s="21"/>
      <c r="D200" s="21"/>
      <c r="E200" s="21"/>
      <c r="F200" s="22"/>
      <c r="G200" s="21"/>
      <c r="H200" s="21"/>
      <c r="I200" s="22"/>
      <c r="J200" s="21"/>
      <c r="K200" s="21"/>
      <c r="L200" s="117"/>
    </row>
    <row r="201" spans="1:12" ht="14.45">
      <c r="A201" s="21"/>
      <c r="B201" s="33"/>
      <c r="C201" s="21"/>
      <c r="D201" s="21"/>
      <c r="E201" s="21"/>
      <c r="F201" s="22"/>
      <c r="G201" s="21"/>
      <c r="H201" s="21"/>
      <c r="I201" s="22"/>
      <c r="J201" s="21"/>
      <c r="K201" s="21"/>
      <c r="L201" s="117"/>
    </row>
    <row r="202" spans="1:12" ht="14.45">
      <c r="A202" s="21"/>
      <c r="B202" s="33"/>
      <c r="C202" s="21"/>
      <c r="D202" s="21"/>
      <c r="E202" s="21"/>
      <c r="F202" s="22"/>
      <c r="G202" s="21"/>
      <c r="H202" s="21"/>
      <c r="I202" s="22"/>
      <c r="J202" s="21"/>
      <c r="K202" s="21"/>
      <c r="L202" s="117"/>
    </row>
    <row r="203" spans="1:12" ht="14.45">
      <c r="A203" s="21"/>
      <c r="B203" s="33"/>
      <c r="C203" s="21"/>
      <c r="D203" s="21"/>
      <c r="E203" s="21"/>
      <c r="F203" s="22"/>
      <c r="G203" s="21"/>
      <c r="H203" s="21"/>
      <c r="I203" s="22"/>
      <c r="J203" s="21"/>
      <c r="K203" s="21"/>
      <c r="L203" s="117"/>
    </row>
    <row r="204" spans="1:12" ht="14.45">
      <c r="A204" s="21"/>
      <c r="B204" s="33"/>
      <c r="C204" s="21"/>
      <c r="D204" s="21"/>
      <c r="E204" s="21"/>
      <c r="F204" s="22"/>
      <c r="G204" s="21"/>
      <c r="H204" s="21"/>
      <c r="I204" s="22"/>
      <c r="J204" s="21"/>
      <c r="K204" s="21"/>
      <c r="L204" s="117"/>
    </row>
    <row r="205" spans="1:12" ht="14.45">
      <c r="A205" s="21"/>
      <c r="B205" s="33"/>
      <c r="C205" s="21"/>
      <c r="D205" s="21"/>
      <c r="E205" s="21"/>
      <c r="F205" s="22"/>
      <c r="G205" s="21"/>
      <c r="H205" s="21"/>
      <c r="I205" s="22"/>
      <c r="J205" s="21"/>
      <c r="K205" s="21"/>
      <c r="L205" s="117"/>
    </row>
    <row r="206" spans="1:12" ht="14.45">
      <c r="A206" s="21"/>
      <c r="B206" s="33"/>
      <c r="C206" s="21"/>
      <c r="D206" s="21"/>
      <c r="E206" s="21"/>
      <c r="F206" s="22"/>
      <c r="G206" s="21"/>
      <c r="H206" s="21"/>
      <c r="I206" s="22"/>
      <c r="J206" s="21"/>
      <c r="K206" s="21"/>
      <c r="L206" s="117"/>
    </row>
    <row r="207" spans="1:12" ht="14.45">
      <c r="A207" s="21"/>
      <c r="B207" s="33"/>
      <c r="C207" s="21"/>
      <c r="D207" s="21"/>
      <c r="E207" s="21"/>
      <c r="F207" s="22"/>
      <c r="G207" s="21"/>
      <c r="H207" s="21"/>
      <c r="I207" s="22"/>
      <c r="J207" s="21"/>
      <c r="K207" s="21"/>
      <c r="L207" s="117"/>
    </row>
    <row r="208" spans="1:12" ht="14.45">
      <c r="A208" s="21"/>
      <c r="B208" s="33"/>
      <c r="C208" s="21"/>
      <c r="D208" s="21"/>
      <c r="E208" s="21"/>
      <c r="F208" s="22"/>
      <c r="G208" s="21"/>
      <c r="H208" s="21"/>
      <c r="I208" s="22"/>
      <c r="J208" s="21"/>
      <c r="K208" s="21"/>
      <c r="L208" s="117"/>
    </row>
    <row r="209" spans="1:12" ht="14.45">
      <c r="A209" s="21"/>
      <c r="B209" s="33"/>
      <c r="C209" s="21"/>
      <c r="D209" s="21"/>
      <c r="E209" s="21"/>
      <c r="F209" s="22"/>
      <c r="G209" s="21"/>
      <c r="H209" s="21"/>
      <c r="I209" s="22"/>
      <c r="J209" s="21"/>
      <c r="K209" s="21"/>
      <c r="L209" s="117"/>
    </row>
    <row r="210" spans="1:12" ht="14.45">
      <c r="A210" s="21"/>
      <c r="B210" s="33"/>
      <c r="C210" s="21"/>
      <c r="D210" s="21"/>
      <c r="E210" s="21"/>
      <c r="F210" s="22"/>
      <c r="G210" s="21"/>
      <c r="H210" s="21"/>
      <c r="I210" s="22"/>
      <c r="J210" s="21"/>
      <c r="K210" s="21"/>
      <c r="L210" s="117"/>
    </row>
    <row r="211" spans="1:12" ht="14.45">
      <c r="A211" s="21"/>
      <c r="B211" s="33"/>
      <c r="C211" s="21"/>
      <c r="D211" s="21"/>
      <c r="E211" s="21"/>
      <c r="F211" s="22"/>
      <c r="G211" s="21"/>
      <c r="H211" s="21"/>
      <c r="I211" s="22"/>
      <c r="J211" s="21"/>
      <c r="K211" s="21"/>
      <c r="L211" s="117"/>
    </row>
    <row r="212" spans="1:12" ht="14.45">
      <c r="A212" s="21"/>
      <c r="B212" s="33"/>
      <c r="C212" s="21"/>
      <c r="D212" s="21"/>
      <c r="E212" s="21"/>
      <c r="F212" s="22"/>
      <c r="G212" s="21"/>
      <c r="H212" s="21"/>
      <c r="I212" s="22"/>
      <c r="J212" s="21"/>
      <c r="K212" s="21"/>
      <c r="L212" s="117"/>
    </row>
    <row r="213" spans="1:12" ht="14.45">
      <c r="A213" s="21"/>
      <c r="B213" s="33"/>
      <c r="C213" s="21"/>
      <c r="D213" s="21"/>
      <c r="E213" s="21"/>
      <c r="F213" s="22"/>
      <c r="G213" s="21"/>
      <c r="H213" s="21"/>
      <c r="I213" s="22"/>
      <c r="J213" s="21"/>
      <c r="K213" s="21"/>
      <c r="L213" s="117"/>
    </row>
    <row r="214" spans="1:12" ht="14.45">
      <c r="A214" s="21"/>
      <c r="B214" s="33"/>
      <c r="C214" s="21"/>
      <c r="D214" s="21"/>
      <c r="E214" s="21"/>
      <c r="F214" s="22"/>
      <c r="G214" s="21"/>
      <c r="H214" s="21"/>
      <c r="I214" s="22"/>
      <c r="J214" s="21"/>
      <c r="K214" s="21"/>
      <c r="L214" s="117"/>
    </row>
    <row r="215" spans="1:12" ht="14.45">
      <c r="A215" s="21"/>
      <c r="B215" s="33"/>
      <c r="C215" s="21"/>
      <c r="D215" s="21"/>
      <c r="E215" s="21"/>
      <c r="F215" s="22"/>
      <c r="G215" s="21"/>
      <c r="H215" s="21"/>
      <c r="I215" s="22"/>
      <c r="J215" s="21"/>
      <c r="K215" s="21"/>
      <c r="L215" s="117"/>
    </row>
    <row r="216" spans="1:12" ht="14.45">
      <c r="A216" s="21"/>
      <c r="B216" s="33"/>
      <c r="C216" s="21"/>
      <c r="D216" s="21"/>
      <c r="E216" s="21"/>
      <c r="F216" s="22"/>
      <c r="G216" s="21"/>
      <c r="H216" s="21"/>
      <c r="I216" s="22"/>
      <c r="J216" s="21"/>
      <c r="K216" s="21"/>
      <c r="L216" s="117"/>
    </row>
    <row r="217" spans="1:12" ht="14.45">
      <c r="A217" s="21"/>
      <c r="B217" s="33"/>
      <c r="C217" s="21"/>
      <c r="D217" s="21"/>
      <c r="E217" s="21"/>
      <c r="F217" s="22"/>
      <c r="G217" s="21"/>
      <c r="H217" s="21"/>
      <c r="I217" s="22"/>
      <c r="J217" s="21"/>
      <c r="K217" s="21"/>
      <c r="L217" s="117"/>
    </row>
    <row r="218" spans="1:12" ht="14.45">
      <c r="A218" s="21"/>
      <c r="B218" s="33"/>
      <c r="C218" s="21"/>
      <c r="D218" s="21"/>
      <c r="E218" s="21"/>
      <c r="F218" s="22"/>
      <c r="G218" s="21"/>
      <c r="H218" s="21"/>
      <c r="I218" s="22"/>
      <c r="J218" s="21"/>
      <c r="K218" s="21"/>
      <c r="L218" s="117"/>
    </row>
    <row r="219" spans="1:12" ht="14.45">
      <c r="A219" s="21"/>
      <c r="B219" s="33"/>
      <c r="C219" s="21"/>
      <c r="D219" s="21"/>
      <c r="E219" s="21"/>
      <c r="F219" s="22"/>
      <c r="G219" s="21"/>
      <c r="H219" s="21"/>
      <c r="I219" s="22"/>
      <c r="J219" s="21"/>
      <c r="K219" s="21"/>
      <c r="L219" s="117"/>
    </row>
    <row r="220" spans="1:12" ht="14.45">
      <c r="A220" s="21"/>
      <c r="B220" s="33"/>
      <c r="C220" s="21"/>
      <c r="D220" s="21"/>
      <c r="E220" s="21"/>
      <c r="F220" s="22"/>
      <c r="G220" s="21"/>
      <c r="H220" s="21"/>
      <c r="I220" s="22"/>
      <c r="J220" s="21"/>
      <c r="K220" s="21"/>
      <c r="L220" s="117"/>
    </row>
    <row r="221" spans="1:12" ht="14.45">
      <c r="A221" s="21"/>
      <c r="B221" s="33"/>
      <c r="C221" s="21"/>
      <c r="D221" s="21"/>
      <c r="E221" s="21"/>
      <c r="F221" s="22"/>
      <c r="G221" s="21"/>
      <c r="H221" s="21"/>
      <c r="I221" s="22"/>
      <c r="J221" s="21"/>
      <c r="K221" s="21"/>
      <c r="L221" s="117"/>
    </row>
    <row r="222" spans="1:12" ht="14.45">
      <c r="A222" s="21"/>
      <c r="B222" s="33"/>
      <c r="C222" s="21"/>
      <c r="D222" s="21"/>
      <c r="E222" s="21"/>
      <c r="F222" s="22"/>
      <c r="G222" s="21"/>
      <c r="H222" s="21"/>
      <c r="I222" s="22"/>
      <c r="J222" s="21"/>
      <c r="K222" s="21"/>
      <c r="L222" s="117"/>
    </row>
    <row r="223" spans="1:12" ht="14.45">
      <c r="A223" s="21"/>
      <c r="B223" s="33"/>
      <c r="C223" s="21"/>
      <c r="D223" s="21"/>
      <c r="E223" s="21"/>
      <c r="F223" s="22"/>
      <c r="G223" s="21"/>
      <c r="H223" s="21"/>
      <c r="I223" s="22"/>
      <c r="J223" s="21"/>
      <c r="K223" s="21"/>
      <c r="L223" s="117"/>
    </row>
    <row r="224" spans="1:12" ht="14.45">
      <c r="A224" s="21"/>
      <c r="B224" s="33"/>
      <c r="C224" s="21"/>
      <c r="D224" s="21"/>
      <c r="E224" s="21"/>
      <c r="F224" s="22"/>
      <c r="G224" s="21"/>
      <c r="H224" s="21"/>
      <c r="I224" s="22"/>
      <c r="J224" s="21"/>
      <c r="K224" s="21"/>
      <c r="L224" s="117"/>
    </row>
    <row r="225" spans="1:12" ht="14.45">
      <c r="A225" s="21"/>
      <c r="B225" s="33"/>
      <c r="C225" s="21"/>
      <c r="D225" s="21"/>
      <c r="E225" s="21"/>
      <c r="F225" s="22"/>
      <c r="G225" s="21"/>
      <c r="H225" s="21"/>
      <c r="I225" s="22"/>
      <c r="J225" s="21"/>
      <c r="K225" s="21"/>
      <c r="L225" s="117"/>
    </row>
    <row r="226" spans="1:12" ht="14.45">
      <c r="A226" s="21"/>
      <c r="B226" s="33"/>
      <c r="C226" s="21"/>
      <c r="D226" s="21"/>
      <c r="E226" s="21"/>
      <c r="F226" s="22"/>
      <c r="G226" s="21"/>
      <c r="H226" s="21"/>
      <c r="I226" s="22"/>
      <c r="J226" s="21"/>
      <c r="K226" s="21"/>
      <c r="L226" s="117"/>
    </row>
    <row r="227" spans="1:12" ht="14.45">
      <c r="A227" s="21"/>
      <c r="B227" s="33"/>
      <c r="C227" s="21"/>
      <c r="D227" s="21"/>
      <c r="E227" s="21"/>
      <c r="F227" s="22"/>
      <c r="G227" s="21"/>
      <c r="H227" s="21"/>
      <c r="I227" s="22"/>
      <c r="J227" s="21"/>
      <c r="K227" s="21"/>
      <c r="L227" s="117"/>
    </row>
    <row r="228" spans="1:12" ht="14.45">
      <c r="A228" s="21"/>
      <c r="B228" s="33"/>
      <c r="C228" s="21"/>
      <c r="D228" s="21"/>
      <c r="E228" s="21"/>
      <c r="F228" s="22"/>
      <c r="G228" s="21"/>
      <c r="H228" s="21"/>
      <c r="I228" s="22"/>
      <c r="J228" s="21"/>
      <c r="K228" s="21"/>
      <c r="L228" s="117"/>
    </row>
    <row r="229" spans="1:12" ht="14.45">
      <c r="A229" s="21"/>
      <c r="B229" s="33"/>
      <c r="C229" s="21"/>
      <c r="D229" s="21"/>
      <c r="E229" s="21"/>
      <c r="F229" s="22"/>
      <c r="G229" s="21"/>
      <c r="H229" s="21"/>
      <c r="I229" s="22"/>
      <c r="J229" s="21"/>
      <c r="K229" s="21"/>
      <c r="L229" s="117"/>
    </row>
    <row r="230" spans="1:12" ht="14.45">
      <c r="A230" s="21"/>
      <c r="B230" s="33"/>
      <c r="C230" s="21"/>
      <c r="D230" s="21"/>
      <c r="E230" s="21"/>
      <c r="F230" s="22"/>
      <c r="G230" s="21"/>
      <c r="H230" s="21"/>
      <c r="I230" s="22"/>
      <c r="J230" s="21"/>
      <c r="K230" s="21"/>
      <c r="L230" s="117"/>
    </row>
    <row r="231" spans="1:12" ht="14.45">
      <c r="A231" s="21"/>
      <c r="B231" s="33"/>
      <c r="C231" s="21"/>
      <c r="D231" s="21"/>
      <c r="E231" s="21"/>
      <c r="F231" s="22"/>
      <c r="G231" s="21"/>
      <c r="H231" s="21"/>
      <c r="I231" s="22"/>
      <c r="J231" s="21"/>
      <c r="K231" s="21"/>
      <c r="L231" s="117"/>
    </row>
    <row r="232" spans="1:12" ht="14.45">
      <c r="A232" s="21"/>
      <c r="B232" s="33"/>
      <c r="C232" s="21"/>
      <c r="D232" s="21"/>
      <c r="E232" s="21"/>
      <c r="F232" s="22"/>
      <c r="G232" s="21"/>
      <c r="H232" s="21"/>
      <c r="I232" s="22"/>
      <c r="J232" s="21"/>
      <c r="K232" s="21"/>
      <c r="L232" s="117"/>
    </row>
    <row r="233" spans="1:12" ht="14.45">
      <c r="A233" s="21"/>
      <c r="B233" s="33"/>
      <c r="C233" s="21"/>
      <c r="D233" s="21"/>
      <c r="E233" s="21"/>
      <c r="F233" s="22"/>
      <c r="G233" s="21"/>
      <c r="H233" s="21"/>
      <c r="I233" s="22"/>
      <c r="J233" s="21"/>
      <c r="K233" s="21"/>
      <c r="L233" s="117"/>
    </row>
    <row r="234" spans="1:12" ht="14.45">
      <c r="A234" s="21"/>
      <c r="B234" s="33"/>
      <c r="C234" s="21"/>
      <c r="D234" s="21"/>
      <c r="E234" s="21"/>
      <c r="F234" s="22"/>
      <c r="G234" s="21"/>
      <c r="H234" s="21"/>
      <c r="I234" s="22"/>
      <c r="J234" s="21"/>
      <c r="K234" s="21"/>
      <c r="L234" s="117"/>
    </row>
    <row r="235" spans="1:12" ht="14.45">
      <c r="A235" s="21"/>
      <c r="B235" s="33"/>
      <c r="C235" s="21"/>
      <c r="D235" s="21"/>
      <c r="E235" s="21"/>
      <c r="F235" s="22"/>
      <c r="G235" s="21"/>
      <c r="H235" s="21"/>
      <c r="I235" s="22"/>
      <c r="J235" s="21"/>
      <c r="K235" s="21"/>
      <c r="L235" s="117"/>
    </row>
    <row r="236" spans="1:12" ht="14.45">
      <c r="A236" s="21"/>
      <c r="B236" s="33"/>
      <c r="C236" s="21"/>
      <c r="D236" s="21"/>
      <c r="E236" s="21"/>
      <c r="F236" s="22"/>
      <c r="G236" s="21"/>
      <c r="H236" s="21"/>
      <c r="I236" s="22"/>
      <c r="J236" s="21"/>
      <c r="K236" s="21"/>
      <c r="L236" s="117"/>
    </row>
    <row r="237" spans="1:12" ht="14.45">
      <c r="A237" s="21"/>
      <c r="B237" s="33"/>
      <c r="C237" s="21"/>
      <c r="D237" s="21"/>
      <c r="E237" s="21"/>
      <c r="F237" s="22"/>
      <c r="G237" s="21"/>
      <c r="H237" s="21"/>
      <c r="I237" s="22"/>
      <c r="J237" s="21"/>
      <c r="K237" s="21"/>
      <c r="L237" s="117"/>
    </row>
    <row r="238" spans="1:12" ht="14.45">
      <c r="A238" s="21"/>
      <c r="B238" s="33"/>
      <c r="C238" s="21"/>
      <c r="D238" s="21"/>
      <c r="E238" s="21"/>
      <c r="F238" s="22"/>
      <c r="G238" s="21"/>
      <c r="H238" s="21"/>
      <c r="I238" s="22"/>
      <c r="J238" s="21"/>
      <c r="K238" s="21"/>
      <c r="L238" s="117"/>
    </row>
    <row r="239" spans="1:12" ht="14.45">
      <c r="A239" s="21"/>
      <c r="B239" s="33"/>
      <c r="C239" s="21"/>
      <c r="D239" s="21"/>
      <c r="E239" s="21"/>
      <c r="F239" s="22"/>
      <c r="G239" s="21"/>
      <c r="H239" s="21"/>
      <c r="I239" s="22"/>
      <c r="J239" s="21"/>
      <c r="K239" s="21"/>
      <c r="L239" s="117"/>
    </row>
    <row r="240" spans="1:12" ht="14.45">
      <c r="A240" s="21"/>
      <c r="B240" s="33"/>
      <c r="C240" s="21"/>
      <c r="D240" s="21"/>
      <c r="E240" s="21"/>
      <c r="F240" s="22"/>
      <c r="G240" s="21"/>
      <c r="H240" s="21"/>
      <c r="I240" s="22"/>
      <c r="J240" s="21"/>
      <c r="K240" s="21"/>
      <c r="L240" s="117"/>
    </row>
    <row r="241" spans="1:12" ht="14.45">
      <c r="A241" s="21"/>
      <c r="B241" s="33"/>
      <c r="C241" s="21"/>
      <c r="D241" s="21"/>
      <c r="E241" s="21"/>
      <c r="F241" s="22"/>
      <c r="G241" s="21"/>
      <c r="H241" s="21"/>
      <c r="I241" s="22"/>
      <c r="J241" s="21"/>
      <c r="K241" s="21"/>
      <c r="L241" s="117"/>
    </row>
    <row r="242" spans="1:12" ht="14.45">
      <c r="A242" s="21"/>
      <c r="B242" s="33"/>
      <c r="C242" s="21"/>
      <c r="D242" s="21"/>
      <c r="E242" s="21"/>
      <c r="F242" s="22"/>
      <c r="G242" s="21"/>
      <c r="H242" s="21"/>
      <c r="I242" s="22"/>
      <c r="J242" s="21"/>
      <c r="K242" s="21"/>
      <c r="L242" s="117"/>
    </row>
    <row r="243" spans="1:12" ht="14.45">
      <c r="A243" s="21"/>
      <c r="B243" s="33"/>
      <c r="C243" s="21"/>
      <c r="D243" s="21"/>
      <c r="E243" s="21"/>
      <c r="F243" s="22"/>
      <c r="G243" s="21"/>
      <c r="H243" s="21"/>
      <c r="I243" s="22"/>
      <c r="J243" s="21"/>
      <c r="K243" s="21"/>
      <c r="L243" s="117"/>
    </row>
    <row r="244" spans="1:12" ht="14.45">
      <c r="A244" s="21"/>
      <c r="B244" s="33"/>
      <c r="C244" s="21"/>
      <c r="D244" s="21"/>
      <c r="E244" s="21"/>
      <c r="F244" s="22"/>
      <c r="G244" s="21"/>
      <c r="H244" s="21"/>
      <c r="I244" s="22"/>
      <c r="J244" s="21"/>
      <c r="K244" s="21"/>
      <c r="L244" s="117"/>
    </row>
    <row r="245" spans="1:12" ht="14.45">
      <c r="A245" s="21"/>
      <c r="B245" s="33"/>
      <c r="C245" s="21"/>
      <c r="D245" s="21"/>
      <c r="E245" s="21"/>
      <c r="F245" s="22"/>
      <c r="G245" s="21"/>
      <c r="H245" s="21"/>
      <c r="I245" s="22"/>
      <c r="J245" s="21"/>
      <c r="K245" s="21"/>
      <c r="L245" s="117"/>
    </row>
    <row r="246" spans="1:12" ht="14.45">
      <c r="A246" s="21"/>
      <c r="B246" s="33"/>
      <c r="C246" s="21"/>
      <c r="D246" s="21"/>
      <c r="E246" s="21"/>
      <c r="F246" s="22"/>
      <c r="G246" s="21"/>
      <c r="H246" s="21"/>
      <c r="I246" s="22"/>
      <c r="J246" s="21"/>
      <c r="K246" s="21"/>
      <c r="L246" s="117"/>
    </row>
    <row r="247" spans="1:12" ht="14.45">
      <c r="A247" s="21"/>
      <c r="B247" s="33"/>
      <c r="C247" s="21"/>
      <c r="D247" s="21"/>
      <c r="E247" s="21"/>
      <c r="F247" s="22"/>
      <c r="G247" s="21"/>
      <c r="H247" s="21"/>
      <c r="I247" s="22"/>
      <c r="J247" s="21"/>
      <c r="K247" s="21"/>
      <c r="L247" s="117"/>
    </row>
    <row r="248" spans="1:12" ht="14.45">
      <c r="A248" s="21"/>
      <c r="B248" s="33"/>
      <c r="C248" s="21"/>
      <c r="D248" s="21"/>
      <c r="E248" s="21"/>
      <c r="F248" s="22"/>
      <c r="G248" s="21"/>
      <c r="H248" s="21"/>
      <c r="I248" s="22"/>
      <c r="J248" s="21"/>
      <c r="K248" s="21"/>
      <c r="L248" s="117"/>
    </row>
    <row r="249" spans="1:12" ht="14.45">
      <c r="A249" s="21"/>
      <c r="B249" s="33"/>
      <c r="C249" s="21"/>
      <c r="D249" s="21"/>
      <c r="E249" s="21"/>
      <c r="F249" s="22"/>
      <c r="G249" s="21"/>
      <c r="H249" s="21"/>
      <c r="I249" s="22"/>
      <c r="J249" s="21"/>
      <c r="K249" s="21"/>
      <c r="L249" s="117"/>
    </row>
    <row r="250" spans="1:12" ht="14.45">
      <c r="A250" s="21"/>
      <c r="B250" s="33"/>
      <c r="C250" s="21"/>
      <c r="D250" s="21"/>
      <c r="E250" s="21"/>
      <c r="F250" s="22"/>
      <c r="G250" s="21"/>
      <c r="H250" s="21"/>
      <c r="I250" s="22"/>
      <c r="J250" s="21"/>
      <c r="K250" s="21"/>
      <c r="L250" s="117"/>
    </row>
    <row r="251" spans="1:12" ht="14.45">
      <c r="A251" s="21"/>
      <c r="B251" s="33"/>
      <c r="C251" s="21"/>
      <c r="D251" s="21"/>
      <c r="E251" s="21"/>
      <c r="F251" s="22"/>
      <c r="G251" s="21"/>
      <c r="H251" s="21"/>
      <c r="I251" s="22"/>
      <c r="J251" s="21"/>
      <c r="K251" s="21"/>
      <c r="L251" s="117"/>
    </row>
    <row r="252" spans="1:12" ht="14.45">
      <c r="A252" s="21"/>
      <c r="B252" s="33"/>
      <c r="C252" s="21"/>
      <c r="D252" s="21"/>
      <c r="E252" s="21"/>
      <c r="F252" s="22"/>
      <c r="G252" s="21"/>
      <c r="H252" s="21"/>
      <c r="I252" s="22"/>
      <c r="J252" s="21"/>
      <c r="K252" s="21"/>
      <c r="L252" s="117"/>
    </row>
    <row r="253" spans="1:12" ht="14.45">
      <c r="A253" s="21"/>
      <c r="B253" s="33"/>
      <c r="C253" s="21"/>
      <c r="D253" s="21"/>
      <c r="E253" s="21"/>
      <c r="F253" s="22"/>
      <c r="G253" s="21"/>
      <c r="H253" s="21"/>
      <c r="I253" s="22"/>
      <c r="J253" s="21"/>
      <c r="K253" s="21"/>
      <c r="L253" s="117"/>
    </row>
    <row r="254" spans="1:12" ht="14.45">
      <c r="A254" s="21"/>
      <c r="B254" s="33"/>
      <c r="C254" s="21"/>
      <c r="D254" s="21"/>
      <c r="E254" s="21"/>
      <c r="F254" s="22"/>
      <c r="G254" s="21"/>
      <c r="H254" s="21"/>
      <c r="I254" s="22"/>
      <c r="J254" s="21"/>
      <c r="K254" s="21"/>
      <c r="L254" s="117"/>
    </row>
    <row r="255" spans="1:12" ht="14.45">
      <c r="A255" s="21"/>
      <c r="B255" s="33"/>
      <c r="C255" s="21"/>
      <c r="D255" s="21"/>
      <c r="E255" s="21"/>
      <c r="F255" s="22"/>
      <c r="G255" s="21"/>
      <c r="H255" s="21"/>
      <c r="I255" s="22"/>
      <c r="J255" s="21"/>
      <c r="K255" s="21"/>
      <c r="L255" s="117"/>
    </row>
    <row r="256" spans="1:12" ht="14.45">
      <c r="A256" s="21"/>
      <c r="B256" s="33"/>
      <c r="C256" s="21"/>
      <c r="D256" s="21"/>
      <c r="E256" s="21"/>
      <c r="F256" s="22"/>
      <c r="G256" s="21"/>
      <c r="H256" s="21"/>
      <c r="I256" s="22"/>
      <c r="J256" s="21"/>
      <c r="K256" s="21"/>
      <c r="L256" s="117"/>
    </row>
    <row r="257" spans="1:12" ht="14.45">
      <c r="A257" s="21"/>
      <c r="B257" s="33"/>
      <c r="C257" s="21"/>
      <c r="D257" s="21"/>
      <c r="E257" s="21"/>
      <c r="F257" s="22"/>
      <c r="G257" s="21"/>
      <c r="H257" s="21"/>
      <c r="I257" s="22"/>
      <c r="J257" s="21"/>
      <c r="K257" s="21"/>
      <c r="L257" s="117"/>
    </row>
    <row r="258" spans="1:12" ht="14.45">
      <c r="A258" s="21"/>
      <c r="B258" s="33"/>
      <c r="C258" s="21"/>
      <c r="D258" s="21"/>
      <c r="E258" s="21"/>
      <c r="F258" s="22"/>
      <c r="G258" s="21"/>
      <c r="H258" s="21"/>
      <c r="I258" s="22"/>
      <c r="J258" s="21"/>
      <c r="K258" s="21"/>
      <c r="L258" s="117"/>
    </row>
    <row r="259" spans="1:12" ht="14.45">
      <c r="A259" s="21"/>
      <c r="B259" s="33"/>
      <c r="C259" s="21"/>
      <c r="D259" s="21"/>
      <c r="E259" s="21"/>
      <c r="F259" s="22"/>
      <c r="G259" s="21"/>
      <c r="H259" s="21"/>
      <c r="I259" s="22"/>
      <c r="J259" s="21"/>
      <c r="K259" s="21"/>
      <c r="L259" s="117"/>
    </row>
    <row r="260" spans="1:12" ht="14.45">
      <c r="A260" s="21"/>
      <c r="B260" s="33"/>
      <c r="C260" s="21"/>
      <c r="D260" s="21"/>
      <c r="E260" s="21"/>
      <c r="F260" s="22"/>
      <c r="G260" s="21"/>
      <c r="H260" s="21"/>
      <c r="I260" s="22"/>
      <c r="J260" s="21"/>
      <c r="K260" s="21"/>
      <c r="L260" s="117"/>
    </row>
    <row r="261" spans="1:12" ht="14.45">
      <c r="A261" s="21"/>
      <c r="B261" s="33"/>
      <c r="C261" s="21"/>
      <c r="D261" s="21"/>
      <c r="E261" s="21"/>
      <c r="F261" s="22"/>
      <c r="G261" s="21"/>
      <c r="H261" s="21"/>
      <c r="I261" s="22"/>
      <c r="J261" s="21"/>
      <c r="K261" s="21"/>
      <c r="L261" s="117"/>
    </row>
    <row r="262" spans="1:12" ht="14.45">
      <c r="A262" s="21"/>
      <c r="B262" s="33"/>
      <c r="C262" s="21"/>
      <c r="D262" s="21"/>
      <c r="E262" s="21"/>
      <c r="F262" s="22"/>
      <c r="G262" s="21"/>
      <c r="H262" s="21"/>
      <c r="I262" s="22"/>
      <c r="J262" s="21"/>
      <c r="K262" s="21"/>
      <c r="L262" s="117"/>
    </row>
    <row r="263" spans="1:12" ht="14.45">
      <c r="A263" s="21"/>
      <c r="B263" s="33"/>
      <c r="C263" s="21"/>
      <c r="D263" s="21"/>
      <c r="E263" s="21"/>
      <c r="F263" s="22"/>
      <c r="G263" s="21"/>
      <c r="H263" s="21"/>
      <c r="I263" s="22"/>
      <c r="J263" s="21"/>
      <c r="K263" s="21"/>
      <c r="L263" s="117"/>
    </row>
    <row r="264" spans="1:12" ht="14.45">
      <c r="A264" s="21"/>
      <c r="B264" s="33"/>
      <c r="C264" s="21"/>
      <c r="D264" s="21"/>
      <c r="E264" s="21"/>
      <c r="F264" s="22"/>
      <c r="G264" s="21"/>
      <c r="H264" s="21"/>
      <c r="I264" s="22"/>
      <c r="J264" s="21"/>
      <c r="K264" s="21"/>
      <c r="L264" s="117"/>
    </row>
    <row r="265" spans="1:12" ht="14.45">
      <c r="A265" s="21"/>
      <c r="B265" s="33"/>
      <c r="C265" s="21"/>
      <c r="D265" s="21"/>
      <c r="E265" s="21"/>
      <c r="F265" s="22"/>
      <c r="G265" s="21"/>
      <c r="H265" s="21"/>
      <c r="I265" s="22"/>
      <c r="J265" s="21"/>
      <c r="K265" s="21"/>
      <c r="L265" s="117"/>
    </row>
    <row r="266" spans="1:12" ht="14.45">
      <c r="A266" s="21"/>
      <c r="B266" s="33"/>
      <c r="C266" s="21"/>
      <c r="D266" s="21"/>
      <c r="E266" s="21"/>
      <c r="F266" s="22"/>
      <c r="G266" s="21"/>
      <c r="H266" s="21"/>
      <c r="I266" s="22"/>
      <c r="J266" s="21"/>
      <c r="K266" s="21"/>
      <c r="L266" s="117"/>
    </row>
    <row r="267" spans="1:12" ht="14.45">
      <c r="A267" s="21"/>
      <c r="B267" s="33"/>
      <c r="C267" s="21"/>
      <c r="D267" s="21"/>
      <c r="E267" s="21"/>
      <c r="F267" s="22"/>
      <c r="G267" s="21"/>
      <c r="H267" s="21"/>
      <c r="I267" s="22"/>
      <c r="J267" s="21"/>
      <c r="K267" s="21"/>
      <c r="L267" s="117"/>
    </row>
    <row r="268" spans="1:12" ht="14.45">
      <c r="A268" s="21"/>
      <c r="B268" s="33"/>
      <c r="C268" s="21"/>
      <c r="D268" s="21"/>
      <c r="E268" s="21"/>
      <c r="F268" s="22"/>
      <c r="G268" s="21"/>
      <c r="H268" s="21"/>
      <c r="I268" s="22"/>
      <c r="J268" s="21"/>
      <c r="K268" s="21"/>
      <c r="L268" s="117"/>
    </row>
    <row r="269" spans="1:12" ht="14.45">
      <c r="A269" s="21"/>
      <c r="B269" s="33"/>
      <c r="C269" s="21"/>
      <c r="D269" s="21"/>
      <c r="E269" s="21"/>
      <c r="F269" s="22"/>
      <c r="G269" s="21"/>
      <c r="H269" s="21"/>
      <c r="I269" s="22"/>
      <c r="J269" s="21"/>
      <c r="K269" s="21"/>
      <c r="L269" s="117"/>
    </row>
    <row r="270" spans="1:12" ht="14.45">
      <c r="A270" s="21"/>
      <c r="B270" s="33"/>
      <c r="C270" s="21"/>
      <c r="D270" s="21"/>
      <c r="E270" s="21"/>
      <c r="F270" s="22"/>
      <c r="G270" s="21"/>
      <c r="H270" s="21"/>
      <c r="I270" s="22"/>
      <c r="J270" s="21"/>
      <c r="K270" s="21"/>
      <c r="L270" s="117"/>
    </row>
    <row r="271" spans="1:12" ht="14.45">
      <c r="A271" s="21"/>
      <c r="B271" s="33"/>
      <c r="C271" s="21"/>
      <c r="D271" s="21"/>
      <c r="E271" s="21"/>
      <c r="F271" s="22"/>
      <c r="G271" s="21"/>
      <c r="H271" s="21"/>
      <c r="I271" s="22"/>
      <c r="J271" s="21"/>
      <c r="K271" s="21"/>
      <c r="L271" s="117"/>
    </row>
    <row r="272" spans="1:12" ht="14.45">
      <c r="A272" s="21"/>
      <c r="B272" s="33"/>
      <c r="C272" s="21"/>
      <c r="D272" s="21"/>
      <c r="E272" s="21"/>
      <c r="F272" s="22"/>
      <c r="G272" s="21"/>
      <c r="H272" s="21"/>
      <c r="I272" s="22"/>
      <c r="J272" s="21"/>
      <c r="K272" s="21"/>
      <c r="L272" s="117"/>
    </row>
    <row r="273" spans="1:12" ht="14.45">
      <c r="A273" s="21"/>
      <c r="B273" s="33"/>
      <c r="C273" s="21"/>
      <c r="D273" s="21"/>
      <c r="E273" s="21"/>
      <c r="F273" s="22"/>
      <c r="G273" s="21"/>
      <c r="H273" s="21"/>
      <c r="I273" s="22"/>
      <c r="J273" s="21"/>
      <c r="K273" s="21"/>
      <c r="L273" s="117"/>
    </row>
    <row r="274" spans="1:12" ht="14.45">
      <c r="A274" s="21"/>
      <c r="B274" s="33"/>
      <c r="C274" s="21"/>
      <c r="D274" s="21"/>
      <c r="E274" s="21"/>
      <c r="F274" s="22"/>
      <c r="G274" s="21"/>
      <c r="H274" s="21"/>
      <c r="I274" s="22"/>
      <c r="J274" s="21"/>
      <c r="K274" s="21"/>
      <c r="L274" s="117"/>
    </row>
    <row r="275" spans="1:12" ht="14.45">
      <c r="A275" s="21"/>
      <c r="B275" s="33"/>
      <c r="C275" s="21"/>
      <c r="D275" s="21"/>
      <c r="E275" s="21"/>
      <c r="F275" s="22"/>
      <c r="G275" s="21"/>
      <c r="H275" s="21"/>
      <c r="I275" s="22"/>
      <c r="J275" s="21"/>
      <c r="K275" s="21"/>
      <c r="L275" s="117"/>
    </row>
    <row r="276" spans="1:12" ht="14.45">
      <c r="A276" s="21"/>
      <c r="B276" s="33"/>
      <c r="C276" s="21"/>
      <c r="D276" s="21"/>
      <c r="E276" s="21"/>
      <c r="F276" s="22"/>
      <c r="G276" s="21"/>
      <c r="H276" s="21"/>
      <c r="I276" s="22"/>
      <c r="J276" s="21"/>
      <c r="K276" s="21"/>
      <c r="L276" s="117"/>
    </row>
    <row r="277" spans="1:12" ht="14.45">
      <c r="A277" s="21"/>
      <c r="B277" s="33"/>
      <c r="C277" s="21"/>
      <c r="D277" s="21"/>
      <c r="E277" s="21"/>
      <c r="F277" s="22"/>
      <c r="G277" s="21"/>
      <c r="H277" s="21"/>
      <c r="I277" s="22"/>
      <c r="J277" s="21"/>
      <c r="K277" s="21"/>
      <c r="L277" s="117"/>
    </row>
    <row r="278" spans="1:12" ht="14.45">
      <c r="A278" s="21"/>
      <c r="B278" s="33"/>
      <c r="C278" s="21"/>
      <c r="D278" s="21"/>
      <c r="E278" s="21"/>
      <c r="F278" s="22"/>
      <c r="G278" s="21"/>
      <c r="H278" s="21"/>
      <c r="I278" s="22"/>
      <c r="J278" s="21"/>
      <c r="K278" s="21"/>
      <c r="L278" s="117"/>
    </row>
    <row r="279" spans="1:12" ht="14.45">
      <c r="A279" s="21"/>
      <c r="B279" s="33"/>
      <c r="C279" s="21"/>
      <c r="D279" s="21"/>
      <c r="E279" s="21"/>
      <c r="F279" s="22"/>
      <c r="G279" s="21"/>
      <c r="H279" s="21"/>
      <c r="I279" s="22"/>
      <c r="J279" s="21"/>
      <c r="K279" s="21"/>
      <c r="L279" s="117"/>
    </row>
    <row r="280" spans="1:12" ht="14.45">
      <c r="A280" s="21"/>
      <c r="B280" s="33"/>
      <c r="C280" s="21"/>
      <c r="D280" s="21"/>
      <c r="E280" s="21"/>
      <c r="F280" s="22"/>
      <c r="G280" s="21"/>
      <c r="H280" s="21"/>
      <c r="I280" s="22"/>
      <c r="J280" s="21"/>
      <c r="K280" s="21"/>
      <c r="L280" s="117"/>
    </row>
    <row r="281" spans="1:12" ht="14.45">
      <c r="A281" s="21"/>
      <c r="B281" s="33"/>
      <c r="C281" s="21"/>
      <c r="D281" s="21"/>
      <c r="E281" s="21"/>
      <c r="F281" s="22"/>
      <c r="G281" s="21"/>
      <c r="H281" s="21"/>
      <c r="I281" s="22"/>
      <c r="J281" s="21"/>
      <c r="K281" s="21"/>
      <c r="L281" s="117"/>
    </row>
    <row r="282" spans="1:12" ht="14.45">
      <c r="A282" s="21"/>
      <c r="B282" s="33"/>
      <c r="C282" s="21"/>
      <c r="D282" s="21"/>
      <c r="E282" s="21"/>
      <c r="F282" s="22"/>
      <c r="G282" s="21"/>
      <c r="H282" s="21"/>
      <c r="I282" s="22"/>
      <c r="J282" s="21"/>
      <c r="K282" s="21"/>
      <c r="L282" s="117"/>
    </row>
    <row r="283" spans="1:12" ht="14.45">
      <c r="A283" s="21"/>
      <c r="B283" s="33"/>
      <c r="C283" s="21"/>
      <c r="D283" s="21"/>
      <c r="E283" s="21"/>
      <c r="F283" s="22"/>
      <c r="G283" s="21"/>
      <c r="H283" s="21"/>
      <c r="I283" s="22"/>
      <c r="J283" s="21"/>
      <c r="K283" s="21"/>
      <c r="L283" s="117"/>
    </row>
    <row r="284" spans="1:12" ht="14.45">
      <c r="A284" s="21"/>
      <c r="B284" s="33"/>
      <c r="C284" s="21"/>
      <c r="D284" s="21"/>
      <c r="E284" s="21"/>
      <c r="F284" s="22"/>
      <c r="G284" s="21"/>
      <c r="H284" s="21"/>
      <c r="I284" s="22"/>
      <c r="J284" s="21"/>
      <c r="K284" s="21"/>
      <c r="L284" s="117"/>
    </row>
    <row r="285" spans="1:12" ht="14.45">
      <c r="A285" s="21"/>
      <c r="B285" s="33"/>
      <c r="C285" s="21"/>
      <c r="D285" s="21"/>
      <c r="E285" s="21"/>
      <c r="F285" s="22"/>
      <c r="G285" s="21"/>
      <c r="H285" s="21"/>
      <c r="I285" s="22"/>
      <c r="J285" s="21"/>
      <c r="K285" s="21"/>
      <c r="L285" s="117"/>
    </row>
    <row r="286" spans="1:12" ht="14.45">
      <c r="A286" s="21"/>
      <c r="B286" s="33"/>
      <c r="C286" s="21"/>
      <c r="D286" s="21"/>
      <c r="E286" s="21"/>
      <c r="F286" s="22"/>
      <c r="G286" s="21"/>
      <c r="H286" s="21"/>
      <c r="I286" s="22"/>
      <c r="J286" s="21"/>
      <c r="K286" s="21"/>
      <c r="L286" s="117"/>
    </row>
    <row r="287" spans="1:12" ht="14.45">
      <c r="A287" s="21"/>
      <c r="B287" s="33"/>
      <c r="C287" s="21"/>
      <c r="D287" s="21"/>
      <c r="E287" s="21"/>
      <c r="F287" s="22"/>
      <c r="G287" s="21"/>
      <c r="H287" s="21"/>
      <c r="I287" s="22"/>
      <c r="J287" s="21"/>
      <c r="K287" s="21"/>
      <c r="L287" s="117"/>
    </row>
    <row r="288" spans="1:12" ht="14.45">
      <c r="A288" s="21"/>
      <c r="B288" s="33"/>
      <c r="C288" s="21"/>
      <c r="D288" s="21"/>
      <c r="E288" s="21"/>
      <c r="F288" s="22"/>
      <c r="G288" s="21"/>
      <c r="H288" s="21"/>
      <c r="I288" s="22"/>
      <c r="J288" s="21"/>
      <c r="K288" s="21"/>
      <c r="L288" s="117"/>
    </row>
    <row r="289" spans="1:12" ht="14.45">
      <c r="A289" s="21"/>
      <c r="B289" s="33"/>
      <c r="C289" s="21"/>
      <c r="D289" s="21"/>
      <c r="E289" s="21"/>
      <c r="F289" s="22"/>
      <c r="G289" s="21"/>
      <c r="H289" s="21"/>
      <c r="I289" s="22"/>
      <c r="J289" s="21"/>
      <c r="K289" s="21"/>
      <c r="L289" s="117"/>
    </row>
    <row r="290" spans="1:12" ht="14.45">
      <c r="A290" s="21"/>
      <c r="B290" s="33"/>
      <c r="C290" s="21"/>
      <c r="D290" s="21"/>
      <c r="E290" s="21"/>
      <c r="F290" s="22"/>
      <c r="G290" s="21"/>
      <c r="H290" s="21"/>
      <c r="I290" s="22"/>
      <c r="J290" s="21"/>
      <c r="K290" s="21"/>
      <c r="L290" s="117"/>
    </row>
    <row r="291" spans="1:12" ht="14.45">
      <c r="A291" s="21"/>
      <c r="B291" s="33"/>
      <c r="C291" s="21"/>
      <c r="D291" s="21"/>
      <c r="E291" s="21"/>
      <c r="F291" s="22"/>
      <c r="G291" s="21"/>
      <c r="H291" s="21"/>
      <c r="I291" s="22"/>
      <c r="J291" s="21"/>
      <c r="K291" s="21"/>
      <c r="L291" s="117"/>
    </row>
    <row r="292" spans="1:12" ht="14.45">
      <c r="A292" s="21"/>
      <c r="B292" s="33"/>
      <c r="C292" s="21"/>
      <c r="D292" s="21"/>
      <c r="E292" s="21"/>
      <c r="F292" s="22"/>
      <c r="G292" s="21"/>
      <c r="H292" s="21"/>
      <c r="I292" s="22"/>
      <c r="J292" s="21"/>
      <c r="K292" s="21"/>
      <c r="L292" s="117"/>
    </row>
    <row r="293" spans="1:12" ht="14.45">
      <c r="A293" s="21"/>
      <c r="B293" s="33"/>
      <c r="C293" s="21"/>
      <c r="D293" s="21"/>
      <c r="E293" s="21"/>
      <c r="F293" s="22"/>
      <c r="G293" s="21"/>
      <c r="H293" s="21"/>
      <c r="I293" s="22"/>
      <c r="J293" s="21"/>
      <c r="K293" s="21"/>
      <c r="L293" s="117"/>
    </row>
    <row r="294" spans="1:12" ht="14.45">
      <c r="A294" s="21"/>
      <c r="B294" s="33"/>
      <c r="C294" s="21"/>
      <c r="D294" s="21"/>
      <c r="E294" s="21"/>
      <c r="F294" s="22"/>
      <c r="G294" s="21"/>
      <c r="H294" s="21"/>
      <c r="I294" s="22"/>
      <c r="J294" s="21"/>
      <c r="K294" s="21"/>
      <c r="L294" s="117"/>
    </row>
    <row r="295" spans="1:12" ht="14.45">
      <c r="A295" s="21"/>
      <c r="B295" s="33"/>
      <c r="C295" s="21"/>
      <c r="D295" s="21"/>
      <c r="E295" s="21"/>
      <c r="F295" s="22"/>
      <c r="G295" s="21"/>
      <c r="H295" s="21"/>
      <c r="I295" s="22"/>
      <c r="J295" s="21"/>
      <c r="K295" s="21"/>
      <c r="L295" s="117"/>
    </row>
    <row r="296" spans="1:12" ht="14.45">
      <c r="A296" s="21"/>
      <c r="B296" s="33"/>
      <c r="C296" s="21"/>
      <c r="D296" s="21"/>
      <c r="E296" s="21"/>
      <c r="F296" s="22"/>
      <c r="G296" s="21"/>
      <c r="H296" s="21"/>
      <c r="I296" s="22"/>
      <c r="J296" s="21"/>
      <c r="K296" s="21"/>
      <c r="L296" s="117"/>
    </row>
    <row r="297" spans="1:12" ht="14.45">
      <c r="A297" s="21"/>
      <c r="B297" s="33"/>
      <c r="C297" s="21"/>
      <c r="D297" s="21"/>
      <c r="E297" s="21"/>
      <c r="F297" s="22"/>
      <c r="G297" s="21"/>
      <c r="H297" s="21"/>
      <c r="I297" s="22"/>
      <c r="J297" s="21"/>
      <c r="K297" s="21"/>
      <c r="L297" s="117"/>
    </row>
    <row r="298" spans="1:12" ht="14.45">
      <c r="A298" s="21"/>
      <c r="B298" s="33"/>
      <c r="C298" s="21"/>
      <c r="D298" s="21"/>
      <c r="E298" s="21"/>
      <c r="F298" s="22"/>
      <c r="G298" s="21"/>
      <c r="H298" s="21"/>
      <c r="I298" s="22"/>
      <c r="J298" s="21"/>
      <c r="K298" s="21"/>
      <c r="L298" s="117"/>
    </row>
    <row r="299" spans="1:12" ht="14.45">
      <c r="A299" s="21"/>
      <c r="B299" s="33"/>
      <c r="C299" s="21"/>
      <c r="D299" s="21"/>
      <c r="E299" s="21"/>
      <c r="F299" s="22"/>
      <c r="G299" s="21"/>
      <c r="H299" s="21"/>
      <c r="I299" s="22"/>
      <c r="J299" s="21"/>
      <c r="K299" s="21"/>
      <c r="L299" s="117"/>
    </row>
    <row r="300" spans="1:12" ht="14.45">
      <c r="A300" s="21"/>
      <c r="B300" s="33"/>
      <c r="C300" s="21"/>
      <c r="D300" s="21"/>
      <c r="E300" s="21"/>
      <c r="F300" s="22"/>
      <c r="G300" s="21"/>
      <c r="H300" s="21"/>
      <c r="I300" s="22"/>
      <c r="J300" s="21"/>
      <c r="K300" s="21"/>
      <c r="L300" s="117"/>
    </row>
    <row r="301" spans="1:12" ht="14.45">
      <c r="A301" s="21"/>
      <c r="B301" s="33"/>
      <c r="C301" s="21"/>
      <c r="D301" s="21"/>
      <c r="E301" s="21"/>
      <c r="F301" s="22"/>
      <c r="G301" s="21"/>
      <c r="H301" s="21"/>
      <c r="I301" s="22"/>
      <c r="J301" s="21"/>
      <c r="K301" s="21"/>
      <c r="L301" s="117"/>
    </row>
    <row r="302" spans="1:12" ht="14.45">
      <c r="A302" s="21"/>
      <c r="B302" s="33"/>
      <c r="C302" s="21"/>
      <c r="D302" s="21"/>
      <c r="E302" s="21"/>
      <c r="F302" s="22"/>
      <c r="G302" s="21"/>
      <c r="H302" s="21"/>
      <c r="I302" s="22"/>
      <c r="J302" s="21"/>
      <c r="K302" s="21"/>
      <c r="L302" s="117"/>
    </row>
    <row r="303" spans="1:12" ht="14.45">
      <c r="A303" s="21"/>
      <c r="B303" s="33"/>
      <c r="C303" s="21"/>
      <c r="D303" s="21"/>
      <c r="E303" s="21"/>
      <c r="F303" s="22"/>
      <c r="G303" s="21"/>
      <c r="H303" s="21"/>
      <c r="I303" s="22"/>
      <c r="J303" s="21"/>
      <c r="K303" s="21"/>
      <c r="L303" s="117"/>
    </row>
    <row r="304" spans="1:12" ht="14.45">
      <c r="A304" s="21"/>
      <c r="B304" s="33"/>
      <c r="C304" s="21"/>
      <c r="D304" s="21"/>
      <c r="E304" s="21"/>
      <c r="F304" s="22"/>
      <c r="G304" s="21"/>
      <c r="H304" s="21"/>
      <c r="I304" s="22"/>
      <c r="J304" s="21"/>
      <c r="K304" s="21"/>
      <c r="L304" s="117"/>
    </row>
    <row r="305" spans="1:12" ht="14.45">
      <c r="A305" s="21"/>
      <c r="B305" s="33"/>
      <c r="C305" s="21"/>
      <c r="D305" s="21"/>
      <c r="E305" s="21"/>
      <c r="F305" s="22"/>
      <c r="G305" s="21"/>
      <c r="H305" s="21"/>
      <c r="I305" s="22"/>
      <c r="J305" s="21"/>
      <c r="K305" s="21"/>
      <c r="L305" s="117"/>
    </row>
    <row r="306" spans="1:12" ht="14.45">
      <c r="A306" s="21"/>
      <c r="B306" s="33"/>
      <c r="C306" s="21"/>
      <c r="D306" s="21"/>
      <c r="E306" s="21"/>
      <c r="F306" s="22"/>
      <c r="G306" s="21"/>
      <c r="H306" s="21"/>
      <c r="I306" s="22"/>
      <c r="J306" s="21"/>
      <c r="K306" s="21"/>
      <c r="L306" s="117"/>
    </row>
    <row r="307" spans="1:12" ht="14.45">
      <c r="A307" s="21"/>
      <c r="B307" s="33"/>
      <c r="C307" s="21"/>
      <c r="D307" s="21"/>
      <c r="E307" s="21"/>
      <c r="F307" s="22"/>
      <c r="G307" s="21"/>
      <c r="H307" s="21"/>
      <c r="I307" s="22"/>
      <c r="J307" s="21"/>
      <c r="K307" s="21"/>
      <c r="L307" s="117"/>
    </row>
    <row r="308" spans="1:12" ht="14.45">
      <c r="A308" s="21"/>
      <c r="B308" s="33"/>
      <c r="C308" s="21"/>
      <c r="D308" s="21"/>
      <c r="E308" s="21"/>
      <c r="F308" s="22"/>
      <c r="G308" s="21"/>
      <c r="H308" s="21"/>
      <c r="I308" s="22"/>
      <c r="J308" s="21"/>
      <c r="K308" s="21"/>
      <c r="L308" s="117"/>
    </row>
    <row r="309" spans="1:12" ht="14.45">
      <c r="A309" s="21"/>
      <c r="B309" s="33"/>
      <c r="C309" s="21"/>
      <c r="D309" s="21"/>
      <c r="E309" s="21"/>
      <c r="F309" s="22"/>
      <c r="G309" s="21"/>
      <c r="H309" s="21"/>
      <c r="I309" s="22"/>
      <c r="J309" s="21"/>
      <c r="K309" s="21"/>
      <c r="L309" s="117"/>
    </row>
    <row r="310" spans="1:12" ht="14.45">
      <c r="A310" s="21"/>
      <c r="B310" s="33"/>
      <c r="C310" s="21"/>
      <c r="D310" s="21"/>
      <c r="E310" s="21"/>
      <c r="F310" s="22"/>
      <c r="G310" s="21"/>
      <c r="H310" s="21"/>
      <c r="I310" s="22"/>
      <c r="J310" s="21"/>
      <c r="K310" s="21"/>
      <c r="L310" s="117"/>
    </row>
    <row r="311" spans="1:12" ht="14.45">
      <c r="A311" s="21"/>
      <c r="B311" s="33"/>
      <c r="C311" s="21"/>
      <c r="D311" s="21"/>
      <c r="E311" s="21"/>
      <c r="F311" s="22"/>
      <c r="G311" s="21"/>
      <c r="H311" s="21"/>
      <c r="I311" s="22"/>
      <c r="J311" s="21"/>
      <c r="K311" s="21"/>
      <c r="L311" s="117"/>
    </row>
    <row r="312" spans="1:12" ht="14.45">
      <c r="A312" s="21"/>
      <c r="B312" s="33"/>
      <c r="C312" s="21"/>
      <c r="D312" s="21"/>
      <c r="E312" s="21"/>
      <c r="F312" s="22"/>
      <c r="G312" s="21"/>
      <c r="H312" s="21"/>
      <c r="I312" s="22"/>
      <c r="J312" s="21"/>
      <c r="K312" s="21"/>
      <c r="L312" s="117"/>
    </row>
    <row r="313" spans="1:12" ht="14.45">
      <c r="A313" s="21"/>
      <c r="B313" s="33"/>
      <c r="C313" s="21"/>
      <c r="D313" s="21"/>
      <c r="E313" s="21"/>
      <c r="F313" s="22"/>
      <c r="G313" s="21"/>
      <c r="H313" s="21"/>
      <c r="I313" s="22"/>
      <c r="J313" s="21"/>
      <c r="K313" s="21"/>
      <c r="L313" s="117"/>
    </row>
    <row r="314" spans="1:12" ht="14.45">
      <c r="A314" s="21"/>
      <c r="B314" s="33"/>
      <c r="C314" s="21"/>
      <c r="D314" s="21"/>
      <c r="E314" s="21"/>
      <c r="F314" s="22"/>
      <c r="G314" s="21"/>
      <c r="H314" s="21"/>
      <c r="I314" s="22"/>
      <c r="J314" s="21"/>
      <c r="K314" s="21"/>
      <c r="L314" s="117"/>
    </row>
    <row r="315" spans="1:12" ht="14.45">
      <c r="A315" s="21"/>
      <c r="B315" s="33"/>
      <c r="C315" s="21"/>
      <c r="D315" s="21"/>
      <c r="E315" s="21"/>
      <c r="F315" s="22"/>
      <c r="G315" s="21"/>
      <c r="H315" s="21"/>
      <c r="I315" s="22"/>
      <c r="J315" s="21"/>
      <c r="K315" s="21"/>
      <c r="L315" s="117"/>
    </row>
    <row r="316" spans="1:12" ht="14.45">
      <c r="A316" s="21"/>
      <c r="B316" s="33"/>
      <c r="C316" s="21"/>
      <c r="D316" s="21"/>
      <c r="E316" s="21"/>
      <c r="F316" s="22"/>
      <c r="G316" s="21"/>
      <c r="H316" s="21"/>
      <c r="I316" s="22"/>
      <c r="J316" s="21"/>
      <c r="K316" s="21"/>
      <c r="L316" s="117"/>
    </row>
    <row r="317" spans="1:12" ht="14.45">
      <c r="A317" s="21"/>
      <c r="B317" s="33"/>
      <c r="C317" s="21"/>
      <c r="D317" s="21"/>
      <c r="E317" s="21"/>
      <c r="F317" s="22"/>
      <c r="G317" s="21"/>
      <c r="H317" s="21"/>
      <c r="I317" s="22"/>
      <c r="J317" s="21"/>
      <c r="K317" s="21"/>
      <c r="L317" s="117"/>
    </row>
    <row r="318" spans="1:12" ht="14.45">
      <c r="A318" s="21"/>
      <c r="B318" s="33"/>
      <c r="C318" s="21"/>
      <c r="D318" s="21"/>
      <c r="E318" s="21"/>
      <c r="F318" s="22"/>
      <c r="G318" s="21"/>
      <c r="H318" s="21"/>
      <c r="I318" s="22"/>
      <c r="J318" s="21"/>
      <c r="K318" s="21"/>
      <c r="L318" s="117"/>
    </row>
    <row r="319" spans="1:12" ht="14.45">
      <c r="A319" s="21"/>
      <c r="B319" s="33"/>
      <c r="C319" s="21"/>
      <c r="D319" s="21"/>
      <c r="E319" s="21"/>
      <c r="F319" s="22"/>
      <c r="G319" s="21"/>
      <c r="H319" s="21"/>
      <c r="I319" s="22"/>
      <c r="J319" s="21"/>
      <c r="K319" s="21"/>
      <c r="L319" s="117"/>
    </row>
    <row r="320" spans="1:12" ht="14.45">
      <c r="A320" s="21"/>
      <c r="B320" s="33"/>
      <c r="C320" s="21"/>
      <c r="D320" s="21"/>
      <c r="E320" s="21"/>
      <c r="F320" s="22"/>
      <c r="G320" s="21"/>
      <c r="H320" s="21"/>
      <c r="I320" s="22"/>
      <c r="J320" s="21"/>
      <c r="K320" s="21"/>
      <c r="L320" s="117"/>
    </row>
    <row r="321" spans="1:12" ht="14.45">
      <c r="A321" s="21"/>
      <c r="B321" s="33"/>
      <c r="C321" s="21"/>
      <c r="D321" s="21"/>
      <c r="E321" s="21"/>
      <c r="F321" s="22"/>
      <c r="G321" s="21"/>
      <c r="H321" s="21"/>
      <c r="I321" s="22"/>
      <c r="J321" s="21"/>
      <c r="K321" s="21"/>
      <c r="L321" s="117"/>
    </row>
    <row r="322" spans="1:12" ht="14.45">
      <c r="A322" s="21"/>
      <c r="B322" s="33"/>
      <c r="C322" s="21"/>
      <c r="D322" s="21"/>
      <c r="E322" s="21"/>
      <c r="F322" s="22"/>
      <c r="G322" s="21"/>
      <c r="H322" s="21"/>
      <c r="I322" s="22"/>
      <c r="J322" s="21"/>
      <c r="K322" s="21"/>
      <c r="L322" s="117"/>
    </row>
    <row r="323" spans="1:12" ht="14.45">
      <c r="A323" s="21"/>
      <c r="B323" s="33"/>
      <c r="C323" s="21"/>
      <c r="D323" s="21"/>
      <c r="E323" s="21"/>
      <c r="F323" s="22"/>
      <c r="G323" s="21"/>
      <c r="H323" s="21"/>
      <c r="I323" s="22"/>
      <c r="J323" s="21"/>
      <c r="K323" s="21"/>
      <c r="L323" s="117"/>
    </row>
    <row r="324" spans="1:12" ht="14.45">
      <c r="A324" s="21"/>
      <c r="B324" s="33"/>
      <c r="C324" s="21"/>
      <c r="D324" s="21"/>
      <c r="E324" s="21"/>
      <c r="F324" s="22"/>
      <c r="G324" s="21"/>
      <c r="H324" s="21"/>
      <c r="I324" s="22"/>
      <c r="J324" s="21"/>
      <c r="K324" s="21"/>
      <c r="L324" s="117"/>
    </row>
    <row r="325" spans="1:12" ht="14.45">
      <c r="A325" s="21"/>
      <c r="B325" s="33"/>
      <c r="C325" s="21"/>
      <c r="D325" s="21"/>
      <c r="E325" s="21"/>
      <c r="F325" s="22"/>
      <c r="G325" s="21"/>
      <c r="H325" s="21"/>
      <c r="I325" s="22"/>
      <c r="J325" s="21"/>
      <c r="K325" s="21"/>
      <c r="L325" s="117"/>
    </row>
    <row r="326" spans="1:12" ht="14.45">
      <c r="A326" s="21"/>
      <c r="B326" s="33"/>
      <c r="C326" s="21"/>
      <c r="D326" s="21"/>
      <c r="E326" s="21"/>
      <c r="F326" s="22"/>
      <c r="G326" s="21"/>
      <c r="H326" s="21"/>
      <c r="I326" s="22"/>
      <c r="J326" s="21"/>
      <c r="K326" s="21"/>
      <c r="L326" s="117"/>
    </row>
    <row r="327" spans="1:12" ht="14.45">
      <c r="A327" s="21"/>
      <c r="B327" s="33"/>
      <c r="C327" s="21"/>
      <c r="D327" s="21"/>
      <c r="E327" s="21"/>
      <c r="F327" s="22"/>
      <c r="G327" s="21"/>
      <c r="H327" s="21"/>
      <c r="I327" s="22"/>
      <c r="J327" s="21"/>
      <c r="K327" s="21"/>
      <c r="L327" s="117"/>
    </row>
    <row r="328" spans="1:12" ht="14.45">
      <c r="A328" s="21"/>
      <c r="B328" s="33"/>
      <c r="C328" s="21"/>
      <c r="D328" s="21"/>
      <c r="E328" s="21"/>
      <c r="F328" s="22"/>
      <c r="G328" s="21"/>
      <c r="H328" s="21"/>
      <c r="I328" s="22"/>
      <c r="J328" s="21"/>
      <c r="K328" s="21"/>
      <c r="L328" s="117"/>
    </row>
    <row r="329" spans="1:12" ht="14.45">
      <c r="A329" s="21"/>
      <c r="B329" s="33"/>
      <c r="C329" s="21"/>
      <c r="D329" s="21"/>
      <c r="E329" s="21"/>
      <c r="F329" s="22"/>
      <c r="G329" s="21"/>
      <c r="H329" s="21"/>
      <c r="I329" s="22"/>
      <c r="J329" s="21"/>
      <c r="K329" s="21"/>
      <c r="L329" s="117"/>
    </row>
    <row r="330" spans="1:12" ht="14.45">
      <c r="A330" s="21"/>
      <c r="B330" s="33"/>
      <c r="C330" s="21"/>
      <c r="D330" s="21"/>
      <c r="E330" s="21"/>
      <c r="F330" s="22"/>
      <c r="G330" s="21"/>
      <c r="H330" s="21"/>
      <c r="I330" s="22"/>
      <c r="J330" s="21"/>
      <c r="K330" s="21"/>
      <c r="L330" s="117"/>
    </row>
    <row r="331" spans="1:12" ht="14.45">
      <c r="A331" s="21"/>
      <c r="B331" s="33"/>
      <c r="C331" s="21"/>
      <c r="D331" s="21"/>
      <c r="E331" s="21"/>
      <c r="F331" s="22"/>
      <c r="G331" s="21"/>
      <c r="H331" s="21"/>
      <c r="I331" s="22"/>
      <c r="J331" s="21"/>
      <c r="K331" s="21"/>
      <c r="L331" s="117"/>
    </row>
    <row r="332" spans="1:12" ht="14.45">
      <c r="A332" s="21"/>
      <c r="B332" s="33"/>
      <c r="C332" s="21"/>
      <c r="D332" s="21"/>
      <c r="E332" s="21"/>
      <c r="F332" s="22"/>
      <c r="G332" s="21"/>
      <c r="H332" s="21"/>
      <c r="I332" s="22"/>
      <c r="J332" s="21"/>
      <c r="K332" s="21"/>
      <c r="L332" s="117"/>
    </row>
    <row r="333" spans="1:12" ht="14.45">
      <c r="A333" s="21"/>
      <c r="B333" s="33"/>
      <c r="C333" s="21"/>
      <c r="D333" s="21"/>
      <c r="E333" s="21"/>
      <c r="F333" s="22"/>
      <c r="G333" s="21"/>
      <c r="H333" s="21"/>
      <c r="I333" s="22"/>
      <c r="J333" s="21"/>
      <c r="K333" s="21"/>
      <c r="L333" s="117"/>
    </row>
    <row r="334" spans="1:12" ht="14.45">
      <c r="A334" s="21"/>
      <c r="B334" s="33"/>
      <c r="C334" s="21"/>
      <c r="D334" s="21"/>
      <c r="E334" s="21"/>
      <c r="F334" s="22"/>
      <c r="G334" s="21"/>
      <c r="H334" s="21"/>
      <c r="I334" s="22"/>
      <c r="J334" s="21"/>
      <c r="K334" s="21"/>
      <c r="L334" s="117"/>
    </row>
    <row r="335" spans="1:12" ht="14.45">
      <c r="A335" s="21"/>
      <c r="B335" s="33"/>
      <c r="C335" s="21"/>
      <c r="D335" s="21"/>
      <c r="E335" s="21"/>
      <c r="F335" s="22"/>
      <c r="G335" s="21"/>
      <c r="H335" s="21"/>
      <c r="I335" s="22"/>
      <c r="J335" s="21"/>
      <c r="K335" s="21"/>
      <c r="L335" s="117"/>
    </row>
    <row r="336" spans="1:12" ht="14.45">
      <c r="A336" s="21"/>
      <c r="B336" s="33"/>
      <c r="C336" s="21"/>
      <c r="D336" s="21"/>
      <c r="E336" s="21"/>
      <c r="F336" s="22"/>
      <c r="G336" s="21"/>
      <c r="H336" s="21"/>
      <c r="I336" s="22"/>
      <c r="J336" s="21"/>
      <c r="K336" s="21"/>
      <c r="L336" s="117"/>
    </row>
    <row r="337" spans="1:12" ht="14.45">
      <c r="A337" s="21"/>
      <c r="B337" s="33"/>
      <c r="C337" s="21"/>
      <c r="D337" s="21"/>
      <c r="E337" s="21"/>
      <c r="F337" s="22"/>
      <c r="G337" s="21"/>
      <c r="H337" s="21"/>
      <c r="I337" s="22"/>
      <c r="J337" s="21"/>
      <c r="K337" s="21"/>
      <c r="L337" s="117"/>
    </row>
    <row r="338" spans="1:12" ht="14.45">
      <c r="A338" s="21"/>
      <c r="B338" s="33"/>
      <c r="C338" s="21"/>
      <c r="D338" s="21"/>
      <c r="E338" s="21"/>
      <c r="F338" s="22"/>
      <c r="G338" s="21"/>
      <c r="H338" s="21"/>
      <c r="I338" s="22"/>
      <c r="J338" s="21"/>
      <c r="K338" s="21"/>
      <c r="L338" s="117"/>
    </row>
    <row r="339" spans="1:12" ht="14.45">
      <c r="A339" s="21"/>
      <c r="B339" s="33"/>
      <c r="C339" s="21"/>
      <c r="D339" s="21"/>
      <c r="E339" s="21"/>
      <c r="F339" s="22"/>
      <c r="G339" s="21"/>
      <c r="H339" s="21"/>
      <c r="I339" s="22"/>
      <c r="J339" s="21"/>
      <c r="K339" s="21"/>
      <c r="L339" s="117"/>
    </row>
    <row r="340" spans="1:12" ht="14.45">
      <c r="A340" s="21"/>
      <c r="B340" s="33"/>
      <c r="C340" s="21"/>
      <c r="D340" s="21"/>
      <c r="E340" s="21"/>
      <c r="F340" s="22"/>
      <c r="G340" s="21"/>
      <c r="H340" s="21"/>
      <c r="I340" s="22"/>
      <c r="J340" s="21"/>
      <c r="K340" s="21"/>
      <c r="L340" s="117"/>
    </row>
  </sheetData>
  <mergeCells count="4">
    <mergeCell ref="D1:F1"/>
    <mergeCell ref="A1:C1"/>
    <mergeCell ref="G1:I1"/>
    <mergeCell ref="A2:B2"/>
  </mergeCells>
  <phoneticPr fontId="38" type="noConversion"/>
  <conditionalFormatting sqref="F2 I2 F4:F98 I4:I98">
    <cfRule type="cellIs" dxfId="50" priority="6" stopIfTrue="1" operator="lessThanOrEqual">
      <formula>-0.1</formula>
    </cfRule>
    <cfRule type="expression" dxfId="49" priority="7">
      <formula>AND(ISNUMBER(F2), F2&gt;=0.1)</formula>
    </cfRule>
  </conditionalFormatting>
  <hyperlinks>
    <hyperlink ref="K6" r:id="rId1" display="https://us3.assetplanner.com/service_request?ID=111409" xr:uid="{684B2E27-8572-4A4C-9F12-5F447EDE77AD}"/>
    <hyperlink ref="M6" r:id="rId2" display="https://us3.assetplanner.com/service_request?ID=114708" xr:uid="{B0B10A2E-17C3-4685-B67C-B98B81BE65DB}"/>
    <hyperlink ref="K7" r:id="rId3" display="https://us3.assetplanner.com/service_request?ID=113990" xr:uid="{7871EF7C-3B24-46EA-A61A-658D1B99AC9C}"/>
    <hyperlink ref="K9" r:id="rId4" display="https://us3.assetplanner.com/service_request?ID=114652" xr:uid="{94A8C014-10E9-48ED-A69E-099E6D05E58F}"/>
    <hyperlink ref="K11" r:id="rId5" display="https://us3.assetplanner.com/service_request?ID=108676" xr:uid="{EB0DD0B4-A9E1-4987-8BDA-7195BD93CC8A}"/>
    <hyperlink ref="K12" r:id="rId6" display="https://us3.assetplanner.com/service_request?ID=107924" xr:uid="{A9E52E8F-C14C-4577-9C3C-A2159F5A0312}"/>
    <hyperlink ref="K16" r:id="rId7" display="https://us3.assetplanner.com/service_request?ID=095654" xr:uid="{A8980FBA-1CF1-4C96-B0E7-C6A6B8AD91F2}"/>
    <hyperlink ref="K17" r:id="rId8" display="https://us3.assetplanner.com/service_request?ID=103499" xr:uid="{7B39ED40-986C-43AD-A01D-E017705E1587}"/>
    <hyperlink ref="K19" r:id="rId9" display="https://us3.assetplanner.com/service_request?ID=114087" xr:uid="{6116CA06-71BC-4F33-9025-C3287BC1A673}"/>
    <hyperlink ref="K22" r:id="rId10" display="https://us3.assetplanner.com/service_request?ID=111831" xr:uid="{E039D3BC-A344-4DF0-8F90-19C49F064148}"/>
    <hyperlink ref="K23" r:id="rId11" display="https://us3.assetplanner.com/service_request?ID=105403" xr:uid="{FE80B7B4-3B12-49E3-92A5-3574C0CECB34}"/>
    <hyperlink ref="M23" r:id="rId12" display="https://us3.assetplanner.com/service_request?ID=095623" xr:uid="{2D36DF8D-9317-4083-89A8-62BD7BD1E7D0}"/>
    <hyperlink ref="N23" r:id="rId13" display="https://us3.assetplanner.com/service_request?ID=108240" xr:uid="{2029D078-1783-4750-A30C-6B692C3E29F3}"/>
    <hyperlink ref="K29" r:id="rId14" display="https://us3.assetplanner.com/service_request?ID=109478" xr:uid="{D420430F-E766-4687-9F48-8A52786C764B}"/>
    <hyperlink ref="K32" r:id="rId15" display="https://us3.assetplanner.com/service_request?ID=109483" xr:uid="{734A3787-5265-4F72-A357-56DFF33DC95B}"/>
    <hyperlink ref="K33" r:id="rId16" display="https://us3.assetplanner.com/service_request?ID=109260" xr:uid="{50F156FC-4B9D-4B1E-88A2-48FB6AC32C7D}"/>
    <hyperlink ref="K35" r:id="rId17" display="https://us3.assetplanner.com/service_request?ID=110823" xr:uid="{C8E05128-EA23-4F6D-9785-5495D43D4C51}"/>
    <hyperlink ref="M35" r:id="rId18" display="https://us3.assetplanner.com/service_request?ID=091550" xr:uid="{8812CDFB-575E-410F-A99A-53411C2AB583}"/>
    <hyperlink ref="N35" r:id="rId19" display="https://us3.assetplanner.com/service_request?ID=110826" xr:uid="{D03196A9-02B4-4791-A5EE-CDA513A2421B}"/>
    <hyperlink ref="K36" r:id="rId20" display="https://us3.assetplanner.com/service_request?ID=111114" xr:uid="{B2C3E4FD-44D0-46CF-AC09-586F7F5CC938}"/>
    <hyperlink ref="K37" r:id="rId21" display="https://us3.assetplanner.com/service_request?ID=106741" xr:uid="{6BFF5D5C-1288-4940-A382-A1B05466178A}"/>
    <hyperlink ref="K38" r:id="rId22" display="https://us3.assetplanner.com/service_request?ID=111715" xr:uid="{80242711-4BA2-4871-8170-20021D689347}"/>
    <hyperlink ref="K40" r:id="rId23" display="https://us3.assetplanner.com/service_request?ID=105065" xr:uid="{09A931B8-63CF-4496-8B3A-DCC4DE58E351}"/>
    <hyperlink ref="M40" r:id="rId24" display="https://us3.assetplanner.com/service_request?ID=105063" xr:uid="{87845F08-E32B-4883-B485-BB75E81F15EA}"/>
    <hyperlink ref="N40" r:id="rId25" display="https://us3.assetplanner.com/service_request?ID=113382" xr:uid="{D82CDED5-9763-472F-B991-B74AA7C24452}"/>
    <hyperlink ref="K41" r:id="rId26" display="https://us3.assetplanner.com/service_request?ID=114200" xr:uid="{E437B6C8-60D1-4442-9111-5F51D476A40B}"/>
    <hyperlink ref="K43" r:id="rId27" display="https://us3.assetplanner.com/service_request?ID=104027" xr:uid="{1052ECFA-AE12-4321-9444-88205F881858}"/>
    <hyperlink ref="M43" r:id="rId28" display="https://us3.assetplanner.com/service_request?ID=102346" xr:uid="{B24ED1A4-0412-4C3B-9A7F-065C39E0C72F}"/>
    <hyperlink ref="N43" r:id="rId29" display="https://us3.assetplanner.com/service_request?ID=090375" xr:uid="{63772CA3-1FD4-42B5-AE8D-784F5E16D4B8}"/>
    <hyperlink ref="O43" r:id="rId30" display="https://us3.assetplanner.com/service_request?ID=105124" xr:uid="{1199812C-8F00-4F7C-9205-CE1A1627409D}"/>
    <hyperlink ref="P43" r:id="rId31" display="https://us3.assetplanner.com/service_request?ID=112520" xr:uid="{114AC20B-5AB6-4E07-9E64-DD24807ADA73}"/>
    <hyperlink ref="Q43" r:id="rId32" display="https://us3.assetplanner.com/service_request?ID=089461" xr:uid="{65E8EB25-474A-4491-98CC-1F3FB272BAB5}"/>
    <hyperlink ref="R43" r:id="rId33" display="https://us3.assetplanner.com/service_request?ID=105124" xr:uid="{7D021113-987B-40C7-AE84-1BF8956C26E7}"/>
    <hyperlink ref="S43" r:id="rId34" display="https://us3.assetplanner.com/service_request?ID=101136" xr:uid="{EF0EDBE5-3065-45EA-B3AA-DF9C4CAAC955}"/>
    <hyperlink ref="K44" r:id="rId35" display="https://us3.assetplanner.com/service_request?ID=113878" xr:uid="{2A2A0142-A8F5-4D00-89D2-70BAAF32A59E}"/>
    <hyperlink ref="M44" r:id="rId36" display="https://us3.assetplanner.com/service_request?ID=092276" xr:uid="{4E9B7959-869E-4DA1-9492-5547D3F7999A}"/>
    <hyperlink ref="K45" r:id="rId37" display="https://us3.assetplanner.com/service_request?ID=114191" xr:uid="{FA10CFFA-F403-4132-B106-A61B751005EE}"/>
    <hyperlink ref="K47" r:id="rId38" display="https://us3.assetplanner.com/service_request?ID=105133" xr:uid="{DADD46DB-6F81-4C3B-9F3C-06FAB30544F1}"/>
    <hyperlink ref="M47" r:id="rId39" display="https://us3.assetplanner.com/service_request?ID=110453" xr:uid="{C8F08CCB-ABDA-4EB4-A453-4BD473F65EDF}"/>
    <hyperlink ref="K48" r:id="rId40" display="https://us3.assetplanner.com/service_request?ID=111285" xr:uid="{12FE0D27-3A18-4864-BB38-18F19C223476}"/>
    <hyperlink ref="M48" r:id="rId41" display="https://us3.assetplanner.com/service_request?ID=112280" xr:uid="{89B19E4D-A125-46E7-9A21-E4AA6AD31B70}"/>
    <hyperlink ref="N48" r:id="rId42" display="https://us3.assetplanner.com/service_request?ID=111737" xr:uid="{283B3740-A53B-480C-81B1-F5EEF7FF0E57}"/>
    <hyperlink ref="O48" r:id="rId43" display="https://us3.assetplanner.com/service_request?ID=108289" xr:uid="{19F18B75-3868-464A-85DC-150276372E12}"/>
    <hyperlink ref="K49" r:id="rId44" display="https://us3.assetplanner.com/service_request?ID=105129" xr:uid="{B45AA602-630E-4A57-BA20-692C7B472B1E}"/>
    <hyperlink ref="M49" r:id="rId45" display="https://us3.assetplanner.com/service_request?ID=114173" xr:uid="{E90E4A5B-55D2-4F93-B33E-68D29EE4BADB}"/>
    <hyperlink ref="K50" r:id="rId46" display="https://us3.assetplanner.com/service_request?ID=104249" xr:uid="{60BC7A24-E23A-4365-AE93-E539045889DC}"/>
    <hyperlink ref="M50" r:id="rId47" display="https://us3.assetplanner.com/service_request?ID=110688" xr:uid="{6D797B9A-634C-4001-A24A-E3F544AC6808}"/>
    <hyperlink ref="N50" r:id="rId48" display="https://us3.assetplanner.com/service_request?ID=108213" xr:uid="{9B1DD9F5-3F82-4EF8-AD44-7D18FFE484A9}"/>
    <hyperlink ref="O50" r:id="rId49" display="https://us3.assetplanner.com/service_request?ID=104249" xr:uid="{B4036783-EAD0-4D29-9742-31E7553FD069}"/>
    <hyperlink ref="K51" r:id="rId50" display="https://us3.assetplanner.com/service_request?ID=105759" xr:uid="{31B5A412-3E4C-448C-8BE1-0F1609854FD5}"/>
    <hyperlink ref="M51" r:id="rId51" display="https://us3.assetplanner.com/service_request?ID=109811" xr:uid="{9BD12200-7D7F-477D-846A-552C8659D668}"/>
    <hyperlink ref="K52" r:id="rId52" display="https://us3.assetplanner.com/service_request?ID=109932" xr:uid="{AB3425EF-1D5A-4952-8AEC-C999CF58F0BE}"/>
    <hyperlink ref="M52" r:id="rId53" display="https://us3.assetplanner.com/service_request?ID=108694" xr:uid="{566DE56C-115B-44FB-A456-9EA4A6633D73}"/>
    <hyperlink ref="K53" r:id="rId54" display="https://us3.assetplanner.com/service_request?ID=112430" xr:uid="{4FA716BD-D8FF-4D45-8A52-C14FEADDC5DB}"/>
    <hyperlink ref="M53" r:id="rId55" display="https://us3.assetplanner.com/service_request?ID=114794" xr:uid="{D8FAF07C-1B95-4402-B387-7E51735ABD42}"/>
    <hyperlink ref="K56" r:id="rId56" display="https://us3.assetplanner.com/service_request?ID=110590" xr:uid="{FCD7C6E9-0F33-449D-AFA7-32F4302CF4FC}"/>
    <hyperlink ref="K57" r:id="rId57" display="https://us3.assetplanner.com/service_request?ID=114127" xr:uid="{730B8689-F7D9-4A63-A2C6-B83103E8FC86}"/>
    <hyperlink ref="M57" r:id="rId58" display="https://us3.assetplanner.com/service_request?ID=107807" xr:uid="{B8AA6821-1531-4409-A6B7-6F5DD1EFA894}"/>
    <hyperlink ref="K58" r:id="rId59" display="https://us3.assetplanner.com/service_request?ID=113032" xr:uid="{4421D8BD-9C03-40AE-AC1F-674F92B89981}"/>
    <hyperlink ref="K59" r:id="rId60" display="https://us3.assetplanner.com/service_request?ID=111374" xr:uid="{C169EDA9-462B-475B-8949-8975465B7DE2}"/>
    <hyperlink ref="M59" r:id="rId61" display="https://us3.assetplanner.com/service_request?ID=105126" xr:uid="{DAB5C6FC-EB4E-4986-A6E9-49DC9DCBB7C9}"/>
    <hyperlink ref="K60" r:id="rId62" display="https://us3.assetplanner.com/service_request?ID=108137" xr:uid="{98FEF8F1-E56B-40AC-BB70-9CF45130EFF3}"/>
    <hyperlink ref="M60" r:id="rId63" display="https://us3.assetplanner.com/service_request?ID=112530" xr:uid="{806FBEEF-0C47-4CA1-8121-115A9C72E7A5}"/>
    <hyperlink ref="K61" r:id="rId64" display="https://us3.assetplanner.com/service_request?ID=110601" xr:uid="{DC045B1C-889A-44FF-A688-77A3AF9CFF56}"/>
    <hyperlink ref="K64" r:id="rId65" display="https://us3.assetplanner.com/service_request?ID=114198" xr:uid="{387861AD-AE1B-4AA3-8827-679C18065073}"/>
    <hyperlink ref="K65" r:id="rId66" display="https://us3.assetplanner.com/service_request?ID=114782" xr:uid="{92EF5F0D-9083-421E-ABA7-BE21F774A1F9}"/>
    <hyperlink ref="K66" r:id="rId67" display="https://us3.assetplanner.com/service_request?ID=114783" xr:uid="{198CEED0-6024-4F26-8FB2-4242168930B3}"/>
    <hyperlink ref="K67" r:id="rId68" display="https://us3.assetplanner.com/service_request?ID=114203" xr:uid="{237C4185-944D-4FFB-961E-E529F599BB99}"/>
    <hyperlink ref="K68" r:id="rId69" display="https://us3.assetplanner.com/service_request?ID=114892" xr:uid="{6DBF4A42-5D6F-48F7-AAC0-4B7F7B6A3645}"/>
    <hyperlink ref="K69" r:id="rId70" display="https://us3.assetplanner.com/service_request?ID=112560" xr:uid="{C83511C6-2B52-4B16-80EE-FC7837CF9111}"/>
    <hyperlink ref="M69" r:id="rId71" display="https://us3.assetplanner.com/service_request?ID=113885" xr:uid="{BF93E033-62A8-4ED9-908F-FF625C872190}"/>
    <hyperlink ref="N69" r:id="rId72" display="https://us3.assetplanner.com/service_request?ID=114419" xr:uid="{A1BF8B73-44C4-4C1F-87AB-78805E748BBF}"/>
  </hyperlinks>
  <pageMargins left="0.4" right="0.7" top="0.25" bottom="0.25" header="0.3" footer="0.3"/>
  <pageSetup fitToHeight="99" orientation="landscape" r:id="rId7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53"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85" customWidth="1"/>
    <col min="9" max="9" width="13.28515625" style="1" customWidth="1"/>
    <col min="10" max="10" width="71.5703125" customWidth="1"/>
    <col min="11" max="11" width="20.5703125" bestFit="1" customWidth="1"/>
  </cols>
  <sheetData>
    <row r="1" spans="1:12" ht="19.5" customHeight="1">
      <c r="A1" s="135" t="str" cm="1">
        <f t="array" ref="A1">portfolio</f>
        <v>Silicon Ranch</v>
      </c>
      <c r="B1" s="135"/>
      <c r="C1" s="135"/>
      <c r="D1" s="136" t="s">
        <v>175</v>
      </c>
      <c r="E1" s="136"/>
      <c r="F1" s="136"/>
      <c r="G1" s="134" t="s">
        <v>176</v>
      </c>
      <c r="H1" s="134"/>
      <c r="I1" s="134"/>
      <c r="J1" s="4"/>
      <c r="K1" s="4"/>
    </row>
    <row r="2" spans="1:12" ht="19.5" customHeight="1">
      <c r="A2" s="137" t="s">
        <v>2</v>
      </c>
      <c r="B2" s="137"/>
      <c r="C2" s="5">
        <f>SUM(C4:C100)</f>
        <v>0</v>
      </c>
      <c r="D2" s="5">
        <f>SUM(D4:D100)</f>
        <v>0</v>
      </c>
      <c r="E2" s="5">
        <f>C2-D2</f>
        <v>0</v>
      </c>
      <c r="F2" s="6">
        <f>IFERROR(E2/D2, 0)</f>
        <v>0</v>
      </c>
      <c r="G2" s="5">
        <f>SUM(G4:G100)</f>
        <v>0</v>
      </c>
      <c r="H2" s="82">
        <f>C2-G2</f>
        <v>0</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83" t="s">
        <v>7</v>
      </c>
      <c r="I3" s="39" t="s">
        <v>8</v>
      </c>
      <c r="J3" s="25" t="s">
        <v>20</v>
      </c>
      <c r="K3" s="25" t="s">
        <v>21</v>
      </c>
    </row>
    <row r="4" spans="1:12"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56"/>
      <c r="K4" s="56"/>
    </row>
    <row r="5" spans="1:12" ht="15.6">
      <c r="A5" s="30" t="str">
        <v>Kohls - Auburn</v>
      </c>
      <c r="B5" s="31" t="str">
        <v>NY</v>
      </c>
      <c r="C5" s="11"/>
      <c r="D5" s="18"/>
      <c r="E5" s="18" t="str">
        <f t="shared" ref="E5:E15" si="0">IF(AND(ISNUMBER(C5),ISNUMBER(D5)), C5-D5, "")</f>
        <v/>
      </c>
      <c r="F5" s="19" t="str">
        <f t="shared" ref="F5:F25" si="1">IFERROR(E5/D5, "")</f>
        <v/>
      </c>
      <c r="G5" s="20"/>
      <c r="H5" s="20" t="str">
        <f t="shared" ref="H5:H15" si="2">IF(AND(ISNUMBER(C5),ISNUMBER(G5)), C5-G5, "")</f>
        <v/>
      </c>
      <c r="I5" s="19" t="str">
        <f t="shared" ref="I5:I68" si="3">IFERROR(H5/G5, "")</f>
        <v/>
      </c>
      <c r="J5" s="58"/>
      <c r="K5" s="58"/>
    </row>
    <row r="6" spans="1:12" ht="15.6">
      <c r="A6" s="28" t="str">
        <v>Kohls - Bensalem</v>
      </c>
      <c r="B6" s="29" t="str">
        <v>PA</v>
      </c>
      <c r="C6" s="24"/>
      <c r="D6" s="13"/>
      <c r="E6" s="13" t="str">
        <f t="shared" si="0"/>
        <v/>
      </c>
      <c r="F6" s="14" t="str">
        <f t="shared" si="1"/>
        <v/>
      </c>
      <c r="G6" s="15"/>
      <c r="H6" s="15" t="str">
        <f t="shared" si="2"/>
        <v/>
      </c>
      <c r="I6" s="16" t="str">
        <f t="shared" si="3"/>
        <v/>
      </c>
      <c r="J6" s="56"/>
      <c r="K6" s="56"/>
    </row>
    <row r="7" spans="1:12" ht="15.6">
      <c r="A7" s="30" t="str">
        <v>Kohls - Brick</v>
      </c>
      <c r="B7" s="31" t="str">
        <v>NJ</v>
      </c>
      <c r="C7" s="11"/>
      <c r="D7" s="18"/>
      <c r="E7" s="18" t="str">
        <f t="shared" si="0"/>
        <v/>
      </c>
      <c r="F7" s="19" t="str">
        <f t="shared" si="1"/>
        <v/>
      </c>
      <c r="G7" s="20"/>
      <c r="H7" s="20" t="str">
        <f t="shared" si="2"/>
        <v/>
      </c>
      <c r="I7" s="19" t="str">
        <f t="shared" si="3"/>
        <v/>
      </c>
      <c r="J7" s="58"/>
      <c r="K7" s="59"/>
    </row>
    <row r="8" spans="1:12" ht="15.6">
      <c r="A8" s="28" t="str">
        <v>Kohls - Buffalo</v>
      </c>
      <c r="B8" s="29" t="str">
        <v>NY</v>
      </c>
      <c r="C8" s="24"/>
      <c r="D8" s="13"/>
      <c r="E8" s="13" t="str">
        <f t="shared" si="0"/>
        <v/>
      </c>
      <c r="F8" s="14" t="str">
        <f t="shared" si="1"/>
        <v/>
      </c>
      <c r="G8" s="15"/>
      <c r="H8" s="15" t="str">
        <f t="shared" si="2"/>
        <v/>
      </c>
      <c r="I8" s="16" t="str">
        <f t="shared" si="3"/>
        <v/>
      </c>
      <c r="J8" s="56"/>
      <c r="K8" s="56"/>
      <c r="L8" s="89"/>
    </row>
    <row r="9" spans="1:12" ht="15.6">
      <c r="A9" s="30" t="str">
        <v>Kohls - Canton</v>
      </c>
      <c r="B9" s="31" t="str">
        <v>CT</v>
      </c>
      <c r="C9" s="11"/>
      <c r="D9" s="18"/>
      <c r="E9" s="18" t="str">
        <f t="shared" si="0"/>
        <v/>
      </c>
      <c r="F9" s="19" t="str">
        <f t="shared" si="1"/>
        <v/>
      </c>
      <c r="G9" s="20"/>
      <c r="H9" s="20" t="str">
        <f t="shared" si="2"/>
        <v/>
      </c>
      <c r="I9" s="19" t="str">
        <f t="shared" si="3"/>
        <v/>
      </c>
      <c r="J9" s="58"/>
      <c r="K9" s="59"/>
    </row>
    <row r="10" spans="1:12" ht="15.6">
      <c r="A10" s="28" t="str">
        <v>Kohls - East Amherst</v>
      </c>
      <c r="B10" s="29" t="str">
        <v>NY</v>
      </c>
      <c r="C10" s="24"/>
      <c r="D10" s="13"/>
      <c r="E10" s="13" t="str">
        <f t="shared" si="0"/>
        <v/>
      </c>
      <c r="F10" s="14" t="str">
        <f t="shared" si="1"/>
        <v/>
      </c>
      <c r="G10" s="15"/>
      <c r="H10" s="15" t="str">
        <f t="shared" si="2"/>
        <v/>
      </c>
      <c r="I10" s="16" t="str">
        <f t="shared" si="3"/>
        <v/>
      </c>
      <c r="J10" s="56"/>
      <c r="K10" s="56"/>
    </row>
    <row r="11" spans="1:12" ht="15.6">
      <c r="A11" s="30" t="str">
        <v>Kohls - East Brunswick</v>
      </c>
      <c r="B11" s="31" t="str">
        <v>NJ</v>
      </c>
      <c r="C11" s="11"/>
      <c r="D11" s="18"/>
      <c r="E11" s="18" t="str">
        <f t="shared" si="0"/>
        <v/>
      </c>
      <c r="F11" s="19" t="str">
        <f t="shared" si="1"/>
        <v/>
      </c>
      <c r="G11" s="20"/>
      <c r="H11" s="20" t="str">
        <f t="shared" si="2"/>
        <v/>
      </c>
      <c r="I11" s="19" t="str">
        <f t="shared" si="3"/>
        <v/>
      </c>
      <c r="J11" s="58"/>
      <c r="K11" s="59"/>
    </row>
    <row r="12" spans="1:12" ht="15.6">
      <c r="A12" s="28" t="str">
        <v>Kohls - Edgewood</v>
      </c>
      <c r="B12" s="29" t="str">
        <v>MD</v>
      </c>
      <c r="C12" s="24"/>
      <c r="D12" s="13"/>
      <c r="E12" s="13" t="str">
        <f t="shared" si="0"/>
        <v/>
      </c>
      <c r="F12" s="14" t="str">
        <f t="shared" si="1"/>
        <v/>
      </c>
      <c r="G12" s="15"/>
      <c r="H12" s="15" t="str">
        <f t="shared" si="2"/>
        <v/>
      </c>
      <c r="I12" s="16" t="str">
        <f t="shared" si="3"/>
        <v/>
      </c>
      <c r="J12" s="56"/>
      <c r="K12" s="56"/>
    </row>
    <row r="13" spans="1:12" ht="15.6">
      <c r="A13" s="30" t="str">
        <v>Kohls - Granite Run</v>
      </c>
      <c r="B13" s="31" t="str">
        <v>PA</v>
      </c>
      <c r="C13" s="11"/>
      <c r="D13" s="18"/>
      <c r="E13" s="18" t="str">
        <f t="shared" si="0"/>
        <v/>
      </c>
      <c r="F13" s="19" t="str">
        <f t="shared" si="1"/>
        <v/>
      </c>
      <c r="G13" s="20"/>
      <c r="H13" s="20" t="str">
        <f t="shared" si="2"/>
        <v/>
      </c>
      <c r="I13" s="19" t="str">
        <f t="shared" si="3"/>
        <v/>
      </c>
      <c r="J13" s="58"/>
      <c r="K13" s="59"/>
    </row>
    <row r="14" spans="1:12" ht="15.6">
      <c r="A14" s="28" t="str">
        <v>Kohls - Greece</v>
      </c>
      <c r="B14" s="29" t="str">
        <v>NY</v>
      </c>
      <c r="C14" s="24"/>
      <c r="D14" s="13"/>
      <c r="E14" s="13" t="str">
        <f t="shared" si="0"/>
        <v/>
      </c>
      <c r="F14" s="14" t="str">
        <f t="shared" si="1"/>
        <v/>
      </c>
      <c r="G14" s="15"/>
      <c r="H14" s="15" t="str">
        <f t="shared" si="2"/>
        <v/>
      </c>
      <c r="I14" s="16" t="str">
        <f t="shared" si="3"/>
        <v/>
      </c>
      <c r="J14" s="56"/>
      <c r="K14" s="56"/>
    </row>
    <row r="15" spans="1:12" ht="15.6">
      <c r="A15" s="30" t="str">
        <v>Kohls - Hanover</v>
      </c>
      <c r="B15" s="31" t="str">
        <v>PA</v>
      </c>
      <c r="C15" s="11"/>
      <c r="D15" s="18"/>
      <c r="E15" s="18" t="str">
        <f t="shared" si="0"/>
        <v/>
      </c>
      <c r="F15" s="19" t="str">
        <f t="shared" si="1"/>
        <v/>
      </c>
      <c r="G15" s="20"/>
      <c r="H15" s="20" t="str">
        <f t="shared" si="2"/>
        <v/>
      </c>
      <c r="I15" s="19" t="str">
        <f t="shared" si="3"/>
        <v/>
      </c>
      <c r="J15" s="54"/>
      <c r="K15" s="59"/>
    </row>
    <row r="16" spans="1:12" ht="15.6">
      <c r="A16" s="28" t="str">
        <v>Kohls - Horsehead</v>
      </c>
      <c r="B16" s="29" t="str">
        <v>NY</v>
      </c>
      <c r="C16" s="24"/>
      <c r="D16" s="13"/>
      <c r="E16" s="13" t="str">
        <f t="shared" ref="E16:E17" si="4">IF(AND(ISNUMBER(C16),ISNUMBER(D16)), C16-D16, "")</f>
        <v/>
      </c>
      <c r="F16" s="14" t="str">
        <f t="shared" si="1"/>
        <v/>
      </c>
      <c r="G16" s="15"/>
      <c r="H16" s="15" t="str">
        <f t="shared" ref="H16:H17" si="5">IF(AND(ISNUMBER(C16),ISNUMBER(G16)), C16-G16, "")</f>
        <v/>
      </c>
      <c r="I16" s="16" t="str">
        <f t="shared" si="3"/>
        <v/>
      </c>
      <c r="J16" s="56"/>
      <c r="K16" s="56"/>
    </row>
    <row r="17" spans="1:12" ht="15.6">
      <c r="A17" s="30" t="str">
        <v>Kohls - Hudson</v>
      </c>
      <c r="B17" s="31" t="str">
        <v>NY</v>
      </c>
      <c r="C17" s="11"/>
      <c r="D17" s="18"/>
      <c r="E17" s="18" t="str">
        <f t="shared" si="4"/>
        <v/>
      </c>
      <c r="F17" s="19" t="str">
        <f t="shared" si="1"/>
        <v/>
      </c>
      <c r="G17" s="20"/>
      <c r="H17" s="20" t="str">
        <f t="shared" si="5"/>
        <v/>
      </c>
      <c r="I17" s="19" t="str">
        <f t="shared" si="3"/>
        <v/>
      </c>
      <c r="J17" s="54"/>
      <c r="K17" s="58"/>
    </row>
    <row r="18" spans="1:12" ht="12.75" customHeight="1">
      <c r="A18" s="32" t="str">
        <v>Kohls - Ithaca</v>
      </c>
      <c r="B18" s="29" t="str">
        <v>NY</v>
      </c>
      <c r="C18" s="24"/>
      <c r="D18" s="13"/>
      <c r="E18" s="13" t="str">
        <f t="shared" ref="E18:E25" si="6">IF(AND(ISNUMBER(C18),ISNUMBER(D18)), C18-D18, "")</f>
        <v/>
      </c>
      <c r="F18" s="14" t="str">
        <f t="shared" si="1"/>
        <v/>
      </c>
      <c r="G18" s="15"/>
      <c r="H18" s="15" t="str">
        <f t="shared" ref="H18:H25" si="7">IF(AND(ISNUMBER(C18),ISNUMBER(G18)), C18-G18, "")</f>
        <v/>
      </c>
      <c r="I18" s="16" t="str">
        <f t="shared" si="3"/>
        <v/>
      </c>
      <c r="J18" s="56"/>
      <c r="K18" s="56"/>
    </row>
    <row r="19" spans="1:12" ht="15.6">
      <c r="A19" s="30" t="str">
        <v>Kohls - Kingston</v>
      </c>
      <c r="B19" s="31" t="str">
        <v>NY</v>
      </c>
      <c r="C19" s="11"/>
      <c r="D19" s="18"/>
      <c r="E19" s="18" t="str">
        <f t="shared" si="6"/>
        <v/>
      </c>
      <c r="F19" s="19" t="str">
        <f t="shared" si="1"/>
        <v/>
      </c>
      <c r="G19" s="20"/>
      <c r="H19" s="20" t="str">
        <f t="shared" si="7"/>
        <v/>
      </c>
      <c r="I19" s="19" t="str">
        <f t="shared" si="3"/>
        <v/>
      </c>
      <c r="J19" s="58"/>
      <c r="K19" s="58"/>
    </row>
    <row r="20" spans="1:12" ht="15.6">
      <c r="A20" s="28" t="str">
        <v>Kohls - Mechanicsburg</v>
      </c>
      <c r="B20" s="29" t="str">
        <v>PA</v>
      </c>
      <c r="C20" s="24"/>
      <c r="D20" s="13"/>
      <c r="E20" s="13" t="str">
        <f t="shared" si="6"/>
        <v/>
      </c>
      <c r="F20" s="14" t="str">
        <f t="shared" si="1"/>
        <v/>
      </c>
      <c r="G20" s="15"/>
      <c r="H20" s="15" t="str">
        <f t="shared" si="7"/>
        <v/>
      </c>
      <c r="I20" s="16" t="str">
        <f t="shared" si="3"/>
        <v/>
      </c>
      <c r="J20" s="56"/>
      <c r="K20" s="56"/>
    </row>
    <row r="21" spans="1:12" ht="15.6">
      <c r="A21" s="30" t="str">
        <v>Kohls - Middletown</v>
      </c>
      <c r="B21" s="31" t="str">
        <v>NJ</v>
      </c>
      <c r="C21" s="11"/>
      <c r="D21" s="18"/>
      <c r="E21" s="18" t="str">
        <f t="shared" si="6"/>
        <v/>
      </c>
      <c r="F21" s="19" t="str">
        <f t="shared" si="1"/>
        <v/>
      </c>
      <c r="G21" s="20"/>
      <c r="H21" s="20" t="str">
        <f t="shared" si="7"/>
        <v/>
      </c>
      <c r="I21" s="19" t="str">
        <f t="shared" si="3"/>
        <v/>
      </c>
      <c r="J21" s="54"/>
      <c r="K21" s="57"/>
    </row>
    <row r="22" spans="1:12" ht="15.6">
      <c r="A22" s="28" t="str">
        <v>Kohls - North Amherst</v>
      </c>
      <c r="B22" s="29" t="str">
        <v>NY</v>
      </c>
      <c r="C22" s="24"/>
      <c r="D22" s="13"/>
      <c r="E22" s="13" t="str">
        <f t="shared" si="6"/>
        <v/>
      </c>
      <c r="F22" s="14" t="str">
        <f t="shared" si="1"/>
        <v/>
      </c>
      <c r="G22" s="15"/>
      <c r="H22" s="15" t="str">
        <f t="shared" si="7"/>
        <v/>
      </c>
      <c r="I22" s="16" t="str">
        <f t="shared" si="3"/>
        <v/>
      </c>
      <c r="J22" s="56"/>
      <c r="K22" s="56"/>
      <c r="L22" s="89"/>
    </row>
    <row r="23" spans="1:12" ht="124.5" customHeight="1">
      <c r="A23" s="30" t="str">
        <v>Kohls - Staten Island</v>
      </c>
      <c r="B23" s="31" t="str">
        <v>NY</v>
      </c>
      <c r="C23" s="11"/>
      <c r="D23" s="18"/>
      <c r="E23" s="18" t="str">
        <f t="shared" si="6"/>
        <v/>
      </c>
      <c r="F23" s="19" t="str">
        <f t="shared" si="1"/>
        <v/>
      </c>
      <c r="G23" s="20"/>
      <c r="H23" s="20" t="str">
        <f t="shared" si="7"/>
        <v/>
      </c>
      <c r="I23" s="19" t="str">
        <f t="shared" si="3"/>
        <v/>
      </c>
      <c r="J23" s="53"/>
      <c r="K23" s="57"/>
    </row>
    <row r="24" spans="1:12" ht="15.6">
      <c r="A24" s="28" t="str">
        <v>Kohls - Warminster</v>
      </c>
      <c r="B24" s="29" t="str">
        <v>PA</v>
      </c>
      <c r="C24" s="24"/>
      <c r="D24" s="13"/>
      <c r="E24" s="13" t="str">
        <f t="shared" si="6"/>
        <v/>
      </c>
      <c r="F24" s="14" t="str">
        <f t="shared" si="1"/>
        <v/>
      </c>
      <c r="G24" s="15"/>
      <c r="H24" s="15" t="str">
        <f t="shared" si="7"/>
        <v/>
      </c>
      <c r="I24" s="16" t="str">
        <f t="shared" si="3"/>
        <v/>
      </c>
      <c r="J24" s="56"/>
      <c r="K24" s="56"/>
    </row>
    <row r="25" spans="1:12" ht="15.6">
      <c r="A25" s="30" t="str">
        <v xml:space="preserve">Kohls - Waterbury </v>
      </c>
      <c r="B25" s="31" t="str">
        <v>CT</v>
      </c>
      <c r="C25" s="11"/>
      <c r="D25" s="18"/>
      <c r="E25" s="18" t="str">
        <f t="shared" si="6"/>
        <v/>
      </c>
      <c r="F25" s="19" t="str">
        <f t="shared" si="1"/>
        <v/>
      </c>
      <c r="G25" s="20"/>
      <c r="H25" s="20" t="str">
        <f t="shared" si="7"/>
        <v/>
      </c>
      <c r="I25" s="19" t="str">
        <f t="shared" si="3"/>
        <v/>
      </c>
      <c r="J25" s="42"/>
      <c r="K25" s="43"/>
    </row>
    <row r="26" spans="1:12" ht="15.6">
      <c r="A26" s="28" t="str">
        <v>Mojave Water Agency - Headquarters</v>
      </c>
      <c r="B26" s="29" t="str">
        <v>CA</v>
      </c>
      <c r="C26" s="24"/>
      <c r="D26" s="13"/>
      <c r="E26" s="13" t="str">
        <f t="shared" ref="E26:E69" si="8">IF(AND(ISNUMBER(C26),ISNUMBER(D26)), C26-D26, "")</f>
        <v/>
      </c>
      <c r="F26" s="14" t="str">
        <f t="shared" ref="F26:F68" si="9">IFERROR(E26/D26, "")</f>
        <v/>
      </c>
      <c r="G26" s="15"/>
      <c r="H26" s="15" t="str">
        <f t="shared" ref="H26:H69" si="10">IF(AND(ISNUMBER(C26),ISNUMBER(G26)), C26-G26, "")</f>
        <v/>
      </c>
      <c r="I26" s="16" t="str">
        <f t="shared" si="3"/>
        <v/>
      </c>
      <c r="J26" s="56"/>
      <c r="K26" s="56"/>
    </row>
    <row r="27" spans="1:12" ht="15.6">
      <c r="A27" s="30" t="str">
        <v>CSU - Bakersfield</v>
      </c>
      <c r="B27" s="31" t="str">
        <v>CA</v>
      </c>
      <c r="C27" s="11"/>
      <c r="D27" s="18"/>
      <c r="E27" s="18" t="str">
        <f t="shared" si="8"/>
        <v/>
      </c>
      <c r="F27" s="19" t="str">
        <f t="shared" si="9"/>
        <v/>
      </c>
      <c r="G27" s="20"/>
      <c r="H27" s="20" t="str">
        <f t="shared" si="10"/>
        <v/>
      </c>
      <c r="I27" s="19" t="str">
        <f t="shared" si="3"/>
        <v/>
      </c>
      <c r="J27" s="42"/>
      <c r="K27" s="43"/>
    </row>
    <row r="28" spans="1:12" ht="15.6">
      <c r="A28" s="28" t="str">
        <v>Greenfield USD - Fairfield ES</v>
      </c>
      <c r="B28" s="29" t="str">
        <v>CA</v>
      </c>
      <c r="C28" s="24"/>
      <c r="D28" s="13"/>
      <c r="E28" s="13" t="str">
        <f t="shared" si="8"/>
        <v/>
      </c>
      <c r="F28" s="14" t="str">
        <f t="shared" si="9"/>
        <v/>
      </c>
      <c r="G28" s="15"/>
      <c r="H28" s="15" t="str">
        <f t="shared" si="10"/>
        <v/>
      </c>
      <c r="I28" s="16" t="str">
        <f t="shared" si="3"/>
        <v/>
      </c>
      <c r="J28" s="56"/>
      <c r="K28" s="56"/>
    </row>
    <row r="29" spans="1:12" ht="15.6">
      <c r="A29" s="30" t="str">
        <v>Greenfield USD - Granite Point ES</v>
      </c>
      <c r="B29" s="31" t="str">
        <v>CA</v>
      </c>
      <c r="C29" s="11"/>
      <c r="D29" s="18"/>
      <c r="E29" s="18" t="str">
        <f t="shared" si="8"/>
        <v/>
      </c>
      <c r="F29" s="19" t="str">
        <f t="shared" si="9"/>
        <v/>
      </c>
      <c r="G29" s="20"/>
      <c r="H29" s="20" t="str">
        <f t="shared" si="10"/>
        <v/>
      </c>
      <c r="I29" s="19" t="str">
        <f t="shared" si="3"/>
        <v/>
      </c>
      <c r="J29" s="102"/>
      <c r="K29" s="57"/>
    </row>
    <row r="30" spans="1:12" ht="15.6">
      <c r="A30" s="28" t="str">
        <v>Greenfield USD - Greenfield MS</v>
      </c>
      <c r="B30" s="29" t="str">
        <v>CA</v>
      </c>
      <c r="C30" s="24"/>
      <c r="D30" s="13"/>
      <c r="E30" s="13" t="str">
        <f t="shared" si="8"/>
        <v/>
      </c>
      <c r="F30" s="14" t="str">
        <f t="shared" si="9"/>
        <v/>
      </c>
      <c r="G30" s="15"/>
      <c r="H30" s="15" t="str">
        <f t="shared" si="10"/>
        <v/>
      </c>
      <c r="I30" s="16" t="str">
        <f t="shared" si="3"/>
        <v/>
      </c>
      <c r="J30" s="56"/>
      <c r="K30" s="56"/>
    </row>
    <row r="31" spans="1:12" ht="15.6">
      <c r="A31" s="30" t="str">
        <v>Greenfield USD - Horizon ES</v>
      </c>
      <c r="B31" s="31" t="str">
        <v>CA</v>
      </c>
      <c r="C31" s="11"/>
      <c r="D31" s="18"/>
      <c r="E31" s="18" t="str">
        <f t="shared" si="8"/>
        <v/>
      </c>
      <c r="F31" s="19" t="str">
        <f t="shared" si="9"/>
        <v/>
      </c>
      <c r="G31" s="20"/>
      <c r="H31" s="20" t="str">
        <f t="shared" si="10"/>
        <v/>
      </c>
      <c r="I31" s="19" t="str">
        <f t="shared" si="3"/>
        <v/>
      </c>
      <c r="J31" s="54"/>
      <c r="K31" s="57"/>
    </row>
    <row r="32" spans="1:12" ht="15.6">
      <c r="A32" s="28" t="str">
        <v>Greenfield USD - McKee MS</v>
      </c>
      <c r="B32" s="29" t="str">
        <v>CA</v>
      </c>
      <c r="C32" s="24"/>
      <c r="D32" s="13"/>
      <c r="E32" s="13" t="str">
        <f t="shared" si="8"/>
        <v/>
      </c>
      <c r="F32" s="14" t="str">
        <f t="shared" si="9"/>
        <v/>
      </c>
      <c r="G32" s="15"/>
      <c r="H32" s="15" t="str">
        <f t="shared" si="10"/>
        <v/>
      </c>
      <c r="I32" s="16" t="str">
        <f t="shared" si="3"/>
        <v/>
      </c>
      <c r="J32" s="56"/>
      <c r="K32" s="56"/>
    </row>
    <row r="33" spans="1:16" ht="15.6">
      <c r="A33" s="30" t="str">
        <v>Greenfield USD - Plantation ES</v>
      </c>
      <c r="B33" s="31" t="str">
        <v>CA</v>
      </c>
      <c r="C33" s="11"/>
      <c r="D33" s="18"/>
      <c r="E33" s="18" t="str">
        <f t="shared" si="8"/>
        <v/>
      </c>
      <c r="F33" s="19" t="str">
        <f t="shared" si="9"/>
        <v/>
      </c>
      <c r="G33" s="20"/>
      <c r="H33" s="20" t="str">
        <f t="shared" si="10"/>
        <v/>
      </c>
      <c r="I33" s="19" t="str">
        <f t="shared" si="3"/>
        <v/>
      </c>
      <c r="J33" s="42"/>
      <c r="K33" s="43"/>
    </row>
    <row r="34" spans="1:16" ht="15.6">
      <c r="A34" s="28" t="str">
        <v>Greenfield USD - Planz ES</v>
      </c>
      <c r="B34" s="29" t="str">
        <v>CA</v>
      </c>
      <c r="C34" s="24"/>
      <c r="D34" s="13"/>
      <c r="E34" s="13" t="str">
        <f t="shared" si="8"/>
        <v/>
      </c>
      <c r="F34" s="14" t="str">
        <f t="shared" si="9"/>
        <v/>
      </c>
      <c r="G34" s="15"/>
      <c r="H34" s="15" t="str">
        <f t="shared" si="10"/>
        <v/>
      </c>
      <c r="I34" s="16" t="str">
        <f t="shared" si="3"/>
        <v/>
      </c>
      <c r="J34" s="56"/>
      <c r="K34" s="56"/>
    </row>
    <row r="35" spans="1:16" ht="15.6">
      <c r="A35" s="30" t="str">
        <v>Greenfield USD - Raffaello Palla ES</v>
      </c>
      <c r="B35" s="31" t="str">
        <v>CA</v>
      </c>
      <c r="C35" s="11"/>
      <c r="D35" s="18"/>
      <c r="E35" s="18" t="str">
        <f t="shared" si="8"/>
        <v/>
      </c>
      <c r="F35" s="19" t="str">
        <f t="shared" si="9"/>
        <v/>
      </c>
      <c r="G35" s="20"/>
      <c r="H35" s="20" t="str">
        <f t="shared" si="10"/>
        <v/>
      </c>
      <c r="I35" s="19" t="str">
        <f t="shared" si="3"/>
        <v/>
      </c>
      <c r="J35" s="42"/>
      <c r="K35" s="43"/>
    </row>
    <row r="36" spans="1:16" ht="15.6">
      <c r="A36" s="28" t="str">
        <v>Greenfield USD - Valle Verde ES</v>
      </c>
      <c r="B36" s="29" t="str">
        <v>CA</v>
      </c>
      <c r="C36" s="24"/>
      <c r="D36" s="13"/>
      <c r="E36" s="13" t="str">
        <f t="shared" si="8"/>
        <v/>
      </c>
      <c r="F36" s="14" t="str">
        <f t="shared" si="9"/>
        <v/>
      </c>
      <c r="G36" s="15"/>
      <c r="H36" s="15" t="str">
        <f t="shared" si="10"/>
        <v/>
      </c>
      <c r="I36" s="16" t="str">
        <f t="shared" si="3"/>
        <v/>
      </c>
      <c r="J36" s="56"/>
      <c r="K36" s="56"/>
    </row>
    <row r="37" spans="1:16" ht="15.6">
      <c r="A37" s="30" t="str">
        <v>Greenfield USD - W.A. Kendrick ES</v>
      </c>
      <c r="B37" s="31" t="str">
        <v>CA</v>
      </c>
      <c r="C37" s="11"/>
      <c r="D37" s="18"/>
      <c r="E37" s="18" t="str">
        <f t="shared" si="8"/>
        <v/>
      </c>
      <c r="F37" s="19" t="str">
        <f t="shared" si="9"/>
        <v/>
      </c>
      <c r="G37" s="20"/>
      <c r="H37" s="20" t="str">
        <f t="shared" si="10"/>
        <v/>
      </c>
      <c r="I37" s="19" t="str">
        <f t="shared" si="3"/>
        <v/>
      </c>
      <c r="J37" s="42"/>
      <c r="K37" s="60"/>
    </row>
    <row r="38" spans="1:16" ht="15.6">
      <c r="A38" s="28" t="str">
        <v>Muroc Joint USD - Boron HS</v>
      </c>
      <c r="B38" s="29" t="str">
        <v>CA</v>
      </c>
      <c r="C38" s="24"/>
      <c r="D38" s="13"/>
      <c r="E38" s="13" t="str">
        <f t="shared" si="8"/>
        <v/>
      </c>
      <c r="F38" s="14" t="str">
        <f t="shared" si="9"/>
        <v/>
      </c>
      <c r="G38" s="15"/>
      <c r="H38" s="15" t="str">
        <f t="shared" si="10"/>
        <v/>
      </c>
      <c r="I38" s="16" t="str">
        <f t="shared" si="3"/>
        <v/>
      </c>
      <c r="J38" s="56"/>
      <c r="K38" s="56"/>
      <c r="L38" s="89"/>
      <c r="M38" s="89"/>
      <c r="N38" s="89"/>
    </row>
    <row r="39" spans="1:16" ht="15.6">
      <c r="A39" s="30" t="str">
        <v>Muroc Joint USD - W. Boron ES</v>
      </c>
      <c r="B39" s="31" t="str">
        <v>CA</v>
      </c>
      <c r="C39" s="11"/>
      <c r="D39" s="18"/>
      <c r="E39" s="18" t="str">
        <f t="shared" si="8"/>
        <v/>
      </c>
      <c r="F39" s="19" t="str">
        <f t="shared" si="9"/>
        <v/>
      </c>
      <c r="G39" s="20"/>
      <c r="H39" s="20" t="str">
        <f t="shared" si="10"/>
        <v/>
      </c>
      <c r="I39" s="19" t="str">
        <f t="shared" si="3"/>
        <v/>
      </c>
      <c r="J39" s="42"/>
      <c r="K39" s="43"/>
    </row>
    <row r="40" spans="1:16" ht="15.6">
      <c r="A40" s="28" t="str">
        <v>Colusa - WTP</v>
      </c>
      <c r="B40" s="29" t="str">
        <v>CA</v>
      </c>
      <c r="C40" s="24"/>
      <c r="D40" s="13"/>
      <c r="E40" s="13">
        <v>0</v>
      </c>
      <c r="F40" s="14" t="str">
        <f t="shared" si="9"/>
        <v/>
      </c>
      <c r="G40" s="15"/>
      <c r="H40" s="15" t="str">
        <f t="shared" si="10"/>
        <v/>
      </c>
      <c r="I40" s="16" t="str">
        <f t="shared" si="3"/>
        <v/>
      </c>
      <c r="J40" s="56"/>
      <c r="K40" s="56"/>
      <c r="L40" s="89"/>
      <c r="M40" s="89"/>
      <c r="N40" s="89"/>
      <c r="O40" s="89"/>
    </row>
    <row r="41" spans="1:16" ht="111" customHeight="1">
      <c r="A41" s="30" t="str">
        <v>CDCR-North Kern State Prision</v>
      </c>
      <c r="B41" s="31" t="str">
        <v>CA</v>
      </c>
      <c r="C41" s="11"/>
      <c r="D41" s="18"/>
      <c r="E41" s="18" t="str">
        <f t="shared" si="8"/>
        <v/>
      </c>
      <c r="F41" s="19" t="str">
        <f t="shared" si="9"/>
        <v/>
      </c>
      <c r="G41" s="20"/>
      <c r="H41" s="20" t="str">
        <f t="shared" si="10"/>
        <v/>
      </c>
      <c r="I41" s="19" t="str">
        <f t="shared" si="3"/>
        <v/>
      </c>
      <c r="J41" s="42"/>
      <c r="K41" s="43"/>
      <c r="L41" s="89"/>
      <c r="M41" s="89"/>
    </row>
    <row r="42" spans="1:16" ht="15.6">
      <c r="A42" s="28" t="str">
        <v>Muroc Joint USD - District Office</v>
      </c>
      <c r="B42" s="29" t="str">
        <v>CA</v>
      </c>
      <c r="C42" s="24"/>
      <c r="D42" s="13"/>
      <c r="E42" s="13" t="str">
        <f t="shared" si="8"/>
        <v/>
      </c>
      <c r="F42" s="14" t="str">
        <f t="shared" si="9"/>
        <v/>
      </c>
      <c r="G42" s="15"/>
      <c r="H42" s="15" t="str">
        <f t="shared" si="10"/>
        <v/>
      </c>
      <c r="I42" s="16" t="str">
        <f t="shared" si="3"/>
        <v/>
      </c>
      <c r="J42" s="86"/>
      <c r="K42" s="56"/>
      <c r="L42" s="89"/>
      <c r="M42" s="89"/>
      <c r="N42" s="89"/>
      <c r="O42" s="89"/>
    </row>
    <row r="43" spans="1:16" ht="74.099999999999994" customHeight="1">
      <c r="A43" s="30" t="str">
        <v>Whole Foods - Manhattan Beach</v>
      </c>
      <c r="B43" s="31" t="str">
        <v>CA</v>
      </c>
      <c r="C43" s="11"/>
      <c r="D43" s="18"/>
      <c r="E43" s="18" t="str">
        <f t="shared" si="8"/>
        <v/>
      </c>
      <c r="F43" s="19" t="str">
        <f t="shared" si="9"/>
        <v/>
      </c>
      <c r="G43" s="20"/>
      <c r="H43" s="20" t="str">
        <f t="shared" si="10"/>
        <v/>
      </c>
      <c r="I43" s="19" t="str">
        <f t="shared" si="3"/>
        <v/>
      </c>
      <c r="J43" s="54"/>
      <c r="K43" s="57"/>
      <c r="L43" s="89"/>
      <c r="M43" s="89"/>
    </row>
    <row r="44" spans="1:16" ht="15.6">
      <c r="A44" s="28" t="str">
        <v>Pioneer USD - Frontier ES</v>
      </c>
      <c r="B44" s="29" t="str">
        <v>CA</v>
      </c>
      <c r="C44" s="24"/>
      <c r="D44" s="13"/>
      <c r="E44" s="13" t="str">
        <f t="shared" si="8"/>
        <v/>
      </c>
      <c r="F44" s="14" t="str">
        <f t="shared" si="9"/>
        <v/>
      </c>
      <c r="G44" s="15"/>
      <c r="H44" s="15" t="str">
        <f t="shared" si="10"/>
        <v/>
      </c>
      <c r="I44" s="16" t="str">
        <f t="shared" si="3"/>
        <v/>
      </c>
      <c r="J44" s="56"/>
      <c r="K44" s="56"/>
    </row>
    <row r="45" spans="1:16" ht="15.6">
      <c r="A45" s="30" t="str">
        <v>Pioneer USD - Pioneer ES</v>
      </c>
      <c r="B45" s="31" t="str">
        <v>CA</v>
      </c>
      <c r="C45" s="11"/>
      <c r="D45" s="18"/>
      <c r="E45" s="18" t="str">
        <f t="shared" si="8"/>
        <v/>
      </c>
      <c r="F45" s="19" t="str">
        <f t="shared" si="9"/>
        <v/>
      </c>
      <c r="G45" s="20"/>
      <c r="H45" s="20" t="str">
        <f t="shared" si="10"/>
        <v/>
      </c>
      <c r="I45" s="19" t="str">
        <f t="shared" si="3"/>
        <v/>
      </c>
      <c r="J45" s="42"/>
      <c r="K45" s="57"/>
      <c r="L45" s="89"/>
      <c r="M45" s="89"/>
      <c r="N45" s="89"/>
      <c r="O45" s="89"/>
    </row>
    <row r="46" spans="1:16" ht="15.6">
      <c r="A46" s="28" t="str">
        <v>Pioneer USD - Pioneer MS</v>
      </c>
      <c r="B46" s="29" t="str">
        <v>CA</v>
      </c>
      <c r="C46" s="24"/>
      <c r="D46" s="13"/>
      <c r="E46" s="13" t="str">
        <f t="shared" si="8"/>
        <v/>
      </c>
      <c r="F46" s="14" t="str">
        <f t="shared" si="9"/>
        <v/>
      </c>
      <c r="G46" s="15"/>
      <c r="H46" s="15" t="str">
        <f t="shared" si="10"/>
        <v/>
      </c>
      <c r="I46" s="16" t="str">
        <f t="shared" si="3"/>
        <v/>
      </c>
      <c r="J46" s="56"/>
      <c r="K46" s="56"/>
      <c r="L46" s="89"/>
    </row>
    <row r="47" spans="1:16" ht="15.6">
      <c r="A47" s="30" t="str">
        <v>Kingsburg Joint UHSD - Kingsburg HS</v>
      </c>
      <c r="B47" s="31" t="str">
        <v>CA</v>
      </c>
      <c r="C47" s="11"/>
      <c r="D47" s="18"/>
      <c r="E47" s="18" t="str">
        <f t="shared" si="8"/>
        <v/>
      </c>
      <c r="F47" s="19" t="str">
        <f t="shared" si="9"/>
        <v/>
      </c>
      <c r="G47" s="20"/>
      <c r="H47" s="20" t="str">
        <f t="shared" si="10"/>
        <v/>
      </c>
      <c r="I47" s="19" t="str">
        <f t="shared" si="3"/>
        <v/>
      </c>
      <c r="J47" s="54"/>
      <c r="K47" s="57"/>
      <c r="L47" s="89"/>
      <c r="M47" s="89"/>
      <c r="N47" s="89"/>
      <c r="O47" s="89"/>
      <c r="P47" s="89"/>
    </row>
    <row r="48" spans="1:16" ht="15.6">
      <c r="A48" s="28" t="str">
        <v>CADRB</v>
      </c>
      <c r="B48" s="29" t="str">
        <v>CA</v>
      </c>
      <c r="C48" s="24"/>
      <c r="D48" s="13"/>
      <c r="E48" s="13" t="str">
        <f t="shared" si="8"/>
        <v/>
      </c>
      <c r="F48" s="14" t="str">
        <f t="shared" si="9"/>
        <v/>
      </c>
      <c r="G48" s="15"/>
      <c r="H48" s="15" t="str">
        <f t="shared" si="10"/>
        <v/>
      </c>
      <c r="I48" s="16" t="str">
        <f t="shared" si="3"/>
        <v/>
      </c>
      <c r="J48" s="56"/>
      <c r="K48" s="56"/>
      <c r="L48" s="89"/>
      <c r="M48" s="89"/>
      <c r="N48" s="89"/>
    </row>
    <row r="49" spans="1:16" ht="15.6">
      <c r="A49" s="30" t="str">
        <v>CDCR-CA State Prison LA County</v>
      </c>
      <c r="B49" s="31" t="str">
        <v>CA</v>
      </c>
      <c r="C49" s="11"/>
      <c r="D49" s="18"/>
      <c r="E49" s="18" t="str">
        <f t="shared" si="8"/>
        <v/>
      </c>
      <c r="F49" s="19" t="str">
        <f t="shared" si="9"/>
        <v/>
      </c>
      <c r="G49" s="20"/>
      <c r="H49" s="20" t="str">
        <f t="shared" si="10"/>
        <v/>
      </c>
      <c r="I49" s="19" t="str">
        <f t="shared" si="3"/>
        <v/>
      </c>
      <c r="J49" s="42"/>
      <c r="K49" s="57"/>
    </row>
    <row r="50" spans="1:16" ht="15.6">
      <c r="A50" s="28" t="str">
        <v>Central USD Akers ES</v>
      </c>
      <c r="B50" s="29" t="str">
        <v>CA</v>
      </c>
      <c r="C50" s="24"/>
      <c r="D50" s="13"/>
      <c r="E50" s="13" t="str">
        <f t="shared" si="8"/>
        <v/>
      </c>
      <c r="F50" s="14" t="str">
        <f t="shared" si="9"/>
        <v/>
      </c>
      <c r="G50" s="15"/>
      <c r="H50" s="15" t="str">
        <f t="shared" si="10"/>
        <v/>
      </c>
      <c r="I50" s="16" t="str">
        <f t="shared" si="3"/>
        <v/>
      </c>
      <c r="J50" s="56"/>
      <c r="K50" s="56"/>
    </row>
    <row r="51" spans="1:16" ht="15.6">
      <c r="A51" s="30" t="str">
        <v>CUSD - District Office</v>
      </c>
      <c r="B51" s="31" t="str">
        <v>CA</v>
      </c>
      <c r="C51" s="11"/>
      <c r="D51" s="18"/>
      <c r="E51" s="18" t="str">
        <f t="shared" si="8"/>
        <v/>
      </c>
      <c r="F51" s="19" t="str">
        <f t="shared" si="9"/>
        <v/>
      </c>
      <c r="G51" s="20"/>
      <c r="H51" s="20" t="str">
        <f t="shared" si="10"/>
        <v/>
      </c>
      <c r="I51" s="19" t="str">
        <f t="shared" si="3"/>
        <v/>
      </c>
      <c r="J51" s="42"/>
      <c r="K51" s="57"/>
    </row>
    <row r="52" spans="1:16" ht="15.6">
      <c r="A52" s="28" t="str">
        <v>Parlier - WTP</v>
      </c>
      <c r="B52" s="29" t="str">
        <v>CA</v>
      </c>
      <c r="C52" s="24"/>
      <c r="D52" s="13"/>
      <c r="E52" s="13" t="str">
        <f t="shared" si="8"/>
        <v/>
      </c>
      <c r="F52" s="14" t="str">
        <f t="shared" si="9"/>
        <v/>
      </c>
      <c r="G52" s="15"/>
      <c r="H52" s="15" t="str">
        <f t="shared" si="10"/>
        <v/>
      </c>
      <c r="I52" s="16" t="str">
        <f t="shared" si="3"/>
        <v/>
      </c>
      <c r="J52" s="56"/>
      <c r="K52" s="56"/>
    </row>
    <row r="53" spans="1:16" ht="15.6">
      <c r="A53" s="30" t="str">
        <v>Snowline SD - Quail Valley MS</v>
      </c>
      <c r="B53" s="31" t="str">
        <v>CA</v>
      </c>
      <c r="C53" s="11"/>
      <c r="D53" s="18"/>
      <c r="E53" s="18" t="str">
        <f t="shared" si="8"/>
        <v/>
      </c>
      <c r="F53" s="19" t="str">
        <f t="shared" si="9"/>
        <v/>
      </c>
      <c r="G53" s="20"/>
      <c r="H53" s="20" t="str">
        <f t="shared" si="10"/>
        <v/>
      </c>
      <c r="I53" s="19" t="str">
        <f t="shared" si="3"/>
        <v/>
      </c>
      <c r="J53" s="54"/>
      <c r="K53" s="57"/>
      <c r="L53" s="89"/>
      <c r="M53" s="89"/>
    </row>
    <row r="54" spans="1:16" ht="15.6">
      <c r="A54" s="28" t="str">
        <v>Snowline SD - Serrano HS - Middle Lot</v>
      </c>
      <c r="B54" s="29" t="str">
        <v>CA</v>
      </c>
      <c r="C54" s="24"/>
      <c r="D54" s="13"/>
      <c r="E54" s="13" t="str">
        <f t="shared" si="8"/>
        <v/>
      </c>
      <c r="F54" s="14" t="str">
        <f t="shared" si="9"/>
        <v/>
      </c>
      <c r="G54" s="15"/>
      <c r="H54" s="15" t="str">
        <f t="shared" si="10"/>
        <v/>
      </c>
      <c r="I54" s="16" t="str">
        <f t="shared" si="3"/>
        <v/>
      </c>
      <c r="J54" s="56"/>
      <c r="K54" s="56"/>
    </row>
    <row r="55" spans="1:16" ht="15.6">
      <c r="A55" s="30" t="str">
        <v>Snowline SD - Pinon Hills ES</v>
      </c>
      <c r="B55" s="31" t="str">
        <v>CA</v>
      </c>
      <c r="C55" s="11"/>
      <c r="D55" s="18"/>
      <c r="E55" s="18" t="str">
        <f t="shared" si="8"/>
        <v/>
      </c>
      <c r="F55" s="19" t="str">
        <f t="shared" si="9"/>
        <v/>
      </c>
      <c r="G55" s="20"/>
      <c r="H55" s="20" t="str">
        <f t="shared" si="10"/>
        <v/>
      </c>
      <c r="I55" s="19" t="str">
        <f t="shared" si="3"/>
        <v/>
      </c>
      <c r="J55" s="54"/>
      <c r="K55" s="57"/>
    </row>
    <row r="56" spans="1:16" ht="15.6">
      <c r="A56" s="28" t="str">
        <v>Ramona - Santa Maria WTP</v>
      </c>
      <c r="B56" s="29" t="str">
        <v>CA</v>
      </c>
      <c r="C56" s="24"/>
      <c r="D56" s="13"/>
      <c r="E56" s="13" t="str">
        <f t="shared" si="8"/>
        <v/>
      </c>
      <c r="F56" s="14" t="str">
        <f t="shared" si="9"/>
        <v/>
      </c>
      <c r="G56" s="15"/>
      <c r="H56" s="15" t="str">
        <f t="shared" si="10"/>
        <v/>
      </c>
      <c r="I56" s="16" t="str">
        <f t="shared" si="3"/>
        <v/>
      </c>
      <c r="J56" s="56"/>
      <c r="K56" s="56"/>
    </row>
    <row r="57" spans="1:16" ht="15.6">
      <c r="A57" s="30" t="str">
        <v>Kohls - Redding</v>
      </c>
      <c r="B57" s="31" t="str">
        <v>CA</v>
      </c>
      <c r="C57" s="11"/>
      <c r="D57" s="18"/>
      <c r="E57" s="18" t="str">
        <f t="shared" si="8"/>
        <v/>
      </c>
      <c r="F57" s="19" t="str">
        <f t="shared" si="9"/>
        <v/>
      </c>
      <c r="G57" s="20"/>
      <c r="H57" s="20" t="str">
        <f t="shared" si="10"/>
        <v/>
      </c>
      <c r="I57" s="19" t="str">
        <f t="shared" si="3"/>
        <v/>
      </c>
      <c r="J57" s="42"/>
      <c r="K57" s="57"/>
      <c r="L57" s="89"/>
    </row>
    <row r="58" spans="1:16" ht="15.6">
      <c r="A58" s="28" t="str">
        <v>Kohls - Salinas</v>
      </c>
      <c r="B58" s="29" t="str">
        <v>CA</v>
      </c>
      <c r="C58" s="24"/>
      <c r="D58" s="13"/>
      <c r="E58" s="13" t="str">
        <f t="shared" si="8"/>
        <v/>
      </c>
      <c r="F58" s="14" t="str">
        <f t="shared" si="9"/>
        <v/>
      </c>
      <c r="G58" s="15"/>
      <c r="H58" s="15" t="str">
        <f t="shared" si="10"/>
        <v/>
      </c>
      <c r="I58" s="16" t="str">
        <f t="shared" si="3"/>
        <v/>
      </c>
      <c r="J58" s="56"/>
      <c r="K58" s="56"/>
      <c r="L58" s="89"/>
      <c r="M58" s="89"/>
      <c r="N58" s="89"/>
      <c r="O58" s="89"/>
    </row>
    <row r="59" spans="1:16" ht="15.6">
      <c r="A59" s="30" t="str">
        <v>Kohls - Sonora</v>
      </c>
      <c r="B59" s="31" t="str">
        <v>CA</v>
      </c>
      <c r="C59" s="11"/>
      <c r="D59" s="18"/>
      <c r="E59" s="18" t="str">
        <f t="shared" si="8"/>
        <v/>
      </c>
      <c r="F59" s="19" t="str">
        <f t="shared" si="9"/>
        <v/>
      </c>
      <c r="G59" s="20"/>
      <c r="H59" s="20" t="str">
        <f t="shared" si="10"/>
        <v/>
      </c>
      <c r="I59" s="19" t="str">
        <f t="shared" si="3"/>
        <v/>
      </c>
      <c r="J59" s="42"/>
      <c r="K59" s="57"/>
    </row>
    <row r="60" spans="1:16" ht="15.6">
      <c r="A60" s="28" t="str">
        <v>CUSD - Stratford ES</v>
      </c>
      <c r="B60" s="29" t="str">
        <v>CA</v>
      </c>
      <c r="C60" s="24"/>
      <c r="D60" s="13"/>
      <c r="E60" s="13" t="str">
        <f t="shared" si="8"/>
        <v/>
      </c>
      <c r="F60" s="14" t="str">
        <f t="shared" si="9"/>
        <v/>
      </c>
      <c r="G60" s="15"/>
      <c r="H60" s="15" t="str">
        <f t="shared" si="10"/>
        <v/>
      </c>
      <c r="I60" s="16" t="str">
        <f t="shared" si="3"/>
        <v/>
      </c>
      <c r="J60" s="56"/>
      <c r="K60" s="56"/>
      <c r="L60" s="89"/>
      <c r="M60" s="89"/>
      <c r="N60" s="89"/>
      <c r="O60" s="89"/>
      <c r="P60" s="89"/>
    </row>
    <row r="61" spans="1:16" ht="15.6">
      <c r="A61" s="30" t="str">
        <v>Taft - City Hall</v>
      </c>
      <c r="B61" s="31" t="str">
        <v>CA</v>
      </c>
      <c r="C61" s="11"/>
      <c r="D61" s="18"/>
      <c r="E61" s="18" t="str">
        <f t="shared" si="8"/>
        <v/>
      </c>
      <c r="F61" s="19" t="str">
        <f t="shared" si="9"/>
        <v/>
      </c>
      <c r="G61" s="20"/>
      <c r="H61" s="20" t="str">
        <f t="shared" si="10"/>
        <v/>
      </c>
      <c r="I61" s="19" t="str">
        <f t="shared" si="3"/>
        <v/>
      </c>
      <c r="J61" s="42"/>
      <c r="K61" s="57"/>
    </row>
    <row r="62" spans="1:16" ht="18.75" customHeight="1">
      <c r="A62" s="28" t="str">
        <v>Taft - Federal Prison</v>
      </c>
      <c r="B62" s="29" t="str">
        <v>CA</v>
      </c>
      <c r="C62" s="24"/>
      <c r="D62" s="13"/>
      <c r="E62" s="13" t="str">
        <f t="shared" si="8"/>
        <v/>
      </c>
      <c r="F62" s="14" t="str">
        <f t="shared" si="9"/>
        <v/>
      </c>
      <c r="G62" s="15"/>
      <c r="H62" s="15" t="str">
        <f t="shared" si="10"/>
        <v/>
      </c>
      <c r="I62" s="16" t="str">
        <f t="shared" si="3"/>
        <v/>
      </c>
      <c r="J62" s="56"/>
      <c r="K62" s="56"/>
      <c r="L62" s="89"/>
      <c r="M62" s="89"/>
      <c r="N62" s="89"/>
      <c r="O62" s="89"/>
      <c r="P62" s="89"/>
    </row>
    <row r="63" spans="1:16" ht="15.6">
      <c r="A63" s="30" t="str">
        <v>Taft - Police Department</v>
      </c>
      <c r="B63" s="31" t="str">
        <v>CA</v>
      </c>
      <c r="C63" s="11"/>
      <c r="D63" s="18"/>
      <c r="E63" s="18" t="str">
        <f t="shared" si="8"/>
        <v/>
      </c>
      <c r="F63" s="19" t="str">
        <f t="shared" si="9"/>
        <v/>
      </c>
      <c r="G63" s="20"/>
      <c r="H63" s="20" t="str">
        <f t="shared" si="10"/>
        <v/>
      </c>
      <c r="I63" s="19" t="str">
        <f t="shared" si="3"/>
        <v/>
      </c>
      <c r="J63" s="42"/>
      <c r="K63" s="43"/>
    </row>
    <row r="64" spans="1:16" ht="15.6">
      <c r="A64" s="28" t="str">
        <v>Taft - WTP</v>
      </c>
      <c r="B64" s="29" t="str">
        <v>CA</v>
      </c>
      <c r="C64" s="24"/>
      <c r="D64" s="13"/>
      <c r="E64" s="13" t="str">
        <f t="shared" si="8"/>
        <v/>
      </c>
      <c r="F64" s="14" t="str">
        <f t="shared" si="9"/>
        <v/>
      </c>
      <c r="G64" s="15"/>
      <c r="H64" s="15" t="str">
        <f t="shared" si="10"/>
        <v/>
      </c>
      <c r="I64" s="16" t="str">
        <f t="shared" si="3"/>
        <v/>
      </c>
      <c r="J64" s="56"/>
      <c r="K64" s="56"/>
      <c r="L64" s="89"/>
      <c r="M64" s="89"/>
      <c r="N64" s="89"/>
      <c r="O64" s="89"/>
      <c r="P64" s="89"/>
    </row>
    <row r="65" spans="1:13" ht="15.6">
      <c r="A65" s="30" t="str">
        <v>CDCR - CA Correctional Institution</v>
      </c>
      <c r="B65" s="31" t="str">
        <v>CA</v>
      </c>
      <c r="C65" s="11"/>
      <c r="D65" s="18"/>
      <c r="E65" s="18" t="str">
        <f t="shared" si="8"/>
        <v/>
      </c>
      <c r="F65" s="19" t="str">
        <f t="shared" si="9"/>
        <v/>
      </c>
      <c r="G65" s="20"/>
      <c r="H65" s="20" t="str">
        <f t="shared" si="10"/>
        <v/>
      </c>
      <c r="I65" s="19" t="str">
        <f t="shared" si="3"/>
        <v/>
      </c>
      <c r="J65" s="42"/>
      <c r="K65" s="57"/>
      <c r="L65" s="89"/>
    </row>
    <row r="66" spans="1:13" ht="15.6">
      <c r="A66" s="28" t="str">
        <v>CDCR - CA Correctional Institution II</v>
      </c>
      <c r="B66" s="29" t="str">
        <v>CA</v>
      </c>
      <c r="C66" s="24"/>
      <c r="D66" s="13"/>
      <c r="E66" s="13" t="str">
        <f t="shared" si="8"/>
        <v/>
      </c>
      <c r="F66" s="14" t="str">
        <f t="shared" si="9"/>
        <v/>
      </c>
      <c r="G66" s="15"/>
      <c r="H66" s="15" t="str">
        <f t="shared" si="10"/>
        <v/>
      </c>
      <c r="I66" s="16" t="str">
        <f t="shared" si="3"/>
        <v/>
      </c>
      <c r="J66" s="56"/>
      <c r="K66" s="56"/>
      <c r="L66" s="89"/>
      <c r="M66" s="89"/>
    </row>
    <row r="67" spans="1:13" ht="15.6">
      <c r="A67" s="30" t="str">
        <v>Snowline SD - Vista Verde ES</v>
      </c>
      <c r="B67" s="31" t="str">
        <v>CA</v>
      </c>
      <c r="C67" s="11"/>
      <c r="D67" s="18"/>
      <c r="E67" s="18" t="str">
        <f t="shared" si="8"/>
        <v/>
      </c>
      <c r="F67" s="19" t="str">
        <f t="shared" si="9"/>
        <v/>
      </c>
      <c r="G67" s="20"/>
      <c r="H67" s="20" t="str">
        <f t="shared" si="10"/>
        <v/>
      </c>
      <c r="I67" s="19" t="str">
        <f t="shared" si="3"/>
        <v/>
      </c>
      <c r="J67" s="42"/>
      <c r="K67" s="57"/>
      <c r="L67" s="89"/>
      <c r="M67" s="89"/>
    </row>
    <row r="68" spans="1:13" ht="15.6">
      <c r="A68" s="28" t="str">
        <v>North Stonington</v>
      </c>
      <c r="B68" s="29" t="str">
        <v>CT</v>
      </c>
      <c r="C68" s="24"/>
      <c r="D68" s="13"/>
      <c r="E68" s="13" t="str">
        <f t="shared" si="8"/>
        <v/>
      </c>
      <c r="F68" s="14" t="str">
        <f t="shared" si="9"/>
        <v/>
      </c>
      <c r="G68" s="15"/>
      <c r="H68" s="15" t="str">
        <f t="shared" si="10"/>
        <v/>
      </c>
      <c r="I68" s="16" t="str">
        <f t="shared" si="3"/>
        <v/>
      </c>
      <c r="J68" s="56"/>
      <c r="K68" s="56"/>
    </row>
    <row r="69" spans="1:13" ht="15.6">
      <c r="A69" s="30" t="str">
        <v>CT: Torrington - 2-298 Rossi Road</v>
      </c>
      <c r="B69" s="31" t="str">
        <v>CT</v>
      </c>
      <c r="C69" s="11"/>
      <c r="D69" s="18"/>
      <c r="E69" s="18" t="str">
        <f t="shared" si="8"/>
        <v/>
      </c>
      <c r="F69" s="19"/>
      <c r="G69" s="20"/>
      <c r="H69" s="20" t="str">
        <f t="shared" si="10"/>
        <v/>
      </c>
      <c r="I69" s="19"/>
      <c r="J69" s="42"/>
      <c r="K69" s="60"/>
      <c r="L69" s="89"/>
      <c r="M69" s="89"/>
    </row>
    <row r="70" spans="1:13" ht="14.45">
      <c r="A70" s="21"/>
      <c r="B70" s="33"/>
      <c r="C70" s="21"/>
      <c r="D70" s="21"/>
      <c r="E70" s="21"/>
      <c r="F70" s="22"/>
      <c r="G70" s="21"/>
      <c r="H70" s="84"/>
      <c r="I70" s="22"/>
      <c r="J70" s="21"/>
      <c r="K70" s="21"/>
    </row>
    <row r="71" spans="1:13" ht="14.45">
      <c r="A71" s="21"/>
      <c r="B71" s="33"/>
      <c r="C71" s="21"/>
      <c r="D71" s="21"/>
      <c r="E71" s="21"/>
      <c r="F71" s="22"/>
      <c r="G71" s="21"/>
      <c r="H71" s="84"/>
      <c r="I71" s="22"/>
      <c r="J71" s="21"/>
      <c r="K71" s="21"/>
    </row>
    <row r="72" spans="1:13" ht="14.45">
      <c r="A72" s="21"/>
      <c r="B72" s="33"/>
      <c r="C72" s="21"/>
      <c r="D72" s="21"/>
      <c r="E72" s="21"/>
      <c r="F72" s="22"/>
      <c r="G72" s="21"/>
      <c r="H72" s="84"/>
      <c r="I72" s="22"/>
      <c r="J72" s="21"/>
      <c r="K72" s="21"/>
    </row>
    <row r="73" spans="1:13" ht="14.45">
      <c r="A73" s="21"/>
      <c r="B73" s="33"/>
      <c r="C73" s="21"/>
      <c r="D73" s="21"/>
      <c r="E73" s="21"/>
      <c r="F73" s="22"/>
      <c r="G73" s="21"/>
      <c r="H73" s="84"/>
      <c r="I73" s="22"/>
      <c r="J73" s="21"/>
      <c r="K73" s="21"/>
    </row>
    <row r="74" spans="1:13" ht="14.45">
      <c r="A74" s="21"/>
      <c r="B74" s="33"/>
      <c r="C74" s="21"/>
      <c r="D74" s="21"/>
      <c r="E74" s="21"/>
      <c r="F74" s="22"/>
      <c r="G74" s="21"/>
      <c r="H74" s="84"/>
      <c r="I74" s="22"/>
      <c r="J74" s="21"/>
      <c r="K74" s="21"/>
    </row>
    <row r="75" spans="1:13" ht="14.45">
      <c r="A75" s="21"/>
      <c r="B75" s="33"/>
      <c r="C75" s="21"/>
      <c r="D75" s="21"/>
      <c r="E75" s="21"/>
      <c r="F75" s="22"/>
      <c r="G75" s="21"/>
      <c r="H75" s="84"/>
      <c r="I75" s="22"/>
      <c r="J75" s="21"/>
      <c r="K75" s="21"/>
    </row>
    <row r="76" spans="1:13" ht="14.45">
      <c r="A76" s="21"/>
      <c r="B76" s="33"/>
      <c r="C76" s="21"/>
      <c r="D76" s="21"/>
      <c r="E76" s="21"/>
      <c r="F76" s="22"/>
      <c r="G76" s="21"/>
      <c r="H76" s="84"/>
      <c r="I76" s="22"/>
      <c r="J76" s="21"/>
      <c r="K76" s="21"/>
    </row>
    <row r="77" spans="1:13" ht="14.45">
      <c r="A77" s="21"/>
      <c r="B77" s="33"/>
      <c r="C77" s="21"/>
      <c r="D77" s="21"/>
      <c r="E77" s="21"/>
      <c r="F77" s="22"/>
      <c r="G77" s="21"/>
      <c r="H77" s="84"/>
      <c r="I77" s="22"/>
      <c r="J77" s="21"/>
      <c r="K77" s="21"/>
    </row>
    <row r="78" spans="1:13" ht="14.45">
      <c r="A78" s="21"/>
      <c r="B78" s="33"/>
      <c r="C78" s="21"/>
      <c r="D78" s="21"/>
      <c r="E78" s="21"/>
      <c r="F78" s="22"/>
      <c r="G78" s="21"/>
      <c r="H78" s="84"/>
      <c r="I78" s="22"/>
      <c r="J78" s="21"/>
      <c r="K78" s="21"/>
    </row>
    <row r="79" spans="1:13" ht="14.45">
      <c r="A79" s="21"/>
      <c r="B79" s="33"/>
      <c r="C79" s="21"/>
      <c r="D79" s="21"/>
      <c r="E79" s="21"/>
      <c r="F79" s="22"/>
      <c r="G79" s="21"/>
      <c r="H79" s="84"/>
      <c r="I79" s="22"/>
      <c r="J79" s="21"/>
      <c r="K79" s="21"/>
    </row>
    <row r="80" spans="1:13" ht="14.45">
      <c r="A80" s="21"/>
      <c r="B80" s="33"/>
      <c r="C80" s="21"/>
      <c r="D80" s="21"/>
      <c r="E80" s="21"/>
      <c r="F80" s="22"/>
      <c r="G80" s="21"/>
      <c r="H80" s="84"/>
      <c r="I80" s="22"/>
      <c r="J80" s="21"/>
      <c r="K80" s="21"/>
    </row>
    <row r="81" spans="1:11" ht="14.45">
      <c r="A81" s="21"/>
      <c r="B81" s="33"/>
      <c r="C81" s="21"/>
      <c r="D81" s="21"/>
      <c r="E81" s="21"/>
      <c r="F81" s="22"/>
      <c r="G81" s="21"/>
      <c r="H81" s="84"/>
      <c r="I81" s="22"/>
      <c r="J81" s="21"/>
      <c r="K81" s="21"/>
    </row>
    <row r="82" spans="1:11" ht="14.45">
      <c r="A82" s="21"/>
      <c r="B82" s="33"/>
      <c r="C82" s="21"/>
      <c r="D82" s="21"/>
      <c r="E82" s="21"/>
      <c r="F82" s="22"/>
      <c r="G82" s="21"/>
      <c r="H82" s="84"/>
      <c r="I82" s="22"/>
      <c r="J82" s="21"/>
      <c r="K82" s="21"/>
    </row>
    <row r="83" spans="1:11" ht="14.45">
      <c r="A83" s="21"/>
      <c r="B83" s="33"/>
      <c r="C83" s="21"/>
      <c r="D83" s="21"/>
      <c r="E83" s="21"/>
      <c r="F83" s="22"/>
      <c r="G83" s="21"/>
      <c r="H83" s="84"/>
      <c r="I83" s="22"/>
      <c r="J83" s="21"/>
      <c r="K83" s="21"/>
    </row>
    <row r="84" spans="1:11" ht="14.45">
      <c r="A84" s="21"/>
      <c r="B84" s="33"/>
      <c r="C84" s="21"/>
      <c r="D84" s="21"/>
      <c r="E84" s="21"/>
      <c r="F84" s="22"/>
      <c r="G84" s="21"/>
      <c r="H84" s="84"/>
      <c r="I84" s="22"/>
      <c r="J84" s="21"/>
      <c r="K84" s="21"/>
    </row>
    <row r="85" spans="1:11" ht="14.45">
      <c r="A85" s="21"/>
      <c r="B85" s="33"/>
      <c r="C85" s="21"/>
      <c r="D85" s="21"/>
      <c r="E85" s="21"/>
      <c r="F85" s="22"/>
      <c r="G85" s="21"/>
      <c r="H85" s="84"/>
      <c r="I85" s="22"/>
      <c r="J85" s="21"/>
      <c r="K85" s="21"/>
    </row>
    <row r="86" spans="1:11" ht="14.45">
      <c r="A86" s="21"/>
      <c r="B86" s="33"/>
      <c r="C86" s="21"/>
      <c r="D86" s="21"/>
      <c r="E86" s="21"/>
      <c r="F86" s="22"/>
      <c r="G86" s="21"/>
      <c r="H86" s="84"/>
      <c r="I86" s="22"/>
      <c r="J86" s="21"/>
      <c r="K86" s="21"/>
    </row>
    <row r="87" spans="1:11" ht="14.45">
      <c r="A87" s="21"/>
      <c r="B87" s="33"/>
      <c r="C87" s="21"/>
      <c r="D87" s="21"/>
      <c r="E87" s="21"/>
      <c r="F87" s="22"/>
      <c r="G87" s="21"/>
      <c r="H87" s="84"/>
      <c r="I87" s="22"/>
      <c r="J87" s="21"/>
      <c r="K87" s="21"/>
    </row>
    <row r="88" spans="1:11" ht="14.45">
      <c r="A88" s="21"/>
      <c r="B88" s="33"/>
      <c r="C88" s="21"/>
      <c r="D88" s="21"/>
      <c r="E88" s="21"/>
      <c r="F88" s="22"/>
      <c r="G88" s="21"/>
      <c r="H88" s="84"/>
      <c r="I88" s="22"/>
      <c r="J88" s="21"/>
      <c r="K88" s="21"/>
    </row>
    <row r="89" spans="1:11" ht="14.45">
      <c r="A89" s="21"/>
      <c r="B89" s="33"/>
      <c r="C89" s="21"/>
      <c r="D89" s="21"/>
      <c r="E89" s="21"/>
      <c r="F89" s="22"/>
      <c r="G89" s="21"/>
      <c r="H89" s="84"/>
      <c r="I89" s="22"/>
      <c r="J89" s="21"/>
      <c r="K89" s="21"/>
    </row>
    <row r="90" spans="1:11" ht="14.45">
      <c r="A90" s="21"/>
      <c r="B90" s="33"/>
      <c r="C90" s="21"/>
      <c r="D90" s="21"/>
      <c r="E90" s="21"/>
      <c r="F90" s="22"/>
      <c r="G90" s="21"/>
      <c r="H90" s="84"/>
      <c r="I90" s="22"/>
      <c r="J90" s="21"/>
      <c r="K90" s="21"/>
    </row>
    <row r="91" spans="1:11" ht="14.45">
      <c r="A91" s="21"/>
      <c r="B91" s="33"/>
      <c r="C91" s="21"/>
      <c r="D91" s="21"/>
      <c r="E91" s="21"/>
      <c r="F91" s="22"/>
      <c r="G91" s="21"/>
      <c r="H91" s="84"/>
      <c r="I91" s="22"/>
      <c r="J91" s="21"/>
      <c r="K91" s="21"/>
    </row>
    <row r="92" spans="1:11" ht="14.45">
      <c r="A92" s="21"/>
      <c r="B92" s="33"/>
      <c r="C92" s="21"/>
      <c r="D92" s="21"/>
      <c r="E92" s="21"/>
      <c r="F92" s="22"/>
      <c r="G92" s="21"/>
      <c r="H92" s="84"/>
      <c r="I92" s="22"/>
      <c r="J92" s="21"/>
      <c r="K92" s="21"/>
    </row>
    <row r="93" spans="1:11" ht="14.45">
      <c r="A93" s="21"/>
      <c r="B93" s="33"/>
      <c r="C93" s="21"/>
      <c r="D93" s="21"/>
      <c r="E93" s="21"/>
      <c r="F93" s="22"/>
      <c r="G93" s="21"/>
      <c r="H93" s="84"/>
      <c r="I93" s="22"/>
      <c r="J93" s="21"/>
      <c r="K93" s="21"/>
    </row>
    <row r="94" spans="1:11" ht="14.45">
      <c r="A94" s="21"/>
      <c r="B94" s="33"/>
      <c r="C94" s="21"/>
      <c r="D94" s="21"/>
      <c r="E94" s="21"/>
      <c r="F94" s="22"/>
      <c r="G94" s="21"/>
      <c r="H94" s="84"/>
      <c r="I94" s="22"/>
      <c r="J94" s="21"/>
      <c r="K94" s="21"/>
    </row>
    <row r="95" spans="1:11" ht="14.45">
      <c r="A95" s="21"/>
      <c r="B95" s="33"/>
      <c r="C95" s="21"/>
      <c r="D95" s="21"/>
      <c r="E95" s="21"/>
      <c r="F95" s="22"/>
      <c r="G95" s="21"/>
      <c r="H95" s="84"/>
      <c r="I95" s="22"/>
      <c r="J95" s="21"/>
      <c r="K95" s="21"/>
    </row>
    <row r="96" spans="1:11" ht="14.45">
      <c r="A96" s="21"/>
      <c r="B96" s="33"/>
      <c r="C96" s="21"/>
      <c r="D96" s="21"/>
      <c r="E96" s="21"/>
      <c r="F96" s="22"/>
      <c r="G96" s="21"/>
      <c r="H96" s="84"/>
      <c r="I96" s="22"/>
      <c r="J96" s="21"/>
      <c r="K96" s="21"/>
    </row>
    <row r="97" spans="1:11" ht="14.45">
      <c r="A97" s="21"/>
      <c r="B97" s="33"/>
      <c r="C97" s="21"/>
      <c r="D97" s="21"/>
      <c r="E97" s="21"/>
      <c r="F97" s="22"/>
      <c r="G97" s="21"/>
      <c r="H97" s="84"/>
      <c r="I97" s="22"/>
      <c r="J97" s="21"/>
      <c r="K97" s="21"/>
    </row>
    <row r="98" spans="1:11" ht="14.45">
      <c r="A98" s="21"/>
      <c r="B98" s="33"/>
      <c r="C98" s="21"/>
      <c r="D98" s="21"/>
      <c r="E98" s="21"/>
      <c r="F98" s="22"/>
      <c r="G98" s="21"/>
      <c r="H98" s="84"/>
      <c r="I98" s="22"/>
      <c r="J98" s="21"/>
      <c r="K98" s="21"/>
    </row>
    <row r="99" spans="1:11" ht="14.45">
      <c r="A99" s="21"/>
      <c r="B99" s="33"/>
      <c r="C99" s="21"/>
      <c r="D99" s="21"/>
      <c r="E99" s="21"/>
      <c r="F99" s="22"/>
      <c r="G99" s="21"/>
      <c r="H99" s="84"/>
      <c r="I99" s="22"/>
      <c r="J99" s="21"/>
      <c r="K99" s="21"/>
    </row>
    <row r="100" spans="1:11" ht="14.45">
      <c r="A100" s="21"/>
      <c r="B100" s="33"/>
      <c r="C100" s="21"/>
      <c r="D100" s="21"/>
      <c r="E100" s="21"/>
      <c r="F100" s="22"/>
      <c r="G100" s="21"/>
      <c r="H100" s="84"/>
      <c r="I100" s="22"/>
      <c r="J100" s="21"/>
      <c r="K100" s="21"/>
    </row>
    <row r="101" spans="1:11" ht="14.45">
      <c r="A101" s="21"/>
      <c r="B101" s="33"/>
      <c r="C101" s="21"/>
      <c r="D101" s="21"/>
      <c r="E101" s="21"/>
      <c r="F101" s="22"/>
      <c r="G101" s="21"/>
      <c r="H101" s="84"/>
      <c r="I101" s="22"/>
      <c r="J101" s="21"/>
      <c r="K101" s="21"/>
    </row>
    <row r="102" spans="1:11" ht="14.45">
      <c r="A102" s="21"/>
      <c r="B102" s="33"/>
      <c r="C102" s="21"/>
      <c r="D102" s="21"/>
      <c r="E102" s="21"/>
      <c r="F102" s="22"/>
      <c r="G102" s="21"/>
      <c r="H102" s="84"/>
      <c r="I102" s="22"/>
      <c r="J102" s="21"/>
      <c r="K102" s="21"/>
    </row>
    <row r="103" spans="1:11" ht="14.45">
      <c r="A103" s="21"/>
      <c r="B103" s="33"/>
      <c r="C103" s="21"/>
      <c r="D103" s="21"/>
      <c r="E103" s="21"/>
      <c r="F103" s="22"/>
      <c r="G103" s="21"/>
      <c r="H103" s="84"/>
      <c r="I103" s="22"/>
      <c r="J103" s="21"/>
      <c r="K103" s="21"/>
    </row>
    <row r="104" spans="1:11" ht="14.45">
      <c r="A104" s="21"/>
      <c r="B104" s="33"/>
      <c r="C104" s="21"/>
      <c r="D104" s="21"/>
      <c r="E104" s="21"/>
      <c r="F104" s="22"/>
      <c r="G104" s="21"/>
      <c r="H104" s="84"/>
      <c r="I104" s="22"/>
      <c r="J104" s="21"/>
      <c r="K104" s="21"/>
    </row>
    <row r="105" spans="1:11" ht="14.45">
      <c r="A105" s="21"/>
      <c r="B105" s="33"/>
      <c r="C105" s="21"/>
      <c r="D105" s="21"/>
      <c r="E105" s="21"/>
      <c r="F105" s="22"/>
      <c r="G105" s="21"/>
      <c r="H105" s="84"/>
      <c r="I105" s="22"/>
      <c r="J105" s="21"/>
      <c r="K105" s="21"/>
    </row>
    <row r="106" spans="1:11" ht="14.45">
      <c r="A106" s="21"/>
      <c r="B106" s="33"/>
      <c r="C106" s="21"/>
      <c r="D106" s="21"/>
      <c r="E106" s="21"/>
      <c r="F106" s="22"/>
      <c r="G106" s="21"/>
      <c r="H106" s="84"/>
      <c r="I106" s="22"/>
      <c r="J106" s="21"/>
      <c r="K106" s="21"/>
    </row>
    <row r="107" spans="1:11" ht="14.45">
      <c r="A107" s="21"/>
      <c r="B107" s="33"/>
      <c r="C107" s="21"/>
      <c r="D107" s="21"/>
      <c r="E107" s="21"/>
      <c r="F107" s="22"/>
      <c r="G107" s="21"/>
      <c r="H107" s="84"/>
      <c r="I107" s="22"/>
      <c r="J107" s="21"/>
      <c r="K107" s="21"/>
    </row>
    <row r="108" spans="1:11" ht="14.45">
      <c r="A108" s="21"/>
      <c r="B108" s="33"/>
      <c r="C108" s="21"/>
      <c r="D108" s="21"/>
      <c r="E108" s="21"/>
      <c r="F108" s="22"/>
      <c r="G108" s="21"/>
      <c r="H108" s="84"/>
      <c r="I108" s="22"/>
      <c r="J108" s="21"/>
      <c r="K108" s="21"/>
    </row>
    <row r="109" spans="1:11" ht="14.45">
      <c r="A109" s="21"/>
      <c r="B109" s="33"/>
      <c r="C109" s="21"/>
      <c r="D109" s="21"/>
      <c r="E109" s="21"/>
      <c r="F109" s="22"/>
      <c r="G109" s="21"/>
      <c r="H109" s="84"/>
      <c r="I109" s="22"/>
      <c r="J109" s="21"/>
      <c r="K109" s="21"/>
    </row>
    <row r="110" spans="1:11" ht="14.45">
      <c r="A110" s="21"/>
      <c r="B110" s="33"/>
      <c r="C110" s="21"/>
      <c r="D110" s="21"/>
      <c r="E110" s="21"/>
      <c r="F110" s="22"/>
      <c r="G110" s="21"/>
      <c r="H110" s="84"/>
      <c r="I110" s="22"/>
      <c r="J110" s="21"/>
      <c r="K110" s="21"/>
    </row>
    <row r="111" spans="1:11" ht="14.45">
      <c r="A111" s="21"/>
      <c r="B111" s="33"/>
      <c r="C111" s="21"/>
      <c r="D111" s="21"/>
      <c r="E111" s="21"/>
      <c r="F111" s="22"/>
      <c r="G111" s="21"/>
      <c r="H111" s="84"/>
      <c r="I111" s="22"/>
      <c r="J111" s="21"/>
      <c r="K111" s="21"/>
    </row>
    <row r="112" spans="1:11" ht="14.45">
      <c r="A112" s="21"/>
      <c r="B112" s="33"/>
      <c r="C112" s="21"/>
      <c r="D112" s="21"/>
      <c r="E112" s="21"/>
      <c r="F112" s="22"/>
      <c r="G112" s="21"/>
      <c r="H112" s="84"/>
      <c r="I112" s="22"/>
      <c r="J112" s="21"/>
      <c r="K112" s="21"/>
    </row>
    <row r="113" spans="1:11" ht="14.45">
      <c r="A113" s="21"/>
      <c r="B113" s="33"/>
      <c r="C113" s="21"/>
      <c r="D113" s="21"/>
      <c r="E113" s="21"/>
      <c r="F113" s="22"/>
      <c r="G113" s="21"/>
      <c r="H113" s="84"/>
      <c r="I113" s="22"/>
      <c r="J113" s="21"/>
      <c r="K113" s="21"/>
    </row>
    <row r="114" spans="1:11" ht="14.45">
      <c r="A114" s="21"/>
      <c r="B114" s="33"/>
      <c r="C114" s="21"/>
      <c r="D114" s="21"/>
      <c r="E114" s="21"/>
      <c r="F114" s="22"/>
      <c r="G114" s="21"/>
      <c r="H114" s="84"/>
      <c r="I114" s="22"/>
      <c r="J114" s="21"/>
      <c r="K114" s="21"/>
    </row>
    <row r="115" spans="1:11" ht="14.45">
      <c r="A115" s="21"/>
      <c r="B115" s="33"/>
      <c r="C115" s="21"/>
      <c r="D115" s="21"/>
      <c r="E115" s="21"/>
      <c r="F115" s="22"/>
      <c r="G115" s="21"/>
      <c r="H115" s="84"/>
      <c r="I115" s="22"/>
      <c r="J115" s="21"/>
      <c r="K115" s="21"/>
    </row>
    <row r="116" spans="1:11" ht="14.45">
      <c r="A116" s="21"/>
      <c r="B116" s="33"/>
      <c r="C116" s="21"/>
      <c r="D116" s="21"/>
      <c r="E116" s="21"/>
      <c r="F116" s="22"/>
      <c r="G116" s="21"/>
      <c r="H116" s="84"/>
      <c r="I116" s="22"/>
      <c r="J116" s="21"/>
      <c r="K116" s="21"/>
    </row>
    <row r="117" spans="1:11" ht="14.45">
      <c r="A117" s="21"/>
      <c r="B117" s="33"/>
      <c r="C117" s="21"/>
      <c r="D117" s="21"/>
      <c r="E117" s="21"/>
      <c r="F117" s="22"/>
      <c r="G117" s="21"/>
      <c r="H117" s="84"/>
      <c r="I117" s="22"/>
      <c r="J117" s="21"/>
      <c r="K117" s="21"/>
    </row>
    <row r="118" spans="1:11" ht="14.45">
      <c r="A118" s="21"/>
      <c r="B118" s="33"/>
      <c r="C118" s="21"/>
      <c r="D118" s="21"/>
      <c r="E118" s="21"/>
      <c r="F118" s="22"/>
      <c r="G118" s="21"/>
      <c r="H118" s="84"/>
      <c r="I118" s="22"/>
      <c r="J118" s="21"/>
      <c r="K118" s="21"/>
    </row>
    <row r="119" spans="1:11" ht="14.45">
      <c r="A119" s="21"/>
      <c r="B119" s="33"/>
      <c r="C119" s="21"/>
      <c r="D119" s="21"/>
      <c r="E119" s="21"/>
      <c r="F119" s="22"/>
      <c r="G119" s="21"/>
      <c r="H119" s="84"/>
      <c r="I119" s="22"/>
      <c r="J119" s="21"/>
      <c r="K119" s="21"/>
    </row>
    <row r="120" spans="1:11" ht="14.45">
      <c r="A120" s="21"/>
      <c r="B120" s="33"/>
      <c r="C120" s="21"/>
      <c r="D120" s="21"/>
      <c r="E120" s="21"/>
      <c r="F120" s="22"/>
      <c r="G120" s="21"/>
      <c r="H120" s="84"/>
      <c r="I120" s="22"/>
      <c r="J120" s="21"/>
      <c r="K120" s="21"/>
    </row>
    <row r="121" spans="1:11" ht="14.45">
      <c r="A121" s="21"/>
      <c r="B121" s="33"/>
      <c r="C121" s="21"/>
      <c r="D121" s="21"/>
      <c r="E121" s="21"/>
      <c r="F121" s="22"/>
      <c r="G121" s="21"/>
      <c r="H121" s="84"/>
      <c r="I121" s="22"/>
      <c r="J121" s="21"/>
      <c r="K121" s="21"/>
    </row>
    <row r="122" spans="1:11" ht="14.45">
      <c r="A122" s="21"/>
      <c r="B122" s="33"/>
      <c r="C122" s="21"/>
      <c r="D122" s="21"/>
      <c r="E122" s="21"/>
      <c r="F122" s="22"/>
      <c r="G122" s="21"/>
      <c r="H122" s="84"/>
      <c r="I122" s="22"/>
      <c r="J122" s="21"/>
      <c r="K122" s="21"/>
    </row>
    <row r="123" spans="1:11" ht="14.45">
      <c r="A123" s="21"/>
      <c r="B123" s="33"/>
      <c r="C123" s="21"/>
      <c r="D123" s="21"/>
      <c r="E123" s="21"/>
      <c r="F123" s="22"/>
      <c r="G123" s="21"/>
      <c r="H123" s="84"/>
      <c r="I123" s="22"/>
      <c r="J123" s="21"/>
      <c r="K123" s="21"/>
    </row>
    <row r="124" spans="1:11" ht="14.45">
      <c r="A124" s="21"/>
      <c r="B124" s="33"/>
      <c r="C124" s="21"/>
      <c r="D124" s="21"/>
      <c r="E124" s="21"/>
      <c r="F124" s="22"/>
      <c r="G124" s="21"/>
      <c r="H124" s="84"/>
      <c r="I124" s="22"/>
      <c r="J124" s="21"/>
      <c r="K124" s="21"/>
    </row>
    <row r="125" spans="1:11" ht="14.45">
      <c r="A125" s="21"/>
      <c r="B125" s="33"/>
      <c r="C125" s="21"/>
      <c r="D125" s="21"/>
      <c r="E125" s="21"/>
      <c r="F125" s="22"/>
      <c r="G125" s="21"/>
      <c r="H125" s="84"/>
      <c r="I125" s="22"/>
      <c r="J125" s="21"/>
      <c r="K125" s="21"/>
    </row>
    <row r="126" spans="1:11" ht="14.45">
      <c r="A126" s="21"/>
      <c r="B126" s="33"/>
      <c r="C126" s="21"/>
      <c r="D126" s="21"/>
      <c r="E126" s="21"/>
      <c r="F126" s="22"/>
      <c r="G126" s="21"/>
      <c r="H126" s="84"/>
      <c r="I126" s="22"/>
      <c r="J126" s="21"/>
      <c r="K126" s="21"/>
    </row>
    <row r="127" spans="1:11" ht="14.45">
      <c r="A127" s="21"/>
      <c r="B127" s="33"/>
      <c r="C127" s="21"/>
      <c r="D127" s="21"/>
      <c r="E127" s="21"/>
      <c r="F127" s="22"/>
      <c r="G127" s="21"/>
      <c r="H127" s="84"/>
      <c r="I127" s="22"/>
      <c r="J127" s="21"/>
      <c r="K127" s="21"/>
    </row>
    <row r="128" spans="1:11" ht="14.45">
      <c r="A128" s="21"/>
      <c r="B128" s="33"/>
      <c r="C128" s="21"/>
      <c r="D128" s="21"/>
      <c r="E128" s="21"/>
      <c r="F128" s="22"/>
      <c r="G128" s="21"/>
      <c r="H128" s="84"/>
      <c r="I128" s="22"/>
      <c r="J128" s="21"/>
      <c r="K128" s="21"/>
    </row>
    <row r="129" spans="1:11" ht="14.45">
      <c r="A129" s="21"/>
      <c r="B129" s="33"/>
      <c r="C129" s="21"/>
      <c r="D129" s="21"/>
      <c r="E129" s="21"/>
      <c r="F129" s="22"/>
      <c r="G129" s="21"/>
      <c r="H129" s="84"/>
      <c r="I129" s="22"/>
      <c r="J129" s="21"/>
      <c r="K129" s="21"/>
    </row>
    <row r="130" spans="1:11" ht="14.45">
      <c r="A130" s="21"/>
      <c r="B130" s="33"/>
      <c r="C130" s="21"/>
      <c r="D130" s="21"/>
      <c r="E130" s="21"/>
      <c r="F130" s="22"/>
      <c r="G130" s="21"/>
      <c r="H130" s="84"/>
      <c r="I130" s="22"/>
      <c r="J130" s="21"/>
      <c r="K130" s="21"/>
    </row>
    <row r="131" spans="1:11" ht="14.45">
      <c r="A131" s="21"/>
      <c r="B131" s="33"/>
      <c r="C131" s="21"/>
      <c r="D131" s="21"/>
      <c r="E131" s="21"/>
      <c r="F131" s="22"/>
      <c r="G131" s="21"/>
      <c r="H131" s="84"/>
      <c r="I131" s="22"/>
      <c r="J131" s="21"/>
      <c r="K131" s="21"/>
    </row>
    <row r="132" spans="1:11" ht="14.45">
      <c r="A132" s="21"/>
      <c r="B132" s="33"/>
      <c r="C132" s="21"/>
      <c r="D132" s="21"/>
      <c r="E132" s="21"/>
      <c r="F132" s="22"/>
      <c r="G132" s="21"/>
      <c r="H132" s="84"/>
      <c r="I132" s="22"/>
      <c r="J132" s="21"/>
      <c r="K132" s="21"/>
    </row>
    <row r="133" spans="1:11" ht="14.45">
      <c r="A133" s="21"/>
      <c r="B133" s="33"/>
      <c r="C133" s="21"/>
      <c r="D133" s="21"/>
      <c r="E133" s="21"/>
      <c r="F133" s="22"/>
      <c r="G133" s="21"/>
      <c r="H133" s="84"/>
      <c r="I133" s="22"/>
      <c r="J133" s="21"/>
      <c r="K133" s="21"/>
    </row>
    <row r="134" spans="1:11" ht="14.45">
      <c r="A134" s="21"/>
      <c r="B134" s="33"/>
      <c r="C134" s="21"/>
      <c r="D134" s="21"/>
      <c r="E134" s="21"/>
      <c r="F134" s="22"/>
      <c r="G134" s="21"/>
      <c r="H134" s="84"/>
      <c r="I134" s="22"/>
      <c r="J134" s="21"/>
      <c r="K134" s="21"/>
    </row>
    <row r="135" spans="1:11" ht="14.45">
      <c r="A135" s="21"/>
      <c r="B135" s="33"/>
      <c r="C135" s="21"/>
      <c r="D135" s="21"/>
      <c r="E135" s="21"/>
      <c r="F135" s="22"/>
      <c r="G135" s="21"/>
      <c r="H135" s="84"/>
      <c r="I135" s="22"/>
      <c r="J135" s="21"/>
      <c r="K135" s="21"/>
    </row>
    <row r="136" spans="1:11" ht="14.45">
      <c r="A136" s="21"/>
      <c r="B136" s="33"/>
      <c r="C136" s="21"/>
      <c r="D136" s="21"/>
      <c r="E136" s="21"/>
      <c r="F136" s="22"/>
      <c r="G136" s="21"/>
      <c r="H136" s="84"/>
      <c r="I136" s="22"/>
      <c r="J136" s="21"/>
      <c r="K136" s="21"/>
    </row>
    <row r="137" spans="1:11" ht="14.45">
      <c r="A137" s="21"/>
      <c r="B137" s="33"/>
      <c r="C137" s="21"/>
      <c r="D137" s="21"/>
      <c r="E137" s="21"/>
      <c r="F137" s="22"/>
      <c r="G137" s="21"/>
      <c r="H137" s="84"/>
      <c r="I137" s="22"/>
      <c r="J137" s="21"/>
      <c r="K137" s="21"/>
    </row>
    <row r="138" spans="1:11" ht="14.45">
      <c r="A138" s="21"/>
      <c r="B138" s="33"/>
      <c r="C138" s="21"/>
      <c r="D138" s="21"/>
      <c r="E138" s="21"/>
      <c r="F138" s="22"/>
      <c r="G138" s="21"/>
      <c r="H138" s="84"/>
      <c r="I138" s="22"/>
      <c r="J138" s="21"/>
      <c r="K138" s="21"/>
    </row>
    <row r="139" spans="1:11" ht="14.45">
      <c r="A139" s="21"/>
      <c r="B139" s="33"/>
      <c r="C139" s="21"/>
      <c r="D139" s="21"/>
      <c r="E139" s="21"/>
      <c r="F139" s="22"/>
      <c r="G139" s="21"/>
      <c r="H139" s="84"/>
      <c r="I139" s="22"/>
      <c r="J139" s="21"/>
      <c r="K139" s="21"/>
    </row>
    <row r="140" spans="1:11" ht="14.45">
      <c r="A140" s="21"/>
      <c r="B140" s="33"/>
      <c r="C140" s="21"/>
      <c r="D140" s="21"/>
      <c r="E140" s="21"/>
      <c r="F140" s="22"/>
      <c r="G140" s="21"/>
      <c r="H140" s="84"/>
      <c r="I140" s="22"/>
      <c r="J140" s="21"/>
      <c r="K140" s="21"/>
    </row>
    <row r="141" spans="1:11" ht="14.45">
      <c r="A141" s="21"/>
      <c r="B141" s="33"/>
      <c r="C141" s="21"/>
      <c r="D141" s="21"/>
      <c r="E141" s="21"/>
      <c r="F141" s="22"/>
      <c r="G141" s="21"/>
      <c r="H141" s="84"/>
      <c r="I141" s="22"/>
      <c r="J141" s="21"/>
      <c r="K141" s="21"/>
    </row>
    <row r="142" spans="1:11" ht="14.45">
      <c r="A142" s="21"/>
      <c r="B142" s="33"/>
      <c r="C142" s="21"/>
      <c r="D142" s="21"/>
      <c r="E142" s="21"/>
      <c r="F142" s="22"/>
      <c r="G142" s="21"/>
      <c r="H142" s="84"/>
      <c r="I142" s="22"/>
      <c r="J142" s="21"/>
      <c r="K142" s="21"/>
    </row>
    <row r="143" spans="1:11" ht="14.45">
      <c r="A143" s="21"/>
      <c r="B143" s="33"/>
      <c r="C143" s="21"/>
      <c r="D143" s="21"/>
      <c r="E143" s="21"/>
      <c r="F143" s="22"/>
      <c r="G143" s="21"/>
      <c r="H143" s="84"/>
      <c r="I143" s="22"/>
      <c r="J143" s="21"/>
      <c r="K143" s="21"/>
    </row>
    <row r="144" spans="1:11" ht="14.45">
      <c r="A144" s="21"/>
      <c r="B144" s="33"/>
      <c r="C144" s="21"/>
      <c r="D144" s="21"/>
      <c r="E144" s="21"/>
      <c r="F144" s="22"/>
      <c r="G144" s="21"/>
      <c r="H144" s="84"/>
      <c r="I144" s="22"/>
      <c r="J144" s="21"/>
      <c r="K144" s="21"/>
    </row>
    <row r="145" spans="1:11" ht="14.45">
      <c r="A145" s="21"/>
      <c r="B145" s="33"/>
      <c r="C145" s="21"/>
      <c r="D145" s="21"/>
      <c r="E145" s="21"/>
      <c r="F145" s="22"/>
      <c r="G145" s="21"/>
      <c r="H145" s="84"/>
      <c r="I145" s="22"/>
      <c r="J145" s="21"/>
      <c r="K145" s="21"/>
    </row>
    <row r="146" spans="1:11" ht="14.45">
      <c r="A146" s="21"/>
      <c r="B146" s="33"/>
      <c r="C146" s="21"/>
      <c r="D146" s="21"/>
      <c r="E146" s="21"/>
      <c r="F146" s="22"/>
      <c r="G146" s="21"/>
      <c r="H146" s="84"/>
      <c r="I146" s="22"/>
      <c r="J146" s="21"/>
      <c r="K146" s="21"/>
    </row>
    <row r="147" spans="1:11" ht="14.45">
      <c r="A147" s="21"/>
      <c r="B147" s="33"/>
      <c r="C147" s="21"/>
      <c r="D147" s="21"/>
      <c r="E147" s="21"/>
      <c r="F147" s="22"/>
      <c r="G147" s="21"/>
      <c r="H147" s="84"/>
      <c r="I147" s="22"/>
      <c r="J147" s="21"/>
      <c r="K147" s="21"/>
    </row>
    <row r="148" spans="1:11" ht="14.45">
      <c r="A148" s="21"/>
      <c r="B148" s="33"/>
      <c r="C148" s="21"/>
      <c r="D148" s="21"/>
      <c r="E148" s="21"/>
      <c r="F148" s="22"/>
      <c r="G148" s="21"/>
      <c r="H148" s="84"/>
      <c r="I148" s="22"/>
      <c r="J148" s="21"/>
      <c r="K148" s="21"/>
    </row>
    <row r="149" spans="1:11" ht="14.45">
      <c r="A149" s="21"/>
      <c r="B149" s="33"/>
      <c r="C149" s="21"/>
      <c r="D149" s="21"/>
      <c r="E149" s="21"/>
      <c r="F149" s="22"/>
      <c r="G149" s="21"/>
      <c r="H149" s="84"/>
      <c r="I149" s="22"/>
      <c r="J149" s="21"/>
      <c r="K149" s="21"/>
    </row>
    <row r="150" spans="1:11" ht="14.45">
      <c r="A150" s="21"/>
      <c r="B150" s="33"/>
      <c r="C150" s="21"/>
      <c r="D150" s="21"/>
      <c r="E150" s="21"/>
      <c r="F150" s="22"/>
      <c r="G150" s="21"/>
      <c r="H150" s="84"/>
      <c r="I150" s="22"/>
      <c r="J150" s="21"/>
      <c r="K150" s="21"/>
    </row>
    <row r="151" spans="1:11" ht="14.45">
      <c r="A151" s="21"/>
      <c r="B151" s="33"/>
      <c r="C151" s="21"/>
      <c r="D151" s="21"/>
      <c r="E151" s="21"/>
      <c r="F151" s="22"/>
      <c r="G151" s="21"/>
      <c r="H151" s="84"/>
      <c r="I151" s="22"/>
      <c r="J151" s="21"/>
      <c r="K151" s="21"/>
    </row>
    <row r="152" spans="1:11" ht="14.45">
      <c r="A152" s="21"/>
      <c r="B152" s="33"/>
      <c r="C152" s="21"/>
      <c r="D152" s="21"/>
      <c r="E152" s="21"/>
      <c r="F152" s="22"/>
      <c r="G152" s="21"/>
      <c r="H152" s="84"/>
      <c r="I152" s="22"/>
      <c r="J152" s="21"/>
      <c r="K152" s="21"/>
    </row>
    <row r="153" spans="1:11" ht="14.45">
      <c r="A153" s="21"/>
      <c r="B153" s="33"/>
      <c r="C153" s="21"/>
      <c r="D153" s="21"/>
      <c r="E153" s="21"/>
      <c r="F153" s="22"/>
      <c r="G153" s="21"/>
      <c r="H153" s="84"/>
      <c r="I153" s="22"/>
      <c r="J153" s="21"/>
      <c r="K153" s="21"/>
    </row>
    <row r="154" spans="1:11" ht="14.45">
      <c r="A154" s="21"/>
      <c r="B154" s="33"/>
      <c r="C154" s="21"/>
      <c r="D154" s="21"/>
      <c r="E154" s="21"/>
      <c r="F154" s="22"/>
      <c r="G154" s="21"/>
      <c r="H154" s="84"/>
      <c r="I154" s="22"/>
      <c r="J154" s="21"/>
      <c r="K154" s="21"/>
    </row>
    <row r="155" spans="1:11" ht="14.45">
      <c r="A155" s="21"/>
      <c r="B155" s="33"/>
      <c r="C155" s="21"/>
      <c r="D155" s="21"/>
      <c r="E155" s="21"/>
      <c r="F155" s="22"/>
      <c r="G155" s="21"/>
      <c r="H155" s="84"/>
      <c r="I155" s="22"/>
      <c r="J155" s="21"/>
      <c r="K155" s="21"/>
    </row>
    <row r="156" spans="1:11" ht="14.45">
      <c r="A156" s="21"/>
      <c r="B156" s="33"/>
      <c r="C156" s="21"/>
      <c r="D156" s="21"/>
      <c r="E156" s="21"/>
      <c r="F156" s="22"/>
      <c r="G156" s="21"/>
      <c r="H156" s="84"/>
      <c r="I156" s="22"/>
      <c r="J156" s="21"/>
      <c r="K156" s="21"/>
    </row>
    <row r="157" spans="1:11" ht="14.45">
      <c r="A157" s="21"/>
      <c r="B157" s="33"/>
      <c r="C157" s="21"/>
      <c r="D157" s="21"/>
      <c r="E157" s="21"/>
      <c r="F157" s="22"/>
      <c r="G157" s="21"/>
      <c r="H157" s="84"/>
      <c r="I157" s="22"/>
      <c r="J157" s="21"/>
      <c r="K157" s="21"/>
    </row>
    <row r="158" spans="1:11" ht="14.45">
      <c r="A158" s="21"/>
      <c r="B158" s="33"/>
      <c r="C158" s="21"/>
      <c r="D158" s="21"/>
      <c r="E158" s="21"/>
      <c r="F158" s="22"/>
      <c r="G158" s="21"/>
      <c r="H158" s="84"/>
      <c r="I158" s="22"/>
      <c r="J158" s="21"/>
      <c r="K158" s="21"/>
    </row>
    <row r="159" spans="1:11" ht="14.45">
      <c r="A159" s="21"/>
      <c r="B159" s="33"/>
      <c r="C159" s="21"/>
      <c r="D159" s="21"/>
      <c r="E159" s="21"/>
      <c r="F159" s="22"/>
      <c r="G159" s="21"/>
      <c r="H159" s="84"/>
      <c r="I159" s="22"/>
      <c r="J159" s="21"/>
      <c r="K159" s="21"/>
    </row>
    <row r="160" spans="1:11" ht="14.45">
      <c r="A160" s="21"/>
      <c r="B160" s="33"/>
      <c r="C160" s="21"/>
      <c r="D160" s="21"/>
      <c r="E160" s="21"/>
      <c r="F160" s="22"/>
      <c r="G160" s="21"/>
      <c r="H160" s="84"/>
      <c r="I160" s="22"/>
      <c r="J160" s="21"/>
      <c r="K160" s="21"/>
    </row>
    <row r="161" spans="1:11" ht="14.45">
      <c r="A161" s="21"/>
      <c r="B161" s="33"/>
      <c r="C161" s="21"/>
      <c r="D161" s="21"/>
      <c r="E161" s="21"/>
      <c r="F161" s="22"/>
      <c r="G161" s="21"/>
      <c r="H161" s="84"/>
      <c r="I161" s="22"/>
      <c r="J161" s="21"/>
      <c r="K161" s="21"/>
    </row>
    <row r="162" spans="1:11" ht="14.45">
      <c r="A162" s="21"/>
      <c r="B162" s="33"/>
      <c r="C162" s="21"/>
      <c r="D162" s="21"/>
      <c r="E162" s="21"/>
      <c r="F162" s="22"/>
      <c r="G162" s="21"/>
      <c r="H162" s="84"/>
      <c r="I162" s="22"/>
      <c r="J162" s="21"/>
      <c r="K162" s="21"/>
    </row>
    <row r="163" spans="1:11" ht="14.45">
      <c r="A163" s="21"/>
      <c r="B163" s="33"/>
      <c r="C163" s="21"/>
      <c r="D163" s="21"/>
      <c r="E163" s="21"/>
      <c r="F163" s="22"/>
      <c r="G163" s="21"/>
      <c r="H163" s="84"/>
      <c r="I163" s="22"/>
      <c r="J163" s="21"/>
      <c r="K163" s="21"/>
    </row>
    <row r="164" spans="1:11" ht="14.45">
      <c r="A164" s="21"/>
      <c r="B164" s="33"/>
      <c r="C164" s="21"/>
      <c r="D164" s="21"/>
      <c r="E164" s="21"/>
      <c r="F164" s="22"/>
      <c r="G164" s="21"/>
      <c r="H164" s="84"/>
      <c r="I164" s="22"/>
      <c r="J164" s="21"/>
      <c r="K164" s="21"/>
    </row>
    <row r="165" spans="1:11" ht="14.45">
      <c r="A165" s="21"/>
      <c r="B165" s="33"/>
      <c r="C165" s="21"/>
      <c r="D165" s="21"/>
      <c r="E165" s="21"/>
      <c r="F165" s="22"/>
      <c r="G165" s="21"/>
      <c r="H165" s="84"/>
      <c r="I165" s="22"/>
      <c r="J165" s="21"/>
      <c r="K165" s="21"/>
    </row>
    <row r="166" spans="1:11" ht="14.45">
      <c r="A166" s="21"/>
      <c r="B166" s="33"/>
      <c r="C166" s="21"/>
      <c r="D166" s="21"/>
      <c r="E166" s="21"/>
      <c r="F166" s="22"/>
      <c r="G166" s="21"/>
      <c r="H166" s="84"/>
      <c r="I166" s="22"/>
      <c r="J166" s="21"/>
      <c r="K166" s="21"/>
    </row>
    <row r="167" spans="1:11" ht="14.45">
      <c r="A167" s="21"/>
      <c r="B167" s="33"/>
      <c r="C167" s="21"/>
      <c r="D167" s="21"/>
      <c r="E167" s="21"/>
      <c r="F167" s="22"/>
      <c r="G167" s="21"/>
      <c r="H167" s="84"/>
      <c r="I167" s="22"/>
      <c r="J167" s="21"/>
      <c r="K167" s="21"/>
    </row>
    <row r="168" spans="1:11" ht="14.45">
      <c r="A168" s="21"/>
      <c r="B168" s="33"/>
      <c r="C168" s="21"/>
      <c r="D168" s="21"/>
      <c r="E168" s="21"/>
      <c r="F168" s="22"/>
      <c r="G168" s="21"/>
      <c r="H168" s="84"/>
      <c r="I168" s="22"/>
      <c r="J168" s="21"/>
      <c r="K168" s="21"/>
    </row>
    <row r="169" spans="1:11" ht="14.45">
      <c r="A169" s="21"/>
      <c r="B169" s="33"/>
      <c r="C169" s="21"/>
      <c r="D169" s="21"/>
      <c r="E169" s="21"/>
      <c r="F169" s="22"/>
      <c r="G169" s="21"/>
      <c r="H169" s="84"/>
      <c r="I169" s="22"/>
      <c r="J169" s="21"/>
      <c r="K169" s="21"/>
    </row>
    <row r="170" spans="1:11" ht="14.45">
      <c r="A170" s="21"/>
      <c r="B170" s="33"/>
      <c r="C170" s="21"/>
      <c r="D170" s="21"/>
      <c r="E170" s="21"/>
      <c r="F170" s="22"/>
      <c r="G170" s="21"/>
      <c r="H170" s="84"/>
      <c r="I170" s="22"/>
      <c r="J170" s="21"/>
      <c r="K170" s="21"/>
    </row>
    <row r="171" spans="1:11" ht="14.45">
      <c r="A171" s="21"/>
      <c r="B171" s="33"/>
      <c r="C171" s="21"/>
      <c r="D171" s="21"/>
      <c r="E171" s="21"/>
      <c r="F171" s="22"/>
      <c r="G171" s="21"/>
      <c r="H171" s="84"/>
      <c r="I171" s="22"/>
      <c r="J171" s="21"/>
      <c r="K171" s="21"/>
    </row>
    <row r="172" spans="1:11" ht="14.45">
      <c r="A172" s="21"/>
      <c r="B172" s="33"/>
      <c r="C172" s="21"/>
      <c r="D172" s="21"/>
      <c r="E172" s="21"/>
      <c r="F172" s="22"/>
      <c r="G172" s="21"/>
      <c r="H172" s="84"/>
      <c r="I172" s="22"/>
      <c r="J172" s="21"/>
      <c r="K172" s="21"/>
    </row>
    <row r="173" spans="1:11" ht="14.45">
      <c r="A173" s="21"/>
      <c r="B173" s="33"/>
      <c r="C173" s="21"/>
      <c r="D173" s="21"/>
      <c r="E173" s="21"/>
      <c r="F173" s="22"/>
      <c r="G173" s="21"/>
      <c r="H173" s="84"/>
      <c r="I173" s="22"/>
      <c r="J173" s="21"/>
      <c r="K173" s="21"/>
    </row>
    <row r="174" spans="1:11" ht="14.45">
      <c r="A174" s="21"/>
      <c r="B174" s="33"/>
      <c r="C174" s="21"/>
      <c r="D174" s="21"/>
      <c r="E174" s="21"/>
      <c r="F174" s="22"/>
      <c r="G174" s="21"/>
      <c r="H174" s="84"/>
      <c r="I174" s="22"/>
      <c r="J174" s="21"/>
      <c r="K174" s="21"/>
    </row>
    <row r="175" spans="1:11" ht="14.45">
      <c r="A175" s="21"/>
      <c r="B175" s="33"/>
      <c r="C175" s="21"/>
      <c r="D175" s="21"/>
      <c r="E175" s="21"/>
      <c r="F175" s="22"/>
      <c r="G175" s="21"/>
      <c r="H175" s="84"/>
      <c r="I175" s="22"/>
      <c r="J175" s="21"/>
      <c r="K175" s="21"/>
    </row>
    <row r="176" spans="1:11" ht="14.45">
      <c r="A176" s="21"/>
      <c r="B176" s="33"/>
      <c r="C176" s="21"/>
      <c r="D176" s="21"/>
      <c r="E176" s="21"/>
      <c r="F176" s="22"/>
      <c r="G176" s="21"/>
      <c r="H176" s="84"/>
      <c r="I176" s="22"/>
      <c r="J176" s="21"/>
      <c r="K176" s="21"/>
    </row>
    <row r="177" spans="1:11" ht="14.45">
      <c r="A177" s="21"/>
      <c r="B177" s="33"/>
      <c r="C177" s="21"/>
      <c r="D177" s="21"/>
      <c r="E177" s="21"/>
      <c r="F177" s="22"/>
      <c r="G177" s="21"/>
      <c r="H177" s="84"/>
      <c r="I177" s="22"/>
      <c r="J177" s="21"/>
      <c r="K177" s="21"/>
    </row>
    <row r="178" spans="1:11" ht="14.45">
      <c r="A178" s="21"/>
      <c r="B178" s="33"/>
      <c r="C178" s="21"/>
      <c r="D178" s="21"/>
      <c r="E178" s="21"/>
      <c r="F178" s="22"/>
      <c r="G178" s="21"/>
      <c r="H178" s="84"/>
      <c r="I178" s="22"/>
      <c r="J178" s="21"/>
      <c r="K178" s="21"/>
    </row>
    <row r="179" spans="1:11" ht="14.45">
      <c r="A179" s="21"/>
      <c r="B179" s="33"/>
      <c r="C179" s="21"/>
      <c r="D179" s="21"/>
      <c r="E179" s="21"/>
      <c r="F179" s="22"/>
      <c r="G179" s="21"/>
      <c r="H179" s="84"/>
      <c r="I179" s="22"/>
      <c r="J179" s="21"/>
      <c r="K179" s="21"/>
    </row>
    <row r="180" spans="1:11" ht="14.45">
      <c r="A180" s="21"/>
      <c r="B180" s="33"/>
      <c r="C180" s="21"/>
      <c r="D180" s="21"/>
      <c r="E180" s="21"/>
      <c r="F180" s="22"/>
      <c r="G180" s="21"/>
      <c r="H180" s="84"/>
      <c r="I180" s="22"/>
      <c r="J180" s="21"/>
      <c r="K180" s="21"/>
    </row>
    <row r="181" spans="1:11" ht="14.45">
      <c r="A181" s="21"/>
      <c r="B181" s="33"/>
      <c r="C181" s="21"/>
      <c r="D181" s="21"/>
      <c r="E181" s="21"/>
      <c r="F181" s="22"/>
      <c r="G181" s="21"/>
      <c r="H181" s="84"/>
      <c r="I181" s="22"/>
      <c r="J181" s="21"/>
      <c r="K181" s="21"/>
    </row>
    <row r="182" spans="1:11" ht="14.45">
      <c r="A182" s="21"/>
      <c r="B182" s="33"/>
      <c r="C182" s="21"/>
      <c r="D182" s="21"/>
      <c r="E182" s="21"/>
      <c r="F182" s="22"/>
      <c r="G182" s="21"/>
      <c r="H182" s="84"/>
      <c r="I182" s="22"/>
      <c r="J182" s="21"/>
      <c r="K182" s="21"/>
    </row>
    <row r="183" spans="1:11" ht="14.45">
      <c r="A183" s="21"/>
      <c r="B183" s="33"/>
      <c r="C183" s="21"/>
      <c r="D183" s="21"/>
      <c r="E183" s="21"/>
      <c r="F183" s="22"/>
      <c r="G183" s="21"/>
      <c r="H183" s="84"/>
      <c r="I183" s="22"/>
      <c r="J183" s="21"/>
      <c r="K183" s="21"/>
    </row>
    <row r="184" spans="1:11" ht="14.45">
      <c r="A184" s="21"/>
      <c r="B184" s="33"/>
      <c r="C184" s="21"/>
      <c r="D184" s="21"/>
      <c r="E184" s="21"/>
      <c r="F184" s="22"/>
      <c r="G184" s="21"/>
      <c r="H184" s="84"/>
      <c r="I184" s="22"/>
      <c r="J184" s="21"/>
      <c r="K184" s="21"/>
    </row>
    <row r="185" spans="1:11" ht="14.45">
      <c r="A185" s="21"/>
      <c r="B185" s="33"/>
      <c r="C185" s="21"/>
      <c r="D185" s="21"/>
      <c r="E185" s="21"/>
      <c r="F185" s="22"/>
      <c r="G185" s="21"/>
      <c r="H185" s="84"/>
      <c r="I185" s="22"/>
      <c r="J185" s="21"/>
      <c r="K185" s="21"/>
    </row>
    <row r="186" spans="1:11" ht="14.45">
      <c r="A186" s="21"/>
      <c r="B186" s="33"/>
      <c r="C186" s="21"/>
      <c r="D186" s="21"/>
      <c r="E186" s="21"/>
      <c r="F186" s="22"/>
      <c r="G186" s="21"/>
      <c r="H186" s="84"/>
      <c r="I186" s="22"/>
      <c r="J186" s="21"/>
      <c r="K186" s="21"/>
    </row>
    <row r="187" spans="1:11" ht="14.45">
      <c r="A187" s="21"/>
      <c r="B187" s="33"/>
      <c r="C187" s="21"/>
      <c r="D187" s="21"/>
      <c r="E187" s="21"/>
      <c r="F187" s="22"/>
      <c r="G187" s="21"/>
      <c r="H187" s="84"/>
      <c r="I187" s="22"/>
      <c r="J187" s="21"/>
      <c r="K187" s="21"/>
    </row>
    <row r="188" spans="1:11" ht="14.45">
      <c r="A188" s="21"/>
      <c r="B188" s="33"/>
      <c r="C188" s="21"/>
      <c r="D188" s="21"/>
      <c r="E188" s="21"/>
      <c r="F188" s="22"/>
      <c r="G188" s="21"/>
      <c r="H188" s="84"/>
      <c r="I188" s="22"/>
      <c r="J188" s="21"/>
      <c r="K188" s="21"/>
    </row>
    <row r="189" spans="1:11" ht="14.45">
      <c r="A189" s="21"/>
      <c r="B189" s="33"/>
      <c r="C189" s="21"/>
      <c r="D189" s="21"/>
      <c r="E189" s="21"/>
      <c r="F189" s="22"/>
      <c r="G189" s="21"/>
      <c r="H189" s="84"/>
      <c r="I189" s="22"/>
      <c r="J189" s="21"/>
      <c r="K189" s="21"/>
    </row>
    <row r="190" spans="1:11" ht="14.45">
      <c r="A190" s="21"/>
      <c r="B190" s="33"/>
      <c r="C190" s="21"/>
      <c r="D190" s="21"/>
      <c r="E190" s="21"/>
      <c r="F190" s="22"/>
      <c r="G190" s="21"/>
      <c r="H190" s="84"/>
      <c r="I190" s="22"/>
      <c r="J190" s="21"/>
      <c r="K190" s="21"/>
    </row>
    <row r="191" spans="1:11" ht="14.45">
      <c r="A191" s="21"/>
      <c r="B191" s="33"/>
      <c r="C191" s="21"/>
      <c r="D191" s="21"/>
      <c r="E191" s="21"/>
      <c r="F191" s="22"/>
      <c r="G191" s="21"/>
      <c r="H191" s="84"/>
      <c r="I191" s="22"/>
      <c r="J191" s="21"/>
      <c r="K191" s="21"/>
    </row>
    <row r="192" spans="1:11" ht="14.45">
      <c r="A192" s="21"/>
      <c r="B192" s="33"/>
      <c r="C192" s="21"/>
      <c r="D192" s="21"/>
      <c r="E192" s="21"/>
      <c r="F192" s="22"/>
      <c r="G192" s="21"/>
      <c r="H192" s="84"/>
      <c r="I192" s="22"/>
      <c r="J192" s="21"/>
      <c r="K192" s="21"/>
    </row>
    <row r="193" spans="1:11" ht="14.45">
      <c r="A193" s="21"/>
      <c r="B193" s="33"/>
      <c r="C193" s="21"/>
      <c r="D193" s="21"/>
      <c r="E193" s="21"/>
      <c r="F193" s="22"/>
      <c r="G193" s="21"/>
      <c r="H193" s="84"/>
      <c r="I193" s="22"/>
      <c r="J193" s="21"/>
      <c r="K193" s="21"/>
    </row>
    <row r="194" spans="1:11" ht="14.45">
      <c r="A194" s="21"/>
      <c r="B194" s="33"/>
      <c r="C194" s="21"/>
      <c r="D194" s="21"/>
      <c r="E194" s="21"/>
      <c r="F194" s="22"/>
      <c r="G194" s="21"/>
      <c r="H194" s="84"/>
      <c r="I194" s="22"/>
      <c r="J194" s="21"/>
      <c r="K194" s="21"/>
    </row>
    <row r="195" spans="1:11" ht="14.45">
      <c r="A195" s="21"/>
      <c r="B195" s="33"/>
      <c r="C195" s="21"/>
      <c r="D195" s="21"/>
      <c r="E195" s="21"/>
      <c r="F195" s="22"/>
      <c r="G195" s="21"/>
      <c r="H195" s="84"/>
      <c r="I195" s="22"/>
      <c r="J195" s="21"/>
      <c r="K195" s="21"/>
    </row>
    <row r="196" spans="1:11" ht="14.45">
      <c r="A196" s="21"/>
      <c r="B196" s="33"/>
      <c r="C196" s="21"/>
      <c r="D196" s="21"/>
      <c r="E196" s="21"/>
      <c r="F196" s="22"/>
      <c r="G196" s="21"/>
      <c r="H196" s="84"/>
      <c r="I196" s="22"/>
      <c r="J196" s="21"/>
      <c r="K196" s="21"/>
    </row>
    <row r="197" spans="1:11" ht="14.45">
      <c r="A197" s="21"/>
      <c r="B197" s="33"/>
      <c r="C197" s="21"/>
      <c r="D197" s="21"/>
      <c r="E197" s="21"/>
      <c r="F197" s="22"/>
      <c r="G197" s="21"/>
      <c r="H197" s="84"/>
      <c r="I197" s="22"/>
      <c r="J197" s="21"/>
      <c r="K197" s="21"/>
    </row>
    <row r="198" spans="1:11" ht="14.45">
      <c r="A198" s="21"/>
      <c r="B198" s="33"/>
      <c r="C198" s="21"/>
      <c r="D198" s="21"/>
      <c r="E198" s="21"/>
      <c r="F198" s="22"/>
      <c r="G198" s="21"/>
      <c r="H198" s="84"/>
      <c r="I198" s="22"/>
      <c r="J198" s="21"/>
      <c r="K198" s="21"/>
    </row>
    <row r="199" spans="1:11" ht="14.45">
      <c r="A199" s="21"/>
      <c r="B199" s="33"/>
      <c r="C199" s="21"/>
      <c r="D199" s="21"/>
      <c r="E199" s="21"/>
      <c r="F199" s="22"/>
      <c r="G199" s="21"/>
      <c r="H199" s="84"/>
      <c r="I199" s="22"/>
      <c r="J199" s="21"/>
      <c r="K199" s="21"/>
    </row>
    <row r="200" spans="1:11" ht="14.45">
      <c r="A200" s="21"/>
      <c r="B200" s="33"/>
      <c r="C200" s="21"/>
      <c r="D200" s="21"/>
      <c r="E200" s="21"/>
      <c r="F200" s="22"/>
      <c r="G200" s="21"/>
      <c r="H200" s="84"/>
      <c r="I200" s="22"/>
      <c r="J200" s="21"/>
      <c r="K200" s="21"/>
    </row>
    <row r="201" spans="1:11" ht="14.45">
      <c r="A201" s="21"/>
      <c r="B201" s="33"/>
      <c r="C201" s="21"/>
      <c r="D201" s="21"/>
      <c r="E201" s="21"/>
      <c r="F201" s="22"/>
      <c r="G201" s="21"/>
      <c r="H201" s="84"/>
      <c r="I201" s="22"/>
      <c r="J201" s="21"/>
      <c r="K201" s="21"/>
    </row>
    <row r="202" spans="1:11" ht="14.45">
      <c r="A202" s="21"/>
      <c r="B202" s="33"/>
      <c r="C202" s="21"/>
      <c r="D202" s="21"/>
      <c r="E202" s="21"/>
      <c r="F202" s="22"/>
      <c r="G202" s="21"/>
      <c r="H202" s="84"/>
      <c r="I202" s="22"/>
      <c r="J202" s="21"/>
      <c r="K202" s="21"/>
    </row>
    <row r="203" spans="1:11" ht="14.45">
      <c r="A203" s="21"/>
      <c r="B203" s="33"/>
      <c r="C203" s="21"/>
      <c r="D203" s="21"/>
      <c r="E203" s="21"/>
      <c r="F203" s="22"/>
      <c r="G203" s="21"/>
      <c r="H203" s="84"/>
      <c r="I203" s="22"/>
      <c r="J203" s="21"/>
      <c r="K203" s="21"/>
    </row>
    <row r="204" spans="1:11" ht="14.45">
      <c r="A204" s="21"/>
      <c r="B204" s="33"/>
      <c r="C204" s="21"/>
      <c r="D204" s="21"/>
      <c r="E204" s="21"/>
      <c r="F204" s="22"/>
      <c r="G204" s="21"/>
      <c r="H204" s="84"/>
      <c r="I204" s="22"/>
      <c r="J204" s="21"/>
      <c r="K204" s="21"/>
    </row>
    <row r="205" spans="1:11" ht="14.45">
      <c r="A205" s="21"/>
      <c r="B205" s="33"/>
      <c r="C205" s="21"/>
      <c r="D205" s="21"/>
      <c r="E205" s="21"/>
      <c r="F205" s="22"/>
      <c r="G205" s="21"/>
      <c r="H205" s="84"/>
      <c r="I205" s="22"/>
      <c r="J205" s="21"/>
      <c r="K205" s="21"/>
    </row>
    <row r="206" spans="1:11" ht="14.45">
      <c r="A206" s="21"/>
      <c r="B206" s="33"/>
      <c r="C206" s="21"/>
      <c r="D206" s="21"/>
      <c r="E206" s="21"/>
      <c r="F206" s="22"/>
      <c r="G206" s="21"/>
      <c r="H206" s="84"/>
      <c r="I206" s="22"/>
      <c r="J206" s="21"/>
      <c r="K206" s="21"/>
    </row>
    <row r="207" spans="1:11" ht="14.45">
      <c r="A207" s="21"/>
      <c r="B207" s="33"/>
      <c r="C207" s="21"/>
      <c r="D207" s="21"/>
      <c r="E207" s="21"/>
      <c r="F207" s="22"/>
      <c r="G207" s="21"/>
      <c r="H207" s="84"/>
      <c r="I207" s="22"/>
      <c r="J207" s="21"/>
      <c r="K207" s="21"/>
    </row>
    <row r="208" spans="1:11" ht="14.45">
      <c r="A208" s="21"/>
      <c r="B208" s="33"/>
      <c r="C208" s="21"/>
      <c r="D208" s="21"/>
      <c r="E208" s="21"/>
      <c r="F208" s="22"/>
      <c r="G208" s="21"/>
      <c r="H208" s="84"/>
      <c r="I208" s="22"/>
      <c r="J208" s="21"/>
      <c r="K208" s="21"/>
    </row>
    <row r="209" spans="1:11" ht="14.45">
      <c r="A209" s="21"/>
      <c r="B209" s="33"/>
      <c r="C209" s="21"/>
      <c r="D209" s="21"/>
      <c r="E209" s="21"/>
      <c r="F209" s="22"/>
      <c r="G209" s="21"/>
      <c r="H209" s="84"/>
      <c r="I209" s="22"/>
      <c r="J209" s="21"/>
      <c r="K209" s="21"/>
    </row>
    <row r="210" spans="1:11" ht="14.45">
      <c r="A210" s="21"/>
      <c r="B210" s="33"/>
      <c r="C210" s="21"/>
      <c r="D210" s="21"/>
      <c r="E210" s="21"/>
      <c r="F210" s="22"/>
      <c r="G210" s="21"/>
      <c r="H210" s="84"/>
      <c r="I210" s="22"/>
      <c r="J210" s="21"/>
      <c r="K210" s="21"/>
    </row>
    <row r="211" spans="1:11" ht="14.45">
      <c r="A211" s="21"/>
      <c r="B211" s="33"/>
      <c r="C211" s="21"/>
      <c r="D211" s="21"/>
      <c r="E211" s="21"/>
      <c r="F211" s="22"/>
      <c r="G211" s="21"/>
      <c r="H211" s="84"/>
      <c r="I211" s="22"/>
      <c r="J211" s="21"/>
      <c r="K211" s="21"/>
    </row>
    <row r="212" spans="1:11" ht="14.45">
      <c r="A212" s="21"/>
      <c r="B212" s="33"/>
      <c r="C212" s="21"/>
      <c r="D212" s="21"/>
      <c r="E212" s="21"/>
      <c r="F212" s="22"/>
      <c r="G212" s="21"/>
      <c r="H212" s="84"/>
      <c r="I212" s="22"/>
      <c r="J212" s="21"/>
      <c r="K212" s="21"/>
    </row>
    <row r="213" spans="1:11" ht="14.45">
      <c r="A213" s="21"/>
      <c r="B213" s="33"/>
      <c r="C213" s="21"/>
      <c r="D213" s="21"/>
      <c r="E213" s="21"/>
      <c r="F213" s="22"/>
      <c r="G213" s="21"/>
      <c r="H213" s="84"/>
      <c r="I213" s="22"/>
      <c r="J213" s="21"/>
      <c r="K213" s="21"/>
    </row>
    <row r="214" spans="1:11" ht="14.45">
      <c r="A214" s="21"/>
      <c r="B214" s="33"/>
      <c r="C214" s="21"/>
      <c r="D214" s="21"/>
      <c r="E214" s="21"/>
      <c r="F214" s="22"/>
      <c r="G214" s="21"/>
      <c r="H214" s="84"/>
      <c r="I214" s="22"/>
      <c r="J214" s="21"/>
      <c r="K214" s="21"/>
    </row>
    <row r="215" spans="1:11" ht="14.45">
      <c r="A215" s="21"/>
      <c r="B215" s="33"/>
      <c r="C215" s="21"/>
      <c r="D215" s="21"/>
      <c r="E215" s="21"/>
      <c r="F215" s="22"/>
      <c r="G215" s="21"/>
      <c r="H215" s="84"/>
      <c r="I215" s="22"/>
      <c r="J215" s="21"/>
      <c r="K215" s="21"/>
    </row>
    <row r="216" spans="1:11" ht="14.45">
      <c r="A216" s="21"/>
      <c r="B216" s="33"/>
      <c r="C216" s="21"/>
      <c r="D216" s="21"/>
      <c r="E216" s="21"/>
      <c r="F216" s="22"/>
      <c r="G216" s="21"/>
      <c r="H216" s="84"/>
      <c r="I216" s="22"/>
      <c r="J216" s="21"/>
      <c r="K216" s="21"/>
    </row>
    <row r="217" spans="1:11" ht="14.45">
      <c r="A217" s="21"/>
      <c r="B217" s="33"/>
      <c r="C217" s="21"/>
      <c r="D217" s="21"/>
      <c r="E217" s="21"/>
      <c r="F217" s="22"/>
      <c r="G217" s="21"/>
      <c r="H217" s="84"/>
      <c r="I217" s="22"/>
      <c r="J217" s="21"/>
      <c r="K217" s="21"/>
    </row>
    <row r="218" spans="1:11" ht="14.45">
      <c r="A218" s="21"/>
      <c r="B218" s="33"/>
      <c r="C218" s="21"/>
      <c r="D218" s="21"/>
      <c r="E218" s="21"/>
      <c r="F218" s="22"/>
      <c r="G218" s="21"/>
      <c r="H218" s="84"/>
      <c r="I218" s="22"/>
      <c r="J218" s="21"/>
      <c r="K218" s="21"/>
    </row>
    <row r="219" spans="1:11" ht="14.45">
      <c r="A219" s="21"/>
      <c r="B219" s="33"/>
      <c r="C219" s="21"/>
      <c r="D219" s="21"/>
      <c r="E219" s="21"/>
      <c r="F219" s="22"/>
      <c r="G219" s="21"/>
      <c r="H219" s="84"/>
      <c r="I219" s="22"/>
      <c r="J219" s="21"/>
      <c r="K219" s="21"/>
    </row>
    <row r="220" spans="1:11" ht="14.45">
      <c r="A220" s="21"/>
      <c r="B220" s="33"/>
      <c r="C220" s="21"/>
      <c r="D220" s="21"/>
      <c r="E220" s="21"/>
      <c r="F220" s="22"/>
      <c r="G220" s="21"/>
      <c r="H220" s="84"/>
      <c r="I220" s="22"/>
      <c r="J220" s="21"/>
      <c r="K220" s="21"/>
    </row>
    <row r="221" spans="1:11" ht="14.45">
      <c r="A221" s="21"/>
      <c r="B221" s="33"/>
      <c r="C221" s="21"/>
      <c r="D221" s="21"/>
      <c r="E221" s="21"/>
      <c r="F221" s="22"/>
      <c r="G221" s="21"/>
      <c r="H221" s="84"/>
      <c r="I221" s="22"/>
      <c r="J221" s="21"/>
      <c r="K221" s="21"/>
    </row>
    <row r="222" spans="1:11" ht="14.45">
      <c r="A222" s="21"/>
      <c r="B222" s="33"/>
      <c r="C222" s="21"/>
      <c r="D222" s="21"/>
      <c r="E222" s="21"/>
      <c r="F222" s="22"/>
      <c r="G222" s="21"/>
      <c r="H222" s="84"/>
      <c r="I222" s="22"/>
      <c r="J222" s="21"/>
      <c r="K222" s="21"/>
    </row>
    <row r="223" spans="1:11" ht="14.45">
      <c r="A223" s="21"/>
      <c r="B223" s="33"/>
      <c r="C223" s="21"/>
      <c r="D223" s="21"/>
      <c r="E223" s="21"/>
      <c r="F223" s="22"/>
      <c r="G223" s="21"/>
      <c r="H223" s="84"/>
      <c r="I223" s="22"/>
      <c r="J223" s="21"/>
      <c r="K223" s="21"/>
    </row>
    <row r="224" spans="1:11" ht="14.45">
      <c r="A224" s="21"/>
      <c r="B224" s="33"/>
      <c r="C224" s="21"/>
      <c r="D224" s="21"/>
      <c r="E224" s="21"/>
      <c r="F224" s="22"/>
      <c r="G224" s="21"/>
      <c r="H224" s="84"/>
      <c r="I224" s="22"/>
      <c r="J224" s="21"/>
      <c r="K224" s="21"/>
    </row>
    <row r="225" spans="1:11" ht="14.45">
      <c r="A225" s="21"/>
      <c r="B225" s="33"/>
      <c r="C225" s="21"/>
      <c r="D225" s="21"/>
      <c r="E225" s="21"/>
      <c r="F225" s="22"/>
      <c r="G225" s="21"/>
      <c r="H225" s="84"/>
      <c r="I225" s="22"/>
      <c r="J225" s="21"/>
      <c r="K225" s="21"/>
    </row>
    <row r="226" spans="1:11" ht="14.45">
      <c r="A226" s="21"/>
      <c r="B226" s="33"/>
      <c r="C226" s="21"/>
      <c r="D226" s="21"/>
      <c r="E226" s="21"/>
      <c r="F226" s="22"/>
      <c r="G226" s="21"/>
      <c r="H226" s="84"/>
      <c r="I226" s="22"/>
      <c r="J226" s="21"/>
      <c r="K226" s="21"/>
    </row>
    <row r="227" spans="1:11" ht="14.45">
      <c r="A227" s="21"/>
      <c r="B227" s="33"/>
      <c r="C227" s="21"/>
      <c r="D227" s="21"/>
      <c r="E227" s="21"/>
      <c r="F227" s="22"/>
      <c r="G227" s="21"/>
      <c r="H227" s="84"/>
      <c r="I227" s="22"/>
      <c r="J227" s="21"/>
      <c r="K227" s="21"/>
    </row>
    <row r="228" spans="1:11" ht="14.45">
      <c r="A228" s="21"/>
      <c r="B228" s="33"/>
      <c r="C228" s="21"/>
      <c r="D228" s="21"/>
      <c r="E228" s="21"/>
      <c r="F228" s="22"/>
      <c r="G228" s="21"/>
      <c r="H228" s="84"/>
      <c r="I228" s="22"/>
      <c r="J228" s="21"/>
      <c r="K228" s="21"/>
    </row>
    <row r="229" spans="1:11" ht="14.45">
      <c r="A229" s="21"/>
      <c r="B229" s="33"/>
      <c r="C229" s="21"/>
      <c r="D229" s="21"/>
      <c r="E229" s="21"/>
      <c r="F229" s="22"/>
      <c r="G229" s="21"/>
      <c r="H229" s="84"/>
      <c r="I229" s="22"/>
      <c r="J229" s="21"/>
      <c r="K229" s="21"/>
    </row>
    <row r="230" spans="1:11" ht="14.45">
      <c r="A230" s="21"/>
      <c r="B230" s="33"/>
      <c r="C230" s="21"/>
      <c r="D230" s="21"/>
      <c r="E230" s="21"/>
      <c r="F230" s="22"/>
      <c r="G230" s="21"/>
      <c r="H230" s="84"/>
      <c r="I230" s="22"/>
      <c r="J230" s="21"/>
      <c r="K230" s="21"/>
    </row>
    <row r="231" spans="1:11" ht="14.45">
      <c r="A231" s="21"/>
      <c r="B231" s="33"/>
      <c r="C231" s="21"/>
      <c r="D231" s="21"/>
      <c r="E231" s="21"/>
      <c r="F231" s="22"/>
      <c r="G231" s="21"/>
      <c r="H231" s="84"/>
      <c r="I231" s="22"/>
      <c r="J231" s="21"/>
      <c r="K231" s="21"/>
    </row>
    <row r="232" spans="1:11" ht="14.45">
      <c r="A232" s="21"/>
      <c r="B232" s="33"/>
      <c r="C232" s="21"/>
      <c r="D232" s="21"/>
      <c r="E232" s="21"/>
      <c r="F232" s="22"/>
      <c r="G232" s="21"/>
      <c r="H232" s="84"/>
      <c r="I232" s="22"/>
      <c r="J232" s="21"/>
      <c r="K232" s="21"/>
    </row>
    <row r="233" spans="1:11" ht="14.45">
      <c r="A233" s="21"/>
      <c r="B233" s="33"/>
      <c r="C233" s="21"/>
      <c r="D233" s="21"/>
      <c r="E233" s="21"/>
      <c r="F233" s="22"/>
      <c r="G233" s="21"/>
      <c r="H233" s="84"/>
      <c r="I233" s="22"/>
      <c r="J233" s="21"/>
      <c r="K233" s="21"/>
    </row>
    <row r="234" spans="1:11" ht="14.45">
      <c r="A234" s="21"/>
      <c r="B234" s="33"/>
      <c r="C234" s="21"/>
      <c r="D234" s="21"/>
      <c r="E234" s="21"/>
      <c r="F234" s="22"/>
      <c r="G234" s="21"/>
      <c r="H234" s="84"/>
      <c r="I234" s="22"/>
      <c r="J234" s="21"/>
      <c r="K234" s="21"/>
    </row>
    <row r="235" spans="1:11" ht="14.45">
      <c r="A235" s="21"/>
      <c r="B235" s="33"/>
      <c r="C235" s="21"/>
      <c r="D235" s="21"/>
      <c r="E235" s="21"/>
      <c r="F235" s="22"/>
      <c r="G235" s="21"/>
      <c r="H235" s="84"/>
      <c r="I235" s="22"/>
      <c r="J235" s="21"/>
      <c r="K235" s="21"/>
    </row>
    <row r="236" spans="1:11" ht="14.45">
      <c r="A236" s="21"/>
      <c r="B236" s="33"/>
      <c r="C236" s="21"/>
      <c r="D236" s="21"/>
      <c r="E236" s="21"/>
      <c r="F236" s="22"/>
      <c r="G236" s="21"/>
      <c r="H236" s="84"/>
      <c r="I236" s="22"/>
      <c r="J236" s="21"/>
      <c r="K236" s="21"/>
    </row>
    <row r="237" spans="1:11" ht="14.45">
      <c r="A237" s="21"/>
      <c r="B237" s="33"/>
      <c r="C237" s="21"/>
      <c r="D237" s="21"/>
      <c r="E237" s="21"/>
      <c r="F237" s="22"/>
      <c r="G237" s="21"/>
      <c r="H237" s="84"/>
      <c r="I237" s="22"/>
      <c r="J237" s="21"/>
      <c r="K237" s="21"/>
    </row>
    <row r="238" spans="1:11" ht="14.45">
      <c r="A238" s="21"/>
      <c r="B238" s="33"/>
      <c r="C238" s="21"/>
      <c r="D238" s="21"/>
      <c r="E238" s="21"/>
      <c r="F238" s="22"/>
      <c r="G238" s="21"/>
      <c r="H238" s="84"/>
      <c r="I238" s="22"/>
      <c r="J238" s="21"/>
      <c r="K238" s="21"/>
    </row>
    <row r="239" spans="1:11" ht="14.45">
      <c r="A239" s="21"/>
      <c r="B239" s="33"/>
      <c r="C239" s="21"/>
      <c r="D239" s="21"/>
      <c r="E239" s="21"/>
      <c r="F239" s="22"/>
      <c r="G239" s="21"/>
      <c r="H239" s="84"/>
      <c r="I239" s="22"/>
      <c r="J239" s="21"/>
      <c r="K239" s="21"/>
    </row>
    <row r="240" spans="1:11" ht="14.45">
      <c r="A240" s="21"/>
      <c r="B240" s="33"/>
      <c r="C240" s="21"/>
      <c r="D240" s="21"/>
      <c r="E240" s="21"/>
      <c r="F240" s="22"/>
      <c r="G240" s="21"/>
      <c r="H240" s="84"/>
      <c r="I240" s="22"/>
      <c r="J240" s="21"/>
      <c r="K240" s="21"/>
    </row>
    <row r="241" spans="1:11" ht="14.45">
      <c r="A241" s="21"/>
      <c r="B241" s="33"/>
      <c r="C241" s="21"/>
      <c r="D241" s="21"/>
      <c r="E241" s="21"/>
      <c r="F241" s="22"/>
      <c r="G241" s="21"/>
      <c r="H241" s="84"/>
      <c r="I241" s="22"/>
      <c r="J241" s="21"/>
      <c r="K241" s="21"/>
    </row>
    <row r="242" spans="1:11" ht="14.45">
      <c r="A242" s="21"/>
      <c r="B242" s="33"/>
      <c r="C242" s="21"/>
      <c r="D242" s="21"/>
      <c r="E242" s="21"/>
      <c r="F242" s="22"/>
      <c r="G242" s="21"/>
      <c r="H242" s="84"/>
      <c r="I242" s="22"/>
      <c r="J242" s="21"/>
      <c r="K242" s="21"/>
    </row>
    <row r="243" spans="1:11" ht="14.45">
      <c r="A243" s="21"/>
      <c r="B243" s="33"/>
      <c r="C243" s="21"/>
      <c r="D243" s="21"/>
      <c r="E243" s="21"/>
      <c r="F243" s="22"/>
      <c r="G243" s="21"/>
      <c r="H243" s="84"/>
      <c r="I243" s="22"/>
      <c r="J243" s="21"/>
      <c r="K243" s="21"/>
    </row>
    <row r="244" spans="1:11" ht="14.45">
      <c r="A244" s="21"/>
      <c r="B244" s="33"/>
      <c r="C244" s="21"/>
      <c r="D244" s="21"/>
      <c r="E244" s="21"/>
      <c r="F244" s="22"/>
      <c r="G244" s="21"/>
      <c r="H244" s="84"/>
      <c r="I244" s="22"/>
      <c r="J244" s="21"/>
      <c r="K244" s="21"/>
    </row>
    <row r="245" spans="1:11" ht="14.45">
      <c r="A245" s="21"/>
      <c r="B245" s="33"/>
      <c r="C245" s="21"/>
      <c r="D245" s="21"/>
      <c r="E245" s="21"/>
      <c r="F245" s="22"/>
      <c r="G245" s="21"/>
      <c r="H245" s="84"/>
      <c r="I245" s="22"/>
      <c r="J245" s="21"/>
      <c r="K245" s="21"/>
    </row>
    <row r="246" spans="1:11" ht="14.45">
      <c r="A246" s="21"/>
      <c r="B246" s="33"/>
      <c r="C246" s="21"/>
      <c r="D246" s="21"/>
      <c r="E246" s="21"/>
      <c r="F246" s="22"/>
      <c r="G246" s="21"/>
      <c r="H246" s="84"/>
      <c r="I246" s="22"/>
      <c r="J246" s="21"/>
      <c r="K246" s="21"/>
    </row>
    <row r="247" spans="1:11" ht="14.45">
      <c r="A247" s="21"/>
      <c r="B247" s="33"/>
      <c r="C247" s="21"/>
      <c r="D247" s="21"/>
      <c r="E247" s="21"/>
      <c r="F247" s="22"/>
      <c r="G247" s="21"/>
      <c r="H247" s="84"/>
      <c r="I247" s="22"/>
      <c r="J247" s="21"/>
      <c r="K247" s="21"/>
    </row>
    <row r="248" spans="1:11" ht="14.45">
      <c r="A248" s="21"/>
      <c r="B248" s="33"/>
      <c r="C248" s="21"/>
      <c r="D248" s="21"/>
      <c r="E248" s="21"/>
      <c r="F248" s="22"/>
      <c r="G248" s="21"/>
      <c r="H248" s="84"/>
      <c r="I248" s="22"/>
      <c r="J248" s="21"/>
      <c r="K248" s="21"/>
    </row>
    <row r="249" spans="1:11" ht="14.45">
      <c r="A249" s="21"/>
      <c r="B249" s="33"/>
      <c r="C249" s="21"/>
      <c r="D249" s="21"/>
      <c r="E249" s="21"/>
      <c r="F249" s="22"/>
      <c r="G249" s="21"/>
      <c r="H249" s="84"/>
      <c r="I249" s="22"/>
      <c r="J249" s="21"/>
      <c r="K249" s="21"/>
    </row>
    <row r="250" spans="1:11" ht="14.45">
      <c r="A250" s="21"/>
      <c r="B250" s="33"/>
      <c r="C250" s="21"/>
      <c r="D250" s="21"/>
      <c r="E250" s="21"/>
      <c r="F250" s="22"/>
      <c r="G250" s="21"/>
      <c r="H250" s="84"/>
      <c r="I250" s="22"/>
      <c r="J250" s="21"/>
      <c r="K250" s="21"/>
    </row>
    <row r="251" spans="1:11" ht="14.45">
      <c r="A251" s="21"/>
      <c r="B251" s="33"/>
      <c r="C251" s="21"/>
      <c r="D251" s="21"/>
      <c r="E251" s="21"/>
      <c r="F251" s="22"/>
      <c r="G251" s="21"/>
      <c r="H251" s="84"/>
      <c r="I251" s="22"/>
      <c r="J251" s="21"/>
      <c r="K251" s="21"/>
    </row>
    <row r="252" spans="1:11" ht="14.45">
      <c r="A252" s="21"/>
      <c r="B252" s="33"/>
      <c r="C252" s="21"/>
      <c r="D252" s="21"/>
      <c r="E252" s="21"/>
      <c r="F252" s="22"/>
      <c r="G252" s="21"/>
      <c r="H252" s="84"/>
      <c r="I252" s="22"/>
      <c r="J252" s="21"/>
      <c r="K252" s="21"/>
    </row>
    <row r="253" spans="1:11" ht="14.45">
      <c r="A253" s="21"/>
      <c r="B253" s="33"/>
      <c r="C253" s="21"/>
      <c r="D253" s="21"/>
      <c r="E253" s="21"/>
      <c r="F253" s="22"/>
      <c r="G253" s="21"/>
      <c r="H253" s="84"/>
      <c r="I253" s="22"/>
      <c r="J253" s="21"/>
      <c r="K253" s="21"/>
    </row>
    <row r="254" spans="1:11" ht="14.45">
      <c r="A254" s="21"/>
      <c r="B254" s="33"/>
      <c r="C254" s="21"/>
      <c r="D254" s="21"/>
      <c r="E254" s="21"/>
      <c r="F254" s="22"/>
      <c r="G254" s="21"/>
      <c r="H254" s="84"/>
      <c r="I254" s="22"/>
      <c r="J254" s="21"/>
      <c r="K254" s="21"/>
    </row>
    <row r="255" spans="1:11" ht="14.45">
      <c r="A255" s="21"/>
      <c r="B255" s="33"/>
      <c r="C255" s="21"/>
      <c r="D255" s="21"/>
      <c r="E255" s="21"/>
      <c r="F255" s="22"/>
      <c r="G255" s="21"/>
      <c r="H255" s="84"/>
      <c r="I255" s="22"/>
      <c r="J255" s="21"/>
      <c r="K255" s="21"/>
    </row>
    <row r="256" spans="1:11" ht="14.45">
      <c r="A256" s="21"/>
      <c r="B256" s="33"/>
      <c r="C256" s="21"/>
      <c r="D256" s="21"/>
      <c r="E256" s="21"/>
      <c r="F256" s="22"/>
      <c r="G256" s="21"/>
      <c r="H256" s="84"/>
      <c r="I256" s="22"/>
      <c r="J256" s="21"/>
      <c r="K256" s="21"/>
    </row>
    <row r="257" spans="1:11" ht="14.45">
      <c r="A257" s="21"/>
      <c r="B257" s="33"/>
      <c r="C257" s="21"/>
      <c r="D257" s="21"/>
      <c r="E257" s="21"/>
      <c r="F257" s="22"/>
      <c r="G257" s="21"/>
      <c r="H257" s="84"/>
      <c r="I257" s="22"/>
      <c r="J257" s="21"/>
      <c r="K257" s="21"/>
    </row>
    <row r="258" spans="1:11" ht="14.45">
      <c r="A258" s="21"/>
      <c r="B258" s="33"/>
      <c r="C258" s="21"/>
      <c r="D258" s="21"/>
      <c r="E258" s="21"/>
      <c r="F258" s="22"/>
      <c r="G258" s="21"/>
      <c r="H258" s="84"/>
      <c r="I258" s="22"/>
      <c r="J258" s="21"/>
      <c r="K258" s="21"/>
    </row>
    <row r="259" spans="1:11" ht="14.45">
      <c r="A259" s="21"/>
      <c r="B259" s="33"/>
      <c r="C259" s="21"/>
      <c r="D259" s="21"/>
      <c r="E259" s="21"/>
      <c r="F259" s="22"/>
      <c r="G259" s="21"/>
      <c r="H259" s="84"/>
      <c r="I259" s="22"/>
      <c r="J259" s="21"/>
      <c r="K259" s="21"/>
    </row>
    <row r="260" spans="1:11" ht="14.45">
      <c r="A260" s="21"/>
      <c r="B260" s="33"/>
      <c r="C260" s="21"/>
      <c r="D260" s="21"/>
      <c r="E260" s="21"/>
      <c r="F260" s="22"/>
      <c r="G260" s="21"/>
      <c r="H260" s="84"/>
      <c r="I260" s="22"/>
      <c r="J260" s="21"/>
      <c r="K260" s="21"/>
    </row>
    <row r="261" spans="1:11" ht="14.45">
      <c r="A261" s="21"/>
      <c r="B261" s="33"/>
      <c r="C261" s="21"/>
      <c r="D261" s="21"/>
      <c r="E261" s="21"/>
      <c r="F261" s="22"/>
      <c r="G261" s="21"/>
      <c r="H261" s="84"/>
      <c r="I261" s="22"/>
      <c r="J261" s="21"/>
      <c r="K261" s="21"/>
    </row>
    <row r="262" spans="1:11" ht="14.45">
      <c r="A262" s="21"/>
      <c r="B262" s="33"/>
      <c r="C262" s="21"/>
      <c r="D262" s="21"/>
      <c r="E262" s="21"/>
      <c r="F262" s="22"/>
      <c r="G262" s="21"/>
      <c r="H262" s="84"/>
      <c r="I262" s="22"/>
      <c r="J262" s="21"/>
      <c r="K262" s="21"/>
    </row>
    <row r="263" spans="1:11" ht="14.45">
      <c r="A263" s="21"/>
      <c r="B263" s="33"/>
      <c r="C263" s="21"/>
      <c r="D263" s="21"/>
      <c r="E263" s="21"/>
      <c r="F263" s="22"/>
      <c r="G263" s="21"/>
      <c r="H263" s="84"/>
      <c r="I263" s="22"/>
      <c r="J263" s="21"/>
      <c r="K263" s="21"/>
    </row>
    <row r="264" spans="1:11" ht="14.45">
      <c r="A264" s="21"/>
      <c r="B264" s="33"/>
      <c r="C264" s="21"/>
      <c r="D264" s="21"/>
      <c r="E264" s="21"/>
      <c r="F264" s="22"/>
      <c r="G264" s="21"/>
      <c r="H264" s="84"/>
      <c r="I264" s="22"/>
      <c r="J264" s="21"/>
      <c r="K264" s="21"/>
    </row>
    <row r="265" spans="1:11" ht="14.45">
      <c r="A265" s="21"/>
      <c r="B265" s="33"/>
      <c r="C265" s="21"/>
      <c r="D265" s="21"/>
      <c r="E265" s="21"/>
      <c r="F265" s="22"/>
      <c r="G265" s="21"/>
      <c r="H265" s="84"/>
      <c r="I265" s="22"/>
      <c r="J265" s="21"/>
      <c r="K265" s="21"/>
    </row>
    <row r="266" spans="1:11" ht="14.45">
      <c r="A266" s="21"/>
      <c r="B266" s="33"/>
      <c r="C266" s="21"/>
      <c r="D266" s="21"/>
      <c r="E266" s="21"/>
      <c r="F266" s="22"/>
      <c r="G266" s="21"/>
      <c r="H266" s="84"/>
      <c r="I266" s="22"/>
      <c r="J266" s="21"/>
      <c r="K266" s="21"/>
    </row>
    <row r="267" spans="1:11" ht="14.45">
      <c r="A267" s="21"/>
      <c r="B267" s="33"/>
      <c r="C267" s="21"/>
      <c r="D267" s="21"/>
      <c r="E267" s="21"/>
      <c r="F267" s="22"/>
      <c r="G267" s="21"/>
      <c r="H267" s="84"/>
      <c r="I267" s="22"/>
      <c r="J267" s="21"/>
      <c r="K267" s="21"/>
    </row>
    <row r="268" spans="1:11" ht="14.45">
      <c r="A268" s="21"/>
      <c r="B268" s="33"/>
      <c r="C268" s="21"/>
      <c r="D268" s="21"/>
      <c r="E268" s="21"/>
      <c r="F268" s="22"/>
      <c r="G268" s="21"/>
      <c r="H268" s="84"/>
      <c r="I268" s="22"/>
      <c r="J268" s="21"/>
      <c r="K268" s="21"/>
    </row>
    <row r="269" spans="1:11" ht="14.45">
      <c r="A269" s="21"/>
      <c r="B269" s="33"/>
      <c r="C269" s="21"/>
      <c r="D269" s="21"/>
      <c r="E269" s="21"/>
      <c r="F269" s="22"/>
      <c r="G269" s="21"/>
      <c r="H269" s="84"/>
      <c r="I269" s="22"/>
      <c r="J269" s="21"/>
      <c r="K269" s="21"/>
    </row>
    <row r="270" spans="1:11" ht="14.45">
      <c r="A270" s="21"/>
      <c r="B270" s="33"/>
      <c r="C270" s="21"/>
      <c r="D270" s="21"/>
      <c r="E270" s="21"/>
      <c r="F270" s="22"/>
      <c r="G270" s="21"/>
      <c r="H270" s="84"/>
      <c r="I270" s="22"/>
      <c r="J270" s="21"/>
      <c r="K270" s="21"/>
    </row>
    <row r="271" spans="1:11" ht="14.45">
      <c r="A271" s="21"/>
      <c r="B271" s="33"/>
      <c r="C271" s="21"/>
      <c r="D271" s="21"/>
      <c r="E271" s="21"/>
      <c r="F271" s="22"/>
      <c r="G271" s="21"/>
      <c r="H271" s="84"/>
      <c r="I271" s="22"/>
      <c r="J271" s="21"/>
      <c r="K271" s="21"/>
    </row>
    <row r="272" spans="1:11" ht="14.45">
      <c r="A272" s="21"/>
      <c r="B272" s="33"/>
      <c r="C272" s="21"/>
      <c r="D272" s="21"/>
      <c r="E272" s="21"/>
      <c r="F272" s="22"/>
      <c r="G272" s="21"/>
      <c r="H272" s="84"/>
      <c r="I272" s="22"/>
      <c r="J272" s="21"/>
      <c r="K272" s="21"/>
    </row>
    <row r="273" spans="1:11" ht="14.45">
      <c r="A273" s="21"/>
      <c r="B273" s="33"/>
      <c r="C273" s="21"/>
      <c r="D273" s="21"/>
      <c r="E273" s="21"/>
      <c r="F273" s="22"/>
      <c r="G273" s="21"/>
      <c r="H273" s="84"/>
      <c r="I273" s="22"/>
      <c r="J273" s="21"/>
      <c r="K273" s="21"/>
    </row>
    <row r="274" spans="1:11" ht="14.45">
      <c r="A274" s="21"/>
      <c r="B274" s="33"/>
      <c r="C274" s="21"/>
      <c r="D274" s="21"/>
      <c r="E274" s="21"/>
      <c r="F274" s="22"/>
      <c r="G274" s="21"/>
      <c r="H274" s="84"/>
      <c r="I274" s="22"/>
      <c r="J274" s="21"/>
      <c r="K274" s="21"/>
    </row>
    <row r="275" spans="1:11" ht="14.45">
      <c r="A275" s="21"/>
      <c r="B275" s="33"/>
      <c r="C275" s="21"/>
      <c r="D275" s="21"/>
      <c r="E275" s="21"/>
      <c r="F275" s="22"/>
      <c r="G275" s="21"/>
      <c r="H275" s="84"/>
      <c r="I275" s="22"/>
      <c r="J275" s="21"/>
      <c r="K275" s="21"/>
    </row>
    <row r="276" spans="1:11" ht="14.45">
      <c r="A276" s="21"/>
      <c r="B276" s="33"/>
      <c r="C276" s="21"/>
      <c r="D276" s="21"/>
      <c r="E276" s="21"/>
      <c r="F276" s="22"/>
      <c r="G276" s="21"/>
      <c r="H276" s="84"/>
      <c r="I276" s="22"/>
      <c r="J276" s="21"/>
      <c r="K276" s="21"/>
    </row>
    <row r="277" spans="1:11" ht="14.45">
      <c r="A277" s="21"/>
      <c r="B277" s="33"/>
      <c r="C277" s="21"/>
      <c r="D277" s="21"/>
      <c r="E277" s="21"/>
      <c r="F277" s="22"/>
      <c r="G277" s="21"/>
      <c r="H277" s="84"/>
      <c r="I277" s="22"/>
      <c r="J277" s="21"/>
      <c r="K277" s="21"/>
    </row>
    <row r="278" spans="1:11" ht="14.45">
      <c r="A278" s="21"/>
      <c r="B278" s="33"/>
      <c r="C278" s="21"/>
      <c r="D278" s="21"/>
      <c r="E278" s="21"/>
      <c r="F278" s="22"/>
      <c r="G278" s="21"/>
      <c r="H278" s="84"/>
      <c r="I278" s="22"/>
      <c r="J278" s="21"/>
      <c r="K278" s="21"/>
    </row>
    <row r="279" spans="1:11" ht="14.45">
      <c r="A279" s="21"/>
      <c r="B279" s="33"/>
      <c r="C279" s="21"/>
      <c r="D279" s="21"/>
      <c r="E279" s="21"/>
      <c r="F279" s="22"/>
      <c r="G279" s="21"/>
      <c r="H279" s="84"/>
      <c r="I279" s="22"/>
      <c r="J279" s="21"/>
      <c r="K279" s="21"/>
    </row>
    <row r="280" spans="1:11" ht="14.45">
      <c r="A280" s="21"/>
      <c r="B280" s="33"/>
      <c r="C280" s="21"/>
      <c r="D280" s="21"/>
      <c r="E280" s="21"/>
      <c r="F280" s="22"/>
      <c r="G280" s="21"/>
      <c r="H280" s="84"/>
      <c r="I280" s="22"/>
      <c r="J280" s="21"/>
      <c r="K280" s="21"/>
    </row>
    <row r="281" spans="1:11" ht="14.45">
      <c r="A281" s="21"/>
      <c r="B281" s="33"/>
      <c r="C281" s="21"/>
      <c r="D281" s="21"/>
      <c r="E281" s="21"/>
      <c r="F281" s="22"/>
      <c r="G281" s="21"/>
      <c r="H281" s="84"/>
      <c r="I281" s="22"/>
      <c r="J281" s="21"/>
      <c r="K281" s="21"/>
    </row>
    <row r="282" spans="1:11" ht="14.45">
      <c r="A282" s="21"/>
      <c r="B282" s="33"/>
      <c r="C282" s="21"/>
      <c r="D282" s="21"/>
      <c r="E282" s="21"/>
      <c r="F282" s="22"/>
      <c r="G282" s="21"/>
      <c r="H282" s="84"/>
      <c r="I282" s="22"/>
      <c r="J282" s="21"/>
      <c r="K282" s="21"/>
    </row>
    <row r="283" spans="1:11" ht="14.45">
      <c r="A283" s="21"/>
      <c r="B283" s="33"/>
      <c r="C283" s="21"/>
      <c r="D283" s="21"/>
      <c r="E283" s="21"/>
      <c r="F283" s="22"/>
      <c r="G283" s="21"/>
      <c r="H283" s="84"/>
      <c r="I283" s="22"/>
      <c r="J283" s="21"/>
      <c r="K283" s="21"/>
    </row>
    <row r="284" spans="1:11" ht="14.45">
      <c r="A284" s="21"/>
      <c r="B284" s="33"/>
      <c r="C284" s="21"/>
      <c r="D284" s="21"/>
      <c r="E284" s="21"/>
      <c r="F284" s="22"/>
      <c r="G284" s="21"/>
      <c r="H284" s="84"/>
      <c r="I284" s="22"/>
      <c r="J284" s="21"/>
      <c r="K284" s="21"/>
    </row>
    <row r="285" spans="1:11" ht="14.45">
      <c r="A285" s="21"/>
      <c r="B285" s="33"/>
      <c r="C285" s="21"/>
      <c r="D285" s="21"/>
      <c r="E285" s="21"/>
      <c r="F285" s="22"/>
      <c r="G285" s="21"/>
      <c r="H285" s="84"/>
      <c r="I285" s="22"/>
      <c r="J285" s="21"/>
      <c r="K285" s="21"/>
    </row>
    <row r="286" spans="1:11" ht="14.45">
      <c r="A286" s="21"/>
      <c r="B286" s="33"/>
      <c r="C286" s="21"/>
      <c r="D286" s="21"/>
      <c r="E286" s="21"/>
      <c r="F286" s="22"/>
      <c r="G286" s="21"/>
      <c r="H286" s="84"/>
      <c r="I286" s="22"/>
      <c r="J286" s="21"/>
      <c r="K286" s="21"/>
    </row>
    <row r="287" spans="1:11" ht="14.45">
      <c r="A287" s="21"/>
      <c r="B287" s="33"/>
      <c r="C287" s="21"/>
      <c r="D287" s="21"/>
      <c r="E287" s="21"/>
      <c r="F287" s="22"/>
      <c r="G287" s="21"/>
      <c r="H287" s="84"/>
      <c r="I287" s="22"/>
      <c r="J287" s="21"/>
      <c r="K287" s="21"/>
    </row>
    <row r="288" spans="1:11" ht="14.45">
      <c r="A288" s="21"/>
      <c r="B288" s="33"/>
      <c r="C288" s="21"/>
      <c r="D288" s="21"/>
      <c r="E288" s="21"/>
      <c r="F288" s="22"/>
      <c r="G288" s="21"/>
      <c r="H288" s="84"/>
      <c r="I288" s="22"/>
      <c r="J288" s="21"/>
      <c r="K288" s="21"/>
    </row>
    <row r="289" spans="1:11" ht="14.45">
      <c r="A289" s="21"/>
      <c r="B289" s="33"/>
      <c r="C289" s="21"/>
      <c r="D289" s="21"/>
      <c r="E289" s="21"/>
      <c r="F289" s="22"/>
      <c r="G289" s="21"/>
      <c r="H289" s="84"/>
      <c r="I289" s="22"/>
      <c r="J289" s="21"/>
      <c r="K289" s="21"/>
    </row>
    <row r="290" spans="1:11" ht="14.45">
      <c r="A290" s="21"/>
      <c r="B290" s="33"/>
      <c r="C290" s="21"/>
      <c r="D290" s="21"/>
      <c r="E290" s="21"/>
      <c r="F290" s="22"/>
      <c r="G290" s="21"/>
      <c r="H290" s="84"/>
      <c r="I290" s="22"/>
      <c r="J290" s="21"/>
      <c r="K290" s="21"/>
    </row>
    <row r="291" spans="1:11" ht="14.45">
      <c r="A291" s="21"/>
      <c r="B291" s="33"/>
      <c r="C291" s="21"/>
      <c r="D291" s="21"/>
      <c r="E291" s="21"/>
      <c r="F291" s="22"/>
      <c r="G291" s="21"/>
      <c r="H291" s="84"/>
      <c r="I291" s="22"/>
      <c r="J291" s="21"/>
      <c r="K291" s="21"/>
    </row>
    <row r="292" spans="1:11" ht="14.45">
      <c r="A292" s="21"/>
      <c r="B292" s="33"/>
      <c r="C292" s="21"/>
      <c r="D292" s="21"/>
      <c r="E292" s="21"/>
      <c r="F292" s="22"/>
      <c r="G292" s="21"/>
      <c r="H292" s="84"/>
      <c r="I292" s="22"/>
      <c r="J292" s="21"/>
      <c r="K292" s="21"/>
    </row>
    <row r="293" spans="1:11" ht="14.45">
      <c r="A293" s="21"/>
      <c r="B293" s="33"/>
      <c r="C293" s="21"/>
      <c r="D293" s="21"/>
      <c r="E293" s="21"/>
      <c r="F293" s="22"/>
      <c r="G293" s="21"/>
      <c r="H293" s="84"/>
      <c r="I293" s="22"/>
      <c r="J293" s="21"/>
      <c r="K293" s="21"/>
    </row>
    <row r="294" spans="1:11" ht="14.45">
      <c r="A294" s="21"/>
      <c r="B294" s="33"/>
      <c r="C294" s="21"/>
      <c r="D294" s="21"/>
      <c r="E294" s="21"/>
      <c r="F294" s="22"/>
      <c r="G294" s="21"/>
      <c r="H294" s="84"/>
      <c r="I294" s="22"/>
      <c r="J294" s="21"/>
      <c r="K294" s="21"/>
    </row>
    <row r="295" spans="1:11" ht="14.45">
      <c r="A295" s="21"/>
      <c r="B295" s="33"/>
      <c r="C295" s="21"/>
      <c r="D295" s="21"/>
      <c r="E295" s="21"/>
      <c r="F295" s="22"/>
      <c r="G295" s="21"/>
      <c r="H295" s="84"/>
      <c r="I295" s="22"/>
      <c r="J295" s="21"/>
      <c r="K295" s="21"/>
    </row>
    <row r="296" spans="1:11" ht="14.45">
      <c r="A296" s="21"/>
      <c r="B296" s="33"/>
      <c r="C296" s="21"/>
      <c r="D296" s="21"/>
      <c r="E296" s="21"/>
      <c r="F296" s="22"/>
      <c r="G296" s="21"/>
      <c r="H296" s="84"/>
      <c r="I296" s="22"/>
      <c r="J296" s="21"/>
      <c r="K296" s="21"/>
    </row>
    <row r="297" spans="1:11" ht="14.45">
      <c r="A297" s="21"/>
      <c r="B297" s="33"/>
      <c r="C297" s="21"/>
      <c r="D297" s="21"/>
      <c r="E297" s="21"/>
      <c r="F297" s="22"/>
      <c r="G297" s="21"/>
      <c r="H297" s="84"/>
      <c r="I297" s="22"/>
      <c r="J297" s="21"/>
      <c r="K297" s="21"/>
    </row>
    <row r="298" spans="1:11" ht="14.45">
      <c r="A298" s="21"/>
      <c r="B298" s="33"/>
      <c r="C298" s="21"/>
      <c r="D298" s="21"/>
      <c r="E298" s="21"/>
      <c r="F298" s="22"/>
      <c r="G298" s="21"/>
      <c r="H298" s="84"/>
      <c r="I298" s="22"/>
      <c r="J298" s="21"/>
      <c r="K298" s="21"/>
    </row>
    <row r="299" spans="1:11" ht="14.45">
      <c r="A299" s="21"/>
      <c r="B299" s="33"/>
      <c r="C299" s="21"/>
      <c r="D299" s="21"/>
      <c r="E299" s="21"/>
      <c r="F299" s="22"/>
      <c r="G299" s="21"/>
      <c r="H299" s="84"/>
      <c r="I299" s="22"/>
      <c r="J299" s="21"/>
      <c r="K299" s="21"/>
    </row>
    <row r="300" spans="1:11" ht="14.45">
      <c r="A300" s="21"/>
      <c r="B300" s="33"/>
      <c r="C300" s="21"/>
      <c r="D300" s="21"/>
      <c r="E300" s="21"/>
      <c r="F300" s="22"/>
      <c r="G300" s="21"/>
      <c r="H300" s="84"/>
      <c r="I300" s="22"/>
      <c r="J300" s="21"/>
      <c r="K300" s="21"/>
    </row>
    <row r="301" spans="1:11" ht="14.45">
      <c r="A301" s="21"/>
      <c r="B301" s="33"/>
      <c r="C301" s="21"/>
      <c r="D301" s="21"/>
      <c r="E301" s="21"/>
      <c r="F301" s="22"/>
      <c r="G301" s="21"/>
      <c r="H301" s="84"/>
      <c r="I301" s="22"/>
      <c r="J301" s="21"/>
      <c r="K301" s="21"/>
    </row>
    <row r="302" spans="1:11" ht="14.45">
      <c r="A302" s="21"/>
      <c r="B302" s="33"/>
      <c r="C302" s="21"/>
      <c r="D302" s="21"/>
      <c r="E302" s="21"/>
      <c r="F302" s="22"/>
      <c r="G302" s="21"/>
      <c r="H302" s="84"/>
      <c r="I302" s="22"/>
      <c r="J302" s="21"/>
      <c r="K302" s="21"/>
    </row>
    <row r="303" spans="1:11" ht="14.45">
      <c r="A303" s="21"/>
      <c r="B303" s="33"/>
      <c r="C303" s="21"/>
      <c r="D303" s="21"/>
      <c r="E303" s="21"/>
      <c r="F303" s="22"/>
      <c r="G303" s="21"/>
      <c r="H303" s="84"/>
      <c r="I303" s="22"/>
      <c r="J303" s="21"/>
      <c r="K303" s="21"/>
    </row>
    <row r="304" spans="1:11" ht="14.45">
      <c r="A304" s="21"/>
      <c r="B304" s="33"/>
      <c r="C304" s="21"/>
      <c r="D304" s="21"/>
      <c r="E304" s="21"/>
      <c r="F304" s="22"/>
      <c r="G304" s="21"/>
      <c r="H304" s="84"/>
      <c r="I304" s="22"/>
      <c r="J304" s="21"/>
      <c r="K304" s="21"/>
    </row>
    <row r="305" spans="1:11" ht="14.45">
      <c r="A305" s="21"/>
      <c r="B305" s="33"/>
      <c r="C305" s="21"/>
      <c r="D305" s="21"/>
      <c r="E305" s="21"/>
      <c r="F305" s="22"/>
      <c r="G305" s="21"/>
      <c r="H305" s="84"/>
      <c r="I305" s="22"/>
      <c r="J305" s="21"/>
      <c r="K305" s="21"/>
    </row>
    <row r="306" spans="1:11" ht="14.45">
      <c r="A306" s="21"/>
      <c r="B306" s="33"/>
      <c r="C306" s="21"/>
      <c r="D306" s="21"/>
      <c r="E306" s="21"/>
      <c r="F306" s="22"/>
      <c r="G306" s="21"/>
      <c r="H306" s="84"/>
      <c r="I306" s="22"/>
      <c r="J306" s="21"/>
      <c r="K306" s="21"/>
    </row>
    <row r="307" spans="1:11" ht="14.45">
      <c r="A307" s="21"/>
      <c r="B307" s="33"/>
      <c r="C307" s="21"/>
      <c r="D307" s="21"/>
      <c r="E307" s="21"/>
      <c r="F307" s="22"/>
      <c r="G307" s="21"/>
      <c r="H307" s="84"/>
      <c r="I307" s="22"/>
      <c r="J307" s="21"/>
      <c r="K307" s="21"/>
    </row>
    <row r="308" spans="1:11" ht="14.45">
      <c r="A308" s="21"/>
      <c r="B308" s="33"/>
      <c r="C308" s="21"/>
      <c r="D308" s="21"/>
      <c r="E308" s="21"/>
      <c r="F308" s="22"/>
      <c r="G308" s="21"/>
      <c r="H308" s="84"/>
      <c r="I308" s="22"/>
      <c r="J308" s="21"/>
      <c r="K308" s="21"/>
    </row>
    <row r="309" spans="1:11" ht="14.45">
      <c r="A309" s="21"/>
      <c r="B309" s="33"/>
      <c r="C309" s="21"/>
      <c r="D309" s="21"/>
      <c r="E309" s="21"/>
      <c r="F309" s="22"/>
      <c r="G309" s="21"/>
      <c r="H309" s="84"/>
      <c r="I309" s="22"/>
      <c r="J309" s="21"/>
      <c r="K309" s="21"/>
    </row>
    <row r="310" spans="1:11" ht="14.45">
      <c r="A310" s="21"/>
      <c r="B310" s="33"/>
      <c r="C310" s="21"/>
      <c r="D310" s="21"/>
      <c r="E310" s="21"/>
      <c r="F310" s="22"/>
      <c r="G310" s="21"/>
      <c r="H310" s="84"/>
      <c r="I310" s="22"/>
      <c r="J310" s="21"/>
      <c r="K310" s="21"/>
    </row>
    <row r="311" spans="1:11" ht="14.45">
      <c r="A311" s="21"/>
      <c r="B311" s="33"/>
      <c r="C311" s="21"/>
      <c r="D311" s="21"/>
      <c r="E311" s="21"/>
      <c r="F311" s="22"/>
      <c r="G311" s="21"/>
      <c r="H311" s="84"/>
      <c r="I311" s="22"/>
      <c r="J311" s="21"/>
      <c r="K311" s="21"/>
    </row>
    <row r="312" spans="1:11" ht="14.45">
      <c r="A312" s="21"/>
      <c r="B312" s="33"/>
      <c r="C312" s="21"/>
      <c r="D312" s="21"/>
      <c r="E312" s="21"/>
      <c r="F312" s="22"/>
      <c r="G312" s="21"/>
      <c r="H312" s="84"/>
      <c r="I312" s="22"/>
      <c r="J312" s="21"/>
      <c r="K312" s="21"/>
    </row>
    <row r="313" spans="1:11" ht="14.45">
      <c r="A313" s="21"/>
      <c r="B313" s="33"/>
      <c r="C313" s="21"/>
      <c r="D313" s="21"/>
      <c r="E313" s="21"/>
      <c r="F313" s="22"/>
      <c r="G313" s="21"/>
      <c r="H313" s="84"/>
      <c r="I313" s="22"/>
      <c r="J313" s="21"/>
      <c r="K313" s="21"/>
    </row>
    <row r="314" spans="1:11" ht="14.45">
      <c r="A314" s="21"/>
      <c r="B314" s="33"/>
      <c r="C314" s="21"/>
      <c r="D314" s="21"/>
      <c r="E314" s="21"/>
      <c r="F314" s="22"/>
      <c r="G314" s="21"/>
      <c r="H314" s="84"/>
      <c r="I314" s="22"/>
      <c r="J314" s="21"/>
      <c r="K314" s="21"/>
    </row>
    <row r="315" spans="1:11" ht="14.45">
      <c r="A315" s="21"/>
      <c r="B315" s="33"/>
      <c r="C315" s="21"/>
      <c r="D315" s="21"/>
      <c r="E315" s="21"/>
      <c r="F315" s="22"/>
      <c r="G315" s="21"/>
      <c r="H315" s="84"/>
      <c r="I315" s="22"/>
      <c r="J315" s="21"/>
      <c r="K315" s="21"/>
    </row>
    <row r="316" spans="1:11" ht="14.45">
      <c r="A316" s="21"/>
      <c r="B316" s="33"/>
      <c r="C316" s="21"/>
      <c r="D316" s="21"/>
      <c r="E316" s="21"/>
      <c r="F316" s="22"/>
      <c r="G316" s="21"/>
      <c r="H316" s="84"/>
      <c r="I316" s="22"/>
      <c r="J316" s="21"/>
      <c r="K316" s="21"/>
    </row>
    <row r="317" spans="1:11" ht="14.45">
      <c r="A317" s="21"/>
      <c r="B317" s="33"/>
      <c r="C317" s="21"/>
      <c r="D317" s="21"/>
      <c r="E317" s="21"/>
      <c r="F317" s="22"/>
      <c r="G317" s="21"/>
      <c r="H317" s="84"/>
      <c r="I317" s="22"/>
      <c r="J317" s="21"/>
      <c r="K317" s="21"/>
    </row>
    <row r="318" spans="1:11" ht="14.45">
      <c r="A318" s="21"/>
      <c r="B318" s="33"/>
      <c r="C318" s="21"/>
      <c r="D318" s="21"/>
      <c r="E318" s="21"/>
      <c r="F318" s="22"/>
      <c r="G318" s="21"/>
      <c r="H318" s="84"/>
      <c r="I318" s="22"/>
      <c r="J318" s="21"/>
      <c r="K318" s="21"/>
    </row>
    <row r="319" spans="1:11" ht="14.45">
      <c r="A319" s="21"/>
      <c r="B319" s="33"/>
      <c r="C319" s="21"/>
      <c r="D319" s="21"/>
      <c r="E319" s="21"/>
      <c r="F319" s="22"/>
      <c r="G319" s="21"/>
      <c r="H319" s="84"/>
      <c r="I319" s="22"/>
      <c r="J319" s="21"/>
      <c r="K319" s="21"/>
    </row>
    <row r="320" spans="1:11" ht="14.45">
      <c r="A320" s="21"/>
      <c r="B320" s="33"/>
      <c r="C320" s="21"/>
      <c r="D320" s="21"/>
      <c r="E320" s="21"/>
      <c r="F320" s="22"/>
      <c r="G320" s="21"/>
      <c r="H320" s="84"/>
      <c r="I320" s="22"/>
      <c r="J320" s="21"/>
      <c r="K320" s="21"/>
    </row>
    <row r="321" spans="1:11" ht="14.45">
      <c r="A321" s="21"/>
      <c r="B321" s="33"/>
      <c r="C321" s="21"/>
      <c r="D321" s="21"/>
      <c r="E321" s="21"/>
      <c r="F321" s="22"/>
      <c r="G321" s="21"/>
      <c r="H321" s="84"/>
      <c r="I321" s="22"/>
      <c r="J321" s="21"/>
      <c r="K321" s="21"/>
    </row>
    <row r="322" spans="1:11" ht="14.45">
      <c r="A322" s="21"/>
      <c r="B322" s="33"/>
      <c r="C322" s="21"/>
      <c r="D322" s="21"/>
      <c r="E322" s="21"/>
      <c r="F322" s="22"/>
      <c r="G322" s="21"/>
      <c r="H322" s="84"/>
      <c r="I322" s="22"/>
      <c r="J322" s="21"/>
      <c r="K322" s="21"/>
    </row>
    <row r="323" spans="1:11" ht="14.45">
      <c r="A323" s="21"/>
      <c r="B323" s="33"/>
      <c r="C323" s="21"/>
      <c r="D323" s="21"/>
      <c r="E323" s="21"/>
      <c r="F323" s="22"/>
      <c r="G323" s="21"/>
      <c r="H323" s="84"/>
      <c r="I323" s="22"/>
      <c r="J323" s="21"/>
      <c r="K323" s="21"/>
    </row>
    <row r="324" spans="1:11" ht="14.45">
      <c r="A324" s="21"/>
      <c r="B324" s="33"/>
      <c r="C324" s="21"/>
      <c r="D324" s="21"/>
      <c r="E324" s="21"/>
      <c r="F324" s="22"/>
      <c r="G324" s="21"/>
      <c r="H324" s="84"/>
      <c r="I324" s="22"/>
      <c r="J324" s="21"/>
      <c r="K324" s="21"/>
    </row>
    <row r="325" spans="1:11" ht="14.45">
      <c r="A325" s="21"/>
      <c r="B325" s="33"/>
      <c r="C325" s="21"/>
      <c r="D325" s="21"/>
      <c r="E325" s="21"/>
      <c r="F325" s="22"/>
      <c r="G325" s="21"/>
      <c r="H325" s="84"/>
      <c r="I325" s="22"/>
      <c r="J325" s="21"/>
      <c r="K325" s="21"/>
    </row>
    <row r="326" spans="1:11" ht="14.45">
      <c r="A326" s="21"/>
      <c r="B326" s="33"/>
      <c r="C326" s="21"/>
      <c r="D326" s="21"/>
      <c r="E326" s="21"/>
      <c r="F326" s="22"/>
      <c r="G326" s="21"/>
      <c r="H326" s="84"/>
      <c r="I326" s="22"/>
      <c r="J326" s="21"/>
      <c r="K326" s="21"/>
    </row>
    <row r="327" spans="1:11" ht="14.45">
      <c r="A327" s="21"/>
      <c r="B327" s="33"/>
      <c r="C327" s="21"/>
      <c r="D327" s="21"/>
      <c r="E327" s="21"/>
      <c r="F327" s="22"/>
      <c r="G327" s="21"/>
      <c r="H327" s="84"/>
      <c r="I327" s="22"/>
      <c r="J327" s="21"/>
      <c r="K327" s="21"/>
    </row>
    <row r="328" spans="1:11" ht="14.45">
      <c r="A328" s="21"/>
      <c r="B328" s="33"/>
      <c r="C328" s="21"/>
      <c r="D328" s="21"/>
      <c r="E328" s="21"/>
      <c r="F328" s="22"/>
      <c r="G328" s="21"/>
      <c r="H328" s="84"/>
      <c r="I328" s="22"/>
      <c r="J328" s="21"/>
      <c r="K328" s="21"/>
    </row>
    <row r="329" spans="1:11" ht="14.45">
      <c r="A329" s="21"/>
      <c r="B329" s="33"/>
      <c r="C329" s="21"/>
      <c r="D329" s="21"/>
      <c r="E329" s="21"/>
      <c r="F329" s="22"/>
      <c r="G329" s="21"/>
      <c r="H329" s="84"/>
      <c r="I329" s="22"/>
      <c r="J329" s="21"/>
      <c r="K329" s="21"/>
    </row>
    <row r="330" spans="1:11" ht="14.45">
      <c r="A330" s="21"/>
      <c r="B330" s="33"/>
      <c r="C330" s="21"/>
      <c r="D330" s="21"/>
      <c r="E330" s="21"/>
      <c r="F330" s="22"/>
      <c r="G330" s="21"/>
      <c r="H330" s="84"/>
      <c r="I330" s="22"/>
      <c r="J330" s="21"/>
      <c r="K330" s="21"/>
    </row>
    <row r="331" spans="1:11" ht="14.45">
      <c r="A331" s="21"/>
      <c r="B331" s="33"/>
      <c r="C331" s="21"/>
      <c r="D331" s="21"/>
      <c r="E331" s="21"/>
      <c r="F331" s="22"/>
      <c r="G331" s="21"/>
      <c r="H331" s="84"/>
      <c r="I331" s="22"/>
      <c r="J331" s="21"/>
      <c r="K331" s="21"/>
    </row>
    <row r="332" spans="1:11" ht="14.45">
      <c r="A332" s="21"/>
      <c r="B332" s="33"/>
      <c r="C332" s="21"/>
      <c r="D332" s="21"/>
      <c r="E332" s="21"/>
      <c r="F332" s="22"/>
      <c r="G332" s="21"/>
      <c r="H332" s="84"/>
      <c r="I332" s="22"/>
      <c r="J332" s="21"/>
      <c r="K332" s="21"/>
    </row>
    <row r="333" spans="1:11" ht="14.45">
      <c r="A333" s="21"/>
      <c r="B333" s="33"/>
      <c r="C333" s="21"/>
      <c r="D333" s="21"/>
      <c r="E333" s="21"/>
      <c r="F333" s="22"/>
      <c r="G333" s="21"/>
      <c r="H333" s="84"/>
      <c r="I333" s="22"/>
      <c r="J333" s="21"/>
      <c r="K333" s="21"/>
    </row>
    <row r="334" spans="1:11" ht="14.45">
      <c r="A334" s="21"/>
      <c r="B334" s="33"/>
      <c r="C334" s="21"/>
      <c r="D334" s="21"/>
      <c r="E334" s="21"/>
      <c r="F334" s="22"/>
      <c r="G334" s="21"/>
      <c r="H334" s="84"/>
      <c r="I334" s="22"/>
      <c r="J334" s="21"/>
      <c r="K334" s="21"/>
    </row>
    <row r="335" spans="1:11" ht="14.45">
      <c r="A335" s="21"/>
      <c r="B335" s="33"/>
      <c r="C335" s="21"/>
      <c r="D335" s="21"/>
      <c r="E335" s="21"/>
      <c r="F335" s="22"/>
      <c r="G335" s="21"/>
      <c r="H335" s="84"/>
      <c r="I335" s="22"/>
      <c r="J335" s="21"/>
      <c r="K335" s="21"/>
    </row>
    <row r="336" spans="1:11" ht="14.45">
      <c r="A336" s="21"/>
      <c r="B336" s="33"/>
      <c r="C336" s="21"/>
      <c r="D336" s="21"/>
      <c r="E336" s="21"/>
      <c r="F336" s="22"/>
      <c r="G336" s="21"/>
      <c r="H336" s="84"/>
      <c r="I336" s="22"/>
      <c r="J336" s="21"/>
      <c r="K336" s="21"/>
    </row>
    <row r="337" spans="1:11" ht="14.45">
      <c r="A337" s="21"/>
      <c r="B337" s="33"/>
      <c r="C337" s="21"/>
      <c r="D337" s="21"/>
      <c r="E337" s="21"/>
      <c r="F337" s="22"/>
      <c r="G337" s="21"/>
      <c r="H337" s="84"/>
      <c r="I337" s="22"/>
      <c r="J337" s="21"/>
      <c r="K337" s="21"/>
    </row>
    <row r="338" spans="1:11" ht="14.45">
      <c r="A338" s="21"/>
      <c r="B338" s="33"/>
      <c r="C338" s="21"/>
      <c r="D338" s="21"/>
      <c r="E338" s="21"/>
      <c r="F338" s="22"/>
      <c r="G338" s="21"/>
      <c r="H338" s="84"/>
      <c r="I338" s="22"/>
      <c r="J338" s="21"/>
      <c r="K338" s="21"/>
    </row>
    <row r="339" spans="1:11" ht="14.45">
      <c r="A339" s="21"/>
      <c r="B339" s="33"/>
      <c r="C339" s="21"/>
      <c r="D339" s="21"/>
      <c r="E339" s="21"/>
      <c r="F339" s="22"/>
      <c r="G339" s="21"/>
      <c r="H339" s="84"/>
      <c r="I339" s="22"/>
      <c r="J339" s="21"/>
      <c r="K339" s="21"/>
    </row>
    <row r="340" spans="1:11" ht="14.45">
      <c r="A340" s="21"/>
      <c r="B340" s="33"/>
      <c r="C340" s="21"/>
      <c r="D340" s="21"/>
      <c r="E340" s="21"/>
      <c r="F340" s="22"/>
      <c r="G340" s="21"/>
      <c r="H340" s="84"/>
      <c r="I340" s="22"/>
      <c r="J340" s="21"/>
      <c r="K340" s="21"/>
    </row>
    <row r="341" spans="1:11" ht="14.45">
      <c r="A341" s="21"/>
      <c r="B341" s="33"/>
      <c r="C341" s="21"/>
      <c r="D341" s="21"/>
      <c r="E341" s="21"/>
      <c r="F341" s="22"/>
      <c r="G341" s="21"/>
      <c r="H341" s="84"/>
      <c r="I341" s="22"/>
      <c r="J341" s="21"/>
      <c r="K341" s="21"/>
    </row>
    <row r="342" spans="1:11" ht="14.45">
      <c r="C342" s="21"/>
      <c r="D342" s="21"/>
      <c r="E342" s="21"/>
      <c r="F342" s="22"/>
      <c r="G342" s="21"/>
      <c r="H342" s="84"/>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66"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35" t="str" cm="1">
        <f t="array" ref="A1">portfolio</f>
        <v>Silicon Ranch</v>
      </c>
      <c r="B1" s="135"/>
      <c r="C1" s="135"/>
      <c r="D1" s="136" t="s">
        <v>177</v>
      </c>
      <c r="E1" s="136"/>
      <c r="F1" s="136"/>
      <c r="G1" s="134" t="s">
        <v>178</v>
      </c>
      <c r="H1" s="134"/>
      <c r="I1" s="134"/>
      <c r="J1" s="4"/>
      <c r="K1" s="4"/>
    </row>
    <row r="2" spans="1:16"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64"/>
      <c r="K4" s="41"/>
      <c r="L4" s="97"/>
      <c r="M4" s="97"/>
      <c r="N4" s="97"/>
      <c r="O4" s="97"/>
      <c r="P4" s="97"/>
    </row>
    <row r="5" spans="1:16"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9" si="2">IFERROR(H5/G5, "")</f>
        <v/>
      </c>
      <c r="K5" s="42"/>
      <c r="L5" s="97"/>
      <c r="M5" s="97"/>
      <c r="N5" s="97"/>
      <c r="O5" s="97"/>
      <c r="P5" s="97"/>
    </row>
    <row r="6" spans="1:16" ht="15.6">
      <c r="A6" s="28" t="str">
        <v>Kohls - Bensalem</v>
      </c>
      <c r="B6" s="29" t="str">
        <v>PA</v>
      </c>
      <c r="C6" s="24"/>
      <c r="D6" s="13"/>
      <c r="E6" s="13" t="str">
        <f t="shared" si="0"/>
        <v/>
      </c>
      <c r="F6" s="14" t="str">
        <f t="shared" ref="F6:F25" si="3">IFERROR(E6/D6, "")</f>
        <v/>
      </c>
      <c r="G6" s="15"/>
      <c r="H6" s="15" t="str">
        <f t="shared" si="1"/>
        <v/>
      </c>
      <c r="I6" s="16" t="str">
        <f t="shared" si="2"/>
        <v/>
      </c>
      <c r="J6" s="41"/>
      <c r="K6" s="88"/>
      <c r="L6" s="97"/>
      <c r="M6" s="97"/>
      <c r="N6" s="97"/>
      <c r="O6" s="97"/>
      <c r="P6" s="97"/>
    </row>
    <row r="7" spans="1:16" ht="15.6">
      <c r="A7" s="30" t="str">
        <v>Kohls - Brick</v>
      </c>
      <c r="B7" s="31" t="str">
        <v>NJ</v>
      </c>
      <c r="C7" s="11"/>
      <c r="D7" s="18"/>
      <c r="E7" s="18" t="str">
        <f t="shared" si="0"/>
        <v/>
      </c>
      <c r="F7" s="19" t="str">
        <f t="shared" si="3"/>
        <v/>
      </c>
      <c r="G7" s="20"/>
      <c r="H7" s="20" t="str">
        <f t="shared" si="1"/>
        <v/>
      </c>
      <c r="I7" s="19" t="str">
        <f t="shared" si="2"/>
        <v/>
      </c>
      <c r="J7" s="42"/>
      <c r="K7" s="43"/>
      <c r="L7" s="97"/>
      <c r="M7" s="97"/>
      <c r="N7" s="97"/>
      <c r="O7" s="97"/>
      <c r="P7" s="97"/>
    </row>
    <row r="8" spans="1:16" ht="111.75" customHeight="1">
      <c r="A8" s="28" t="str">
        <v>Kohls - Buffalo</v>
      </c>
      <c r="B8" s="29" t="str">
        <v>NY</v>
      </c>
      <c r="C8" s="24"/>
      <c r="D8" s="13"/>
      <c r="E8" s="13" t="str">
        <f t="shared" si="0"/>
        <v/>
      </c>
      <c r="F8" s="14" t="str">
        <f>IFERROR(E8/D8, "")</f>
        <v/>
      </c>
      <c r="G8" s="15"/>
      <c r="H8" s="15" t="str">
        <f t="shared" si="1"/>
        <v/>
      </c>
      <c r="I8" s="16" t="str">
        <f t="shared" si="2"/>
        <v/>
      </c>
      <c r="J8" s="41"/>
      <c r="K8" s="88"/>
      <c r="L8" s="98"/>
      <c r="M8" s="98"/>
      <c r="N8" s="98"/>
      <c r="O8" s="98"/>
      <c r="P8" s="97"/>
    </row>
    <row r="9" spans="1:16" ht="15.6">
      <c r="A9" s="30" t="str">
        <v>Kohls - Canton</v>
      </c>
      <c r="B9" s="31" t="str">
        <v>CT</v>
      </c>
      <c r="C9" s="11"/>
      <c r="D9" s="18"/>
      <c r="E9" s="18" t="str">
        <f>IF(AND(ISNUMBER(C9),ISNUMBER(D9)), C9-D9, "")</f>
        <v/>
      </c>
      <c r="F9" s="19" t="str">
        <f t="shared" si="3"/>
        <v/>
      </c>
      <c r="G9" s="20"/>
      <c r="H9" s="20" t="str">
        <f t="shared" si="1"/>
        <v/>
      </c>
      <c r="I9" s="19" t="str">
        <f t="shared" si="2"/>
        <v/>
      </c>
      <c r="J9" s="42"/>
      <c r="K9" s="43"/>
      <c r="L9" s="97"/>
      <c r="M9" s="97"/>
      <c r="N9" s="97"/>
      <c r="O9" s="97"/>
      <c r="P9" s="97"/>
    </row>
    <row r="10" spans="1:16" ht="15.6">
      <c r="A10" s="28" t="str">
        <v>Kohls - East Amherst</v>
      </c>
      <c r="B10" s="29" t="str">
        <v>NY</v>
      </c>
      <c r="C10" s="24"/>
      <c r="D10" s="13"/>
      <c r="E10" s="13" t="str">
        <f>IF(AND(ISNUMBER(C10),ISNUMBER(D10)), C10-D10, "")</f>
        <v/>
      </c>
      <c r="F10" s="14" t="str">
        <f t="shared" si="3"/>
        <v/>
      </c>
      <c r="G10" s="15"/>
      <c r="H10" s="15" t="str">
        <f t="shared" si="1"/>
        <v/>
      </c>
      <c r="I10" s="16" t="str">
        <f t="shared" si="2"/>
        <v/>
      </c>
      <c r="J10" s="41"/>
      <c r="K10" s="41"/>
      <c r="L10" s="97"/>
      <c r="M10" s="97"/>
      <c r="N10" s="97"/>
      <c r="O10" s="97"/>
      <c r="P10" s="97"/>
    </row>
    <row r="11" spans="1:16" ht="15.6">
      <c r="A11" s="30" t="str">
        <v>Kohls - East Brunswick</v>
      </c>
      <c r="B11" s="31" t="str">
        <v>NJ</v>
      </c>
      <c r="C11" s="11"/>
      <c r="D11" s="18"/>
      <c r="E11" s="18" t="str">
        <f t="shared" si="0"/>
        <v/>
      </c>
      <c r="F11" s="19" t="str">
        <f t="shared" si="3"/>
        <v/>
      </c>
      <c r="G11" s="20"/>
      <c r="H11" s="20" t="str">
        <f t="shared" si="1"/>
        <v/>
      </c>
      <c r="I11" s="19" t="str">
        <f t="shared" si="2"/>
        <v/>
      </c>
      <c r="J11" s="42"/>
      <c r="K11" s="43"/>
      <c r="L11" s="97"/>
      <c r="M11" s="97"/>
      <c r="N11" s="97"/>
      <c r="O11" s="97"/>
      <c r="P11" s="97"/>
    </row>
    <row r="12" spans="1:16" ht="15.6">
      <c r="A12" s="28" t="str">
        <v>Kohls - Edgewood</v>
      </c>
      <c r="B12" s="29" t="str">
        <v>MD</v>
      </c>
      <c r="C12" s="24"/>
      <c r="D12" s="13"/>
      <c r="E12" s="13" t="str">
        <f t="shared" si="0"/>
        <v/>
      </c>
      <c r="F12" s="14" t="str">
        <f t="shared" si="3"/>
        <v/>
      </c>
      <c r="G12" s="15"/>
      <c r="H12" s="15" t="str">
        <f t="shared" si="1"/>
        <v/>
      </c>
      <c r="I12" s="16" t="str">
        <f t="shared" si="2"/>
        <v/>
      </c>
      <c r="J12" s="41"/>
      <c r="K12" s="41"/>
      <c r="L12" s="97"/>
      <c r="M12" s="97"/>
      <c r="N12" s="97"/>
      <c r="O12" s="97"/>
      <c r="P12" s="97"/>
    </row>
    <row r="13" spans="1:16" ht="15.6">
      <c r="A13" s="30" t="str">
        <v>Kohls - Granite Run</v>
      </c>
      <c r="B13" s="31" t="str">
        <v>PA</v>
      </c>
      <c r="C13" s="11"/>
      <c r="D13" s="18"/>
      <c r="E13" s="18" t="str">
        <f t="shared" si="0"/>
        <v/>
      </c>
      <c r="F13" s="19" t="str">
        <f t="shared" si="3"/>
        <v/>
      </c>
      <c r="G13" s="20"/>
      <c r="H13" s="20" t="str">
        <f t="shared" si="1"/>
        <v/>
      </c>
      <c r="I13" s="19" t="str">
        <f t="shared" si="2"/>
        <v/>
      </c>
      <c r="J13" s="42"/>
      <c r="K13" s="43"/>
      <c r="L13" s="97"/>
      <c r="M13" s="97"/>
      <c r="N13" s="97"/>
      <c r="O13" s="97"/>
      <c r="P13" s="97"/>
    </row>
    <row r="14" spans="1:16" ht="15.6">
      <c r="A14" s="28" t="str">
        <v>Kohls - Greece</v>
      </c>
      <c r="B14" s="29" t="str">
        <v>NY</v>
      </c>
      <c r="C14" s="24"/>
      <c r="D14" s="13"/>
      <c r="E14" s="13" t="str">
        <f t="shared" si="0"/>
        <v/>
      </c>
      <c r="F14" s="14" t="str">
        <f t="shared" si="3"/>
        <v/>
      </c>
      <c r="G14" s="15"/>
      <c r="H14" s="15" t="str">
        <f t="shared" si="1"/>
        <v/>
      </c>
      <c r="I14" s="16" t="str">
        <f t="shared" si="2"/>
        <v/>
      </c>
      <c r="J14" s="41"/>
      <c r="K14" s="41"/>
      <c r="L14" s="97"/>
      <c r="M14" s="97"/>
      <c r="N14" s="97"/>
      <c r="O14" s="97"/>
      <c r="P14" s="97"/>
    </row>
    <row r="15" spans="1:16" ht="15.6">
      <c r="A15" s="30" t="str">
        <v>Kohls - Hanover</v>
      </c>
      <c r="B15" s="31" t="str">
        <v>PA</v>
      </c>
      <c r="C15" s="11"/>
      <c r="D15" s="18"/>
      <c r="E15" s="18" t="str">
        <f t="shared" si="0"/>
        <v/>
      </c>
      <c r="F15" s="19" t="str">
        <f t="shared" si="3"/>
        <v/>
      </c>
      <c r="G15" s="20"/>
      <c r="H15" s="20" t="str">
        <f t="shared" si="1"/>
        <v/>
      </c>
      <c r="I15" s="19" t="str">
        <f t="shared" si="2"/>
        <v/>
      </c>
      <c r="J15" s="42"/>
      <c r="K15" s="43"/>
      <c r="L15" s="97"/>
      <c r="M15" s="97"/>
      <c r="N15" s="97"/>
      <c r="O15" s="97"/>
      <c r="P15" s="97"/>
    </row>
    <row r="16" spans="1:16" ht="15.6">
      <c r="A16" s="28" t="str">
        <v>Kohls - Horsehead</v>
      </c>
      <c r="B16" s="29" t="str">
        <v>NY</v>
      </c>
      <c r="C16" s="24"/>
      <c r="D16" s="13"/>
      <c r="E16" s="13" t="str">
        <f t="shared" si="0"/>
        <v/>
      </c>
      <c r="F16" s="14" t="str">
        <f t="shared" si="3"/>
        <v/>
      </c>
      <c r="G16" s="15"/>
      <c r="H16" s="15" t="str">
        <f t="shared" si="1"/>
        <v/>
      </c>
      <c r="I16" s="16" t="str">
        <f t="shared" si="2"/>
        <v/>
      </c>
      <c r="J16" s="41"/>
      <c r="K16" s="41"/>
      <c r="L16" s="97"/>
      <c r="M16" s="97"/>
      <c r="N16" s="97"/>
      <c r="O16" s="97"/>
      <c r="P16" s="97"/>
    </row>
    <row r="17" spans="1:16" ht="15.6">
      <c r="A17" s="30" t="str">
        <v>Kohls - Hudson</v>
      </c>
      <c r="B17" s="31" t="str">
        <v>NY</v>
      </c>
      <c r="C17" s="11"/>
      <c r="D17" s="18"/>
      <c r="E17" s="18" t="str">
        <f t="shared" si="0"/>
        <v/>
      </c>
      <c r="F17" s="19" t="str">
        <f t="shared" si="3"/>
        <v/>
      </c>
      <c r="G17" s="20"/>
      <c r="H17" s="20" t="str">
        <f t="shared" si="1"/>
        <v/>
      </c>
      <c r="I17" s="19" t="str">
        <f t="shared" si="2"/>
        <v/>
      </c>
      <c r="J17" s="42"/>
      <c r="K17" s="43"/>
      <c r="L17" s="97"/>
      <c r="M17" s="97"/>
      <c r="N17" s="97"/>
      <c r="O17" s="97"/>
      <c r="P17" s="97"/>
    </row>
    <row r="18" spans="1:16" ht="15.6">
      <c r="A18" s="32" t="str">
        <v>Kohls - Ithaca</v>
      </c>
      <c r="B18" s="29" t="str">
        <v>NY</v>
      </c>
      <c r="C18" s="24"/>
      <c r="D18" s="13"/>
      <c r="E18" s="13" t="str">
        <f t="shared" si="0"/>
        <v/>
      </c>
      <c r="F18" s="14" t="str">
        <f t="shared" si="3"/>
        <v/>
      </c>
      <c r="G18" s="15"/>
      <c r="H18" s="15" t="str">
        <f t="shared" si="1"/>
        <v/>
      </c>
      <c r="I18" s="16" t="str">
        <f t="shared" si="2"/>
        <v/>
      </c>
      <c r="J18" s="41"/>
      <c r="K18" s="41"/>
      <c r="L18" s="97"/>
      <c r="M18" s="97"/>
      <c r="N18" s="97"/>
      <c r="O18" s="97"/>
      <c r="P18" s="97"/>
    </row>
    <row r="19" spans="1:16" ht="15.6">
      <c r="A19" s="30" t="str">
        <v>Kohls - Kingston</v>
      </c>
      <c r="B19" s="31" t="str">
        <v>NY</v>
      </c>
      <c r="C19" s="11"/>
      <c r="D19" s="18"/>
      <c r="E19" s="18" t="str">
        <f t="shared" si="0"/>
        <v/>
      </c>
      <c r="F19" s="19" t="str">
        <f t="shared" si="3"/>
        <v/>
      </c>
      <c r="G19" s="20"/>
      <c r="H19" s="20" t="str">
        <f t="shared" si="1"/>
        <v/>
      </c>
      <c r="I19" s="19" t="str">
        <f t="shared" si="2"/>
        <v/>
      </c>
      <c r="J19" s="42"/>
      <c r="K19" s="42"/>
      <c r="L19" s="97"/>
      <c r="M19" s="97"/>
      <c r="N19" s="97"/>
      <c r="O19" s="97"/>
      <c r="P19" s="97"/>
    </row>
    <row r="20" spans="1:16" ht="15.6">
      <c r="A20" s="28" t="str">
        <v>Kohls - Mechanicsburg</v>
      </c>
      <c r="B20" s="29" t="str">
        <v>PA</v>
      </c>
      <c r="C20" s="24"/>
      <c r="D20" s="13"/>
      <c r="E20" s="13" t="str">
        <f t="shared" si="0"/>
        <v/>
      </c>
      <c r="F20" s="14" t="str">
        <f t="shared" si="3"/>
        <v/>
      </c>
      <c r="G20" s="15"/>
      <c r="H20" s="15" t="str">
        <f t="shared" si="1"/>
        <v/>
      </c>
      <c r="I20" s="16" t="str">
        <f t="shared" si="2"/>
        <v/>
      </c>
      <c r="J20" s="41"/>
      <c r="K20" s="41"/>
      <c r="L20" s="97"/>
      <c r="M20" s="97"/>
      <c r="N20" s="97"/>
      <c r="O20" s="97"/>
      <c r="P20" s="97"/>
    </row>
    <row r="21" spans="1:16" ht="15.6">
      <c r="A21" s="30" t="str">
        <v>Kohls - Middletown</v>
      </c>
      <c r="B21" s="31" t="str">
        <v>NJ</v>
      </c>
      <c r="C21" s="11"/>
      <c r="D21" s="18"/>
      <c r="E21" s="18" t="str">
        <f t="shared" si="0"/>
        <v/>
      </c>
      <c r="F21" s="19" t="str">
        <f t="shared" si="3"/>
        <v/>
      </c>
      <c r="G21" s="20"/>
      <c r="H21" s="20" t="str">
        <f t="shared" si="1"/>
        <v/>
      </c>
      <c r="I21" s="19" t="str">
        <f t="shared" si="2"/>
        <v/>
      </c>
      <c r="J21" s="54"/>
      <c r="K21" s="53"/>
      <c r="L21" s="97"/>
      <c r="M21" s="97"/>
      <c r="N21" s="97"/>
      <c r="O21" s="97"/>
      <c r="P21" s="97"/>
    </row>
    <row r="22" spans="1:16" ht="15.6">
      <c r="A22" s="28" t="str">
        <v>Kohls - North Amherst</v>
      </c>
      <c r="B22" s="29" t="str">
        <v>NY</v>
      </c>
      <c r="C22" s="24"/>
      <c r="D22" s="13"/>
      <c r="E22" s="13" t="str">
        <f t="shared" si="0"/>
        <v/>
      </c>
      <c r="F22" s="14" t="str">
        <f t="shared" si="3"/>
        <v/>
      </c>
      <c r="G22" s="15"/>
      <c r="H22" s="15" t="str">
        <f t="shared" si="1"/>
        <v/>
      </c>
      <c r="I22" s="16" t="str">
        <f t="shared" si="2"/>
        <v/>
      </c>
      <c r="J22" s="86"/>
      <c r="K22" s="88"/>
      <c r="L22" s="98"/>
      <c r="M22" s="97"/>
      <c r="N22" s="97"/>
      <c r="O22" s="97"/>
      <c r="P22" s="97"/>
    </row>
    <row r="23" spans="1:16" ht="15.6">
      <c r="A23" s="30" t="str">
        <v>Kohls - Staten Island</v>
      </c>
      <c r="B23" s="31" t="str">
        <v>NY</v>
      </c>
      <c r="C23" s="11"/>
      <c r="D23" s="18"/>
      <c r="E23" s="18" t="str">
        <f t="shared" si="0"/>
        <v/>
      </c>
      <c r="F23" s="19" t="str">
        <f t="shared" si="3"/>
        <v/>
      </c>
      <c r="G23" s="20"/>
      <c r="H23" s="20" t="str">
        <f t="shared" si="1"/>
        <v/>
      </c>
      <c r="I23" s="19" t="str">
        <f t="shared" si="2"/>
        <v/>
      </c>
      <c r="J23" s="42"/>
      <c r="K23" s="90"/>
      <c r="L23" s="98"/>
      <c r="M23" s="97"/>
      <c r="N23" s="97"/>
      <c r="O23" s="97"/>
      <c r="P23" s="97"/>
    </row>
    <row r="24" spans="1:16" ht="15.6">
      <c r="A24" s="28" t="str">
        <v>Kohls - Warminster</v>
      </c>
      <c r="B24" s="29" t="str">
        <v>PA</v>
      </c>
      <c r="C24" s="24"/>
      <c r="D24" s="13"/>
      <c r="E24" s="13" t="str">
        <f t="shared" si="0"/>
        <v/>
      </c>
      <c r="F24" s="14" t="str">
        <f t="shared" si="3"/>
        <v/>
      </c>
      <c r="G24" s="15"/>
      <c r="H24" s="15" t="str">
        <f t="shared" si="1"/>
        <v/>
      </c>
      <c r="I24" s="16" t="str">
        <f t="shared" si="2"/>
        <v/>
      </c>
      <c r="J24" s="41"/>
      <c r="K24" s="41"/>
      <c r="L24" s="97"/>
      <c r="M24" s="97"/>
      <c r="N24" s="97"/>
      <c r="O24" s="97"/>
      <c r="P24" s="97"/>
    </row>
    <row r="25" spans="1:16" ht="15.6">
      <c r="A25" s="30" t="str">
        <v xml:space="preserve">Kohls - Waterbury </v>
      </c>
      <c r="B25" s="31" t="str">
        <v>CT</v>
      </c>
      <c r="C25" s="11"/>
      <c r="D25" s="18"/>
      <c r="E25" s="18" t="str">
        <f t="shared" si="0"/>
        <v/>
      </c>
      <c r="F25" s="19" t="str">
        <f t="shared" si="3"/>
        <v/>
      </c>
      <c r="G25" s="20"/>
      <c r="H25" s="20" t="str">
        <f t="shared" si="1"/>
        <v/>
      </c>
      <c r="I25" s="19" t="str">
        <f t="shared" si="2"/>
        <v/>
      </c>
      <c r="J25" s="42"/>
      <c r="K25" s="90"/>
      <c r="L25" s="97"/>
      <c r="M25" s="97"/>
      <c r="N25" s="97"/>
      <c r="O25" s="97"/>
      <c r="P25" s="97"/>
    </row>
    <row r="26" spans="1:16" ht="15.6">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9" si="6">IF(AND(ISNUMBER(C26),ISNUMBER(G26)), C26-G26, "")</f>
        <v/>
      </c>
      <c r="I26" s="16" t="str">
        <f t="shared" si="2"/>
        <v/>
      </c>
      <c r="J26" s="41"/>
      <c r="K26" s="88"/>
      <c r="L26" s="97"/>
      <c r="M26" s="97"/>
      <c r="N26" s="97"/>
      <c r="O26" s="97"/>
      <c r="P26" s="97"/>
    </row>
    <row r="27" spans="1:16" ht="15.6">
      <c r="A27" s="30" t="str">
        <v>CSU - Bakersfield</v>
      </c>
      <c r="B27" s="31" t="str">
        <v>CA</v>
      </c>
      <c r="C27" s="11"/>
      <c r="D27" s="18"/>
      <c r="E27" s="18" t="str">
        <f t="shared" si="4"/>
        <v/>
      </c>
      <c r="F27" s="19" t="str">
        <f t="shared" si="5"/>
        <v/>
      </c>
      <c r="G27" s="20"/>
      <c r="H27" s="20" t="str">
        <f t="shared" si="6"/>
        <v/>
      </c>
      <c r="I27" s="19" t="str">
        <f t="shared" si="2"/>
        <v/>
      </c>
      <c r="J27" s="42"/>
      <c r="K27" s="43"/>
      <c r="L27" s="97"/>
      <c r="M27" s="97"/>
      <c r="N27" s="97"/>
      <c r="O27" s="97"/>
      <c r="P27" s="97"/>
    </row>
    <row r="28" spans="1:16" ht="15.6">
      <c r="A28" s="28" t="str">
        <v>Greenfield USD - Fairfield ES</v>
      </c>
      <c r="B28" s="29" t="str">
        <v>CA</v>
      </c>
      <c r="C28" s="24"/>
      <c r="D28" s="13"/>
      <c r="E28" s="13" t="str">
        <f t="shared" si="4"/>
        <v/>
      </c>
      <c r="F28" s="14" t="str">
        <f t="shared" si="5"/>
        <v/>
      </c>
      <c r="G28" s="15"/>
      <c r="H28" s="15" t="str">
        <f t="shared" si="6"/>
        <v/>
      </c>
      <c r="I28" s="16" t="str">
        <f t="shared" si="2"/>
        <v/>
      </c>
      <c r="J28" s="41"/>
      <c r="K28" s="41"/>
      <c r="L28" s="97"/>
      <c r="M28" s="97"/>
      <c r="N28" s="97"/>
      <c r="O28" s="97"/>
      <c r="P28" s="97"/>
    </row>
    <row r="29" spans="1:16" ht="15.6">
      <c r="A29" s="30" t="str">
        <v>Greenfield USD - Granite Point ES</v>
      </c>
      <c r="B29" s="31" t="str">
        <v>CA</v>
      </c>
      <c r="C29" s="11"/>
      <c r="D29" s="18"/>
      <c r="E29" s="18" t="str">
        <f t="shared" si="4"/>
        <v/>
      </c>
      <c r="F29" s="19" t="str">
        <f t="shared" si="5"/>
        <v/>
      </c>
      <c r="G29" s="20"/>
      <c r="H29" s="20" t="str">
        <f t="shared" si="6"/>
        <v/>
      </c>
      <c r="I29" s="19" t="str">
        <f t="shared" si="2"/>
        <v/>
      </c>
      <c r="J29" s="42"/>
      <c r="K29" s="43"/>
      <c r="L29" s="97"/>
      <c r="M29" s="97"/>
      <c r="N29" s="97"/>
      <c r="O29" s="97"/>
      <c r="P29" s="97"/>
    </row>
    <row r="30" spans="1:16" ht="15.6">
      <c r="A30" s="28" t="str">
        <v>Greenfield USD - Greenfield MS</v>
      </c>
      <c r="B30" s="29" t="str">
        <v>CA</v>
      </c>
      <c r="C30" s="24"/>
      <c r="D30" s="13"/>
      <c r="E30" s="13" t="str">
        <f t="shared" si="4"/>
        <v/>
      </c>
      <c r="F30" s="14" t="str">
        <f t="shared" si="5"/>
        <v/>
      </c>
      <c r="G30" s="15"/>
      <c r="H30" s="15" t="str">
        <f t="shared" si="6"/>
        <v/>
      </c>
      <c r="I30" s="16" t="str">
        <f t="shared" si="2"/>
        <v/>
      </c>
      <c r="J30" s="41"/>
      <c r="K30" s="88"/>
      <c r="L30" s="97"/>
      <c r="M30" s="97"/>
      <c r="N30" s="97"/>
      <c r="O30" s="97"/>
      <c r="P30" s="97"/>
    </row>
    <row r="31" spans="1:16" ht="15.6">
      <c r="A31" s="30" t="str">
        <v>Greenfield USD - Horizon ES</v>
      </c>
      <c r="B31" s="31" t="str">
        <v>CA</v>
      </c>
      <c r="C31" s="11"/>
      <c r="D31" s="18"/>
      <c r="E31" s="18" t="str">
        <f t="shared" si="4"/>
        <v/>
      </c>
      <c r="F31" s="19" t="str">
        <f t="shared" si="5"/>
        <v/>
      </c>
      <c r="G31" s="20"/>
      <c r="H31" s="20" t="str">
        <f t="shared" si="6"/>
        <v/>
      </c>
      <c r="I31" s="19" t="str">
        <f t="shared" si="2"/>
        <v/>
      </c>
      <c r="J31" s="42"/>
      <c r="K31" s="43"/>
      <c r="L31" s="97"/>
      <c r="M31" s="97"/>
      <c r="N31" s="97"/>
      <c r="O31" s="97"/>
      <c r="P31" s="97"/>
    </row>
    <row r="32" spans="1:16" ht="15.6">
      <c r="A32" s="28" t="str">
        <v>Greenfield USD - McKee MS</v>
      </c>
      <c r="B32" s="29" t="str">
        <v>CA</v>
      </c>
      <c r="C32" s="24"/>
      <c r="D32" s="13"/>
      <c r="E32" s="13" t="str">
        <f t="shared" si="4"/>
        <v/>
      </c>
      <c r="F32" s="14" t="str">
        <f t="shared" si="5"/>
        <v/>
      </c>
      <c r="G32" s="15"/>
      <c r="H32" s="15" t="str">
        <f t="shared" si="6"/>
        <v/>
      </c>
      <c r="I32" s="16" t="str">
        <f t="shared" si="2"/>
        <v/>
      </c>
      <c r="J32" s="41"/>
      <c r="K32" s="41"/>
      <c r="L32" s="97"/>
      <c r="M32" s="97"/>
      <c r="N32" s="97"/>
      <c r="O32" s="97"/>
      <c r="P32" s="97"/>
    </row>
    <row r="33" spans="1:16" ht="15.6">
      <c r="A33" s="30" t="str">
        <v>Greenfield USD - Plantation ES</v>
      </c>
      <c r="B33" s="31" t="str">
        <v>CA</v>
      </c>
      <c r="C33" s="11"/>
      <c r="D33" s="18"/>
      <c r="E33" s="18" t="str">
        <f t="shared" si="4"/>
        <v/>
      </c>
      <c r="F33" s="19" t="str">
        <f t="shared" si="5"/>
        <v/>
      </c>
      <c r="G33" s="20"/>
      <c r="H33" s="20" t="str">
        <f t="shared" si="6"/>
        <v/>
      </c>
      <c r="I33" s="19" t="str">
        <f t="shared" si="2"/>
        <v/>
      </c>
      <c r="J33" s="42"/>
      <c r="K33" s="43"/>
      <c r="L33" s="97"/>
      <c r="M33" s="97"/>
      <c r="N33" s="97"/>
      <c r="O33" s="97"/>
      <c r="P33" s="97"/>
    </row>
    <row r="34" spans="1:16" ht="15.6">
      <c r="A34" s="28" t="str">
        <v>Greenfield USD - Planz ES</v>
      </c>
      <c r="B34" s="29" t="str">
        <v>CA</v>
      </c>
      <c r="C34" s="24"/>
      <c r="D34" s="13"/>
      <c r="E34" s="13" t="str">
        <f t="shared" si="4"/>
        <v/>
      </c>
      <c r="F34" s="14" t="str">
        <f t="shared" si="5"/>
        <v/>
      </c>
      <c r="G34" s="15"/>
      <c r="H34" s="15" t="str">
        <f t="shared" si="6"/>
        <v/>
      </c>
      <c r="I34" s="16" t="str">
        <f t="shared" si="2"/>
        <v/>
      </c>
      <c r="J34" s="41"/>
      <c r="K34" s="88"/>
      <c r="L34" s="97"/>
      <c r="M34" s="97"/>
      <c r="N34" s="97"/>
      <c r="O34" s="97"/>
      <c r="P34" s="97"/>
    </row>
    <row r="35" spans="1:16" ht="15.6">
      <c r="A35" s="30" t="str">
        <v>Greenfield USD - Raffaello Palla ES</v>
      </c>
      <c r="B35" s="31" t="str">
        <v>CA</v>
      </c>
      <c r="C35" s="11"/>
      <c r="D35" s="18"/>
      <c r="E35" s="18" t="str">
        <f t="shared" si="4"/>
        <v/>
      </c>
      <c r="F35" s="19" t="str">
        <f t="shared" si="5"/>
        <v/>
      </c>
      <c r="G35" s="20"/>
      <c r="H35" s="20" t="str">
        <f t="shared" si="6"/>
        <v/>
      </c>
      <c r="I35" s="19" t="str">
        <f t="shared" si="2"/>
        <v/>
      </c>
      <c r="J35" s="42"/>
      <c r="K35" s="92"/>
      <c r="L35" s="97"/>
      <c r="M35" s="97"/>
      <c r="N35" s="97"/>
      <c r="O35" s="97"/>
      <c r="P35" s="97"/>
    </row>
    <row r="36" spans="1:16" ht="15.6">
      <c r="A36" s="28" t="str">
        <v>Greenfield USD - Valle Verde ES</v>
      </c>
      <c r="B36" s="29" t="str">
        <v>CA</v>
      </c>
      <c r="C36" s="24"/>
      <c r="D36" s="13"/>
      <c r="E36" s="13" t="str">
        <f t="shared" si="4"/>
        <v/>
      </c>
      <c r="F36" s="14" t="str">
        <f t="shared" si="5"/>
        <v/>
      </c>
      <c r="G36" s="15"/>
      <c r="H36" s="15" t="str">
        <f t="shared" si="6"/>
        <v/>
      </c>
      <c r="I36" s="16" t="str">
        <f t="shared" si="2"/>
        <v/>
      </c>
      <c r="J36" s="41"/>
      <c r="K36" s="41"/>
      <c r="L36" s="97"/>
      <c r="M36" s="97"/>
      <c r="N36" s="97"/>
      <c r="O36" s="97"/>
      <c r="P36" s="97"/>
    </row>
    <row r="37" spans="1:16" ht="15.6">
      <c r="A37" s="30" t="str">
        <v>Greenfield USD - W.A. Kendrick ES</v>
      </c>
      <c r="B37" s="31" t="str">
        <v>CA</v>
      </c>
      <c r="C37" s="11"/>
      <c r="D37" s="18"/>
      <c r="E37" s="18" t="str">
        <f t="shared" si="4"/>
        <v/>
      </c>
      <c r="F37" s="19" t="str">
        <f t="shared" si="5"/>
        <v/>
      </c>
      <c r="G37" s="20"/>
      <c r="H37" s="20" t="str">
        <f t="shared" si="6"/>
        <v/>
      </c>
      <c r="I37" s="19" t="str">
        <f t="shared" si="2"/>
        <v/>
      </c>
      <c r="J37" s="54"/>
      <c r="K37" s="90"/>
      <c r="L37" s="97"/>
      <c r="M37" s="97"/>
      <c r="N37" s="97"/>
      <c r="O37" s="97"/>
      <c r="P37" s="97"/>
    </row>
    <row r="38" spans="1:16" ht="15.6">
      <c r="A38" s="28" t="str">
        <v>Muroc Joint USD - Boron HS</v>
      </c>
      <c r="B38" s="29" t="str">
        <v>CA</v>
      </c>
      <c r="C38" s="24"/>
      <c r="D38" s="13"/>
      <c r="E38" s="13" t="str">
        <f t="shared" si="4"/>
        <v/>
      </c>
      <c r="F38" s="14" t="str">
        <f t="shared" si="5"/>
        <v/>
      </c>
      <c r="G38" s="15"/>
      <c r="H38" s="15" t="str">
        <f t="shared" si="6"/>
        <v/>
      </c>
      <c r="I38" s="16" t="str">
        <f t="shared" si="2"/>
        <v/>
      </c>
      <c r="J38" s="56"/>
      <c r="K38" s="88"/>
      <c r="L38" s="98"/>
      <c r="M38" s="98"/>
      <c r="N38" s="98"/>
      <c r="O38" s="97"/>
      <c r="P38" s="97"/>
    </row>
    <row r="39" spans="1:16" ht="15.6">
      <c r="A39" s="30" t="str">
        <v>Muroc Joint USD - W. Boron ES</v>
      </c>
      <c r="B39" s="31" t="str">
        <v>CA</v>
      </c>
      <c r="C39" s="11"/>
      <c r="D39" s="18"/>
      <c r="E39" s="18" t="str">
        <f t="shared" si="4"/>
        <v/>
      </c>
      <c r="F39" s="19" t="str">
        <f t="shared" si="5"/>
        <v/>
      </c>
      <c r="G39" s="20"/>
      <c r="H39" s="20" t="str">
        <f t="shared" si="6"/>
        <v/>
      </c>
      <c r="I39" s="19" t="str">
        <f t="shared" si="2"/>
        <v/>
      </c>
      <c r="J39" s="42"/>
      <c r="K39" s="43"/>
      <c r="L39" s="97"/>
      <c r="M39" s="97"/>
      <c r="N39" s="97"/>
      <c r="O39" s="97"/>
      <c r="P39" s="97"/>
    </row>
    <row r="40" spans="1:16" ht="15.6">
      <c r="A40" s="28" t="str">
        <v>Colusa - WTP</v>
      </c>
      <c r="B40" s="29" t="str">
        <v>CA</v>
      </c>
      <c r="C40" s="24"/>
      <c r="D40" s="13"/>
      <c r="E40" s="13" t="str">
        <f t="shared" si="4"/>
        <v/>
      </c>
      <c r="F40" s="14" t="str">
        <f t="shared" si="5"/>
        <v/>
      </c>
      <c r="G40" s="15"/>
      <c r="H40" s="15" t="str">
        <f t="shared" si="6"/>
        <v/>
      </c>
      <c r="I40" s="16" t="str">
        <f t="shared" si="2"/>
        <v/>
      </c>
      <c r="J40" s="56"/>
      <c r="K40" s="88"/>
      <c r="L40" s="98"/>
      <c r="M40" s="98"/>
      <c r="N40" s="98"/>
      <c r="O40" s="98"/>
      <c r="P40" s="97"/>
    </row>
    <row r="41" spans="1:16" ht="15.6">
      <c r="A41" s="30" t="str">
        <v>CDCR-North Kern State Prision</v>
      </c>
      <c r="B41" s="31" t="str">
        <v>CA</v>
      </c>
      <c r="C41" s="11"/>
      <c r="D41" s="18"/>
      <c r="E41" s="18" t="str">
        <f t="shared" si="4"/>
        <v/>
      </c>
      <c r="F41" s="19" t="str">
        <f t="shared" si="5"/>
        <v/>
      </c>
      <c r="G41" s="20"/>
      <c r="H41" s="20" t="str">
        <f t="shared" si="6"/>
        <v/>
      </c>
      <c r="I41" s="19" t="str">
        <f t="shared" si="2"/>
        <v/>
      </c>
      <c r="J41" s="42"/>
      <c r="K41" s="90"/>
      <c r="L41" s="98"/>
      <c r="M41" s="98"/>
      <c r="N41" s="98"/>
      <c r="O41" s="97"/>
      <c r="P41" s="97"/>
    </row>
    <row r="42" spans="1:16" ht="15.6">
      <c r="A42" s="28" t="str">
        <v>Muroc Joint USD - District Office</v>
      </c>
      <c r="B42" s="29" t="str">
        <v>CA</v>
      </c>
      <c r="C42" s="24"/>
      <c r="D42" s="13"/>
      <c r="E42" s="13" t="str">
        <f t="shared" si="4"/>
        <v/>
      </c>
      <c r="F42" s="14" t="str">
        <f t="shared" si="5"/>
        <v/>
      </c>
      <c r="G42" s="15"/>
      <c r="H42" s="15" t="str">
        <f t="shared" si="6"/>
        <v/>
      </c>
      <c r="I42" s="16" t="str">
        <f t="shared" si="2"/>
        <v/>
      </c>
      <c r="J42" s="41"/>
      <c r="K42" s="41"/>
      <c r="L42" s="97"/>
      <c r="M42" s="97"/>
      <c r="N42" s="97"/>
      <c r="O42" s="97"/>
      <c r="P42" s="97"/>
    </row>
    <row r="43" spans="1:16" ht="15.6">
      <c r="A43" s="30" t="str">
        <v>Whole Foods - Manhattan Beach</v>
      </c>
      <c r="B43" s="31" t="str">
        <v>CA</v>
      </c>
      <c r="C43" s="11"/>
      <c r="D43" s="18"/>
      <c r="E43" s="18" t="str">
        <f t="shared" si="4"/>
        <v/>
      </c>
      <c r="F43" s="19" t="str">
        <f t="shared" si="5"/>
        <v/>
      </c>
      <c r="G43" s="20"/>
      <c r="H43" s="20" t="str">
        <f t="shared" si="6"/>
        <v/>
      </c>
      <c r="I43" s="19" t="str">
        <f t="shared" si="2"/>
        <v/>
      </c>
      <c r="J43" s="42"/>
      <c r="K43" s="90"/>
      <c r="L43" s="98"/>
      <c r="M43" s="98"/>
      <c r="N43" s="97"/>
      <c r="O43" s="97"/>
      <c r="P43" s="97"/>
    </row>
    <row r="44" spans="1:16" ht="15.6">
      <c r="A44" s="28" t="str">
        <v>Pioneer USD - Frontier ES</v>
      </c>
      <c r="B44" s="29" t="str">
        <v>CA</v>
      </c>
      <c r="C44" s="24"/>
      <c r="D44" s="13"/>
      <c r="E44" s="13" t="str">
        <f t="shared" si="4"/>
        <v/>
      </c>
      <c r="F44" s="14" t="str">
        <f t="shared" si="5"/>
        <v/>
      </c>
      <c r="G44" s="15"/>
      <c r="H44" s="15" t="str">
        <f t="shared" si="6"/>
        <v/>
      </c>
      <c r="I44" s="16" t="str">
        <f t="shared" si="2"/>
        <v/>
      </c>
      <c r="J44" s="56"/>
      <c r="K44" s="88"/>
      <c r="L44" s="97"/>
      <c r="M44" s="97"/>
      <c r="N44" s="97"/>
      <c r="O44" s="97"/>
      <c r="P44" s="97"/>
    </row>
    <row r="45" spans="1:16" ht="15.6">
      <c r="A45" s="30" t="str">
        <v>Pioneer USD - Pioneer ES</v>
      </c>
      <c r="B45" s="31" t="str">
        <v>CA</v>
      </c>
      <c r="C45" s="11"/>
      <c r="D45" s="18"/>
      <c r="E45" s="18" t="str">
        <f t="shared" si="4"/>
        <v/>
      </c>
      <c r="F45" s="19" t="str">
        <f t="shared" si="5"/>
        <v/>
      </c>
      <c r="G45" s="20"/>
      <c r="H45" s="20" t="str">
        <f t="shared" si="6"/>
        <v/>
      </c>
      <c r="I45" s="19" t="str">
        <f t="shared" si="2"/>
        <v/>
      </c>
      <c r="J45" s="42"/>
      <c r="K45" s="90"/>
      <c r="L45" s="98"/>
      <c r="M45" s="98"/>
      <c r="N45" s="98"/>
      <c r="O45" s="97"/>
      <c r="P45" s="97"/>
    </row>
    <row r="46" spans="1:16" ht="15.6">
      <c r="A46" s="28" t="str">
        <v>Pioneer USD - Pioneer MS</v>
      </c>
      <c r="B46" s="29" t="str">
        <v>CA</v>
      </c>
      <c r="C46" s="24"/>
      <c r="D46" s="13"/>
      <c r="E46" s="13" t="str">
        <f t="shared" si="4"/>
        <v/>
      </c>
      <c r="F46" s="14" t="str">
        <f t="shared" si="5"/>
        <v/>
      </c>
      <c r="G46" s="15"/>
      <c r="H46" s="15" t="str">
        <f t="shared" si="6"/>
        <v/>
      </c>
      <c r="I46" s="16" t="str">
        <f t="shared" si="2"/>
        <v/>
      </c>
      <c r="J46" s="41"/>
      <c r="K46" s="88"/>
      <c r="L46" s="98"/>
      <c r="M46" s="97"/>
      <c r="N46" s="97"/>
      <c r="O46" s="97"/>
      <c r="P46" s="97"/>
    </row>
    <row r="47" spans="1:16" ht="15.6">
      <c r="A47" s="30" t="str">
        <v>Kingsburg Joint UHSD - Kingsburg HS</v>
      </c>
      <c r="B47" s="31" t="str">
        <v>CA</v>
      </c>
      <c r="C47" s="11"/>
      <c r="D47" s="18"/>
      <c r="E47" s="18" t="str">
        <f t="shared" si="4"/>
        <v/>
      </c>
      <c r="F47" s="19" t="str">
        <f t="shared" si="5"/>
        <v/>
      </c>
      <c r="G47" s="20"/>
      <c r="H47" s="20" t="str">
        <f t="shared" si="6"/>
        <v/>
      </c>
      <c r="I47" s="19" t="str">
        <f t="shared" si="2"/>
        <v/>
      </c>
      <c r="J47" s="42"/>
      <c r="K47" s="90"/>
      <c r="L47" s="98"/>
      <c r="M47" s="98"/>
      <c r="N47" s="98"/>
      <c r="O47" s="98"/>
      <c r="P47" s="98"/>
    </row>
    <row r="48" spans="1:16" ht="15.6">
      <c r="A48" s="28" t="str">
        <v>CADRB</v>
      </c>
      <c r="B48" s="29" t="str">
        <v>CA</v>
      </c>
      <c r="C48" s="24"/>
      <c r="D48" s="13"/>
      <c r="E48" s="13" t="str">
        <f t="shared" si="4"/>
        <v/>
      </c>
      <c r="F48" s="14" t="str">
        <f t="shared" si="5"/>
        <v/>
      </c>
      <c r="G48" s="15"/>
      <c r="H48" s="15" t="str">
        <f t="shared" si="6"/>
        <v/>
      </c>
      <c r="I48" s="16" t="str">
        <f t="shared" si="2"/>
        <v/>
      </c>
      <c r="J48" s="41"/>
      <c r="K48" s="88"/>
      <c r="L48" s="98"/>
      <c r="M48" s="98"/>
      <c r="N48" s="98"/>
      <c r="O48" s="97"/>
      <c r="P48" s="97"/>
    </row>
    <row r="49" spans="1:16" ht="15.6">
      <c r="A49" s="30" t="str">
        <v>CDCR-CA State Prison LA County</v>
      </c>
      <c r="B49" s="31" t="str">
        <v>CA</v>
      </c>
      <c r="C49" s="11"/>
      <c r="D49" s="18"/>
      <c r="E49" s="18" t="str">
        <f t="shared" si="4"/>
        <v/>
      </c>
      <c r="F49" s="19" t="str">
        <f t="shared" si="5"/>
        <v/>
      </c>
      <c r="G49" s="20"/>
      <c r="H49" s="20" t="str">
        <f t="shared" si="6"/>
        <v/>
      </c>
      <c r="I49" s="19" t="str">
        <f t="shared" si="2"/>
        <v/>
      </c>
      <c r="J49" s="42"/>
      <c r="K49" s="90"/>
      <c r="L49" s="97"/>
      <c r="M49" s="97"/>
      <c r="N49" s="97"/>
      <c r="O49" s="97"/>
      <c r="P49" s="97"/>
    </row>
    <row r="50" spans="1:16" ht="15.6">
      <c r="A50" s="28" t="str">
        <v>Central USD Akers ES</v>
      </c>
      <c r="B50" s="29" t="str">
        <v>CA</v>
      </c>
      <c r="C50" s="24"/>
      <c r="D50" s="13"/>
      <c r="E50" s="13" t="str">
        <f t="shared" si="4"/>
        <v/>
      </c>
      <c r="F50" s="14" t="str">
        <f t="shared" si="5"/>
        <v/>
      </c>
      <c r="G50" s="15"/>
      <c r="H50" s="15" t="str">
        <f t="shared" si="6"/>
        <v/>
      </c>
      <c r="I50" s="16" t="str">
        <f t="shared" si="2"/>
        <v/>
      </c>
      <c r="J50" s="41"/>
      <c r="K50" s="88"/>
      <c r="L50" s="98"/>
      <c r="M50" s="97"/>
      <c r="N50" s="97"/>
      <c r="O50" s="97"/>
      <c r="P50" s="97"/>
    </row>
    <row r="51" spans="1:16" ht="15.6">
      <c r="A51" s="30" t="str">
        <v>CUSD - District Office</v>
      </c>
      <c r="B51" s="31" t="str">
        <v>CA</v>
      </c>
      <c r="C51" s="11"/>
      <c r="D51" s="18"/>
      <c r="E51" s="18" t="str">
        <f t="shared" si="4"/>
        <v/>
      </c>
      <c r="F51" s="19" t="str">
        <f t="shared" si="5"/>
        <v/>
      </c>
      <c r="G51" s="20"/>
      <c r="H51" s="20" t="str">
        <f t="shared" si="6"/>
        <v/>
      </c>
      <c r="I51" s="19" t="str">
        <f t="shared" si="2"/>
        <v/>
      </c>
      <c r="J51" s="54"/>
      <c r="K51" s="90"/>
      <c r="L51" s="98"/>
      <c r="M51" s="98"/>
      <c r="N51" s="98"/>
      <c r="O51" s="97"/>
      <c r="P51" s="97"/>
    </row>
    <row r="52" spans="1:16" ht="15.6">
      <c r="A52" s="28" t="str">
        <v>Parlier - WTP</v>
      </c>
      <c r="B52" s="29" t="str">
        <v>CA</v>
      </c>
      <c r="C52" s="24"/>
      <c r="D52" s="13"/>
      <c r="E52" s="13" t="str">
        <f t="shared" si="4"/>
        <v/>
      </c>
      <c r="F52" s="14" t="str">
        <f t="shared" si="5"/>
        <v/>
      </c>
      <c r="G52" s="15"/>
      <c r="H52" s="15" t="str">
        <f t="shared" si="6"/>
        <v/>
      </c>
      <c r="I52" s="16" t="str">
        <f t="shared" si="2"/>
        <v/>
      </c>
      <c r="J52" s="41"/>
      <c r="K52" s="41"/>
      <c r="L52" s="97"/>
      <c r="M52" s="97"/>
      <c r="N52" s="97"/>
      <c r="O52" s="97"/>
      <c r="P52" s="97"/>
    </row>
    <row r="53" spans="1:16" ht="15.6">
      <c r="A53" s="30" t="str">
        <v>Snowline SD - Quail Valley MS</v>
      </c>
      <c r="B53" s="31" t="str">
        <v>CA</v>
      </c>
      <c r="C53" s="11"/>
      <c r="D53" s="18"/>
      <c r="E53" s="18" t="str">
        <f t="shared" si="4"/>
        <v/>
      </c>
      <c r="F53" s="19" t="str">
        <f t="shared" si="5"/>
        <v/>
      </c>
      <c r="G53" s="20"/>
      <c r="H53" s="20" t="str">
        <f t="shared" si="6"/>
        <v/>
      </c>
      <c r="I53" s="19" t="str">
        <f t="shared" si="2"/>
        <v/>
      </c>
      <c r="J53" s="54"/>
      <c r="K53" s="90"/>
      <c r="L53" s="97"/>
      <c r="M53" s="97"/>
      <c r="N53" s="97"/>
      <c r="O53" s="97"/>
      <c r="P53" s="97"/>
    </row>
    <row r="54" spans="1:16" ht="15.6">
      <c r="A54" s="28" t="str">
        <v>Snowline SD - Serrano HS - Middle Lot</v>
      </c>
      <c r="B54" s="29" t="str">
        <v>CA</v>
      </c>
      <c r="C54" s="24"/>
      <c r="D54" s="13"/>
      <c r="E54" s="13" t="str">
        <f t="shared" si="4"/>
        <v/>
      </c>
      <c r="F54" s="14" t="str">
        <f t="shared" si="5"/>
        <v/>
      </c>
      <c r="G54" s="15"/>
      <c r="H54" s="15" t="str">
        <f t="shared" si="6"/>
        <v/>
      </c>
      <c r="I54" s="16" t="str">
        <f t="shared" si="2"/>
        <v/>
      </c>
      <c r="J54" s="41"/>
      <c r="K54" s="41"/>
      <c r="L54" s="97"/>
      <c r="M54" s="97"/>
      <c r="N54" s="97"/>
      <c r="O54" s="97"/>
      <c r="P54" s="97"/>
    </row>
    <row r="55" spans="1:16" ht="15.6">
      <c r="A55" s="30" t="str">
        <v>Snowline SD - Pinon Hills ES</v>
      </c>
      <c r="B55" s="31" t="str">
        <v>CA</v>
      </c>
      <c r="C55" s="11"/>
      <c r="D55" s="18"/>
      <c r="E55" s="18" t="str">
        <f t="shared" si="4"/>
        <v/>
      </c>
      <c r="F55" s="19" t="str">
        <f t="shared" si="5"/>
        <v/>
      </c>
      <c r="G55" s="20"/>
      <c r="H55" s="20" t="str">
        <f t="shared" si="6"/>
        <v/>
      </c>
      <c r="I55" s="19" t="str">
        <f t="shared" si="2"/>
        <v/>
      </c>
      <c r="J55" s="42"/>
      <c r="K55" s="90"/>
      <c r="L55" s="97"/>
      <c r="M55" s="97"/>
      <c r="N55" s="97"/>
      <c r="O55" s="97"/>
      <c r="P55" s="97"/>
    </row>
    <row r="56" spans="1:16" ht="15.6">
      <c r="A56" s="28" t="str">
        <v>Ramona - Santa Maria WTP</v>
      </c>
      <c r="B56" s="29" t="str">
        <v>CA</v>
      </c>
      <c r="C56" s="24"/>
      <c r="D56" s="13"/>
      <c r="E56" s="13" t="str">
        <f t="shared" si="4"/>
        <v/>
      </c>
      <c r="F56" s="14" t="str">
        <f t="shared" si="5"/>
        <v/>
      </c>
      <c r="G56" s="15"/>
      <c r="H56" s="15" t="str">
        <f t="shared" si="6"/>
        <v/>
      </c>
      <c r="I56" s="16" t="str">
        <f t="shared" si="2"/>
        <v/>
      </c>
      <c r="J56" s="41"/>
      <c r="K56" s="88"/>
      <c r="L56" s="97"/>
      <c r="M56" s="97"/>
      <c r="N56" s="97"/>
      <c r="O56" s="97"/>
      <c r="P56" s="97"/>
    </row>
    <row r="57" spans="1:16" ht="15.6">
      <c r="A57" s="30" t="str">
        <v>Kohls - Redding</v>
      </c>
      <c r="B57" s="31" t="str">
        <v>CA</v>
      </c>
      <c r="C57" s="11"/>
      <c r="D57" s="18"/>
      <c r="E57" s="18" t="str">
        <f t="shared" si="4"/>
        <v/>
      </c>
      <c r="F57" s="19" t="str">
        <f t="shared" si="5"/>
        <v/>
      </c>
      <c r="G57" s="20"/>
      <c r="H57" s="20" t="str">
        <f t="shared" si="6"/>
        <v/>
      </c>
      <c r="I57" s="19" t="str">
        <f t="shared" si="2"/>
        <v/>
      </c>
      <c r="J57" s="42"/>
      <c r="K57" s="90"/>
      <c r="L57" s="98"/>
      <c r="M57" s="98"/>
      <c r="N57" s="97"/>
      <c r="O57" s="97"/>
      <c r="P57" s="97"/>
    </row>
    <row r="58" spans="1:16" ht="15.6">
      <c r="A58" s="28" t="str">
        <v>Kohls - Salinas</v>
      </c>
      <c r="B58" s="29" t="str">
        <v>CA</v>
      </c>
      <c r="C58" s="24"/>
      <c r="D58" s="13"/>
      <c r="E58" s="13" t="str">
        <f t="shared" si="4"/>
        <v/>
      </c>
      <c r="F58" s="14" t="str">
        <f t="shared" si="5"/>
        <v/>
      </c>
      <c r="G58" s="15"/>
      <c r="H58" s="15" t="str">
        <f t="shared" si="6"/>
        <v/>
      </c>
      <c r="I58" s="16" t="str">
        <f t="shared" si="2"/>
        <v/>
      </c>
      <c r="J58" s="41"/>
      <c r="K58" s="88"/>
      <c r="L58" s="98"/>
      <c r="M58" s="98"/>
      <c r="N58" s="98"/>
      <c r="O58" s="98"/>
      <c r="P58" s="97"/>
    </row>
    <row r="59" spans="1:16" ht="15.6">
      <c r="A59" s="30" t="str">
        <v>Kohls - Sonora</v>
      </c>
      <c r="B59" s="31" t="str">
        <v>CA</v>
      </c>
      <c r="C59" s="11"/>
      <c r="D59" s="18"/>
      <c r="E59" s="18" t="str">
        <f t="shared" si="4"/>
        <v/>
      </c>
      <c r="F59" s="19" t="str">
        <f t="shared" si="5"/>
        <v/>
      </c>
      <c r="G59" s="20"/>
      <c r="H59" s="20" t="str">
        <f t="shared" si="6"/>
        <v/>
      </c>
      <c r="I59" s="19" t="str">
        <f t="shared" si="2"/>
        <v/>
      </c>
      <c r="J59" s="42"/>
      <c r="K59" s="90"/>
      <c r="L59" s="97"/>
      <c r="M59" s="97"/>
      <c r="N59" s="97"/>
      <c r="O59" s="97"/>
      <c r="P59" s="97"/>
    </row>
    <row r="60" spans="1:16" ht="100.5" customHeight="1">
      <c r="A60" s="28" t="str">
        <v>CUSD - Stratford ES</v>
      </c>
      <c r="B60" s="29" t="str">
        <v>CA</v>
      </c>
      <c r="C60" s="24"/>
      <c r="D60" s="13"/>
      <c r="E60" s="13" t="str">
        <f t="shared" si="4"/>
        <v/>
      </c>
      <c r="F60" s="14" t="str">
        <f t="shared" si="5"/>
        <v/>
      </c>
      <c r="G60" s="15"/>
      <c r="H60" s="15" t="str">
        <f t="shared" si="6"/>
        <v/>
      </c>
      <c r="I60" s="16" t="str">
        <f t="shared" si="2"/>
        <v/>
      </c>
      <c r="J60" s="41"/>
      <c r="K60" s="88"/>
      <c r="L60" s="98"/>
      <c r="M60" s="98"/>
      <c r="N60" s="98"/>
      <c r="O60" s="98"/>
      <c r="P60" s="98"/>
    </row>
    <row r="61" spans="1:16" ht="15.6">
      <c r="A61" s="30" t="str">
        <v>Taft - City Hall</v>
      </c>
      <c r="B61" s="31" t="str">
        <v>CA</v>
      </c>
      <c r="C61" s="11"/>
      <c r="D61" s="18"/>
      <c r="E61" s="18" t="str">
        <f t="shared" si="4"/>
        <v/>
      </c>
      <c r="F61" s="19" t="str">
        <f t="shared" si="5"/>
        <v/>
      </c>
      <c r="G61" s="20"/>
      <c r="H61" s="20" t="str">
        <f t="shared" si="6"/>
        <v/>
      </c>
      <c r="I61" s="19" t="str">
        <f t="shared" si="2"/>
        <v/>
      </c>
      <c r="J61" s="42"/>
      <c r="K61" s="43"/>
      <c r="L61" s="97"/>
      <c r="M61" s="97"/>
      <c r="N61" s="97"/>
      <c r="O61" s="97"/>
      <c r="P61" s="97"/>
    </row>
    <row r="62" spans="1:16" ht="21" customHeight="1">
      <c r="A62" s="28" t="str">
        <v>Taft - Federal Prison</v>
      </c>
      <c r="B62" s="29" t="str">
        <v>CA</v>
      </c>
      <c r="C62" s="24"/>
      <c r="D62" s="13"/>
      <c r="E62" s="13" t="str">
        <f t="shared" si="4"/>
        <v/>
      </c>
      <c r="F62" s="14" t="str">
        <f t="shared" si="5"/>
        <v/>
      </c>
      <c r="G62" s="15"/>
      <c r="H62" s="15" t="str">
        <f t="shared" si="6"/>
        <v/>
      </c>
      <c r="I62" s="16" t="str">
        <f t="shared" si="2"/>
        <v/>
      </c>
      <c r="J62" s="41"/>
      <c r="K62" s="88"/>
      <c r="L62" s="97"/>
      <c r="M62" s="97"/>
      <c r="N62" s="97"/>
      <c r="O62" s="97"/>
      <c r="P62" s="97"/>
    </row>
    <row r="63" spans="1:16" ht="15.6">
      <c r="A63" s="30" t="str">
        <v>Taft - Police Department</v>
      </c>
      <c r="B63" s="31" t="str">
        <v>CA</v>
      </c>
      <c r="C63" s="11"/>
      <c r="D63" s="18"/>
      <c r="E63" s="18" t="str">
        <f t="shared" si="4"/>
        <v/>
      </c>
      <c r="F63" s="19" t="str">
        <f t="shared" si="5"/>
        <v/>
      </c>
      <c r="G63" s="20"/>
      <c r="H63" s="20" t="str">
        <f t="shared" si="6"/>
        <v/>
      </c>
      <c r="I63" s="19" t="str">
        <f t="shared" si="2"/>
        <v/>
      </c>
      <c r="J63" s="42"/>
      <c r="K63" s="43"/>
      <c r="L63" s="97"/>
      <c r="M63" s="97"/>
      <c r="N63" s="97"/>
      <c r="O63" s="97"/>
      <c r="P63" s="97"/>
    </row>
    <row r="64" spans="1:16" ht="15.6">
      <c r="A64" s="28" t="str">
        <v>Taft - WTP</v>
      </c>
      <c r="B64" s="29" t="str">
        <v>CA</v>
      </c>
      <c r="C64" s="24"/>
      <c r="D64" s="13"/>
      <c r="E64" s="13" t="str">
        <f t="shared" si="4"/>
        <v/>
      </c>
      <c r="F64" s="14" t="str">
        <f t="shared" si="5"/>
        <v/>
      </c>
      <c r="G64" s="15"/>
      <c r="H64" s="15" t="str">
        <f t="shared" si="6"/>
        <v/>
      </c>
      <c r="I64" s="16" t="str">
        <f t="shared" si="2"/>
        <v/>
      </c>
      <c r="J64" s="41"/>
      <c r="K64" s="41"/>
      <c r="L64" s="97"/>
      <c r="M64" s="97"/>
      <c r="N64" s="97"/>
      <c r="O64" s="97"/>
      <c r="P64" s="97"/>
    </row>
    <row r="65" spans="1:16" ht="15.6">
      <c r="A65" s="30" t="str">
        <v>CDCR - CA Correctional Institution</v>
      </c>
      <c r="B65" s="31" t="str">
        <v>CA</v>
      </c>
      <c r="C65" s="11"/>
      <c r="D65" s="18"/>
      <c r="E65" s="18" t="str">
        <f t="shared" si="4"/>
        <v/>
      </c>
      <c r="F65" s="19" t="str">
        <f t="shared" si="5"/>
        <v/>
      </c>
      <c r="G65" s="20"/>
      <c r="H65" s="20" t="str">
        <f t="shared" si="6"/>
        <v/>
      </c>
      <c r="I65" s="19" t="str">
        <f t="shared" si="2"/>
        <v/>
      </c>
      <c r="J65" s="42"/>
      <c r="K65" s="92"/>
      <c r="L65" s="97"/>
      <c r="M65" s="97"/>
      <c r="N65" s="97"/>
      <c r="O65" s="97"/>
      <c r="P65" s="97"/>
    </row>
    <row r="66" spans="1:16" ht="140.25" customHeight="1">
      <c r="A66" s="28" t="str">
        <v>CDCR - CA Correctional Institution II</v>
      </c>
      <c r="B66" s="29" t="str">
        <v>CA</v>
      </c>
      <c r="C66" s="24"/>
      <c r="D66" s="13"/>
      <c r="E66" s="13" t="str">
        <f t="shared" si="4"/>
        <v/>
      </c>
      <c r="F66" s="14" t="str">
        <f t="shared" si="5"/>
        <v/>
      </c>
      <c r="G66" s="15"/>
      <c r="H66" s="15" t="str">
        <f t="shared" si="6"/>
        <v/>
      </c>
      <c r="I66" s="16" t="str">
        <f t="shared" si="2"/>
        <v/>
      </c>
      <c r="J66" s="41"/>
      <c r="K66" s="88"/>
      <c r="L66" s="98"/>
      <c r="M66" s="98"/>
      <c r="N66" s="98"/>
      <c r="O66" s="98"/>
      <c r="P66" s="97"/>
    </row>
    <row r="67" spans="1:16" ht="15.6">
      <c r="A67" s="30" t="str">
        <v>Snowline SD - Vista Verde ES</v>
      </c>
      <c r="B67" s="31" t="str">
        <v>CA</v>
      </c>
      <c r="C67" s="11"/>
      <c r="D67" s="18"/>
      <c r="E67" s="18" t="str">
        <f t="shared" si="4"/>
        <v/>
      </c>
      <c r="F67" s="19" t="str">
        <f t="shared" si="5"/>
        <v/>
      </c>
      <c r="G67" s="20"/>
      <c r="H67" s="20" t="str">
        <f t="shared" si="6"/>
        <v/>
      </c>
      <c r="I67" s="19" t="str">
        <f t="shared" si="2"/>
        <v/>
      </c>
      <c r="J67" s="42"/>
      <c r="K67" s="90"/>
      <c r="L67" s="98"/>
      <c r="M67" s="98"/>
      <c r="N67" s="98"/>
      <c r="O67" s="98"/>
      <c r="P67" s="97"/>
    </row>
    <row r="68" spans="1:16" ht="15.6">
      <c r="A68" s="28" t="str">
        <v>North Stonington</v>
      </c>
      <c r="B68" s="29" t="str">
        <v>CT</v>
      </c>
      <c r="C68" s="24"/>
      <c r="D68" s="13"/>
      <c r="E68" s="13" t="str">
        <f t="shared" si="4"/>
        <v/>
      </c>
      <c r="F68" s="14" t="str">
        <f t="shared" si="5"/>
        <v/>
      </c>
      <c r="G68" s="15"/>
      <c r="H68" s="15" t="str">
        <f t="shared" si="6"/>
        <v/>
      </c>
      <c r="I68" s="16" t="str">
        <f t="shared" si="2"/>
        <v/>
      </c>
      <c r="J68" s="41"/>
      <c r="K68" s="88"/>
      <c r="L68" s="97"/>
      <c r="M68" s="97"/>
      <c r="N68" s="97"/>
      <c r="O68" s="97"/>
      <c r="P68" s="97"/>
    </row>
    <row r="69" spans="1:16" ht="15.6">
      <c r="A69" s="30" t="str">
        <v>CT: Torrington - 2-298 Rossi Road</v>
      </c>
      <c r="B69" s="31" t="str">
        <v>CT</v>
      </c>
      <c r="C69" s="65"/>
      <c r="D69" s="18"/>
      <c r="E69" s="18" t="str">
        <f>IF(AND(ISNUMBER(C69),ISNUMBER(D69)), C69-D69, "")</f>
        <v/>
      </c>
      <c r="F69" s="96"/>
      <c r="G69" s="61"/>
      <c r="H69" s="20" t="str">
        <f t="shared" si="6"/>
        <v/>
      </c>
      <c r="I69" s="19" t="str">
        <f t="shared" si="2"/>
        <v/>
      </c>
      <c r="J69" s="42"/>
      <c r="K69" s="90"/>
      <c r="L69" s="98"/>
      <c r="M69" s="98"/>
      <c r="N69" s="98"/>
      <c r="O69" s="97"/>
      <c r="P69" s="97"/>
    </row>
    <row r="70" spans="1:16" ht="14.45">
      <c r="A70" s="21"/>
      <c r="B70" s="33"/>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D44"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35" t="str" cm="1">
        <f t="array" ref="A1">portfolio</f>
        <v>Silicon Ranch</v>
      </c>
      <c r="B1" s="135"/>
      <c r="C1" s="135"/>
      <c r="D1" s="136" t="s">
        <v>179</v>
      </c>
      <c r="E1" s="136"/>
      <c r="F1" s="136"/>
      <c r="G1" s="134" t="s">
        <v>180</v>
      </c>
      <c r="H1" s="134"/>
      <c r="I1" s="134"/>
      <c r="J1" s="4"/>
      <c r="K1" s="4"/>
    </row>
    <row r="2" spans="1:19"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c r="L4" s="97"/>
      <c r="M4" s="97"/>
      <c r="N4" s="97"/>
      <c r="O4" s="97"/>
      <c r="P4" s="97"/>
      <c r="Q4" s="97"/>
      <c r="R4" s="97"/>
      <c r="S4" s="97"/>
    </row>
    <row r="5" spans="1:19"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c r="L5" s="97"/>
      <c r="M5" s="97"/>
      <c r="N5" s="97"/>
      <c r="O5" s="97"/>
      <c r="P5" s="97"/>
      <c r="Q5" s="97"/>
      <c r="R5" s="97"/>
      <c r="S5" s="97"/>
    </row>
    <row r="6" spans="1:19" ht="126.75" customHeight="1">
      <c r="A6" s="28" t="str">
        <v>Kohls - Bensalem</v>
      </c>
      <c r="B6" s="29" t="str">
        <v>PA</v>
      </c>
      <c r="C6" s="24"/>
      <c r="D6" s="13"/>
      <c r="E6" s="13" t="str">
        <f t="shared" si="0"/>
        <v/>
      </c>
      <c r="F6" s="14" t="str">
        <f t="shared" ref="F6:F25" si="3">IFERROR(E6/D6, "")</f>
        <v/>
      </c>
      <c r="G6" s="15"/>
      <c r="H6" s="15" t="str">
        <f t="shared" si="1"/>
        <v/>
      </c>
      <c r="I6" s="16" t="str">
        <f t="shared" si="2"/>
        <v/>
      </c>
      <c r="J6" s="41"/>
      <c r="K6" s="88"/>
      <c r="L6" s="97"/>
      <c r="M6" s="97"/>
      <c r="N6" s="97"/>
      <c r="O6" s="97"/>
      <c r="P6" s="97"/>
      <c r="Q6" s="97"/>
      <c r="R6" s="97"/>
      <c r="S6" s="97"/>
    </row>
    <row r="7" spans="1:19" ht="15.6">
      <c r="A7" s="30" t="str">
        <v>Kohls - Brick</v>
      </c>
      <c r="B7" s="31" t="str">
        <v>NJ</v>
      </c>
      <c r="C7" s="11"/>
      <c r="D7" s="18"/>
      <c r="E7" s="18" t="str">
        <f t="shared" si="0"/>
        <v/>
      </c>
      <c r="F7" s="19" t="str">
        <f t="shared" si="3"/>
        <v/>
      </c>
      <c r="G7" s="20"/>
      <c r="H7" s="20" t="str">
        <f t="shared" si="1"/>
        <v/>
      </c>
      <c r="I7" s="19" t="str">
        <f t="shared" si="2"/>
        <v/>
      </c>
      <c r="J7" s="42"/>
      <c r="K7" s="43"/>
      <c r="L7" s="97"/>
      <c r="M7" s="97"/>
      <c r="N7" s="97"/>
      <c r="O7" s="97"/>
      <c r="P7" s="97"/>
      <c r="Q7" s="97"/>
      <c r="R7" s="97"/>
      <c r="S7" s="97"/>
    </row>
    <row r="8" spans="1:19" ht="15.6">
      <c r="A8" s="28" t="str">
        <v>Kohls - Buffalo</v>
      </c>
      <c r="B8" s="29" t="str">
        <v>NY</v>
      </c>
      <c r="C8" s="24"/>
      <c r="D8" s="13"/>
      <c r="E8" s="13" t="str">
        <f t="shared" si="0"/>
        <v/>
      </c>
      <c r="F8" s="14" t="str">
        <f t="shared" si="3"/>
        <v/>
      </c>
      <c r="G8" s="15"/>
      <c r="H8" s="15" t="str">
        <f t="shared" si="1"/>
        <v/>
      </c>
      <c r="I8" s="16" t="str">
        <f t="shared" si="2"/>
        <v/>
      </c>
      <c r="J8" s="41"/>
      <c r="K8" s="88"/>
      <c r="L8" s="98"/>
      <c r="M8" s="98"/>
      <c r="N8" s="97"/>
      <c r="O8" s="97"/>
      <c r="P8" s="97"/>
      <c r="Q8" s="97"/>
      <c r="R8" s="97"/>
      <c r="S8" s="97"/>
    </row>
    <row r="9" spans="1:19" ht="15.6">
      <c r="A9" s="30" t="str">
        <v>Kohls - Canton</v>
      </c>
      <c r="B9" s="31" t="str">
        <v>CT</v>
      </c>
      <c r="C9" s="11"/>
      <c r="D9" s="18"/>
      <c r="E9" s="18" t="str">
        <f t="shared" si="0"/>
        <v/>
      </c>
      <c r="F9" s="19" t="str">
        <f t="shared" si="3"/>
        <v/>
      </c>
      <c r="G9" s="20"/>
      <c r="H9" s="20" t="str">
        <f t="shared" si="1"/>
        <v/>
      </c>
      <c r="I9" s="19" t="str">
        <f t="shared" si="2"/>
        <v/>
      </c>
      <c r="J9" s="55"/>
      <c r="K9" s="43"/>
      <c r="L9" s="97"/>
      <c r="M9" s="97"/>
      <c r="N9" s="97"/>
      <c r="O9" s="97"/>
      <c r="P9" s="97"/>
      <c r="Q9" s="97"/>
      <c r="R9" s="97"/>
      <c r="S9" s="97"/>
    </row>
    <row r="10" spans="1:19" ht="39" customHeight="1">
      <c r="A10" s="28" t="str">
        <v>Kohls - East Amherst</v>
      </c>
      <c r="B10" s="29" t="str">
        <v>NY</v>
      </c>
      <c r="C10" s="24"/>
      <c r="D10" s="13"/>
      <c r="E10" s="13" t="str">
        <f t="shared" si="0"/>
        <v/>
      </c>
      <c r="F10" s="14" t="str">
        <f t="shared" si="3"/>
        <v/>
      </c>
      <c r="G10" s="15"/>
      <c r="H10" s="15" t="str">
        <f t="shared" si="1"/>
        <v/>
      </c>
      <c r="I10" s="16" t="str">
        <f t="shared" si="2"/>
        <v/>
      </c>
      <c r="J10" s="41"/>
      <c r="K10" s="88"/>
      <c r="L10" s="97"/>
      <c r="M10" s="97"/>
      <c r="N10" s="97"/>
      <c r="O10" s="97"/>
      <c r="P10" s="97"/>
      <c r="Q10" s="97"/>
      <c r="R10" s="97"/>
      <c r="S10" s="97"/>
    </row>
    <row r="11" spans="1:19" ht="15.6">
      <c r="A11" s="30" t="str">
        <v>Kohls - East Brunswick</v>
      </c>
      <c r="B11" s="31" t="str">
        <v>NJ</v>
      </c>
      <c r="C11" s="11"/>
      <c r="D11" s="18"/>
      <c r="E11" s="18" t="str">
        <f t="shared" si="0"/>
        <v/>
      </c>
      <c r="F11" s="19" t="str">
        <f t="shared" si="3"/>
        <v/>
      </c>
      <c r="G11" s="20"/>
      <c r="H11" s="20" t="str">
        <f t="shared" si="1"/>
        <v/>
      </c>
      <c r="I11" s="19" t="str">
        <f t="shared" si="2"/>
        <v/>
      </c>
      <c r="J11" s="42"/>
      <c r="K11" s="43"/>
      <c r="L11" s="97"/>
      <c r="M11" s="97"/>
      <c r="N11" s="97"/>
      <c r="O11" s="97"/>
      <c r="P11" s="97"/>
      <c r="Q11" s="97"/>
      <c r="R11" s="97"/>
      <c r="S11" s="97"/>
    </row>
    <row r="12" spans="1:19" ht="15.6">
      <c r="A12" s="28" t="str">
        <v>Kohls - Edgewood</v>
      </c>
      <c r="B12" s="29" t="str">
        <v>MD</v>
      </c>
      <c r="C12" s="24"/>
      <c r="D12" s="13"/>
      <c r="E12" s="13" t="str">
        <f t="shared" si="0"/>
        <v/>
      </c>
      <c r="F12" s="14" t="str">
        <f t="shared" si="3"/>
        <v/>
      </c>
      <c r="G12" s="15"/>
      <c r="H12" s="15" t="str">
        <f t="shared" si="1"/>
        <v/>
      </c>
      <c r="I12" s="16" t="str">
        <f t="shared" si="2"/>
        <v/>
      </c>
      <c r="J12" s="41"/>
      <c r="K12" s="41"/>
      <c r="L12" s="97"/>
      <c r="M12" s="97"/>
      <c r="N12" s="97"/>
      <c r="O12" s="97"/>
      <c r="P12" s="97"/>
      <c r="Q12" s="97"/>
      <c r="R12" s="97"/>
      <c r="S12" s="97"/>
    </row>
    <row r="13" spans="1:19" ht="15.6">
      <c r="A13" s="30" t="str">
        <v>Kohls - Granite Run</v>
      </c>
      <c r="B13" s="31" t="str">
        <v>PA</v>
      </c>
      <c r="C13" s="11"/>
      <c r="D13" s="18"/>
      <c r="E13" s="18" t="str">
        <f t="shared" si="0"/>
        <v/>
      </c>
      <c r="F13" s="19" t="str">
        <f t="shared" si="3"/>
        <v/>
      </c>
      <c r="G13" s="20"/>
      <c r="H13" s="20" t="str">
        <f t="shared" si="1"/>
        <v/>
      </c>
      <c r="I13" s="19" t="str">
        <f t="shared" si="2"/>
        <v/>
      </c>
      <c r="J13" s="42"/>
      <c r="K13" s="43"/>
      <c r="L13" s="97"/>
      <c r="M13" s="97"/>
      <c r="N13" s="97"/>
      <c r="O13" s="97"/>
      <c r="P13" s="97"/>
      <c r="Q13" s="97"/>
      <c r="R13" s="97"/>
      <c r="S13" s="97"/>
    </row>
    <row r="14" spans="1:19" ht="15.6">
      <c r="A14" s="28" t="str">
        <v>Kohls - Greece</v>
      </c>
      <c r="B14" s="29" t="str">
        <v>NY</v>
      </c>
      <c r="C14" s="24"/>
      <c r="D14" s="13"/>
      <c r="E14" s="13" t="str">
        <f t="shared" si="0"/>
        <v/>
      </c>
      <c r="F14" s="14" t="str">
        <f t="shared" si="3"/>
        <v/>
      </c>
      <c r="G14" s="15"/>
      <c r="H14" s="15" t="str">
        <f t="shared" si="1"/>
        <v/>
      </c>
      <c r="I14" s="16" t="str">
        <f t="shared" si="2"/>
        <v/>
      </c>
      <c r="J14" s="41"/>
      <c r="K14" s="41"/>
      <c r="L14" s="97"/>
      <c r="M14" s="97"/>
      <c r="N14" s="97"/>
      <c r="O14" s="97"/>
      <c r="P14" s="97"/>
      <c r="Q14" s="97"/>
      <c r="R14" s="97"/>
      <c r="S14" s="97"/>
    </row>
    <row r="15" spans="1:19" ht="15.6">
      <c r="A15" s="30" t="str">
        <v>Kohls - Hanover</v>
      </c>
      <c r="B15" s="31" t="str">
        <v>PA</v>
      </c>
      <c r="C15" s="11"/>
      <c r="D15" s="18"/>
      <c r="E15" s="18" t="str">
        <f t="shared" si="0"/>
        <v/>
      </c>
      <c r="F15" s="19" t="str">
        <f t="shared" si="3"/>
        <v/>
      </c>
      <c r="G15" s="20"/>
      <c r="H15" s="20" t="str">
        <f t="shared" si="1"/>
        <v/>
      </c>
      <c r="I15" s="19" t="str">
        <f t="shared" si="2"/>
        <v/>
      </c>
      <c r="J15" s="54"/>
      <c r="K15" s="54"/>
      <c r="L15" s="97"/>
      <c r="M15" s="97"/>
      <c r="N15" s="97"/>
      <c r="O15" s="97"/>
      <c r="P15" s="97"/>
      <c r="Q15" s="97"/>
      <c r="R15" s="97"/>
      <c r="S15" s="97"/>
    </row>
    <row r="16" spans="1:19" ht="15.6">
      <c r="A16" s="28" t="str">
        <v>Kohls - Horsehead</v>
      </c>
      <c r="B16" s="29" t="str">
        <v>NY</v>
      </c>
      <c r="C16" s="24"/>
      <c r="D16" s="13"/>
      <c r="E16" s="13" t="str">
        <f t="shared" si="0"/>
        <v/>
      </c>
      <c r="F16" s="14" t="str">
        <f t="shared" si="3"/>
        <v/>
      </c>
      <c r="G16" s="15"/>
      <c r="H16" s="15" t="str">
        <f t="shared" si="1"/>
        <v/>
      </c>
      <c r="I16" s="16" t="str">
        <f t="shared" si="2"/>
        <v/>
      </c>
      <c r="J16" s="56"/>
      <c r="K16" s="56"/>
      <c r="L16" s="97"/>
      <c r="M16" s="97"/>
      <c r="N16" s="97"/>
      <c r="O16" s="97"/>
      <c r="P16" s="97"/>
      <c r="Q16" s="97"/>
      <c r="R16" s="97"/>
      <c r="S16" s="97"/>
    </row>
    <row r="17" spans="1:19" ht="15.6">
      <c r="A17" s="30" t="str">
        <v>Kohls - Hudson</v>
      </c>
      <c r="B17" s="31" t="str">
        <v>NY</v>
      </c>
      <c r="C17" s="11"/>
      <c r="D17" s="18"/>
      <c r="E17" s="18" t="str">
        <f t="shared" si="0"/>
        <v/>
      </c>
      <c r="F17" s="19" t="str">
        <f t="shared" si="3"/>
        <v/>
      </c>
      <c r="G17" s="20"/>
      <c r="H17" s="20" t="str">
        <f t="shared" si="1"/>
        <v/>
      </c>
      <c r="I17" s="19" t="str">
        <f t="shared" si="2"/>
        <v/>
      </c>
      <c r="J17" s="54"/>
      <c r="K17" s="57"/>
      <c r="L17" s="97"/>
      <c r="M17" s="97"/>
      <c r="N17" s="97"/>
      <c r="O17" s="97"/>
      <c r="P17" s="97"/>
      <c r="Q17" s="97"/>
      <c r="R17" s="97"/>
      <c r="S17" s="97"/>
    </row>
    <row r="18" spans="1:19" ht="15.6">
      <c r="A18" s="32" t="str">
        <v>Kohls - Ithaca</v>
      </c>
      <c r="B18" s="29" t="str">
        <v>NY</v>
      </c>
      <c r="C18" s="24"/>
      <c r="D18" s="13"/>
      <c r="E18" s="13" t="str">
        <f t="shared" si="0"/>
        <v/>
      </c>
      <c r="F18" s="14" t="str">
        <f t="shared" si="3"/>
        <v/>
      </c>
      <c r="G18" s="15"/>
      <c r="H18" s="15" t="str">
        <f t="shared" si="1"/>
        <v/>
      </c>
      <c r="I18" s="16" t="str">
        <f t="shared" si="2"/>
        <v/>
      </c>
      <c r="J18" s="41"/>
      <c r="K18" s="56"/>
      <c r="L18" s="97"/>
      <c r="M18" s="97"/>
      <c r="N18" s="97"/>
      <c r="O18" s="97"/>
      <c r="P18" s="97"/>
      <c r="Q18" s="97"/>
      <c r="R18" s="97"/>
      <c r="S18" s="97"/>
    </row>
    <row r="19" spans="1:19" ht="15.6">
      <c r="A19" s="30" t="str">
        <v>Kohls - Kingston</v>
      </c>
      <c r="B19" s="31" t="str">
        <v>NY</v>
      </c>
      <c r="C19" s="11"/>
      <c r="D19" s="18"/>
      <c r="E19" s="18" t="str">
        <f t="shared" si="0"/>
        <v/>
      </c>
      <c r="F19" s="19" t="str">
        <f t="shared" si="3"/>
        <v/>
      </c>
      <c r="G19" s="20"/>
      <c r="H19" s="20" t="str">
        <f t="shared" si="1"/>
        <v/>
      </c>
      <c r="I19" s="19" t="str">
        <f t="shared" si="2"/>
        <v/>
      </c>
      <c r="J19" s="54"/>
      <c r="K19" s="54"/>
      <c r="L19" s="97"/>
      <c r="M19" s="97"/>
      <c r="N19" s="97"/>
      <c r="O19" s="97"/>
      <c r="P19" s="97"/>
      <c r="Q19" s="97"/>
      <c r="R19" s="97"/>
      <c r="S19" s="97"/>
    </row>
    <row r="20" spans="1:19" ht="15.6">
      <c r="A20" s="28" t="str">
        <v>Kohls - Mechanicsburg</v>
      </c>
      <c r="B20" s="29" t="str">
        <v>PA</v>
      </c>
      <c r="C20" s="24"/>
      <c r="D20" s="13"/>
      <c r="E20" s="13" t="str">
        <f t="shared" si="0"/>
        <v/>
      </c>
      <c r="F20" s="14" t="str">
        <f t="shared" si="3"/>
        <v/>
      </c>
      <c r="G20" s="15"/>
      <c r="H20" s="15" t="str">
        <f t="shared" si="1"/>
        <v/>
      </c>
      <c r="I20" s="16" t="str">
        <f t="shared" si="2"/>
        <v/>
      </c>
      <c r="J20" s="56"/>
      <c r="K20" s="56"/>
      <c r="L20" s="97"/>
      <c r="M20" s="97"/>
      <c r="N20" s="97"/>
      <c r="O20" s="97"/>
      <c r="P20" s="97"/>
      <c r="Q20" s="97"/>
      <c r="R20" s="97"/>
      <c r="S20" s="97"/>
    </row>
    <row r="21" spans="1:19" ht="15.6">
      <c r="A21" s="30" t="str">
        <v>Kohls - Middletown</v>
      </c>
      <c r="B21" s="31" t="str">
        <v>NJ</v>
      </c>
      <c r="C21" s="11"/>
      <c r="D21" s="18"/>
      <c r="E21" s="18" t="str">
        <f t="shared" si="0"/>
        <v/>
      </c>
      <c r="F21" s="19" t="str">
        <f t="shared" si="3"/>
        <v/>
      </c>
      <c r="G21" s="20"/>
      <c r="H21" s="20" t="str">
        <f t="shared" si="1"/>
        <v/>
      </c>
      <c r="I21" s="19" t="str">
        <f t="shared" si="2"/>
        <v/>
      </c>
      <c r="J21" s="54"/>
      <c r="K21" s="54"/>
      <c r="L21" s="97"/>
      <c r="M21" s="97"/>
      <c r="N21" s="97"/>
      <c r="O21" s="97"/>
      <c r="P21" s="97"/>
      <c r="Q21" s="97"/>
      <c r="R21" s="97"/>
      <c r="S21" s="97"/>
    </row>
    <row r="22" spans="1:19" ht="15.6">
      <c r="A22" s="28" t="str">
        <v>Kohls - North Amherst</v>
      </c>
      <c r="B22" s="29" t="str">
        <v>NY</v>
      </c>
      <c r="C22" s="24"/>
      <c r="D22" s="13"/>
      <c r="E22" s="13" t="str">
        <f t="shared" si="0"/>
        <v/>
      </c>
      <c r="F22" s="14" t="str">
        <f t="shared" si="3"/>
        <v/>
      </c>
      <c r="G22" s="15"/>
      <c r="H22" s="15" t="str">
        <f>IF(AND(ISNUMBER(C22),ISNUMBER(G22)), C22-G22, "")</f>
        <v/>
      </c>
      <c r="I22" s="16" t="str">
        <f t="shared" si="2"/>
        <v/>
      </c>
      <c r="J22" s="86"/>
      <c r="K22" s="91"/>
      <c r="L22" s="98"/>
      <c r="M22" s="97"/>
      <c r="N22" s="97"/>
      <c r="O22" s="97"/>
      <c r="P22" s="97"/>
      <c r="Q22" s="97"/>
      <c r="R22" s="97"/>
      <c r="S22" s="97"/>
    </row>
    <row r="23" spans="1:19" ht="197.25" customHeight="1">
      <c r="A23" s="30" t="str">
        <v>Kohls - Staten Island</v>
      </c>
      <c r="B23" s="31" t="str">
        <v>NY</v>
      </c>
      <c r="C23" s="11"/>
      <c r="D23" s="18"/>
      <c r="E23" s="18" t="str">
        <f t="shared" si="0"/>
        <v/>
      </c>
      <c r="F23" s="19" t="str">
        <f t="shared" si="3"/>
        <v/>
      </c>
      <c r="G23" s="20"/>
      <c r="H23" s="20" t="str">
        <f t="shared" si="1"/>
        <v/>
      </c>
      <c r="I23" s="19" t="str">
        <f t="shared" si="2"/>
        <v/>
      </c>
      <c r="J23" s="99"/>
      <c r="K23" s="93"/>
      <c r="L23" s="98"/>
      <c r="M23" s="98"/>
      <c r="N23" s="97"/>
      <c r="O23" s="97"/>
      <c r="P23" s="97"/>
      <c r="Q23" s="97"/>
      <c r="R23" s="97"/>
      <c r="S23" s="97"/>
    </row>
    <row r="24" spans="1:19" ht="15.6">
      <c r="A24" s="28" t="str">
        <v>Kohls - Warminster</v>
      </c>
      <c r="B24" s="29" t="str">
        <v>PA</v>
      </c>
      <c r="C24" s="24"/>
      <c r="D24" s="13"/>
      <c r="E24" s="13" t="str">
        <f t="shared" si="0"/>
        <v/>
      </c>
      <c r="F24" s="14" t="str">
        <f t="shared" si="3"/>
        <v/>
      </c>
      <c r="G24" s="15"/>
      <c r="H24" s="15" t="str">
        <f t="shared" si="1"/>
        <v/>
      </c>
      <c r="I24" s="16" t="str">
        <f t="shared" si="2"/>
        <v/>
      </c>
      <c r="J24" s="41"/>
      <c r="K24" s="41"/>
      <c r="L24" s="97"/>
      <c r="M24" s="97"/>
      <c r="N24" s="97"/>
      <c r="O24" s="97"/>
      <c r="P24" s="97"/>
      <c r="Q24" s="97"/>
      <c r="R24" s="97"/>
      <c r="S24" s="97"/>
    </row>
    <row r="25" spans="1:19" ht="15.6">
      <c r="A25" s="30" t="str">
        <v xml:space="preserve">Kohls - Waterbury </v>
      </c>
      <c r="B25" s="31" t="str">
        <v>CT</v>
      </c>
      <c r="C25" s="11"/>
      <c r="D25" s="18"/>
      <c r="E25" s="18" t="str">
        <f t="shared" si="0"/>
        <v/>
      </c>
      <c r="F25" s="19" t="str">
        <f t="shared" si="3"/>
        <v/>
      </c>
      <c r="G25" s="20"/>
      <c r="H25" s="20" t="str">
        <f t="shared" si="1"/>
        <v/>
      </c>
      <c r="I25" s="19" t="str">
        <f t="shared" si="2"/>
        <v/>
      </c>
      <c r="J25" s="42"/>
      <c r="K25" s="43"/>
      <c r="L25" s="97"/>
      <c r="M25" s="97"/>
      <c r="N25" s="97"/>
      <c r="O25" s="97"/>
      <c r="P25" s="97"/>
      <c r="Q25" s="97"/>
      <c r="R25" s="97"/>
      <c r="S25" s="97"/>
    </row>
    <row r="26" spans="1:19" ht="15.6">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88"/>
      <c r="L26" s="97"/>
      <c r="M26" s="97"/>
      <c r="N26" s="97"/>
      <c r="O26" s="97"/>
      <c r="P26" s="97"/>
      <c r="Q26" s="97"/>
      <c r="R26" s="97"/>
      <c r="S26" s="97"/>
    </row>
    <row r="27" spans="1:19" ht="15.6">
      <c r="A27" s="30" t="str">
        <v>CSU - Bakersfield</v>
      </c>
      <c r="B27" s="31" t="str">
        <v>CA</v>
      </c>
      <c r="C27" s="11"/>
      <c r="D27" s="18"/>
      <c r="E27" s="18" t="str">
        <f t="shared" si="4"/>
        <v/>
      </c>
      <c r="F27" s="19" t="str">
        <f t="shared" si="5"/>
        <v/>
      </c>
      <c r="G27" s="20"/>
      <c r="H27" s="20" t="str">
        <f t="shared" si="6"/>
        <v/>
      </c>
      <c r="I27" s="19" t="str">
        <f t="shared" si="2"/>
        <v/>
      </c>
      <c r="J27" s="42"/>
      <c r="K27" s="90"/>
      <c r="L27" s="97"/>
      <c r="M27" s="97"/>
      <c r="N27" s="97"/>
      <c r="O27" s="97"/>
      <c r="P27" s="97"/>
      <c r="Q27" s="97"/>
      <c r="R27" s="97"/>
      <c r="S27" s="97"/>
    </row>
    <row r="28" spans="1:19" ht="15.6">
      <c r="A28" s="28" t="str">
        <v>Greenfield USD - Fairfield ES</v>
      </c>
      <c r="B28" s="29" t="str">
        <v>CA</v>
      </c>
      <c r="C28" s="24"/>
      <c r="D28" s="13"/>
      <c r="E28" s="13" t="str">
        <f t="shared" si="4"/>
        <v/>
      </c>
      <c r="F28" s="14" t="str">
        <f t="shared" si="5"/>
        <v/>
      </c>
      <c r="G28" s="15"/>
      <c r="H28" s="15" t="str">
        <f t="shared" si="6"/>
        <v/>
      </c>
      <c r="I28" s="16" t="str">
        <f t="shared" si="2"/>
        <v/>
      </c>
      <c r="J28" s="41"/>
      <c r="K28" s="41"/>
      <c r="L28" s="97"/>
      <c r="M28" s="97"/>
      <c r="N28" s="97"/>
      <c r="O28" s="97"/>
      <c r="P28" s="97"/>
      <c r="Q28" s="97"/>
      <c r="R28" s="97"/>
      <c r="S28" s="97"/>
    </row>
    <row r="29" spans="1:19" ht="15.6">
      <c r="A29" s="30" t="str">
        <v>Greenfield USD - Granite Point ES</v>
      </c>
      <c r="B29" s="31" t="str">
        <v>CA</v>
      </c>
      <c r="C29" s="11"/>
      <c r="D29" s="18"/>
      <c r="E29" s="18" t="str">
        <f t="shared" si="4"/>
        <v/>
      </c>
      <c r="F29" s="19" t="str">
        <f t="shared" si="5"/>
        <v/>
      </c>
      <c r="G29" s="20"/>
      <c r="H29" s="20" t="str">
        <f t="shared" si="6"/>
        <v/>
      </c>
      <c r="I29" s="19" t="str">
        <f t="shared" si="2"/>
        <v/>
      </c>
      <c r="J29" s="42"/>
      <c r="K29" s="90"/>
      <c r="L29" s="97"/>
      <c r="M29" s="97"/>
      <c r="N29" s="97"/>
      <c r="O29" s="97"/>
      <c r="P29" s="97"/>
      <c r="Q29" s="97"/>
      <c r="R29" s="97"/>
      <c r="S29" s="97"/>
    </row>
    <row r="30" spans="1:19" ht="15.6">
      <c r="A30" s="28" t="str">
        <v>Greenfield USD - Greenfield MS</v>
      </c>
      <c r="B30" s="29" t="str">
        <v>CA</v>
      </c>
      <c r="C30" s="24"/>
      <c r="D30" s="13"/>
      <c r="E30" s="13" t="str">
        <f t="shared" si="4"/>
        <v/>
      </c>
      <c r="F30" s="14" t="str">
        <f t="shared" si="5"/>
        <v/>
      </c>
      <c r="G30" s="15"/>
      <c r="H30" s="15" t="str">
        <f t="shared" si="6"/>
        <v/>
      </c>
      <c r="I30" s="16" t="str">
        <f t="shared" si="2"/>
        <v/>
      </c>
      <c r="J30" s="41"/>
      <c r="K30" s="88"/>
      <c r="L30" s="98"/>
      <c r="M30" s="98"/>
      <c r="N30" s="97"/>
      <c r="O30" s="97"/>
      <c r="P30" s="97"/>
      <c r="Q30" s="97"/>
      <c r="R30" s="97"/>
      <c r="S30" s="97"/>
    </row>
    <row r="31" spans="1:19" ht="15.6">
      <c r="A31" s="30" t="str">
        <v>Greenfield USD - Horizon ES</v>
      </c>
      <c r="B31" s="31" t="str">
        <v>CA</v>
      </c>
      <c r="C31" s="11"/>
      <c r="D31" s="18"/>
      <c r="E31" s="18" t="str">
        <f t="shared" si="4"/>
        <v/>
      </c>
      <c r="F31" s="19" t="str">
        <f t="shared" si="5"/>
        <v/>
      </c>
      <c r="G31" s="20"/>
      <c r="H31" s="20" t="str">
        <f t="shared" si="6"/>
        <v/>
      </c>
      <c r="I31" s="19" t="str">
        <f t="shared" si="2"/>
        <v/>
      </c>
      <c r="J31" s="42"/>
      <c r="K31" s="90"/>
      <c r="L31" s="98"/>
      <c r="M31" s="97"/>
      <c r="N31" s="97"/>
      <c r="O31" s="97"/>
      <c r="P31" s="97"/>
      <c r="Q31" s="97"/>
      <c r="R31" s="97"/>
      <c r="S31" s="97"/>
    </row>
    <row r="32" spans="1:19" ht="15.6">
      <c r="A32" s="28" t="str">
        <v>Greenfield USD - McKee MS</v>
      </c>
      <c r="B32" s="29" t="str">
        <v>CA</v>
      </c>
      <c r="C32" s="24"/>
      <c r="D32" s="13"/>
      <c r="E32" s="13" t="str">
        <f t="shared" si="4"/>
        <v/>
      </c>
      <c r="F32" s="14" t="str">
        <f t="shared" si="5"/>
        <v/>
      </c>
      <c r="G32" s="15"/>
      <c r="H32" s="15" t="str">
        <f t="shared" si="6"/>
        <v/>
      </c>
      <c r="I32" s="16" t="str">
        <f t="shared" si="2"/>
        <v/>
      </c>
      <c r="J32" s="41"/>
      <c r="K32" s="41"/>
      <c r="L32" s="97"/>
      <c r="M32" s="97"/>
      <c r="N32" s="97"/>
      <c r="O32" s="97"/>
      <c r="P32" s="97"/>
      <c r="Q32" s="97"/>
      <c r="R32" s="97"/>
      <c r="S32" s="97"/>
    </row>
    <row r="33" spans="1:19" ht="15.6">
      <c r="A33" s="30" t="str">
        <v>Greenfield USD - Plantation ES</v>
      </c>
      <c r="B33" s="31" t="str">
        <v>CA</v>
      </c>
      <c r="C33" s="11"/>
      <c r="D33" s="18"/>
      <c r="E33" s="18" t="str">
        <f t="shared" si="4"/>
        <v/>
      </c>
      <c r="F33" s="19" t="str">
        <f t="shared" si="5"/>
        <v/>
      </c>
      <c r="G33" s="20"/>
      <c r="H33" s="20" t="str">
        <f t="shared" si="6"/>
        <v/>
      </c>
      <c r="I33" s="19" t="str">
        <f t="shared" si="2"/>
        <v/>
      </c>
      <c r="J33" s="42"/>
      <c r="K33" s="43"/>
      <c r="L33" s="97"/>
      <c r="M33" s="97"/>
      <c r="N33" s="97"/>
      <c r="O33" s="97"/>
      <c r="P33" s="97"/>
      <c r="Q33" s="97"/>
      <c r="R33" s="97"/>
      <c r="S33" s="97"/>
    </row>
    <row r="34" spans="1:19" ht="15.6">
      <c r="A34" s="28" t="str">
        <v>Greenfield USD - Planz ES</v>
      </c>
      <c r="B34" s="29" t="str">
        <v>CA</v>
      </c>
      <c r="C34" s="24"/>
      <c r="D34" s="13"/>
      <c r="E34" s="13" t="str">
        <f t="shared" si="4"/>
        <v/>
      </c>
      <c r="F34" s="14" t="str">
        <f t="shared" si="5"/>
        <v/>
      </c>
      <c r="G34" s="15"/>
      <c r="H34" s="15" t="str">
        <f t="shared" si="6"/>
        <v/>
      </c>
      <c r="I34" s="16" t="str">
        <f t="shared" si="2"/>
        <v/>
      </c>
      <c r="J34" s="41"/>
      <c r="K34" s="88"/>
      <c r="L34" s="98"/>
      <c r="M34" s="97"/>
      <c r="N34" s="97"/>
      <c r="O34" s="97"/>
      <c r="P34" s="97"/>
      <c r="Q34" s="97"/>
      <c r="R34" s="97"/>
      <c r="S34" s="97"/>
    </row>
    <row r="35" spans="1:19" ht="15.6">
      <c r="A35" s="30" t="str">
        <v>Greenfield USD - Raffaello Palla ES</v>
      </c>
      <c r="B35" s="31" t="str">
        <v>CA</v>
      </c>
      <c r="C35" s="11"/>
      <c r="D35" s="18"/>
      <c r="E35" s="18" t="str">
        <f t="shared" si="4"/>
        <v/>
      </c>
      <c r="F35" s="19" t="str">
        <f t="shared" si="5"/>
        <v/>
      </c>
      <c r="G35" s="20"/>
      <c r="H35" s="20" t="str">
        <f t="shared" si="6"/>
        <v/>
      </c>
      <c r="I35" s="19" t="str">
        <f t="shared" si="2"/>
        <v/>
      </c>
      <c r="J35" s="54"/>
      <c r="K35" s="90"/>
      <c r="L35" s="97"/>
      <c r="M35" s="97"/>
      <c r="N35" s="97"/>
      <c r="O35" s="97"/>
      <c r="P35" s="97"/>
      <c r="Q35" s="97"/>
      <c r="R35" s="97"/>
      <c r="S35" s="97"/>
    </row>
    <row r="36" spans="1:19" ht="15.6">
      <c r="A36" s="28" t="str">
        <v>Greenfield USD - Valle Verde ES</v>
      </c>
      <c r="B36" s="29" t="str">
        <v>CA</v>
      </c>
      <c r="C36" s="24"/>
      <c r="D36" s="13"/>
      <c r="E36" s="13" t="str">
        <f t="shared" si="4"/>
        <v/>
      </c>
      <c r="F36" s="14" t="str">
        <f t="shared" si="5"/>
        <v/>
      </c>
      <c r="G36" s="15"/>
      <c r="H36" s="15" t="str">
        <f t="shared" si="6"/>
        <v/>
      </c>
      <c r="I36" s="16" t="str">
        <f t="shared" si="2"/>
        <v/>
      </c>
      <c r="J36" s="41"/>
      <c r="K36" s="41"/>
      <c r="L36" s="97"/>
      <c r="M36" s="97"/>
      <c r="N36" s="97"/>
      <c r="O36" s="97"/>
      <c r="P36" s="97"/>
      <c r="Q36" s="97"/>
      <c r="R36" s="97"/>
      <c r="S36" s="97"/>
    </row>
    <row r="37" spans="1:19" ht="15.6">
      <c r="A37" s="30" t="str">
        <v>Greenfield USD - W.A. Kendrick ES</v>
      </c>
      <c r="B37" s="31" t="str">
        <v>CA</v>
      </c>
      <c r="C37" s="11"/>
      <c r="D37" s="18"/>
      <c r="E37" s="18" t="str">
        <f t="shared" si="4"/>
        <v/>
      </c>
      <c r="F37" s="19" t="str">
        <f t="shared" si="5"/>
        <v/>
      </c>
      <c r="G37" s="20"/>
      <c r="H37" s="20" t="str">
        <f t="shared" si="6"/>
        <v/>
      </c>
      <c r="I37" s="19" t="str">
        <f t="shared" si="2"/>
        <v/>
      </c>
      <c r="J37" s="42"/>
      <c r="K37" s="90"/>
      <c r="L37" s="97"/>
      <c r="M37" s="97"/>
      <c r="N37" s="97"/>
      <c r="O37" s="97"/>
      <c r="P37" s="97"/>
      <c r="Q37" s="97"/>
      <c r="R37" s="97"/>
      <c r="S37" s="97"/>
    </row>
    <row r="38" spans="1:19" ht="15.6">
      <c r="A38" s="28" t="str">
        <v>Muroc Joint USD - Boron HS</v>
      </c>
      <c r="B38" s="29" t="str">
        <v>CA</v>
      </c>
      <c r="C38" s="24"/>
      <c r="D38" s="13"/>
      <c r="E38" s="13" t="str">
        <f t="shared" si="4"/>
        <v/>
      </c>
      <c r="F38" s="14" t="str">
        <f t="shared" si="5"/>
        <v/>
      </c>
      <c r="G38" s="15"/>
      <c r="H38" s="15" t="str">
        <f t="shared" si="6"/>
        <v/>
      </c>
      <c r="I38" s="16" t="str">
        <f t="shared" si="2"/>
        <v/>
      </c>
      <c r="J38" s="41"/>
      <c r="K38" s="88"/>
      <c r="L38" s="98"/>
      <c r="M38" s="98"/>
      <c r="N38" s="98"/>
      <c r="O38" s="97"/>
      <c r="P38" s="97"/>
      <c r="Q38" s="97"/>
      <c r="R38" s="97"/>
      <c r="S38" s="97"/>
    </row>
    <row r="39" spans="1:19" ht="15.6">
      <c r="A39" s="30" t="str">
        <v>Muroc Joint USD - W. Boron ES</v>
      </c>
      <c r="B39" s="31" t="str">
        <v>CA</v>
      </c>
      <c r="C39" s="11"/>
      <c r="D39" s="18"/>
      <c r="E39" s="18" t="str">
        <f t="shared" si="4"/>
        <v/>
      </c>
      <c r="F39" s="19" t="str">
        <f t="shared" si="5"/>
        <v/>
      </c>
      <c r="G39" s="20"/>
      <c r="H39" s="20" t="str">
        <f t="shared" si="6"/>
        <v/>
      </c>
      <c r="I39" s="19" t="str">
        <f t="shared" si="2"/>
        <v/>
      </c>
      <c r="J39" s="42"/>
      <c r="K39" s="43"/>
      <c r="L39" s="97"/>
      <c r="M39" s="97"/>
      <c r="N39" s="97"/>
      <c r="O39" s="97"/>
      <c r="P39" s="97"/>
      <c r="Q39" s="97"/>
      <c r="R39" s="97"/>
      <c r="S39" s="97"/>
    </row>
    <row r="40" spans="1:19" ht="15.6">
      <c r="A40" s="28" t="str">
        <v>Colusa - WTP</v>
      </c>
      <c r="B40" s="29" t="str">
        <v>CA</v>
      </c>
      <c r="C40" s="24"/>
      <c r="D40" s="13"/>
      <c r="E40" s="13" t="str">
        <f t="shared" si="4"/>
        <v/>
      </c>
      <c r="F40" s="14" t="str">
        <f t="shared" si="5"/>
        <v/>
      </c>
      <c r="G40" s="15"/>
      <c r="H40" s="15" t="str">
        <f t="shared" si="6"/>
        <v/>
      </c>
      <c r="I40" s="16" t="str">
        <f t="shared" si="2"/>
        <v/>
      </c>
      <c r="J40" s="41"/>
      <c r="K40" s="88"/>
      <c r="L40" s="98"/>
      <c r="M40" s="98"/>
      <c r="N40" s="98"/>
      <c r="O40" s="98"/>
      <c r="P40" s="98"/>
      <c r="Q40" s="97"/>
      <c r="R40" s="97"/>
      <c r="S40" s="97"/>
    </row>
    <row r="41" spans="1:19" ht="26.25" customHeight="1">
      <c r="A41" s="30" t="str">
        <v>CDCR-North Kern State Prision</v>
      </c>
      <c r="B41" s="31" t="str">
        <v>CA</v>
      </c>
      <c r="C41" s="11"/>
      <c r="D41" s="18"/>
      <c r="E41" s="18" t="str">
        <f t="shared" si="4"/>
        <v/>
      </c>
      <c r="F41" s="19" t="str">
        <f t="shared" si="5"/>
        <v/>
      </c>
      <c r="G41" s="20"/>
      <c r="H41" s="20" t="str">
        <f t="shared" si="6"/>
        <v/>
      </c>
      <c r="I41" s="19" t="str">
        <f t="shared" si="2"/>
        <v/>
      </c>
      <c r="J41" s="54"/>
      <c r="K41" s="90"/>
      <c r="L41" s="97"/>
      <c r="M41" s="97"/>
      <c r="N41" s="97"/>
      <c r="O41" s="97"/>
      <c r="P41" s="97"/>
      <c r="Q41" s="97"/>
      <c r="R41" s="97"/>
      <c r="S41" s="97"/>
    </row>
    <row r="42" spans="1:19" ht="34.5" customHeight="1">
      <c r="A42" s="28" t="str">
        <v>Muroc Joint USD - District Office</v>
      </c>
      <c r="B42" s="29" t="str">
        <v>CA</v>
      </c>
      <c r="C42" s="24"/>
      <c r="D42" s="13"/>
      <c r="E42" s="13" t="str">
        <f t="shared" si="4"/>
        <v/>
      </c>
      <c r="F42" s="14" t="str">
        <f t="shared" si="5"/>
        <v/>
      </c>
      <c r="G42" s="15"/>
      <c r="H42" s="15" t="str">
        <f t="shared" si="6"/>
        <v/>
      </c>
      <c r="I42" s="16" t="str">
        <f t="shared" si="2"/>
        <v/>
      </c>
      <c r="J42" s="41"/>
      <c r="K42" s="41"/>
      <c r="L42" s="97"/>
      <c r="M42" s="97"/>
      <c r="N42" s="97"/>
      <c r="O42" s="97"/>
      <c r="P42" s="97"/>
      <c r="Q42" s="97"/>
      <c r="R42" s="97"/>
      <c r="S42" s="97"/>
    </row>
    <row r="43" spans="1:19" ht="109.5" customHeight="1">
      <c r="A43" s="30" t="str">
        <v>Whole Foods - Manhattan Beach</v>
      </c>
      <c r="B43" s="31" t="str">
        <v>CA</v>
      </c>
      <c r="C43" s="11"/>
      <c r="D43" s="18"/>
      <c r="E43" s="18" t="str">
        <f t="shared" si="4"/>
        <v/>
      </c>
      <c r="F43" s="19" t="str">
        <f t="shared" si="5"/>
        <v/>
      </c>
      <c r="G43" s="20"/>
      <c r="H43" s="20" t="str">
        <f t="shared" si="6"/>
        <v/>
      </c>
      <c r="I43" s="19" t="str">
        <f t="shared" si="2"/>
        <v/>
      </c>
      <c r="J43" s="42"/>
      <c r="K43" s="90"/>
      <c r="L43" s="98"/>
      <c r="M43" s="98"/>
      <c r="N43" s="97"/>
      <c r="O43" s="97"/>
      <c r="P43" s="97"/>
      <c r="Q43" s="97"/>
      <c r="R43" s="97"/>
      <c r="S43" s="97"/>
    </row>
    <row r="44" spans="1:19" ht="15.6">
      <c r="A44" s="28" t="str">
        <v>Pioneer USD - Frontier ES</v>
      </c>
      <c r="B44" s="29" t="str">
        <v>CA</v>
      </c>
      <c r="C44" s="24"/>
      <c r="D44" s="13"/>
      <c r="E44" s="13" t="str">
        <f t="shared" si="4"/>
        <v/>
      </c>
      <c r="F44" s="14" t="str">
        <f t="shared" si="5"/>
        <v/>
      </c>
      <c r="G44" s="15"/>
      <c r="H44" s="15" t="str">
        <f t="shared" si="6"/>
        <v/>
      </c>
      <c r="I44" s="16" t="str">
        <f t="shared" si="2"/>
        <v/>
      </c>
      <c r="J44" s="41"/>
      <c r="K44" s="88"/>
      <c r="L44" s="97"/>
      <c r="M44" s="97"/>
      <c r="N44" s="97"/>
      <c r="O44" s="97"/>
      <c r="P44" s="97"/>
      <c r="Q44" s="97"/>
      <c r="R44" s="97"/>
      <c r="S44" s="97"/>
    </row>
    <row r="45" spans="1:19" ht="15.6">
      <c r="A45" s="30" t="str">
        <v>Pioneer USD - Pioneer ES</v>
      </c>
      <c r="B45" s="31" t="str">
        <v>CA</v>
      </c>
      <c r="C45" s="11"/>
      <c r="D45" s="18"/>
      <c r="E45" s="18" t="str">
        <f t="shared" si="4"/>
        <v/>
      </c>
      <c r="F45" s="19" t="str">
        <f t="shared" si="5"/>
        <v/>
      </c>
      <c r="G45" s="20"/>
      <c r="H45" s="20" t="str">
        <f t="shared" si="6"/>
        <v/>
      </c>
      <c r="I45" s="19" t="str">
        <f t="shared" si="2"/>
        <v/>
      </c>
      <c r="J45" s="42"/>
      <c r="K45" s="92"/>
      <c r="L45" s="98"/>
      <c r="M45" s="98"/>
      <c r="N45" s="98"/>
      <c r="O45" s="97"/>
      <c r="P45" s="97"/>
      <c r="Q45" s="97"/>
      <c r="R45" s="97"/>
      <c r="S45" s="97"/>
    </row>
    <row r="46" spans="1:19" ht="15.6">
      <c r="A46" s="28" t="str">
        <v>Pioneer USD - Pioneer MS</v>
      </c>
      <c r="B46" s="29" t="str">
        <v>CA</v>
      </c>
      <c r="C46" s="24"/>
      <c r="D46" s="13"/>
      <c r="E46" s="13" t="str">
        <f t="shared" si="4"/>
        <v/>
      </c>
      <c r="F46" s="14" t="str">
        <f t="shared" si="5"/>
        <v/>
      </c>
      <c r="G46" s="15"/>
      <c r="H46" s="15" t="str">
        <f t="shared" si="6"/>
        <v/>
      </c>
      <c r="I46" s="16" t="str">
        <f t="shared" si="2"/>
        <v/>
      </c>
      <c r="J46" s="41"/>
      <c r="K46" s="88"/>
      <c r="L46" s="98"/>
      <c r="M46" s="97"/>
      <c r="N46" s="97"/>
      <c r="O46" s="97"/>
      <c r="P46" s="97"/>
      <c r="Q46" s="97"/>
      <c r="R46" s="97"/>
      <c r="S46" s="97"/>
    </row>
    <row r="47" spans="1:19" ht="184.5" customHeight="1">
      <c r="A47" s="30" t="str">
        <v>Kingsburg Joint UHSD - Kingsburg HS</v>
      </c>
      <c r="B47" s="31" t="str">
        <v>CA</v>
      </c>
      <c r="C47" s="11"/>
      <c r="D47" s="18"/>
      <c r="E47" s="18" t="str">
        <f t="shared" si="4"/>
        <v/>
      </c>
      <c r="F47" s="19" t="str">
        <f t="shared" si="5"/>
        <v/>
      </c>
      <c r="G47" s="20"/>
      <c r="H47" s="20" t="str">
        <f t="shared" si="6"/>
        <v/>
      </c>
      <c r="I47" s="19" t="str">
        <f t="shared" si="2"/>
        <v/>
      </c>
      <c r="J47" s="53"/>
      <c r="K47" s="90"/>
      <c r="L47" s="98"/>
      <c r="M47" s="98"/>
      <c r="N47" s="98"/>
      <c r="O47" s="98"/>
      <c r="P47" s="98"/>
      <c r="Q47" s="98"/>
      <c r="R47" s="97"/>
      <c r="S47" s="97"/>
    </row>
    <row r="48" spans="1:19" ht="15.6">
      <c r="A48" s="28" t="str">
        <v>CADRB</v>
      </c>
      <c r="B48" s="29" t="str">
        <v>CA</v>
      </c>
      <c r="C48" s="24"/>
      <c r="D48" s="13"/>
      <c r="E48" s="13" t="str">
        <f t="shared" si="4"/>
        <v/>
      </c>
      <c r="F48" s="14" t="str">
        <f t="shared" si="5"/>
        <v/>
      </c>
      <c r="G48" s="15"/>
      <c r="H48" s="15" t="str">
        <f t="shared" si="6"/>
        <v/>
      </c>
      <c r="I48" s="16" t="str">
        <f t="shared" si="2"/>
        <v/>
      </c>
      <c r="J48" s="41"/>
      <c r="K48" s="88"/>
      <c r="L48" s="98"/>
      <c r="M48" s="98"/>
      <c r="N48" s="98"/>
      <c r="O48" s="98"/>
      <c r="P48" s="98"/>
      <c r="Q48" s="97"/>
      <c r="R48" s="97"/>
      <c r="S48" s="97"/>
    </row>
    <row r="49" spans="1:19" ht="45.75" customHeight="1">
      <c r="A49" s="30" t="str">
        <v>CDCR-CA State Prison LA County</v>
      </c>
      <c r="B49" s="31" t="str">
        <v>CA</v>
      </c>
      <c r="C49" s="11"/>
      <c r="D49" s="18"/>
      <c r="E49" s="18" t="str">
        <f t="shared" si="4"/>
        <v/>
      </c>
      <c r="F49" s="19" t="str">
        <f t="shared" si="5"/>
        <v/>
      </c>
      <c r="G49" s="20"/>
      <c r="H49" s="20" t="str">
        <f t="shared" si="6"/>
        <v/>
      </c>
      <c r="I49" s="19" t="str">
        <f t="shared" si="2"/>
        <v/>
      </c>
      <c r="J49" s="42"/>
      <c r="K49" s="87"/>
      <c r="L49" s="97"/>
      <c r="M49" s="97"/>
      <c r="N49" s="97"/>
      <c r="O49" s="97"/>
      <c r="P49" s="97"/>
      <c r="Q49" s="97"/>
      <c r="R49" s="97"/>
      <c r="S49" s="97"/>
    </row>
    <row r="50" spans="1:19" ht="86.25" customHeight="1">
      <c r="A50" s="28" t="str">
        <v>Central USD Akers ES</v>
      </c>
      <c r="B50" s="29" t="str">
        <v>CA</v>
      </c>
      <c r="C50" s="24"/>
      <c r="D50" s="13"/>
      <c r="E50" s="13" t="str">
        <f t="shared" si="4"/>
        <v/>
      </c>
      <c r="F50" s="14" t="str">
        <f t="shared" si="5"/>
        <v/>
      </c>
      <c r="G50" s="15"/>
      <c r="H50" s="15" t="str">
        <f t="shared" si="6"/>
        <v/>
      </c>
      <c r="I50" s="16" t="str">
        <f t="shared" si="2"/>
        <v/>
      </c>
      <c r="J50" s="41"/>
      <c r="K50" s="88"/>
      <c r="L50" s="98"/>
      <c r="M50" s="97"/>
      <c r="N50" s="97"/>
      <c r="O50" s="97"/>
      <c r="P50" s="97"/>
      <c r="Q50" s="97"/>
      <c r="R50" s="97"/>
      <c r="S50" s="97"/>
    </row>
    <row r="51" spans="1:19" ht="69.75" customHeight="1">
      <c r="A51" s="30" t="str">
        <v>CUSD - District Office</v>
      </c>
      <c r="B51" s="31" t="str">
        <v>CA</v>
      </c>
      <c r="C51" s="11"/>
      <c r="D51" s="18"/>
      <c r="E51" s="18" t="str">
        <f t="shared" si="4"/>
        <v/>
      </c>
      <c r="F51" s="19" t="str">
        <f t="shared" si="5"/>
        <v/>
      </c>
      <c r="G51" s="20"/>
      <c r="H51" s="20" t="str">
        <f t="shared" si="6"/>
        <v/>
      </c>
      <c r="I51" s="19" t="str">
        <f t="shared" si="2"/>
        <v/>
      </c>
      <c r="J51" s="42"/>
      <c r="K51" s="90"/>
      <c r="L51" s="98"/>
      <c r="M51" s="98"/>
      <c r="N51" s="97"/>
      <c r="O51" s="97"/>
      <c r="P51" s="97"/>
      <c r="Q51" s="97"/>
      <c r="R51" s="97"/>
      <c r="S51" s="97"/>
    </row>
    <row r="52" spans="1:19" ht="111" customHeight="1">
      <c r="A52" s="28" t="str">
        <v>Parlier - WTP</v>
      </c>
      <c r="B52" s="29" t="str">
        <v>CA</v>
      </c>
      <c r="C52" s="24"/>
      <c r="D52" s="13"/>
      <c r="E52" s="13" t="str">
        <f t="shared" si="4"/>
        <v/>
      </c>
      <c r="F52" s="14" t="str">
        <f t="shared" si="5"/>
        <v/>
      </c>
      <c r="G52" s="15"/>
      <c r="H52" s="15" t="str">
        <f t="shared" si="6"/>
        <v/>
      </c>
      <c r="I52" s="16" t="str">
        <f t="shared" si="2"/>
        <v/>
      </c>
      <c r="J52" s="41"/>
      <c r="K52" s="88"/>
      <c r="L52" s="98"/>
      <c r="M52" s="97"/>
      <c r="N52" s="97"/>
      <c r="O52" s="97"/>
      <c r="P52" s="97"/>
      <c r="Q52" s="97"/>
      <c r="R52" s="97"/>
      <c r="S52" s="97"/>
    </row>
    <row r="53" spans="1:19" ht="15.6">
      <c r="A53" s="30" t="str">
        <v>Snowline SD - Quail Valley MS</v>
      </c>
      <c r="B53" s="31" t="str">
        <v>CA</v>
      </c>
      <c r="C53" s="11"/>
      <c r="D53" s="18"/>
      <c r="E53" s="18" t="str">
        <f t="shared" si="4"/>
        <v/>
      </c>
      <c r="F53" s="19" t="str">
        <f t="shared" si="5"/>
        <v/>
      </c>
      <c r="G53" s="20"/>
      <c r="H53" s="20" t="str">
        <f t="shared" si="6"/>
        <v/>
      </c>
      <c r="I53" s="19" t="str">
        <f t="shared" si="2"/>
        <v/>
      </c>
      <c r="J53" s="42"/>
      <c r="K53" s="90"/>
      <c r="L53" s="98"/>
      <c r="M53" s="97"/>
      <c r="N53" s="97"/>
      <c r="O53" s="97"/>
      <c r="P53" s="97"/>
      <c r="Q53" s="97"/>
      <c r="R53" s="97"/>
      <c r="S53" s="97"/>
    </row>
    <row r="54" spans="1:19" ht="15.6">
      <c r="A54" s="28" t="str">
        <v>Snowline SD - Serrano HS - Middle Lot</v>
      </c>
      <c r="B54" s="29" t="str">
        <v>CA</v>
      </c>
      <c r="C54" s="24"/>
      <c r="D54" s="13"/>
      <c r="E54" s="13" t="str">
        <f t="shared" si="4"/>
        <v/>
      </c>
      <c r="F54" s="14" t="str">
        <f t="shared" si="5"/>
        <v/>
      </c>
      <c r="G54" s="15"/>
      <c r="H54" s="15" t="str">
        <f t="shared" si="6"/>
        <v/>
      </c>
      <c r="I54" s="16" t="str">
        <f t="shared" si="2"/>
        <v/>
      </c>
      <c r="J54" s="41"/>
      <c r="K54" s="41"/>
      <c r="L54" s="97"/>
      <c r="M54" s="97"/>
      <c r="N54" s="97"/>
      <c r="O54" s="97"/>
      <c r="P54" s="97"/>
      <c r="Q54" s="97"/>
      <c r="R54" s="97"/>
      <c r="S54" s="97"/>
    </row>
    <row r="55" spans="1:19" ht="24.75" customHeight="1">
      <c r="A55" s="30" t="str">
        <v>Snowline SD - Pinon Hills ES</v>
      </c>
      <c r="B55" s="31" t="str">
        <v>CA</v>
      </c>
      <c r="C55" s="11"/>
      <c r="D55" s="18"/>
      <c r="E55" s="18" t="str">
        <f t="shared" si="4"/>
        <v/>
      </c>
      <c r="F55" s="19" t="str">
        <f t="shared" si="5"/>
        <v/>
      </c>
      <c r="G55" s="20"/>
      <c r="H55" s="20" t="str">
        <f t="shared" si="6"/>
        <v/>
      </c>
      <c r="I55" s="19" t="str">
        <f t="shared" si="2"/>
        <v/>
      </c>
      <c r="J55" s="54"/>
      <c r="K55" s="92"/>
      <c r="L55" s="97"/>
      <c r="M55" s="97"/>
      <c r="N55" s="97"/>
      <c r="O55" s="97"/>
      <c r="P55" s="97"/>
      <c r="Q55" s="97"/>
      <c r="R55" s="97"/>
      <c r="S55" s="97"/>
    </row>
    <row r="56" spans="1:19" ht="15.6">
      <c r="A56" s="28" t="str">
        <v>Ramona - Santa Maria WTP</v>
      </c>
      <c r="B56" s="29" t="str">
        <v>CA</v>
      </c>
      <c r="C56" s="24"/>
      <c r="D56" s="13"/>
      <c r="E56" s="13" t="str">
        <f t="shared" si="4"/>
        <v/>
      </c>
      <c r="F56" s="14" t="str">
        <f t="shared" si="5"/>
        <v/>
      </c>
      <c r="G56" s="15"/>
      <c r="H56" s="15" t="str">
        <f t="shared" si="6"/>
        <v/>
      </c>
      <c r="I56" s="16" t="str">
        <f t="shared" si="2"/>
        <v/>
      </c>
      <c r="J56" s="41"/>
      <c r="K56" s="41"/>
      <c r="L56" s="97"/>
      <c r="M56" s="97"/>
      <c r="N56" s="97"/>
      <c r="O56" s="97"/>
      <c r="P56" s="97"/>
      <c r="Q56" s="97"/>
      <c r="R56" s="97"/>
      <c r="S56" s="97"/>
    </row>
    <row r="57" spans="1:19" ht="56.25" customHeight="1">
      <c r="A57" s="30" t="str">
        <v>Kohls - Redding</v>
      </c>
      <c r="B57" s="31" t="str">
        <v>CA</v>
      </c>
      <c r="C57" s="11"/>
      <c r="D57" s="18"/>
      <c r="E57" s="18" t="str">
        <f t="shared" si="4"/>
        <v/>
      </c>
      <c r="F57" s="19" t="str">
        <f t="shared" si="5"/>
        <v/>
      </c>
      <c r="G57" s="20"/>
      <c r="H57" s="20" t="str">
        <f t="shared" si="6"/>
        <v/>
      </c>
      <c r="I57" s="19" t="str">
        <f t="shared" si="2"/>
        <v/>
      </c>
      <c r="J57" s="54"/>
      <c r="K57" s="90"/>
      <c r="L57" s="98"/>
      <c r="M57" s="98"/>
      <c r="N57" s="97"/>
      <c r="O57" s="97"/>
      <c r="P57" s="97"/>
      <c r="Q57" s="97"/>
      <c r="R57" s="97"/>
      <c r="S57" s="97"/>
    </row>
    <row r="58" spans="1:19" ht="123" customHeight="1">
      <c r="A58" s="28" t="str">
        <v>Kohls - Salinas</v>
      </c>
      <c r="B58" s="29" t="str">
        <v>CA</v>
      </c>
      <c r="C58" s="24"/>
      <c r="D58" s="13"/>
      <c r="E58" s="13" t="str">
        <f t="shared" si="4"/>
        <v/>
      </c>
      <c r="F58" s="14" t="str">
        <f t="shared" si="5"/>
        <v/>
      </c>
      <c r="G58" s="15"/>
      <c r="H58" s="15" t="str">
        <f t="shared" si="6"/>
        <v/>
      </c>
      <c r="I58" s="16" t="str">
        <f t="shared" si="2"/>
        <v/>
      </c>
      <c r="J58" s="41"/>
      <c r="K58" s="88"/>
      <c r="L58" s="98"/>
      <c r="M58" s="98"/>
      <c r="N58" s="98"/>
      <c r="O58" s="98"/>
      <c r="P58" s="98"/>
      <c r="Q58" s="97"/>
      <c r="R58" s="97"/>
      <c r="S58" s="97"/>
    </row>
    <row r="59" spans="1:19" ht="15.6">
      <c r="A59" s="30" t="str">
        <v>Kohls - Sonora</v>
      </c>
      <c r="B59" s="31" t="str">
        <v>CA</v>
      </c>
      <c r="C59" s="11"/>
      <c r="D59" s="18"/>
      <c r="E59" s="18" t="str">
        <f t="shared" si="4"/>
        <v/>
      </c>
      <c r="F59" s="19" t="str">
        <f t="shared" si="5"/>
        <v/>
      </c>
      <c r="G59" s="20"/>
      <c r="H59" s="20" t="str">
        <f t="shared" si="6"/>
        <v/>
      </c>
      <c r="I59" s="19" t="str">
        <f t="shared" si="2"/>
        <v/>
      </c>
      <c r="J59" s="42"/>
      <c r="K59" s="90"/>
      <c r="L59" s="98"/>
      <c r="M59" s="97"/>
      <c r="N59" s="97"/>
      <c r="O59" s="97"/>
      <c r="P59" s="97"/>
      <c r="Q59" s="97"/>
      <c r="R59" s="97"/>
      <c r="S59" s="97"/>
    </row>
    <row r="60" spans="1:19" ht="118.5" customHeight="1">
      <c r="A60" s="28" t="str">
        <v>CUSD - Stratford ES</v>
      </c>
      <c r="B60" s="29" t="str">
        <v>CA</v>
      </c>
      <c r="C60" s="24"/>
      <c r="D60" s="13"/>
      <c r="E60" s="13" t="str">
        <f t="shared" si="4"/>
        <v/>
      </c>
      <c r="F60" s="14" t="str">
        <f t="shared" si="5"/>
        <v/>
      </c>
      <c r="G60" s="15"/>
      <c r="H60" s="15" t="str">
        <f t="shared" si="6"/>
        <v/>
      </c>
      <c r="I60" s="16" t="str">
        <f t="shared" si="2"/>
        <v/>
      </c>
      <c r="J60" s="41"/>
      <c r="K60" s="91"/>
      <c r="L60" s="98"/>
      <c r="M60" s="98"/>
      <c r="N60" s="98"/>
      <c r="O60" s="98"/>
      <c r="P60" s="98"/>
      <c r="Q60" s="97"/>
      <c r="R60" s="97"/>
      <c r="S60" s="97"/>
    </row>
    <row r="61" spans="1:19" ht="15.6">
      <c r="A61" s="30" t="str">
        <v>Taft - City Hall</v>
      </c>
      <c r="B61" s="31" t="str">
        <v>CA</v>
      </c>
      <c r="C61" s="11"/>
      <c r="D61" s="18"/>
      <c r="E61" s="18" t="str">
        <f t="shared" si="4"/>
        <v/>
      </c>
      <c r="F61" s="19" t="str">
        <f t="shared" si="5"/>
        <v/>
      </c>
      <c r="G61" s="20"/>
      <c r="H61" s="20" t="str">
        <f t="shared" si="6"/>
        <v/>
      </c>
      <c r="I61" s="19" t="str">
        <f t="shared" si="2"/>
        <v/>
      </c>
      <c r="J61" s="42"/>
      <c r="K61" s="43"/>
      <c r="L61" s="97"/>
      <c r="M61" s="97"/>
      <c r="N61" s="97"/>
      <c r="O61" s="97"/>
      <c r="P61" s="97"/>
      <c r="Q61" s="97"/>
      <c r="R61" s="97"/>
      <c r="S61" s="97"/>
    </row>
    <row r="62" spans="1:19" ht="18.75" customHeight="1">
      <c r="A62" s="28" t="str">
        <v>Taft - Federal Prison</v>
      </c>
      <c r="B62" s="29" t="str">
        <v>CA</v>
      </c>
      <c r="C62" s="24"/>
      <c r="D62" s="13"/>
      <c r="E62" s="13" t="str">
        <f t="shared" si="4"/>
        <v/>
      </c>
      <c r="F62" s="14" t="str">
        <f t="shared" si="5"/>
        <v/>
      </c>
      <c r="G62" s="15"/>
      <c r="H62" s="15" t="str">
        <f t="shared" si="6"/>
        <v/>
      </c>
      <c r="I62" s="16" t="str">
        <f t="shared" si="2"/>
        <v/>
      </c>
      <c r="J62" s="41"/>
      <c r="K62" s="91"/>
      <c r="L62" s="97"/>
      <c r="M62" s="97"/>
      <c r="N62" s="97"/>
      <c r="O62" s="97"/>
      <c r="P62" s="97"/>
      <c r="Q62" s="97"/>
      <c r="R62" s="97"/>
      <c r="S62" s="97"/>
    </row>
    <row r="63" spans="1:19" ht="15.6">
      <c r="A63" s="30" t="str">
        <v>Taft - Police Department</v>
      </c>
      <c r="B63" s="31" t="str">
        <v>CA</v>
      </c>
      <c r="C63" s="11"/>
      <c r="D63" s="18"/>
      <c r="E63" s="18" t="str">
        <f t="shared" si="4"/>
        <v/>
      </c>
      <c r="F63" s="19" t="str">
        <f t="shared" si="5"/>
        <v/>
      </c>
      <c r="G63" s="20"/>
      <c r="H63" s="20" t="str">
        <f t="shared" si="6"/>
        <v/>
      </c>
      <c r="I63" s="19" t="str">
        <f t="shared" si="2"/>
        <v/>
      </c>
      <c r="J63" s="42"/>
      <c r="K63" s="43"/>
      <c r="L63" s="97"/>
      <c r="M63" s="97"/>
      <c r="N63" s="97"/>
      <c r="O63" s="97"/>
      <c r="P63" s="97"/>
      <c r="Q63" s="97"/>
      <c r="R63" s="97"/>
      <c r="S63" s="97"/>
    </row>
    <row r="64" spans="1:19" ht="15.6">
      <c r="A64" s="28" t="str">
        <v>Taft - WTP</v>
      </c>
      <c r="B64" s="29" t="str">
        <v>CA</v>
      </c>
      <c r="C64" s="24"/>
      <c r="D64" s="13"/>
      <c r="E64" s="13" t="str">
        <f t="shared" si="4"/>
        <v/>
      </c>
      <c r="F64" s="14" t="str">
        <f t="shared" si="5"/>
        <v/>
      </c>
      <c r="G64" s="15"/>
      <c r="H64" s="15" t="str">
        <f t="shared" si="6"/>
        <v/>
      </c>
      <c r="I64" s="16" t="str">
        <f t="shared" si="2"/>
        <v/>
      </c>
      <c r="J64" s="41"/>
      <c r="K64" s="41"/>
      <c r="L64" s="97"/>
      <c r="M64" s="97"/>
      <c r="N64" s="97"/>
      <c r="O64" s="97"/>
      <c r="P64" s="97"/>
      <c r="Q64" s="97"/>
      <c r="R64" s="97"/>
      <c r="S64" s="97"/>
    </row>
    <row r="65" spans="1:19" ht="81.75" customHeight="1">
      <c r="A65" s="30" t="str">
        <v>CDCR - CA Correctional Institution</v>
      </c>
      <c r="B65" s="31" t="str">
        <v>CA</v>
      </c>
      <c r="C65" s="11"/>
      <c r="D65" s="18"/>
      <c r="E65" s="18" t="str">
        <f t="shared" si="4"/>
        <v/>
      </c>
      <c r="F65" s="19" t="str">
        <f t="shared" si="5"/>
        <v/>
      </c>
      <c r="G65" s="20"/>
      <c r="H65" s="20" t="str">
        <f t="shared" si="6"/>
        <v/>
      </c>
      <c r="I65" s="19" t="str">
        <f t="shared" si="2"/>
        <v/>
      </c>
      <c r="J65" s="42"/>
      <c r="K65" s="90"/>
      <c r="L65" s="98"/>
      <c r="M65" s="98"/>
      <c r="N65" s="97"/>
      <c r="O65" s="97"/>
      <c r="P65" s="97"/>
      <c r="Q65" s="97"/>
      <c r="R65" s="97"/>
      <c r="S65" s="97"/>
    </row>
    <row r="66" spans="1:19" ht="78" customHeight="1">
      <c r="A66" s="28" t="str">
        <v>CDCR - CA Correctional Institution II</v>
      </c>
      <c r="B66" s="29" t="str">
        <v>CA</v>
      </c>
      <c r="C66" s="24"/>
      <c r="D66" s="13"/>
      <c r="E66" s="13" t="str">
        <f t="shared" si="4"/>
        <v/>
      </c>
      <c r="F66" s="14" t="str">
        <f t="shared" si="5"/>
        <v/>
      </c>
      <c r="G66" s="15"/>
      <c r="H66" s="15" t="str">
        <f t="shared" si="6"/>
        <v/>
      </c>
      <c r="I66" s="16" t="str">
        <f t="shared" si="2"/>
        <v/>
      </c>
      <c r="J66" s="41"/>
      <c r="K66" s="88"/>
      <c r="L66" s="98"/>
      <c r="M66" s="98"/>
      <c r="N66" s="97"/>
      <c r="O66" s="97"/>
      <c r="P66" s="97"/>
      <c r="Q66" s="97"/>
      <c r="R66" s="97"/>
      <c r="S66" s="97"/>
    </row>
    <row r="67" spans="1:19" ht="288" customHeight="1">
      <c r="A67" s="30" t="str">
        <v>Snowline SD - Vista Verde ES</v>
      </c>
      <c r="B67" s="31" t="str">
        <v>CA</v>
      </c>
      <c r="C67" s="11"/>
      <c r="D67" s="18"/>
      <c r="E67" s="18" t="str">
        <f t="shared" si="4"/>
        <v/>
      </c>
      <c r="F67" s="19" t="str">
        <f t="shared" si="5"/>
        <v/>
      </c>
      <c r="G67" s="20"/>
      <c r="H67" s="20" t="str">
        <f t="shared" si="6"/>
        <v/>
      </c>
      <c r="I67" s="19" t="str">
        <f t="shared" si="2"/>
        <v/>
      </c>
      <c r="J67" s="54"/>
      <c r="K67" s="90"/>
      <c r="L67" s="98"/>
      <c r="M67" s="98"/>
      <c r="N67" s="98"/>
      <c r="O67" s="98"/>
      <c r="P67" s="97"/>
      <c r="Q67" s="97"/>
      <c r="R67" s="97"/>
      <c r="S67" s="97"/>
    </row>
    <row r="68" spans="1:19" ht="54.75" customHeight="1">
      <c r="A68" s="28" t="str">
        <v>North Stonington</v>
      </c>
      <c r="B68" s="29" t="str">
        <v>CT</v>
      </c>
      <c r="C68" s="24"/>
      <c r="D68" s="13"/>
      <c r="E68" s="13" t="str">
        <f t="shared" si="4"/>
        <v/>
      </c>
      <c r="F68" s="14" t="str">
        <f t="shared" si="5"/>
        <v/>
      </c>
      <c r="G68" s="15"/>
      <c r="H68" s="15" t="str">
        <f t="shared" si="6"/>
        <v/>
      </c>
      <c r="I68" s="16" t="str">
        <f t="shared" si="2"/>
        <v/>
      </c>
      <c r="J68" s="41"/>
      <c r="K68" s="88"/>
      <c r="L68" s="97"/>
      <c r="M68" s="97"/>
      <c r="N68" s="97"/>
      <c r="O68" s="97"/>
      <c r="P68" s="97"/>
      <c r="Q68" s="97"/>
      <c r="R68" s="97"/>
      <c r="S68" s="97"/>
    </row>
    <row r="69" spans="1:19" ht="15.6">
      <c r="A69" s="30" t="str">
        <v>CT: Torrington - 2-298 Rossi Road</v>
      </c>
      <c r="B69" s="31" t="str">
        <v>CT</v>
      </c>
      <c r="C69" s="11"/>
      <c r="D69" s="18"/>
      <c r="E69" s="18"/>
      <c r="F69" s="19"/>
      <c r="G69" s="81"/>
      <c r="H69" s="20"/>
      <c r="I69" s="19"/>
      <c r="J69" s="53"/>
      <c r="K69" s="90"/>
      <c r="L69" s="97"/>
      <c r="M69" s="97"/>
      <c r="N69" s="97"/>
      <c r="O69" s="97"/>
      <c r="P69" s="97"/>
      <c r="Q69" s="97"/>
      <c r="R69" s="97"/>
      <c r="S69" s="97"/>
    </row>
    <row r="70" spans="1:19" ht="14.45">
      <c r="A70" s="21"/>
      <c r="B70" s="33"/>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31"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97"/>
  </cols>
  <sheetData>
    <row r="1" spans="1:13" ht="19.5" customHeight="1">
      <c r="A1" s="135" t="str" cm="1">
        <f t="array" ref="A1">portfolio</f>
        <v>Silicon Ranch</v>
      </c>
      <c r="B1" s="135"/>
      <c r="C1" s="135"/>
      <c r="D1" s="136" t="s">
        <v>181</v>
      </c>
      <c r="E1" s="136"/>
      <c r="F1" s="136"/>
      <c r="G1" s="134" t="s">
        <v>182</v>
      </c>
      <c r="H1" s="134"/>
      <c r="I1" s="134"/>
      <c r="J1" s="4"/>
      <c r="K1" s="4"/>
    </row>
    <row r="2" spans="1:13"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3" ht="15.6">
      <c r="A5" s="30" t="str">
        <v>Kohls - Auburn</v>
      </c>
      <c r="B5" s="31" t="str">
        <v>NY</v>
      </c>
      <c r="C5" s="11"/>
      <c r="D5" s="18"/>
      <c r="E5" s="18" t="str">
        <f t="shared" ref="E5:E25" si="0">IF(AND(ISNUMBER(C5),ISNUMBER(D5)), C5-D5, "")</f>
        <v/>
      </c>
      <c r="F5" s="19" t="str">
        <f>IFERROR(E5/D5, "")</f>
        <v/>
      </c>
      <c r="G5" s="20"/>
      <c r="H5" s="20" t="str">
        <f t="shared" ref="H5:H17" si="1">IF(AND(ISNUMBER(C5),ISNUMBER(G5)), C5-G5, "")</f>
        <v/>
      </c>
      <c r="I5" s="19" t="str">
        <f t="shared" ref="I5:I69" si="2">IFERROR(H5/G5, "")</f>
        <v/>
      </c>
      <c r="J5" s="42"/>
      <c r="K5" s="42"/>
    </row>
    <row r="6" spans="1:13" ht="15.6">
      <c r="A6" s="28" t="str">
        <v>Kohls - Bensalem</v>
      </c>
      <c r="B6" s="29" t="str">
        <v>PA</v>
      </c>
      <c r="C6" s="24"/>
      <c r="D6" s="13"/>
      <c r="E6" s="13" t="str">
        <f t="shared" si="0"/>
        <v/>
      </c>
      <c r="F6" s="14" t="str">
        <f t="shared" ref="F6:F69" si="3">IFERROR(E6/D6, "")</f>
        <v/>
      </c>
      <c r="G6" s="15"/>
      <c r="H6" s="15" t="str">
        <f t="shared" si="1"/>
        <v/>
      </c>
      <c r="I6" s="16" t="str">
        <f t="shared" si="2"/>
        <v/>
      </c>
      <c r="J6" s="41"/>
      <c r="K6" s="88"/>
    </row>
    <row r="7" spans="1:13" ht="15.6">
      <c r="A7" s="30" t="str">
        <v>Kohls - Brick</v>
      </c>
      <c r="B7" s="31" t="str">
        <v>NJ</v>
      </c>
      <c r="C7" s="11"/>
      <c r="D7" s="18"/>
      <c r="E7" s="18" t="str">
        <f t="shared" si="0"/>
        <v/>
      </c>
      <c r="F7" s="19" t="str">
        <f t="shared" si="3"/>
        <v/>
      </c>
      <c r="G7" s="20"/>
      <c r="H7" s="20" t="str">
        <f t="shared" si="1"/>
        <v/>
      </c>
      <c r="I7" s="19" t="str">
        <f t="shared" si="2"/>
        <v/>
      </c>
      <c r="J7" s="54"/>
      <c r="K7" s="90"/>
    </row>
    <row r="8" spans="1:13" ht="15.6">
      <c r="A8" s="28" t="str">
        <v>Kohls - Buffalo</v>
      </c>
      <c r="B8" s="29" t="str">
        <v>NY</v>
      </c>
      <c r="C8" s="24"/>
      <c r="D8" s="13"/>
      <c r="E8" s="13" t="str">
        <f t="shared" si="0"/>
        <v/>
      </c>
      <c r="F8" s="14" t="str">
        <f t="shared" si="3"/>
        <v/>
      </c>
      <c r="G8" s="15"/>
      <c r="H8" s="15" t="str">
        <f t="shared" si="1"/>
        <v/>
      </c>
      <c r="I8" s="16" t="str">
        <f t="shared" si="2"/>
        <v/>
      </c>
      <c r="J8" s="41"/>
      <c r="K8" s="91"/>
      <c r="L8" s="98"/>
      <c r="M8" s="98"/>
    </row>
    <row r="9" spans="1:13" ht="15.6">
      <c r="A9" s="30" t="str">
        <v>Kohls - Canton</v>
      </c>
      <c r="B9" s="31" t="str">
        <v>CT</v>
      </c>
      <c r="C9" s="11"/>
      <c r="D9" s="18"/>
      <c r="E9" s="18" t="str">
        <f t="shared" si="0"/>
        <v/>
      </c>
      <c r="F9" s="19" t="str">
        <f t="shared" si="3"/>
        <v/>
      </c>
      <c r="G9" s="20"/>
      <c r="H9" s="20" t="str">
        <f t="shared" si="1"/>
        <v/>
      </c>
      <c r="I9" s="19" t="str">
        <f t="shared" si="2"/>
        <v/>
      </c>
      <c r="J9" s="42"/>
      <c r="K9" s="43"/>
    </row>
    <row r="10" spans="1:13" ht="15.6">
      <c r="A10" s="28" t="str">
        <v>Kohls - East Amherst</v>
      </c>
      <c r="B10" s="29" t="str">
        <v>NY</v>
      </c>
      <c r="C10" s="24"/>
      <c r="D10" s="13"/>
      <c r="E10" s="13" t="str">
        <f t="shared" si="0"/>
        <v/>
      </c>
      <c r="F10" s="14" t="str">
        <f t="shared" si="3"/>
        <v/>
      </c>
      <c r="G10" s="15"/>
      <c r="H10" s="15" t="str">
        <f t="shared" si="1"/>
        <v/>
      </c>
      <c r="I10" s="16" t="str">
        <f t="shared" si="2"/>
        <v/>
      </c>
      <c r="J10" s="41"/>
      <c r="K10" s="88"/>
    </row>
    <row r="11" spans="1:13" ht="15.6">
      <c r="A11" s="30" t="str">
        <v>Kohls - East Brunswick</v>
      </c>
      <c r="B11" s="31" t="str">
        <v>NJ</v>
      </c>
      <c r="C11" s="11"/>
      <c r="D11" s="18"/>
      <c r="E11" s="18" t="str">
        <f t="shared" si="0"/>
        <v/>
      </c>
      <c r="F11" s="19" t="str">
        <f t="shared" si="3"/>
        <v/>
      </c>
      <c r="G11" s="20"/>
      <c r="H11" s="20" t="str">
        <f t="shared" si="1"/>
        <v/>
      </c>
      <c r="I11" s="19" t="str">
        <f t="shared" si="2"/>
        <v/>
      </c>
      <c r="J11" s="54"/>
      <c r="K11" s="90"/>
    </row>
    <row r="12" spans="1:13" ht="15.6">
      <c r="A12" s="28" t="str">
        <v>Kohls - Edgewood</v>
      </c>
      <c r="B12" s="29" t="str">
        <v>MD</v>
      </c>
      <c r="C12" s="24"/>
      <c r="D12" s="13"/>
      <c r="E12" s="13" t="str">
        <f t="shared" si="0"/>
        <v/>
      </c>
      <c r="F12" s="14" t="str">
        <f t="shared" si="3"/>
        <v/>
      </c>
      <c r="G12" s="15"/>
      <c r="H12" s="15" t="str">
        <f t="shared" si="1"/>
        <v/>
      </c>
      <c r="I12" s="16" t="str">
        <f t="shared" si="2"/>
        <v/>
      </c>
      <c r="J12" s="41"/>
      <c r="K12" s="41"/>
    </row>
    <row r="13" spans="1:13" ht="15.6">
      <c r="A13" s="30" t="str">
        <v>Kohls - Granite Run</v>
      </c>
      <c r="B13" s="31" t="str">
        <v>PA</v>
      </c>
      <c r="C13" s="11"/>
      <c r="D13" s="18"/>
      <c r="E13" s="18" t="str">
        <f t="shared" si="0"/>
        <v/>
      </c>
      <c r="F13" s="19" t="str">
        <f t="shared" si="3"/>
        <v/>
      </c>
      <c r="G13" s="20"/>
      <c r="H13" s="20" t="str">
        <f t="shared" si="1"/>
        <v/>
      </c>
      <c r="I13" s="19" t="str">
        <f t="shared" si="2"/>
        <v/>
      </c>
      <c r="J13" s="42"/>
      <c r="K13" s="43"/>
    </row>
    <row r="14" spans="1:13" ht="15.6">
      <c r="A14" s="28" t="str">
        <v>Kohls - Greece</v>
      </c>
      <c r="B14" s="29" t="str">
        <v>NY</v>
      </c>
      <c r="C14" s="24"/>
      <c r="D14" s="13"/>
      <c r="E14" s="13" t="str">
        <f t="shared" si="0"/>
        <v/>
      </c>
      <c r="F14" s="14" t="str">
        <f t="shared" si="3"/>
        <v/>
      </c>
      <c r="G14" s="15"/>
      <c r="H14" s="15" t="str">
        <f t="shared" si="1"/>
        <v/>
      </c>
      <c r="I14" s="16" t="str">
        <f t="shared" si="2"/>
        <v/>
      </c>
      <c r="J14" s="41"/>
      <c r="K14" s="41"/>
    </row>
    <row r="15" spans="1:13" ht="15.6">
      <c r="A15" s="30" t="str">
        <v>Kohls - Hanover</v>
      </c>
      <c r="B15" s="31" t="str">
        <v>PA</v>
      </c>
      <c r="C15" s="11"/>
      <c r="D15" s="18"/>
      <c r="E15" s="18" t="str">
        <f t="shared" si="0"/>
        <v/>
      </c>
      <c r="F15" s="19" t="str">
        <f t="shared" si="3"/>
        <v/>
      </c>
      <c r="G15" s="20"/>
      <c r="H15" s="20" t="str">
        <f t="shared" si="1"/>
        <v/>
      </c>
      <c r="I15" s="19" t="str">
        <f t="shared" si="2"/>
        <v/>
      </c>
      <c r="J15" s="42"/>
      <c r="K15" s="43"/>
    </row>
    <row r="16" spans="1:13" ht="15.6">
      <c r="A16" s="28" t="str">
        <v>Kohls - Horsehead</v>
      </c>
      <c r="B16" s="29" t="str">
        <v>NY</v>
      </c>
      <c r="C16" s="24"/>
      <c r="D16" s="13"/>
      <c r="E16" s="13" t="str">
        <f t="shared" si="0"/>
        <v/>
      </c>
      <c r="F16" s="14" t="str">
        <f t="shared" si="3"/>
        <v/>
      </c>
      <c r="G16" s="15"/>
      <c r="H16" s="15" t="str">
        <f t="shared" si="1"/>
        <v/>
      </c>
      <c r="I16" s="16" t="str">
        <f t="shared" si="2"/>
        <v/>
      </c>
      <c r="J16" s="41"/>
      <c r="K16" s="41"/>
    </row>
    <row r="17" spans="1:13" ht="15.6">
      <c r="A17" s="30" t="str">
        <v>Kohls - Hudson</v>
      </c>
      <c r="B17" s="31" t="str">
        <v>NY</v>
      </c>
      <c r="C17" s="11"/>
      <c r="D17" s="18"/>
      <c r="E17" s="18" t="str">
        <f t="shared" si="0"/>
        <v/>
      </c>
      <c r="F17" s="19" t="str">
        <f t="shared" si="3"/>
        <v/>
      </c>
      <c r="G17" s="20"/>
      <c r="H17" s="20" t="str">
        <f t="shared" si="1"/>
        <v/>
      </c>
      <c r="I17" s="19" t="str">
        <f t="shared" si="2"/>
        <v/>
      </c>
      <c r="J17" s="42"/>
      <c r="K17" s="43"/>
    </row>
    <row r="18" spans="1:13" ht="12.75" customHeight="1">
      <c r="A18" s="32" t="str">
        <v>Kohls - Ithaca</v>
      </c>
      <c r="B18" s="29" t="str">
        <v>NY</v>
      </c>
      <c r="C18" s="24"/>
      <c r="D18" s="13"/>
      <c r="E18" s="13" t="str">
        <f t="shared" si="0"/>
        <v/>
      </c>
      <c r="F18" s="14" t="str">
        <f t="shared" si="3"/>
        <v/>
      </c>
      <c r="G18" s="15"/>
      <c r="H18" s="15" t="str">
        <f t="shared" ref="H18:H25" si="4">IF(AND(ISNUMBER(C18),ISNUMBER(G18)), C18-G18, "")</f>
        <v/>
      </c>
      <c r="I18" s="16" t="str">
        <f t="shared" si="2"/>
        <v/>
      </c>
      <c r="J18" s="41"/>
      <c r="K18" s="41"/>
    </row>
    <row r="19" spans="1:13" ht="15.6">
      <c r="A19" s="30" t="str">
        <v>Kohls - Kingston</v>
      </c>
      <c r="B19" s="31" t="str">
        <v>NY</v>
      </c>
      <c r="C19" s="11"/>
      <c r="D19" s="18"/>
      <c r="E19" s="18" t="str">
        <f t="shared" si="0"/>
        <v/>
      </c>
      <c r="F19" s="19" t="str">
        <f t="shared" si="3"/>
        <v/>
      </c>
      <c r="G19" s="20"/>
      <c r="H19" s="20" t="str">
        <f t="shared" si="4"/>
        <v/>
      </c>
      <c r="I19" s="19" t="str">
        <f t="shared" si="2"/>
        <v/>
      </c>
      <c r="J19" s="42"/>
      <c r="K19" s="42"/>
    </row>
    <row r="20" spans="1:13" ht="15.6">
      <c r="A20" s="28" t="str">
        <v>Kohls - Mechanicsburg</v>
      </c>
      <c r="B20" s="29" t="str">
        <v>PA</v>
      </c>
      <c r="C20" s="24"/>
      <c r="D20" s="13"/>
      <c r="E20" s="13" t="str">
        <f t="shared" si="0"/>
        <v/>
      </c>
      <c r="F20" s="14" t="str">
        <f t="shared" si="3"/>
        <v/>
      </c>
      <c r="G20" s="15"/>
      <c r="H20" s="15" t="str">
        <f t="shared" si="4"/>
        <v/>
      </c>
      <c r="I20" s="16" t="str">
        <f t="shared" si="2"/>
        <v/>
      </c>
      <c r="J20" s="41"/>
      <c r="K20" s="41"/>
    </row>
    <row r="21" spans="1:13" ht="15.6">
      <c r="A21" s="30" t="str">
        <v>Kohls - Middletown</v>
      </c>
      <c r="B21" s="31" t="str">
        <v>NJ</v>
      </c>
      <c r="C21" s="11"/>
      <c r="D21" s="18"/>
      <c r="E21" s="18" t="str">
        <f t="shared" si="0"/>
        <v/>
      </c>
      <c r="F21" s="19" t="str">
        <f t="shared" si="3"/>
        <v/>
      </c>
      <c r="G21" s="20"/>
      <c r="H21" s="20" t="str">
        <f t="shared" si="4"/>
        <v/>
      </c>
      <c r="I21" s="19" t="str">
        <f t="shared" si="2"/>
        <v/>
      </c>
      <c r="J21" s="42"/>
      <c r="K21" s="90"/>
      <c r="L21" s="98"/>
    </row>
    <row r="22" spans="1:13" ht="15.6">
      <c r="A22" s="28" t="str">
        <v>Kohls - North Amherst</v>
      </c>
      <c r="B22" s="29" t="str">
        <v>NY</v>
      </c>
      <c r="C22" s="24"/>
      <c r="D22" s="13"/>
      <c r="E22" s="13" t="str">
        <f t="shared" si="0"/>
        <v/>
      </c>
      <c r="F22" s="14" t="str">
        <f t="shared" si="3"/>
        <v/>
      </c>
      <c r="G22" s="15"/>
      <c r="H22" s="15" t="str">
        <f t="shared" si="4"/>
        <v/>
      </c>
      <c r="I22" s="16" t="str">
        <f t="shared" si="2"/>
        <v/>
      </c>
      <c r="J22" s="41"/>
      <c r="K22" s="88"/>
      <c r="L22" s="98"/>
    </row>
    <row r="23" spans="1:13" ht="15.6">
      <c r="A23" s="30" t="str">
        <v>Kohls - Staten Island</v>
      </c>
      <c r="B23" s="31" t="str">
        <v>NY</v>
      </c>
      <c r="C23" s="11"/>
      <c r="D23" s="18"/>
      <c r="E23" s="18" t="str">
        <f t="shared" si="0"/>
        <v/>
      </c>
      <c r="F23" s="19" t="str">
        <f t="shared" si="3"/>
        <v/>
      </c>
      <c r="G23" s="20"/>
      <c r="H23" s="20" t="str">
        <f t="shared" si="4"/>
        <v/>
      </c>
      <c r="I23" s="19" t="str">
        <f t="shared" si="2"/>
        <v/>
      </c>
      <c r="J23" s="54"/>
      <c r="K23" s="90"/>
      <c r="L23" s="98"/>
    </row>
    <row r="24" spans="1:13" ht="15.6">
      <c r="A24" s="28" t="str">
        <v>Kohls - Warminster</v>
      </c>
      <c r="B24" s="29" t="str">
        <v>PA</v>
      </c>
      <c r="C24" s="24"/>
      <c r="D24" s="13"/>
      <c r="E24" s="13" t="str">
        <f t="shared" si="0"/>
        <v/>
      </c>
      <c r="F24" s="14" t="str">
        <f t="shared" si="3"/>
        <v/>
      </c>
      <c r="G24" s="15"/>
      <c r="H24" s="15" t="str">
        <f t="shared" si="4"/>
        <v/>
      </c>
      <c r="I24" s="16" t="str">
        <f t="shared" si="2"/>
        <v/>
      </c>
      <c r="J24" s="41"/>
      <c r="K24" s="41"/>
    </row>
    <row r="25" spans="1:13" ht="15.6">
      <c r="A25" s="30" t="str">
        <v xml:space="preserve">Kohls - Waterbury </v>
      </c>
      <c r="B25" s="31" t="str">
        <v>CT</v>
      </c>
      <c r="C25" s="11"/>
      <c r="D25" s="18"/>
      <c r="E25" s="18" t="str">
        <f t="shared" si="0"/>
        <v/>
      </c>
      <c r="F25" s="19" t="str">
        <f t="shared" si="3"/>
        <v/>
      </c>
      <c r="G25" s="20"/>
      <c r="H25" s="20" t="str">
        <f t="shared" si="4"/>
        <v/>
      </c>
      <c r="I25" s="19" t="str">
        <f t="shared" si="2"/>
        <v/>
      </c>
      <c r="J25" s="42"/>
      <c r="K25" s="90"/>
    </row>
    <row r="26" spans="1:13" ht="15.6">
      <c r="A26" s="28" t="str">
        <v>Mojave Water Agency - Headquarters</v>
      </c>
      <c r="B26" s="29" t="str">
        <v>CA</v>
      </c>
      <c r="C26" s="24"/>
      <c r="D26" s="13"/>
      <c r="E26" s="13" t="str">
        <f t="shared" ref="E26:E68" si="5">IF(AND(ISNUMBER(C26),ISNUMBER(D26)), C26-D26, "")</f>
        <v/>
      </c>
      <c r="F26" s="14" t="str">
        <f t="shared" si="3"/>
        <v/>
      </c>
      <c r="G26" s="15"/>
      <c r="H26" s="15" t="str">
        <f t="shared" ref="H26:H68" si="6">IF(AND(ISNUMBER(C26),ISNUMBER(G26)), C26-G26, "")</f>
        <v/>
      </c>
      <c r="I26" s="16" t="str">
        <f t="shared" si="2"/>
        <v/>
      </c>
      <c r="J26" s="41"/>
      <c r="K26" s="41"/>
    </row>
    <row r="27" spans="1:13" ht="15.6">
      <c r="A27" s="30" t="str">
        <v>CSU - Bakersfield</v>
      </c>
      <c r="B27" s="31" t="str">
        <v>CA</v>
      </c>
      <c r="C27" s="11"/>
      <c r="D27" s="18"/>
      <c r="E27" s="18" t="str">
        <f t="shared" si="5"/>
        <v/>
      </c>
      <c r="F27" s="19" t="str">
        <f t="shared" si="3"/>
        <v/>
      </c>
      <c r="G27" s="20"/>
      <c r="H27" s="20" t="str">
        <f t="shared" si="6"/>
        <v/>
      </c>
      <c r="I27" s="19" t="str">
        <f t="shared" si="2"/>
        <v/>
      </c>
      <c r="J27" s="42"/>
      <c r="K27" s="43"/>
    </row>
    <row r="28" spans="1:13" ht="15.6">
      <c r="A28" s="28" t="str">
        <v>Greenfield USD - Fairfield ES</v>
      </c>
      <c r="B28" s="29" t="str">
        <v>CA</v>
      </c>
      <c r="C28" s="24"/>
      <c r="D28" s="13"/>
      <c r="E28" s="13" t="str">
        <f t="shared" si="5"/>
        <v/>
      </c>
      <c r="F28" s="14" t="str">
        <f t="shared" si="3"/>
        <v/>
      </c>
      <c r="G28" s="15"/>
      <c r="H28" s="15" t="str">
        <f t="shared" si="6"/>
        <v/>
      </c>
      <c r="I28" s="16" t="str">
        <f t="shared" si="2"/>
        <v/>
      </c>
      <c r="J28" s="41"/>
      <c r="K28" s="41"/>
    </row>
    <row r="29" spans="1:13" ht="15.6">
      <c r="A29" s="30" t="str">
        <v>Greenfield USD - Granite Point ES</v>
      </c>
      <c r="B29" s="31" t="str">
        <v>CA</v>
      </c>
      <c r="C29" s="11"/>
      <c r="D29" s="18"/>
      <c r="E29" s="18" t="str">
        <f t="shared" si="5"/>
        <v/>
      </c>
      <c r="F29" s="19" t="str">
        <f t="shared" si="3"/>
        <v/>
      </c>
      <c r="G29" s="20"/>
      <c r="H29" s="20" t="str">
        <f t="shared" si="6"/>
        <v/>
      </c>
      <c r="I29" s="19" t="str">
        <f t="shared" si="2"/>
        <v/>
      </c>
      <c r="J29" s="42"/>
      <c r="K29" s="90"/>
      <c r="L29" s="98"/>
      <c r="M29" s="98"/>
    </row>
    <row r="30" spans="1:13" ht="15.6">
      <c r="A30" s="28" t="str">
        <v>Greenfield USD - Greenfield MS</v>
      </c>
      <c r="B30" s="29" t="str">
        <v>CA</v>
      </c>
      <c r="C30" s="24"/>
      <c r="D30" s="13"/>
      <c r="E30" s="13" t="str">
        <f t="shared" si="5"/>
        <v/>
      </c>
      <c r="F30" s="14" t="str">
        <f t="shared" si="3"/>
        <v/>
      </c>
      <c r="G30" s="15"/>
      <c r="H30" s="15" t="str">
        <f t="shared" si="6"/>
        <v/>
      </c>
      <c r="I30" s="16" t="str">
        <f t="shared" si="2"/>
        <v/>
      </c>
      <c r="J30" s="41"/>
      <c r="K30" s="88"/>
    </row>
    <row r="31" spans="1:13" ht="15.6">
      <c r="A31" s="30" t="str">
        <v>Greenfield USD - Horizon ES</v>
      </c>
      <c r="B31" s="31" t="str">
        <v>CA</v>
      </c>
      <c r="C31" s="11"/>
      <c r="D31" s="18"/>
      <c r="E31" s="18" t="str">
        <f t="shared" si="5"/>
        <v/>
      </c>
      <c r="F31" s="19" t="str">
        <f t="shared" si="3"/>
        <v/>
      </c>
      <c r="G31" s="20"/>
      <c r="H31" s="20" t="str">
        <f t="shared" si="6"/>
        <v/>
      </c>
      <c r="I31" s="19" t="str">
        <f t="shared" si="2"/>
        <v/>
      </c>
      <c r="J31" s="42"/>
      <c r="K31" s="90"/>
      <c r="L31" s="98"/>
      <c r="M31" s="98"/>
    </row>
    <row r="32" spans="1:13" ht="15.6">
      <c r="A32" s="28" t="str">
        <v>Greenfield USD - McKee MS</v>
      </c>
      <c r="B32" s="29" t="str">
        <v>CA</v>
      </c>
      <c r="C32" s="24"/>
      <c r="D32" s="13"/>
      <c r="E32" s="13" t="str">
        <f t="shared" si="5"/>
        <v/>
      </c>
      <c r="F32" s="14" t="str">
        <f t="shared" si="3"/>
        <v/>
      </c>
      <c r="G32" s="15"/>
      <c r="H32" s="15" t="str">
        <f t="shared" si="6"/>
        <v/>
      </c>
      <c r="I32" s="16" t="str">
        <f t="shared" si="2"/>
        <v/>
      </c>
      <c r="J32" s="41"/>
      <c r="K32" s="41"/>
    </row>
    <row r="33" spans="1:16" ht="15.6">
      <c r="A33" s="30" t="str">
        <v>Greenfield USD - Plantation ES</v>
      </c>
      <c r="B33" s="31" t="str">
        <v>CA</v>
      </c>
      <c r="C33" s="11"/>
      <c r="D33" s="18"/>
      <c r="E33" s="18" t="str">
        <f t="shared" si="5"/>
        <v/>
      </c>
      <c r="F33" s="19" t="str">
        <f t="shared" si="3"/>
        <v/>
      </c>
      <c r="G33" s="20"/>
      <c r="H33" s="20" t="str">
        <f t="shared" si="6"/>
        <v/>
      </c>
      <c r="I33" s="19" t="str">
        <f t="shared" si="2"/>
        <v/>
      </c>
      <c r="J33" s="42"/>
      <c r="K33" s="43"/>
    </row>
    <row r="34" spans="1:16" ht="15.6">
      <c r="A34" s="28" t="str">
        <v>Greenfield USD - Planz ES</v>
      </c>
      <c r="B34" s="29" t="str">
        <v>CA</v>
      </c>
      <c r="C34" s="24"/>
      <c r="D34" s="13"/>
      <c r="E34" s="13" t="str">
        <f t="shared" si="5"/>
        <v/>
      </c>
      <c r="F34" s="14" t="str">
        <f t="shared" si="3"/>
        <v/>
      </c>
      <c r="G34" s="15"/>
      <c r="H34" s="15" t="str">
        <f t="shared" si="6"/>
        <v/>
      </c>
      <c r="I34" s="16" t="str">
        <f t="shared" si="2"/>
        <v/>
      </c>
      <c r="J34" s="41"/>
      <c r="K34" s="88"/>
    </row>
    <row r="35" spans="1:16" ht="15.6">
      <c r="A35" s="30" t="str">
        <v>Greenfield USD - Raffaello Palla ES</v>
      </c>
      <c r="B35" s="31" t="str">
        <v>CA</v>
      </c>
      <c r="C35" s="11"/>
      <c r="D35" s="18"/>
      <c r="E35" s="18" t="str">
        <f t="shared" si="5"/>
        <v/>
      </c>
      <c r="F35" s="19" t="str">
        <f t="shared" si="3"/>
        <v/>
      </c>
      <c r="G35" s="20"/>
      <c r="H35" s="20" t="str">
        <f t="shared" si="6"/>
        <v/>
      </c>
      <c r="I35" s="19" t="str">
        <f t="shared" si="2"/>
        <v/>
      </c>
      <c r="J35" s="42"/>
      <c r="K35" s="90"/>
    </row>
    <row r="36" spans="1:16" ht="15.6">
      <c r="A36" s="28" t="str">
        <v>Greenfield USD - Valle Verde ES</v>
      </c>
      <c r="B36" s="29" t="str">
        <v>CA</v>
      </c>
      <c r="C36" s="24"/>
      <c r="D36" s="13"/>
      <c r="E36" s="13" t="str">
        <f t="shared" si="5"/>
        <v/>
      </c>
      <c r="F36" s="14" t="str">
        <f t="shared" si="3"/>
        <v/>
      </c>
      <c r="G36" s="15"/>
      <c r="H36" s="15" t="str">
        <f t="shared" si="6"/>
        <v/>
      </c>
      <c r="I36" s="16" t="str">
        <f t="shared" si="2"/>
        <v/>
      </c>
      <c r="J36" s="41"/>
      <c r="K36" s="41"/>
    </row>
    <row r="37" spans="1:16" ht="15.6">
      <c r="A37" s="30" t="str">
        <v>Greenfield USD - W.A. Kendrick ES</v>
      </c>
      <c r="B37" s="31" t="str">
        <v>CA</v>
      </c>
      <c r="C37" s="11"/>
      <c r="D37" s="18"/>
      <c r="E37" s="18" t="str">
        <f t="shared" si="5"/>
        <v/>
      </c>
      <c r="F37" s="19" t="str">
        <f t="shared" si="3"/>
        <v/>
      </c>
      <c r="G37" s="20"/>
      <c r="H37" s="20" t="str">
        <f t="shared" si="6"/>
        <v/>
      </c>
      <c r="I37" s="19" t="str">
        <f t="shared" si="2"/>
        <v/>
      </c>
      <c r="J37" s="42"/>
      <c r="K37" s="90"/>
    </row>
    <row r="38" spans="1:16" ht="15.6">
      <c r="A38" s="28" t="str">
        <v>Muroc Joint USD - Boron HS</v>
      </c>
      <c r="B38" s="29" t="str">
        <v>CA</v>
      </c>
      <c r="C38" s="24"/>
      <c r="D38" s="13"/>
      <c r="E38" s="13" t="str">
        <f t="shared" si="5"/>
        <v/>
      </c>
      <c r="F38" s="14" t="str">
        <f t="shared" si="3"/>
        <v/>
      </c>
      <c r="G38" s="15"/>
      <c r="H38" s="15" t="str">
        <f t="shared" si="6"/>
        <v/>
      </c>
      <c r="I38" s="16" t="str">
        <f t="shared" si="2"/>
        <v/>
      </c>
      <c r="J38" s="41"/>
      <c r="K38" s="88"/>
      <c r="L38" s="98"/>
    </row>
    <row r="39" spans="1:16" ht="15.6">
      <c r="A39" s="30" t="str">
        <v>Muroc Joint USD - W. Boron ES</v>
      </c>
      <c r="B39" s="31" t="str">
        <v>CA</v>
      </c>
      <c r="C39" s="11"/>
      <c r="D39" s="18"/>
      <c r="E39" s="18" t="str">
        <f t="shared" si="5"/>
        <v/>
      </c>
      <c r="F39" s="19" t="str">
        <f t="shared" si="3"/>
        <v/>
      </c>
      <c r="G39" s="20"/>
      <c r="H39" s="20" t="str">
        <f t="shared" si="6"/>
        <v/>
      </c>
      <c r="I39" s="19" t="str">
        <f t="shared" si="2"/>
        <v/>
      </c>
      <c r="J39" s="42"/>
      <c r="K39" s="43"/>
    </row>
    <row r="40" spans="1:16" ht="15.6">
      <c r="A40" s="28" t="str">
        <v>Colusa - WTP</v>
      </c>
      <c r="B40" s="29" t="str">
        <v>CA</v>
      </c>
      <c r="C40" s="24"/>
      <c r="D40" s="13"/>
      <c r="E40" s="13" t="str">
        <f t="shared" si="5"/>
        <v/>
      </c>
      <c r="F40" s="14" t="str">
        <f t="shared" si="3"/>
        <v/>
      </c>
      <c r="G40" s="15"/>
      <c r="H40" s="15" t="str">
        <f t="shared" si="6"/>
        <v/>
      </c>
      <c r="I40" s="16" t="str">
        <f t="shared" si="2"/>
        <v/>
      </c>
      <c r="J40" s="41"/>
      <c r="K40" s="88"/>
      <c r="L40" s="98"/>
      <c r="M40" s="98"/>
      <c r="N40" s="98"/>
      <c r="O40" s="98"/>
      <c r="P40" s="98"/>
    </row>
    <row r="41" spans="1:16" ht="15.6">
      <c r="A41" s="30" t="str">
        <v>CDCR-North Kern State Prision</v>
      </c>
      <c r="B41" s="31" t="str">
        <v>CA</v>
      </c>
      <c r="C41" s="11"/>
      <c r="D41" s="18"/>
      <c r="E41" s="18" t="str">
        <f t="shared" si="5"/>
        <v/>
      </c>
      <c r="F41" s="19" t="str">
        <f t="shared" si="3"/>
        <v/>
      </c>
      <c r="G41" s="20"/>
      <c r="H41" s="20" t="str">
        <f t="shared" si="6"/>
        <v/>
      </c>
      <c r="I41" s="19" t="str">
        <f t="shared" si="2"/>
        <v/>
      </c>
      <c r="J41" s="54"/>
      <c r="K41" s="90"/>
    </row>
    <row r="42" spans="1:16" ht="15.6">
      <c r="A42" s="28" t="str">
        <v>Muroc Joint USD - District Office</v>
      </c>
      <c r="B42" s="29" t="str">
        <v>CA</v>
      </c>
      <c r="C42" s="24"/>
      <c r="D42" s="13"/>
      <c r="E42" s="13" t="str">
        <f t="shared" si="5"/>
        <v/>
      </c>
      <c r="F42" s="14" t="str">
        <f t="shared" si="3"/>
        <v/>
      </c>
      <c r="G42" s="15"/>
      <c r="H42" s="15" t="str">
        <f t="shared" si="6"/>
        <v/>
      </c>
      <c r="I42" s="16" t="str">
        <f t="shared" si="2"/>
        <v/>
      </c>
      <c r="J42" s="41"/>
      <c r="K42" s="41"/>
    </row>
    <row r="43" spans="1:16" ht="15.6">
      <c r="A43" s="30" t="str">
        <v>Whole Foods - Manhattan Beach</v>
      </c>
      <c r="B43" s="31" t="str">
        <v>CA</v>
      </c>
      <c r="C43" s="11"/>
      <c r="D43" s="18"/>
      <c r="E43" s="18" t="str">
        <f t="shared" si="5"/>
        <v/>
      </c>
      <c r="F43" s="19" t="str">
        <f t="shared" si="3"/>
        <v/>
      </c>
      <c r="G43" s="20"/>
      <c r="H43" s="20" t="str">
        <f t="shared" si="6"/>
        <v/>
      </c>
      <c r="I43" s="19" t="str">
        <f t="shared" si="2"/>
        <v/>
      </c>
      <c r="J43" s="54"/>
      <c r="K43" s="90"/>
      <c r="L43" s="98"/>
      <c r="M43" s="98"/>
      <c r="N43" s="98"/>
      <c r="O43" s="98"/>
    </row>
    <row r="44" spans="1:16" ht="15.6">
      <c r="A44" s="28" t="str">
        <v>Pioneer USD - Frontier ES</v>
      </c>
      <c r="B44" s="29" t="str">
        <v>CA</v>
      </c>
      <c r="C44" s="24"/>
      <c r="D44" s="13"/>
      <c r="E44" s="13" t="str">
        <f t="shared" si="5"/>
        <v/>
      </c>
      <c r="F44" s="14" t="str">
        <f t="shared" si="3"/>
        <v/>
      </c>
      <c r="G44" s="15"/>
      <c r="H44" s="15" t="str">
        <f t="shared" si="6"/>
        <v/>
      </c>
      <c r="I44" s="16" t="str">
        <f t="shared" si="2"/>
        <v/>
      </c>
      <c r="J44" s="41"/>
      <c r="K44" s="88"/>
    </row>
    <row r="45" spans="1:16" ht="15.6">
      <c r="A45" s="30" t="str">
        <v>Pioneer USD - Pioneer ES</v>
      </c>
      <c r="B45" s="31" t="str">
        <v>CA</v>
      </c>
      <c r="C45" s="11"/>
      <c r="D45" s="18"/>
      <c r="E45" s="18" t="str">
        <f t="shared" si="5"/>
        <v/>
      </c>
      <c r="F45" s="19" t="str">
        <f t="shared" si="3"/>
        <v/>
      </c>
      <c r="G45" s="20"/>
      <c r="H45" s="20" t="str">
        <f t="shared" si="6"/>
        <v/>
      </c>
      <c r="I45" s="19" t="str">
        <f t="shared" si="2"/>
        <v/>
      </c>
      <c r="J45" s="42"/>
      <c r="K45" s="90"/>
      <c r="L45" s="98"/>
      <c r="M45" s="98"/>
      <c r="N45" s="98"/>
      <c r="O45" s="98"/>
    </row>
    <row r="46" spans="1:16" ht="15.6">
      <c r="A46" s="28" t="str">
        <v>Pioneer USD - Pioneer MS</v>
      </c>
      <c r="B46" s="29" t="str">
        <v>CA</v>
      </c>
      <c r="C46" s="24"/>
      <c r="D46" s="13"/>
      <c r="E46" s="13" t="str">
        <f t="shared" si="5"/>
        <v/>
      </c>
      <c r="F46" s="14" t="str">
        <f t="shared" si="3"/>
        <v/>
      </c>
      <c r="G46" s="15"/>
      <c r="H46" s="15" t="str">
        <f t="shared" si="6"/>
        <v/>
      </c>
      <c r="I46" s="16" t="str">
        <f t="shared" si="2"/>
        <v/>
      </c>
      <c r="J46" s="41"/>
      <c r="K46" s="88"/>
      <c r="L46" s="98"/>
    </row>
    <row r="47" spans="1:16" ht="179.85" customHeight="1">
      <c r="A47" s="30" t="str">
        <v>Kingsburg Joint UHSD - Kingsburg HS</v>
      </c>
      <c r="B47" s="31" t="str">
        <v>CA</v>
      </c>
      <c r="C47" s="11"/>
      <c r="D47" s="18"/>
      <c r="E47" s="18" t="str">
        <f t="shared" si="5"/>
        <v/>
      </c>
      <c r="F47" s="19" t="str">
        <f t="shared" si="3"/>
        <v/>
      </c>
      <c r="G47" s="20"/>
      <c r="H47" s="20" t="str">
        <f t="shared" si="6"/>
        <v/>
      </c>
      <c r="I47" s="19" t="str">
        <f t="shared" si="2"/>
        <v/>
      </c>
      <c r="J47" s="54"/>
      <c r="K47" s="90"/>
      <c r="L47" s="98"/>
      <c r="M47" s="98"/>
      <c r="N47" s="98"/>
    </row>
    <row r="48" spans="1:16" ht="15.6">
      <c r="A48" s="28" t="str">
        <v>CADRB</v>
      </c>
      <c r="B48" s="29" t="str">
        <v>CA</v>
      </c>
      <c r="C48" s="24"/>
      <c r="D48" s="13"/>
      <c r="E48" s="13" t="str">
        <f t="shared" si="5"/>
        <v/>
      </c>
      <c r="F48" s="14" t="str">
        <f t="shared" si="3"/>
        <v/>
      </c>
      <c r="G48" s="15"/>
      <c r="H48" s="15" t="str">
        <f t="shared" si="6"/>
        <v/>
      </c>
      <c r="I48" s="16" t="str">
        <f t="shared" si="2"/>
        <v/>
      </c>
      <c r="J48" s="41"/>
      <c r="K48" s="88"/>
      <c r="L48" s="98"/>
      <c r="M48" s="98"/>
      <c r="N48" s="98"/>
      <c r="O48" s="98"/>
      <c r="P48" s="98"/>
    </row>
    <row r="49" spans="1:20" ht="15.6">
      <c r="A49" s="30" t="str">
        <v>CDCR-CA State Prison LA County</v>
      </c>
      <c r="B49" s="31" t="str">
        <v>CA</v>
      </c>
      <c r="C49" s="11"/>
      <c r="D49" s="18"/>
      <c r="E49" s="18" t="str">
        <f t="shared" si="5"/>
        <v/>
      </c>
      <c r="F49" s="19" t="str">
        <f t="shared" si="3"/>
        <v/>
      </c>
      <c r="G49" s="20"/>
      <c r="H49" s="20" t="str">
        <f t="shared" si="6"/>
        <v/>
      </c>
      <c r="I49" s="19" t="str">
        <f t="shared" si="2"/>
        <v/>
      </c>
      <c r="J49" s="42"/>
      <c r="K49" s="90"/>
      <c r="L49" s="98"/>
    </row>
    <row r="50" spans="1:20" ht="15.6">
      <c r="A50" s="28" t="str">
        <v>Central USD Akers ES</v>
      </c>
      <c r="B50" s="29" t="str">
        <v>CA</v>
      </c>
      <c r="C50" s="24"/>
      <c r="D50" s="13"/>
      <c r="E50" s="13" t="str">
        <f t="shared" si="5"/>
        <v/>
      </c>
      <c r="F50" s="14" t="str">
        <f t="shared" si="3"/>
        <v/>
      </c>
      <c r="G50" s="15"/>
      <c r="H50" s="15" t="str">
        <f t="shared" si="6"/>
        <v/>
      </c>
      <c r="I50" s="16" t="str">
        <f t="shared" si="2"/>
        <v/>
      </c>
      <c r="J50" s="41"/>
      <c r="K50" s="41"/>
    </row>
    <row r="51" spans="1:20" ht="15.6">
      <c r="A51" s="30" t="str">
        <v>CUSD - District Office</v>
      </c>
      <c r="B51" s="31" t="str">
        <v>CA</v>
      </c>
      <c r="C51" s="11"/>
      <c r="D51" s="18"/>
      <c r="E51" s="18" t="str">
        <f t="shared" si="5"/>
        <v/>
      </c>
      <c r="F51" s="19" t="str">
        <f t="shared" si="3"/>
        <v/>
      </c>
      <c r="G51" s="20"/>
      <c r="H51" s="20" t="str">
        <f t="shared" si="6"/>
        <v/>
      </c>
      <c r="I51" s="19" t="str">
        <f t="shared" si="2"/>
        <v/>
      </c>
      <c r="J51" s="42"/>
      <c r="K51" s="90"/>
      <c r="L51" s="98"/>
    </row>
    <row r="52" spans="1:20" ht="15.6">
      <c r="A52" s="28" t="str">
        <v>Parlier - WTP</v>
      </c>
      <c r="B52" s="29" t="str">
        <v>CA</v>
      </c>
      <c r="C52" s="24"/>
      <c r="D52" s="13"/>
      <c r="E52" s="13" t="str">
        <f t="shared" si="5"/>
        <v/>
      </c>
      <c r="F52" s="14" t="str">
        <f t="shared" si="3"/>
        <v/>
      </c>
      <c r="G52" s="15"/>
      <c r="H52" s="15" t="str">
        <f t="shared" si="6"/>
        <v/>
      </c>
      <c r="I52" s="16" t="str">
        <f t="shared" si="2"/>
        <v/>
      </c>
      <c r="J52" s="41"/>
      <c r="K52" s="88"/>
    </row>
    <row r="53" spans="1:20" ht="15.6">
      <c r="A53" s="30" t="str">
        <v>Snowline SD - Quail Valley MS</v>
      </c>
      <c r="B53" s="31" t="str">
        <v>CA</v>
      </c>
      <c r="C53" s="11"/>
      <c r="D53" s="18"/>
      <c r="E53" s="18" t="str">
        <f t="shared" si="5"/>
        <v/>
      </c>
      <c r="F53" s="19" t="str">
        <f t="shared" si="3"/>
        <v/>
      </c>
      <c r="G53" s="20"/>
      <c r="H53" s="20" t="str">
        <f t="shared" si="6"/>
        <v/>
      </c>
      <c r="I53" s="19" t="str">
        <f t="shared" si="2"/>
        <v/>
      </c>
      <c r="J53" s="42"/>
      <c r="K53" s="90"/>
      <c r="L53" s="98"/>
    </row>
    <row r="54" spans="1:20" ht="15.6">
      <c r="A54" s="28" t="str">
        <v>Snowline SD - Serrano HS - Middle Lot</v>
      </c>
      <c r="B54" s="29" t="str">
        <v>CA</v>
      </c>
      <c r="C54" s="24"/>
      <c r="D54" s="13"/>
      <c r="E54" s="13" t="str">
        <f t="shared" si="5"/>
        <v/>
      </c>
      <c r="F54" s="14" t="str">
        <f t="shared" si="3"/>
        <v/>
      </c>
      <c r="G54" s="15"/>
      <c r="H54" s="15" t="str">
        <f t="shared" si="6"/>
        <v/>
      </c>
      <c r="I54" s="16" t="str">
        <f t="shared" si="2"/>
        <v/>
      </c>
      <c r="J54" s="41"/>
      <c r="K54" s="41"/>
    </row>
    <row r="55" spans="1:20" ht="15.6">
      <c r="A55" s="30" t="str">
        <v>Snowline SD - Pinon Hills ES</v>
      </c>
      <c r="B55" s="31" t="str">
        <v>CA</v>
      </c>
      <c r="C55" s="11"/>
      <c r="D55" s="18"/>
      <c r="E55" s="18" t="str">
        <f t="shared" si="5"/>
        <v/>
      </c>
      <c r="F55" s="19" t="str">
        <f t="shared" si="3"/>
        <v/>
      </c>
      <c r="G55" s="20"/>
      <c r="H55" s="20" t="str">
        <f t="shared" si="6"/>
        <v/>
      </c>
      <c r="I55" s="19" t="str">
        <f t="shared" si="2"/>
        <v/>
      </c>
      <c r="J55" s="54"/>
      <c r="K55" s="90"/>
      <c r="L55" s="98"/>
    </row>
    <row r="56" spans="1:20" ht="15.6">
      <c r="A56" s="28" t="str">
        <v>Ramona - Santa Maria WTP</v>
      </c>
      <c r="B56" s="29" t="str">
        <v>CA</v>
      </c>
      <c r="C56" s="24"/>
      <c r="D56" s="13"/>
      <c r="E56" s="13" t="str">
        <f t="shared" si="5"/>
        <v/>
      </c>
      <c r="F56" s="14" t="str">
        <f t="shared" si="3"/>
        <v/>
      </c>
      <c r="G56" s="15"/>
      <c r="H56" s="15" t="str">
        <f t="shared" si="6"/>
        <v/>
      </c>
      <c r="I56" s="16" t="str">
        <f t="shared" si="2"/>
        <v/>
      </c>
      <c r="J56" s="41"/>
      <c r="K56" s="41"/>
    </row>
    <row r="57" spans="1:20" ht="15.6">
      <c r="A57" s="30" t="str">
        <v>Kohls - Redding</v>
      </c>
      <c r="B57" s="31" t="str">
        <v>CA</v>
      </c>
      <c r="C57" s="11"/>
      <c r="D57" s="18"/>
      <c r="E57" s="18" t="str">
        <f t="shared" si="5"/>
        <v/>
      </c>
      <c r="F57" s="19" t="str">
        <f t="shared" si="3"/>
        <v/>
      </c>
      <c r="G57" s="20"/>
      <c r="H57" s="20" t="str">
        <f t="shared" si="6"/>
        <v/>
      </c>
      <c r="I57" s="19" t="str">
        <f t="shared" si="2"/>
        <v/>
      </c>
      <c r="J57" s="42"/>
      <c r="K57" s="54"/>
    </row>
    <row r="58" spans="1:20" ht="15.6">
      <c r="A58" s="28" t="str">
        <v>Kohls - Salinas</v>
      </c>
      <c r="B58" s="29" t="str">
        <v>CA</v>
      </c>
      <c r="C58" s="24"/>
      <c r="D58" s="13"/>
      <c r="E58" s="13" t="str">
        <f t="shared" si="5"/>
        <v/>
      </c>
      <c r="F58" s="14" t="str">
        <f t="shared" si="3"/>
        <v/>
      </c>
      <c r="G58" s="15"/>
      <c r="H58" s="15" t="str">
        <f t="shared" si="6"/>
        <v/>
      </c>
      <c r="I58" s="16" t="str">
        <f t="shared" si="2"/>
        <v/>
      </c>
      <c r="J58" s="41"/>
      <c r="K58" s="88"/>
      <c r="L58" s="98"/>
      <c r="M58" s="98"/>
      <c r="N58" s="98"/>
      <c r="O58" s="98"/>
      <c r="P58" s="98"/>
      <c r="Q58" s="98"/>
    </row>
    <row r="59" spans="1:20" ht="15.6">
      <c r="A59" s="30" t="str">
        <v>Kohls - Sonora</v>
      </c>
      <c r="B59" s="31" t="str">
        <v>CA</v>
      </c>
      <c r="C59" s="11"/>
      <c r="D59" s="18"/>
      <c r="E59" s="18" t="str">
        <f t="shared" si="5"/>
        <v/>
      </c>
      <c r="F59" s="19" t="str">
        <f t="shared" si="3"/>
        <v/>
      </c>
      <c r="G59" s="20"/>
      <c r="H59" s="20" t="str">
        <f t="shared" si="6"/>
        <v/>
      </c>
      <c r="I59" s="19" t="str">
        <f t="shared" si="2"/>
        <v/>
      </c>
      <c r="J59" s="42"/>
      <c r="K59" s="90"/>
      <c r="L59" s="98"/>
      <c r="M59" s="98"/>
      <c r="N59" s="98"/>
    </row>
    <row r="60" spans="1:20" ht="15.6">
      <c r="A60" s="28" t="str">
        <v>CUSD - Stratford ES</v>
      </c>
      <c r="B60" s="29" t="str">
        <v>CA</v>
      </c>
      <c r="C60" s="24"/>
      <c r="D60" s="13"/>
      <c r="E60" s="13" t="str">
        <f t="shared" si="5"/>
        <v/>
      </c>
      <c r="F60" s="14" t="str">
        <f t="shared" si="3"/>
        <v/>
      </c>
      <c r="G60" s="15"/>
      <c r="H60" s="15" t="str">
        <f t="shared" si="6"/>
        <v/>
      </c>
      <c r="I60" s="16" t="str">
        <f t="shared" si="2"/>
        <v/>
      </c>
      <c r="J60" s="41"/>
      <c r="K60" s="88"/>
      <c r="L60" s="98"/>
      <c r="M60" s="98"/>
      <c r="N60" s="98"/>
      <c r="O60" s="98"/>
      <c r="P60" s="98"/>
      <c r="Q60" s="98"/>
      <c r="R60" s="98"/>
      <c r="S60" s="98" t="s">
        <v>183</v>
      </c>
      <c r="T60" s="98" t="s">
        <v>184</v>
      </c>
    </row>
    <row r="61" spans="1:20" ht="15.6">
      <c r="A61" s="30" t="str">
        <v>Taft - City Hall</v>
      </c>
      <c r="B61" s="31" t="str">
        <v>CA</v>
      </c>
      <c r="C61" s="11"/>
      <c r="D61" s="18"/>
      <c r="E61" s="18" t="str">
        <f t="shared" si="5"/>
        <v/>
      </c>
      <c r="F61" s="19" t="str">
        <f t="shared" si="3"/>
        <v/>
      </c>
      <c r="G61" s="20"/>
      <c r="H61" s="20" t="str">
        <f t="shared" si="6"/>
        <v/>
      </c>
      <c r="I61" s="19" t="str">
        <f t="shared" si="2"/>
        <v/>
      </c>
      <c r="J61" s="42"/>
      <c r="K61" s="54"/>
    </row>
    <row r="62" spans="1:20" ht="16.5" customHeight="1">
      <c r="A62" s="28" t="str">
        <v>Taft - Federal Prison</v>
      </c>
      <c r="B62" s="29" t="str">
        <v>CA</v>
      </c>
      <c r="C62" s="24"/>
      <c r="D62" s="13"/>
      <c r="E62" s="13" t="str">
        <f t="shared" si="5"/>
        <v/>
      </c>
      <c r="F62" s="14" t="str">
        <f t="shared" si="3"/>
        <v/>
      </c>
      <c r="G62" s="15"/>
      <c r="H62" s="15" t="str">
        <f t="shared" si="6"/>
        <v/>
      </c>
      <c r="I62" s="16" t="str">
        <f t="shared" si="2"/>
        <v/>
      </c>
      <c r="J62" s="41"/>
      <c r="K62" s="88"/>
    </row>
    <row r="63" spans="1:20" ht="15.6">
      <c r="A63" s="30" t="str">
        <v>Taft - Police Department</v>
      </c>
      <c r="B63" s="31" t="str">
        <v>CA</v>
      </c>
      <c r="C63" s="11"/>
      <c r="D63" s="18"/>
      <c r="E63" s="18" t="str">
        <f t="shared" si="5"/>
        <v/>
      </c>
      <c r="F63" s="19" t="str">
        <f t="shared" si="3"/>
        <v/>
      </c>
      <c r="G63" s="20"/>
      <c r="H63" s="20" t="str">
        <f t="shared" si="6"/>
        <v/>
      </c>
      <c r="I63" s="19" t="str">
        <f t="shared" si="2"/>
        <v/>
      </c>
      <c r="J63" s="42"/>
      <c r="K63" s="43"/>
    </row>
    <row r="64" spans="1:20" ht="15.6">
      <c r="A64" s="28" t="str">
        <v>Taft - WTP</v>
      </c>
      <c r="B64" s="29" t="str">
        <v>CA</v>
      </c>
      <c r="C64" s="24"/>
      <c r="D64" s="13"/>
      <c r="E64" s="13" t="str">
        <f t="shared" si="5"/>
        <v/>
      </c>
      <c r="F64" s="14" t="str">
        <f t="shared" si="3"/>
        <v/>
      </c>
      <c r="G64" s="15"/>
      <c r="H64" s="15" t="str">
        <f t="shared" si="6"/>
        <v/>
      </c>
      <c r="I64" s="16" t="str">
        <f t="shared" si="2"/>
        <v/>
      </c>
      <c r="J64" s="41"/>
      <c r="K64" s="41"/>
    </row>
    <row r="65" spans="1:14" ht="15.6">
      <c r="A65" s="30" t="str">
        <v>CDCR - CA Correctional Institution</v>
      </c>
      <c r="B65" s="31" t="str">
        <v>CA</v>
      </c>
      <c r="C65" s="11"/>
      <c r="D65" s="18"/>
      <c r="E65" s="18" t="str">
        <f t="shared" si="5"/>
        <v/>
      </c>
      <c r="F65" s="19" t="str">
        <f t="shared" si="3"/>
        <v/>
      </c>
      <c r="G65" s="20"/>
      <c r="H65" s="20" t="str">
        <f t="shared" si="6"/>
        <v/>
      </c>
      <c r="I65" s="19" t="str">
        <f t="shared" si="2"/>
        <v/>
      </c>
      <c r="J65" s="42"/>
      <c r="K65" s="90"/>
      <c r="L65" s="98"/>
      <c r="M65" s="98"/>
    </row>
    <row r="66" spans="1:14" ht="15.6">
      <c r="A66" s="28" t="str">
        <v>CDCR - CA Correctional Institution II</v>
      </c>
      <c r="B66" s="29" t="str">
        <v>CA</v>
      </c>
      <c r="C66" s="24"/>
      <c r="D66" s="13"/>
      <c r="E66" s="13" t="str">
        <f t="shared" si="5"/>
        <v/>
      </c>
      <c r="F66" s="14" t="str">
        <f t="shared" si="3"/>
        <v/>
      </c>
      <c r="G66" s="15"/>
      <c r="H66" s="15" t="str">
        <f t="shared" si="6"/>
        <v/>
      </c>
      <c r="I66" s="16" t="str">
        <f t="shared" si="2"/>
        <v/>
      </c>
      <c r="J66" s="41"/>
      <c r="K66" s="88"/>
    </row>
    <row r="67" spans="1:14" ht="15.6">
      <c r="A67" s="30" t="str">
        <v>Snowline SD - Vista Verde ES</v>
      </c>
      <c r="B67" s="31" t="str">
        <v>CA</v>
      </c>
      <c r="C67" s="11"/>
      <c r="D67" s="18"/>
      <c r="E67" s="18" t="str">
        <f t="shared" si="5"/>
        <v/>
      </c>
      <c r="F67" s="19" t="str">
        <f t="shared" si="3"/>
        <v/>
      </c>
      <c r="G67" s="20"/>
      <c r="H67" s="20" t="str">
        <f t="shared" si="6"/>
        <v/>
      </c>
      <c r="I67" s="19" t="str">
        <f t="shared" si="2"/>
        <v/>
      </c>
      <c r="J67" s="42"/>
      <c r="K67" s="90"/>
      <c r="L67" s="98"/>
      <c r="M67" s="98"/>
      <c r="N67" s="98"/>
    </row>
    <row r="68" spans="1:14" ht="15.6">
      <c r="A68" s="28" t="str">
        <v>North Stonington</v>
      </c>
      <c r="B68" s="29" t="str">
        <v>CT</v>
      </c>
      <c r="C68" s="24"/>
      <c r="D68" s="13"/>
      <c r="E68" s="13" t="str">
        <f t="shared" si="5"/>
        <v/>
      </c>
      <c r="F68" s="14" t="str">
        <f t="shared" si="3"/>
        <v/>
      </c>
      <c r="G68" s="15"/>
      <c r="H68" s="15" t="str">
        <f t="shared" si="6"/>
        <v/>
      </c>
      <c r="I68" s="16" t="str">
        <f t="shared" si="2"/>
        <v/>
      </c>
      <c r="J68" s="41"/>
      <c r="K68" s="88"/>
    </row>
    <row r="69" spans="1:14" ht="15.6">
      <c r="A69" s="30" t="str">
        <v>CT: Torrington - 2-298 Rossi Road</v>
      </c>
      <c r="B69" s="31" t="str">
        <v>CT</v>
      </c>
      <c r="C69" s="11"/>
      <c r="D69" s="18"/>
      <c r="E69" s="18"/>
      <c r="F69" s="19" t="str">
        <f t="shared" si="3"/>
        <v/>
      </c>
      <c r="G69" s="81"/>
      <c r="H69" s="20"/>
      <c r="I69" s="19" t="str">
        <f t="shared" si="2"/>
        <v/>
      </c>
      <c r="J69" s="53"/>
      <c r="K69" s="90"/>
      <c r="L69" s="98"/>
    </row>
    <row r="70" spans="1:14" ht="14.45">
      <c r="A70" s="21"/>
      <c r="B70" s="33"/>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S60" r:id="rId1" display="https://us3.assetplanner.com/service_request?ID=101285" xr:uid="{1DA03C94-841E-4DFC-AE84-739CDBDA48A2}"/>
    <hyperlink ref="T60" r:id="rId2" display="https://us3.assetplanner.com/service_request?ID=102153" xr:uid="{049CE486-8D9D-4347-9222-9884471A4C9D}"/>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J8"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35" t="str" cm="1">
        <f t="array" ref="A1">portfolio</f>
        <v>Silicon Ranch</v>
      </c>
      <c r="B1" s="135"/>
      <c r="C1" s="135"/>
      <c r="D1" s="136" t="s">
        <v>185</v>
      </c>
      <c r="E1" s="136"/>
      <c r="F1" s="136"/>
      <c r="G1" s="134" t="s">
        <v>186</v>
      </c>
      <c r="H1" s="134"/>
      <c r="I1" s="134"/>
      <c r="J1" s="4"/>
      <c r="K1" s="4"/>
    </row>
    <row r="2" spans="1:20"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56"/>
      <c r="K4" s="56"/>
      <c r="L4" s="97"/>
      <c r="M4" s="97"/>
      <c r="N4" s="97"/>
      <c r="O4" s="97"/>
      <c r="P4" s="97"/>
      <c r="Q4" s="97"/>
      <c r="R4" s="97"/>
      <c r="S4" s="97"/>
      <c r="T4" s="97"/>
    </row>
    <row r="5" spans="1:20"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9" si="2">IFERROR(H5/G5, "")</f>
        <v/>
      </c>
      <c r="J5" s="58"/>
      <c r="K5" s="54"/>
      <c r="L5" s="97"/>
      <c r="M5" s="97"/>
      <c r="N5" s="97"/>
      <c r="O5" s="97"/>
      <c r="P5" s="97"/>
      <c r="Q5" s="97"/>
      <c r="R5" s="97"/>
      <c r="S5" s="97"/>
      <c r="T5" s="97"/>
    </row>
    <row r="6" spans="1:20" ht="139.5" customHeight="1">
      <c r="A6" s="28" t="str">
        <v>Kohls - Bensalem</v>
      </c>
      <c r="B6" s="29" t="str">
        <v>PA</v>
      </c>
      <c r="C6" s="24"/>
      <c r="D6" s="13"/>
      <c r="E6" s="13" t="str">
        <f t="shared" si="0"/>
        <v/>
      </c>
      <c r="F6" s="14" t="str">
        <f t="shared" ref="F6:F69" si="3">IFERROR(E6/D6, "")</f>
        <v/>
      </c>
      <c r="G6" s="15"/>
      <c r="H6" s="15" t="str">
        <f t="shared" si="1"/>
        <v/>
      </c>
      <c r="I6" s="16" t="str">
        <f t="shared" si="2"/>
        <v/>
      </c>
      <c r="J6" s="56"/>
      <c r="K6" s="91"/>
      <c r="L6" s="97"/>
      <c r="M6" s="97"/>
      <c r="N6" s="97"/>
      <c r="O6" s="97"/>
      <c r="P6" s="97"/>
      <c r="Q6" s="97"/>
      <c r="R6" s="97"/>
      <c r="S6" s="97"/>
      <c r="T6" s="97"/>
    </row>
    <row r="7" spans="1:20" ht="15.6">
      <c r="A7" s="30" t="str">
        <v>Kohls - Brick</v>
      </c>
      <c r="B7" s="31" t="str">
        <v>NJ</v>
      </c>
      <c r="C7" s="11"/>
      <c r="D7" s="18"/>
      <c r="E7" s="18" t="str">
        <f t="shared" si="0"/>
        <v/>
      </c>
      <c r="F7" s="19" t="str">
        <f t="shared" si="3"/>
        <v/>
      </c>
      <c r="G7" s="20"/>
      <c r="H7" s="20" t="str">
        <f t="shared" si="1"/>
        <v/>
      </c>
      <c r="I7" s="19" t="str">
        <f t="shared" si="2"/>
        <v/>
      </c>
      <c r="J7" s="58"/>
      <c r="K7" s="57"/>
      <c r="L7" s="97"/>
      <c r="M7" s="97"/>
      <c r="N7" s="97"/>
      <c r="O7" s="97"/>
      <c r="P7" s="97"/>
      <c r="Q7" s="97"/>
      <c r="R7" s="97"/>
      <c r="S7" s="97"/>
      <c r="T7" s="97"/>
    </row>
    <row r="8" spans="1:20" ht="15.6">
      <c r="A8" s="28" t="str">
        <v>Kohls - Buffalo</v>
      </c>
      <c r="B8" s="29" t="str">
        <v>NY</v>
      </c>
      <c r="C8" s="24"/>
      <c r="D8" s="13"/>
      <c r="E8" s="13" t="str">
        <f t="shared" si="0"/>
        <v/>
      </c>
      <c r="F8" s="14" t="str">
        <f t="shared" si="3"/>
        <v/>
      </c>
      <c r="G8" s="15"/>
      <c r="H8" s="15" t="str">
        <f t="shared" si="1"/>
        <v/>
      </c>
      <c r="I8" s="16" t="str">
        <f t="shared" si="2"/>
        <v/>
      </c>
      <c r="J8" s="56"/>
      <c r="K8" s="91"/>
      <c r="L8" s="97"/>
      <c r="M8" s="97"/>
      <c r="N8" s="97"/>
      <c r="O8" s="97"/>
      <c r="P8" s="97"/>
      <c r="Q8" s="97"/>
      <c r="R8" s="97"/>
      <c r="S8" s="97"/>
      <c r="T8" s="97"/>
    </row>
    <row r="9" spans="1:20" ht="15.6">
      <c r="A9" s="30" t="str">
        <v>Kohls - Canton</v>
      </c>
      <c r="B9" s="31" t="str">
        <v>CT</v>
      </c>
      <c r="C9" s="11"/>
      <c r="D9" s="18"/>
      <c r="E9" s="18" t="str">
        <f t="shared" si="0"/>
        <v/>
      </c>
      <c r="F9" s="19" t="str">
        <f t="shared" si="3"/>
        <v/>
      </c>
      <c r="G9" s="20"/>
      <c r="H9" s="20" t="str">
        <f t="shared" si="1"/>
        <v/>
      </c>
      <c r="I9" s="19" t="str">
        <f t="shared" si="2"/>
        <v/>
      </c>
      <c r="J9" s="58"/>
      <c r="K9" s="57"/>
      <c r="L9" s="97"/>
      <c r="M9" s="97"/>
      <c r="N9" s="97"/>
      <c r="O9" s="97"/>
      <c r="P9" s="97"/>
      <c r="Q9" s="97"/>
      <c r="R9" s="97"/>
      <c r="S9" s="97"/>
      <c r="T9" s="97"/>
    </row>
    <row r="10" spans="1:20" ht="57" customHeight="1">
      <c r="A10" s="28" t="str">
        <v>Kohls - East Amherst</v>
      </c>
      <c r="B10" s="29" t="str">
        <v>NY</v>
      </c>
      <c r="C10" s="24"/>
      <c r="D10" s="13"/>
      <c r="E10" s="13" t="str">
        <f t="shared" si="0"/>
        <v/>
      </c>
      <c r="F10" s="14" t="str">
        <f t="shared" si="3"/>
        <v/>
      </c>
      <c r="G10" s="15"/>
      <c r="H10" s="15" t="str">
        <f t="shared" si="1"/>
        <v/>
      </c>
      <c r="I10" s="16" t="str">
        <f t="shared" si="2"/>
        <v/>
      </c>
      <c r="J10" s="56"/>
      <c r="K10" s="91"/>
      <c r="L10" s="97"/>
      <c r="M10" s="97"/>
      <c r="N10" s="97"/>
      <c r="O10" s="97"/>
      <c r="P10" s="97"/>
      <c r="Q10" s="97"/>
      <c r="R10" s="97"/>
      <c r="S10" s="97"/>
      <c r="T10" s="97"/>
    </row>
    <row r="11" spans="1:20" ht="15.6">
      <c r="A11" s="30" t="str">
        <v>Kohls - East Brunswick</v>
      </c>
      <c r="B11" s="31" t="str">
        <v>NJ</v>
      </c>
      <c r="C11" s="11"/>
      <c r="D11" s="18"/>
      <c r="E11" s="18" t="str">
        <f t="shared" si="0"/>
        <v/>
      </c>
      <c r="F11" s="19" t="str">
        <f t="shared" si="3"/>
        <v/>
      </c>
      <c r="G11" s="20"/>
      <c r="H11" s="20" t="str">
        <f t="shared" si="1"/>
        <v/>
      </c>
      <c r="I11" s="19" t="str">
        <f t="shared" si="2"/>
        <v/>
      </c>
      <c r="J11" s="58"/>
      <c r="K11" s="90"/>
      <c r="L11" s="97"/>
      <c r="M11" s="97"/>
      <c r="N11" s="97"/>
      <c r="O11" s="97"/>
      <c r="P11" s="97"/>
      <c r="Q11" s="97"/>
      <c r="R11" s="97"/>
      <c r="S11" s="97"/>
      <c r="T11" s="97"/>
    </row>
    <row r="12" spans="1:20" ht="15.6">
      <c r="A12" s="28" t="str">
        <v>Kohls - Edgewood</v>
      </c>
      <c r="B12" s="29" t="str">
        <v>MD</v>
      </c>
      <c r="C12" s="24"/>
      <c r="D12" s="13"/>
      <c r="E12" s="13" t="str">
        <f t="shared" si="0"/>
        <v/>
      </c>
      <c r="F12" s="14" t="str">
        <f t="shared" si="3"/>
        <v/>
      </c>
      <c r="G12" s="15"/>
      <c r="H12" s="15" t="str">
        <f t="shared" si="1"/>
        <v/>
      </c>
      <c r="I12" s="16" t="str">
        <f t="shared" si="2"/>
        <v/>
      </c>
      <c r="J12" s="56"/>
      <c r="K12" s="91"/>
      <c r="L12" s="97"/>
      <c r="M12" s="97"/>
      <c r="N12" s="97"/>
      <c r="O12" s="97"/>
      <c r="P12" s="97"/>
      <c r="Q12" s="97"/>
      <c r="R12" s="97"/>
      <c r="S12" s="97"/>
      <c r="T12" s="97"/>
    </row>
    <row r="13" spans="1:20" ht="15.6">
      <c r="A13" s="30" t="str">
        <v>Kohls - Granite Run</v>
      </c>
      <c r="B13" s="31" t="str">
        <v>PA</v>
      </c>
      <c r="C13" s="11"/>
      <c r="D13" s="18"/>
      <c r="E13" s="18" t="str">
        <f t="shared" si="0"/>
        <v/>
      </c>
      <c r="F13" s="19" t="str">
        <f t="shared" si="3"/>
        <v/>
      </c>
      <c r="G13" s="20"/>
      <c r="H13" s="20" t="str">
        <f t="shared" si="1"/>
        <v/>
      </c>
      <c r="I13" s="19" t="str">
        <f t="shared" si="2"/>
        <v/>
      </c>
      <c r="J13" s="58"/>
      <c r="K13" s="90"/>
      <c r="L13" s="97"/>
      <c r="M13" s="97"/>
      <c r="N13" s="97"/>
      <c r="O13" s="97"/>
      <c r="P13" s="97"/>
      <c r="Q13" s="97"/>
      <c r="R13" s="97"/>
      <c r="S13" s="97"/>
      <c r="T13" s="97"/>
    </row>
    <row r="14" spans="1:20" ht="15.6">
      <c r="A14" s="28" t="str">
        <v>Kohls - Greece</v>
      </c>
      <c r="B14" s="29" t="str">
        <v>NY</v>
      </c>
      <c r="C14" s="24"/>
      <c r="D14" s="13"/>
      <c r="E14" s="13" t="str">
        <f t="shared" si="0"/>
        <v/>
      </c>
      <c r="F14" s="14" t="str">
        <f t="shared" si="3"/>
        <v/>
      </c>
      <c r="G14" s="15"/>
      <c r="H14" s="15" t="str">
        <f t="shared" si="1"/>
        <v/>
      </c>
      <c r="I14" s="16" t="str">
        <f t="shared" si="2"/>
        <v/>
      </c>
      <c r="J14" s="56"/>
      <c r="K14" s="56"/>
      <c r="L14" s="97"/>
      <c r="M14" s="97"/>
      <c r="N14" s="97"/>
      <c r="O14" s="97"/>
      <c r="P14" s="97"/>
      <c r="Q14" s="97"/>
      <c r="R14" s="97"/>
      <c r="S14" s="97"/>
      <c r="T14" s="97"/>
    </row>
    <row r="15" spans="1:20" ht="28.5" customHeight="1">
      <c r="A15" s="30" t="str">
        <v>Kohls - Hanover</v>
      </c>
      <c r="B15" s="31" t="str">
        <v>PA</v>
      </c>
      <c r="C15" s="11"/>
      <c r="D15" s="18"/>
      <c r="E15" s="18" t="str">
        <f t="shared" si="0"/>
        <v/>
      </c>
      <c r="F15" s="19" t="str">
        <f t="shared" si="3"/>
        <v/>
      </c>
      <c r="G15" s="20"/>
      <c r="H15" s="20" t="str">
        <f t="shared" si="1"/>
        <v/>
      </c>
      <c r="I15" s="19" t="str">
        <f t="shared" si="2"/>
        <v/>
      </c>
      <c r="J15" s="54"/>
      <c r="K15" s="90"/>
      <c r="L15" s="97"/>
      <c r="M15" s="97"/>
      <c r="N15" s="97"/>
      <c r="O15" s="97"/>
      <c r="P15" s="97"/>
      <c r="Q15" s="97"/>
      <c r="R15" s="97"/>
      <c r="S15" s="97"/>
      <c r="T15" s="97"/>
    </row>
    <row r="16" spans="1:20" ht="15.6">
      <c r="A16" s="28" t="str">
        <v>Kohls - Horsehead</v>
      </c>
      <c r="B16" s="29" t="str">
        <v>NY</v>
      </c>
      <c r="C16" s="24"/>
      <c r="D16" s="13"/>
      <c r="E16" s="13" t="str">
        <f t="shared" si="0"/>
        <v/>
      </c>
      <c r="F16" s="14" t="str">
        <f t="shared" si="3"/>
        <v/>
      </c>
      <c r="G16" s="15"/>
      <c r="H16" s="15" t="str">
        <f t="shared" si="1"/>
        <v/>
      </c>
      <c r="I16" s="16" t="str">
        <f t="shared" si="2"/>
        <v/>
      </c>
      <c r="J16" s="56"/>
      <c r="K16" s="56"/>
      <c r="L16" s="97"/>
      <c r="M16" s="97"/>
      <c r="N16" s="97"/>
      <c r="O16" s="97"/>
      <c r="P16" s="97"/>
      <c r="Q16" s="97"/>
      <c r="R16" s="97"/>
      <c r="S16" s="97"/>
      <c r="T16" s="97"/>
    </row>
    <row r="17" spans="1:20" ht="15.6">
      <c r="A17" s="30" t="str">
        <v>Kohls - Hudson</v>
      </c>
      <c r="B17" s="31" t="str">
        <v>NY</v>
      </c>
      <c r="C17" s="11"/>
      <c r="D17" s="18"/>
      <c r="E17" s="18" t="str">
        <f t="shared" si="0"/>
        <v/>
      </c>
      <c r="F17" s="19" t="str">
        <f t="shared" si="3"/>
        <v/>
      </c>
      <c r="G17" s="20"/>
      <c r="H17" s="20" t="str">
        <f t="shared" si="1"/>
        <v/>
      </c>
      <c r="I17" s="19" t="str">
        <f t="shared" si="2"/>
        <v/>
      </c>
      <c r="J17" s="54"/>
      <c r="K17" s="90"/>
      <c r="L17" s="97"/>
      <c r="M17" s="97"/>
      <c r="N17" s="97"/>
      <c r="O17" s="97"/>
      <c r="P17" s="97"/>
      <c r="Q17" s="97"/>
      <c r="R17" s="97"/>
      <c r="S17" s="97"/>
      <c r="T17" s="97"/>
    </row>
    <row r="18" spans="1:20" ht="62.25" customHeight="1">
      <c r="A18" s="32" t="str">
        <v>Kohls - Ithaca</v>
      </c>
      <c r="B18" s="29" t="str">
        <v>NY</v>
      </c>
      <c r="C18" s="24"/>
      <c r="D18" s="13"/>
      <c r="E18" s="13" t="str">
        <f t="shared" si="0"/>
        <v/>
      </c>
      <c r="F18" s="14" t="str">
        <f t="shared" si="3"/>
        <v/>
      </c>
      <c r="G18" s="15"/>
      <c r="H18" s="15" t="str">
        <f t="shared" si="1"/>
        <v/>
      </c>
      <c r="I18" s="16" t="str">
        <f t="shared" si="2"/>
        <v/>
      </c>
      <c r="J18" s="56"/>
      <c r="K18" s="56"/>
      <c r="L18" s="97"/>
      <c r="M18" s="97"/>
      <c r="N18" s="97"/>
      <c r="O18" s="97"/>
      <c r="P18" s="97"/>
      <c r="Q18" s="97"/>
      <c r="R18" s="97"/>
      <c r="S18" s="97"/>
      <c r="T18" s="97"/>
    </row>
    <row r="19" spans="1:20" ht="15.6">
      <c r="A19" s="30" t="str">
        <v>Kohls - Kingston</v>
      </c>
      <c r="B19" s="31" t="str">
        <v>NY</v>
      </c>
      <c r="C19" s="11"/>
      <c r="D19" s="18"/>
      <c r="E19" s="18" t="str">
        <f t="shared" si="0"/>
        <v/>
      </c>
      <c r="F19" s="19" t="str">
        <f t="shared" si="3"/>
        <v/>
      </c>
      <c r="G19" s="20"/>
      <c r="H19" s="20" t="str">
        <f t="shared" si="1"/>
        <v/>
      </c>
      <c r="I19" s="19" t="str">
        <f t="shared" si="2"/>
        <v/>
      </c>
      <c r="J19" s="58"/>
      <c r="K19" s="90"/>
      <c r="L19" s="97"/>
      <c r="M19" s="97"/>
      <c r="N19" s="97"/>
      <c r="O19" s="97"/>
      <c r="P19" s="97"/>
      <c r="Q19" s="97"/>
      <c r="R19" s="97"/>
      <c r="S19" s="97"/>
      <c r="T19" s="97"/>
    </row>
    <row r="20" spans="1:20" ht="15.6">
      <c r="A20" s="28" t="str">
        <v>Kohls - Mechanicsburg</v>
      </c>
      <c r="B20" s="29" t="str">
        <v>PA</v>
      </c>
      <c r="C20" s="24"/>
      <c r="D20" s="13"/>
      <c r="E20" s="13" t="str">
        <f t="shared" si="0"/>
        <v/>
      </c>
      <c r="F20" s="14" t="str">
        <f t="shared" si="3"/>
        <v/>
      </c>
      <c r="G20" s="15"/>
      <c r="H20" s="15" t="str">
        <f t="shared" si="1"/>
        <v/>
      </c>
      <c r="I20" s="16" t="str">
        <f t="shared" si="2"/>
        <v/>
      </c>
      <c r="J20" s="56"/>
      <c r="K20" s="91"/>
      <c r="L20" s="97"/>
      <c r="M20" s="97"/>
      <c r="N20" s="97"/>
      <c r="O20" s="97"/>
      <c r="P20" s="97"/>
      <c r="Q20" s="97"/>
      <c r="R20" s="97"/>
      <c r="S20" s="97"/>
      <c r="T20" s="97"/>
    </row>
    <row r="21" spans="1:20" ht="25.35" customHeight="1">
      <c r="A21" s="30" t="str">
        <v>Kohls - Middletown</v>
      </c>
      <c r="B21" s="31" t="str">
        <v>NJ</v>
      </c>
      <c r="C21" s="11"/>
      <c r="D21" s="18"/>
      <c r="E21" s="18" t="str">
        <f t="shared" si="0"/>
        <v/>
      </c>
      <c r="F21" s="19" t="str">
        <f t="shared" si="3"/>
        <v/>
      </c>
      <c r="G21" s="20"/>
      <c r="H21" s="20" t="str">
        <f t="shared" si="1"/>
        <v/>
      </c>
      <c r="I21" s="19" t="str">
        <f t="shared" si="2"/>
        <v/>
      </c>
      <c r="J21" s="54"/>
      <c r="K21" s="90"/>
      <c r="L21" s="97"/>
      <c r="M21" s="97"/>
      <c r="N21" s="97"/>
      <c r="O21" s="97"/>
      <c r="P21" s="97"/>
      <c r="Q21" s="97"/>
      <c r="R21" s="97"/>
      <c r="S21" s="97"/>
      <c r="T21" s="97"/>
    </row>
    <row r="22" spans="1:20" ht="19.5" customHeight="1">
      <c r="A22" s="28" t="str">
        <v>Kohls - North Amherst</v>
      </c>
      <c r="B22" s="29" t="str">
        <v>NY</v>
      </c>
      <c r="C22" s="24"/>
      <c r="D22" s="13"/>
      <c r="E22" s="13" t="str">
        <f t="shared" si="0"/>
        <v/>
      </c>
      <c r="F22" s="14" t="str">
        <f t="shared" si="3"/>
        <v/>
      </c>
      <c r="G22" s="15"/>
      <c r="H22" s="15" t="str">
        <f t="shared" si="1"/>
        <v/>
      </c>
      <c r="I22" s="16" t="str">
        <f t="shared" si="2"/>
        <v/>
      </c>
      <c r="J22" s="56"/>
      <c r="K22" s="91"/>
      <c r="L22" s="97"/>
      <c r="M22" s="97"/>
      <c r="N22" s="97"/>
      <c r="O22" s="97"/>
      <c r="P22" s="97"/>
      <c r="Q22" s="97"/>
      <c r="R22" s="97"/>
      <c r="S22" s="97"/>
      <c r="T22" s="97"/>
    </row>
    <row r="23" spans="1:20" ht="15.6">
      <c r="A23" s="30" t="str">
        <v>Kohls - Staten Island</v>
      </c>
      <c r="B23" s="31" t="str">
        <v>NY</v>
      </c>
      <c r="C23" s="11"/>
      <c r="D23" s="18"/>
      <c r="E23" s="18" t="str">
        <f t="shared" si="0"/>
        <v/>
      </c>
      <c r="F23" s="19" t="str">
        <f t="shared" si="3"/>
        <v/>
      </c>
      <c r="G23" s="20"/>
      <c r="H23" s="20" t="str">
        <f t="shared" si="1"/>
        <v/>
      </c>
      <c r="I23" s="19" t="str">
        <f t="shared" si="2"/>
        <v/>
      </c>
      <c r="J23" s="53"/>
      <c r="K23" s="90"/>
      <c r="L23" s="98"/>
      <c r="M23" s="97"/>
      <c r="N23" s="97"/>
      <c r="O23" s="97"/>
      <c r="P23" s="97"/>
      <c r="Q23" s="97"/>
      <c r="R23" s="97"/>
      <c r="S23" s="97"/>
      <c r="T23" s="97"/>
    </row>
    <row r="24" spans="1:20" ht="104.25" customHeight="1">
      <c r="A24" s="28" t="str">
        <v>Kohls - Warminster</v>
      </c>
      <c r="B24" s="29" t="str">
        <v>PA</v>
      </c>
      <c r="C24" s="24"/>
      <c r="D24" s="13"/>
      <c r="E24" s="13" t="str">
        <f t="shared" si="0"/>
        <v/>
      </c>
      <c r="F24" s="14" t="str">
        <f t="shared" si="3"/>
        <v/>
      </c>
      <c r="G24" s="15"/>
      <c r="H24" s="15" t="str">
        <f t="shared" si="1"/>
        <v/>
      </c>
      <c r="I24" s="16" t="str">
        <f t="shared" si="2"/>
        <v/>
      </c>
      <c r="J24" s="56"/>
      <c r="K24" s="91"/>
      <c r="L24" s="97"/>
      <c r="M24" s="97"/>
      <c r="N24" s="97"/>
      <c r="O24" s="97"/>
      <c r="P24" s="97"/>
      <c r="Q24" s="97"/>
      <c r="R24" s="97"/>
      <c r="S24" s="97"/>
      <c r="T24" s="97"/>
    </row>
    <row r="25" spans="1:20" ht="15.6">
      <c r="A25" s="30" t="str">
        <v xml:space="preserve">Kohls - Waterbury </v>
      </c>
      <c r="B25" s="31" t="str">
        <v>CT</v>
      </c>
      <c r="C25" s="11"/>
      <c r="D25" s="18"/>
      <c r="E25" s="18" t="str">
        <f t="shared" si="0"/>
        <v/>
      </c>
      <c r="F25" s="19" t="str">
        <f t="shared" si="3"/>
        <v/>
      </c>
      <c r="G25" s="20"/>
      <c r="H25" s="20" t="str">
        <f t="shared" si="1"/>
        <v/>
      </c>
      <c r="I25" s="19" t="str">
        <f t="shared" si="2"/>
        <v/>
      </c>
      <c r="J25" s="42"/>
      <c r="K25" s="60"/>
      <c r="L25" s="97"/>
      <c r="M25" s="97"/>
      <c r="N25" s="97"/>
      <c r="O25" s="97"/>
      <c r="P25" s="97"/>
      <c r="Q25" s="97"/>
      <c r="R25" s="97"/>
      <c r="S25" s="97"/>
      <c r="T25" s="97"/>
    </row>
    <row r="26" spans="1:20" ht="15.6">
      <c r="A26" s="28" t="str">
        <v>Mojave Water Agency - Headquarters</v>
      </c>
      <c r="B26" s="29" t="str">
        <v>CA</v>
      </c>
      <c r="C26" s="24"/>
      <c r="D26" s="13"/>
      <c r="E26" s="13" t="str">
        <f t="shared" ref="E26:E68" si="4">IF(AND(ISNUMBER(C26),ISNUMBER(D26)), C26-D26, "")</f>
        <v/>
      </c>
      <c r="F26" s="14" t="str">
        <f t="shared" si="3"/>
        <v/>
      </c>
      <c r="G26" s="15"/>
      <c r="H26" s="15" t="str">
        <f t="shared" ref="H26:H68" si="5">IF(AND(ISNUMBER(C26),ISNUMBER(G26)), C26-G26, "")</f>
        <v/>
      </c>
      <c r="I26" s="16" t="str">
        <f t="shared" si="2"/>
        <v/>
      </c>
      <c r="J26" s="56"/>
      <c r="K26" s="91"/>
      <c r="L26" s="97"/>
      <c r="M26" s="97"/>
      <c r="N26" s="97"/>
      <c r="O26" s="97"/>
      <c r="P26" s="97"/>
      <c r="Q26" s="97"/>
      <c r="R26" s="97"/>
      <c r="S26" s="97"/>
      <c r="T26" s="97"/>
    </row>
    <row r="27" spans="1:20" ht="15.6">
      <c r="A27" s="30" t="str">
        <v>CSU - Bakersfield</v>
      </c>
      <c r="B27" s="31" t="str">
        <v>CA</v>
      </c>
      <c r="C27" s="11"/>
      <c r="D27" s="18"/>
      <c r="E27" s="18" t="str">
        <f t="shared" si="4"/>
        <v/>
      </c>
      <c r="F27" s="19" t="str">
        <f t="shared" si="3"/>
        <v/>
      </c>
      <c r="G27" s="20"/>
      <c r="H27" s="20" t="str">
        <f t="shared" si="5"/>
        <v/>
      </c>
      <c r="I27" s="19" t="str">
        <f t="shared" si="2"/>
        <v/>
      </c>
      <c r="J27" s="42"/>
      <c r="K27" s="60"/>
      <c r="L27" s="97"/>
      <c r="M27" s="97"/>
      <c r="N27" s="97"/>
      <c r="O27" s="97"/>
      <c r="P27" s="97"/>
      <c r="Q27" s="97"/>
      <c r="R27" s="97"/>
      <c r="S27" s="97"/>
      <c r="T27" s="97"/>
    </row>
    <row r="28" spans="1:20" ht="15.6">
      <c r="A28" s="28" t="str">
        <v>Greenfield USD - Fairfield ES</v>
      </c>
      <c r="B28" s="29" t="str">
        <v>CA</v>
      </c>
      <c r="C28" s="24"/>
      <c r="D28" s="13"/>
      <c r="E28" s="13" t="str">
        <f t="shared" si="4"/>
        <v/>
      </c>
      <c r="F28" s="14" t="str">
        <f t="shared" si="3"/>
        <v/>
      </c>
      <c r="G28" s="15"/>
      <c r="H28" s="15" t="str">
        <f t="shared" si="5"/>
        <v/>
      </c>
      <c r="I28" s="16" t="str">
        <f t="shared" si="2"/>
        <v/>
      </c>
      <c r="J28" s="56"/>
      <c r="K28" s="91"/>
      <c r="L28" s="97"/>
      <c r="M28" s="97"/>
      <c r="N28" s="97"/>
      <c r="O28" s="97"/>
      <c r="P28" s="97"/>
      <c r="Q28" s="97"/>
      <c r="R28" s="97"/>
      <c r="S28" s="97"/>
      <c r="T28" s="97"/>
    </row>
    <row r="29" spans="1:20" ht="15.6">
      <c r="A29" s="30" t="str">
        <v>Greenfield USD - Granite Point ES</v>
      </c>
      <c r="B29" s="31" t="str">
        <v>CA</v>
      </c>
      <c r="C29" s="11"/>
      <c r="D29" s="18"/>
      <c r="E29" s="18" t="str">
        <f t="shared" si="4"/>
        <v/>
      </c>
      <c r="F29" s="19" t="str">
        <f t="shared" si="3"/>
        <v/>
      </c>
      <c r="G29" s="20"/>
      <c r="H29" s="20" t="str">
        <f t="shared" si="5"/>
        <v/>
      </c>
      <c r="I29" s="19" t="str">
        <f t="shared" si="2"/>
        <v/>
      </c>
      <c r="J29" s="102"/>
      <c r="K29" s="90"/>
      <c r="L29" s="97"/>
      <c r="M29" s="97"/>
      <c r="N29" s="97"/>
      <c r="O29" s="97"/>
      <c r="P29" s="97"/>
      <c r="Q29" s="97"/>
      <c r="R29" s="97"/>
      <c r="S29" s="97"/>
      <c r="T29" s="97"/>
    </row>
    <row r="30" spans="1:20" ht="15.6">
      <c r="A30" s="28" t="str">
        <v>Greenfield USD - Greenfield MS</v>
      </c>
      <c r="B30" s="29" t="str">
        <v>CA</v>
      </c>
      <c r="C30" s="24"/>
      <c r="D30" s="13"/>
      <c r="E30" s="13" t="str">
        <f t="shared" si="4"/>
        <v/>
      </c>
      <c r="F30" s="14" t="str">
        <f t="shared" si="3"/>
        <v/>
      </c>
      <c r="G30" s="15"/>
      <c r="H30" s="15" t="str">
        <f t="shared" si="5"/>
        <v/>
      </c>
      <c r="I30" s="16" t="str">
        <f t="shared" si="2"/>
        <v/>
      </c>
      <c r="J30" s="56"/>
      <c r="K30" s="91"/>
      <c r="L30" s="97"/>
      <c r="M30" s="97"/>
      <c r="N30" s="97"/>
      <c r="O30" s="97"/>
      <c r="P30" s="97"/>
      <c r="Q30" s="97"/>
      <c r="R30" s="97"/>
      <c r="S30" s="97"/>
      <c r="T30" s="97"/>
    </row>
    <row r="31" spans="1:20" ht="15.6">
      <c r="A31" s="30" t="str">
        <v>Greenfield USD - Horizon ES</v>
      </c>
      <c r="B31" s="31" t="str">
        <v>CA</v>
      </c>
      <c r="C31" s="11"/>
      <c r="D31" s="18"/>
      <c r="E31" s="18" t="str">
        <f t="shared" si="4"/>
        <v/>
      </c>
      <c r="F31" s="19" t="str">
        <f t="shared" si="3"/>
        <v/>
      </c>
      <c r="G31" s="20"/>
      <c r="H31" s="20" t="str">
        <f t="shared" si="5"/>
        <v/>
      </c>
      <c r="I31" s="19" t="str">
        <f t="shared" si="2"/>
        <v/>
      </c>
      <c r="J31" s="54"/>
      <c r="K31" s="90"/>
      <c r="L31" s="98"/>
      <c r="M31" s="97"/>
      <c r="N31" s="97"/>
      <c r="O31" s="97"/>
      <c r="P31" s="97"/>
      <c r="Q31" s="97"/>
      <c r="R31" s="97"/>
      <c r="S31" s="97"/>
      <c r="T31" s="97"/>
    </row>
    <row r="32" spans="1:20" ht="15.6">
      <c r="A32" s="28" t="str">
        <v>Greenfield USD - McKee MS</v>
      </c>
      <c r="B32" s="29" t="str">
        <v>CA</v>
      </c>
      <c r="C32" s="24"/>
      <c r="D32" s="13"/>
      <c r="E32" s="13" t="str">
        <f t="shared" si="4"/>
        <v/>
      </c>
      <c r="F32" s="14" t="str">
        <f t="shared" si="3"/>
        <v/>
      </c>
      <c r="G32" s="15"/>
      <c r="H32" s="15" t="str">
        <f t="shared" si="5"/>
        <v/>
      </c>
      <c r="I32" s="16" t="str">
        <f t="shared" si="2"/>
        <v/>
      </c>
      <c r="J32" s="56"/>
      <c r="K32" s="56"/>
      <c r="L32" s="97"/>
      <c r="M32" s="97"/>
      <c r="N32" s="97"/>
      <c r="O32" s="97"/>
      <c r="P32" s="97"/>
      <c r="Q32" s="97"/>
      <c r="R32" s="97"/>
      <c r="S32" s="97"/>
      <c r="T32" s="97"/>
    </row>
    <row r="33" spans="1:20" ht="15.6">
      <c r="A33" s="30" t="str">
        <v>Greenfield USD - Plantation ES</v>
      </c>
      <c r="B33" s="31" t="str">
        <v>CA</v>
      </c>
      <c r="C33" s="11"/>
      <c r="D33" s="18"/>
      <c r="E33" s="18" t="str">
        <f t="shared" si="4"/>
        <v/>
      </c>
      <c r="F33" s="19" t="str">
        <f t="shared" si="3"/>
        <v/>
      </c>
      <c r="G33" s="20"/>
      <c r="H33" s="20" t="str">
        <f t="shared" si="5"/>
        <v/>
      </c>
      <c r="I33" s="19" t="str">
        <f t="shared" si="2"/>
        <v/>
      </c>
      <c r="J33" s="42"/>
      <c r="K33" s="60"/>
      <c r="L33" s="97"/>
      <c r="M33" s="97"/>
      <c r="N33" s="97"/>
      <c r="O33" s="97"/>
      <c r="P33" s="97"/>
      <c r="Q33" s="97"/>
      <c r="R33" s="97"/>
      <c r="S33" s="97"/>
      <c r="T33" s="97"/>
    </row>
    <row r="34" spans="1:20" ht="15.6">
      <c r="A34" s="28" t="str">
        <v>Greenfield USD - Planz ES</v>
      </c>
      <c r="B34" s="29" t="str">
        <v>CA</v>
      </c>
      <c r="C34" s="24"/>
      <c r="D34" s="13"/>
      <c r="E34" s="13" t="str">
        <f t="shared" si="4"/>
        <v/>
      </c>
      <c r="F34" s="14" t="str">
        <f t="shared" si="3"/>
        <v/>
      </c>
      <c r="G34" s="15"/>
      <c r="H34" s="15" t="str">
        <f t="shared" si="5"/>
        <v/>
      </c>
      <c r="I34" s="16" t="str">
        <f t="shared" si="2"/>
        <v/>
      </c>
      <c r="J34" s="56"/>
      <c r="K34" s="91"/>
      <c r="L34" s="97"/>
      <c r="M34" s="97"/>
      <c r="N34" s="97"/>
      <c r="O34" s="97"/>
      <c r="P34" s="97"/>
      <c r="Q34" s="97"/>
      <c r="R34" s="97"/>
      <c r="S34" s="97"/>
      <c r="T34" s="97"/>
    </row>
    <row r="35" spans="1:20" ht="15.6">
      <c r="A35" s="30" t="str">
        <v>Greenfield USD - Raffaello Palla ES</v>
      </c>
      <c r="B35" s="31" t="str">
        <v>CA</v>
      </c>
      <c r="C35" s="11"/>
      <c r="D35" s="18"/>
      <c r="E35" s="18" t="str">
        <f t="shared" si="4"/>
        <v/>
      </c>
      <c r="F35" s="19" t="str">
        <f t="shared" si="3"/>
        <v/>
      </c>
      <c r="G35" s="20"/>
      <c r="H35" s="20" t="str">
        <f t="shared" si="5"/>
        <v/>
      </c>
      <c r="I35" s="19" t="str">
        <f t="shared" si="2"/>
        <v/>
      </c>
      <c r="J35" s="42"/>
      <c r="K35" s="87"/>
      <c r="L35" s="97"/>
      <c r="M35" s="97"/>
      <c r="N35" s="97"/>
      <c r="O35" s="97"/>
      <c r="P35" s="97"/>
      <c r="Q35" s="97"/>
      <c r="R35" s="97"/>
      <c r="S35" s="97"/>
      <c r="T35" s="97"/>
    </row>
    <row r="36" spans="1:20" ht="15.6">
      <c r="A36" s="28" t="str">
        <v>Greenfield USD - Valle Verde ES</v>
      </c>
      <c r="B36" s="29" t="str">
        <v>CA</v>
      </c>
      <c r="C36" s="24"/>
      <c r="D36" s="13"/>
      <c r="E36" s="13" t="str">
        <f t="shared" si="4"/>
        <v/>
      </c>
      <c r="F36" s="14" t="str">
        <f t="shared" si="3"/>
        <v/>
      </c>
      <c r="G36" s="15"/>
      <c r="H36" s="15" t="str">
        <f t="shared" si="5"/>
        <v/>
      </c>
      <c r="I36" s="16" t="str">
        <f t="shared" si="2"/>
        <v/>
      </c>
      <c r="J36" s="56"/>
      <c r="K36" s="56"/>
      <c r="L36" s="97"/>
      <c r="M36" s="97"/>
      <c r="N36" s="97"/>
      <c r="O36" s="97"/>
      <c r="P36" s="97"/>
      <c r="Q36" s="97"/>
      <c r="R36" s="97"/>
      <c r="S36" s="97"/>
      <c r="T36" s="97"/>
    </row>
    <row r="37" spans="1:20" ht="15.6">
      <c r="A37" s="30" t="str">
        <v>Greenfield USD - W.A. Kendrick ES</v>
      </c>
      <c r="B37" s="31" t="str">
        <v>CA</v>
      </c>
      <c r="C37" s="11"/>
      <c r="D37" s="18"/>
      <c r="E37" s="18" t="str">
        <f t="shared" si="4"/>
        <v/>
      </c>
      <c r="F37" s="19" t="str">
        <f t="shared" si="3"/>
        <v/>
      </c>
      <c r="G37" s="20"/>
      <c r="H37" s="20" t="str">
        <f t="shared" si="5"/>
        <v/>
      </c>
      <c r="I37" s="19" t="str">
        <f t="shared" si="2"/>
        <v/>
      </c>
      <c r="J37" s="42"/>
      <c r="K37" s="87"/>
      <c r="L37" s="97"/>
      <c r="M37" s="97"/>
      <c r="N37" s="97"/>
      <c r="O37" s="97"/>
      <c r="P37" s="97"/>
      <c r="Q37" s="97"/>
      <c r="R37" s="97"/>
      <c r="S37" s="97"/>
      <c r="T37" s="97"/>
    </row>
    <row r="38" spans="1:20" ht="15.6">
      <c r="A38" s="28" t="str">
        <v>Muroc Joint USD - Boron HS</v>
      </c>
      <c r="B38" s="29" t="str">
        <v>CA</v>
      </c>
      <c r="C38" s="24"/>
      <c r="D38" s="13"/>
      <c r="E38" s="13" t="str">
        <f t="shared" si="4"/>
        <v/>
      </c>
      <c r="F38" s="14" t="str">
        <f t="shared" si="3"/>
        <v/>
      </c>
      <c r="G38" s="15"/>
      <c r="H38" s="15" t="str">
        <f t="shared" si="5"/>
        <v/>
      </c>
      <c r="I38" s="16" t="str">
        <f t="shared" si="2"/>
        <v/>
      </c>
      <c r="J38" s="56"/>
      <c r="K38" s="91"/>
      <c r="L38" s="98"/>
      <c r="M38" s="97"/>
      <c r="N38" s="97"/>
      <c r="O38" s="97"/>
      <c r="P38" s="97"/>
      <c r="Q38" s="97"/>
      <c r="R38" s="97"/>
      <c r="S38" s="97"/>
      <c r="T38" s="97"/>
    </row>
    <row r="39" spans="1:20" ht="15.6">
      <c r="A39" s="30" t="str">
        <v>Muroc Joint USD - W. Boron ES</v>
      </c>
      <c r="B39" s="31" t="str">
        <v>CA</v>
      </c>
      <c r="C39" s="11"/>
      <c r="D39" s="18"/>
      <c r="E39" s="18" t="str">
        <f t="shared" si="4"/>
        <v/>
      </c>
      <c r="F39" s="19" t="str">
        <f t="shared" si="3"/>
        <v/>
      </c>
      <c r="G39" s="20"/>
      <c r="H39" s="20" t="str">
        <f t="shared" si="5"/>
        <v/>
      </c>
      <c r="I39" s="19" t="str">
        <f t="shared" si="2"/>
        <v/>
      </c>
      <c r="J39" s="42"/>
      <c r="K39" s="60"/>
      <c r="L39" s="97"/>
      <c r="M39" s="97"/>
      <c r="N39" s="97"/>
      <c r="O39" s="97"/>
      <c r="P39" s="97"/>
      <c r="Q39" s="97"/>
      <c r="R39" s="97"/>
      <c r="S39" s="97"/>
      <c r="T39" s="97"/>
    </row>
    <row r="40" spans="1:20" ht="139.5" customHeight="1">
      <c r="A40" s="28" t="str">
        <v>Colusa - WTP</v>
      </c>
      <c r="B40" s="29" t="str">
        <v>CA</v>
      </c>
      <c r="C40" s="24"/>
      <c r="D40" s="13"/>
      <c r="E40" s="13" t="str">
        <f t="shared" si="4"/>
        <v/>
      </c>
      <c r="F40" s="14" t="str">
        <f t="shared" si="3"/>
        <v/>
      </c>
      <c r="G40" s="15"/>
      <c r="H40" s="15" t="str">
        <f t="shared" si="5"/>
        <v/>
      </c>
      <c r="I40" s="16" t="str">
        <f t="shared" si="2"/>
        <v/>
      </c>
      <c r="J40" s="56"/>
      <c r="K40" s="91"/>
      <c r="L40" s="98"/>
      <c r="M40" s="98"/>
      <c r="N40" s="98"/>
      <c r="O40" s="98"/>
      <c r="P40" s="98"/>
      <c r="Q40" s="97"/>
      <c r="R40" s="97"/>
      <c r="S40" s="97"/>
      <c r="T40" s="97"/>
    </row>
    <row r="41" spans="1:20" ht="15.6">
      <c r="A41" s="30" t="str">
        <v>CDCR-North Kern State Prision</v>
      </c>
      <c r="B41" s="31" t="str">
        <v>CA</v>
      </c>
      <c r="C41" s="11"/>
      <c r="D41" s="18"/>
      <c r="E41" s="18" t="str">
        <f t="shared" si="4"/>
        <v/>
      </c>
      <c r="F41" s="19" t="str">
        <f t="shared" si="3"/>
        <v/>
      </c>
      <c r="G41" s="20"/>
      <c r="H41" s="20" t="str">
        <f t="shared" si="5"/>
        <v/>
      </c>
      <c r="I41" s="19" t="str">
        <f t="shared" si="2"/>
        <v/>
      </c>
      <c r="J41" s="42"/>
      <c r="K41" s="87"/>
      <c r="L41" s="97"/>
      <c r="M41" s="97"/>
      <c r="N41" s="97"/>
      <c r="O41" s="97"/>
      <c r="P41" s="97"/>
      <c r="Q41" s="97"/>
      <c r="R41" s="97"/>
      <c r="S41" s="97"/>
      <c r="T41" s="97"/>
    </row>
    <row r="42" spans="1:20" ht="15.6">
      <c r="A42" s="28" t="str">
        <v>Muroc Joint USD - District Office</v>
      </c>
      <c r="B42" s="29" t="str">
        <v>CA</v>
      </c>
      <c r="C42" s="24"/>
      <c r="D42" s="13"/>
      <c r="E42" s="13" t="str">
        <f t="shared" si="4"/>
        <v/>
      </c>
      <c r="F42" s="14" t="str">
        <f t="shared" si="3"/>
        <v/>
      </c>
      <c r="G42" s="15"/>
      <c r="H42" s="15" t="str">
        <f t="shared" si="5"/>
        <v/>
      </c>
      <c r="I42" s="16" t="str">
        <f t="shared" si="2"/>
        <v/>
      </c>
      <c r="J42" s="86"/>
      <c r="K42" s="56"/>
      <c r="L42" s="97"/>
      <c r="M42" s="97"/>
      <c r="N42" s="97"/>
      <c r="O42" s="97"/>
      <c r="P42" s="97"/>
      <c r="Q42" s="97"/>
      <c r="R42" s="97"/>
      <c r="S42" s="97"/>
      <c r="T42" s="97"/>
    </row>
    <row r="43" spans="1:20" ht="15.6">
      <c r="A43" s="30" t="str">
        <v>Whole Foods - Manhattan Beach</v>
      </c>
      <c r="B43" s="31" t="str">
        <v>CA</v>
      </c>
      <c r="C43" s="11"/>
      <c r="D43" s="18"/>
      <c r="E43" s="18" t="str">
        <f t="shared" si="4"/>
        <v/>
      </c>
      <c r="F43" s="19" t="str">
        <f t="shared" si="3"/>
        <v/>
      </c>
      <c r="G43" s="20"/>
      <c r="H43" s="20" t="str">
        <f t="shared" si="5"/>
        <v/>
      </c>
      <c r="I43" s="19" t="str">
        <f t="shared" si="2"/>
        <v/>
      </c>
      <c r="J43" s="54"/>
      <c r="K43" s="90"/>
      <c r="L43" s="98"/>
      <c r="M43" s="98"/>
      <c r="N43" s="98"/>
      <c r="O43" s="98"/>
      <c r="P43" s="98"/>
      <c r="Q43" s="98"/>
      <c r="R43" s="97"/>
      <c r="S43" s="97"/>
      <c r="T43" s="97"/>
    </row>
    <row r="44" spans="1:20" ht="15.6">
      <c r="A44" s="28" t="str">
        <v>Pioneer USD - Frontier ES</v>
      </c>
      <c r="B44" s="29" t="str">
        <v>CA</v>
      </c>
      <c r="C44" s="24"/>
      <c r="D44" s="13"/>
      <c r="E44" s="13" t="str">
        <f t="shared" si="4"/>
        <v/>
      </c>
      <c r="F44" s="14" t="str">
        <f t="shared" si="3"/>
        <v/>
      </c>
      <c r="G44" s="15"/>
      <c r="H44" s="15" t="str">
        <f t="shared" si="5"/>
        <v/>
      </c>
      <c r="I44" s="16" t="str">
        <f t="shared" si="2"/>
        <v/>
      </c>
      <c r="J44" s="56"/>
      <c r="K44" s="91"/>
      <c r="L44" s="97"/>
      <c r="M44" s="97"/>
      <c r="N44" s="97"/>
      <c r="O44" s="97"/>
      <c r="P44" s="97"/>
      <c r="Q44" s="97"/>
      <c r="R44" s="97"/>
      <c r="S44" s="97"/>
      <c r="T44" s="97"/>
    </row>
    <row r="45" spans="1:20" ht="15.6">
      <c r="A45" s="30" t="str">
        <v>Pioneer USD - Pioneer ES</v>
      </c>
      <c r="B45" s="31" t="str">
        <v>CA</v>
      </c>
      <c r="C45" s="11"/>
      <c r="D45" s="18"/>
      <c r="E45" s="18" t="str">
        <f t="shared" si="4"/>
        <v/>
      </c>
      <c r="F45" s="19" t="str">
        <f t="shared" si="3"/>
        <v/>
      </c>
      <c r="G45" s="20"/>
      <c r="H45" s="20" t="str">
        <f t="shared" si="5"/>
        <v/>
      </c>
      <c r="I45" s="19" t="str">
        <f t="shared" si="2"/>
        <v/>
      </c>
      <c r="J45" s="42"/>
      <c r="K45" s="90"/>
      <c r="L45" s="98"/>
      <c r="M45" s="98"/>
      <c r="N45" s="98"/>
      <c r="O45" s="98"/>
      <c r="P45" s="98"/>
      <c r="Q45" s="98"/>
      <c r="R45" s="97"/>
      <c r="S45" s="97"/>
      <c r="T45" s="97"/>
    </row>
    <row r="46" spans="1:20" ht="15.6">
      <c r="A46" s="28" t="str">
        <v>Pioneer USD - Pioneer MS</v>
      </c>
      <c r="B46" s="29" t="str">
        <v>CA</v>
      </c>
      <c r="C46" s="24"/>
      <c r="D46" s="13"/>
      <c r="E46" s="13" t="str">
        <f t="shared" si="4"/>
        <v/>
      </c>
      <c r="F46" s="14" t="str">
        <f t="shared" si="3"/>
        <v/>
      </c>
      <c r="G46" s="15"/>
      <c r="H46" s="15" t="str">
        <f t="shared" si="5"/>
        <v/>
      </c>
      <c r="I46" s="16" t="str">
        <f t="shared" si="2"/>
        <v/>
      </c>
      <c r="J46" s="56"/>
      <c r="K46" s="56"/>
      <c r="L46" s="97"/>
      <c r="M46" s="97"/>
      <c r="N46" s="97"/>
      <c r="O46" s="97"/>
      <c r="P46" s="97"/>
      <c r="Q46" s="97"/>
      <c r="R46" s="97"/>
      <c r="S46" s="97"/>
      <c r="T46" s="97"/>
    </row>
    <row r="47" spans="1:20" ht="180.75" customHeight="1">
      <c r="A47" s="30" t="str">
        <v>Kingsburg Joint UHSD - Kingsburg HS</v>
      </c>
      <c r="B47" s="31" t="str">
        <v>CA</v>
      </c>
      <c r="C47" s="11"/>
      <c r="D47" s="18"/>
      <c r="E47" s="18" t="str">
        <f t="shared" si="4"/>
        <v/>
      </c>
      <c r="F47" s="19" t="str">
        <f t="shared" si="3"/>
        <v/>
      </c>
      <c r="G47" s="20"/>
      <c r="H47" s="20" t="str">
        <f t="shared" si="5"/>
        <v/>
      </c>
      <c r="I47" s="19" t="str">
        <f t="shared" si="2"/>
        <v/>
      </c>
      <c r="J47" s="54"/>
      <c r="K47" s="90"/>
      <c r="L47" s="98"/>
      <c r="M47" s="98"/>
      <c r="N47" s="98"/>
      <c r="O47" s="97"/>
      <c r="P47" s="97"/>
      <c r="Q47" s="97"/>
      <c r="R47" s="97"/>
      <c r="S47" s="97"/>
      <c r="T47" s="97"/>
    </row>
    <row r="48" spans="1:20" ht="15.6">
      <c r="A48" s="28" t="str">
        <v>CADRB</v>
      </c>
      <c r="B48" s="29" t="str">
        <v>CA</v>
      </c>
      <c r="C48" s="24"/>
      <c r="D48" s="13"/>
      <c r="E48" s="13" t="str">
        <f t="shared" si="4"/>
        <v/>
      </c>
      <c r="F48" s="14" t="str">
        <f t="shared" si="3"/>
        <v/>
      </c>
      <c r="G48" s="15"/>
      <c r="H48" s="15" t="str">
        <f t="shared" si="5"/>
        <v/>
      </c>
      <c r="I48" s="16" t="str">
        <f t="shared" si="2"/>
        <v/>
      </c>
      <c r="J48" s="56"/>
      <c r="K48" s="91"/>
      <c r="L48" s="98"/>
      <c r="M48" s="98"/>
      <c r="N48" s="98"/>
      <c r="O48" s="98"/>
      <c r="P48" s="98"/>
      <c r="Q48" s="97"/>
      <c r="R48" s="97"/>
      <c r="S48" s="97"/>
      <c r="T48" s="97"/>
    </row>
    <row r="49" spans="1:20" ht="15.6">
      <c r="A49" s="30" t="str">
        <v>CDCR-CA State Prison LA County</v>
      </c>
      <c r="B49" s="31" t="str">
        <v>CA</v>
      </c>
      <c r="C49" s="11"/>
      <c r="D49" s="18"/>
      <c r="E49" s="18" t="str">
        <f t="shared" si="4"/>
        <v/>
      </c>
      <c r="F49" s="19" t="str">
        <f t="shared" si="3"/>
        <v/>
      </c>
      <c r="G49" s="20"/>
      <c r="H49" s="20" t="str">
        <f t="shared" si="5"/>
        <v/>
      </c>
      <c r="I49" s="19" t="str">
        <f t="shared" si="2"/>
        <v/>
      </c>
      <c r="J49" s="42"/>
      <c r="K49" s="90"/>
      <c r="L49" s="97"/>
      <c r="M49" s="97"/>
      <c r="N49" s="97"/>
      <c r="O49" s="97"/>
      <c r="P49" s="97"/>
      <c r="Q49" s="97"/>
      <c r="R49" s="97"/>
      <c r="S49" s="97"/>
      <c r="T49" s="97"/>
    </row>
    <row r="50" spans="1:20" ht="15.6">
      <c r="A50" s="28" t="str">
        <v>Central USD Akers ES</v>
      </c>
      <c r="B50" s="29" t="str">
        <v>CA</v>
      </c>
      <c r="C50" s="24"/>
      <c r="D50" s="13"/>
      <c r="E50" s="13" t="str">
        <f t="shared" si="4"/>
        <v/>
      </c>
      <c r="F50" s="14" t="str">
        <f t="shared" si="3"/>
        <v/>
      </c>
      <c r="G50" s="15"/>
      <c r="H50" s="15" t="str">
        <f t="shared" si="5"/>
        <v/>
      </c>
      <c r="I50" s="16" t="str">
        <f t="shared" si="2"/>
        <v/>
      </c>
      <c r="J50" s="56"/>
      <c r="K50" s="56"/>
      <c r="L50" s="97"/>
      <c r="M50" s="97"/>
      <c r="N50" s="97"/>
      <c r="O50" s="97"/>
      <c r="P50" s="97"/>
      <c r="Q50" s="97"/>
      <c r="R50" s="97"/>
      <c r="S50" s="97"/>
      <c r="T50" s="97"/>
    </row>
    <row r="51" spans="1:20" ht="15.6">
      <c r="A51" s="30" t="str">
        <v>CUSD - District Office</v>
      </c>
      <c r="B51" s="31" t="str">
        <v>CA</v>
      </c>
      <c r="C51" s="11"/>
      <c r="D51" s="18"/>
      <c r="E51" s="18" t="str">
        <f t="shared" si="4"/>
        <v/>
      </c>
      <c r="F51" s="19" t="str">
        <f t="shared" si="3"/>
        <v/>
      </c>
      <c r="G51" s="20"/>
      <c r="H51" s="20" t="str">
        <f t="shared" si="5"/>
        <v/>
      </c>
      <c r="I51" s="19" t="str">
        <f t="shared" si="2"/>
        <v/>
      </c>
      <c r="J51" s="42"/>
      <c r="K51" s="90"/>
      <c r="L51" s="98"/>
      <c r="M51" s="97"/>
      <c r="N51" s="97"/>
      <c r="O51" s="97"/>
      <c r="P51" s="97"/>
      <c r="Q51" s="97"/>
      <c r="R51" s="97"/>
      <c r="S51" s="97"/>
      <c r="T51" s="97"/>
    </row>
    <row r="52" spans="1:20" ht="15.6">
      <c r="A52" s="28" t="str">
        <v>Parlier - WTP</v>
      </c>
      <c r="B52" s="29" t="str">
        <v>CA</v>
      </c>
      <c r="C52" s="24"/>
      <c r="D52" s="13"/>
      <c r="E52" s="13" t="str">
        <f t="shared" si="4"/>
        <v/>
      </c>
      <c r="F52" s="14" t="str">
        <f t="shared" si="3"/>
        <v/>
      </c>
      <c r="G52" s="15"/>
      <c r="H52" s="15" t="str">
        <f t="shared" si="5"/>
        <v/>
      </c>
      <c r="I52" s="16" t="str">
        <f t="shared" si="2"/>
        <v/>
      </c>
      <c r="J52" s="56"/>
      <c r="K52" s="91"/>
      <c r="L52" s="97"/>
      <c r="M52" s="97"/>
      <c r="N52" s="97"/>
      <c r="O52" s="97"/>
      <c r="P52" s="97"/>
      <c r="Q52" s="97"/>
      <c r="R52" s="97"/>
      <c r="S52" s="97"/>
      <c r="T52" s="97"/>
    </row>
    <row r="53" spans="1:20" ht="15.6">
      <c r="A53" s="30" t="str">
        <v>Snowline SD - Quail Valley MS</v>
      </c>
      <c r="B53" s="31" t="str">
        <v>CA</v>
      </c>
      <c r="C53" s="11"/>
      <c r="D53" s="18"/>
      <c r="E53" s="18" t="str">
        <f t="shared" si="4"/>
        <v/>
      </c>
      <c r="F53" s="19" t="str">
        <f t="shared" si="3"/>
        <v/>
      </c>
      <c r="G53" s="20"/>
      <c r="H53" s="20" t="str">
        <f t="shared" si="5"/>
        <v/>
      </c>
      <c r="I53" s="19" t="str">
        <f t="shared" si="2"/>
        <v/>
      </c>
      <c r="J53" s="54"/>
      <c r="K53" s="90"/>
      <c r="L53" s="98"/>
      <c r="M53" s="97"/>
      <c r="N53" s="97"/>
      <c r="O53" s="97"/>
      <c r="P53" s="97"/>
      <c r="Q53" s="97"/>
      <c r="R53" s="97"/>
      <c r="S53" s="97"/>
      <c r="T53" s="97"/>
    </row>
    <row r="54" spans="1:20" ht="15.6">
      <c r="A54" s="28" t="str">
        <v>Snowline SD - Serrano HS - Middle Lot</v>
      </c>
      <c r="B54" s="29" t="str">
        <v>CA</v>
      </c>
      <c r="C54" s="24"/>
      <c r="D54" s="13"/>
      <c r="E54" s="13" t="str">
        <f t="shared" si="4"/>
        <v/>
      </c>
      <c r="F54" s="14" t="str">
        <f t="shared" si="3"/>
        <v/>
      </c>
      <c r="G54" s="15"/>
      <c r="H54" s="15" t="str">
        <f t="shared" si="5"/>
        <v/>
      </c>
      <c r="I54" s="16" t="str">
        <f t="shared" si="2"/>
        <v/>
      </c>
      <c r="J54" s="56"/>
      <c r="K54" s="91"/>
      <c r="L54" s="98"/>
      <c r="M54" s="97"/>
      <c r="N54" s="97"/>
      <c r="O54" s="97"/>
      <c r="P54" s="97"/>
      <c r="Q54" s="97"/>
      <c r="R54" s="97"/>
      <c r="S54" s="97"/>
      <c r="T54" s="97"/>
    </row>
    <row r="55" spans="1:20" ht="33" customHeight="1">
      <c r="A55" s="30" t="str">
        <v>Snowline SD - Pinon Hills ES</v>
      </c>
      <c r="B55" s="31" t="str">
        <v>CA</v>
      </c>
      <c r="C55" s="11"/>
      <c r="D55" s="18"/>
      <c r="E55" s="18" t="str">
        <f t="shared" si="4"/>
        <v/>
      </c>
      <c r="F55" s="19" t="str">
        <f t="shared" si="3"/>
        <v/>
      </c>
      <c r="G55" s="20"/>
      <c r="H55" s="20" t="str">
        <f t="shared" si="5"/>
        <v/>
      </c>
      <c r="I55" s="19" t="str">
        <f t="shared" si="2"/>
        <v/>
      </c>
      <c r="J55" s="54"/>
      <c r="K55" s="90"/>
      <c r="L55" s="98"/>
      <c r="M55" s="98"/>
      <c r="N55" s="97"/>
      <c r="O55" s="97"/>
      <c r="P55" s="97"/>
      <c r="Q55" s="97"/>
      <c r="R55" s="97"/>
      <c r="S55" s="97"/>
      <c r="T55" s="97"/>
    </row>
    <row r="56" spans="1:20" ht="15.6">
      <c r="A56" s="28" t="str">
        <v>Ramona - Santa Maria WTP</v>
      </c>
      <c r="B56" s="29" t="str">
        <v>CA</v>
      </c>
      <c r="C56" s="24"/>
      <c r="D56" s="13"/>
      <c r="E56" s="13" t="str">
        <f t="shared" si="4"/>
        <v/>
      </c>
      <c r="F56" s="14" t="str">
        <f t="shared" si="3"/>
        <v/>
      </c>
      <c r="G56" s="15"/>
      <c r="H56" s="15" t="str">
        <f t="shared" si="5"/>
        <v/>
      </c>
      <c r="I56" s="16" t="str">
        <f t="shared" si="2"/>
        <v/>
      </c>
      <c r="J56" s="56"/>
      <c r="K56" s="56"/>
      <c r="L56" s="97"/>
      <c r="M56" s="97"/>
      <c r="N56" s="97"/>
      <c r="O56" s="97"/>
      <c r="P56" s="97"/>
      <c r="Q56" s="97"/>
      <c r="R56" s="97"/>
      <c r="S56" s="97"/>
      <c r="T56" s="97"/>
    </row>
    <row r="57" spans="1:20" ht="15.6">
      <c r="A57" s="30" t="str">
        <v>Kohls - Redding</v>
      </c>
      <c r="B57" s="31" t="str">
        <v>CA</v>
      </c>
      <c r="C57" s="11"/>
      <c r="D57" s="18"/>
      <c r="E57" s="18" t="str">
        <f t="shared" si="4"/>
        <v/>
      </c>
      <c r="F57" s="19" t="str">
        <f t="shared" si="3"/>
        <v/>
      </c>
      <c r="G57" s="20"/>
      <c r="H57" s="20" t="str">
        <f t="shared" si="5"/>
        <v/>
      </c>
      <c r="I57" s="19" t="str">
        <f t="shared" si="2"/>
        <v/>
      </c>
      <c r="J57" s="42"/>
      <c r="K57" s="90"/>
      <c r="L57" s="97"/>
      <c r="M57" s="97"/>
      <c r="N57" s="97"/>
      <c r="O57" s="97"/>
      <c r="P57" s="97"/>
      <c r="Q57" s="97"/>
      <c r="R57" s="97"/>
      <c r="S57" s="97"/>
      <c r="T57" s="97"/>
    </row>
    <row r="58" spans="1:20" ht="93.75" customHeight="1">
      <c r="A58" s="28" t="str">
        <v>Kohls - Salinas</v>
      </c>
      <c r="B58" s="29" t="str">
        <v>CA</v>
      </c>
      <c r="C58" s="24"/>
      <c r="D58" s="13"/>
      <c r="E58" s="13" t="str">
        <f t="shared" si="4"/>
        <v/>
      </c>
      <c r="F58" s="14" t="str">
        <f t="shared" si="3"/>
        <v/>
      </c>
      <c r="G58" s="15"/>
      <c r="H58" s="15" t="str">
        <f t="shared" si="5"/>
        <v/>
      </c>
      <c r="I58" s="16" t="str">
        <f t="shared" si="2"/>
        <v/>
      </c>
      <c r="J58" s="56"/>
      <c r="K58" s="91"/>
      <c r="L58" s="98"/>
      <c r="M58" s="98"/>
      <c r="N58" s="98"/>
      <c r="O58" s="98"/>
      <c r="P58" s="98"/>
      <c r="Q58" s="98"/>
      <c r="R58" s="97"/>
      <c r="S58" s="97"/>
      <c r="T58" s="97"/>
    </row>
    <row r="59" spans="1:20" ht="150.75" customHeight="1">
      <c r="A59" s="30" t="str">
        <v>Kohls - Sonora</v>
      </c>
      <c r="B59" s="31" t="str">
        <v>CA</v>
      </c>
      <c r="C59" s="11"/>
      <c r="D59" s="18"/>
      <c r="E59" s="18" t="str">
        <f t="shared" si="4"/>
        <v/>
      </c>
      <c r="F59" s="19" t="str">
        <f t="shared" si="3"/>
        <v/>
      </c>
      <c r="G59" s="20"/>
      <c r="H59" s="20" t="str">
        <f t="shared" si="5"/>
        <v/>
      </c>
      <c r="I59" s="19" t="str">
        <f t="shared" si="2"/>
        <v/>
      </c>
      <c r="J59" s="54"/>
      <c r="K59" s="90"/>
      <c r="L59" s="98"/>
      <c r="M59" s="98"/>
      <c r="N59" s="98"/>
      <c r="O59" s="97"/>
      <c r="P59" s="97"/>
      <c r="Q59" s="97"/>
      <c r="R59" s="97"/>
      <c r="S59" s="97"/>
      <c r="T59" s="97"/>
    </row>
    <row r="60" spans="1:20" ht="111" customHeight="1">
      <c r="A60" s="28" t="str">
        <v>CUSD - Stratford ES</v>
      </c>
      <c r="B60" s="29" t="str">
        <v>CA</v>
      </c>
      <c r="C60" s="24"/>
      <c r="D60" s="13"/>
      <c r="E60" s="13" t="str">
        <f t="shared" si="4"/>
        <v/>
      </c>
      <c r="F60" s="14" t="str">
        <f t="shared" si="3"/>
        <v/>
      </c>
      <c r="G60" s="15"/>
      <c r="H60" s="15" t="str">
        <f t="shared" si="5"/>
        <v/>
      </c>
      <c r="I60" s="16" t="str">
        <f t="shared" si="2"/>
        <v/>
      </c>
      <c r="J60" s="56"/>
      <c r="K60" s="91"/>
      <c r="L60" s="98"/>
      <c r="M60" s="98"/>
      <c r="N60" s="98"/>
      <c r="O60" s="98"/>
      <c r="P60" s="98"/>
      <c r="Q60" s="98"/>
      <c r="R60" s="97"/>
      <c r="S60" s="97"/>
      <c r="T60" s="97"/>
    </row>
    <row r="61" spans="1:20" ht="15.6">
      <c r="A61" s="30" t="str">
        <v>Taft - City Hall</v>
      </c>
      <c r="B61" s="31" t="str">
        <v>CA</v>
      </c>
      <c r="C61" s="11"/>
      <c r="D61" s="18"/>
      <c r="E61" s="18" t="str">
        <f t="shared" si="4"/>
        <v/>
      </c>
      <c r="F61" s="19" t="str">
        <f t="shared" si="3"/>
        <v/>
      </c>
      <c r="G61" s="20"/>
      <c r="H61" s="20" t="str">
        <f t="shared" si="5"/>
        <v/>
      </c>
      <c r="I61" s="19" t="str">
        <f t="shared" si="2"/>
        <v/>
      </c>
      <c r="J61" s="42"/>
      <c r="K61" s="90"/>
      <c r="L61" s="97"/>
      <c r="M61" s="97"/>
      <c r="N61" s="97"/>
      <c r="O61" s="97"/>
      <c r="P61" s="97"/>
      <c r="Q61" s="97"/>
      <c r="R61" s="97"/>
      <c r="S61" s="97"/>
      <c r="T61" s="97"/>
    </row>
    <row r="62" spans="1:20" ht="15.6">
      <c r="A62" s="28" t="str">
        <v>Taft - Federal Prison</v>
      </c>
      <c r="B62" s="29" t="str">
        <v>CA</v>
      </c>
      <c r="C62" s="24"/>
      <c r="D62" s="13"/>
      <c r="E62" s="13" t="str">
        <f t="shared" si="4"/>
        <v/>
      </c>
      <c r="F62" s="14" t="str">
        <f t="shared" si="3"/>
        <v/>
      </c>
      <c r="G62" s="15"/>
      <c r="H62" s="15" t="str">
        <f t="shared" si="5"/>
        <v/>
      </c>
      <c r="I62" s="16" t="str">
        <f t="shared" si="2"/>
        <v/>
      </c>
      <c r="J62" s="56"/>
      <c r="K62" s="91"/>
      <c r="L62" s="97"/>
      <c r="M62" s="97"/>
      <c r="N62" s="97"/>
      <c r="O62" s="97"/>
      <c r="P62" s="97"/>
      <c r="Q62" s="97"/>
      <c r="R62" s="97"/>
      <c r="S62" s="97"/>
      <c r="T62" s="97"/>
    </row>
    <row r="63" spans="1:20" ht="15.6">
      <c r="A63" s="30" t="str">
        <v>Taft - Police Department</v>
      </c>
      <c r="B63" s="31" t="str">
        <v>CA</v>
      </c>
      <c r="C63" s="11"/>
      <c r="D63" s="18"/>
      <c r="E63" s="18" t="str">
        <f t="shared" si="4"/>
        <v/>
      </c>
      <c r="F63" s="19" t="str">
        <f t="shared" si="3"/>
        <v/>
      </c>
      <c r="G63" s="20"/>
      <c r="H63" s="20" t="str">
        <f t="shared" si="5"/>
        <v/>
      </c>
      <c r="I63" s="19" t="str">
        <f t="shared" si="2"/>
        <v/>
      </c>
      <c r="J63" s="42"/>
      <c r="K63" s="60"/>
      <c r="L63" s="97"/>
      <c r="M63" s="97"/>
      <c r="N63" s="97"/>
      <c r="O63" s="97"/>
      <c r="P63" s="97"/>
      <c r="Q63" s="97"/>
      <c r="R63" s="97"/>
      <c r="S63" s="97"/>
      <c r="T63" s="97"/>
    </row>
    <row r="64" spans="1:20" ht="15.6">
      <c r="A64" s="28" t="str">
        <v>Taft - WTP</v>
      </c>
      <c r="B64" s="29" t="str">
        <v>CA</v>
      </c>
      <c r="C64" s="24"/>
      <c r="D64" s="13"/>
      <c r="E64" s="13" t="str">
        <f t="shared" si="4"/>
        <v/>
      </c>
      <c r="F64" s="14" t="str">
        <f t="shared" si="3"/>
        <v/>
      </c>
      <c r="G64" s="15"/>
      <c r="H64" s="15" t="str">
        <f t="shared" si="5"/>
        <v/>
      </c>
      <c r="I64" s="16" t="str">
        <f t="shared" si="2"/>
        <v/>
      </c>
      <c r="J64" s="56"/>
      <c r="K64" s="56"/>
      <c r="L64" s="97"/>
      <c r="M64" s="97"/>
      <c r="N64" s="97"/>
      <c r="O64" s="97"/>
      <c r="P64" s="97"/>
      <c r="Q64" s="97"/>
      <c r="R64" s="97"/>
      <c r="S64" s="97"/>
      <c r="T64" s="97"/>
    </row>
    <row r="65" spans="1:20" ht="15.6">
      <c r="A65" s="30" t="str">
        <v>CDCR - CA Correctional Institution</v>
      </c>
      <c r="B65" s="31" t="str">
        <v>CA</v>
      </c>
      <c r="C65" s="11"/>
      <c r="D65" s="18"/>
      <c r="E65" s="18" t="str">
        <f t="shared" si="4"/>
        <v/>
      </c>
      <c r="F65" s="19" t="str">
        <f t="shared" si="3"/>
        <v/>
      </c>
      <c r="G65" s="20"/>
      <c r="H65" s="20" t="str">
        <f t="shared" si="5"/>
        <v/>
      </c>
      <c r="I65" s="19" t="str">
        <f t="shared" si="2"/>
        <v/>
      </c>
      <c r="J65" s="42"/>
      <c r="K65" s="90"/>
      <c r="L65" s="97"/>
      <c r="M65" s="97"/>
      <c r="N65" s="97"/>
      <c r="O65" s="97"/>
      <c r="P65" s="97"/>
      <c r="Q65" s="97"/>
      <c r="R65" s="97"/>
      <c r="S65" s="97"/>
      <c r="T65" s="97"/>
    </row>
    <row r="66" spans="1:20" ht="15.6">
      <c r="A66" s="28" t="str">
        <v>CDCR - CA Correctional Institution II</v>
      </c>
      <c r="B66" s="29" t="str">
        <v>CA</v>
      </c>
      <c r="C66" s="24"/>
      <c r="D66" s="13"/>
      <c r="E66" s="13" t="str">
        <f t="shared" si="4"/>
        <v/>
      </c>
      <c r="F66" s="14" t="str">
        <f t="shared" si="3"/>
        <v/>
      </c>
      <c r="G66" s="15"/>
      <c r="H66" s="15" t="str">
        <f t="shared" si="5"/>
        <v/>
      </c>
      <c r="I66" s="16" t="str">
        <f t="shared" si="2"/>
        <v/>
      </c>
      <c r="J66" s="56"/>
      <c r="K66" s="91"/>
      <c r="L66" s="98"/>
      <c r="M66" s="97"/>
      <c r="N66" s="97"/>
      <c r="O66" s="97"/>
      <c r="P66" s="97"/>
      <c r="Q66" s="97"/>
      <c r="R66" s="97"/>
      <c r="S66" s="97"/>
      <c r="T66" s="97"/>
    </row>
    <row r="67" spans="1:20" ht="94.5" customHeight="1">
      <c r="A67" s="30" t="str">
        <v>Snowline SD - Vista Verde ES</v>
      </c>
      <c r="B67" s="31" t="str">
        <v>CA</v>
      </c>
      <c r="C67" s="11"/>
      <c r="D67" s="18"/>
      <c r="E67" s="18" t="str">
        <f t="shared" si="4"/>
        <v/>
      </c>
      <c r="F67" s="19" t="str">
        <f t="shared" si="3"/>
        <v/>
      </c>
      <c r="G67" s="20"/>
      <c r="H67" s="20" t="str">
        <f t="shared" si="5"/>
        <v/>
      </c>
      <c r="I67" s="19" t="str">
        <f t="shared" si="2"/>
        <v/>
      </c>
      <c r="J67" s="42"/>
      <c r="K67" s="90"/>
      <c r="L67" s="98"/>
      <c r="M67" s="97"/>
      <c r="N67" s="97"/>
      <c r="O67" s="97"/>
      <c r="P67" s="97"/>
      <c r="Q67" s="97"/>
      <c r="R67" s="97"/>
      <c r="S67" s="97"/>
      <c r="T67" s="97"/>
    </row>
    <row r="68" spans="1:20" ht="52.5" customHeight="1">
      <c r="A68" s="28" t="str">
        <v>North Stonington</v>
      </c>
      <c r="B68" s="29" t="str">
        <v>CT</v>
      </c>
      <c r="C68" s="24"/>
      <c r="D68" s="13"/>
      <c r="E68" s="13" t="str">
        <f t="shared" si="4"/>
        <v/>
      </c>
      <c r="F68" s="14" t="str">
        <f t="shared" si="3"/>
        <v/>
      </c>
      <c r="G68" s="15"/>
      <c r="H68" s="15" t="str">
        <f t="shared" si="5"/>
        <v/>
      </c>
      <c r="I68" s="16" t="str">
        <f t="shared" si="2"/>
        <v/>
      </c>
      <c r="J68" s="56"/>
      <c r="K68" s="91"/>
      <c r="L68" s="98"/>
      <c r="M68" s="97"/>
      <c r="N68" s="97"/>
      <c r="O68" s="97"/>
      <c r="P68" s="97"/>
      <c r="Q68" s="97"/>
      <c r="R68" s="97"/>
      <c r="S68" s="97"/>
      <c r="T68" s="97"/>
    </row>
    <row r="69" spans="1:20" ht="39.75" customHeight="1">
      <c r="A69" s="30" t="str">
        <v>CT: Torrington - 2-298 Rossi Road</v>
      </c>
      <c r="B69" s="31" t="str">
        <v>CT</v>
      </c>
      <c r="C69" s="11"/>
      <c r="D69" s="18"/>
      <c r="E69" s="18" t="str">
        <f>IF(AND(ISNUMBER(C69),ISNUMBER(D69)), C69-D69, "")</f>
        <v/>
      </c>
      <c r="F69" s="19" t="str">
        <f t="shared" si="3"/>
        <v/>
      </c>
      <c r="G69" s="20"/>
      <c r="H69" s="20" t="str">
        <f>IF(AND(ISNUMBER(C69),ISNUMBER(G69)), C69-G69, "")</f>
        <v/>
      </c>
      <c r="I69" s="19" t="str">
        <f t="shared" si="2"/>
        <v/>
      </c>
      <c r="J69" s="42"/>
      <c r="K69" s="87"/>
    </row>
    <row r="70" spans="1:20" ht="14.45">
      <c r="A70" s="21"/>
      <c r="B70" s="33"/>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E30"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35" t="str" cm="1">
        <f t="array" ref="A1">portfolio</f>
        <v>Silicon Ranch</v>
      </c>
      <c r="B1" s="135"/>
      <c r="C1" s="135"/>
      <c r="D1" s="136" t="s">
        <v>187</v>
      </c>
      <c r="E1" s="136"/>
      <c r="F1" s="136"/>
      <c r="G1" s="134" t="s">
        <v>188</v>
      </c>
      <c r="H1" s="134"/>
      <c r="I1" s="134"/>
      <c r="J1" s="4"/>
      <c r="K1" s="4"/>
    </row>
    <row r="2" spans="1:21"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69">Sites[Site]</f>
        <v>Iron Mountain - Windsor</v>
      </c>
      <c r="B4" s="29" t="e" cm="1" vm="1">
        <f t="array" aca="1" ref="B4" ca="1">Sites[State]</f>
        <v>#VALUE!</v>
      </c>
      <c r="C4" s="24"/>
      <c r="D4" s="13"/>
      <c r="E4" s="13" t="str">
        <f>IF(AND(ISNUMBER(C4),ISNUMBER(D4)), C4-D4, "")</f>
        <v/>
      </c>
      <c r="F4" s="14" t="str">
        <f>IFERROR(E4/D4, "")</f>
        <v/>
      </c>
      <c r="G4" s="15"/>
      <c r="H4" s="15" t="str">
        <f>IF(AND(ISNUMBER(C4),ISNUMBER(G4)), C4-G4, "")</f>
        <v/>
      </c>
      <c r="I4" s="16" t="str">
        <f>IFERROR(H4/G4, "")</f>
        <v/>
      </c>
      <c r="J4" s="41"/>
      <c r="K4" s="41"/>
      <c r="L4" s="97"/>
      <c r="M4" s="97"/>
      <c r="N4" s="97"/>
      <c r="O4" s="97"/>
      <c r="P4" s="97"/>
      <c r="Q4" s="97"/>
      <c r="R4" s="97"/>
      <c r="S4" s="97"/>
      <c r="T4" s="97"/>
      <c r="U4" s="97"/>
    </row>
    <row r="5" spans="1:21" ht="15.6">
      <c r="A5" s="30" t="str">
        <v>Kohls - Auburn</v>
      </c>
      <c r="B5" s="31"/>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c r="L5" s="97"/>
      <c r="M5" s="97"/>
      <c r="N5" s="97"/>
      <c r="O5" s="97"/>
      <c r="P5" s="97"/>
      <c r="Q5" s="97"/>
      <c r="R5" s="97"/>
      <c r="S5" s="97"/>
      <c r="T5" s="97"/>
      <c r="U5" s="97"/>
    </row>
    <row r="6" spans="1:21" ht="144" customHeight="1">
      <c r="A6" s="28" t="str">
        <v>Kohls - Bensalem</v>
      </c>
      <c r="B6" s="29"/>
      <c r="C6" s="24"/>
      <c r="D6" s="13"/>
      <c r="E6" s="13" t="str">
        <f t="shared" si="0"/>
        <v/>
      </c>
      <c r="F6" s="14" t="str">
        <f t="shared" ref="F6:F25" si="3">IFERROR(E6/D6, "")</f>
        <v/>
      </c>
      <c r="G6" s="15"/>
      <c r="H6" s="15" t="str">
        <f t="shared" si="1"/>
        <v/>
      </c>
      <c r="I6" s="16" t="str">
        <f t="shared" si="2"/>
        <v/>
      </c>
      <c r="J6" s="41"/>
      <c r="K6" s="88"/>
      <c r="L6" s="97"/>
      <c r="M6" s="97"/>
      <c r="N6" s="97"/>
      <c r="O6" s="97"/>
      <c r="P6" s="97"/>
      <c r="Q6" s="97"/>
      <c r="R6" s="97"/>
      <c r="S6" s="97"/>
      <c r="T6" s="97"/>
      <c r="U6" s="97"/>
    </row>
    <row r="7" spans="1:21" ht="15.6">
      <c r="A7" s="30" t="str">
        <v>Kohls - Brick</v>
      </c>
      <c r="B7" s="31"/>
      <c r="C7" s="11"/>
      <c r="D7" s="18"/>
      <c r="E7" s="18" t="str">
        <f t="shared" si="0"/>
        <v/>
      </c>
      <c r="F7" s="19" t="str">
        <f t="shared" si="3"/>
        <v/>
      </c>
      <c r="G7" s="20"/>
      <c r="H7" s="20" t="str">
        <f t="shared" si="1"/>
        <v/>
      </c>
      <c r="I7" s="19" t="str">
        <f t="shared" si="2"/>
        <v/>
      </c>
      <c r="J7" s="42"/>
      <c r="K7" s="43"/>
      <c r="L7" s="97"/>
      <c r="M7" s="97"/>
      <c r="N7" s="97"/>
      <c r="O7" s="97"/>
      <c r="P7" s="97"/>
      <c r="Q7" s="97"/>
      <c r="R7" s="97"/>
      <c r="S7" s="97"/>
      <c r="T7" s="97"/>
      <c r="U7" s="97"/>
    </row>
    <row r="8" spans="1:21" ht="15.6">
      <c r="A8" s="28" t="str">
        <v>Kohls - Buffalo</v>
      </c>
      <c r="B8" s="29"/>
      <c r="C8" s="24"/>
      <c r="D8" s="13"/>
      <c r="E8" s="13" t="str">
        <f t="shared" si="0"/>
        <v/>
      </c>
      <c r="F8" s="14" t="str">
        <f t="shared" si="3"/>
        <v/>
      </c>
      <c r="G8" s="15"/>
      <c r="H8" s="15" t="str">
        <f t="shared" si="1"/>
        <v/>
      </c>
      <c r="I8" s="16" t="str">
        <f t="shared" si="2"/>
        <v/>
      </c>
      <c r="J8" s="41"/>
      <c r="K8" s="88"/>
      <c r="L8" s="98"/>
      <c r="M8" s="98"/>
      <c r="N8" s="97"/>
      <c r="O8" s="97"/>
      <c r="P8" s="97"/>
      <c r="Q8" s="97"/>
      <c r="R8" s="97"/>
      <c r="S8" s="97"/>
      <c r="T8" s="97"/>
      <c r="U8" s="97"/>
    </row>
    <row r="9" spans="1:21" ht="15.6">
      <c r="A9" s="30" t="str">
        <v>Kohls - Canton</v>
      </c>
      <c r="B9" s="31"/>
      <c r="C9" s="11"/>
      <c r="D9" s="18"/>
      <c r="E9" s="18" t="str">
        <f t="shared" si="0"/>
        <v/>
      </c>
      <c r="F9" s="19" t="str">
        <f t="shared" si="3"/>
        <v/>
      </c>
      <c r="G9" s="20"/>
      <c r="H9" s="20" t="str">
        <f t="shared" si="1"/>
        <v/>
      </c>
      <c r="I9" s="19" t="str">
        <f t="shared" si="2"/>
        <v/>
      </c>
      <c r="J9" s="42"/>
      <c r="K9" s="43"/>
      <c r="L9" s="97"/>
      <c r="M9" s="97"/>
      <c r="N9" s="97"/>
      <c r="O9" s="97"/>
      <c r="P9" s="97"/>
      <c r="Q9" s="97"/>
      <c r="R9" s="97"/>
      <c r="S9" s="97"/>
      <c r="T9" s="97"/>
      <c r="U9" s="97"/>
    </row>
    <row r="10" spans="1:21" ht="15.6">
      <c r="A10" s="28" t="str">
        <v>Kohls - East Amherst</v>
      </c>
      <c r="B10" s="29"/>
      <c r="C10" s="24"/>
      <c r="D10" s="13"/>
      <c r="E10" s="13" t="str">
        <f t="shared" si="0"/>
        <v/>
      </c>
      <c r="F10" s="14" t="str">
        <f t="shared" si="3"/>
        <v/>
      </c>
      <c r="G10" s="15"/>
      <c r="H10" s="15" t="str">
        <f t="shared" si="1"/>
        <v/>
      </c>
      <c r="I10" s="16" t="str">
        <f t="shared" si="2"/>
        <v/>
      </c>
      <c r="J10" s="41"/>
      <c r="K10" s="88"/>
      <c r="L10" s="98"/>
      <c r="M10" s="97"/>
      <c r="N10" s="97"/>
      <c r="O10" s="97"/>
      <c r="P10" s="97"/>
      <c r="Q10" s="97"/>
      <c r="R10" s="97"/>
      <c r="S10" s="97"/>
      <c r="T10" s="97"/>
      <c r="U10" s="97"/>
    </row>
    <row r="11" spans="1:21" ht="15.6">
      <c r="A11" s="30" t="str">
        <v>Kohls - East Brunswick</v>
      </c>
      <c r="B11" s="31"/>
      <c r="C11" s="11"/>
      <c r="D11" s="18"/>
      <c r="E11" s="18" t="str">
        <f t="shared" si="0"/>
        <v/>
      </c>
      <c r="F11" s="19" t="str">
        <f t="shared" si="3"/>
        <v/>
      </c>
      <c r="G11" s="20"/>
      <c r="H11" s="20" t="str">
        <f t="shared" si="1"/>
        <v/>
      </c>
      <c r="I11" s="19" t="str">
        <f t="shared" si="2"/>
        <v/>
      </c>
      <c r="J11" s="42"/>
      <c r="K11" s="92"/>
      <c r="L11" s="97"/>
      <c r="M11" s="97"/>
      <c r="N11" s="97"/>
      <c r="O11" s="97"/>
      <c r="P11" s="97"/>
      <c r="Q11" s="97"/>
      <c r="R11" s="97"/>
      <c r="S11" s="97"/>
      <c r="T11" s="97"/>
      <c r="U11" s="97"/>
    </row>
    <row r="12" spans="1:21" ht="15.6">
      <c r="A12" s="28" t="str">
        <v>Kohls - Edgewood</v>
      </c>
      <c r="B12" s="29"/>
      <c r="C12" s="24"/>
      <c r="D12" s="13"/>
      <c r="E12" s="13" t="str">
        <f t="shared" si="0"/>
        <v/>
      </c>
      <c r="F12" s="14" t="str">
        <f t="shared" si="3"/>
        <v/>
      </c>
      <c r="G12" s="15"/>
      <c r="H12" s="15" t="str">
        <f t="shared" si="1"/>
        <v/>
      </c>
      <c r="I12" s="16" t="str">
        <f t="shared" si="2"/>
        <v/>
      </c>
      <c r="J12" s="41"/>
      <c r="K12" s="88"/>
      <c r="L12" s="98"/>
      <c r="M12" s="97"/>
      <c r="N12" s="97"/>
      <c r="O12" s="97"/>
      <c r="P12" s="97"/>
      <c r="Q12" s="97"/>
      <c r="R12" s="97"/>
      <c r="S12" s="97"/>
      <c r="T12" s="97"/>
      <c r="U12" s="97"/>
    </row>
    <row r="13" spans="1:21" ht="15.6">
      <c r="A13" s="30" t="str">
        <v>Kohls - Granite Run</v>
      </c>
      <c r="B13" s="31"/>
      <c r="C13" s="11"/>
      <c r="D13" s="18"/>
      <c r="E13" s="18" t="str">
        <f t="shared" si="0"/>
        <v/>
      </c>
      <c r="F13" s="19" t="str">
        <f t="shared" si="3"/>
        <v/>
      </c>
      <c r="G13" s="20"/>
      <c r="H13" s="20" t="str">
        <f t="shared" si="1"/>
        <v/>
      </c>
      <c r="I13" s="19" t="str">
        <f t="shared" si="2"/>
        <v/>
      </c>
      <c r="J13" s="42"/>
      <c r="K13" s="43"/>
      <c r="L13" s="97"/>
      <c r="M13" s="97"/>
      <c r="N13" s="97"/>
      <c r="O13" s="97"/>
      <c r="P13" s="97"/>
      <c r="Q13" s="97"/>
      <c r="R13" s="97"/>
      <c r="S13" s="97"/>
      <c r="T13" s="97"/>
      <c r="U13" s="97"/>
    </row>
    <row r="14" spans="1:21" ht="15.6">
      <c r="A14" s="28" t="str">
        <v>Kohls - Greece</v>
      </c>
      <c r="B14" s="29"/>
      <c r="C14" s="24"/>
      <c r="D14" s="13"/>
      <c r="E14" s="13" t="str">
        <f t="shared" si="0"/>
        <v/>
      </c>
      <c r="F14" s="14" t="str">
        <f t="shared" si="3"/>
        <v/>
      </c>
      <c r="G14" s="15"/>
      <c r="H14" s="15" t="str">
        <f t="shared" si="1"/>
        <v/>
      </c>
      <c r="I14" s="16" t="str">
        <f t="shared" si="2"/>
        <v/>
      </c>
      <c r="J14" s="41"/>
      <c r="K14" s="41"/>
      <c r="L14" s="97"/>
      <c r="M14" s="97"/>
      <c r="N14" s="97"/>
      <c r="O14" s="97"/>
      <c r="P14" s="97"/>
      <c r="Q14" s="97"/>
      <c r="R14" s="97"/>
      <c r="S14" s="97"/>
      <c r="T14" s="97"/>
      <c r="U14" s="97"/>
    </row>
    <row r="15" spans="1:21" ht="15.6">
      <c r="A15" s="30" t="str">
        <v>Kohls - Hanover</v>
      </c>
      <c r="B15" s="31"/>
      <c r="C15" s="11"/>
      <c r="D15" s="18"/>
      <c r="E15" s="18" t="str">
        <f t="shared" si="0"/>
        <v/>
      </c>
      <c r="F15" s="19" t="str">
        <f t="shared" si="3"/>
        <v/>
      </c>
      <c r="G15" s="20"/>
      <c r="H15" s="20" t="str">
        <f t="shared" si="1"/>
        <v/>
      </c>
      <c r="I15" s="19" t="str">
        <f t="shared" si="2"/>
        <v/>
      </c>
      <c r="J15" s="42"/>
      <c r="K15" s="92"/>
      <c r="L15" s="97"/>
      <c r="M15" s="97"/>
      <c r="N15" s="97"/>
      <c r="O15" s="97"/>
      <c r="P15" s="97"/>
      <c r="Q15" s="97"/>
      <c r="R15" s="97"/>
      <c r="S15" s="97"/>
      <c r="T15" s="97"/>
      <c r="U15" s="97"/>
    </row>
    <row r="16" spans="1:21" ht="15.6">
      <c r="A16" s="28" t="str">
        <v>Kohls - Horsehead</v>
      </c>
      <c r="B16" s="29"/>
      <c r="C16" s="24"/>
      <c r="D16" s="13"/>
      <c r="E16" s="13" t="str">
        <f t="shared" si="0"/>
        <v/>
      </c>
      <c r="F16" s="14" t="str">
        <f t="shared" si="3"/>
        <v/>
      </c>
      <c r="G16" s="15"/>
      <c r="H16" s="15" t="str">
        <f t="shared" si="1"/>
        <v/>
      </c>
      <c r="I16" s="16" t="str">
        <f t="shared" si="2"/>
        <v/>
      </c>
      <c r="J16" s="41"/>
      <c r="K16" s="41"/>
      <c r="L16" s="97"/>
      <c r="M16" s="97"/>
      <c r="N16" s="97"/>
      <c r="O16" s="97"/>
      <c r="P16" s="97"/>
      <c r="Q16" s="97"/>
      <c r="R16" s="97"/>
      <c r="S16" s="97"/>
      <c r="T16" s="97"/>
      <c r="U16" s="97"/>
    </row>
    <row r="17" spans="1:21" ht="89.25" customHeight="1">
      <c r="A17" s="30" t="str">
        <v>Kohls - Hudson</v>
      </c>
      <c r="B17" s="31"/>
      <c r="C17" s="11"/>
      <c r="D17" s="18"/>
      <c r="E17" s="18" t="str">
        <f t="shared" si="0"/>
        <v/>
      </c>
      <c r="F17" s="19" t="str">
        <f t="shared" si="3"/>
        <v/>
      </c>
      <c r="G17" s="20"/>
      <c r="H17" s="20" t="str">
        <f t="shared" si="1"/>
        <v/>
      </c>
      <c r="I17" s="19" t="str">
        <f t="shared" si="2"/>
        <v/>
      </c>
      <c r="J17" s="53"/>
      <c r="K17" s="87"/>
      <c r="L17" s="97"/>
      <c r="M17" s="97"/>
      <c r="N17" s="97"/>
      <c r="O17" s="97"/>
      <c r="P17" s="97"/>
      <c r="Q17" s="97"/>
      <c r="R17" s="97"/>
      <c r="S17" s="97"/>
      <c r="T17" s="97"/>
      <c r="U17" s="97"/>
    </row>
    <row r="18" spans="1:21" ht="19.5" customHeight="1">
      <c r="A18" s="32" t="str">
        <v>Kohls - Ithaca</v>
      </c>
      <c r="B18" s="29"/>
      <c r="C18" s="24"/>
      <c r="D18" s="13"/>
      <c r="E18" s="13" t="str">
        <f t="shared" si="0"/>
        <v/>
      </c>
      <c r="F18" s="14" t="str">
        <f t="shared" si="3"/>
        <v/>
      </c>
      <c r="G18" s="15"/>
      <c r="H18" s="15" t="str">
        <f t="shared" si="1"/>
        <v/>
      </c>
      <c r="I18" s="16" t="str">
        <f t="shared" si="2"/>
        <v/>
      </c>
      <c r="J18" s="41"/>
      <c r="K18" s="41"/>
      <c r="L18" s="97"/>
      <c r="M18" s="97"/>
      <c r="N18" s="97"/>
      <c r="O18" s="97"/>
      <c r="P18" s="97"/>
      <c r="Q18" s="97"/>
      <c r="R18" s="97"/>
      <c r="S18" s="97"/>
      <c r="T18" s="97"/>
      <c r="U18" s="97"/>
    </row>
    <row r="19" spans="1:21" ht="21.75" customHeight="1">
      <c r="A19" s="30" t="str">
        <v>Kohls - Kingston</v>
      </c>
      <c r="B19" s="31"/>
      <c r="C19" s="11"/>
      <c r="D19" s="18"/>
      <c r="E19" s="18" t="str">
        <f t="shared" si="0"/>
        <v/>
      </c>
      <c r="F19" s="19" t="str">
        <f t="shared" si="3"/>
        <v/>
      </c>
      <c r="G19" s="20"/>
      <c r="H19" s="20" t="str">
        <f t="shared" si="1"/>
        <v/>
      </c>
      <c r="I19" s="19" t="str">
        <f t="shared" si="2"/>
        <v/>
      </c>
      <c r="J19" s="42"/>
      <c r="K19" s="92"/>
      <c r="L19" s="97"/>
      <c r="M19" s="97"/>
      <c r="N19" s="97"/>
      <c r="O19" s="97"/>
      <c r="P19" s="97"/>
      <c r="Q19" s="97"/>
      <c r="R19" s="97"/>
      <c r="S19" s="97"/>
      <c r="T19" s="97"/>
      <c r="U19" s="97"/>
    </row>
    <row r="20" spans="1:21" ht="45" customHeight="1">
      <c r="A20" s="28" t="str">
        <v>Kohls - Mechanicsburg</v>
      </c>
      <c r="B20" s="29"/>
      <c r="C20" s="24"/>
      <c r="D20" s="13"/>
      <c r="E20" s="13" t="str">
        <f t="shared" si="0"/>
        <v/>
      </c>
      <c r="F20" s="14" t="str">
        <f t="shared" si="3"/>
        <v/>
      </c>
      <c r="G20" s="15"/>
      <c r="H20" s="15" t="str">
        <f t="shared" si="1"/>
        <v/>
      </c>
      <c r="I20" s="16" t="str">
        <f t="shared" si="2"/>
        <v/>
      </c>
      <c r="J20" s="41"/>
      <c r="K20" s="88"/>
      <c r="L20" s="97"/>
      <c r="M20" s="97"/>
      <c r="N20" s="97"/>
      <c r="O20" s="97"/>
      <c r="P20" s="97"/>
      <c r="Q20" s="97"/>
      <c r="R20" s="97"/>
      <c r="S20" s="97"/>
      <c r="T20" s="97"/>
      <c r="U20" s="97"/>
    </row>
    <row r="21" spans="1:21" ht="30" customHeight="1">
      <c r="A21" s="30" t="str">
        <v>Kohls - Middletown</v>
      </c>
      <c r="B21" s="31"/>
      <c r="C21" s="11"/>
      <c r="D21" s="18"/>
      <c r="E21" s="18" t="str">
        <f t="shared" si="0"/>
        <v/>
      </c>
      <c r="F21" s="19" t="str">
        <f t="shared" si="3"/>
        <v/>
      </c>
      <c r="G21" s="20"/>
      <c r="H21" s="20" t="str">
        <f t="shared" si="1"/>
        <v/>
      </c>
      <c r="I21" s="19" t="str">
        <f t="shared" si="2"/>
        <v/>
      </c>
      <c r="J21" s="53"/>
      <c r="K21" s="92"/>
      <c r="L21" s="97"/>
      <c r="M21" s="97"/>
      <c r="N21" s="97"/>
      <c r="O21" s="97"/>
      <c r="P21" s="97"/>
      <c r="Q21" s="97"/>
      <c r="R21" s="97"/>
      <c r="S21" s="97"/>
      <c r="T21" s="97"/>
      <c r="U21" s="97"/>
    </row>
    <row r="22" spans="1:21" ht="92.25" customHeight="1">
      <c r="A22" s="28" t="str">
        <v>Kohls - North Amherst</v>
      </c>
      <c r="B22" s="29"/>
      <c r="C22" s="24"/>
      <c r="D22" s="13"/>
      <c r="E22" s="13" t="str">
        <f t="shared" si="0"/>
        <v/>
      </c>
      <c r="F22" s="14" t="str">
        <f t="shared" si="3"/>
        <v/>
      </c>
      <c r="G22" s="15"/>
      <c r="H22" s="15" t="str">
        <f t="shared" si="1"/>
        <v/>
      </c>
      <c r="I22" s="16" t="str">
        <f t="shared" si="2"/>
        <v/>
      </c>
      <c r="J22" s="41"/>
      <c r="K22" s="88"/>
      <c r="L22" s="97"/>
      <c r="M22" s="97"/>
      <c r="N22" s="97"/>
      <c r="O22" s="97"/>
      <c r="P22" s="97"/>
      <c r="Q22" s="97"/>
      <c r="R22" s="97"/>
      <c r="S22" s="97"/>
      <c r="T22" s="97"/>
      <c r="U22" s="97"/>
    </row>
    <row r="23" spans="1:21" ht="127.5" customHeight="1">
      <c r="A23" s="30" t="str">
        <v>Kohls - Staten Island</v>
      </c>
      <c r="B23" s="31"/>
      <c r="C23" s="11"/>
      <c r="D23" s="18"/>
      <c r="E23" s="18" t="str">
        <f t="shared" si="0"/>
        <v/>
      </c>
      <c r="F23" s="19" t="str">
        <f t="shared" si="3"/>
        <v/>
      </c>
      <c r="G23" s="20"/>
      <c r="H23" s="20" t="str">
        <f t="shared" si="1"/>
        <v/>
      </c>
      <c r="I23" s="19" t="str">
        <f t="shared" si="2"/>
        <v/>
      </c>
      <c r="J23" s="42"/>
      <c r="K23" s="87"/>
      <c r="L23" s="98"/>
      <c r="M23" s="98"/>
      <c r="N23" s="97"/>
      <c r="O23" s="97"/>
      <c r="P23" s="97"/>
      <c r="Q23" s="97"/>
      <c r="R23" s="97"/>
      <c r="S23" s="97"/>
      <c r="T23" s="97"/>
      <c r="U23" s="97"/>
    </row>
    <row r="24" spans="1:21" ht="15.6">
      <c r="A24" s="28" t="str">
        <v>Kohls - Warminster</v>
      </c>
      <c r="B24" s="29"/>
      <c r="C24" s="24"/>
      <c r="D24" s="13"/>
      <c r="E24" s="13" t="str">
        <f t="shared" si="0"/>
        <v/>
      </c>
      <c r="F24" s="14" t="str">
        <f t="shared" si="3"/>
        <v/>
      </c>
      <c r="G24" s="15"/>
      <c r="H24" s="15" t="str">
        <f t="shared" si="1"/>
        <v/>
      </c>
      <c r="I24" s="16" t="str">
        <f t="shared" si="2"/>
        <v/>
      </c>
      <c r="J24" s="41"/>
      <c r="K24" s="41"/>
      <c r="L24" s="97"/>
      <c r="M24" s="97"/>
      <c r="N24" s="97"/>
      <c r="O24" s="97"/>
      <c r="P24" s="97"/>
      <c r="Q24" s="97"/>
      <c r="R24" s="97"/>
      <c r="S24" s="97"/>
      <c r="T24" s="97"/>
      <c r="U24" s="97"/>
    </row>
    <row r="25" spans="1:21" ht="15.6">
      <c r="A25" s="30" t="str">
        <v xml:space="preserve">Kohls - Waterbury </v>
      </c>
      <c r="B25" s="31"/>
      <c r="C25" s="11"/>
      <c r="D25" s="18"/>
      <c r="E25" s="18" t="str">
        <f t="shared" si="0"/>
        <v/>
      </c>
      <c r="F25" s="19" t="str">
        <f t="shared" si="3"/>
        <v/>
      </c>
      <c r="G25" s="20"/>
      <c r="H25" s="20" t="str">
        <f t="shared" si="1"/>
        <v/>
      </c>
      <c r="I25" s="19" t="str">
        <f t="shared" si="2"/>
        <v/>
      </c>
      <c r="J25" s="42"/>
      <c r="K25" s="43"/>
      <c r="L25" s="97"/>
      <c r="M25" s="97"/>
      <c r="N25" s="97"/>
      <c r="O25" s="97"/>
      <c r="P25" s="97"/>
      <c r="Q25" s="97"/>
      <c r="R25" s="97"/>
      <c r="S25" s="97"/>
      <c r="T25" s="97"/>
      <c r="U25" s="97"/>
    </row>
    <row r="26" spans="1:21" ht="15.6">
      <c r="A26" s="28" t="str">
        <v>Mojave Water Agency - Headquarters</v>
      </c>
      <c r="B26" s="29"/>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88"/>
      <c r="L26" s="98"/>
      <c r="M26" s="97"/>
      <c r="N26" s="97"/>
      <c r="O26" s="97"/>
      <c r="P26" s="97"/>
      <c r="Q26" s="97"/>
      <c r="R26" s="97"/>
      <c r="S26" s="97"/>
      <c r="T26" s="97"/>
      <c r="U26" s="97"/>
    </row>
    <row r="27" spans="1:21" ht="15.6">
      <c r="A27" s="30" t="str">
        <v>CSU - Bakersfield</v>
      </c>
      <c r="B27" s="31"/>
      <c r="C27" s="11"/>
      <c r="D27" s="18"/>
      <c r="E27" s="18" t="str">
        <f t="shared" si="4"/>
        <v/>
      </c>
      <c r="F27" s="19" t="str">
        <f t="shared" si="5"/>
        <v/>
      </c>
      <c r="G27" s="20"/>
      <c r="H27" s="20" t="str">
        <f t="shared" si="6"/>
        <v/>
      </c>
      <c r="I27" s="19" t="str">
        <f t="shared" si="2"/>
        <v/>
      </c>
      <c r="J27" s="42"/>
      <c r="K27" s="43"/>
      <c r="L27" s="97"/>
      <c r="M27" s="97"/>
      <c r="N27" s="97"/>
      <c r="O27" s="97"/>
      <c r="P27" s="97"/>
      <c r="Q27" s="97"/>
      <c r="R27" s="97"/>
      <c r="S27" s="97"/>
      <c r="T27" s="97"/>
      <c r="U27" s="97"/>
    </row>
    <row r="28" spans="1:21" ht="15.6">
      <c r="A28" s="28" t="str">
        <v>Greenfield USD - Fairfield ES</v>
      </c>
      <c r="B28" s="29"/>
      <c r="C28" s="24"/>
      <c r="D28" s="13"/>
      <c r="E28" s="13" t="str">
        <f t="shared" si="4"/>
        <v/>
      </c>
      <c r="F28" s="14" t="str">
        <f t="shared" si="5"/>
        <v/>
      </c>
      <c r="G28" s="15"/>
      <c r="H28" s="15" t="str">
        <f t="shared" si="6"/>
        <v/>
      </c>
      <c r="I28" s="16" t="str">
        <f t="shared" si="2"/>
        <v/>
      </c>
      <c r="J28" s="41"/>
      <c r="K28" s="88"/>
      <c r="L28" s="97"/>
      <c r="M28" s="97"/>
      <c r="N28" s="97"/>
      <c r="O28" s="97"/>
      <c r="P28" s="97"/>
      <c r="Q28" s="97"/>
      <c r="R28" s="97"/>
      <c r="S28" s="97"/>
      <c r="T28" s="97"/>
      <c r="U28" s="97"/>
    </row>
    <row r="29" spans="1:21" ht="15.6">
      <c r="A29" s="30" t="str">
        <v>Greenfield USD - Granite Point ES</v>
      </c>
      <c r="B29" s="31"/>
      <c r="C29" s="11"/>
      <c r="D29" s="18"/>
      <c r="E29" s="18" t="str">
        <f t="shared" si="4"/>
        <v/>
      </c>
      <c r="F29" s="19" t="str">
        <f t="shared" si="5"/>
        <v/>
      </c>
      <c r="G29" s="20"/>
      <c r="H29" s="20" t="str">
        <f t="shared" si="6"/>
        <v/>
      </c>
      <c r="I29" s="19" t="str">
        <f t="shared" si="2"/>
        <v/>
      </c>
      <c r="J29" s="42"/>
      <c r="K29" s="43"/>
      <c r="L29" s="97"/>
      <c r="M29" s="97"/>
      <c r="N29" s="97"/>
      <c r="O29" s="97"/>
      <c r="P29" s="97"/>
      <c r="Q29" s="97"/>
      <c r="R29" s="97"/>
      <c r="S29" s="97"/>
      <c r="T29" s="97"/>
      <c r="U29" s="97"/>
    </row>
    <row r="30" spans="1:21" ht="15.6">
      <c r="A30" s="28" t="str">
        <v>Greenfield USD - Greenfield MS</v>
      </c>
      <c r="B30" s="29"/>
      <c r="C30" s="24"/>
      <c r="D30" s="13"/>
      <c r="E30" s="13" t="str">
        <f t="shared" si="4"/>
        <v/>
      </c>
      <c r="F30" s="14" t="str">
        <f t="shared" si="5"/>
        <v/>
      </c>
      <c r="G30" s="15"/>
      <c r="H30" s="15" t="str">
        <f t="shared" si="6"/>
        <v/>
      </c>
      <c r="I30" s="16" t="str">
        <f t="shared" si="2"/>
        <v/>
      </c>
      <c r="J30" s="41"/>
      <c r="K30" s="41"/>
      <c r="L30" s="97"/>
      <c r="M30" s="97"/>
      <c r="N30" s="97"/>
      <c r="O30" s="97"/>
      <c r="P30" s="97"/>
      <c r="Q30" s="97"/>
      <c r="R30" s="97"/>
      <c r="S30" s="97"/>
      <c r="T30" s="97"/>
      <c r="U30" s="97"/>
    </row>
    <row r="31" spans="1:21" ht="56.25" customHeight="1">
      <c r="A31" s="30" t="str">
        <v>Greenfield USD - Horizon ES</v>
      </c>
      <c r="B31" s="31"/>
      <c r="C31" s="11"/>
      <c r="D31" s="18"/>
      <c r="E31" s="18" t="str">
        <f t="shared" si="4"/>
        <v/>
      </c>
      <c r="F31" s="19" t="str">
        <f t="shared" si="5"/>
        <v/>
      </c>
      <c r="G31" s="20"/>
      <c r="H31" s="20" t="str">
        <f t="shared" si="6"/>
        <v/>
      </c>
      <c r="I31" s="19" t="str">
        <f t="shared" si="2"/>
        <v/>
      </c>
      <c r="J31" s="42"/>
      <c r="K31" s="87"/>
      <c r="L31" s="98"/>
      <c r="M31" s="97"/>
      <c r="N31" s="97"/>
      <c r="O31" s="97"/>
      <c r="P31" s="97"/>
      <c r="Q31" s="97"/>
      <c r="R31" s="97"/>
      <c r="S31" s="97"/>
      <c r="T31" s="97"/>
      <c r="U31" s="97"/>
    </row>
    <row r="32" spans="1:21" ht="87.75" customHeight="1">
      <c r="A32" s="28" t="str">
        <v>Greenfield USD - McKee MS</v>
      </c>
      <c r="B32" s="29"/>
      <c r="C32" s="24"/>
      <c r="D32" s="13"/>
      <c r="E32" s="13" t="str">
        <f t="shared" si="4"/>
        <v/>
      </c>
      <c r="F32" s="14" t="str">
        <f t="shared" si="5"/>
        <v/>
      </c>
      <c r="G32" s="15"/>
      <c r="H32" s="15" t="str">
        <f t="shared" si="6"/>
        <v/>
      </c>
      <c r="I32" s="16" t="str">
        <f t="shared" si="2"/>
        <v/>
      </c>
      <c r="J32" s="41"/>
      <c r="K32" s="41"/>
      <c r="L32" s="97"/>
      <c r="M32" s="97"/>
      <c r="N32" s="97"/>
      <c r="O32" s="97"/>
      <c r="P32" s="97"/>
      <c r="Q32" s="97"/>
      <c r="R32" s="97"/>
      <c r="S32" s="97"/>
      <c r="T32" s="97"/>
      <c r="U32" s="97"/>
    </row>
    <row r="33" spans="1:21" ht="15.6">
      <c r="A33" s="30" t="str">
        <v>Greenfield USD - Plantation ES</v>
      </c>
      <c r="B33" s="31"/>
      <c r="C33" s="11"/>
      <c r="D33" s="18"/>
      <c r="E33" s="18" t="str">
        <f t="shared" si="4"/>
        <v/>
      </c>
      <c r="F33" s="19" t="str">
        <f t="shared" si="5"/>
        <v/>
      </c>
      <c r="G33" s="20"/>
      <c r="H33" s="20" t="str">
        <f t="shared" si="6"/>
        <v/>
      </c>
      <c r="I33" s="19" t="str">
        <f t="shared" si="2"/>
        <v/>
      </c>
      <c r="J33" s="42"/>
      <c r="K33" s="43"/>
      <c r="L33" s="97"/>
      <c r="M33" s="97"/>
      <c r="N33" s="97"/>
      <c r="O33" s="97"/>
      <c r="P33" s="97"/>
      <c r="Q33" s="97"/>
      <c r="R33" s="97"/>
      <c r="S33" s="97"/>
      <c r="T33" s="97"/>
      <c r="U33" s="97"/>
    </row>
    <row r="34" spans="1:21" ht="15.6">
      <c r="A34" s="28" t="str">
        <v>Greenfield USD - Planz ES</v>
      </c>
      <c r="B34" s="29"/>
      <c r="C34" s="24"/>
      <c r="D34" s="13"/>
      <c r="E34" s="13" t="str">
        <f t="shared" si="4"/>
        <v/>
      </c>
      <c r="F34" s="14" t="str">
        <f t="shared" si="5"/>
        <v/>
      </c>
      <c r="G34" s="15"/>
      <c r="H34" s="15" t="str">
        <f t="shared" si="6"/>
        <v/>
      </c>
      <c r="I34" s="16" t="str">
        <f t="shared" si="2"/>
        <v/>
      </c>
      <c r="J34" s="41"/>
      <c r="K34" s="88"/>
      <c r="L34" s="98"/>
      <c r="M34" s="97"/>
      <c r="N34" s="97"/>
      <c r="O34" s="97"/>
      <c r="P34" s="97"/>
      <c r="Q34" s="97"/>
      <c r="R34" s="97"/>
      <c r="S34" s="97"/>
      <c r="T34" s="97"/>
      <c r="U34" s="97"/>
    </row>
    <row r="35" spans="1:21" ht="15.6">
      <c r="A35" s="30" t="str">
        <v>Greenfield USD - Raffaello Palla ES</v>
      </c>
      <c r="B35" s="31"/>
      <c r="C35" s="11"/>
      <c r="D35" s="18"/>
      <c r="E35" s="18" t="str">
        <f t="shared" si="4"/>
        <v/>
      </c>
      <c r="F35" s="19" t="str">
        <f t="shared" si="5"/>
        <v/>
      </c>
      <c r="G35" s="20"/>
      <c r="H35" s="20" t="str">
        <f t="shared" si="6"/>
        <v/>
      </c>
      <c r="I35" s="19" t="str">
        <f t="shared" si="2"/>
        <v/>
      </c>
      <c r="J35" s="42"/>
      <c r="K35" s="90"/>
      <c r="L35" s="98"/>
      <c r="M35" s="97"/>
      <c r="N35" s="97"/>
      <c r="O35" s="97"/>
      <c r="P35" s="97"/>
      <c r="Q35" s="97"/>
      <c r="R35" s="97"/>
      <c r="S35" s="97"/>
      <c r="T35" s="97"/>
      <c r="U35" s="97"/>
    </row>
    <row r="36" spans="1:21" ht="15.6">
      <c r="A36" s="28" t="str">
        <v>Greenfield USD - Valle Verde ES</v>
      </c>
      <c r="B36" s="29"/>
      <c r="C36" s="24"/>
      <c r="D36" s="13"/>
      <c r="E36" s="13" t="str">
        <f t="shared" si="4"/>
        <v/>
      </c>
      <c r="F36" s="14" t="str">
        <f t="shared" si="5"/>
        <v/>
      </c>
      <c r="G36" s="15"/>
      <c r="H36" s="15" t="str">
        <f t="shared" si="6"/>
        <v/>
      </c>
      <c r="I36" s="16" t="str">
        <f t="shared" si="2"/>
        <v/>
      </c>
      <c r="J36" s="41"/>
      <c r="K36" s="41"/>
      <c r="L36" s="97"/>
      <c r="M36" s="97"/>
      <c r="N36" s="97"/>
      <c r="O36" s="97"/>
      <c r="P36" s="97"/>
      <c r="Q36" s="97"/>
      <c r="R36" s="97"/>
      <c r="S36" s="97"/>
      <c r="T36" s="97"/>
      <c r="U36" s="97"/>
    </row>
    <row r="37" spans="1:21" ht="15.6">
      <c r="A37" s="30" t="str">
        <v>Greenfield USD - W.A. Kendrick ES</v>
      </c>
      <c r="B37" s="31"/>
      <c r="C37" s="11"/>
      <c r="D37" s="18"/>
      <c r="E37" s="18" t="str">
        <f t="shared" si="4"/>
        <v/>
      </c>
      <c r="F37" s="19" t="str">
        <f t="shared" si="5"/>
        <v/>
      </c>
      <c r="G37" s="20"/>
      <c r="H37" s="20" t="str">
        <f t="shared" si="6"/>
        <v/>
      </c>
      <c r="I37" s="19" t="str">
        <f t="shared" si="2"/>
        <v/>
      </c>
      <c r="J37" s="42"/>
      <c r="K37" s="87"/>
      <c r="L37" s="97"/>
      <c r="M37" s="97"/>
      <c r="N37" s="97"/>
      <c r="O37" s="97"/>
      <c r="P37" s="97"/>
      <c r="Q37" s="97"/>
      <c r="R37" s="97"/>
      <c r="S37" s="97"/>
      <c r="T37" s="97"/>
      <c r="U37" s="97"/>
    </row>
    <row r="38" spans="1:21" ht="15.6">
      <c r="A38" s="28" t="str">
        <v>Muroc Joint USD - Boron HS</v>
      </c>
      <c r="B38" s="24">
        <v>0</v>
      </c>
      <c r="C38" s="24"/>
      <c r="D38" s="13"/>
      <c r="E38" s="13" t="str">
        <f>IF(AND(ISNUMBER(B38),ISNUMBER(D38)), B38-D38, "")</f>
        <v/>
      </c>
      <c r="F38" s="14" t="str">
        <f t="shared" si="5"/>
        <v/>
      </c>
      <c r="G38" s="15"/>
      <c r="H38" s="15" t="str">
        <f>IF(AND(ISNUMBER(B38),ISNUMBER(G38)), B38-G38, "")</f>
        <v/>
      </c>
      <c r="I38" s="16" t="str">
        <f t="shared" si="2"/>
        <v/>
      </c>
      <c r="J38" s="41"/>
      <c r="K38" s="88"/>
      <c r="L38" s="97"/>
      <c r="M38" s="97"/>
      <c r="N38" s="97"/>
      <c r="O38" s="97"/>
      <c r="P38" s="97"/>
      <c r="Q38" s="97"/>
      <c r="R38" s="97"/>
      <c r="S38" s="97"/>
      <c r="T38" s="97"/>
      <c r="U38" s="97"/>
    </row>
    <row r="39" spans="1:21" ht="15.6">
      <c r="A39" s="30" t="str">
        <v>Muroc Joint USD - W. Boron ES</v>
      </c>
      <c r="B39" s="31"/>
      <c r="C39" s="11"/>
      <c r="D39" s="18"/>
      <c r="E39" s="18" t="str">
        <f t="shared" si="4"/>
        <v/>
      </c>
      <c r="F39" s="19" t="str">
        <f t="shared" si="5"/>
        <v/>
      </c>
      <c r="G39" s="20"/>
      <c r="H39" s="20" t="str">
        <f t="shared" si="6"/>
        <v/>
      </c>
      <c r="I39" s="19" t="str">
        <f t="shared" si="2"/>
        <v/>
      </c>
      <c r="J39" s="42"/>
      <c r="K39" s="43"/>
      <c r="L39" s="97"/>
      <c r="M39" s="97"/>
      <c r="N39" s="97"/>
      <c r="O39" s="97"/>
      <c r="P39" s="97"/>
      <c r="Q39" s="97"/>
      <c r="R39" s="97"/>
      <c r="S39" s="97"/>
      <c r="T39" s="97"/>
      <c r="U39" s="97"/>
    </row>
    <row r="40" spans="1:21" ht="15.6">
      <c r="A40" s="28" t="str">
        <v>Colusa - WTP</v>
      </c>
      <c r="B40" s="29"/>
      <c r="C40" s="24"/>
      <c r="D40" s="13"/>
      <c r="E40" s="13" t="str">
        <f t="shared" si="4"/>
        <v/>
      </c>
      <c r="F40" s="14" t="str">
        <f t="shared" si="5"/>
        <v/>
      </c>
      <c r="G40" s="15"/>
      <c r="H40" s="15" t="str">
        <f t="shared" si="6"/>
        <v/>
      </c>
      <c r="I40" s="16" t="str">
        <f t="shared" si="2"/>
        <v/>
      </c>
      <c r="J40" s="41"/>
      <c r="K40" s="88"/>
      <c r="L40" s="98"/>
      <c r="M40" s="97"/>
      <c r="N40" s="97"/>
      <c r="O40" s="97"/>
      <c r="P40" s="97"/>
      <c r="Q40" s="97"/>
      <c r="R40" s="97"/>
      <c r="S40" s="97"/>
      <c r="T40" s="97"/>
      <c r="U40" s="97"/>
    </row>
    <row r="41" spans="1:21" ht="15.6">
      <c r="A41" s="30" t="str">
        <v>CDCR-North Kern State Prision</v>
      </c>
      <c r="B41" s="31"/>
      <c r="C41" s="11"/>
      <c r="D41" s="18"/>
      <c r="E41" s="18" t="str">
        <f t="shared" si="4"/>
        <v/>
      </c>
      <c r="F41" s="19" t="str">
        <f t="shared" si="5"/>
        <v/>
      </c>
      <c r="G41" s="20"/>
      <c r="H41" s="20" t="str">
        <f t="shared" si="6"/>
        <v/>
      </c>
      <c r="I41" s="19" t="str">
        <f t="shared" si="2"/>
        <v/>
      </c>
      <c r="J41" s="42"/>
      <c r="K41" s="92"/>
      <c r="L41" s="98"/>
      <c r="M41" s="97"/>
      <c r="N41" s="97"/>
      <c r="O41" s="97"/>
      <c r="P41" s="97"/>
      <c r="Q41" s="97"/>
      <c r="R41" s="97"/>
      <c r="S41" s="97"/>
      <c r="T41" s="97"/>
      <c r="U41" s="97"/>
    </row>
    <row r="42" spans="1:21" ht="89.25" customHeight="1">
      <c r="A42" s="28" t="str">
        <v>Muroc Joint USD - District Office</v>
      </c>
      <c r="B42" s="29"/>
      <c r="C42" s="24"/>
      <c r="D42" s="13"/>
      <c r="E42" s="13" t="str">
        <f t="shared" si="4"/>
        <v/>
      </c>
      <c r="F42" s="14" t="str">
        <f t="shared" si="5"/>
        <v/>
      </c>
      <c r="G42" s="15"/>
      <c r="H42" s="15" t="str">
        <f t="shared" si="6"/>
        <v/>
      </c>
      <c r="I42" s="16" t="str">
        <f t="shared" si="2"/>
        <v/>
      </c>
      <c r="J42" s="41"/>
      <c r="K42" s="41"/>
      <c r="L42" s="97"/>
      <c r="M42" s="97"/>
      <c r="N42" s="97"/>
      <c r="O42" s="97"/>
      <c r="P42" s="97"/>
      <c r="Q42" s="97"/>
      <c r="R42" s="97"/>
      <c r="S42" s="97"/>
      <c r="T42" s="97"/>
      <c r="U42" s="97"/>
    </row>
    <row r="43" spans="1:21" ht="15.6">
      <c r="A43" s="30" t="str">
        <v>Whole Foods - Manhattan Beach</v>
      </c>
      <c r="B43" s="31"/>
      <c r="C43" s="11"/>
      <c r="D43" s="18"/>
      <c r="E43" s="18" t="str">
        <f t="shared" si="4"/>
        <v/>
      </c>
      <c r="F43" s="19" t="str">
        <f t="shared" si="5"/>
        <v/>
      </c>
      <c r="G43" s="20"/>
      <c r="H43" s="20" t="str">
        <f t="shared" si="6"/>
        <v/>
      </c>
      <c r="I43" s="19" t="str">
        <f t="shared" si="2"/>
        <v/>
      </c>
      <c r="J43" s="42"/>
      <c r="K43" s="92"/>
      <c r="L43" s="98"/>
      <c r="M43" s="98"/>
      <c r="N43" s="98"/>
      <c r="O43" s="98"/>
      <c r="P43" s="97"/>
      <c r="Q43" s="97"/>
      <c r="R43" s="97"/>
      <c r="S43" s="97"/>
      <c r="T43" s="97"/>
      <c r="U43" s="97"/>
    </row>
    <row r="44" spans="1:21" ht="15.6">
      <c r="A44" s="28" t="str">
        <v>Pioneer USD - Frontier ES</v>
      </c>
      <c r="B44" s="29"/>
      <c r="C44" s="24"/>
      <c r="D44" s="13"/>
      <c r="E44" s="13" t="str">
        <f t="shared" si="4"/>
        <v/>
      </c>
      <c r="F44" s="14" t="str">
        <f t="shared" si="5"/>
        <v/>
      </c>
      <c r="G44" s="15"/>
      <c r="H44" s="15" t="str">
        <f t="shared" si="6"/>
        <v/>
      </c>
      <c r="I44" s="16" t="str">
        <f t="shared" si="2"/>
        <v/>
      </c>
      <c r="J44" s="41"/>
      <c r="K44" s="88"/>
      <c r="L44" s="97"/>
      <c r="M44" s="97"/>
      <c r="N44" s="97"/>
      <c r="O44" s="97"/>
      <c r="P44" s="97"/>
      <c r="Q44" s="97"/>
      <c r="R44" s="97"/>
      <c r="S44" s="97"/>
      <c r="T44" s="97"/>
      <c r="U44" s="97"/>
    </row>
    <row r="45" spans="1:21" ht="15.6">
      <c r="A45" s="30" t="str">
        <v>Pioneer USD - Pioneer ES</v>
      </c>
      <c r="B45" s="31"/>
      <c r="C45" s="11"/>
      <c r="D45" s="18"/>
      <c r="E45" s="18" t="str">
        <f t="shared" si="4"/>
        <v/>
      </c>
      <c r="F45" s="19" t="str">
        <f t="shared" si="5"/>
        <v/>
      </c>
      <c r="G45" s="20"/>
      <c r="H45" s="20" t="str">
        <f t="shared" si="6"/>
        <v/>
      </c>
      <c r="I45" s="19" t="str">
        <f t="shared" si="2"/>
        <v/>
      </c>
      <c r="J45" s="42"/>
      <c r="K45" s="92"/>
      <c r="L45" s="98"/>
      <c r="M45" s="97"/>
      <c r="N45" s="97"/>
      <c r="O45" s="97"/>
      <c r="P45" s="97"/>
      <c r="Q45" s="97"/>
      <c r="R45" s="97"/>
      <c r="S45" s="97"/>
      <c r="T45" s="97"/>
      <c r="U45" s="97"/>
    </row>
    <row r="46" spans="1:21" ht="62.25" customHeight="1">
      <c r="A46" s="28" t="str">
        <v>Pioneer USD - Pioneer MS</v>
      </c>
      <c r="B46" s="29"/>
      <c r="C46" s="24"/>
      <c r="D46" s="13"/>
      <c r="E46" s="13" t="str">
        <f t="shared" si="4"/>
        <v/>
      </c>
      <c r="F46" s="14" t="str">
        <f t="shared" si="5"/>
        <v/>
      </c>
      <c r="G46" s="15"/>
      <c r="H46" s="15" t="str">
        <f t="shared" si="6"/>
        <v/>
      </c>
      <c r="I46" s="16" t="str">
        <f t="shared" si="2"/>
        <v/>
      </c>
      <c r="J46" s="41"/>
      <c r="K46" s="41"/>
      <c r="L46" s="97"/>
      <c r="M46" s="97"/>
      <c r="N46" s="97"/>
      <c r="O46" s="97"/>
      <c r="P46" s="97"/>
      <c r="Q46" s="97"/>
      <c r="R46" s="97"/>
      <c r="S46" s="97"/>
      <c r="T46" s="97"/>
      <c r="U46" s="97"/>
    </row>
    <row r="47" spans="1:21" ht="15.6">
      <c r="A47" s="30" t="str">
        <v>Kingsburg Joint UHSD - Kingsburg HS</v>
      </c>
      <c r="B47" s="31"/>
      <c r="C47" s="11"/>
      <c r="D47" s="18"/>
      <c r="E47" s="18" t="str">
        <f t="shared" si="4"/>
        <v/>
      </c>
      <c r="F47" s="19" t="str">
        <f t="shared" si="5"/>
        <v/>
      </c>
      <c r="G47" s="20"/>
      <c r="H47" s="20" t="str">
        <f t="shared" si="6"/>
        <v/>
      </c>
      <c r="I47" s="19" t="str">
        <f t="shared" si="2"/>
        <v/>
      </c>
      <c r="J47" s="42"/>
      <c r="K47" s="87"/>
      <c r="L47" s="98"/>
      <c r="M47" s="98"/>
      <c r="N47" s="98"/>
      <c r="O47" s="97"/>
      <c r="P47" s="97"/>
      <c r="Q47" s="97"/>
      <c r="R47" s="97"/>
      <c r="S47" s="97"/>
      <c r="T47" s="97"/>
      <c r="U47" s="97"/>
    </row>
    <row r="48" spans="1:21" ht="15.6">
      <c r="A48" s="28" t="str">
        <v>CADRB</v>
      </c>
      <c r="B48" s="29"/>
      <c r="C48" s="24"/>
      <c r="D48" s="13"/>
      <c r="E48" s="13" t="str">
        <f t="shared" si="4"/>
        <v/>
      </c>
      <c r="F48" s="14" t="str">
        <f t="shared" si="5"/>
        <v/>
      </c>
      <c r="G48" s="15"/>
      <c r="H48" s="15" t="str">
        <f t="shared" si="6"/>
        <v/>
      </c>
      <c r="I48" s="16" t="str">
        <f t="shared" si="2"/>
        <v/>
      </c>
      <c r="J48" s="41"/>
      <c r="K48" s="88"/>
      <c r="L48" s="98"/>
      <c r="M48" s="98"/>
      <c r="N48" s="98"/>
      <c r="O48" s="98"/>
      <c r="P48" s="98"/>
      <c r="Q48" s="97"/>
      <c r="R48" s="97"/>
      <c r="S48" s="97"/>
      <c r="T48" s="97"/>
      <c r="U48" s="97"/>
    </row>
    <row r="49" spans="1:21" ht="15.6">
      <c r="A49" s="30" t="str">
        <v>CDCR-CA State Prison LA County</v>
      </c>
      <c r="B49" s="31"/>
      <c r="C49" s="11"/>
      <c r="D49" s="18"/>
      <c r="E49" s="18" t="str">
        <f t="shared" si="4"/>
        <v/>
      </c>
      <c r="F49" s="19" t="str">
        <f t="shared" si="5"/>
        <v/>
      </c>
      <c r="G49" s="20"/>
      <c r="H49" s="20" t="str">
        <f t="shared" si="6"/>
        <v/>
      </c>
      <c r="I49" s="19" t="str">
        <f t="shared" si="2"/>
        <v/>
      </c>
      <c r="J49" s="42"/>
      <c r="K49" s="87"/>
      <c r="L49" s="98"/>
      <c r="M49" s="97"/>
      <c r="N49" s="97"/>
      <c r="O49" s="97"/>
      <c r="P49" s="97"/>
      <c r="Q49" s="97"/>
      <c r="R49" s="97"/>
      <c r="S49" s="97"/>
      <c r="T49" s="97"/>
      <c r="U49" s="97"/>
    </row>
    <row r="50" spans="1:21" ht="15.6">
      <c r="A50" s="28" t="str">
        <v>Central USD Akers ES</v>
      </c>
      <c r="B50" s="29"/>
      <c r="C50" s="24"/>
      <c r="D50" s="13"/>
      <c r="E50" s="13" t="str">
        <f t="shared" si="4"/>
        <v/>
      </c>
      <c r="F50" s="14" t="str">
        <f t="shared" si="5"/>
        <v/>
      </c>
      <c r="G50" s="15"/>
      <c r="H50" s="15" t="str">
        <f t="shared" si="6"/>
        <v/>
      </c>
      <c r="I50" s="16" t="str">
        <f t="shared" si="2"/>
        <v/>
      </c>
      <c r="J50" s="41"/>
      <c r="K50" s="88"/>
      <c r="L50" s="98"/>
      <c r="M50" s="97"/>
      <c r="N50" s="97"/>
      <c r="O50" s="97"/>
      <c r="P50" s="97"/>
      <c r="Q50" s="97"/>
      <c r="R50" s="97"/>
      <c r="S50" s="97"/>
      <c r="T50" s="97"/>
      <c r="U50" s="97"/>
    </row>
    <row r="51" spans="1:21" ht="15.6">
      <c r="A51" s="30" t="str">
        <v>CUSD - District Office</v>
      </c>
      <c r="B51" s="31"/>
      <c r="C51" s="11"/>
      <c r="D51" s="18"/>
      <c r="E51" s="18" t="str">
        <f t="shared" si="4"/>
        <v/>
      </c>
      <c r="F51" s="19" t="str">
        <f t="shared" si="5"/>
        <v/>
      </c>
      <c r="G51" s="20"/>
      <c r="H51" s="20" t="str">
        <f t="shared" si="6"/>
        <v/>
      </c>
      <c r="I51" s="19" t="str">
        <f t="shared" si="2"/>
        <v/>
      </c>
      <c r="J51" s="42"/>
      <c r="K51" s="92"/>
      <c r="L51" s="98"/>
      <c r="M51" s="97"/>
      <c r="N51" s="97"/>
      <c r="O51" s="97"/>
      <c r="P51" s="97"/>
      <c r="Q51" s="97"/>
      <c r="R51" s="97"/>
      <c r="S51" s="97"/>
      <c r="T51" s="97"/>
      <c r="U51" s="97"/>
    </row>
    <row r="52" spans="1:21" ht="15.6">
      <c r="A52" s="28" t="str">
        <v>Parlier - WTP</v>
      </c>
      <c r="B52" s="29"/>
      <c r="C52" s="24"/>
      <c r="D52" s="13"/>
      <c r="E52" s="13" t="str">
        <f t="shared" si="4"/>
        <v/>
      </c>
      <c r="F52" s="14" t="str">
        <f t="shared" si="5"/>
        <v/>
      </c>
      <c r="G52" s="15"/>
      <c r="H52" s="15" t="str">
        <f t="shared" si="6"/>
        <v/>
      </c>
      <c r="I52" s="16" t="str">
        <f t="shared" si="2"/>
        <v/>
      </c>
      <c r="J52" s="41"/>
      <c r="K52" s="41"/>
      <c r="L52" s="97"/>
      <c r="M52" s="97"/>
      <c r="N52" s="97"/>
      <c r="O52" s="97"/>
      <c r="P52" s="97"/>
      <c r="Q52" s="97"/>
      <c r="R52" s="97"/>
      <c r="S52" s="97"/>
      <c r="T52" s="97"/>
      <c r="U52" s="97"/>
    </row>
    <row r="53" spans="1:21" ht="15.6">
      <c r="A53" s="30" t="str">
        <v>Snowline SD - Quail Valley MS</v>
      </c>
      <c r="B53" s="31"/>
      <c r="C53" s="11"/>
      <c r="D53" s="18"/>
      <c r="E53" s="18" t="str">
        <f t="shared" si="4"/>
        <v/>
      </c>
      <c r="F53" s="19" t="str">
        <f t="shared" si="5"/>
        <v/>
      </c>
      <c r="G53" s="20"/>
      <c r="H53" s="20" t="str">
        <f t="shared" si="6"/>
        <v/>
      </c>
      <c r="I53" s="19" t="str">
        <f t="shared" si="2"/>
        <v/>
      </c>
      <c r="J53" s="42"/>
      <c r="K53" s="43"/>
      <c r="L53" s="97"/>
      <c r="M53" s="97"/>
      <c r="N53" s="97"/>
      <c r="O53" s="97"/>
      <c r="P53" s="97"/>
      <c r="Q53" s="97"/>
      <c r="R53" s="97"/>
      <c r="S53" s="97"/>
      <c r="T53" s="97"/>
      <c r="U53" s="97"/>
    </row>
    <row r="54" spans="1:21" ht="15.6">
      <c r="A54" s="28" t="str">
        <v>Snowline SD - Serrano HS - Middle Lot</v>
      </c>
      <c r="B54" s="29"/>
      <c r="C54" s="24"/>
      <c r="D54" s="13"/>
      <c r="E54" s="13" t="str">
        <f t="shared" si="4"/>
        <v/>
      </c>
      <c r="F54" s="14" t="str">
        <f t="shared" si="5"/>
        <v/>
      </c>
      <c r="G54" s="15"/>
      <c r="H54" s="15" t="str">
        <f t="shared" si="6"/>
        <v/>
      </c>
      <c r="I54" s="16" t="str">
        <f t="shared" si="2"/>
        <v/>
      </c>
      <c r="J54" s="41"/>
      <c r="K54" s="88"/>
      <c r="L54" s="97"/>
      <c r="M54" s="97"/>
      <c r="N54" s="97"/>
      <c r="O54" s="97"/>
      <c r="P54" s="97"/>
      <c r="Q54" s="97"/>
      <c r="R54" s="97"/>
      <c r="S54" s="97"/>
      <c r="T54" s="97"/>
      <c r="U54" s="97"/>
    </row>
    <row r="55" spans="1:21" ht="15.6">
      <c r="A55" s="30" t="str">
        <v>Snowline SD - Pinon Hills ES</v>
      </c>
      <c r="B55" s="31"/>
      <c r="C55" s="11"/>
      <c r="D55" s="18"/>
      <c r="E55" s="18" t="str">
        <f t="shared" si="4"/>
        <v/>
      </c>
      <c r="F55" s="19" t="str">
        <f t="shared" si="5"/>
        <v/>
      </c>
      <c r="G55" s="20"/>
      <c r="H55" s="20" t="str">
        <f t="shared" si="6"/>
        <v/>
      </c>
      <c r="I55" s="19" t="str">
        <f t="shared" si="2"/>
        <v/>
      </c>
      <c r="J55" s="42"/>
      <c r="K55" s="87"/>
      <c r="L55" s="97"/>
      <c r="M55" s="97"/>
      <c r="N55" s="97"/>
      <c r="O55" s="97"/>
      <c r="P55" s="97"/>
      <c r="Q55" s="97"/>
      <c r="R55" s="97"/>
      <c r="S55" s="97"/>
      <c r="T55" s="97"/>
      <c r="U55" s="97"/>
    </row>
    <row r="56" spans="1:21" ht="15.6">
      <c r="A56" s="28" t="str">
        <v>Ramona - Santa Maria WTP</v>
      </c>
      <c r="B56" s="29"/>
      <c r="C56" s="24"/>
      <c r="D56" s="13"/>
      <c r="E56" s="13" t="str">
        <f t="shared" si="4"/>
        <v/>
      </c>
      <c r="F56" s="14" t="str">
        <f t="shared" si="5"/>
        <v/>
      </c>
      <c r="G56" s="15"/>
      <c r="H56" s="15" t="str">
        <f t="shared" si="6"/>
        <v/>
      </c>
      <c r="I56" s="16" t="str">
        <f t="shared" si="2"/>
        <v/>
      </c>
      <c r="J56" s="41"/>
      <c r="K56" s="41"/>
      <c r="L56" s="97"/>
      <c r="M56" s="97"/>
      <c r="N56" s="97"/>
      <c r="O56" s="97"/>
      <c r="P56" s="97"/>
      <c r="Q56" s="97"/>
      <c r="R56" s="97"/>
      <c r="S56" s="97"/>
      <c r="T56" s="97"/>
      <c r="U56" s="97"/>
    </row>
    <row r="57" spans="1:21" ht="15.6">
      <c r="A57" s="30" t="str">
        <v>Kohls - Redding</v>
      </c>
      <c r="B57" s="31"/>
      <c r="C57" s="11"/>
      <c r="D57" s="18"/>
      <c r="E57" s="18" t="str">
        <f t="shared" si="4"/>
        <v/>
      </c>
      <c r="F57" s="19" t="str">
        <f t="shared" si="5"/>
        <v/>
      </c>
      <c r="G57" s="20"/>
      <c r="H57" s="20" t="str">
        <f t="shared" si="6"/>
        <v/>
      </c>
      <c r="I57" s="19" t="str">
        <f t="shared" si="2"/>
        <v/>
      </c>
      <c r="J57" s="42"/>
      <c r="K57" s="87"/>
      <c r="L57" s="97"/>
      <c r="M57" s="97"/>
      <c r="N57" s="97"/>
      <c r="O57" s="97"/>
      <c r="P57" s="97"/>
      <c r="Q57" s="97"/>
      <c r="R57" s="97"/>
      <c r="S57" s="97"/>
      <c r="T57" s="97"/>
      <c r="U57" s="97"/>
    </row>
    <row r="58" spans="1:21" ht="99.75" customHeight="1">
      <c r="A58" s="28" t="str">
        <v>Kohls - Salinas</v>
      </c>
      <c r="B58" s="29"/>
      <c r="C58" s="24"/>
      <c r="D58" s="13"/>
      <c r="E58" s="13" t="str">
        <f t="shared" si="4"/>
        <v/>
      </c>
      <c r="F58" s="14" t="str">
        <f t="shared" si="5"/>
        <v/>
      </c>
      <c r="G58" s="15"/>
      <c r="H58" s="15" t="str">
        <f t="shared" si="6"/>
        <v/>
      </c>
      <c r="I58" s="16" t="str">
        <f t="shared" si="2"/>
        <v/>
      </c>
      <c r="J58" s="41"/>
      <c r="K58" s="88"/>
      <c r="L58" s="98"/>
      <c r="M58" s="98"/>
      <c r="N58" s="98"/>
      <c r="O58" s="98"/>
      <c r="P58" s="98"/>
      <c r="Q58" s="98"/>
      <c r="R58" s="97"/>
      <c r="S58" s="97"/>
      <c r="T58" s="97"/>
      <c r="U58" s="97"/>
    </row>
    <row r="59" spans="1:21" ht="15.6">
      <c r="A59" s="30" t="str">
        <v>Kohls - Sonora</v>
      </c>
      <c r="B59" s="31"/>
      <c r="C59" s="11"/>
      <c r="D59" s="18"/>
      <c r="E59" s="18" t="str">
        <f t="shared" si="4"/>
        <v/>
      </c>
      <c r="F59" s="19" t="str">
        <f t="shared" si="5"/>
        <v/>
      </c>
      <c r="G59" s="20"/>
      <c r="H59" s="20" t="str">
        <f t="shared" si="6"/>
        <v/>
      </c>
      <c r="I59" s="19" t="str">
        <f t="shared" si="2"/>
        <v/>
      </c>
      <c r="J59" s="42"/>
      <c r="K59" s="43"/>
      <c r="L59" s="97"/>
      <c r="M59" s="97"/>
      <c r="N59" s="97"/>
      <c r="O59" s="97"/>
      <c r="P59" s="97"/>
      <c r="Q59" s="97"/>
      <c r="R59" s="97"/>
      <c r="S59" s="97"/>
      <c r="T59" s="97"/>
      <c r="U59" s="97"/>
    </row>
    <row r="60" spans="1:21" ht="15.6">
      <c r="A60" s="28" t="str">
        <v>CUSD - Stratford ES</v>
      </c>
      <c r="B60" s="29"/>
      <c r="C60" s="24"/>
      <c r="D60" s="13"/>
      <c r="E60" s="13" t="str">
        <f t="shared" si="4"/>
        <v/>
      </c>
      <c r="F60" s="14" t="str">
        <f t="shared" si="5"/>
        <v/>
      </c>
      <c r="G60" s="15"/>
      <c r="H60" s="15" t="str">
        <f t="shared" si="6"/>
        <v/>
      </c>
      <c r="I60" s="16" t="str">
        <f t="shared" si="2"/>
        <v/>
      </c>
      <c r="J60" s="41"/>
      <c r="K60" s="88"/>
      <c r="L60" s="98"/>
      <c r="M60" s="98"/>
      <c r="N60" s="98"/>
      <c r="O60" s="98"/>
      <c r="P60" s="98"/>
      <c r="Q60" s="97"/>
      <c r="R60" s="97"/>
      <c r="S60" s="97"/>
      <c r="T60" s="97"/>
      <c r="U60" s="97"/>
    </row>
    <row r="61" spans="1:21" ht="15.6">
      <c r="A61" s="30" t="str">
        <v>Taft - City Hall</v>
      </c>
      <c r="B61" s="31"/>
      <c r="C61" s="11"/>
      <c r="D61" s="18"/>
      <c r="E61" s="18" t="str">
        <f t="shared" si="4"/>
        <v/>
      </c>
      <c r="F61" s="19" t="str">
        <f t="shared" si="5"/>
        <v/>
      </c>
      <c r="G61" s="20"/>
      <c r="H61" s="20" t="str">
        <f t="shared" si="6"/>
        <v/>
      </c>
      <c r="I61" s="19" t="str">
        <f t="shared" si="2"/>
        <v/>
      </c>
      <c r="J61" s="42"/>
      <c r="K61" s="87"/>
      <c r="L61" s="97"/>
      <c r="M61" s="97"/>
      <c r="N61" s="97"/>
      <c r="O61" s="97"/>
      <c r="P61" s="97"/>
      <c r="Q61" s="97"/>
      <c r="R61" s="97"/>
      <c r="S61" s="97"/>
      <c r="T61" s="97"/>
      <c r="U61" s="97"/>
    </row>
    <row r="62" spans="1:21" ht="15.6">
      <c r="A62" s="28" t="str">
        <v>Taft - Federal Prison</v>
      </c>
      <c r="B62" s="29"/>
      <c r="C62" s="24"/>
      <c r="D62" s="13"/>
      <c r="E62" s="13" t="str">
        <f t="shared" si="4"/>
        <v/>
      </c>
      <c r="F62" s="14" t="str">
        <f t="shared" si="5"/>
        <v/>
      </c>
      <c r="G62" s="15"/>
      <c r="H62" s="15" t="str">
        <f t="shared" si="6"/>
        <v/>
      </c>
      <c r="I62" s="16" t="str">
        <f t="shared" si="2"/>
        <v/>
      </c>
      <c r="J62" s="41"/>
      <c r="K62" s="88"/>
      <c r="L62" s="98"/>
      <c r="M62" s="97"/>
      <c r="N62" s="97"/>
      <c r="O62" s="97"/>
      <c r="P62" s="97"/>
      <c r="Q62" s="97"/>
      <c r="R62" s="97"/>
      <c r="S62" s="97"/>
      <c r="T62" s="97"/>
      <c r="U62" s="97"/>
    </row>
    <row r="63" spans="1:21" ht="15.6">
      <c r="A63" s="30" t="str">
        <v>Taft - Police Department</v>
      </c>
      <c r="B63" s="31"/>
      <c r="C63" s="11"/>
      <c r="D63" s="18"/>
      <c r="E63" s="18" t="str">
        <f t="shared" si="4"/>
        <v/>
      </c>
      <c r="F63" s="19" t="str">
        <f t="shared" si="5"/>
        <v/>
      </c>
      <c r="G63" s="20"/>
      <c r="H63" s="20" t="str">
        <f t="shared" si="6"/>
        <v/>
      </c>
      <c r="I63" s="19" t="str">
        <f t="shared" si="2"/>
        <v/>
      </c>
      <c r="J63" s="42"/>
      <c r="K63" s="87"/>
      <c r="L63" s="97"/>
      <c r="M63" s="97"/>
      <c r="N63" s="97"/>
      <c r="O63" s="97"/>
      <c r="P63" s="97"/>
      <c r="Q63" s="97"/>
      <c r="R63" s="97"/>
      <c r="S63" s="97"/>
      <c r="T63" s="97"/>
      <c r="U63" s="97"/>
    </row>
    <row r="64" spans="1:21" ht="15.6">
      <c r="A64" s="28" t="str">
        <v>Taft - WTP</v>
      </c>
      <c r="B64" s="29"/>
      <c r="C64" s="24"/>
      <c r="D64" s="13"/>
      <c r="E64" s="13" t="str">
        <f t="shared" si="4"/>
        <v/>
      </c>
      <c r="F64" s="14" t="str">
        <f t="shared" si="5"/>
        <v/>
      </c>
      <c r="G64" s="15"/>
      <c r="H64" s="15" t="str">
        <f t="shared" si="6"/>
        <v/>
      </c>
      <c r="I64" s="16" t="str">
        <f t="shared" si="2"/>
        <v/>
      </c>
      <c r="J64" s="41"/>
      <c r="K64" s="41"/>
      <c r="L64" s="97"/>
      <c r="M64" s="97"/>
      <c r="N64" s="97"/>
      <c r="O64" s="97"/>
      <c r="P64" s="97"/>
      <c r="Q64" s="97"/>
      <c r="R64" s="97"/>
      <c r="S64" s="97"/>
      <c r="T64" s="97"/>
      <c r="U64" s="97"/>
    </row>
    <row r="65" spans="1:21" ht="15.6">
      <c r="A65" s="30" t="str">
        <v>CDCR - CA Correctional Institution</v>
      </c>
      <c r="B65" s="31"/>
      <c r="C65" s="11"/>
      <c r="D65" s="18"/>
      <c r="E65" s="18" t="str">
        <f t="shared" si="4"/>
        <v/>
      </c>
      <c r="F65" s="19" t="str">
        <f t="shared" si="5"/>
        <v/>
      </c>
      <c r="G65" s="20"/>
      <c r="H65" s="20" t="str">
        <f t="shared" si="6"/>
        <v/>
      </c>
      <c r="I65" s="19" t="str">
        <f t="shared" si="2"/>
        <v/>
      </c>
      <c r="J65" s="42"/>
      <c r="K65" s="87"/>
      <c r="L65" s="97"/>
      <c r="M65" s="97"/>
      <c r="N65" s="97"/>
      <c r="O65" s="97"/>
      <c r="P65" s="97"/>
      <c r="Q65" s="97"/>
      <c r="R65" s="97"/>
      <c r="S65" s="97"/>
      <c r="T65" s="97"/>
      <c r="U65" s="97"/>
    </row>
    <row r="66" spans="1:21" ht="15.6">
      <c r="A66" s="28" t="str">
        <v>CDCR - CA Correctional Institution II</v>
      </c>
      <c r="B66" s="29"/>
      <c r="C66" s="24"/>
      <c r="D66" s="13"/>
      <c r="E66" s="13" t="str">
        <f t="shared" si="4"/>
        <v/>
      </c>
      <c r="F66" s="14" t="str">
        <f t="shared" si="5"/>
        <v/>
      </c>
      <c r="G66" s="15"/>
      <c r="H66" s="15" t="str">
        <f t="shared" si="6"/>
        <v/>
      </c>
      <c r="I66" s="16" t="str">
        <f t="shared" si="2"/>
        <v/>
      </c>
      <c r="J66" s="41"/>
      <c r="K66" s="88"/>
      <c r="L66" s="98"/>
      <c r="M66" s="98"/>
      <c r="N66" s="97"/>
      <c r="O66" s="97"/>
      <c r="P66" s="97"/>
      <c r="Q66" s="97"/>
      <c r="R66" s="97"/>
      <c r="S66" s="97"/>
      <c r="T66" s="97"/>
      <c r="U66" s="97"/>
    </row>
    <row r="67" spans="1:21" ht="15.6">
      <c r="A67" s="30" t="str">
        <v>Snowline SD - Vista Verde ES</v>
      </c>
      <c r="B67" s="31"/>
      <c r="C67" s="11"/>
      <c r="D67" s="18"/>
      <c r="E67" s="18" t="str">
        <f t="shared" si="4"/>
        <v/>
      </c>
      <c r="F67" s="19" t="str">
        <f t="shared" si="5"/>
        <v/>
      </c>
      <c r="G67" s="20"/>
      <c r="H67" s="20" t="str">
        <f t="shared" si="6"/>
        <v/>
      </c>
      <c r="I67" s="19" t="str">
        <f t="shared" si="2"/>
        <v/>
      </c>
      <c r="J67" s="42"/>
      <c r="K67" s="87"/>
      <c r="L67" s="98"/>
      <c r="M67" s="98"/>
      <c r="N67" s="98"/>
      <c r="O67" s="98"/>
      <c r="P67" s="97"/>
      <c r="Q67" s="97"/>
      <c r="R67" s="97"/>
      <c r="S67" s="97"/>
      <c r="T67" s="97"/>
      <c r="U67" s="97"/>
    </row>
    <row r="68" spans="1:21" ht="15.6">
      <c r="A68" s="28" t="str">
        <v>North Stonington</v>
      </c>
      <c r="B68" s="29"/>
      <c r="C68" s="24"/>
      <c r="D68" s="13"/>
      <c r="E68" s="13" t="str">
        <f t="shared" si="4"/>
        <v/>
      </c>
      <c r="F68" s="14" t="str">
        <f t="shared" si="5"/>
        <v/>
      </c>
      <c r="G68" s="15"/>
      <c r="H68" s="15" t="str">
        <f t="shared" si="6"/>
        <v/>
      </c>
      <c r="I68" s="16" t="str">
        <f t="shared" si="2"/>
        <v/>
      </c>
      <c r="J68" s="41"/>
      <c r="K68" s="88"/>
      <c r="L68" s="97"/>
      <c r="M68" s="97"/>
      <c r="N68" s="97"/>
      <c r="O68" s="97"/>
      <c r="P68" s="97"/>
      <c r="Q68" s="97"/>
      <c r="R68" s="97"/>
      <c r="S68" s="97"/>
      <c r="T68" s="97"/>
      <c r="U68" s="97"/>
    </row>
    <row r="69" spans="1:21" ht="15.6">
      <c r="A69" s="30" t="str">
        <v>CT: Torrington - 2-298 Rossi Road</v>
      </c>
      <c r="B69" s="31"/>
      <c r="C69" s="11"/>
      <c r="D69" s="18"/>
      <c r="E69" s="18"/>
      <c r="F69" s="19"/>
      <c r="G69" s="81"/>
      <c r="H69" s="20"/>
      <c r="I69" s="19" t="str">
        <f t="shared" ref="I69" si="7">IFERROR(H69/G69, "")</f>
        <v/>
      </c>
      <c r="J69" s="42"/>
      <c r="K69" s="60"/>
    </row>
    <row r="70" spans="1:21" ht="14.45">
      <c r="A70" s="21"/>
      <c r="B70" s="33"/>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zoomScale="70" zoomScaleNormal="70" workbookViewId="0">
      <pane xSplit="2" ySplit="3" topLeftCell="C38"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35" t="str" cm="1">
        <f t="array" ref="A1">portfolio</f>
        <v>Silicon Ranch</v>
      </c>
      <c r="B1" s="135"/>
      <c r="C1" s="135"/>
      <c r="D1" s="136" t="s">
        <v>189</v>
      </c>
      <c r="E1" s="136"/>
      <c r="F1" s="136"/>
      <c r="G1" s="134" t="s">
        <v>190</v>
      </c>
      <c r="H1" s="134"/>
      <c r="I1" s="134"/>
      <c r="J1" s="4"/>
      <c r="K1" s="4"/>
    </row>
    <row r="2" spans="1:20"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20" ht="15.6">
      <c r="A5" s="30" t="str">
        <v>Kohls - Auburn</v>
      </c>
      <c r="B5" s="31" t="str">
        <v>NY</v>
      </c>
      <c r="C5" s="11"/>
      <c r="D5" s="18"/>
      <c r="E5" s="18" t="str">
        <f t="shared" si="0"/>
        <v/>
      </c>
      <c r="F5" s="19" t="str">
        <f t="shared" si="1"/>
        <v/>
      </c>
      <c r="G5" s="20"/>
      <c r="H5" s="20" t="str">
        <f t="shared" si="2"/>
        <v/>
      </c>
      <c r="I5" s="19" t="str">
        <f t="shared" si="3"/>
        <v/>
      </c>
      <c r="J5" s="42"/>
      <c r="K5" s="42"/>
      <c r="L5" s="97"/>
      <c r="M5" s="97"/>
      <c r="N5" s="97"/>
      <c r="O5" s="97"/>
      <c r="P5" s="97"/>
      <c r="Q5" s="97"/>
      <c r="R5" s="97"/>
      <c r="S5" s="97"/>
      <c r="T5" s="97"/>
    </row>
    <row r="6" spans="1:20" ht="15.6">
      <c r="A6" s="28" t="str">
        <v>Kohls - Bensalem</v>
      </c>
      <c r="B6" s="29" t="str">
        <v>PA</v>
      </c>
      <c r="C6" s="24"/>
      <c r="D6" s="13"/>
      <c r="E6" s="13" t="str">
        <f t="shared" si="0"/>
        <v/>
      </c>
      <c r="F6" s="14" t="str">
        <f t="shared" si="1"/>
        <v/>
      </c>
      <c r="G6" s="15"/>
      <c r="H6" s="15" t="str">
        <f t="shared" si="2"/>
        <v/>
      </c>
      <c r="I6" s="16" t="str">
        <f t="shared" si="3"/>
        <v/>
      </c>
      <c r="J6" s="41"/>
      <c r="K6" s="88"/>
      <c r="L6" s="97"/>
      <c r="M6" s="97"/>
      <c r="N6" s="97"/>
      <c r="O6" s="97"/>
      <c r="P6" s="97"/>
      <c r="Q6" s="97"/>
      <c r="R6" s="97"/>
      <c r="S6" s="97"/>
      <c r="T6" s="97"/>
    </row>
    <row r="7" spans="1:20" ht="15.6">
      <c r="A7" s="30" t="str">
        <v>Kohls - Brick</v>
      </c>
      <c r="B7" s="31" t="str">
        <v>NJ</v>
      </c>
      <c r="C7" s="11"/>
      <c r="D7" s="18"/>
      <c r="E7" s="18" t="str">
        <f t="shared" si="0"/>
        <v/>
      </c>
      <c r="F7" s="19" t="str">
        <f t="shared" si="1"/>
        <v/>
      </c>
      <c r="G7" s="20"/>
      <c r="H7" s="20" t="str">
        <f t="shared" si="2"/>
        <v/>
      </c>
      <c r="I7" s="19" t="str">
        <f t="shared" si="3"/>
        <v/>
      </c>
      <c r="J7" s="42"/>
      <c r="K7" s="87"/>
      <c r="L7" s="97"/>
      <c r="M7" s="97"/>
      <c r="N7" s="97"/>
      <c r="O7" s="97"/>
      <c r="P7" s="97"/>
      <c r="Q7" s="97"/>
      <c r="R7" s="97"/>
      <c r="S7" s="97"/>
      <c r="T7" s="97"/>
    </row>
    <row r="8" spans="1:20" ht="15.6">
      <c r="A8" s="28" t="str">
        <v>Kohls - Buffalo</v>
      </c>
      <c r="B8" s="29" t="str">
        <v>NY</v>
      </c>
      <c r="C8" s="24"/>
      <c r="D8" s="13"/>
      <c r="E8" s="13" t="str">
        <f t="shared" si="0"/>
        <v/>
      </c>
      <c r="F8" s="14" t="str">
        <f t="shared" si="1"/>
        <v/>
      </c>
      <c r="G8" s="15"/>
      <c r="H8" s="15" t="str">
        <f t="shared" si="2"/>
        <v/>
      </c>
      <c r="I8" s="16" t="str">
        <f t="shared" si="3"/>
        <v/>
      </c>
      <c r="J8" s="41"/>
      <c r="K8" s="88"/>
      <c r="L8" s="98"/>
      <c r="M8" s="98"/>
      <c r="N8" s="98"/>
      <c r="O8" s="97"/>
      <c r="P8" s="97"/>
      <c r="Q8" s="97"/>
      <c r="R8" s="97"/>
      <c r="S8" s="97"/>
      <c r="T8" s="97"/>
    </row>
    <row r="9" spans="1:20" ht="15.6">
      <c r="A9" s="30" t="str">
        <v>Kohls - Canton</v>
      </c>
      <c r="B9" s="31" t="str">
        <v>CT</v>
      </c>
      <c r="C9" s="11"/>
      <c r="D9" s="18"/>
      <c r="E9" s="18" t="str">
        <f t="shared" si="0"/>
        <v/>
      </c>
      <c r="F9" s="19" t="str">
        <f t="shared" si="1"/>
        <v/>
      </c>
      <c r="G9" s="20"/>
      <c r="H9" s="20" t="str">
        <f t="shared" si="2"/>
        <v/>
      </c>
      <c r="I9" s="19" t="str">
        <f t="shared" si="3"/>
        <v/>
      </c>
      <c r="J9" s="42"/>
      <c r="K9" s="43"/>
      <c r="L9" s="97"/>
      <c r="M9" s="97"/>
      <c r="N9" s="97"/>
      <c r="O9" s="97"/>
      <c r="P9" s="97"/>
      <c r="Q9" s="97"/>
      <c r="R9" s="97"/>
      <c r="S9" s="97"/>
      <c r="T9" s="97"/>
    </row>
    <row r="10" spans="1:20" ht="15.6">
      <c r="A10" s="28" t="str">
        <v>Kohls - East Amherst</v>
      </c>
      <c r="B10" s="29" t="str">
        <v>NY</v>
      </c>
      <c r="C10" s="24"/>
      <c r="D10" s="13"/>
      <c r="E10" s="13" t="str">
        <f t="shared" si="0"/>
        <v/>
      </c>
      <c r="F10" s="14" t="str">
        <f t="shared" si="1"/>
        <v/>
      </c>
      <c r="G10" s="15"/>
      <c r="H10" s="15" t="str">
        <f t="shared" si="2"/>
        <v/>
      </c>
      <c r="I10" s="16" t="str">
        <f t="shared" si="3"/>
        <v/>
      </c>
      <c r="J10" s="41"/>
      <c r="K10" s="88"/>
      <c r="L10" s="98"/>
      <c r="M10" s="97"/>
      <c r="N10" s="97"/>
      <c r="O10" s="97"/>
      <c r="P10" s="97"/>
      <c r="Q10" s="97"/>
      <c r="R10" s="97"/>
      <c r="S10" s="97"/>
      <c r="T10" s="97"/>
    </row>
    <row r="11" spans="1:20" ht="15.6">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9" si="6">IFERROR(H11/G11, "")</f>
        <v/>
      </c>
      <c r="J11" s="42"/>
      <c r="K11" s="87"/>
      <c r="L11" s="97"/>
      <c r="M11" s="97"/>
      <c r="N11" s="97"/>
      <c r="O11" s="97"/>
      <c r="P11" s="97"/>
      <c r="Q11" s="97"/>
      <c r="R11" s="97"/>
      <c r="S11" s="97"/>
      <c r="T11" s="97"/>
    </row>
    <row r="12" spans="1:20" ht="15.6">
      <c r="A12" s="28" t="str">
        <v>Kohls - Edgewood</v>
      </c>
      <c r="B12" s="29" t="str">
        <v>MD</v>
      </c>
      <c r="C12" s="24"/>
      <c r="D12" s="13"/>
      <c r="E12" s="13" t="str">
        <f t="shared" si="4"/>
        <v/>
      </c>
      <c r="F12" s="14" t="str">
        <f t="shared" ref="F12:F17" si="7">IFERROR(E12/D12, "")</f>
        <v/>
      </c>
      <c r="G12" s="15"/>
      <c r="H12" s="15" t="str">
        <f t="shared" si="5"/>
        <v/>
      </c>
      <c r="I12" s="16" t="str">
        <f t="shared" si="6"/>
        <v/>
      </c>
      <c r="J12" s="41"/>
      <c r="K12" s="88"/>
      <c r="L12" s="98"/>
      <c r="M12" s="97"/>
      <c r="N12" s="97"/>
      <c r="O12" s="97"/>
      <c r="P12" s="97"/>
      <c r="Q12" s="97"/>
      <c r="R12" s="97"/>
      <c r="S12" s="97"/>
      <c r="T12" s="97"/>
    </row>
    <row r="13" spans="1:20" ht="15.6">
      <c r="A13" s="30" t="str">
        <v>Kohls - Granite Run</v>
      </c>
      <c r="B13" s="31" t="str">
        <v>PA</v>
      </c>
      <c r="C13" s="11"/>
      <c r="D13" s="18"/>
      <c r="E13" s="18" t="str">
        <f t="shared" si="4"/>
        <v/>
      </c>
      <c r="F13" s="19" t="str">
        <f t="shared" si="7"/>
        <v/>
      </c>
      <c r="G13" s="20"/>
      <c r="H13" s="20" t="str">
        <f t="shared" si="5"/>
        <v/>
      </c>
      <c r="I13" s="19" t="str">
        <f t="shared" si="6"/>
        <v/>
      </c>
      <c r="J13" s="42"/>
      <c r="K13" s="92"/>
      <c r="L13" s="97"/>
      <c r="M13" s="97"/>
      <c r="N13" s="97"/>
      <c r="O13" s="97"/>
      <c r="P13" s="97"/>
      <c r="Q13" s="97"/>
      <c r="R13" s="97"/>
      <c r="S13" s="97"/>
      <c r="T13" s="97"/>
    </row>
    <row r="14" spans="1:20" ht="15.6">
      <c r="A14" s="28" t="str">
        <v>Kohls - Greece</v>
      </c>
      <c r="B14" s="29" t="str">
        <v>NY</v>
      </c>
      <c r="C14" s="24"/>
      <c r="D14" s="13"/>
      <c r="E14" s="13" t="str">
        <f t="shared" si="4"/>
        <v/>
      </c>
      <c r="F14" s="14" t="str">
        <f t="shared" si="7"/>
        <v/>
      </c>
      <c r="G14" s="15"/>
      <c r="H14" s="15" t="str">
        <f t="shared" si="5"/>
        <v/>
      </c>
      <c r="I14" s="16" t="str">
        <f t="shared" si="6"/>
        <v/>
      </c>
      <c r="J14" s="41"/>
      <c r="K14" s="41"/>
      <c r="L14" s="97"/>
      <c r="M14" s="97"/>
      <c r="N14" s="97"/>
      <c r="O14" s="97"/>
      <c r="P14" s="97"/>
      <c r="Q14" s="97"/>
      <c r="R14" s="97"/>
      <c r="S14" s="97"/>
      <c r="T14" s="97"/>
    </row>
    <row r="15" spans="1:20" ht="15.6">
      <c r="A15" s="30" t="str">
        <v>Kohls - Hanover</v>
      </c>
      <c r="B15" s="31" t="str">
        <v>PA</v>
      </c>
      <c r="C15" s="11"/>
      <c r="D15" s="18"/>
      <c r="E15" s="18" t="str">
        <f t="shared" si="4"/>
        <v/>
      </c>
      <c r="F15" s="19" t="str">
        <f t="shared" si="7"/>
        <v/>
      </c>
      <c r="G15" s="20"/>
      <c r="H15" s="20" t="str">
        <f t="shared" si="5"/>
        <v/>
      </c>
      <c r="I15" s="19" t="str">
        <f t="shared" si="6"/>
        <v/>
      </c>
      <c r="J15" s="54"/>
      <c r="K15" s="54"/>
      <c r="L15" s="97"/>
      <c r="M15" s="97"/>
      <c r="N15" s="97"/>
      <c r="O15" s="97"/>
      <c r="P15" s="97"/>
      <c r="Q15" s="97"/>
      <c r="R15" s="97"/>
      <c r="S15" s="97"/>
      <c r="T15" s="97"/>
    </row>
    <row r="16" spans="1:20" ht="15.6">
      <c r="A16" s="28" t="str">
        <v>Kohls - Horsehead</v>
      </c>
      <c r="B16" s="29" t="str">
        <v>NY</v>
      </c>
      <c r="C16" s="24"/>
      <c r="D16" s="13"/>
      <c r="E16" s="13" t="str">
        <f t="shared" si="4"/>
        <v/>
      </c>
      <c r="F16" s="14" t="str">
        <f t="shared" si="7"/>
        <v/>
      </c>
      <c r="G16" s="15"/>
      <c r="H16" s="15" t="str">
        <f t="shared" si="5"/>
        <v/>
      </c>
      <c r="I16" s="16" t="str">
        <f t="shared" si="6"/>
        <v/>
      </c>
      <c r="J16" s="41"/>
      <c r="K16" s="41"/>
      <c r="L16" s="97"/>
      <c r="M16" s="97"/>
      <c r="N16" s="97"/>
      <c r="O16" s="97"/>
      <c r="P16" s="97"/>
      <c r="Q16" s="97"/>
      <c r="R16" s="97"/>
      <c r="S16" s="97"/>
      <c r="T16" s="97"/>
    </row>
    <row r="17" spans="1:20" ht="15.6">
      <c r="A17" s="30" t="str">
        <v>Kohls - Hudson</v>
      </c>
      <c r="B17" s="31" t="str">
        <v>NY</v>
      </c>
      <c r="C17" s="11"/>
      <c r="D17" s="18"/>
      <c r="E17" s="18" t="str">
        <f t="shared" si="4"/>
        <v/>
      </c>
      <c r="F17" s="19" t="str">
        <f t="shared" si="7"/>
        <v/>
      </c>
      <c r="G17" s="20"/>
      <c r="H17" s="20" t="str">
        <f t="shared" si="5"/>
        <v/>
      </c>
      <c r="I17" s="19" t="str">
        <f t="shared" si="6"/>
        <v/>
      </c>
      <c r="J17" s="42"/>
      <c r="K17" s="90"/>
      <c r="L17" s="97"/>
      <c r="M17" s="97"/>
      <c r="N17" s="97"/>
      <c r="O17" s="97"/>
      <c r="P17" s="97"/>
      <c r="Q17" s="97"/>
      <c r="R17" s="97"/>
      <c r="S17" s="97"/>
      <c r="T17" s="97"/>
    </row>
    <row r="18" spans="1:20" ht="12.75" customHeight="1">
      <c r="A18" s="32" t="str">
        <v>Kohls - Ithaca</v>
      </c>
      <c r="B18" s="29" t="str">
        <v>NY</v>
      </c>
      <c r="C18" s="24"/>
      <c r="D18" s="13"/>
      <c r="E18" s="13" t="str">
        <f t="shared" ref="E18:E69" si="8">IF(AND(ISNUMBER(C18),ISNUMBER(D18)), C18-D18, "")</f>
        <v/>
      </c>
      <c r="F18" s="14" t="str">
        <f t="shared" ref="F18:F69" si="9">IFERROR(E18/D18, "")</f>
        <v/>
      </c>
      <c r="G18" s="15"/>
      <c r="H18" s="15" t="str">
        <f t="shared" ref="H18:H69" si="10">IF(AND(ISNUMBER(C18),ISNUMBER(G18)), C18-G18, "")</f>
        <v/>
      </c>
      <c r="I18" s="16" t="str">
        <f t="shared" si="6"/>
        <v/>
      </c>
      <c r="J18" s="41"/>
      <c r="K18" s="41"/>
      <c r="L18" s="97"/>
      <c r="M18" s="97"/>
      <c r="N18" s="97"/>
      <c r="O18" s="97"/>
      <c r="P18" s="97"/>
      <c r="Q18" s="97"/>
      <c r="R18" s="97"/>
      <c r="S18" s="97"/>
      <c r="T18" s="97"/>
    </row>
    <row r="19" spans="1:20" ht="15.6">
      <c r="A19" s="30" t="str">
        <v>Kohls - Kingston</v>
      </c>
      <c r="B19" s="31" t="str">
        <v>NY</v>
      </c>
      <c r="C19" s="11"/>
      <c r="D19" s="18"/>
      <c r="E19" s="18" t="str">
        <f t="shared" si="8"/>
        <v/>
      </c>
      <c r="F19" s="19" t="str">
        <f t="shared" si="9"/>
        <v/>
      </c>
      <c r="G19" s="20"/>
      <c r="H19" s="20" t="str">
        <f t="shared" si="10"/>
        <v/>
      </c>
      <c r="I19" s="19" t="str">
        <f t="shared" si="6"/>
        <v/>
      </c>
      <c r="J19" s="42"/>
      <c r="K19" s="42"/>
      <c r="L19" s="97"/>
      <c r="M19" s="97"/>
      <c r="N19" s="97"/>
      <c r="O19" s="97"/>
      <c r="P19" s="97"/>
      <c r="Q19" s="97"/>
      <c r="R19" s="97"/>
      <c r="S19" s="97"/>
      <c r="T19" s="97"/>
    </row>
    <row r="20" spans="1:20" ht="15.6">
      <c r="A20" s="28" t="str">
        <v>Kohls - Mechanicsburg</v>
      </c>
      <c r="B20" s="29" t="str">
        <v>PA</v>
      </c>
      <c r="C20" s="24"/>
      <c r="D20" s="13"/>
      <c r="E20" s="13" t="str">
        <f t="shared" si="8"/>
        <v/>
      </c>
      <c r="F20" s="14" t="str">
        <f t="shared" si="9"/>
        <v/>
      </c>
      <c r="G20" s="15"/>
      <c r="H20" s="15" t="str">
        <f t="shared" si="10"/>
        <v/>
      </c>
      <c r="I20" s="16" t="str">
        <f t="shared" si="6"/>
        <v/>
      </c>
      <c r="J20" s="41"/>
      <c r="K20" s="88"/>
      <c r="L20" s="97"/>
      <c r="M20" s="97"/>
      <c r="N20" s="97"/>
      <c r="O20" s="97"/>
      <c r="P20" s="97"/>
      <c r="Q20" s="97"/>
      <c r="R20" s="97"/>
      <c r="S20" s="97"/>
      <c r="T20" s="97"/>
    </row>
    <row r="21" spans="1:20" ht="15.6">
      <c r="A21" s="30" t="str">
        <v>Kohls - Middletown</v>
      </c>
      <c r="B21" s="31" t="str">
        <v>NJ</v>
      </c>
      <c r="C21" s="11"/>
      <c r="D21" s="18"/>
      <c r="E21" s="18" t="str">
        <f t="shared" si="8"/>
        <v/>
      </c>
      <c r="F21" s="19" t="str">
        <f t="shared" si="9"/>
        <v/>
      </c>
      <c r="G21" s="20"/>
      <c r="H21" s="20" t="str">
        <f t="shared" si="10"/>
        <v/>
      </c>
      <c r="I21" s="19" t="str">
        <f t="shared" si="6"/>
        <v/>
      </c>
      <c r="J21" s="42"/>
      <c r="K21" s="87"/>
      <c r="L21" s="97"/>
      <c r="M21" s="97"/>
      <c r="N21" s="97"/>
      <c r="O21" s="97"/>
      <c r="P21" s="97"/>
      <c r="Q21" s="97"/>
      <c r="R21" s="97"/>
      <c r="S21" s="97"/>
      <c r="T21" s="97"/>
    </row>
    <row r="22" spans="1:20" ht="15.6">
      <c r="A22" s="28" t="str">
        <v>Kohls - North Amherst</v>
      </c>
      <c r="B22" s="29" t="str">
        <v>NY</v>
      </c>
      <c r="C22" s="24"/>
      <c r="D22" s="13"/>
      <c r="E22" s="13" t="str">
        <f t="shared" si="8"/>
        <v/>
      </c>
      <c r="F22" s="14" t="str">
        <f t="shared" si="9"/>
        <v/>
      </c>
      <c r="G22" s="15"/>
      <c r="H22" s="15" t="str">
        <f t="shared" si="10"/>
        <v/>
      </c>
      <c r="I22" s="16" t="str">
        <f t="shared" si="6"/>
        <v/>
      </c>
      <c r="J22" s="41"/>
      <c r="K22" s="88"/>
      <c r="L22" s="97"/>
      <c r="M22" s="97"/>
      <c r="N22" s="97"/>
      <c r="O22" s="97"/>
      <c r="P22" s="97"/>
      <c r="Q22" s="97"/>
      <c r="R22" s="97"/>
      <c r="S22" s="97"/>
      <c r="T22" s="97"/>
    </row>
    <row r="23" spans="1:20" ht="15.6">
      <c r="A23" s="30" t="str">
        <v>Kohls - Staten Island</v>
      </c>
      <c r="B23" s="31" t="str">
        <v>NY</v>
      </c>
      <c r="C23" s="11"/>
      <c r="D23" s="18"/>
      <c r="E23" s="18" t="str">
        <f t="shared" si="8"/>
        <v/>
      </c>
      <c r="F23" s="19" t="str">
        <f t="shared" si="9"/>
        <v/>
      </c>
      <c r="G23" s="20"/>
      <c r="H23" s="20" t="str">
        <f t="shared" si="10"/>
        <v/>
      </c>
      <c r="I23" s="19" t="str">
        <f t="shared" si="6"/>
        <v/>
      </c>
      <c r="J23" s="42"/>
      <c r="K23" s="87"/>
      <c r="L23" s="98"/>
      <c r="M23" s="98"/>
      <c r="N23" s="98"/>
      <c r="O23" s="97"/>
      <c r="P23" s="97"/>
      <c r="Q23" s="97"/>
      <c r="R23" s="97"/>
      <c r="S23" s="97"/>
      <c r="T23" s="97"/>
    </row>
    <row r="24" spans="1:20" ht="15.6">
      <c r="A24" s="28" t="str">
        <v>Kohls - Warminster</v>
      </c>
      <c r="B24" s="29" t="str">
        <v>PA</v>
      </c>
      <c r="C24" s="24"/>
      <c r="D24" s="13"/>
      <c r="E24" s="13" t="str">
        <f t="shared" si="8"/>
        <v/>
      </c>
      <c r="F24" s="14" t="str">
        <f t="shared" si="9"/>
        <v/>
      </c>
      <c r="G24" s="15"/>
      <c r="H24" s="15" t="str">
        <f t="shared" si="10"/>
        <v/>
      </c>
      <c r="I24" s="16" t="str">
        <f t="shared" si="6"/>
        <v/>
      </c>
      <c r="J24" s="41"/>
      <c r="K24" s="41"/>
      <c r="L24" s="97"/>
      <c r="M24" s="97"/>
      <c r="N24" s="97"/>
      <c r="O24" s="97"/>
      <c r="P24" s="97"/>
      <c r="Q24" s="97"/>
      <c r="R24" s="97"/>
      <c r="S24" s="97"/>
      <c r="T24" s="97"/>
    </row>
    <row r="25" spans="1:20" ht="15.6">
      <c r="A25" s="30" t="str">
        <v xml:space="preserve">Kohls - Waterbury </v>
      </c>
      <c r="B25" s="31" t="str">
        <v>CT</v>
      </c>
      <c r="C25" s="11"/>
      <c r="D25" s="18"/>
      <c r="E25" s="18" t="str">
        <f t="shared" si="8"/>
        <v/>
      </c>
      <c r="F25" s="19" t="str">
        <f t="shared" si="9"/>
        <v/>
      </c>
      <c r="G25" s="20"/>
      <c r="H25" s="20" t="str">
        <f t="shared" si="10"/>
        <v/>
      </c>
      <c r="I25" s="19" t="str">
        <f t="shared" si="6"/>
        <v/>
      </c>
      <c r="J25" s="42"/>
      <c r="K25" s="43"/>
      <c r="L25" s="97"/>
      <c r="M25" s="97"/>
      <c r="N25" s="97"/>
      <c r="O25" s="97"/>
      <c r="P25" s="97"/>
      <c r="Q25" s="97"/>
      <c r="R25" s="97"/>
      <c r="S25" s="97"/>
      <c r="T25" s="97"/>
    </row>
    <row r="26" spans="1:20" ht="15.6">
      <c r="A26" s="28" t="str">
        <v>Mojave Water Agency - Headquarters</v>
      </c>
      <c r="B26" s="29" t="str">
        <v>CA</v>
      </c>
      <c r="C26" s="24"/>
      <c r="D26" s="13"/>
      <c r="E26" s="13" t="str">
        <f t="shared" si="8"/>
        <v/>
      </c>
      <c r="F26" s="14" t="str">
        <f t="shared" si="9"/>
        <v/>
      </c>
      <c r="G26" s="15"/>
      <c r="H26" s="15" t="str">
        <f t="shared" si="10"/>
        <v/>
      </c>
      <c r="I26" s="16" t="str">
        <f t="shared" si="6"/>
        <v/>
      </c>
      <c r="J26" s="41"/>
      <c r="K26" s="88"/>
      <c r="L26" s="98"/>
      <c r="M26" s="97"/>
      <c r="N26" s="97"/>
      <c r="O26" s="97"/>
      <c r="P26" s="97"/>
      <c r="Q26" s="97"/>
      <c r="R26" s="97"/>
      <c r="S26" s="97"/>
      <c r="T26" s="97"/>
    </row>
    <row r="27" spans="1:20" ht="15.6">
      <c r="A27" s="30" t="str">
        <v>CSU - Bakersfield</v>
      </c>
      <c r="B27" s="31" t="str">
        <v>CA</v>
      </c>
      <c r="C27" s="11"/>
      <c r="D27" s="18"/>
      <c r="E27" s="18" t="str">
        <f t="shared" si="8"/>
        <v/>
      </c>
      <c r="F27" s="19" t="str">
        <f t="shared" si="9"/>
        <v/>
      </c>
      <c r="G27" s="20"/>
      <c r="H27" s="20" t="str">
        <f t="shared" si="10"/>
        <v/>
      </c>
      <c r="I27" s="19" t="str">
        <f t="shared" si="6"/>
        <v/>
      </c>
      <c r="J27" s="42"/>
      <c r="K27" s="43"/>
      <c r="L27" s="97"/>
      <c r="M27" s="97"/>
      <c r="N27" s="97"/>
      <c r="O27" s="97"/>
      <c r="P27" s="97"/>
      <c r="Q27" s="97"/>
      <c r="R27" s="97"/>
      <c r="S27" s="97"/>
      <c r="T27" s="97"/>
    </row>
    <row r="28" spans="1:20" ht="15.6">
      <c r="A28" s="28" t="str">
        <v>Greenfield USD - Fairfield ES</v>
      </c>
      <c r="B28" s="29" t="str">
        <v>CA</v>
      </c>
      <c r="C28" s="24"/>
      <c r="D28" s="13"/>
      <c r="E28" s="13" t="str">
        <f t="shared" si="8"/>
        <v/>
      </c>
      <c r="F28" s="14" t="str">
        <f t="shared" si="9"/>
        <v/>
      </c>
      <c r="G28" s="15"/>
      <c r="H28" s="15" t="str">
        <f t="shared" si="10"/>
        <v/>
      </c>
      <c r="I28" s="16" t="str">
        <f t="shared" si="6"/>
        <v/>
      </c>
      <c r="J28" s="41"/>
      <c r="K28" s="88"/>
      <c r="L28" s="98"/>
      <c r="M28" s="98"/>
      <c r="N28" s="98"/>
      <c r="O28" s="97"/>
      <c r="P28" s="97"/>
      <c r="Q28" s="97"/>
      <c r="R28" s="97"/>
      <c r="S28" s="97"/>
      <c r="T28" s="97"/>
    </row>
    <row r="29" spans="1:20" ht="15.6">
      <c r="A29" s="30" t="str">
        <v>Greenfield USD - Granite Point ES</v>
      </c>
      <c r="B29" s="31" t="str">
        <v>CA</v>
      </c>
      <c r="C29" s="11"/>
      <c r="D29" s="18"/>
      <c r="E29" s="18" t="str">
        <f t="shared" si="8"/>
        <v/>
      </c>
      <c r="F29" s="19" t="str">
        <f t="shared" si="9"/>
        <v/>
      </c>
      <c r="G29" s="20"/>
      <c r="H29" s="20" t="str">
        <f t="shared" si="10"/>
        <v/>
      </c>
      <c r="I29" s="19" t="str">
        <f t="shared" si="6"/>
        <v/>
      </c>
      <c r="J29" s="42"/>
      <c r="K29" s="42"/>
      <c r="L29" s="97"/>
      <c r="M29" s="97"/>
      <c r="N29" s="97"/>
      <c r="O29" s="97"/>
      <c r="P29" s="97"/>
      <c r="Q29" s="97"/>
      <c r="R29" s="97"/>
      <c r="S29" s="97"/>
      <c r="T29" s="97"/>
    </row>
    <row r="30" spans="1:20" ht="15.6">
      <c r="A30" s="28" t="str">
        <v>Greenfield USD - Greenfield MS</v>
      </c>
      <c r="B30" s="29" t="str">
        <v>CA</v>
      </c>
      <c r="C30" s="24"/>
      <c r="D30" s="13"/>
      <c r="E30" s="13" t="str">
        <f t="shared" si="8"/>
        <v/>
      </c>
      <c r="F30" s="14" t="str">
        <f t="shared" si="9"/>
        <v/>
      </c>
      <c r="G30" s="15"/>
      <c r="H30" s="15" t="str">
        <f t="shared" si="10"/>
        <v/>
      </c>
      <c r="I30" s="16" t="str">
        <f t="shared" si="6"/>
        <v/>
      </c>
      <c r="J30" s="41"/>
      <c r="K30" s="41"/>
      <c r="L30" s="97"/>
      <c r="M30" s="97"/>
      <c r="N30" s="97"/>
      <c r="O30" s="97"/>
      <c r="P30" s="97"/>
      <c r="Q30" s="97"/>
      <c r="R30" s="97"/>
      <c r="S30" s="97"/>
      <c r="T30" s="97"/>
    </row>
    <row r="31" spans="1:20" ht="15.6">
      <c r="A31" s="30" t="str">
        <v>Greenfield USD - Horizon ES</v>
      </c>
      <c r="B31" s="31" t="str">
        <v>CA</v>
      </c>
      <c r="C31" s="11"/>
      <c r="D31" s="18"/>
      <c r="E31" s="18" t="str">
        <f t="shared" si="8"/>
        <v/>
      </c>
      <c r="F31" s="19" t="str">
        <f t="shared" si="9"/>
        <v/>
      </c>
      <c r="G31" s="20"/>
      <c r="H31" s="20" t="str">
        <f t="shared" si="10"/>
        <v/>
      </c>
      <c r="I31" s="19" t="str">
        <f t="shared" si="6"/>
        <v/>
      </c>
      <c r="J31" s="42"/>
      <c r="K31" s="90"/>
      <c r="L31" s="97"/>
      <c r="M31" s="97"/>
      <c r="N31" s="97"/>
      <c r="O31" s="97"/>
      <c r="P31" s="97"/>
      <c r="Q31" s="97"/>
      <c r="R31" s="97"/>
      <c r="S31" s="97"/>
      <c r="T31" s="97"/>
    </row>
    <row r="32" spans="1:20" ht="15.6">
      <c r="A32" s="28" t="str">
        <v>Greenfield USD - McKee MS</v>
      </c>
      <c r="B32" s="29" t="str">
        <v>CA</v>
      </c>
      <c r="C32" s="24"/>
      <c r="D32" s="13"/>
      <c r="E32" s="13" t="str">
        <f t="shared" si="8"/>
        <v/>
      </c>
      <c r="F32" s="14" t="str">
        <f t="shared" si="9"/>
        <v/>
      </c>
      <c r="G32" s="15"/>
      <c r="H32" s="15" t="str">
        <f t="shared" si="10"/>
        <v/>
      </c>
      <c r="I32" s="16" t="str">
        <f t="shared" si="6"/>
        <v/>
      </c>
      <c r="J32" s="41"/>
      <c r="K32" s="41"/>
      <c r="L32" s="97"/>
      <c r="M32" s="97"/>
      <c r="N32" s="97"/>
      <c r="O32" s="97"/>
      <c r="P32" s="97"/>
      <c r="Q32" s="97"/>
      <c r="R32" s="97"/>
      <c r="S32" s="97"/>
      <c r="T32" s="97"/>
    </row>
    <row r="33" spans="1:20" ht="15.6">
      <c r="A33" s="30" t="str">
        <v>Greenfield USD - Plantation ES</v>
      </c>
      <c r="B33" s="31" t="str">
        <v>CA</v>
      </c>
      <c r="C33" s="11"/>
      <c r="D33" s="18"/>
      <c r="E33" s="18" t="str">
        <f t="shared" si="8"/>
        <v/>
      </c>
      <c r="F33" s="19" t="str">
        <f t="shared" si="9"/>
        <v/>
      </c>
      <c r="G33" s="20"/>
      <c r="H33" s="20" t="str">
        <f t="shared" si="10"/>
        <v/>
      </c>
      <c r="I33" s="19" t="str">
        <f t="shared" si="6"/>
        <v/>
      </c>
      <c r="J33" s="42"/>
      <c r="K33" s="43"/>
      <c r="L33" s="97"/>
      <c r="M33" s="97"/>
      <c r="N33" s="97"/>
      <c r="O33" s="97"/>
      <c r="P33" s="97"/>
      <c r="Q33" s="97"/>
      <c r="R33" s="97"/>
      <c r="S33" s="97"/>
      <c r="T33" s="97"/>
    </row>
    <row r="34" spans="1:20" ht="15.6">
      <c r="A34" s="28" t="str">
        <v>Greenfield USD - Planz ES</v>
      </c>
      <c r="B34" s="29" t="str">
        <v>CA</v>
      </c>
      <c r="C34" s="24"/>
      <c r="D34" s="13"/>
      <c r="E34" s="13" t="str">
        <f t="shared" si="8"/>
        <v/>
      </c>
      <c r="F34" s="14" t="str">
        <f t="shared" si="9"/>
        <v/>
      </c>
      <c r="G34" s="15"/>
      <c r="H34" s="15" t="str">
        <f t="shared" si="10"/>
        <v/>
      </c>
      <c r="I34" s="16" t="str">
        <f t="shared" si="6"/>
        <v/>
      </c>
      <c r="J34" s="41"/>
      <c r="K34" s="88"/>
      <c r="L34" s="98"/>
      <c r="M34" s="98"/>
      <c r="N34" s="97"/>
      <c r="O34" s="97"/>
      <c r="P34" s="97"/>
      <c r="Q34" s="97"/>
      <c r="R34" s="97"/>
      <c r="S34" s="97"/>
      <c r="T34" s="97"/>
    </row>
    <row r="35" spans="1:20" ht="15.6">
      <c r="A35" s="30" t="str">
        <v>Greenfield USD - Raffaello Palla ES</v>
      </c>
      <c r="B35" s="31" t="str">
        <v>CA</v>
      </c>
      <c r="C35" s="11"/>
      <c r="D35" s="18"/>
      <c r="E35" s="18" t="str">
        <f t="shared" si="8"/>
        <v/>
      </c>
      <c r="F35" s="19" t="str">
        <f t="shared" si="9"/>
        <v/>
      </c>
      <c r="G35" s="20"/>
      <c r="H35" s="20" t="str">
        <f t="shared" si="10"/>
        <v/>
      </c>
      <c r="I35" s="19" t="str">
        <f t="shared" si="6"/>
        <v/>
      </c>
      <c r="J35" s="42"/>
      <c r="K35" s="87"/>
      <c r="L35" s="98"/>
      <c r="M35" s="97"/>
      <c r="N35" s="97"/>
      <c r="O35" s="97"/>
      <c r="P35" s="97"/>
      <c r="Q35" s="97"/>
      <c r="R35" s="97"/>
      <c r="S35" s="97"/>
      <c r="T35" s="97"/>
    </row>
    <row r="36" spans="1:20" ht="15.6">
      <c r="A36" s="28" t="str">
        <v>Greenfield USD - Valle Verde ES</v>
      </c>
      <c r="B36" s="29" t="str">
        <v>CA</v>
      </c>
      <c r="C36" s="24"/>
      <c r="D36" s="13"/>
      <c r="E36" s="13" t="str">
        <f t="shared" si="8"/>
        <v/>
      </c>
      <c r="F36" s="14" t="str">
        <f t="shared" si="9"/>
        <v/>
      </c>
      <c r="G36" s="15"/>
      <c r="H36" s="15" t="str">
        <f t="shared" si="10"/>
        <v/>
      </c>
      <c r="I36" s="16" t="str">
        <f t="shared" si="6"/>
        <v/>
      </c>
      <c r="J36" s="41"/>
      <c r="K36" s="41"/>
      <c r="L36" s="97"/>
      <c r="M36" s="97"/>
      <c r="N36" s="97"/>
      <c r="O36" s="97"/>
      <c r="P36" s="97"/>
      <c r="Q36" s="97"/>
      <c r="R36" s="97"/>
      <c r="S36" s="97"/>
      <c r="T36" s="97"/>
    </row>
    <row r="37" spans="1:20" ht="15.6">
      <c r="A37" s="30" t="str">
        <v>Greenfield USD - W.A. Kendrick ES</v>
      </c>
      <c r="B37" s="31" t="str">
        <v>CA</v>
      </c>
      <c r="C37" s="11"/>
      <c r="D37" s="18"/>
      <c r="E37" s="18" t="str">
        <f t="shared" si="8"/>
        <v/>
      </c>
      <c r="F37" s="19" t="str">
        <f t="shared" si="9"/>
        <v/>
      </c>
      <c r="G37" s="20"/>
      <c r="H37" s="20" t="str">
        <f t="shared" si="10"/>
        <v/>
      </c>
      <c r="I37" s="19" t="str">
        <f t="shared" si="6"/>
        <v/>
      </c>
      <c r="J37" s="42"/>
      <c r="K37" s="87"/>
      <c r="L37" s="98"/>
      <c r="M37" s="97"/>
      <c r="N37" s="97"/>
      <c r="O37" s="97"/>
      <c r="P37" s="97"/>
      <c r="Q37" s="97"/>
      <c r="R37" s="97"/>
      <c r="S37" s="97"/>
      <c r="T37" s="97"/>
    </row>
    <row r="38" spans="1:20" ht="15.6">
      <c r="A38" s="28" t="str">
        <v>Muroc Joint USD - Boron HS</v>
      </c>
      <c r="B38" s="29" t="str">
        <v>CA</v>
      </c>
      <c r="C38" s="24"/>
      <c r="D38" s="13"/>
      <c r="E38" s="13" t="str">
        <f t="shared" si="8"/>
        <v/>
      </c>
      <c r="F38" s="14" t="str">
        <f t="shared" si="9"/>
        <v/>
      </c>
      <c r="G38" s="15"/>
      <c r="H38" s="15" t="str">
        <f t="shared" si="10"/>
        <v/>
      </c>
      <c r="I38" s="16" t="str">
        <f t="shared" si="6"/>
        <v/>
      </c>
      <c r="J38" s="41"/>
      <c r="K38" s="88"/>
      <c r="L38" s="97"/>
      <c r="M38" s="97"/>
      <c r="N38" s="97"/>
      <c r="O38" s="97"/>
      <c r="P38" s="97"/>
      <c r="Q38" s="97"/>
      <c r="R38" s="97"/>
      <c r="S38" s="97"/>
      <c r="T38" s="97"/>
    </row>
    <row r="39" spans="1:20" ht="15.6">
      <c r="A39" s="30" t="str">
        <v>Muroc Joint USD - W. Boron ES</v>
      </c>
      <c r="B39" s="31" t="str">
        <v>CA</v>
      </c>
      <c r="C39" s="11"/>
      <c r="D39" s="18"/>
      <c r="E39" s="18" t="str">
        <f t="shared" si="8"/>
        <v/>
      </c>
      <c r="F39" s="19" t="str">
        <f t="shared" si="9"/>
        <v/>
      </c>
      <c r="G39" s="20"/>
      <c r="H39" s="20" t="str">
        <f t="shared" si="10"/>
        <v/>
      </c>
      <c r="I39" s="19" t="str">
        <f t="shared" si="6"/>
        <v/>
      </c>
      <c r="J39" s="42"/>
      <c r="K39" s="43"/>
      <c r="L39" s="97"/>
      <c r="M39" s="97"/>
      <c r="N39" s="97"/>
      <c r="O39" s="97"/>
      <c r="P39" s="97"/>
      <c r="Q39" s="97"/>
      <c r="R39" s="97"/>
      <c r="S39" s="97"/>
      <c r="T39" s="97"/>
    </row>
    <row r="40" spans="1:20" ht="15.6">
      <c r="A40" s="28" t="str">
        <v>Colusa - WTP</v>
      </c>
      <c r="B40" s="29" t="str">
        <v>CA</v>
      </c>
      <c r="C40" s="24"/>
      <c r="D40" s="13"/>
      <c r="E40" s="13" t="str">
        <f t="shared" si="8"/>
        <v/>
      </c>
      <c r="F40" s="14" t="str">
        <f t="shared" si="9"/>
        <v/>
      </c>
      <c r="G40" s="15"/>
      <c r="H40" s="15" t="str">
        <f t="shared" si="10"/>
        <v/>
      </c>
      <c r="I40" s="16" t="str">
        <f t="shared" si="6"/>
        <v/>
      </c>
      <c r="J40" s="41"/>
      <c r="K40" s="88"/>
      <c r="L40" s="98"/>
      <c r="M40" s="97"/>
      <c r="N40" s="97"/>
      <c r="O40" s="97"/>
      <c r="P40" s="97"/>
      <c r="Q40" s="97"/>
      <c r="R40" s="97"/>
      <c r="S40" s="97"/>
      <c r="T40" s="97"/>
    </row>
    <row r="41" spans="1:20" ht="15.6">
      <c r="A41" s="30" t="str">
        <v>CDCR-North Kern State Prision</v>
      </c>
      <c r="B41" s="31" t="str">
        <v>CA</v>
      </c>
      <c r="C41" s="11"/>
      <c r="D41" s="18"/>
      <c r="E41" s="18" t="str">
        <f t="shared" si="8"/>
        <v/>
      </c>
      <c r="F41" s="19" t="str">
        <f t="shared" si="9"/>
        <v/>
      </c>
      <c r="G41" s="20"/>
      <c r="H41" s="20" t="str">
        <f t="shared" si="10"/>
        <v/>
      </c>
      <c r="I41" s="19" t="str">
        <f t="shared" si="6"/>
        <v/>
      </c>
      <c r="J41" s="42"/>
      <c r="K41" s="87"/>
      <c r="L41" s="98"/>
      <c r="M41" s="98"/>
      <c r="N41" s="98"/>
      <c r="O41" s="98"/>
      <c r="P41" s="97"/>
      <c r="Q41" s="97"/>
      <c r="R41" s="97"/>
      <c r="S41" s="97"/>
      <c r="T41" s="97"/>
    </row>
    <row r="42" spans="1:20" ht="15.6">
      <c r="A42" s="28" t="str">
        <v>Muroc Joint USD - District Office</v>
      </c>
      <c r="B42" s="29" t="str">
        <v>CA</v>
      </c>
      <c r="C42" s="24"/>
      <c r="D42" s="13"/>
      <c r="E42" s="13" t="str">
        <f t="shared" si="8"/>
        <v/>
      </c>
      <c r="F42" s="14" t="str">
        <f t="shared" si="9"/>
        <v/>
      </c>
      <c r="G42" s="15"/>
      <c r="H42" s="15" t="str">
        <f t="shared" si="10"/>
        <v/>
      </c>
      <c r="I42" s="16" t="str">
        <f t="shared" si="6"/>
        <v/>
      </c>
      <c r="J42" s="41"/>
      <c r="K42" s="41"/>
      <c r="L42" s="97"/>
      <c r="M42" s="97"/>
      <c r="N42" s="97"/>
      <c r="O42" s="97"/>
      <c r="P42" s="97"/>
      <c r="Q42" s="97"/>
      <c r="R42" s="97"/>
      <c r="S42" s="97"/>
      <c r="T42" s="97"/>
    </row>
    <row r="43" spans="1:20" ht="15.6">
      <c r="A43" s="30" t="str">
        <v>Whole Foods - Manhattan Beach</v>
      </c>
      <c r="B43" s="31" t="str">
        <v>CA</v>
      </c>
      <c r="C43" s="11"/>
      <c r="D43" s="18"/>
      <c r="E43" s="18" t="str">
        <f t="shared" si="8"/>
        <v/>
      </c>
      <c r="F43" s="19" t="str">
        <f t="shared" si="9"/>
        <v/>
      </c>
      <c r="G43" s="20"/>
      <c r="H43" s="20" t="str">
        <f t="shared" si="10"/>
        <v/>
      </c>
      <c r="I43" s="19" t="str">
        <f t="shared" si="6"/>
        <v/>
      </c>
      <c r="J43" s="42"/>
      <c r="K43" s="87"/>
      <c r="L43" s="98"/>
      <c r="M43" s="98"/>
      <c r="N43" s="98"/>
      <c r="O43" s="98"/>
      <c r="P43" s="98"/>
      <c r="Q43" s="98"/>
      <c r="R43" s="98"/>
      <c r="S43" s="98" t="s">
        <v>97</v>
      </c>
      <c r="T43" s="98" t="s">
        <v>100</v>
      </c>
    </row>
    <row r="44" spans="1:20" ht="15.6">
      <c r="A44" s="28" t="str">
        <v>Pioneer USD - Frontier ES</v>
      </c>
      <c r="B44" s="29" t="str">
        <v>CA</v>
      </c>
      <c r="C44" s="24"/>
      <c r="D44" s="13"/>
      <c r="E44" s="13" t="str">
        <f t="shared" si="8"/>
        <v/>
      </c>
      <c r="F44" s="14" t="str">
        <f t="shared" si="9"/>
        <v/>
      </c>
      <c r="G44" s="15"/>
      <c r="H44" s="15" t="str">
        <f t="shared" si="10"/>
        <v/>
      </c>
      <c r="I44" s="16" t="str">
        <f t="shared" si="6"/>
        <v/>
      </c>
      <c r="J44" s="41"/>
      <c r="K44" s="88"/>
      <c r="L44" s="98"/>
      <c r="M44" s="97"/>
      <c r="N44" s="97"/>
      <c r="O44" s="97"/>
      <c r="P44" s="97"/>
      <c r="Q44" s="97"/>
      <c r="R44" s="97"/>
      <c r="S44" s="97"/>
      <c r="T44" s="97"/>
    </row>
    <row r="45" spans="1:20" ht="15.6">
      <c r="A45" s="30" t="str">
        <v>Pioneer USD - Pioneer ES</v>
      </c>
      <c r="B45" s="31" t="str">
        <v>CA</v>
      </c>
      <c r="C45" s="11"/>
      <c r="D45" s="18"/>
      <c r="E45" s="18" t="str">
        <f t="shared" si="8"/>
        <v/>
      </c>
      <c r="F45" s="19" t="str">
        <f t="shared" si="9"/>
        <v/>
      </c>
      <c r="G45" s="20"/>
      <c r="H45" s="20" t="str">
        <f t="shared" si="10"/>
        <v/>
      </c>
      <c r="I45" s="19" t="str">
        <f t="shared" si="6"/>
        <v/>
      </c>
      <c r="J45" s="42"/>
      <c r="K45" s="92"/>
      <c r="L45" s="98"/>
      <c r="M45" s="97"/>
      <c r="N45" s="97"/>
      <c r="O45" s="97"/>
      <c r="P45" s="97"/>
      <c r="Q45" s="97"/>
      <c r="R45" s="97"/>
      <c r="S45" s="97"/>
      <c r="T45" s="97"/>
    </row>
    <row r="46" spans="1:20" ht="15.6">
      <c r="A46" s="28" t="str">
        <v>Pioneer USD - Pioneer MS</v>
      </c>
      <c r="B46" s="29" t="str">
        <v>CA</v>
      </c>
      <c r="C46" s="24"/>
      <c r="D46" s="13"/>
      <c r="E46" s="13" t="str">
        <f t="shared" si="8"/>
        <v/>
      </c>
      <c r="F46" s="14" t="str">
        <f t="shared" si="9"/>
        <v/>
      </c>
      <c r="G46" s="15"/>
      <c r="H46" s="15" t="str">
        <f t="shared" si="10"/>
        <v/>
      </c>
      <c r="I46" s="16" t="str">
        <f t="shared" si="6"/>
        <v/>
      </c>
      <c r="J46" s="41"/>
      <c r="K46" s="41"/>
      <c r="L46" s="97"/>
      <c r="M46" s="97"/>
      <c r="N46" s="97"/>
      <c r="O46" s="97"/>
      <c r="P46" s="97"/>
      <c r="Q46" s="97"/>
      <c r="R46" s="97"/>
      <c r="S46" s="97"/>
      <c r="T46" s="97"/>
    </row>
    <row r="47" spans="1:20" ht="15.6">
      <c r="A47" s="30" t="str">
        <v>Kingsburg Joint UHSD - Kingsburg HS</v>
      </c>
      <c r="B47" s="31" t="str">
        <v>CA</v>
      </c>
      <c r="C47" s="11"/>
      <c r="D47" s="18"/>
      <c r="E47" s="18" t="str">
        <f t="shared" si="8"/>
        <v/>
      </c>
      <c r="F47" s="19" t="str">
        <f t="shared" si="9"/>
        <v/>
      </c>
      <c r="G47" s="20"/>
      <c r="H47" s="20" t="str">
        <f t="shared" si="10"/>
        <v/>
      </c>
      <c r="I47" s="19" t="str">
        <f t="shared" si="6"/>
        <v/>
      </c>
      <c r="J47" s="42"/>
      <c r="K47" s="87"/>
      <c r="L47" s="98"/>
      <c r="M47" s="98"/>
      <c r="N47" s="98"/>
      <c r="O47" s="97"/>
      <c r="P47" s="97"/>
      <c r="Q47" s="97"/>
      <c r="R47" s="97"/>
      <c r="S47" s="97"/>
      <c r="T47" s="97"/>
    </row>
    <row r="48" spans="1:20" ht="15.6">
      <c r="A48" s="28" t="str">
        <v>CADRB</v>
      </c>
      <c r="B48" s="29" t="str">
        <v>CA</v>
      </c>
      <c r="C48" s="24"/>
      <c r="D48" s="13"/>
      <c r="E48" s="13" t="str">
        <f t="shared" si="8"/>
        <v/>
      </c>
      <c r="F48" s="14" t="str">
        <f t="shared" si="9"/>
        <v/>
      </c>
      <c r="G48" s="15"/>
      <c r="H48" s="15" t="str">
        <f t="shared" si="10"/>
        <v/>
      </c>
      <c r="I48" s="16" t="str">
        <f t="shared" si="6"/>
        <v/>
      </c>
      <c r="J48" s="41"/>
      <c r="K48" s="88"/>
      <c r="L48" s="98"/>
      <c r="M48" s="98"/>
      <c r="N48" s="98"/>
      <c r="O48" s="98"/>
      <c r="P48" s="98"/>
      <c r="Q48" s="98"/>
      <c r="R48" s="97"/>
      <c r="S48" s="97"/>
      <c r="T48" s="97"/>
    </row>
    <row r="49" spans="1:20" ht="15.6">
      <c r="A49" s="30" t="str">
        <v>CDCR-CA State Prison LA County</v>
      </c>
      <c r="B49" s="31" t="str">
        <v>CA</v>
      </c>
      <c r="C49" s="11"/>
      <c r="D49" s="18"/>
      <c r="E49" s="18" t="str">
        <f t="shared" si="8"/>
        <v/>
      </c>
      <c r="F49" s="19" t="str">
        <f t="shared" si="9"/>
        <v/>
      </c>
      <c r="G49" s="20"/>
      <c r="H49" s="20" t="str">
        <f t="shared" si="10"/>
        <v/>
      </c>
      <c r="I49" s="19" t="str">
        <f t="shared" si="6"/>
        <v/>
      </c>
      <c r="J49" s="42"/>
      <c r="K49" s="87"/>
      <c r="L49" s="98"/>
      <c r="M49" s="97"/>
      <c r="N49" s="97"/>
      <c r="O49" s="97"/>
      <c r="P49" s="97"/>
      <c r="Q49" s="97"/>
      <c r="R49" s="97"/>
      <c r="S49" s="97"/>
      <c r="T49" s="97"/>
    </row>
    <row r="50" spans="1:20" ht="15.6">
      <c r="A50" s="28" t="str">
        <v>Central USD Akers ES</v>
      </c>
      <c r="B50" s="29" t="str">
        <v>CA</v>
      </c>
      <c r="C50" s="24"/>
      <c r="D50" s="13"/>
      <c r="E50" s="13" t="str">
        <f t="shared" si="8"/>
        <v/>
      </c>
      <c r="F50" s="14" t="str">
        <f t="shared" si="9"/>
        <v/>
      </c>
      <c r="G50" s="15"/>
      <c r="H50" s="15" t="str">
        <f t="shared" si="10"/>
        <v/>
      </c>
      <c r="I50" s="16" t="str">
        <f t="shared" si="6"/>
        <v/>
      </c>
      <c r="J50" s="41"/>
      <c r="K50" s="88"/>
      <c r="L50" s="98"/>
      <c r="M50" s="98"/>
      <c r="N50" s="97"/>
      <c r="O50" s="97"/>
      <c r="P50" s="97"/>
      <c r="Q50" s="97"/>
      <c r="R50" s="97"/>
      <c r="S50" s="97"/>
      <c r="T50" s="97"/>
    </row>
    <row r="51" spans="1:20" ht="15.6">
      <c r="A51" s="30" t="str">
        <v>CUSD - District Office</v>
      </c>
      <c r="B51" s="31" t="str">
        <v>CA</v>
      </c>
      <c r="C51" s="11"/>
      <c r="D51" s="18"/>
      <c r="E51" s="18" t="str">
        <f t="shared" si="8"/>
        <v/>
      </c>
      <c r="F51" s="19" t="str">
        <f t="shared" si="9"/>
        <v/>
      </c>
      <c r="G51" s="20"/>
      <c r="H51" s="20" t="str">
        <f t="shared" si="10"/>
        <v/>
      </c>
      <c r="I51" s="19" t="str">
        <f t="shared" si="6"/>
        <v/>
      </c>
      <c r="J51" s="42"/>
      <c r="K51" s="87"/>
      <c r="L51" s="97"/>
      <c r="M51" s="97"/>
      <c r="N51" s="97"/>
      <c r="O51" s="97"/>
      <c r="P51" s="97"/>
      <c r="Q51" s="97"/>
      <c r="R51" s="97"/>
      <c r="S51" s="97"/>
      <c r="T51" s="97"/>
    </row>
    <row r="52" spans="1:20" ht="15.6">
      <c r="A52" s="28" t="str">
        <v>Parlier - WTP</v>
      </c>
      <c r="B52" s="29" t="str">
        <v>CA</v>
      </c>
      <c r="C52" s="24"/>
      <c r="D52" s="13"/>
      <c r="E52" s="13" t="str">
        <f t="shared" si="8"/>
        <v/>
      </c>
      <c r="F52" s="14" t="str">
        <f t="shared" si="9"/>
        <v/>
      </c>
      <c r="G52" s="15"/>
      <c r="H52" s="15" t="str">
        <f t="shared" si="10"/>
        <v/>
      </c>
      <c r="I52" s="16" t="str">
        <f t="shared" si="6"/>
        <v/>
      </c>
      <c r="J52" s="41"/>
      <c r="K52" s="41"/>
      <c r="L52" s="97"/>
      <c r="M52" s="97"/>
      <c r="N52" s="97"/>
      <c r="O52" s="97"/>
      <c r="P52" s="97"/>
      <c r="Q52" s="97"/>
      <c r="R52" s="97"/>
      <c r="S52" s="97"/>
      <c r="T52" s="97"/>
    </row>
    <row r="53" spans="1:20" ht="15.6">
      <c r="A53" s="30" t="str">
        <v>Snowline SD - Quail Valley MS</v>
      </c>
      <c r="B53" s="31" t="str">
        <v>CA</v>
      </c>
      <c r="C53" s="11"/>
      <c r="D53" s="18"/>
      <c r="E53" s="18" t="str">
        <f>IF(AND(ISNUMBER(C53),ISNUMBER(D52)), C53-D52, "")</f>
        <v/>
      </c>
      <c r="F53" s="19" t="str">
        <f>IFERROR(E53/D52, "")</f>
        <v/>
      </c>
      <c r="G53" s="20"/>
      <c r="H53" s="20" t="str">
        <f t="shared" si="10"/>
        <v/>
      </c>
      <c r="I53" s="19" t="str">
        <f t="shared" si="6"/>
        <v/>
      </c>
      <c r="J53" s="42"/>
      <c r="K53" s="87"/>
      <c r="L53" s="97"/>
      <c r="M53" s="97"/>
      <c r="N53" s="97"/>
      <c r="O53" s="97"/>
      <c r="P53" s="97"/>
      <c r="Q53" s="97"/>
      <c r="R53" s="97"/>
      <c r="S53" s="97"/>
      <c r="T53" s="97"/>
    </row>
    <row r="54" spans="1:20" ht="15.6">
      <c r="A54" s="28" t="str">
        <v>Snowline SD - Serrano HS - Middle Lot</v>
      </c>
      <c r="B54" s="29" t="str">
        <v>CA</v>
      </c>
      <c r="C54" s="24"/>
      <c r="D54" s="13"/>
      <c r="E54" s="13" t="str">
        <f t="shared" si="8"/>
        <v/>
      </c>
      <c r="F54" s="14" t="str">
        <f t="shared" si="9"/>
        <v/>
      </c>
      <c r="G54" s="15"/>
      <c r="H54" s="15" t="str">
        <f t="shared" si="10"/>
        <v/>
      </c>
      <c r="I54" s="16" t="str">
        <f t="shared" si="6"/>
        <v/>
      </c>
      <c r="J54" s="41"/>
      <c r="K54" s="41"/>
      <c r="L54" s="97"/>
      <c r="M54" s="97"/>
      <c r="N54" s="97"/>
      <c r="O54" s="97"/>
      <c r="P54" s="97"/>
      <c r="Q54" s="97"/>
      <c r="R54" s="97"/>
      <c r="S54" s="97"/>
      <c r="T54" s="97"/>
    </row>
    <row r="55" spans="1:20" ht="15.6">
      <c r="A55" s="30" t="str">
        <v>Snowline SD - Pinon Hills ES</v>
      </c>
      <c r="B55" s="31" t="str">
        <v>CA</v>
      </c>
      <c r="C55" s="11"/>
      <c r="D55" s="18"/>
      <c r="E55" s="18" t="str">
        <f t="shared" si="8"/>
        <v/>
      </c>
      <c r="F55" s="19" t="str">
        <f t="shared" si="9"/>
        <v/>
      </c>
      <c r="G55" s="20"/>
      <c r="H55" s="20" t="str">
        <f t="shared" si="10"/>
        <v/>
      </c>
      <c r="I55" s="19" t="str">
        <f t="shared" si="6"/>
        <v/>
      </c>
      <c r="J55" s="80"/>
      <c r="K55" s="87"/>
      <c r="L55" s="97"/>
      <c r="M55" s="97"/>
      <c r="N55" s="97"/>
      <c r="O55" s="97"/>
      <c r="P55" s="97"/>
      <c r="Q55" s="97"/>
      <c r="R55" s="97"/>
      <c r="S55" s="97"/>
      <c r="T55" s="97"/>
    </row>
    <row r="56" spans="1:20" ht="15.6">
      <c r="A56" s="28" t="str">
        <v>Ramona - Santa Maria WTP</v>
      </c>
      <c r="B56" s="29" t="str">
        <v>CA</v>
      </c>
      <c r="C56" s="24"/>
      <c r="D56" s="13"/>
      <c r="E56" s="13" t="str">
        <f t="shared" si="8"/>
        <v/>
      </c>
      <c r="F56" s="14" t="str">
        <f t="shared" si="9"/>
        <v/>
      </c>
      <c r="G56" s="15"/>
      <c r="H56" s="15" t="str">
        <f t="shared" si="10"/>
        <v/>
      </c>
      <c r="I56" s="16" t="str">
        <f t="shared" si="6"/>
        <v/>
      </c>
      <c r="J56" s="41"/>
      <c r="K56" s="41"/>
      <c r="L56" s="97"/>
      <c r="M56" s="97"/>
      <c r="N56" s="97"/>
      <c r="O56" s="97"/>
      <c r="P56" s="97"/>
      <c r="Q56" s="97"/>
      <c r="R56" s="97"/>
      <c r="S56" s="97"/>
      <c r="T56" s="97"/>
    </row>
    <row r="57" spans="1:20" ht="15.6">
      <c r="A57" s="30" t="str">
        <v>Kohls - Redding</v>
      </c>
      <c r="B57" s="31" t="str">
        <v>CA</v>
      </c>
      <c r="C57" s="11"/>
      <c r="D57" s="18"/>
      <c r="E57" s="18" t="str">
        <f t="shared" si="8"/>
        <v/>
      </c>
      <c r="F57" s="19" t="str">
        <f t="shared" si="9"/>
        <v/>
      </c>
      <c r="G57" s="20"/>
      <c r="H57" s="20" t="str">
        <f t="shared" si="10"/>
        <v/>
      </c>
      <c r="I57" s="19" t="str">
        <f t="shared" si="6"/>
        <v/>
      </c>
      <c r="J57" s="42"/>
      <c r="K57" s="87"/>
      <c r="L57" s="97"/>
      <c r="M57" s="97"/>
      <c r="N57" s="97"/>
      <c r="O57" s="97"/>
      <c r="P57" s="97"/>
      <c r="Q57" s="97"/>
      <c r="R57" s="97"/>
      <c r="S57" s="97"/>
      <c r="T57" s="97"/>
    </row>
    <row r="58" spans="1:20" ht="15.6">
      <c r="A58" s="28" t="str">
        <v>Kohls - Salinas</v>
      </c>
      <c r="B58" s="29" t="str">
        <v>CA</v>
      </c>
      <c r="C58" s="24"/>
      <c r="D58" s="13"/>
      <c r="E58" s="13" t="str">
        <f t="shared" si="8"/>
        <v/>
      </c>
      <c r="F58" s="14" t="str">
        <f t="shared" si="9"/>
        <v/>
      </c>
      <c r="G58" s="15"/>
      <c r="H58" s="15" t="str">
        <f t="shared" si="10"/>
        <v/>
      </c>
      <c r="I58" s="16" t="str">
        <f t="shared" si="6"/>
        <v/>
      </c>
      <c r="J58" s="41"/>
      <c r="K58" s="88"/>
      <c r="L58" s="98"/>
      <c r="M58" s="98"/>
      <c r="N58" s="98"/>
      <c r="O58" s="98"/>
      <c r="P58" s="98"/>
      <c r="Q58" s="98"/>
      <c r="R58" s="98"/>
      <c r="S58" s="98" t="s">
        <v>191</v>
      </c>
      <c r="T58" s="97"/>
    </row>
    <row r="59" spans="1:20" s="111" customFormat="1" ht="15.6" hidden="1">
      <c r="A59" s="103" t="str">
        <v>Kohls - Sonora</v>
      </c>
      <c r="B59" s="104" t="str">
        <v>CA</v>
      </c>
      <c r="C59" s="105"/>
      <c r="D59" s="106"/>
      <c r="E59" s="106" t="str">
        <f t="shared" si="8"/>
        <v/>
      </c>
      <c r="F59" s="107" t="str">
        <f t="shared" si="9"/>
        <v/>
      </c>
      <c r="G59" s="108"/>
      <c r="H59" s="108" t="str">
        <f t="shared" si="10"/>
        <v/>
      </c>
      <c r="I59" s="107" t="str">
        <f t="shared" si="6"/>
        <v/>
      </c>
      <c r="J59" s="109"/>
      <c r="K59" s="110"/>
      <c r="L59" s="112"/>
      <c r="M59" s="112"/>
      <c r="N59" s="112"/>
      <c r="O59" s="112"/>
      <c r="P59" s="112"/>
      <c r="Q59" s="112"/>
      <c r="R59" s="112"/>
      <c r="S59" s="112"/>
      <c r="T59" s="112"/>
    </row>
    <row r="60" spans="1:20" ht="15.6">
      <c r="A60" s="28" t="str">
        <v>CUSD - Stratford ES</v>
      </c>
      <c r="B60" s="29" t="str">
        <v>CA</v>
      </c>
      <c r="C60" s="24"/>
      <c r="D60" s="13"/>
      <c r="E60" s="13" t="str">
        <f t="shared" si="8"/>
        <v/>
      </c>
      <c r="F60" s="14" t="str">
        <f t="shared" si="9"/>
        <v/>
      </c>
      <c r="G60" s="15"/>
      <c r="H60" s="15" t="str">
        <f t="shared" si="10"/>
        <v/>
      </c>
      <c r="I60" s="16" t="str">
        <f t="shared" si="6"/>
        <v/>
      </c>
      <c r="J60" s="41"/>
      <c r="K60" s="88"/>
      <c r="L60" s="98"/>
      <c r="M60" s="98"/>
      <c r="N60" s="98"/>
      <c r="O60" s="98"/>
      <c r="P60" s="98"/>
      <c r="Q60" s="97"/>
      <c r="R60" s="97"/>
      <c r="S60" s="97"/>
      <c r="T60" s="97"/>
    </row>
    <row r="61" spans="1:20" ht="15.6">
      <c r="A61" s="30" t="str">
        <v>Taft - City Hall</v>
      </c>
      <c r="B61" s="31" t="str">
        <v>CA</v>
      </c>
      <c r="C61" s="11"/>
      <c r="D61" s="18"/>
      <c r="E61" s="18" t="str">
        <f t="shared" si="8"/>
        <v/>
      </c>
      <c r="F61" s="19" t="str">
        <f t="shared" si="9"/>
        <v/>
      </c>
      <c r="G61" s="20"/>
      <c r="H61" s="20" t="str">
        <f t="shared" si="10"/>
        <v/>
      </c>
      <c r="I61" s="19" t="str">
        <f t="shared" si="6"/>
        <v/>
      </c>
      <c r="J61" s="42"/>
      <c r="K61" s="87"/>
      <c r="L61" s="97"/>
      <c r="M61" s="97"/>
      <c r="N61" s="97"/>
      <c r="O61" s="97"/>
      <c r="P61" s="97"/>
      <c r="Q61" s="97"/>
      <c r="R61" s="97"/>
      <c r="S61" s="97"/>
      <c r="T61" s="97"/>
    </row>
    <row r="62" spans="1:20" ht="15.6">
      <c r="A62" s="28" t="str">
        <v>Taft - Federal Prison</v>
      </c>
      <c r="B62" s="29" t="str">
        <v>CA</v>
      </c>
      <c r="C62" s="24"/>
      <c r="D62" s="13"/>
      <c r="E62" s="13" t="str">
        <f t="shared" si="8"/>
        <v/>
      </c>
      <c r="F62" s="14" t="str">
        <f t="shared" si="9"/>
        <v/>
      </c>
      <c r="G62" s="15"/>
      <c r="H62" s="15" t="str">
        <f t="shared" si="10"/>
        <v/>
      </c>
      <c r="I62" s="16" t="str">
        <f t="shared" si="6"/>
        <v/>
      </c>
      <c r="J62" s="41"/>
      <c r="K62" s="88"/>
      <c r="L62" s="98"/>
      <c r="M62" s="97"/>
      <c r="N62" s="97"/>
      <c r="O62" s="97"/>
      <c r="P62" s="97"/>
      <c r="Q62" s="97"/>
      <c r="R62" s="97"/>
      <c r="S62" s="97"/>
      <c r="T62" s="97"/>
    </row>
    <row r="63" spans="1:20" ht="15.6">
      <c r="A63" s="30" t="str">
        <v>Taft - Police Department</v>
      </c>
      <c r="B63" s="31" t="str">
        <v>CA</v>
      </c>
      <c r="C63" s="11"/>
      <c r="D63" s="18"/>
      <c r="E63" s="18" t="str">
        <f t="shared" si="8"/>
        <v/>
      </c>
      <c r="F63" s="19" t="str">
        <f t="shared" si="9"/>
        <v/>
      </c>
      <c r="G63" s="20"/>
      <c r="H63" s="20" t="str">
        <f t="shared" si="10"/>
        <v/>
      </c>
      <c r="I63" s="19" t="str">
        <f t="shared" si="6"/>
        <v/>
      </c>
      <c r="J63" s="42"/>
      <c r="K63" s="92"/>
      <c r="L63" s="97"/>
      <c r="M63" s="97"/>
      <c r="N63" s="97"/>
      <c r="O63" s="97"/>
      <c r="P63" s="97"/>
      <c r="Q63" s="97"/>
      <c r="R63" s="97"/>
      <c r="S63" s="97"/>
      <c r="T63" s="97"/>
    </row>
    <row r="64" spans="1:20" ht="15.6">
      <c r="A64" s="28" t="str">
        <v>Taft - WTP</v>
      </c>
      <c r="B64" s="29" t="str">
        <v>CA</v>
      </c>
      <c r="C64" s="24"/>
      <c r="D64" s="13"/>
      <c r="E64" s="13" t="str">
        <f t="shared" si="8"/>
        <v/>
      </c>
      <c r="F64" s="14" t="str">
        <f t="shared" si="9"/>
        <v/>
      </c>
      <c r="G64" s="15"/>
      <c r="H64" s="15" t="str">
        <f t="shared" si="10"/>
        <v/>
      </c>
      <c r="I64" s="16" t="str">
        <f t="shared" si="6"/>
        <v/>
      </c>
      <c r="J64" s="41"/>
      <c r="K64" s="41"/>
      <c r="L64" s="97"/>
      <c r="M64" s="97"/>
      <c r="N64" s="97"/>
      <c r="O64" s="97"/>
      <c r="P64" s="97"/>
      <c r="Q64" s="97"/>
      <c r="R64" s="97"/>
      <c r="S64" s="97"/>
      <c r="T64" s="97"/>
    </row>
    <row r="65" spans="1:20" ht="15.6">
      <c r="A65" s="30" t="str">
        <v>CDCR - CA Correctional Institution</v>
      </c>
      <c r="B65" s="31" t="str">
        <v>CA</v>
      </c>
      <c r="C65" s="11"/>
      <c r="D65" s="18"/>
      <c r="E65" s="18" t="str">
        <f t="shared" si="8"/>
        <v/>
      </c>
      <c r="F65" s="19" t="str">
        <f t="shared" si="9"/>
        <v/>
      </c>
      <c r="G65" s="20"/>
      <c r="H65" s="20" t="str">
        <f t="shared" si="10"/>
        <v/>
      </c>
      <c r="I65" s="19" t="str">
        <f t="shared" si="6"/>
        <v/>
      </c>
      <c r="J65" s="42"/>
      <c r="K65" s="92"/>
      <c r="L65" s="97"/>
      <c r="M65" s="97"/>
      <c r="N65" s="97"/>
      <c r="O65" s="97"/>
      <c r="P65" s="97"/>
      <c r="Q65" s="97"/>
      <c r="R65" s="97"/>
      <c r="S65" s="97"/>
      <c r="T65" s="97"/>
    </row>
    <row r="66" spans="1:20" ht="15.6">
      <c r="A66" s="28" t="str">
        <v>CDCR - CA Correctional Institution II</v>
      </c>
      <c r="B66" s="29" t="str">
        <v>CA</v>
      </c>
      <c r="C66" s="24"/>
      <c r="D66" s="13"/>
      <c r="E66" s="13" t="str">
        <f t="shared" si="8"/>
        <v/>
      </c>
      <c r="F66" s="14" t="str">
        <f t="shared" si="9"/>
        <v/>
      </c>
      <c r="G66" s="15"/>
      <c r="H66" s="15" t="str">
        <f t="shared" si="10"/>
        <v/>
      </c>
      <c r="I66" s="16" t="str">
        <f t="shared" si="6"/>
        <v/>
      </c>
      <c r="J66" s="41"/>
      <c r="K66" s="88"/>
      <c r="L66" s="97"/>
      <c r="M66" s="97"/>
      <c r="N66" s="97"/>
      <c r="O66" s="97"/>
      <c r="P66" s="97"/>
      <c r="Q66" s="97"/>
      <c r="R66" s="97"/>
      <c r="S66" s="97"/>
      <c r="T66" s="97"/>
    </row>
    <row r="67" spans="1:20" ht="15.6">
      <c r="A67" s="30" t="str">
        <v>Snowline SD - Vista Verde ES</v>
      </c>
      <c r="B67" s="31" t="str">
        <v>CA</v>
      </c>
      <c r="C67" s="11"/>
      <c r="D67" s="18"/>
      <c r="E67" s="18" t="str">
        <f t="shared" si="8"/>
        <v/>
      </c>
      <c r="F67" s="19" t="str">
        <f t="shared" si="9"/>
        <v/>
      </c>
      <c r="G67" s="20"/>
      <c r="H67" s="20" t="str">
        <f t="shared" si="10"/>
        <v/>
      </c>
      <c r="I67" s="19" t="str">
        <f t="shared" si="6"/>
        <v/>
      </c>
      <c r="J67" s="42"/>
      <c r="K67" s="90"/>
      <c r="L67" s="98"/>
      <c r="M67" s="98"/>
      <c r="N67" s="97"/>
      <c r="O67" s="97"/>
      <c r="P67" s="97"/>
      <c r="Q67" s="97"/>
      <c r="R67" s="97"/>
      <c r="S67" s="97"/>
      <c r="T67" s="97"/>
    </row>
    <row r="68" spans="1:20" ht="15.6">
      <c r="A68" s="28" t="str">
        <v>North Stonington</v>
      </c>
      <c r="B68" s="29" t="str">
        <v>CT</v>
      </c>
      <c r="C68" s="24"/>
      <c r="D68" s="13"/>
      <c r="E68" s="13" t="str">
        <f t="shared" si="8"/>
        <v/>
      </c>
      <c r="F68" s="14" t="str">
        <f t="shared" si="9"/>
        <v/>
      </c>
      <c r="G68" s="15"/>
      <c r="H68" s="15" t="str">
        <f t="shared" si="10"/>
        <v/>
      </c>
      <c r="I68" s="16" t="str">
        <f t="shared" si="6"/>
        <v/>
      </c>
      <c r="J68" s="41"/>
      <c r="K68" s="41"/>
      <c r="L68" s="97"/>
      <c r="M68" s="97"/>
      <c r="N68" s="97"/>
      <c r="O68" s="97"/>
      <c r="P68" s="97"/>
      <c r="Q68" s="97"/>
      <c r="R68" s="97"/>
      <c r="S68" s="97"/>
      <c r="T68" s="97"/>
    </row>
    <row r="69" spans="1:20" ht="15.6">
      <c r="A69" s="30" t="str">
        <v>CT: Torrington - 2-298 Rossi Road</v>
      </c>
      <c r="B69" s="31" t="str">
        <v>CT</v>
      </c>
      <c r="C69" s="11"/>
      <c r="D69" s="18"/>
      <c r="E69" s="18" t="str">
        <f t="shared" si="8"/>
        <v/>
      </c>
      <c r="F69" s="19" t="str">
        <f t="shared" si="9"/>
        <v/>
      </c>
      <c r="G69" s="81"/>
      <c r="H69" s="20" t="str">
        <f t="shared" si="10"/>
        <v/>
      </c>
      <c r="I69" s="19" t="str">
        <f t="shared" si="6"/>
        <v/>
      </c>
      <c r="J69" s="42"/>
      <c r="K69" s="90"/>
      <c r="L69" s="97"/>
      <c r="M69" s="97"/>
      <c r="N69" s="97"/>
      <c r="O69" s="97"/>
      <c r="P69" s="97"/>
      <c r="Q69" s="97"/>
      <c r="R69" s="97"/>
      <c r="S69" s="97"/>
      <c r="T69" s="97"/>
    </row>
    <row r="70" spans="1:20" ht="14.45">
      <c r="A70" s="21"/>
      <c r="B70" s="33"/>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hyperlinks>
    <hyperlink ref="S43" r:id="rId1" display="https://us3.assetplanner.com/service_request?ID=105124" xr:uid="{F02A6D0B-DD5A-419E-9D0C-E718C258ADD9}"/>
    <hyperlink ref="T43" r:id="rId2" display="https://us3.assetplanner.com/service_request?ID=101136" xr:uid="{5A830134-112D-466E-BEBF-D1678632A5CA}"/>
    <hyperlink ref="S58" r:id="rId3" display="https://us3.assetplanner.com/service_request?ID=104174" xr:uid="{B7177D9D-C42F-49DF-A552-2C4F9E7AD04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zoomScale="70" zoomScaleNormal="70" workbookViewId="0">
      <pane xSplit="2" ySplit="3" topLeftCell="C33"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71" customWidth="1"/>
    <col min="3" max="3" width="11.7109375" customWidth="1"/>
    <col min="4" max="5" width="13.28515625" customWidth="1"/>
    <col min="6" max="6" width="13.28515625" style="1" customWidth="1"/>
    <col min="7" max="8" width="13.28515625" customWidth="1"/>
    <col min="9" max="9" width="13.28515625" style="1" customWidth="1"/>
    <col min="10" max="10" width="71.5703125" style="97" customWidth="1"/>
    <col min="11" max="11" width="20.5703125" style="97" bestFit="1" customWidth="1"/>
  </cols>
  <sheetData>
    <row r="1" spans="1:25" ht="19.5" customHeight="1">
      <c r="A1" s="135" t="str" cm="1">
        <f t="array" ref="A1">portfolio</f>
        <v>Silicon Ranch</v>
      </c>
      <c r="B1" s="135"/>
      <c r="C1" s="135"/>
      <c r="D1" s="136" t="s">
        <v>192</v>
      </c>
      <c r="E1" s="136"/>
      <c r="F1" s="136"/>
      <c r="G1" s="134" t="s">
        <v>193</v>
      </c>
      <c r="H1" s="134"/>
      <c r="I1" s="134"/>
      <c r="J1" s="114"/>
      <c r="K1" s="114"/>
    </row>
    <row r="2" spans="1:25" ht="19.5" customHeight="1">
      <c r="A2" s="137" t="s">
        <v>2</v>
      </c>
      <c r="B2" s="137"/>
      <c r="C2" s="5">
        <f>SUM(C4:C100)</f>
        <v>0</v>
      </c>
      <c r="D2" s="5">
        <f>SUM(D4:D100)</f>
        <v>0</v>
      </c>
      <c r="E2" s="5">
        <f>C2-D2</f>
        <v>0</v>
      </c>
      <c r="F2" s="6">
        <f>IFERROR(E2/D2, 0)</f>
        <v>0</v>
      </c>
      <c r="G2" s="5">
        <f>SUM(G4:G100)</f>
        <v>0</v>
      </c>
      <c r="H2" s="7">
        <f>C2-G2</f>
        <v>0</v>
      </c>
      <c r="I2" s="6">
        <f>IFERROR(H2/G2, 0)</f>
        <v>0</v>
      </c>
      <c r="J2" s="11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14"/>
    </row>
    <row r="3" spans="1:25" ht="14.25" customHeight="1">
      <c r="A3" s="8" t="s">
        <v>3</v>
      </c>
      <c r="B3" s="66" t="s">
        <v>4</v>
      </c>
      <c r="C3" s="23" t="s">
        <v>5</v>
      </c>
      <c r="D3" s="35" t="s">
        <v>6</v>
      </c>
      <c r="E3" s="35" t="s">
        <v>7</v>
      </c>
      <c r="F3" s="36" t="s">
        <v>8</v>
      </c>
      <c r="G3" s="37" t="s">
        <v>9</v>
      </c>
      <c r="H3" s="38" t="s">
        <v>7</v>
      </c>
      <c r="I3" s="39" t="s">
        <v>8</v>
      </c>
      <c r="J3" s="116" t="s">
        <v>20</v>
      </c>
      <c r="K3" s="116" t="s">
        <v>21</v>
      </c>
    </row>
    <row r="4" spans="1:25" ht="15.6">
      <c r="A4" s="32" t="str" cm="1">
        <f t="array" ref="A4:A69">Sites[Site]</f>
        <v>Iron Mountain - Windsor</v>
      </c>
      <c r="B4" s="67" t="str" cm="1">
        <f t="array" ref="B4:B69">Sites[State]</f>
        <v>CT</v>
      </c>
      <c r="C4" s="24"/>
      <c r="D4" s="13"/>
      <c r="E4" s="13" t="str">
        <f>IF(AND(ISNUMBER(C4),ISNUMBER(D4)), C4-D4, "")</f>
        <v/>
      </c>
      <c r="F4" s="14" t="str">
        <f>IFERROR(E4/D4, "")</f>
        <v/>
      </c>
      <c r="G4" s="15"/>
      <c r="H4" s="15" t="str">
        <f>IF(AND(ISNUMBER(C4),ISNUMBER(G4)), C4-G4, "")</f>
        <v/>
      </c>
      <c r="I4" s="16" t="str">
        <f>IFERROR(H4/G4, "")</f>
        <v/>
      </c>
      <c r="J4" s="56"/>
      <c r="K4" s="56"/>
    </row>
    <row r="5" spans="1:25" ht="15.6">
      <c r="A5" s="30" t="str">
        <v>Kohls - Auburn</v>
      </c>
      <c r="B5" s="68"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54"/>
      <c r="K5" s="54"/>
    </row>
    <row r="6" spans="1:25" ht="15.6">
      <c r="A6" s="28" t="str">
        <v>Kohls - Bensalem</v>
      </c>
      <c r="B6" s="67" t="str">
        <v>PA</v>
      </c>
      <c r="C6" s="24"/>
      <c r="D6" s="13"/>
      <c r="E6" s="13" t="str">
        <f t="shared" si="0"/>
        <v/>
      </c>
      <c r="F6" s="14" t="str">
        <f t="shared" ref="F6:F69" si="3">IFERROR(E6/D6, "")</f>
        <v/>
      </c>
      <c r="G6" s="15"/>
      <c r="H6" s="15" t="str">
        <f t="shared" si="1"/>
        <v/>
      </c>
      <c r="I6" s="16" t="str">
        <f t="shared" si="2"/>
        <v/>
      </c>
      <c r="J6" s="41"/>
      <c r="K6" s="88"/>
      <c r="L6" s="97"/>
      <c r="M6" s="97"/>
      <c r="N6" s="97"/>
      <c r="O6" s="97"/>
      <c r="P6" s="97"/>
      <c r="Q6" s="97"/>
      <c r="R6" s="97"/>
      <c r="S6" s="97"/>
      <c r="T6" s="97"/>
      <c r="U6" s="97"/>
      <c r="V6" s="97"/>
      <c r="W6" s="97"/>
      <c r="X6" s="97"/>
      <c r="Y6" s="97"/>
    </row>
    <row r="7" spans="1:25" ht="15.6">
      <c r="A7" s="30" t="str">
        <v>Kohls - Brick</v>
      </c>
      <c r="B7" s="68" t="str">
        <v>NJ</v>
      </c>
      <c r="C7" s="11"/>
      <c r="D7" s="18"/>
      <c r="E7" s="18" t="str">
        <f t="shared" si="0"/>
        <v/>
      </c>
      <c r="F7" s="19" t="str">
        <f t="shared" si="3"/>
        <v/>
      </c>
      <c r="G7" s="20"/>
      <c r="H7" s="20" t="str">
        <f t="shared" si="1"/>
        <v/>
      </c>
      <c r="I7" s="19" t="str">
        <f t="shared" si="2"/>
        <v/>
      </c>
      <c r="J7" s="53"/>
      <c r="K7" s="60"/>
      <c r="L7" s="97"/>
      <c r="M7" s="97"/>
      <c r="N7" s="97"/>
      <c r="O7" s="97"/>
      <c r="P7" s="97"/>
      <c r="Q7" s="97"/>
      <c r="R7" s="97"/>
      <c r="S7" s="97"/>
      <c r="T7" s="97"/>
      <c r="U7" s="97"/>
      <c r="V7" s="97"/>
      <c r="W7" s="97"/>
      <c r="X7" s="97"/>
      <c r="Y7" s="97"/>
    </row>
    <row r="8" spans="1:25" ht="130.5" customHeight="1">
      <c r="A8" s="28" t="str">
        <v>Kohls - Buffalo</v>
      </c>
      <c r="B8" s="67" t="str">
        <v>NY</v>
      </c>
      <c r="C8" s="24"/>
      <c r="D8" s="13"/>
      <c r="E8" s="13" t="str">
        <f t="shared" si="0"/>
        <v/>
      </c>
      <c r="F8" s="14" t="str">
        <f t="shared" si="3"/>
        <v/>
      </c>
      <c r="G8" s="15"/>
      <c r="H8" s="15" t="str">
        <f t="shared" si="1"/>
        <v/>
      </c>
      <c r="I8" s="16" t="str">
        <f t="shared" si="2"/>
        <v/>
      </c>
      <c r="J8" s="41"/>
      <c r="K8" s="88"/>
      <c r="L8" s="98"/>
      <c r="M8" s="98"/>
      <c r="N8" s="98"/>
      <c r="O8" s="97"/>
      <c r="P8" s="97"/>
      <c r="Q8" s="97"/>
      <c r="R8" s="97"/>
      <c r="S8" s="97"/>
      <c r="T8" s="97"/>
      <c r="U8" s="97"/>
      <c r="V8" s="97"/>
      <c r="W8" s="97"/>
      <c r="X8" s="97"/>
      <c r="Y8" s="97"/>
    </row>
    <row r="9" spans="1:25" ht="15.6">
      <c r="A9" s="30" t="str">
        <v>Kohls - Canton</v>
      </c>
      <c r="B9" s="68" t="str">
        <v>CT</v>
      </c>
      <c r="C9" s="11"/>
      <c r="D9" s="18"/>
      <c r="E9" s="18" t="str">
        <f t="shared" si="0"/>
        <v/>
      </c>
      <c r="F9" s="19" t="str">
        <f t="shared" si="3"/>
        <v/>
      </c>
      <c r="G9" s="20"/>
      <c r="H9" s="20" t="str">
        <f t="shared" si="1"/>
        <v/>
      </c>
      <c r="I9" s="19" t="str">
        <f t="shared" si="2"/>
        <v/>
      </c>
      <c r="J9" s="53"/>
      <c r="K9" s="60"/>
      <c r="L9" s="97"/>
      <c r="M9" s="97"/>
      <c r="N9" s="97"/>
      <c r="O9" s="97"/>
      <c r="P9" s="97"/>
      <c r="Q9" s="97"/>
      <c r="R9" s="97"/>
      <c r="S9" s="97"/>
      <c r="T9" s="97"/>
      <c r="U9" s="97"/>
      <c r="V9" s="97"/>
      <c r="W9" s="97"/>
      <c r="X9" s="97"/>
      <c r="Y9" s="97"/>
    </row>
    <row r="10" spans="1:25" ht="15.6">
      <c r="A10" s="28" t="str">
        <v>Kohls - East Amherst</v>
      </c>
      <c r="B10" s="67" t="str">
        <v>NY</v>
      </c>
      <c r="C10" s="24"/>
      <c r="D10" s="13"/>
      <c r="E10" s="13" t="str">
        <f t="shared" si="0"/>
        <v/>
      </c>
      <c r="F10" s="14" t="str">
        <f t="shared" si="3"/>
        <v/>
      </c>
      <c r="G10" s="15"/>
      <c r="H10" s="15" t="str">
        <f t="shared" si="1"/>
        <v/>
      </c>
      <c r="I10" s="16" t="str">
        <f t="shared" si="2"/>
        <v/>
      </c>
      <c r="J10" s="41"/>
      <c r="K10" s="88"/>
      <c r="L10" s="98"/>
      <c r="M10" s="97"/>
      <c r="N10" s="97"/>
      <c r="O10" s="97"/>
      <c r="P10" s="97"/>
      <c r="Q10" s="97"/>
      <c r="R10" s="97"/>
      <c r="S10" s="97"/>
      <c r="T10" s="97"/>
      <c r="U10" s="97"/>
      <c r="V10" s="97"/>
      <c r="W10" s="97"/>
      <c r="X10" s="97"/>
      <c r="Y10" s="97"/>
    </row>
    <row r="11" spans="1:25" ht="15.6">
      <c r="A11" s="30" t="str">
        <v>Kohls - East Brunswick</v>
      </c>
      <c r="B11" s="68" t="str">
        <v>NJ</v>
      </c>
      <c r="C11" s="11"/>
      <c r="D11" s="18"/>
      <c r="E11" s="18" t="str">
        <f t="shared" si="0"/>
        <v/>
      </c>
      <c r="F11" s="19" t="str">
        <f t="shared" si="3"/>
        <v/>
      </c>
      <c r="G11" s="20"/>
      <c r="H11" s="20" t="str">
        <f t="shared" si="1"/>
        <v/>
      </c>
      <c r="I11" s="19" t="str">
        <f t="shared" si="2"/>
        <v/>
      </c>
      <c r="J11" s="53"/>
      <c r="K11" s="87"/>
      <c r="L11" s="97"/>
      <c r="M11" s="97"/>
      <c r="N11" s="97"/>
      <c r="O11" s="97"/>
      <c r="P11" s="97"/>
      <c r="Q11" s="97"/>
      <c r="R11" s="97"/>
      <c r="S11" s="97"/>
      <c r="T11" s="97"/>
      <c r="U11" s="97"/>
      <c r="V11" s="97"/>
      <c r="W11" s="97"/>
      <c r="X11" s="97"/>
      <c r="Y11" s="97"/>
    </row>
    <row r="12" spans="1:25" ht="15.6">
      <c r="A12" s="28" t="str">
        <v>Kohls - Edgewood</v>
      </c>
      <c r="B12" s="67" t="str">
        <v>MD</v>
      </c>
      <c r="C12" s="24"/>
      <c r="D12" s="13"/>
      <c r="E12" s="13" t="str">
        <f t="shared" si="0"/>
        <v/>
      </c>
      <c r="F12" s="14" t="str">
        <f t="shared" si="3"/>
        <v/>
      </c>
      <c r="G12" s="15"/>
      <c r="H12" s="15" t="str">
        <f t="shared" si="1"/>
        <v/>
      </c>
      <c r="I12" s="16" t="str">
        <f t="shared" si="2"/>
        <v/>
      </c>
      <c r="J12" s="41"/>
      <c r="K12" s="88"/>
      <c r="L12" s="98"/>
      <c r="M12" s="97"/>
      <c r="N12" s="97"/>
      <c r="O12" s="97"/>
      <c r="P12" s="97"/>
      <c r="Q12" s="97"/>
      <c r="R12" s="97"/>
      <c r="S12" s="97"/>
      <c r="T12" s="97"/>
      <c r="U12" s="97"/>
      <c r="V12" s="97"/>
      <c r="W12" s="97"/>
      <c r="X12" s="97"/>
      <c r="Y12" s="97"/>
    </row>
    <row r="13" spans="1:25" ht="15.6">
      <c r="A13" s="30" t="str">
        <v>Kohls - Granite Run</v>
      </c>
      <c r="B13" s="68" t="str">
        <v>PA</v>
      </c>
      <c r="C13" s="11"/>
      <c r="D13" s="18"/>
      <c r="E13" s="18" t="str">
        <f t="shared" si="0"/>
        <v/>
      </c>
      <c r="F13" s="19" t="str">
        <f t="shared" si="3"/>
        <v/>
      </c>
      <c r="G13" s="20"/>
      <c r="H13" s="20" t="str">
        <f t="shared" si="1"/>
        <v/>
      </c>
      <c r="I13" s="19" t="str">
        <f t="shared" si="2"/>
        <v/>
      </c>
      <c r="J13" s="53"/>
      <c r="K13" s="87"/>
      <c r="L13" s="97"/>
      <c r="M13" s="97"/>
      <c r="N13" s="97"/>
      <c r="O13" s="97"/>
      <c r="P13" s="97"/>
      <c r="Q13" s="97"/>
      <c r="R13" s="97"/>
      <c r="S13" s="97"/>
      <c r="T13" s="97"/>
      <c r="U13" s="97"/>
      <c r="V13" s="97"/>
      <c r="W13" s="97"/>
      <c r="X13" s="97"/>
      <c r="Y13" s="97"/>
    </row>
    <row r="14" spans="1:25" ht="36" customHeight="1">
      <c r="A14" s="28" t="str">
        <v>Kohls - Greece</v>
      </c>
      <c r="B14" s="67" t="str">
        <v>NY</v>
      </c>
      <c r="C14" s="24"/>
      <c r="D14" s="13"/>
      <c r="E14" s="13" t="str">
        <f t="shared" si="0"/>
        <v/>
      </c>
      <c r="F14" s="14" t="str">
        <f t="shared" si="3"/>
        <v/>
      </c>
      <c r="G14" s="15"/>
      <c r="H14" s="15" t="str">
        <f t="shared" si="1"/>
        <v/>
      </c>
      <c r="I14" s="16" t="str">
        <f t="shared" si="2"/>
        <v/>
      </c>
      <c r="J14" s="41"/>
      <c r="K14" s="88"/>
      <c r="L14" s="97"/>
      <c r="M14" s="97"/>
      <c r="N14" s="97"/>
      <c r="O14" s="97"/>
      <c r="P14" s="97"/>
      <c r="Q14" s="97"/>
      <c r="R14" s="97"/>
      <c r="S14" s="97"/>
      <c r="T14" s="97"/>
      <c r="U14" s="97"/>
      <c r="V14" s="97"/>
      <c r="W14" s="97"/>
      <c r="X14" s="97"/>
      <c r="Y14" s="97"/>
    </row>
    <row r="15" spans="1:25" ht="15.6">
      <c r="A15" s="30" t="str">
        <v>Kohls - Hanover</v>
      </c>
      <c r="B15" s="68" t="str">
        <v>PA</v>
      </c>
      <c r="C15" s="11"/>
      <c r="D15" s="18"/>
      <c r="E15" s="18" t="str">
        <f t="shared" si="0"/>
        <v/>
      </c>
      <c r="F15" s="19" t="str">
        <f t="shared" si="3"/>
        <v/>
      </c>
      <c r="G15" s="20"/>
      <c r="H15" s="20" t="str">
        <f t="shared" si="1"/>
        <v/>
      </c>
      <c r="I15" s="19" t="str">
        <f t="shared" si="2"/>
        <v/>
      </c>
      <c r="J15" s="53"/>
      <c r="K15" s="60"/>
      <c r="L15" s="97"/>
      <c r="M15" s="97"/>
      <c r="N15" s="97"/>
      <c r="O15" s="97"/>
      <c r="P15" s="97"/>
      <c r="Q15" s="97"/>
      <c r="R15" s="97"/>
      <c r="S15" s="97"/>
      <c r="T15" s="97"/>
      <c r="U15" s="97"/>
      <c r="V15" s="97"/>
      <c r="W15" s="97"/>
      <c r="X15" s="97"/>
      <c r="Y15" s="97"/>
    </row>
    <row r="16" spans="1:25" ht="15.6">
      <c r="A16" s="28" t="str">
        <v>Kohls - Horsehead</v>
      </c>
      <c r="B16" s="67" t="str">
        <v>NY</v>
      </c>
      <c r="C16" s="24"/>
      <c r="D16" s="13"/>
      <c r="E16" s="13" t="str">
        <f t="shared" si="0"/>
        <v/>
      </c>
      <c r="F16" s="14" t="str">
        <f t="shared" si="3"/>
        <v/>
      </c>
      <c r="G16" s="15"/>
      <c r="H16" s="15" t="str">
        <f t="shared" si="1"/>
        <v/>
      </c>
      <c r="I16" s="16" t="str">
        <f t="shared" si="2"/>
        <v/>
      </c>
      <c r="J16" s="41"/>
      <c r="K16" s="41"/>
      <c r="L16" s="97"/>
      <c r="M16" s="97"/>
      <c r="N16" s="97"/>
      <c r="O16" s="97"/>
      <c r="P16" s="97"/>
      <c r="Q16" s="97"/>
      <c r="R16" s="97"/>
      <c r="S16" s="97"/>
      <c r="T16" s="97"/>
      <c r="U16" s="97"/>
      <c r="V16" s="97"/>
      <c r="W16" s="97"/>
      <c r="X16" s="97"/>
      <c r="Y16" s="97"/>
    </row>
    <row r="17" spans="1:25" ht="109.5" customHeight="1">
      <c r="A17" s="30" t="str">
        <v>Kohls - Hudson</v>
      </c>
      <c r="B17" s="68" t="str">
        <v>NY</v>
      </c>
      <c r="C17" s="11"/>
      <c r="D17" s="18"/>
      <c r="E17" s="18" t="str">
        <f t="shared" si="0"/>
        <v/>
      </c>
      <c r="F17" s="19" t="str">
        <f t="shared" si="3"/>
        <v/>
      </c>
      <c r="G17" s="20"/>
      <c r="H17" s="20" t="str">
        <f t="shared" si="1"/>
        <v/>
      </c>
      <c r="I17" s="19" t="str">
        <f t="shared" si="2"/>
        <v/>
      </c>
      <c r="J17" s="53"/>
      <c r="K17" s="87"/>
      <c r="L17" s="97"/>
      <c r="M17" s="97"/>
      <c r="N17" s="97"/>
      <c r="O17" s="97"/>
      <c r="P17" s="97"/>
      <c r="Q17" s="97"/>
      <c r="R17" s="97"/>
      <c r="S17" s="97"/>
      <c r="T17" s="97"/>
      <c r="U17" s="97"/>
      <c r="V17" s="97"/>
      <c r="W17" s="97"/>
      <c r="X17" s="97"/>
      <c r="Y17" s="97"/>
    </row>
    <row r="18" spans="1:25" ht="12.75" customHeight="1">
      <c r="A18" s="28" t="str">
        <v>Kohls - Ithaca</v>
      </c>
      <c r="B18" s="67" t="str">
        <v>NY</v>
      </c>
      <c r="C18" s="24"/>
      <c r="D18" s="13"/>
      <c r="E18" s="13" t="str">
        <f>IF(AND(ISNUMBER(C18),ISNUMBER(D18)), C18-D18, "")</f>
        <v/>
      </c>
      <c r="F18" s="14" t="str">
        <f t="shared" si="3"/>
        <v/>
      </c>
      <c r="G18" s="15"/>
      <c r="H18" s="62" t="str">
        <f>IF(AND(ISNUMBER(C18),ISNUMBER(G18)), C18-G18, "")</f>
        <v/>
      </c>
      <c r="I18" s="16" t="str">
        <f t="shared" si="2"/>
        <v/>
      </c>
      <c r="J18" s="41"/>
      <c r="K18" s="41"/>
      <c r="L18" s="97"/>
      <c r="M18" s="97"/>
      <c r="N18" s="97"/>
      <c r="O18" s="97"/>
      <c r="P18" s="97"/>
      <c r="Q18" s="97"/>
      <c r="R18" s="97"/>
      <c r="S18" s="97"/>
      <c r="T18" s="97"/>
      <c r="U18" s="97"/>
      <c r="V18" s="97"/>
      <c r="W18" s="97"/>
      <c r="X18" s="97"/>
      <c r="Y18" s="97"/>
    </row>
    <row r="19" spans="1:25" ht="12.75" customHeight="1">
      <c r="A19" s="30" t="str">
        <v>Kohls - Kingston</v>
      </c>
      <c r="B19" s="68" t="str">
        <v>NY</v>
      </c>
      <c r="C19" s="11"/>
      <c r="D19" s="18"/>
      <c r="E19" s="18" t="str">
        <f t="shared" ref="E19:E20" si="4">IF(AND(ISNUMBER(C19),ISNUMBER(D19)), C19-D19, "")</f>
        <v/>
      </c>
      <c r="F19" s="19" t="str">
        <f t="shared" si="3"/>
        <v/>
      </c>
      <c r="G19" s="61"/>
      <c r="H19" s="20" t="str">
        <f t="shared" ref="H19:H20" si="5">IF(AND(ISNUMBER(C19),ISNUMBER(G19)), C19-G19, "")</f>
        <v/>
      </c>
      <c r="I19" s="19" t="str">
        <f t="shared" si="2"/>
        <v/>
      </c>
      <c r="J19" s="53"/>
      <c r="K19" s="87"/>
      <c r="L19" s="97"/>
      <c r="M19" s="97"/>
      <c r="N19" s="97"/>
      <c r="O19" s="97"/>
      <c r="P19" s="97"/>
      <c r="Q19" s="97"/>
      <c r="R19" s="97"/>
      <c r="S19" s="97"/>
      <c r="T19" s="97"/>
      <c r="U19" s="97"/>
      <c r="V19" s="97"/>
      <c r="W19" s="97"/>
      <c r="X19" s="97"/>
      <c r="Y19" s="97"/>
    </row>
    <row r="20" spans="1:25" ht="26.25" customHeight="1">
      <c r="A20" s="28" t="str">
        <v>Kohls - Mechanicsburg</v>
      </c>
      <c r="B20" s="67" t="str">
        <v>PA</v>
      </c>
      <c r="C20" s="24"/>
      <c r="D20" s="13"/>
      <c r="E20" s="13" t="str">
        <f t="shared" si="4"/>
        <v/>
      </c>
      <c r="F20" s="14" t="str">
        <f t="shared" si="3"/>
        <v/>
      </c>
      <c r="G20" s="15"/>
      <c r="H20" s="62" t="str">
        <f t="shared" si="5"/>
        <v/>
      </c>
      <c r="I20" s="16" t="str">
        <f t="shared" si="2"/>
        <v/>
      </c>
      <c r="J20" s="41"/>
      <c r="K20" s="88"/>
      <c r="L20" s="97"/>
      <c r="M20" s="97"/>
      <c r="N20" s="97"/>
      <c r="O20" s="97"/>
      <c r="P20" s="97"/>
      <c r="Q20" s="97"/>
      <c r="R20" s="97"/>
      <c r="S20" s="97"/>
      <c r="T20" s="97"/>
      <c r="U20" s="97"/>
      <c r="V20" s="97"/>
      <c r="W20" s="97"/>
      <c r="X20" s="97"/>
      <c r="Y20" s="97"/>
    </row>
    <row r="21" spans="1:25" ht="15.6">
      <c r="A21" s="30" t="str">
        <v>Kohls - Middletown</v>
      </c>
      <c r="B21" s="68" t="str">
        <v>NJ</v>
      </c>
      <c r="C21" s="65"/>
      <c r="D21" s="18"/>
      <c r="E21" s="18" t="str">
        <f t="shared" ref="E21:E68" si="6">IF(AND(ISNUMBER(C21),ISNUMBER(D21)), C21-D21, "")</f>
        <v/>
      </c>
      <c r="F21" s="19" t="str">
        <f t="shared" si="3"/>
        <v/>
      </c>
      <c r="G21" s="20"/>
      <c r="H21" s="61" t="str">
        <f t="shared" ref="H21:H27" si="7">IF(AND(ISNUMBER(C21),ISNUMBER(G21)), C21-G21, "")</f>
        <v/>
      </c>
      <c r="I21" s="19" t="str">
        <f t="shared" si="2"/>
        <v/>
      </c>
      <c r="J21" s="53"/>
      <c r="K21" s="87"/>
      <c r="L21" s="97"/>
      <c r="M21" s="97"/>
      <c r="N21" s="97"/>
      <c r="O21" s="97"/>
      <c r="P21" s="97"/>
      <c r="Q21" s="97"/>
      <c r="R21" s="97"/>
      <c r="S21" s="97"/>
      <c r="T21" s="97"/>
      <c r="U21" s="97"/>
      <c r="V21" s="97"/>
      <c r="W21" s="97"/>
      <c r="X21" s="97"/>
      <c r="Y21" s="97"/>
    </row>
    <row r="22" spans="1:25" ht="15.6">
      <c r="A22" s="28" t="str">
        <v>Kohls - North Amherst</v>
      </c>
      <c r="B22" s="67" t="str">
        <v>NY</v>
      </c>
      <c r="C22" s="24"/>
      <c r="D22" s="13"/>
      <c r="E22" s="13" t="str">
        <f t="shared" si="6"/>
        <v/>
      </c>
      <c r="F22" s="14" t="str">
        <f t="shared" si="3"/>
        <v/>
      </c>
      <c r="G22" s="15"/>
      <c r="H22" s="62" t="str">
        <f t="shared" si="7"/>
        <v/>
      </c>
      <c r="I22" s="16" t="str">
        <f t="shared" si="2"/>
        <v/>
      </c>
      <c r="J22" s="41"/>
      <c r="K22" s="41"/>
      <c r="L22" s="97"/>
      <c r="M22" s="97"/>
      <c r="N22" s="97"/>
      <c r="O22" s="97"/>
      <c r="P22" s="97"/>
      <c r="Q22" s="97"/>
      <c r="R22" s="97"/>
      <c r="S22" s="97"/>
      <c r="T22" s="97"/>
      <c r="U22" s="97"/>
      <c r="V22" s="97"/>
      <c r="W22" s="97"/>
      <c r="X22" s="97"/>
      <c r="Y22" s="97"/>
    </row>
    <row r="23" spans="1:25" ht="15.6">
      <c r="A23" s="30" t="str">
        <v>Kohls - Staten Island</v>
      </c>
      <c r="B23" s="68" t="str">
        <v>NY</v>
      </c>
      <c r="C23" s="11"/>
      <c r="D23" s="18"/>
      <c r="E23" s="18" t="str">
        <f t="shared" si="6"/>
        <v/>
      </c>
      <c r="F23" s="19" t="str">
        <f t="shared" si="3"/>
        <v/>
      </c>
      <c r="G23" s="20"/>
      <c r="H23" s="20" t="str">
        <f t="shared" si="7"/>
        <v/>
      </c>
      <c r="I23" s="19" t="str">
        <f t="shared" si="2"/>
        <v/>
      </c>
      <c r="J23" s="53"/>
      <c r="K23" s="87"/>
      <c r="L23" s="98"/>
      <c r="M23" s="97"/>
      <c r="N23" s="97"/>
      <c r="O23" s="97"/>
      <c r="P23" s="97"/>
      <c r="Q23" s="97"/>
      <c r="R23" s="97"/>
      <c r="S23" s="97"/>
      <c r="T23" s="97"/>
      <c r="U23" s="97"/>
      <c r="V23" s="97"/>
      <c r="W23" s="97"/>
      <c r="X23" s="97"/>
      <c r="Y23" s="97"/>
    </row>
    <row r="24" spans="1:25" ht="15.6">
      <c r="A24" s="28" t="str">
        <v>Kohls - Warminster</v>
      </c>
      <c r="B24" s="67" t="str">
        <v>PA</v>
      </c>
      <c r="C24" s="24"/>
      <c r="D24" s="13"/>
      <c r="E24" s="13" t="str">
        <f t="shared" si="6"/>
        <v/>
      </c>
      <c r="F24" s="14" t="str">
        <f t="shared" si="3"/>
        <v/>
      </c>
      <c r="G24" s="15"/>
      <c r="H24" s="62" t="str">
        <f t="shared" si="7"/>
        <v/>
      </c>
      <c r="I24" s="16" t="str">
        <f t="shared" si="2"/>
        <v/>
      </c>
      <c r="J24" s="41"/>
      <c r="K24" s="41"/>
      <c r="L24" s="97"/>
      <c r="M24" s="97"/>
      <c r="N24" s="97"/>
      <c r="O24" s="97"/>
      <c r="P24" s="97"/>
      <c r="Q24" s="97"/>
      <c r="R24" s="97"/>
      <c r="S24" s="97"/>
      <c r="T24" s="97"/>
      <c r="U24" s="97"/>
      <c r="V24" s="97"/>
      <c r="W24" s="97"/>
      <c r="X24" s="97"/>
      <c r="Y24" s="97"/>
    </row>
    <row r="25" spans="1:25" ht="15.6">
      <c r="A25" s="30" t="str">
        <v xml:space="preserve">Kohls - Waterbury </v>
      </c>
      <c r="B25" s="68" t="str">
        <v>CT</v>
      </c>
      <c r="C25" s="11"/>
      <c r="D25" s="18"/>
      <c r="E25" s="18" t="str">
        <f t="shared" si="6"/>
        <v/>
      </c>
      <c r="F25" s="19" t="str">
        <f t="shared" si="3"/>
        <v/>
      </c>
      <c r="H25" s="20" t="str">
        <f t="shared" si="7"/>
        <v/>
      </c>
      <c r="I25" s="19" t="str">
        <f t="shared" si="2"/>
        <v/>
      </c>
      <c r="J25" s="53"/>
      <c r="K25" s="60"/>
      <c r="L25" s="97"/>
      <c r="M25" s="97"/>
      <c r="N25" s="97"/>
      <c r="O25" s="97"/>
      <c r="P25" s="97"/>
      <c r="Q25" s="97"/>
      <c r="R25" s="97"/>
      <c r="S25" s="97"/>
      <c r="T25" s="97"/>
      <c r="U25" s="97"/>
      <c r="V25" s="97"/>
      <c r="W25" s="97"/>
      <c r="X25" s="97"/>
      <c r="Y25" s="97"/>
    </row>
    <row r="26" spans="1:25" ht="15.6">
      <c r="A26" s="28" t="str">
        <v>Mojave Water Agency - Headquarters</v>
      </c>
      <c r="B26" s="67" t="str">
        <v>CA</v>
      </c>
      <c r="C26" s="24"/>
      <c r="D26" s="13"/>
      <c r="E26" s="13" t="str">
        <f t="shared" si="6"/>
        <v/>
      </c>
      <c r="F26" s="14" t="str">
        <f t="shared" si="3"/>
        <v/>
      </c>
      <c r="G26" s="15"/>
      <c r="H26" s="62" t="str">
        <f t="shared" si="7"/>
        <v/>
      </c>
      <c r="I26" s="16" t="str">
        <f t="shared" si="2"/>
        <v/>
      </c>
      <c r="J26" s="41"/>
      <c r="K26" s="41"/>
      <c r="L26" s="97"/>
      <c r="M26" s="97"/>
      <c r="N26" s="97"/>
      <c r="O26" s="97"/>
      <c r="P26" s="97"/>
      <c r="Q26" s="97"/>
      <c r="R26" s="97"/>
      <c r="S26" s="97"/>
      <c r="T26" s="97"/>
      <c r="U26" s="97"/>
      <c r="V26" s="97"/>
      <c r="W26" s="97"/>
      <c r="X26" s="97"/>
      <c r="Y26" s="97"/>
    </row>
    <row r="27" spans="1:25" ht="15.6">
      <c r="A27" s="30" t="str">
        <v>CSU - Bakersfield</v>
      </c>
      <c r="B27" s="68" t="str">
        <v>CA</v>
      </c>
      <c r="C27" s="11"/>
      <c r="D27" s="18"/>
      <c r="E27" s="18" t="str">
        <f t="shared" si="6"/>
        <v/>
      </c>
      <c r="F27" s="19" t="str">
        <f t="shared" si="3"/>
        <v/>
      </c>
      <c r="G27" s="20"/>
      <c r="H27" s="20" t="str">
        <f t="shared" si="7"/>
        <v/>
      </c>
      <c r="I27" s="19" t="str">
        <f t="shared" si="2"/>
        <v/>
      </c>
      <c r="J27" s="53"/>
      <c r="K27" s="87"/>
      <c r="L27" s="97"/>
      <c r="M27" s="97"/>
      <c r="N27" s="97"/>
      <c r="O27" s="97"/>
      <c r="P27" s="97"/>
      <c r="Q27" s="97"/>
      <c r="R27" s="97"/>
      <c r="S27" s="97"/>
      <c r="T27" s="97"/>
      <c r="U27" s="97"/>
      <c r="V27" s="97"/>
      <c r="W27" s="97"/>
      <c r="X27" s="97"/>
      <c r="Y27" s="97"/>
    </row>
    <row r="28" spans="1:25" ht="15.6">
      <c r="A28" s="28" t="str">
        <v>Greenfield USD - Fairfield ES</v>
      </c>
      <c r="B28" s="67" t="str">
        <v>CA</v>
      </c>
      <c r="C28" s="24"/>
      <c r="D28" s="13"/>
      <c r="E28" s="13" t="str">
        <f t="shared" si="6"/>
        <v/>
      </c>
      <c r="F28" s="14" t="str">
        <f t="shared" si="3"/>
        <v/>
      </c>
      <c r="G28" s="15"/>
      <c r="H28" s="15" t="str">
        <f t="shared" ref="H28:H29" si="8">IF(AND(ISNUMBER(C28),ISNUMBER(G28)), C28-G28, "")</f>
        <v/>
      </c>
      <c r="I28" s="16" t="str">
        <f t="shared" si="2"/>
        <v/>
      </c>
      <c r="J28" s="41"/>
      <c r="K28" s="41"/>
      <c r="L28" s="97"/>
      <c r="M28" s="97"/>
      <c r="N28" s="97"/>
      <c r="O28" s="97"/>
      <c r="P28" s="97"/>
      <c r="Q28" s="97"/>
      <c r="R28" s="97"/>
      <c r="S28" s="97"/>
      <c r="T28" s="97"/>
      <c r="U28" s="97"/>
      <c r="V28" s="97"/>
      <c r="W28" s="97"/>
      <c r="X28" s="97"/>
      <c r="Y28" s="97"/>
    </row>
    <row r="29" spans="1:25" ht="15.6">
      <c r="A29" s="30" t="str">
        <v>Greenfield USD - Granite Point ES</v>
      </c>
      <c r="B29" s="68" t="str">
        <v>CA</v>
      </c>
      <c r="C29" s="11"/>
      <c r="D29" s="18"/>
      <c r="E29" s="18" t="str">
        <f t="shared" si="6"/>
        <v/>
      </c>
      <c r="F29" s="19" t="str">
        <f t="shared" si="3"/>
        <v/>
      </c>
      <c r="G29" s="20"/>
      <c r="H29" s="20" t="str">
        <f t="shared" si="8"/>
        <v/>
      </c>
      <c r="I29" s="19" t="str">
        <f t="shared" si="2"/>
        <v/>
      </c>
      <c r="J29" s="53"/>
      <c r="K29" s="87"/>
      <c r="L29" s="97"/>
      <c r="M29" s="97"/>
      <c r="N29" s="97"/>
      <c r="O29" s="97"/>
      <c r="P29" s="97"/>
      <c r="Q29" s="97"/>
      <c r="R29" s="97"/>
      <c r="S29" s="97"/>
      <c r="T29" s="97"/>
      <c r="U29" s="97"/>
      <c r="V29" s="97"/>
      <c r="W29" s="97"/>
      <c r="X29" s="97"/>
      <c r="Y29" s="97"/>
    </row>
    <row r="30" spans="1:25" ht="15.6">
      <c r="A30" s="28" t="str">
        <v>Greenfield USD - Greenfield MS</v>
      </c>
      <c r="B30" s="67" t="str">
        <v>CA</v>
      </c>
      <c r="C30" s="24"/>
      <c r="D30" s="13"/>
      <c r="E30" s="13" t="str">
        <f t="shared" si="6"/>
        <v/>
      </c>
      <c r="F30" s="14" t="str">
        <f t="shared" si="3"/>
        <v/>
      </c>
      <c r="G30" s="15"/>
      <c r="H30" s="62" t="str">
        <f t="shared" ref="H30:H56" si="9">IF(AND(ISNUMBER(C30),ISNUMBER(G30)), C30-G30, "")</f>
        <v/>
      </c>
      <c r="I30" s="16" t="str">
        <f t="shared" si="2"/>
        <v/>
      </c>
      <c r="J30" s="41"/>
      <c r="K30" s="41"/>
      <c r="L30" s="97"/>
      <c r="M30" s="97"/>
      <c r="N30" s="97"/>
      <c r="O30" s="97"/>
      <c r="P30" s="97"/>
      <c r="Q30" s="97"/>
      <c r="R30" s="97"/>
      <c r="S30" s="97"/>
      <c r="T30" s="97"/>
      <c r="U30" s="97"/>
      <c r="V30" s="97"/>
      <c r="W30" s="97"/>
      <c r="X30" s="97"/>
      <c r="Y30" s="97"/>
    </row>
    <row r="31" spans="1:25" ht="15.6">
      <c r="A31" s="30" t="str">
        <v>Greenfield USD - Horizon ES</v>
      </c>
      <c r="B31" s="68" t="str">
        <v>CA</v>
      </c>
      <c r="C31" s="11"/>
      <c r="D31" s="18"/>
      <c r="E31" s="18" t="str">
        <f t="shared" si="6"/>
        <v/>
      </c>
      <c r="F31" s="19" t="str">
        <f t="shared" si="3"/>
        <v/>
      </c>
      <c r="G31" s="20"/>
      <c r="H31" s="20" t="str">
        <f t="shared" si="9"/>
        <v/>
      </c>
      <c r="I31" s="19" t="str">
        <f t="shared" si="2"/>
        <v/>
      </c>
      <c r="J31" s="53"/>
      <c r="K31" s="87"/>
      <c r="L31" s="97"/>
      <c r="M31" s="97"/>
      <c r="N31" s="97"/>
      <c r="O31" s="97"/>
      <c r="P31" s="97"/>
      <c r="Q31" s="97"/>
      <c r="R31" s="97"/>
      <c r="S31" s="97"/>
      <c r="T31" s="97"/>
      <c r="U31" s="97"/>
      <c r="V31" s="97"/>
      <c r="W31" s="97"/>
      <c r="X31" s="97"/>
      <c r="Y31" s="97"/>
    </row>
    <row r="32" spans="1:25" ht="15.6">
      <c r="A32" s="28" t="str">
        <v>Greenfield USD - McKee MS</v>
      </c>
      <c r="B32" s="67" t="str">
        <v>CA</v>
      </c>
      <c r="C32" s="24"/>
      <c r="D32" s="13"/>
      <c r="E32" s="13" t="str">
        <f t="shared" si="6"/>
        <v/>
      </c>
      <c r="F32" s="14" t="str">
        <f t="shared" si="3"/>
        <v/>
      </c>
      <c r="G32" s="15"/>
      <c r="H32" s="62" t="str">
        <f t="shared" si="9"/>
        <v/>
      </c>
      <c r="I32" s="16" t="str">
        <f t="shared" si="2"/>
        <v/>
      </c>
      <c r="J32" s="41"/>
      <c r="K32" s="41"/>
      <c r="L32" s="97"/>
      <c r="M32" s="97"/>
      <c r="N32" s="97"/>
      <c r="O32" s="97"/>
      <c r="P32" s="97"/>
      <c r="Q32" s="97"/>
      <c r="R32" s="97"/>
      <c r="S32" s="97"/>
      <c r="T32" s="97"/>
      <c r="U32" s="97"/>
      <c r="V32" s="97"/>
      <c r="W32" s="97"/>
      <c r="X32" s="97"/>
      <c r="Y32" s="97"/>
    </row>
    <row r="33" spans="1:25" ht="15.6">
      <c r="A33" s="30" t="str">
        <v>Greenfield USD - Plantation ES</v>
      </c>
      <c r="B33" s="68" t="str">
        <v>CA</v>
      </c>
      <c r="C33" s="11"/>
      <c r="D33" s="18"/>
      <c r="E33" s="18" t="str">
        <f t="shared" si="6"/>
        <v/>
      </c>
      <c r="F33" s="19" t="str">
        <f t="shared" si="3"/>
        <v/>
      </c>
      <c r="G33" s="61"/>
      <c r="H33" s="20" t="str">
        <f t="shared" si="9"/>
        <v/>
      </c>
      <c r="I33" s="19" t="str">
        <f t="shared" si="2"/>
        <v/>
      </c>
      <c r="J33" s="53"/>
      <c r="K33" s="60"/>
      <c r="L33" s="97"/>
      <c r="M33" s="97"/>
      <c r="N33" s="97"/>
      <c r="O33" s="97"/>
      <c r="P33" s="97"/>
      <c r="Q33" s="97"/>
      <c r="R33" s="97"/>
      <c r="S33" s="97"/>
      <c r="T33" s="97"/>
      <c r="U33" s="97"/>
      <c r="V33" s="97"/>
      <c r="W33" s="97"/>
      <c r="X33" s="97"/>
      <c r="Y33" s="97"/>
    </row>
    <row r="34" spans="1:25" ht="15.6">
      <c r="A34" s="28" t="str">
        <v>Greenfield USD - Planz ES</v>
      </c>
      <c r="B34" s="67" t="str">
        <v>CA</v>
      </c>
      <c r="C34" s="24"/>
      <c r="D34" s="13"/>
      <c r="E34" s="13" t="str">
        <f t="shared" si="6"/>
        <v/>
      </c>
      <c r="F34" s="14" t="str">
        <f t="shared" si="3"/>
        <v/>
      </c>
      <c r="G34" s="15"/>
      <c r="H34" s="62" t="str">
        <f t="shared" si="9"/>
        <v/>
      </c>
      <c r="I34" s="16" t="str">
        <f t="shared" si="2"/>
        <v/>
      </c>
      <c r="J34" s="41"/>
      <c r="K34" s="88"/>
      <c r="L34" s="97"/>
      <c r="M34" s="97"/>
      <c r="N34" s="97"/>
      <c r="O34" s="97"/>
      <c r="P34" s="97"/>
      <c r="Q34" s="97"/>
      <c r="R34" s="97"/>
      <c r="S34" s="97"/>
      <c r="T34" s="97"/>
      <c r="U34" s="97"/>
      <c r="V34" s="97"/>
      <c r="W34" s="97"/>
      <c r="X34" s="97"/>
      <c r="Y34" s="97"/>
    </row>
    <row r="35" spans="1:25" ht="14.45">
      <c r="A35" s="61" t="str">
        <v>Greenfield USD - Raffaello Palla ES</v>
      </c>
      <c r="B35" s="69" t="str">
        <v>CA</v>
      </c>
      <c r="C35" s="61"/>
      <c r="D35" s="61"/>
      <c r="E35" s="61" t="str">
        <f t="shared" si="6"/>
        <v/>
      </c>
      <c r="F35" s="19" t="str">
        <f t="shared" si="3"/>
        <v/>
      </c>
      <c r="G35" s="61"/>
      <c r="H35" s="61" t="str">
        <f t="shared" si="9"/>
        <v/>
      </c>
      <c r="I35" s="19" t="str">
        <f t="shared" si="2"/>
        <v/>
      </c>
      <c r="J35" s="118"/>
      <c r="K35" s="119"/>
      <c r="L35" s="97"/>
      <c r="M35" s="97"/>
      <c r="N35" s="97"/>
      <c r="O35" s="97"/>
      <c r="P35" s="97"/>
      <c r="Q35" s="97"/>
      <c r="R35" s="97"/>
      <c r="S35" s="97"/>
      <c r="T35" s="97"/>
      <c r="U35" s="97"/>
      <c r="V35" s="97"/>
      <c r="W35" s="97"/>
      <c r="X35" s="97"/>
      <c r="Y35" s="97"/>
    </row>
    <row r="36" spans="1:25" ht="15.6">
      <c r="A36" s="28" t="str">
        <v>Greenfield USD - Valle Verde ES</v>
      </c>
      <c r="B36" s="67" t="str">
        <v>CA</v>
      </c>
      <c r="C36" s="24"/>
      <c r="D36" s="13"/>
      <c r="E36" s="13" t="str">
        <f t="shared" si="6"/>
        <v/>
      </c>
      <c r="F36" s="14" t="str">
        <f t="shared" si="3"/>
        <v/>
      </c>
      <c r="G36" s="15"/>
      <c r="H36" s="62" t="str">
        <f t="shared" si="9"/>
        <v/>
      </c>
      <c r="I36" s="16" t="str">
        <f t="shared" si="2"/>
        <v/>
      </c>
      <c r="J36" s="41"/>
      <c r="K36" s="41"/>
      <c r="L36" s="97"/>
      <c r="M36" s="97"/>
      <c r="N36" s="97"/>
      <c r="O36" s="97"/>
      <c r="P36" s="97"/>
      <c r="Q36" s="97"/>
      <c r="R36" s="97"/>
      <c r="S36" s="97"/>
      <c r="T36" s="97"/>
      <c r="U36" s="97"/>
      <c r="V36" s="97"/>
      <c r="W36" s="97"/>
      <c r="X36" s="97"/>
      <c r="Y36" s="97"/>
    </row>
    <row r="37" spans="1:25" ht="14.45">
      <c r="A37" s="61" t="str">
        <v>Greenfield USD - W.A. Kendrick ES</v>
      </c>
      <c r="B37" s="69" t="str">
        <v>CA</v>
      </c>
      <c r="C37" s="61"/>
      <c r="D37" s="61"/>
      <c r="E37" s="61" t="str">
        <f t="shared" si="6"/>
        <v/>
      </c>
      <c r="F37" s="19" t="str">
        <f t="shared" si="3"/>
        <v/>
      </c>
      <c r="G37" s="20"/>
      <c r="H37" s="61" t="str">
        <f t="shared" si="9"/>
        <v/>
      </c>
      <c r="I37" s="19" t="str">
        <f t="shared" si="2"/>
        <v/>
      </c>
      <c r="J37" s="118"/>
      <c r="K37" s="119"/>
      <c r="L37" s="98"/>
      <c r="M37" s="97"/>
      <c r="N37" s="97"/>
      <c r="O37" s="97"/>
      <c r="P37" s="97"/>
      <c r="Q37" s="97"/>
      <c r="R37" s="97"/>
      <c r="S37" s="97"/>
      <c r="T37" s="97"/>
      <c r="U37" s="97"/>
      <c r="V37" s="97"/>
      <c r="W37" s="97"/>
      <c r="X37" s="97"/>
      <c r="Y37" s="97"/>
    </row>
    <row r="38" spans="1:25" ht="15.6">
      <c r="A38" s="28" t="str">
        <v>Muroc Joint USD - Boron HS</v>
      </c>
      <c r="B38" s="67" t="str">
        <v>CA</v>
      </c>
      <c r="C38" s="24"/>
      <c r="D38" s="13"/>
      <c r="E38" s="13" t="str">
        <f t="shared" si="6"/>
        <v/>
      </c>
      <c r="F38" s="14" t="str">
        <f t="shared" si="3"/>
        <v/>
      </c>
      <c r="G38" s="15"/>
      <c r="H38" s="62" t="str">
        <f t="shared" si="9"/>
        <v/>
      </c>
      <c r="I38" s="16" t="str">
        <f t="shared" si="2"/>
        <v/>
      </c>
      <c r="J38" s="64"/>
      <c r="K38" s="88"/>
      <c r="L38" s="98"/>
      <c r="M38" s="97"/>
      <c r="N38" s="97"/>
      <c r="O38" s="97"/>
      <c r="P38" s="97"/>
      <c r="Q38" s="97"/>
      <c r="R38" s="97"/>
      <c r="S38" s="97"/>
      <c r="T38" s="97"/>
      <c r="U38" s="97"/>
      <c r="V38" s="97"/>
      <c r="W38" s="97"/>
      <c r="X38" s="97"/>
      <c r="Y38" s="97"/>
    </row>
    <row r="39" spans="1:25" ht="15.6">
      <c r="A39" s="30" t="str">
        <v>Muroc Joint USD - W. Boron ES</v>
      </c>
      <c r="B39" s="68" t="str">
        <v>CA</v>
      </c>
      <c r="C39" s="11"/>
      <c r="D39" s="18"/>
      <c r="E39" s="18" t="str">
        <f t="shared" si="6"/>
        <v/>
      </c>
      <c r="F39" s="19" t="str">
        <f t="shared" si="3"/>
        <v/>
      </c>
      <c r="G39" s="72"/>
      <c r="H39" s="20" t="str">
        <f t="shared" si="9"/>
        <v/>
      </c>
      <c r="I39" s="19" t="str">
        <f t="shared" si="2"/>
        <v/>
      </c>
      <c r="J39" s="53"/>
      <c r="K39" s="60"/>
      <c r="L39" s="97"/>
      <c r="M39" s="97"/>
      <c r="N39" s="97"/>
      <c r="O39" s="97"/>
      <c r="P39" s="97"/>
      <c r="Q39" s="97"/>
      <c r="R39" s="97"/>
      <c r="S39" s="97"/>
      <c r="T39" s="97"/>
      <c r="U39" s="97"/>
      <c r="V39" s="97"/>
      <c r="W39" s="97"/>
      <c r="X39" s="97"/>
      <c r="Y39" s="97"/>
    </row>
    <row r="40" spans="1:25" ht="15.6">
      <c r="A40" s="28" t="str">
        <v>Colusa - WTP</v>
      </c>
      <c r="B40" s="67" t="str">
        <v>CA</v>
      </c>
      <c r="C40" s="24"/>
      <c r="D40" s="13"/>
      <c r="E40" s="13" t="str">
        <f t="shared" si="6"/>
        <v/>
      </c>
      <c r="F40" s="14" t="str">
        <f t="shared" si="3"/>
        <v/>
      </c>
      <c r="G40" s="15"/>
      <c r="H40" s="62" t="str">
        <f t="shared" si="9"/>
        <v/>
      </c>
      <c r="I40" s="16" t="str">
        <f t="shared" si="2"/>
        <v/>
      </c>
      <c r="J40" s="41"/>
      <c r="K40" s="88"/>
      <c r="L40" s="98"/>
      <c r="M40" s="97"/>
      <c r="N40" s="97"/>
      <c r="O40" s="97"/>
      <c r="P40" s="97"/>
      <c r="Q40" s="97"/>
      <c r="R40" s="97"/>
      <c r="S40" s="97"/>
      <c r="T40" s="97"/>
      <c r="U40" s="97"/>
      <c r="V40" s="97"/>
      <c r="W40" s="97"/>
      <c r="X40" s="97"/>
      <c r="Y40" s="97"/>
    </row>
    <row r="41" spans="1:25" ht="15.6">
      <c r="A41" s="30" t="str">
        <v>CDCR-North Kern State Prision</v>
      </c>
      <c r="B41" s="68" t="str">
        <v>CA</v>
      </c>
      <c r="C41" s="11"/>
      <c r="D41" s="18"/>
      <c r="E41" s="18" t="str">
        <f t="shared" si="6"/>
        <v/>
      </c>
      <c r="F41" s="19" t="str">
        <f t="shared" si="3"/>
        <v/>
      </c>
      <c r="G41" s="20"/>
      <c r="H41" s="20" t="str">
        <f t="shared" si="9"/>
        <v/>
      </c>
      <c r="I41" s="19" t="str">
        <f t="shared" si="2"/>
        <v/>
      </c>
      <c r="J41" s="53"/>
      <c r="K41" s="87"/>
      <c r="L41" s="98"/>
      <c r="M41" s="98"/>
      <c r="N41" s="97"/>
      <c r="O41" s="97"/>
      <c r="P41" s="97"/>
      <c r="Q41" s="97"/>
      <c r="R41" s="97"/>
      <c r="S41" s="97"/>
      <c r="T41" s="97"/>
      <c r="U41" s="97"/>
      <c r="V41" s="97"/>
      <c r="W41" s="97"/>
      <c r="X41" s="97"/>
      <c r="Y41" s="97"/>
    </row>
    <row r="42" spans="1:25" ht="15.6">
      <c r="A42" s="28" t="str">
        <v>Muroc Joint USD - District Office</v>
      </c>
      <c r="B42" s="67" t="str">
        <v>CA</v>
      </c>
      <c r="C42" s="24"/>
      <c r="D42" s="13"/>
      <c r="E42" s="13" t="str">
        <f t="shared" si="6"/>
        <v/>
      </c>
      <c r="F42" s="14" t="str">
        <f t="shared" si="3"/>
        <v/>
      </c>
      <c r="G42" s="15"/>
      <c r="H42" s="62" t="str">
        <f t="shared" si="9"/>
        <v/>
      </c>
      <c r="I42" s="16" t="str">
        <f t="shared" si="2"/>
        <v/>
      </c>
      <c r="J42" s="41"/>
      <c r="K42" s="88"/>
      <c r="L42" s="97"/>
      <c r="M42" s="97"/>
      <c r="N42" s="97"/>
      <c r="O42" s="97"/>
      <c r="P42" s="97"/>
      <c r="Q42" s="97"/>
      <c r="R42" s="97"/>
      <c r="S42" s="97"/>
      <c r="T42" s="97"/>
      <c r="U42" s="97"/>
      <c r="V42" s="97"/>
      <c r="W42" s="97"/>
      <c r="X42" s="97"/>
      <c r="Y42" s="97"/>
    </row>
    <row r="43" spans="1:25" ht="15.6">
      <c r="A43" s="30" t="str">
        <v>Whole Foods - Manhattan Beach</v>
      </c>
      <c r="B43" s="68" t="str">
        <v>CA</v>
      </c>
      <c r="C43" s="11"/>
      <c r="D43" s="18"/>
      <c r="E43" s="18" t="str">
        <f t="shared" si="6"/>
        <v/>
      </c>
      <c r="F43" s="19" t="str">
        <f t="shared" si="3"/>
        <v/>
      </c>
      <c r="G43" s="20"/>
      <c r="H43" s="20" t="str">
        <f t="shared" si="9"/>
        <v/>
      </c>
      <c r="I43" s="19" t="str">
        <f t="shared" si="2"/>
        <v/>
      </c>
      <c r="J43" s="53"/>
      <c r="K43" s="87"/>
      <c r="L43" s="98"/>
      <c r="M43" s="98"/>
      <c r="N43" s="98"/>
      <c r="O43" s="98"/>
      <c r="P43" s="98"/>
      <c r="Q43" s="98"/>
      <c r="R43" s="98"/>
      <c r="S43" s="98" t="s">
        <v>97</v>
      </c>
      <c r="T43" s="98" t="s">
        <v>100</v>
      </c>
      <c r="U43" s="97"/>
      <c r="V43" s="97"/>
      <c r="W43" s="97"/>
      <c r="X43" s="97"/>
      <c r="Y43" s="97"/>
    </row>
    <row r="44" spans="1:25" ht="15.6">
      <c r="A44" s="28" t="str">
        <v>Pioneer USD - Frontier ES</v>
      </c>
      <c r="B44" s="67" t="str">
        <v>CA</v>
      </c>
      <c r="C44" s="24"/>
      <c r="D44" s="13"/>
      <c r="E44" s="13" t="str">
        <f t="shared" si="6"/>
        <v/>
      </c>
      <c r="F44" s="14" t="str">
        <f t="shared" si="3"/>
        <v/>
      </c>
      <c r="G44" s="15"/>
      <c r="H44" s="62" t="str">
        <f t="shared" si="9"/>
        <v/>
      </c>
      <c r="I44" s="16" t="str">
        <f t="shared" si="2"/>
        <v/>
      </c>
      <c r="J44" s="41"/>
      <c r="K44" s="88"/>
      <c r="L44" s="98"/>
      <c r="M44" s="98"/>
      <c r="N44" s="97"/>
      <c r="O44" s="97"/>
      <c r="P44" s="97"/>
      <c r="Q44" s="97"/>
      <c r="R44" s="97"/>
      <c r="S44" s="97"/>
      <c r="T44" s="97"/>
      <c r="U44" s="97"/>
      <c r="V44" s="97"/>
      <c r="W44" s="97"/>
      <c r="X44" s="97"/>
      <c r="Y44" s="97"/>
    </row>
    <row r="45" spans="1:25" ht="15.6">
      <c r="A45" s="30" t="str">
        <v>Pioneer USD - Pioneer ES</v>
      </c>
      <c r="B45" s="68" t="str">
        <v>CA</v>
      </c>
      <c r="C45" s="11"/>
      <c r="D45" s="18"/>
      <c r="E45" s="18" t="str">
        <f t="shared" si="6"/>
        <v/>
      </c>
      <c r="F45" s="19" t="str">
        <f t="shared" si="3"/>
        <v/>
      </c>
      <c r="G45" s="20"/>
      <c r="H45" s="20" t="str">
        <f t="shared" si="9"/>
        <v/>
      </c>
      <c r="I45" s="19" t="str">
        <f t="shared" si="2"/>
        <v/>
      </c>
      <c r="J45" s="53"/>
      <c r="K45" s="87"/>
      <c r="L45" s="98"/>
      <c r="M45" s="98"/>
      <c r="N45" s="97"/>
      <c r="O45" s="97"/>
      <c r="P45" s="97"/>
      <c r="Q45" s="97"/>
      <c r="R45" s="97"/>
      <c r="S45" s="97"/>
      <c r="T45" s="97"/>
      <c r="U45" s="97"/>
      <c r="V45" s="97"/>
      <c r="W45" s="97"/>
      <c r="X45" s="97"/>
      <c r="Y45" s="97"/>
    </row>
    <row r="46" spans="1:25" ht="15.6">
      <c r="A46" s="28" t="str">
        <v>Pioneer USD - Pioneer MS</v>
      </c>
      <c r="B46" s="67" t="str">
        <v>CA</v>
      </c>
      <c r="C46" s="24"/>
      <c r="D46" s="13"/>
      <c r="E46" s="13" t="str">
        <f t="shared" si="6"/>
        <v/>
      </c>
      <c r="F46" s="14" t="str">
        <f t="shared" si="3"/>
        <v/>
      </c>
      <c r="G46" s="15"/>
      <c r="H46" s="62" t="str">
        <f t="shared" si="9"/>
        <v/>
      </c>
      <c r="I46" s="16" t="str">
        <f t="shared" si="2"/>
        <v/>
      </c>
      <c r="J46" s="41"/>
      <c r="K46" s="41"/>
      <c r="L46" s="97"/>
      <c r="M46" s="97"/>
      <c r="N46" s="97"/>
      <c r="O46" s="97"/>
      <c r="P46" s="97"/>
      <c r="Q46" s="97"/>
      <c r="R46" s="97"/>
      <c r="S46" s="97"/>
      <c r="T46" s="97"/>
      <c r="U46" s="97"/>
      <c r="V46" s="97"/>
      <c r="W46" s="97"/>
      <c r="X46" s="97"/>
      <c r="Y46" s="97"/>
    </row>
    <row r="47" spans="1:25" ht="15.6">
      <c r="A47" s="30" t="str">
        <v>Kingsburg Joint UHSD - Kingsburg HS</v>
      </c>
      <c r="B47" s="68" t="str">
        <v>CA</v>
      </c>
      <c r="C47" s="11"/>
      <c r="D47" s="18"/>
      <c r="E47" s="18" t="str">
        <f t="shared" si="6"/>
        <v/>
      </c>
      <c r="F47" s="19" t="str">
        <f t="shared" si="3"/>
        <v/>
      </c>
      <c r="G47" s="20"/>
      <c r="H47" s="20" t="str">
        <f t="shared" si="9"/>
        <v/>
      </c>
      <c r="I47" s="19" t="str">
        <f t="shared" si="2"/>
        <v/>
      </c>
      <c r="J47" s="53"/>
      <c r="K47" s="87"/>
      <c r="L47" s="98"/>
      <c r="M47" s="98"/>
      <c r="N47" s="98"/>
      <c r="O47" s="98"/>
      <c r="P47" s="97"/>
      <c r="Q47" s="97"/>
      <c r="R47" s="97"/>
      <c r="S47" s="97"/>
      <c r="T47" s="97"/>
      <c r="U47" s="97"/>
      <c r="V47" s="97"/>
      <c r="W47" s="97"/>
      <c r="X47" s="97"/>
      <c r="Y47" s="97"/>
    </row>
    <row r="48" spans="1:25" ht="15.6">
      <c r="A48" s="28" t="str">
        <v>CADRB</v>
      </c>
      <c r="B48" s="67" t="str">
        <v>CA</v>
      </c>
      <c r="C48" s="24"/>
      <c r="D48" s="13"/>
      <c r="E48" s="13" t="str">
        <f t="shared" si="6"/>
        <v/>
      </c>
      <c r="F48" s="14" t="str">
        <f t="shared" si="3"/>
        <v/>
      </c>
      <c r="G48" s="15"/>
      <c r="H48" s="62" t="str">
        <f t="shared" si="9"/>
        <v/>
      </c>
      <c r="I48" s="16" t="str">
        <f t="shared" si="2"/>
        <v/>
      </c>
      <c r="J48" s="64"/>
      <c r="K48" s="88"/>
      <c r="L48" s="98"/>
      <c r="M48" s="98"/>
      <c r="N48" s="97"/>
      <c r="O48" s="97"/>
      <c r="P48" s="97"/>
      <c r="Q48" s="97"/>
      <c r="R48" s="97"/>
      <c r="S48" s="97"/>
      <c r="T48" s="97"/>
      <c r="U48" s="97"/>
      <c r="V48" s="97"/>
      <c r="W48" s="97"/>
      <c r="X48" s="97"/>
      <c r="Y48" s="97"/>
    </row>
    <row r="49" spans="1:25" ht="15.6">
      <c r="A49" s="30" t="str">
        <v>CDCR-CA State Prison LA County</v>
      </c>
      <c r="B49" s="68" t="str">
        <v>CA</v>
      </c>
      <c r="C49" s="11"/>
      <c r="D49" s="18"/>
      <c r="E49" s="18" t="str">
        <f t="shared" si="6"/>
        <v/>
      </c>
      <c r="F49" s="19" t="str">
        <f t="shared" si="3"/>
        <v/>
      </c>
      <c r="G49" s="20"/>
      <c r="H49" s="20" t="str">
        <f t="shared" si="9"/>
        <v/>
      </c>
      <c r="I49" s="19" t="str">
        <f t="shared" si="2"/>
        <v/>
      </c>
      <c r="J49" s="53"/>
      <c r="K49" s="87"/>
      <c r="L49" s="98"/>
      <c r="M49" s="97"/>
      <c r="N49" s="97"/>
      <c r="O49" s="97"/>
      <c r="P49" s="97"/>
      <c r="Q49" s="97"/>
      <c r="R49" s="97"/>
      <c r="S49" s="97"/>
      <c r="T49" s="97"/>
      <c r="U49" s="97"/>
      <c r="V49" s="97"/>
      <c r="W49" s="97"/>
      <c r="X49" s="97"/>
      <c r="Y49" s="97"/>
    </row>
    <row r="50" spans="1:25" ht="15.6">
      <c r="A50" s="28" t="str">
        <v>Central USD Akers ES</v>
      </c>
      <c r="B50" s="67" t="str">
        <v>CA</v>
      </c>
      <c r="C50" s="24"/>
      <c r="D50" s="13"/>
      <c r="E50" s="13" t="str">
        <f t="shared" si="6"/>
        <v/>
      </c>
      <c r="F50" s="14" t="str">
        <f t="shared" si="3"/>
        <v/>
      </c>
      <c r="G50" s="15"/>
      <c r="H50" s="62" t="str">
        <f t="shared" si="9"/>
        <v/>
      </c>
      <c r="I50" s="16" t="str">
        <f t="shared" si="2"/>
        <v/>
      </c>
      <c r="J50" s="41"/>
      <c r="K50" s="120"/>
      <c r="L50" s="98"/>
      <c r="M50" s="98"/>
      <c r="N50" s="97"/>
      <c r="O50" s="97"/>
      <c r="P50" s="97"/>
      <c r="Q50" s="97"/>
      <c r="R50" s="97"/>
      <c r="S50" s="97"/>
      <c r="T50" s="97"/>
      <c r="U50" s="97"/>
      <c r="V50" s="97"/>
      <c r="W50" s="97"/>
      <c r="X50" s="97"/>
      <c r="Y50" s="97"/>
    </row>
    <row r="51" spans="1:25" ht="15.6">
      <c r="A51" s="30" t="str">
        <v>CUSD - District Office</v>
      </c>
      <c r="B51" s="68" t="str">
        <v>CA</v>
      </c>
      <c r="C51" s="11"/>
      <c r="D51" s="18"/>
      <c r="E51" s="18" t="str">
        <f t="shared" si="6"/>
        <v/>
      </c>
      <c r="F51" s="19" t="str">
        <f t="shared" si="3"/>
        <v/>
      </c>
      <c r="G51" s="20"/>
      <c r="H51" s="20" t="str">
        <f t="shared" si="9"/>
        <v/>
      </c>
      <c r="I51" s="19" t="str">
        <f t="shared" si="2"/>
        <v/>
      </c>
      <c r="J51" s="53"/>
      <c r="K51" s="87"/>
      <c r="L51" s="98"/>
      <c r="M51" s="97"/>
      <c r="N51" s="97"/>
      <c r="O51" s="97"/>
      <c r="P51" s="97"/>
      <c r="Q51" s="97"/>
      <c r="R51" s="97"/>
      <c r="S51" s="97"/>
      <c r="T51" s="97"/>
      <c r="U51" s="97"/>
      <c r="V51" s="97"/>
      <c r="W51" s="97"/>
      <c r="X51" s="97"/>
      <c r="Y51" s="97"/>
    </row>
    <row r="52" spans="1:25" ht="15.6">
      <c r="A52" s="28" t="str">
        <v>Parlier - WTP</v>
      </c>
      <c r="B52" s="67" t="str">
        <v>CA</v>
      </c>
      <c r="C52" s="24"/>
      <c r="D52" s="13"/>
      <c r="E52" s="13" t="str">
        <f t="shared" si="6"/>
        <v/>
      </c>
      <c r="F52" s="14" t="str">
        <f t="shared" si="3"/>
        <v/>
      </c>
      <c r="G52" s="15"/>
      <c r="H52" s="62" t="str">
        <f t="shared" si="9"/>
        <v/>
      </c>
      <c r="I52" s="16" t="str">
        <f t="shared" si="2"/>
        <v/>
      </c>
      <c r="J52" s="41"/>
      <c r="K52" s="41"/>
      <c r="L52" s="97"/>
      <c r="M52" s="97"/>
      <c r="N52" s="97"/>
      <c r="O52" s="97"/>
      <c r="P52" s="97"/>
      <c r="Q52" s="97"/>
      <c r="R52" s="97"/>
      <c r="S52" s="97"/>
      <c r="T52" s="97"/>
      <c r="U52" s="97"/>
      <c r="V52" s="97"/>
      <c r="W52" s="97"/>
      <c r="X52" s="97"/>
      <c r="Y52" s="97"/>
    </row>
    <row r="53" spans="1:25" ht="15.6">
      <c r="A53" s="30" t="str">
        <v>Snowline SD - Quail Valley MS</v>
      </c>
      <c r="B53" s="68" t="str">
        <v>CA</v>
      </c>
      <c r="C53" s="11"/>
      <c r="D53" s="18"/>
      <c r="E53" s="18" t="str">
        <f t="shared" si="6"/>
        <v/>
      </c>
      <c r="F53" s="19" t="str">
        <f t="shared" si="3"/>
        <v/>
      </c>
      <c r="G53" s="20"/>
      <c r="H53" s="20" t="str">
        <f t="shared" si="9"/>
        <v/>
      </c>
      <c r="I53" s="19" t="str">
        <f t="shared" si="2"/>
        <v/>
      </c>
      <c r="J53" s="53"/>
      <c r="K53" s="87"/>
      <c r="L53" s="98"/>
      <c r="M53" s="98"/>
      <c r="N53" s="97"/>
      <c r="O53" s="97"/>
      <c r="P53" s="97"/>
      <c r="Q53" s="97"/>
      <c r="R53" s="97"/>
      <c r="S53" s="97"/>
      <c r="T53" s="97"/>
      <c r="U53" s="97"/>
      <c r="V53" s="97"/>
      <c r="W53" s="97"/>
      <c r="X53" s="97"/>
      <c r="Y53" s="97"/>
    </row>
    <row r="54" spans="1:25" ht="14.45">
      <c r="A54" s="29" t="str">
        <v>Snowline SD - Serrano HS - Middle Lot</v>
      </c>
      <c r="B54" s="67" t="str">
        <v>CA</v>
      </c>
      <c r="C54" s="63"/>
      <c r="D54" s="13"/>
      <c r="E54" s="13" t="str">
        <f t="shared" si="6"/>
        <v/>
      </c>
      <c r="F54" s="14" t="str">
        <f t="shared" si="3"/>
        <v/>
      </c>
      <c r="G54" s="62"/>
      <c r="H54" s="62" t="str">
        <f t="shared" si="9"/>
        <v/>
      </c>
      <c r="I54" s="16" t="str">
        <f t="shared" si="2"/>
        <v/>
      </c>
      <c r="J54" s="64"/>
      <c r="K54" s="120"/>
      <c r="L54" s="97"/>
      <c r="M54" s="97"/>
      <c r="N54" s="97"/>
      <c r="O54" s="97"/>
      <c r="P54" s="97"/>
      <c r="Q54" s="97"/>
      <c r="R54" s="97"/>
      <c r="S54" s="97"/>
      <c r="T54" s="97"/>
      <c r="U54" s="97"/>
      <c r="V54" s="97"/>
      <c r="W54" s="97"/>
      <c r="X54" s="97"/>
      <c r="Y54" s="97"/>
    </row>
    <row r="55" spans="1:25" ht="15.6">
      <c r="A55" s="30" t="str">
        <v>Snowline SD - Pinon Hills ES</v>
      </c>
      <c r="B55" s="68" t="str">
        <v>CA</v>
      </c>
      <c r="C55" s="11"/>
      <c r="D55" s="18"/>
      <c r="E55" s="18" t="str">
        <f t="shared" si="6"/>
        <v/>
      </c>
      <c r="F55" s="19" t="str">
        <f t="shared" si="3"/>
        <v/>
      </c>
      <c r="G55" s="20"/>
      <c r="H55" s="20" t="str">
        <f t="shared" si="9"/>
        <v/>
      </c>
      <c r="I55" s="19" t="str">
        <f t="shared" si="2"/>
        <v/>
      </c>
      <c r="J55" s="53"/>
      <c r="K55" s="87"/>
      <c r="L55" s="97"/>
      <c r="M55" s="97"/>
      <c r="N55" s="97"/>
      <c r="O55" s="97"/>
      <c r="P55" s="97"/>
      <c r="Q55" s="97"/>
      <c r="R55" s="97"/>
      <c r="S55" s="97"/>
      <c r="T55" s="97"/>
      <c r="U55" s="97"/>
      <c r="V55" s="97"/>
      <c r="W55" s="97"/>
      <c r="X55" s="97"/>
      <c r="Y55" s="97"/>
    </row>
    <row r="56" spans="1:25" ht="15.6">
      <c r="A56" s="28" t="str">
        <v>Ramona - Santa Maria WTP</v>
      </c>
      <c r="B56" s="67" t="str">
        <v>CA</v>
      </c>
      <c r="C56" s="24"/>
      <c r="D56" s="13"/>
      <c r="E56" s="13" t="str">
        <f t="shared" si="6"/>
        <v/>
      </c>
      <c r="F56" s="14" t="str">
        <f t="shared" si="3"/>
        <v/>
      </c>
      <c r="G56" s="15"/>
      <c r="H56" s="62" t="str">
        <f t="shared" si="9"/>
        <v/>
      </c>
      <c r="I56" s="16" t="str">
        <f t="shared" si="2"/>
        <v/>
      </c>
      <c r="J56" s="41"/>
      <c r="K56" s="41"/>
      <c r="L56" s="97"/>
      <c r="M56" s="97"/>
      <c r="N56" s="97"/>
      <c r="O56" s="97"/>
      <c r="P56" s="97"/>
      <c r="Q56" s="97"/>
      <c r="R56" s="97"/>
      <c r="S56" s="97"/>
      <c r="T56" s="97"/>
      <c r="U56" s="97"/>
      <c r="V56" s="97"/>
      <c r="W56" s="97"/>
      <c r="X56" s="97"/>
      <c r="Y56" s="97"/>
    </row>
    <row r="57" spans="1:25" ht="15.6">
      <c r="A57" s="30" t="str">
        <v>Kohls - Redding</v>
      </c>
      <c r="B57" s="68" t="str">
        <v>CA</v>
      </c>
      <c r="C57" s="11"/>
      <c r="D57" s="18"/>
      <c r="E57" s="18" t="str">
        <f t="shared" si="6"/>
        <v/>
      </c>
      <c r="F57" s="19" t="str">
        <f t="shared" si="3"/>
        <v/>
      </c>
      <c r="G57" s="20"/>
      <c r="H57" s="20" t="str">
        <f t="shared" ref="H57:H58" si="10">IF(AND(ISNUMBER(C57),ISNUMBER(G57)), C57-G57, "")</f>
        <v/>
      </c>
      <c r="I57" s="19" t="str">
        <f t="shared" si="2"/>
        <v/>
      </c>
      <c r="J57" s="53"/>
      <c r="K57" s="87"/>
      <c r="L57" s="97"/>
      <c r="M57" s="97"/>
      <c r="N57" s="97"/>
      <c r="O57" s="97"/>
      <c r="P57" s="97"/>
      <c r="Q57" s="97"/>
      <c r="R57" s="97"/>
      <c r="S57" s="97"/>
      <c r="T57" s="97"/>
      <c r="U57" s="97"/>
      <c r="V57" s="97"/>
      <c r="W57" s="97"/>
      <c r="X57" s="97"/>
      <c r="Y57" s="97"/>
    </row>
    <row r="58" spans="1:25" ht="15.6">
      <c r="A58" s="28" t="str">
        <v>Kohls - Salinas</v>
      </c>
      <c r="B58" s="67" t="str">
        <v>CA</v>
      </c>
      <c r="C58" s="24"/>
      <c r="D58" s="13"/>
      <c r="E58" s="13" t="str">
        <f t="shared" si="6"/>
        <v/>
      </c>
      <c r="F58" s="14" t="str">
        <f t="shared" si="3"/>
        <v/>
      </c>
      <c r="G58" s="15"/>
      <c r="H58" s="62" t="str">
        <f t="shared" si="10"/>
        <v/>
      </c>
      <c r="I58" s="16" t="str">
        <f t="shared" si="2"/>
        <v/>
      </c>
      <c r="J58" s="41"/>
      <c r="K58" s="120"/>
      <c r="L58" s="98"/>
      <c r="M58" s="98"/>
      <c r="N58" s="98"/>
      <c r="O58" s="98"/>
      <c r="P58" s="98"/>
      <c r="Q58" s="98"/>
      <c r="R58" s="98"/>
      <c r="S58" s="98" t="s">
        <v>191</v>
      </c>
      <c r="T58" s="97"/>
      <c r="U58" s="97"/>
      <c r="V58" s="97"/>
      <c r="W58" s="97"/>
      <c r="X58" s="97"/>
      <c r="Y58" s="97"/>
    </row>
    <row r="59" spans="1:25" ht="15.6" hidden="1">
      <c r="A59" s="30" t="str">
        <v>Kohls - Sonora</v>
      </c>
      <c r="B59" s="68" t="str">
        <v>CA</v>
      </c>
      <c r="C59" s="11"/>
      <c r="D59" s="18"/>
      <c r="E59" s="18" t="str">
        <f t="shared" si="6"/>
        <v/>
      </c>
      <c r="F59" s="19" t="str">
        <f t="shared" si="3"/>
        <v/>
      </c>
      <c r="G59" s="20"/>
      <c r="H59" s="20" t="str">
        <f t="shared" ref="H59:H68" si="11">IF(AND(ISNUMBER(C59),ISNUMBER(G59)), C59-G59, "")</f>
        <v/>
      </c>
      <c r="I59" s="19" t="str">
        <f t="shared" si="2"/>
        <v/>
      </c>
      <c r="J59" s="53"/>
      <c r="K59" s="60"/>
      <c r="L59" s="97"/>
      <c r="M59" s="97"/>
      <c r="N59" s="97"/>
      <c r="O59" s="97"/>
      <c r="P59" s="97"/>
      <c r="Q59" s="97"/>
      <c r="R59" s="97"/>
      <c r="S59" s="97"/>
      <c r="T59" s="97"/>
      <c r="U59" s="97"/>
      <c r="V59" s="97"/>
      <c r="W59" s="97"/>
      <c r="X59" s="97"/>
      <c r="Y59" s="97"/>
    </row>
    <row r="60" spans="1:25" ht="15.6">
      <c r="A60" s="28" t="str">
        <v>CUSD - Stratford ES</v>
      </c>
      <c r="B60" s="67" t="str">
        <v>CA</v>
      </c>
      <c r="C60" s="24"/>
      <c r="D60" s="13"/>
      <c r="E60" s="13" t="str">
        <f t="shared" si="6"/>
        <v/>
      </c>
      <c r="F60" s="14" t="str">
        <f t="shared" si="3"/>
        <v/>
      </c>
      <c r="G60" s="15"/>
      <c r="H60" s="62" t="str">
        <f t="shared" si="11"/>
        <v/>
      </c>
      <c r="I60" s="16" t="str">
        <f t="shared" si="2"/>
        <v/>
      </c>
      <c r="J60" s="41"/>
      <c r="K60" s="88"/>
      <c r="L60" s="98"/>
      <c r="M60" s="97"/>
      <c r="N60" s="97"/>
      <c r="O60" s="97"/>
      <c r="P60" s="97"/>
      <c r="Q60" s="97"/>
      <c r="R60" s="97"/>
      <c r="S60" s="97"/>
      <c r="T60" s="97"/>
      <c r="U60" s="97"/>
      <c r="V60" s="97"/>
      <c r="W60" s="97"/>
      <c r="X60" s="97"/>
      <c r="Y60" s="97"/>
    </row>
    <row r="61" spans="1:25" ht="15.6">
      <c r="A61" s="30" t="str">
        <v>Taft - City Hall</v>
      </c>
      <c r="B61" s="68" t="str">
        <v>CA</v>
      </c>
      <c r="C61" s="11"/>
      <c r="D61" s="18"/>
      <c r="E61" s="18" t="str">
        <f t="shared" si="6"/>
        <v/>
      </c>
      <c r="F61" s="19" t="str">
        <f t="shared" si="3"/>
        <v/>
      </c>
      <c r="G61" s="20"/>
      <c r="H61" s="20" t="str">
        <f t="shared" si="11"/>
        <v/>
      </c>
      <c r="I61" s="19" t="str">
        <f t="shared" si="2"/>
        <v/>
      </c>
      <c r="J61" s="53"/>
      <c r="K61" s="87"/>
      <c r="L61" s="98"/>
      <c r="M61" s="97"/>
      <c r="N61" s="97"/>
      <c r="O61" s="97"/>
      <c r="P61" s="97"/>
      <c r="Q61" s="97"/>
      <c r="R61" s="97"/>
      <c r="S61" s="97"/>
      <c r="T61" s="97"/>
      <c r="U61" s="97"/>
      <c r="V61" s="97"/>
      <c r="W61" s="97"/>
      <c r="X61" s="97"/>
      <c r="Y61" s="97"/>
    </row>
    <row r="62" spans="1:25" ht="15.6">
      <c r="A62" s="28" t="str">
        <v>Taft - Federal Prison</v>
      </c>
      <c r="B62" s="67" t="str">
        <v>CA</v>
      </c>
      <c r="C62" s="24"/>
      <c r="D62" s="13"/>
      <c r="E62" s="13" t="str">
        <f t="shared" si="6"/>
        <v/>
      </c>
      <c r="F62" s="14" t="str">
        <f t="shared" si="3"/>
        <v/>
      </c>
      <c r="G62" s="15"/>
      <c r="H62" s="62" t="str">
        <f t="shared" si="11"/>
        <v/>
      </c>
      <c r="I62" s="16" t="str">
        <f t="shared" si="2"/>
        <v/>
      </c>
      <c r="J62" s="41"/>
      <c r="K62" s="88"/>
      <c r="L62" s="97"/>
      <c r="M62" s="97"/>
      <c r="N62" s="97"/>
      <c r="O62" s="97"/>
      <c r="P62" s="97"/>
      <c r="Q62" s="97"/>
      <c r="R62" s="97"/>
      <c r="S62" s="97"/>
      <c r="T62" s="97"/>
      <c r="U62" s="97"/>
      <c r="V62" s="97"/>
      <c r="W62" s="97"/>
      <c r="X62" s="97"/>
      <c r="Y62" s="97"/>
    </row>
    <row r="63" spans="1:25" ht="15.6">
      <c r="A63" s="30" t="str">
        <v>Taft - Police Department</v>
      </c>
      <c r="B63" s="68" t="str">
        <v>CA</v>
      </c>
      <c r="C63" s="11"/>
      <c r="D63" s="18"/>
      <c r="E63" s="18" t="str">
        <f t="shared" si="6"/>
        <v/>
      </c>
      <c r="F63" s="19" t="str">
        <f t="shared" si="3"/>
        <v/>
      </c>
      <c r="G63" s="61"/>
      <c r="H63" s="20" t="str">
        <f t="shared" si="11"/>
        <v/>
      </c>
      <c r="I63" s="19" t="str">
        <f t="shared" si="2"/>
        <v/>
      </c>
      <c r="J63" s="53"/>
      <c r="K63" s="60"/>
      <c r="L63" s="97"/>
      <c r="M63" s="97"/>
      <c r="N63" s="97"/>
      <c r="O63" s="97"/>
      <c r="P63" s="97"/>
      <c r="Q63" s="97"/>
      <c r="R63" s="97"/>
      <c r="S63" s="97"/>
      <c r="T63" s="97"/>
      <c r="U63" s="97"/>
      <c r="V63" s="97"/>
      <c r="W63" s="97"/>
      <c r="X63" s="97"/>
      <c r="Y63" s="97"/>
    </row>
    <row r="64" spans="1:25" ht="15.6">
      <c r="A64" s="28" t="str">
        <v>Taft - WTP</v>
      </c>
      <c r="B64" s="67" t="str">
        <v>CA</v>
      </c>
      <c r="C64" s="24"/>
      <c r="D64" s="13"/>
      <c r="E64" s="13" t="str">
        <f t="shared" si="6"/>
        <v/>
      </c>
      <c r="F64" s="14" t="str">
        <f t="shared" si="3"/>
        <v/>
      </c>
      <c r="G64" s="15"/>
      <c r="H64" s="62" t="str">
        <f t="shared" si="11"/>
        <v/>
      </c>
      <c r="I64" s="16" t="str">
        <f t="shared" si="2"/>
        <v/>
      </c>
      <c r="J64" s="41"/>
      <c r="K64" s="41"/>
      <c r="L64" s="97"/>
      <c r="M64" s="97"/>
      <c r="N64" s="97"/>
      <c r="O64" s="97"/>
      <c r="P64" s="97"/>
      <c r="Q64" s="97"/>
      <c r="R64" s="97"/>
      <c r="S64" s="97"/>
      <c r="T64" s="97"/>
      <c r="U64" s="97"/>
      <c r="V64" s="97"/>
      <c r="W64" s="97"/>
      <c r="X64" s="97"/>
      <c r="Y64" s="97"/>
    </row>
    <row r="65" spans="1:25" ht="15.6">
      <c r="A65" s="30" t="str">
        <v>CDCR - CA Correctional Institution</v>
      </c>
      <c r="B65" s="68" t="str">
        <v>CA</v>
      </c>
      <c r="C65" s="65"/>
      <c r="D65" s="18"/>
      <c r="E65" s="18" t="str">
        <f t="shared" si="6"/>
        <v/>
      </c>
      <c r="F65" s="19" t="str">
        <f t="shared" si="3"/>
        <v/>
      </c>
      <c r="G65" s="61"/>
      <c r="H65" s="61" t="str">
        <f t="shared" si="11"/>
        <v/>
      </c>
      <c r="I65" s="19" t="str">
        <f t="shared" si="2"/>
        <v/>
      </c>
      <c r="J65" s="53"/>
      <c r="K65" s="87"/>
      <c r="L65" s="97"/>
      <c r="M65" s="97"/>
      <c r="N65" s="97"/>
      <c r="O65" s="97"/>
      <c r="P65" s="97"/>
      <c r="Q65" s="97"/>
      <c r="R65" s="97"/>
      <c r="S65" s="97"/>
      <c r="T65" s="97"/>
      <c r="U65" s="97"/>
      <c r="V65" s="97"/>
      <c r="W65" s="97"/>
      <c r="X65" s="97"/>
      <c r="Y65" s="97"/>
    </row>
    <row r="66" spans="1:25" ht="15.6">
      <c r="A66" s="28" t="str">
        <v>CDCR - CA Correctional Institution II</v>
      </c>
      <c r="B66" s="67" t="str">
        <v>CA</v>
      </c>
      <c r="C66" s="24"/>
      <c r="D66" s="13"/>
      <c r="E66" s="13" t="str">
        <f t="shared" si="6"/>
        <v/>
      </c>
      <c r="F66" s="14" t="str">
        <f t="shared" si="3"/>
        <v/>
      </c>
      <c r="G66" s="15"/>
      <c r="H66" s="62" t="str">
        <f t="shared" si="11"/>
        <v/>
      </c>
      <c r="I66" s="16" t="str">
        <f t="shared" si="2"/>
        <v/>
      </c>
      <c r="J66" s="64"/>
      <c r="K66" s="88"/>
      <c r="L66" s="97"/>
      <c r="M66" s="97"/>
      <c r="N66" s="97"/>
      <c r="O66" s="97"/>
      <c r="P66" s="97"/>
      <c r="Q66" s="97"/>
      <c r="R66" s="97"/>
      <c r="S66" s="97"/>
      <c r="T66" s="97"/>
      <c r="U66" s="97"/>
      <c r="V66" s="97"/>
      <c r="W66" s="97"/>
      <c r="X66" s="97"/>
      <c r="Y66" s="97"/>
    </row>
    <row r="67" spans="1:25" ht="15.6">
      <c r="A67" s="30" t="str">
        <v>Snowline SD - Vista Verde ES</v>
      </c>
      <c r="B67" s="68" t="str">
        <v>CA</v>
      </c>
      <c r="C67" s="65"/>
      <c r="D67" s="18"/>
      <c r="E67" s="18" t="str">
        <f t="shared" si="6"/>
        <v/>
      </c>
      <c r="F67" s="19" t="str">
        <f t="shared" si="3"/>
        <v/>
      </c>
      <c r="G67" s="61"/>
      <c r="H67" s="61" t="str">
        <f t="shared" si="11"/>
        <v/>
      </c>
      <c r="I67" s="19" t="str">
        <f t="shared" si="2"/>
        <v/>
      </c>
      <c r="J67" s="53"/>
      <c r="K67" s="87"/>
      <c r="L67" s="121"/>
      <c r="M67" s="97"/>
      <c r="N67" s="97"/>
      <c r="O67" s="97"/>
      <c r="P67" s="97"/>
      <c r="Q67" s="97"/>
      <c r="R67" s="97"/>
      <c r="S67" s="97"/>
      <c r="T67" s="97"/>
      <c r="U67" s="97"/>
      <c r="V67" s="97"/>
      <c r="W67" s="97"/>
      <c r="X67" s="97"/>
      <c r="Y67" s="97"/>
    </row>
    <row r="68" spans="1:25" ht="15.6">
      <c r="A68" s="28" t="str">
        <v>North Stonington</v>
      </c>
      <c r="B68" s="67" t="str">
        <v>CT</v>
      </c>
      <c r="C68" s="24"/>
      <c r="D68" s="13"/>
      <c r="E68" s="13" t="str">
        <f t="shared" si="6"/>
        <v/>
      </c>
      <c r="F68" s="14" t="str">
        <f t="shared" si="3"/>
        <v/>
      </c>
      <c r="G68" s="15"/>
      <c r="H68" s="62" t="str">
        <f t="shared" si="11"/>
        <v/>
      </c>
      <c r="I68" s="16" t="str">
        <f t="shared" si="2"/>
        <v/>
      </c>
      <c r="J68" s="41"/>
      <c r="K68" s="88"/>
      <c r="L68" s="97"/>
      <c r="M68" s="97"/>
      <c r="N68" s="97"/>
      <c r="O68" s="97"/>
      <c r="P68" s="97"/>
      <c r="Q68" s="97"/>
      <c r="R68" s="97"/>
      <c r="S68" s="97"/>
      <c r="T68" s="97"/>
      <c r="U68" s="97"/>
      <c r="V68" s="97"/>
      <c r="W68" s="97"/>
      <c r="X68" s="97"/>
      <c r="Y68" s="97"/>
    </row>
    <row r="69" spans="1:25" ht="15.6">
      <c r="A69" s="30" t="str">
        <v>CT: Torrington - 2-298 Rossi Road</v>
      </c>
      <c r="B69" s="68" t="str">
        <v>CT</v>
      </c>
      <c r="C69" s="65"/>
      <c r="D69" s="18"/>
      <c r="E69" s="18"/>
      <c r="F69" s="19" t="str">
        <f t="shared" si="3"/>
        <v/>
      </c>
      <c r="G69" s="113"/>
      <c r="H69" s="61" t="str">
        <f>IF(AND(ISNUMBER(C69),ISNUMBER(G69)), C69-G69, "")</f>
        <v/>
      </c>
      <c r="I69" s="96" t="str">
        <f>IFERROR(H69/G69, "")</f>
        <v/>
      </c>
      <c r="J69" s="54"/>
      <c r="K69" s="57"/>
      <c r="L69" s="30"/>
    </row>
    <row r="70" spans="1:25" ht="15.6">
      <c r="A70" s="28"/>
      <c r="B70" s="67"/>
      <c r="C70" s="24"/>
      <c r="D70" s="13"/>
      <c r="E70" s="13"/>
      <c r="F70" s="14"/>
      <c r="G70" s="15"/>
      <c r="H70" s="62"/>
      <c r="I70" s="16"/>
      <c r="J70" s="41"/>
      <c r="K70" s="88"/>
      <c r="L70" s="97"/>
      <c r="M70" s="97"/>
      <c r="N70" s="97"/>
      <c r="O70" s="97"/>
      <c r="P70" s="97"/>
      <c r="Q70" s="97"/>
      <c r="R70" s="97"/>
      <c r="S70" s="97"/>
      <c r="T70" s="97"/>
      <c r="U70" s="97"/>
      <c r="V70" s="97"/>
      <c r="W70" s="97"/>
      <c r="X70" s="97"/>
      <c r="Y70" s="97"/>
    </row>
    <row r="71" spans="1:25" ht="14.45">
      <c r="A71" s="21"/>
      <c r="B71" s="70"/>
      <c r="C71" s="21"/>
      <c r="D71" s="21"/>
      <c r="E71" s="21"/>
      <c r="F71" s="22"/>
      <c r="G71" s="21"/>
      <c r="H71" s="21"/>
      <c r="I71" s="22"/>
      <c r="J71" s="117"/>
      <c r="K71" s="117"/>
    </row>
    <row r="72" spans="1:25" ht="14.45">
      <c r="A72" s="21"/>
      <c r="B72" s="70"/>
      <c r="C72" s="21"/>
      <c r="D72" s="21"/>
      <c r="E72" s="21"/>
      <c r="F72" s="22"/>
      <c r="G72" s="21"/>
      <c r="H72" s="21"/>
      <c r="I72" s="22"/>
      <c r="J72" s="117"/>
      <c r="K72" s="117"/>
    </row>
    <row r="73" spans="1:25" ht="14.45">
      <c r="A73" s="21"/>
      <c r="B73" s="70"/>
      <c r="C73" s="21"/>
      <c r="D73" s="21"/>
      <c r="E73" s="21"/>
      <c r="F73" s="22"/>
      <c r="G73" s="21"/>
      <c r="H73" s="21"/>
      <c r="I73" s="22"/>
      <c r="J73" s="117"/>
      <c r="K73" s="117"/>
    </row>
    <row r="74" spans="1:25" ht="14.45">
      <c r="A74" s="21"/>
      <c r="B74" s="70"/>
      <c r="C74" s="21"/>
      <c r="D74" s="21"/>
      <c r="E74" s="21"/>
      <c r="F74" s="22"/>
      <c r="G74" s="21"/>
      <c r="H74" s="21"/>
      <c r="I74" s="22"/>
      <c r="J74" s="117"/>
      <c r="K74" s="117"/>
    </row>
    <row r="75" spans="1:25" ht="14.45">
      <c r="A75" s="21"/>
      <c r="B75" s="70"/>
      <c r="C75" s="21"/>
      <c r="D75" s="21"/>
      <c r="E75" s="21"/>
      <c r="F75" s="22"/>
      <c r="G75" s="21"/>
      <c r="H75" s="21"/>
      <c r="I75" s="22"/>
      <c r="J75" s="117"/>
      <c r="K75" s="117"/>
    </row>
    <row r="76" spans="1:25" ht="14.45">
      <c r="A76" s="21"/>
      <c r="B76" s="70"/>
      <c r="C76" s="21"/>
      <c r="D76" s="21"/>
      <c r="E76" s="21"/>
      <c r="F76" s="22"/>
      <c r="G76" s="21"/>
      <c r="H76" s="21"/>
      <c r="I76" s="22"/>
      <c r="J76" s="117"/>
      <c r="K76" s="117"/>
    </row>
    <row r="77" spans="1:25" ht="14.45">
      <c r="A77" s="21"/>
      <c r="B77" s="70"/>
      <c r="C77" s="21"/>
      <c r="D77" s="21"/>
      <c r="E77" s="21"/>
      <c r="F77" s="22"/>
      <c r="G77" s="21"/>
      <c r="H77" s="21"/>
      <c r="I77" s="22"/>
      <c r="J77" s="117"/>
      <c r="K77" s="117"/>
    </row>
    <row r="78" spans="1:25" ht="14.45">
      <c r="A78" s="21"/>
      <c r="B78" s="70"/>
      <c r="C78" s="21"/>
      <c r="D78" s="21"/>
      <c r="E78" s="21"/>
      <c r="F78" s="22"/>
      <c r="G78" s="21"/>
      <c r="H78" s="21"/>
      <c r="I78" s="22"/>
      <c r="J78" s="117"/>
      <c r="K78" s="117"/>
    </row>
    <row r="79" spans="1:25" ht="14.45">
      <c r="A79" s="21"/>
      <c r="B79" s="70"/>
      <c r="C79" s="21"/>
      <c r="D79" s="21"/>
      <c r="E79" s="21"/>
      <c r="F79" s="22"/>
      <c r="G79" s="21"/>
      <c r="H79" s="21"/>
      <c r="I79" s="22"/>
      <c r="J79" s="117"/>
      <c r="K79" s="117"/>
    </row>
    <row r="80" spans="1:25" ht="14.45">
      <c r="A80" s="21"/>
      <c r="B80" s="70"/>
      <c r="C80" s="21"/>
      <c r="D80" s="21"/>
      <c r="E80" s="21"/>
      <c r="F80" s="22"/>
      <c r="G80" s="21"/>
      <c r="H80" s="21"/>
      <c r="I80" s="22"/>
      <c r="J80" s="117"/>
      <c r="K80" s="117"/>
    </row>
    <row r="81" spans="1:11" ht="14.45">
      <c r="A81" s="21"/>
      <c r="B81" s="70"/>
      <c r="C81" s="21"/>
      <c r="D81" s="21"/>
      <c r="E81" s="21"/>
      <c r="F81" s="22"/>
      <c r="G81" s="21"/>
      <c r="H81" s="21"/>
      <c r="I81" s="22"/>
      <c r="J81" s="117"/>
      <c r="K81" s="117"/>
    </row>
    <row r="82" spans="1:11" ht="14.45">
      <c r="A82" s="21"/>
      <c r="B82" s="70"/>
      <c r="C82" s="21"/>
      <c r="D82" s="21"/>
      <c r="E82" s="21"/>
      <c r="F82" s="22"/>
      <c r="G82" s="21"/>
      <c r="H82" s="21"/>
      <c r="I82" s="22"/>
      <c r="J82" s="117"/>
      <c r="K82" s="117"/>
    </row>
    <row r="83" spans="1:11" ht="14.45">
      <c r="A83" s="21"/>
      <c r="B83" s="70"/>
      <c r="C83" s="21"/>
      <c r="D83" s="21"/>
      <c r="E83" s="21"/>
      <c r="F83" s="22"/>
      <c r="G83" s="21"/>
      <c r="H83" s="21"/>
      <c r="I83" s="22"/>
      <c r="J83" s="117"/>
      <c r="K83" s="117"/>
    </row>
    <row r="84" spans="1:11" ht="14.45">
      <c r="A84" s="21"/>
      <c r="B84" s="70"/>
      <c r="C84" s="21"/>
      <c r="D84" s="21"/>
      <c r="E84" s="21"/>
      <c r="F84" s="22"/>
      <c r="G84" s="21"/>
      <c r="H84" s="21"/>
      <c r="I84" s="22"/>
      <c r="J84" s="117"/>
      <c r="K84" s="117"/>
    </row>
    <row r="85" spans="1:11" ht="14.45">
      <c r="A85" s="21"/>
      <c r="B85" s="70"/>
      <c r="C85" s="21"/>
      <c r="D85" s="21"/>
      <c r="E85" s="21"/>
      <c r="F85" s="22"/>
      <c r="G85" s="21"/>
      <c r="H85" s="21"/>
      <c r="I85" s="22"/>
      <c r="J85" s="117"/>
      <c r="K85" s="117"/>
    </row>
    <row r="86" spans="1:11" ht="14.45">
      <c r="A86" s="21"/>
      <c r="B86" s="70"/>
      <c r="C86" s="21"/>
      <c r="D86" s="21"/>
      <c r="E86" s="21"/>
      <c r="F86" s="22"/>
      <c r="G86" s="21"/>
      <c r="H86" s="21"/>
      <c r="I86" s="22"/>
      <c r="J86" s="117"/>
      <c r="K86" s="117"/>
    </row>
    <row r="87" spans="1:11" ht="14.45">
      <c r="A87" s="21"/>
      <c r="B87" s="70"/>
      <c r="C87" s="21"/>
      <c r="D87" s="21"/>
      <c r="E87" s="21"/>
      <c r="F87" s="22"/>
      <c r="G87" s="21"/>
      <c r="H87" s="21"/>
      <c r="I87" s="22"/>
      <c r="J87" s="117"/>
      <c r="K87" s="117"/>
    </row>
    <row r="88" spans="1:11" ht="14.45">
      <c r="A88" s="21"/>
      <c r="B88" s="70"/>
      <c r="C88" s="21"/>
      <c r="D88" s="21"/>
      <c r="E88" s="21"/>
      <c r="F88" s="22"/>
      <c r="G88" s="21"/>
      <c r="H88" s="21"/>
      <c r="I88" s="22"/>
      <c r="J88" s="117"/>
      <c r="K88" s="117"/>
    </row>
    <row r="89" spans="1:11" ht="14.45">
      <c r="A89" s="21"/>
      <c r="B89" s="70"/>
      <c r="C89" s="21"/>
      <c r="D89" s="21"/>
      <c r="E89" s="21"/>
      <c r="F89" s="22"/>
      <c r="G89" s="21"/>
      <c r="H89" s="21"/>
      <c r="I89" s="22"/>
      <c r="J89" s="117"/>
      <c r="K89" s="117"/>
    </row>
    <row r="90" spans="1:11" ht="14.45">
      <c r="A90" s="21"/>
      <c r="B90" s="70"/>
      <c r="C90" s="21"/>
      <c r="D90" s="21"/>
      <c r="E90" s="21"/>
      <c r="F90" s="22"/>
      <c r="G90" s="21"/>
      <c r="H90" s="21"/>
      <c r="I90" s="22"/>
      <c r="J90" s="117"/>
      <c r="K90" s="117"/>
    </row>
    <row r="91" spans="1:11" ht="14.45">
      <c r="A91" s="21"/>
      <c r="B91" s="70"/>
      <c r="C91" s="21"/>
      <c r="D91" s="21"/>
      <c r="E91" s="21"/>
      <c r="F91" s="22"/>
      <c r="G91" s="21"/>
      <c r="H91" s="21"/>
      <c r="I91" s="22"/>
      <c r="J91" s="117"/>
      <c r="K91" s="117"/>
    </row>
    <row r="92" spans="1:11" ht="14.45">
      <c r="A92" s="21"/>
      <c r="B92" s="70"/>
      <c r="C92" s="21"/>
      <c r="D92" s="21"/>
      <c r="E92" s="21"/>
      <c r="F92" s="22"/>
      <c r="G92" s="21"/>
      <c r="H92" s="21"/>
      <c r="I92" s="22"/>
      <c r="J92" s="117"/>
      <c r="K92" s="117"/>
    </row>
    <row r="93" spans="1:11" ht="14.45">
      <c r="A93" s="21"/>
      <c r="B93" s="70"/>
      <c r="C93" s="21"/>
      <c r="D93" s="21"/>
      <c r="E93" s="21"/>
      <c r="F93" s="22"/>
      <c r="G93" s="21"/>
      <c r="H93" s="21"/>
      <c r="I93" s="22"/>
      <c r="J93" s="117"/>
      <c r="K93" s="117"/>
    </row>
    <row r="94" spans="1:11" ht="14.45">
      <c r="A94" s="21"/>
      <c r="B94" s="70"/>
      <c r="C94" s="21"/>
      <c r="D94" s="21"/>
      <c r="E94" s="21"/>
      <c r="F94" s="22"/>
      <c r="G94" s="21"/>
      <c r="H94" s="21"/>
      <c r="I94" s="22"/>
      <c r="J94" s="117"/>
      <c r="K94" s="117"/>
    </row>
    <row r="95" spans="1:11" ht="14.45">
      <c r="A95" s="21"/>
      <c r="B95" s="70"/>
      <c r="C95" s="21"/>
      <c r="D95" s="21"/>
      <c r="E95" s="21"/>
      <c r="F95" s="22"/>
      <c r="G95" s="21"/>
      <c r="H95" s="21"/>
      <c r="I95" s="22"/>
      <c r="J95" s="117"/>
      <c r="K95" s="117"/>
    </row>
    <row r="96" spans="1:11" ht="14.45">
      <c r="A96" s="21"/>
      <c r="B96" s="70"/>
      <c r="C96" s="21"/>
      <c r="D96" s="21"/>
      <c r="E96" s="21"/>
      <c r="F96" s="22"/>
      <c r="G96" s="21"/>
      <c r="H96" s="21"/>
      <c r="I96" s="22"/>
      <c r="J96" s="117"/>
      <c r="K96" s="117"/>
    </row>
    <row r="97" spans="1:11" ht="14.45">
      <c r="A97" s="21"/>
      <c r="B97" s="70"/>
      <c r="C97" s="21"/>
      <c r="D97" s="21"/>
      <c r="E97" s="21"/>
      <c r="F97" s="22"/>
      <c r="G97" s="21"/>
      <c r="H97" s="21"/>
      <c r="I97" s="22"/>
      <c r="J97" s="117"/>
      <c r="K97" s="117"/>
    </row>
    <row r="98" spans="1:11" ht="14.45">
      <c r="A98" s="21"/>
      <c r="B98" s="70"/>
      <c r="C98" s="21"/>
      <c r="D98" s="21"/>
      <c r="E98" s="21"/>
      <c r="F98" s="22"/>
      <c r="G98" s="21"/>
      <c r="H98" s="21"/>
      <c r="I98" s="22"/>
      <c r="J98" s="117"/>
      <c r="K98" s="117"/>
    </row>
    <row r="99" spans="1:11" ht="14.45">
      <c r="A99" s="21"/>
      <c r="B99" s="70"/>
      <c r="C99" s="21"/>
      <c r="D99" s="21"/>
      <c r="E99" s="21"/>
      <c r="F99" s="22"/>
      <c r="G99" s="21"/>
      <c r="H99" s="21"/>
      <c r="I99" s="22"/>
      <c r="J99" s="117"/>
      <c r="K99" s="117"/>
    </row>
    <row r="100" spans="1:11" ht="14.45">
      <c r="A100" s="21"/>
      <c r="B100" s="70"/>
      <c r="C100" s="21"/>
      <c r="D100" s="21"/>
      <c r="E100" s="21"/>
      <c r="F100" s="22"/>
      <c r="G100" s="21"/>
      <c r="H100" s="21"/>
      <c r="I100" s="22"/>
      <c r="J100" s="117"/>
      <c r="K100" s="117"/>
    </row>
    <row r="101" spans="1:11" ht="14.45">
      <c r="A101" s="21"/>
      <c r="B101" s="70"/>
      <c r="C101" s="21"/>
      <c r="D101" s="21"/>
      <c r="E101" s="21"/>
      <c r="F101" s="22"/>
      <c r="G101" s="21"/>
      <c r="H101" s="21"/>
      <c r="I101" s="22"/>
      <c r="J101" s="117"/>
      <c r="K101" s="117"/>
    </row>
    <row r="102" spans="1:11" ht="14.45">
      <c r="A102" s="21"/>
      <c r="B102" s="70"/>
      <c r="C102" s="21"/>
      <c r="D102" s="21"/>
      <c r="E102" s="21"/>
      <c r="F102" s="22"/>
      <c r="G102" s="21"/>
      <c r="H102" s="21"/>
      <c r="I102" s="22"/>
      <c r="J102" s="117"/>
      <c r="K102" s="117"/>
    </row>
    <row r="103" spans="1:11" ht="14.45">
      <c r="A103" s="21"/>
      <c r="B103" s="70"/>
      <c r="C103" s="21"/>
      <c r="D103" s="21"/>
      <c r="E103" s="21"/>
      <c r="F103" s="22"/>
      <c r="G103" s="21"/>
      <c r="H103" s="21"/>
      <c r="I103" s="22"/>
      <c r="J103" s="117"/>
      <c r="K103" s="117"/>
    </row>
    <row r="104" spans="1:11" ht="14.45">
      <c r="A104" s="21"/>
      <c r="B104" s="70"/>
      <c r="C104" s="21"/>
      <c r="D104" s="21"/>
      <c r="E104" s="21"/>
      <c r="F104" s="22"/>
      <c r="G104" s="21"/>
      <c r="H104" s="21"/>
      <c r="I104" s="22"/>
      <c r="J104" s="117"/>
      <c r="K104" s="117"/>
    </row>
    <row r="105" spans="1:11" ht="14.45">
      <c r="A105" s="21"/>
      <c r="B105" s="70"/>
      <c r="C105" s="21"/>
      <c r="D105" s="21"/>
      <c r="E105" s="21"/>
      <c r="F105" s="22"/>
      <c r="G105" s="21"/>
      <c r="H105" s="21"/>
      <c r="I105" s="22"/>
      <c r="J105" s="117"/>
      <c r="K105" s="117"/>
    </row>
    <row r="106" spans="1:11" ht="14.45">
      <c r="A106" s="21"/>
      <c r="B106" s="70"/>
      <c r="C106" s="21"/>
      <c r="D106" s="21"/>
      <c r="E106" s="21"/>
      <c r="F106" s="22"/>
      <c r="G106" s="21"/>
      <c r="H106" s="21"/>
      <c r="I106" s="22"/>
      <c r="J106" s="117"/>
      <c r="K106" s="117"/>
    </row>
    <row r="107" spans="1:11" ht="14.45">
      <c r="A107" s="21"/>
      <c r="B107" s="70"/>
      <c r="C107" s="21"/>
      <c r="D107" s="21"/>
      <c r="E107" s="21"/>
      <c r="F107" s="22"/>
      <c r="G107" s="21"/>
      <c r="H107" s="21"/>
      <c r="I107" s="22"/>
      <c r="J107" s="117"/>
      <c r="K107" s="117"/>
    </row>
    <row r="108" spans="1:11" ht="14.45">
      <c r="A108" s="21"/>
      <c r="B108" s="70"/>
      <c r="C108" s="21"/>
      <c r="D108" s="21"/>
      <c r="E108" s="21"/>
      <c r="F108" s="22"/>
      <c r="G108" s="21"/>
      <c r="H108" s="21"/>
      <c r="I108" s="22"/>
      <c r="J108" s="117"/>
      <c r="K108" s="117"/>
    </row>
    <row r="109" spans="1:11" ht="14.45">
      <c r="A109" s="21"/>
      <c r="B109" s="70"/>
      <c r="C109" s="21"/>
      <c r="D109" s="21"/>
      <c r="E109" s="21"/>
      <c r="F109" s="22"/>
      <c r="G109" s="21"/>
      <c r="H109" s="21"/>
      <c r="I109" s="22"/>
      <c r="J109" s="117"/>
      <c r="K109" s="117"/>
    </row>
    <row r="110" spans="1:11" ht="14.45">
      <c r="A110" s="21"/>
      <c r="B110" s="70"/>
      <c r="C110" s="21"/>
      <c r="D110" s="21"/>
      <c r="E110" s="21"/>
      <c r="F110" s="22"/>
      <c r="G110" s="21"/>
      <c r="H110" s="21"/>
      <c r="I110" s="22"/>
      <c r="J110" s="117"/>
      <c r="K110" s="117"/>
    </row>
    <row r="111" spans="1:11" ht="14.45">
      <c r="A111" s="21"/>
      <c r="B111" s="70"/>
      <c r="C111" s="21"/>
      <c r="D111" s="21"/>
      <c r="E111" s="21"/>
      <c r="F111" s="22"/>
      <c r="G111" s="21"/>
      <c r="H111" s="21"/>
      <c r="I111" s="22"/>
      <c r="J111" s="117"/>
      <c r="K111" s="117"/>
    </row>
    <row r="112" spans="1:11" ht="14.45">
      <c r="A112" s="21"/>
      <c r="B112" s="70"/>
      <c r="C112" s="21"/>
      <c r="D112" s="21"/>
      <c r="E112" s="21"/>
      <c r="F112" s="22"/>
      <c r="G112" s="21"/>
      <c r="H112" s="21"/>
      <c r="I112" s="22"/>
      <c r="J112" s="117"/>
      <c r="K112" s="117"/>
    </row>
    <row r="113" spans="1:11" ht="14.45">
      <c r="A113" s="21"/>
      <c r="B113" s="70"/>
      <c r="C113" s="21"/>
      <c r="D113" s="21"/>
      <c r="E113" s="21"/>
      <c r="F113" s="22"/>
      <c r="G113" s="21"/>
      <c r="H113" s="21"/>
      <c r="I113" s="22"/>
      <c r="J113" s="117"/>
      <c r="K113" s="117"/>
    </row>
    <row r="114" spans="1:11" ht="14.45">
      <c r="A114" s="21"/>
      <c r="B114" s="70"/>
      <c r="C114" s="21"/>
      <c r="D114" s="21"/>
      <c r="E114" s="21"/>
      <c r="F114" s="22"/>
      <c r="G114" s="21"/>
      <c r="H114" s="21"/>
      <c r="I114" s="22"/>
      <c r="J114" s="117"/>
      <c r="K114" s="117"/>
    </row>
    <row r="115" spans="1:11" ht="14.45">
      <c r="A115" s="21"/>
      <c r="B115" s="70"/>
      <c r="C115" s="21"/>
      <c r="D115" s="21"/>
      <c r="E115" s="21"/>
      <c r="F115" s="22"/>
      <c r="G115" s="21"/>
      <c r="H115" s="21"/>
      <c r="I115" s="22"/>
      <c r="J115" s="117"/>
      <c r="K115" s="117"/>
    </row>
    <row r="116" spans="1:11" ht="14.45">
      <c r="A116" s="21"/>
      <c r="B116" s="70"/>
      <c r="C116" s="21"/>
      <c r="D116" s="21"/>
      <c r="E116" s="21"/>
      <c r="F116" s="22"/>
      <c r="G116" s="21"/>
      <c r="H116" s="21"/>
      <c r="I116" s="22"/>
      <c r="J116" s="117"/>
      <c r="K116" s="117"/>
    </row>
    <row r="117" spans="1:11" ht="14.45">
      <c r="A117" s="21"/>
      <c r="B117" s="70"/>
      <c r="C117" s="21"/>
      <c r="D117" s="21"/>
      <c r="E117" s="21"/>
      <c r="F117" s="22"/>
      <c r="G117" s="21"/>
      <c r="H117" s="21"/>
      <c r="I117" s="22"/>
      <c r="J117" s="117"/>
      <c r="K117" s="117"/>
    </row>
    <row r="118" spans="1:11" ht="14.45">
      <c r="A118" s="21"/>
      <c r="B118" s="70"/>
      <c r="C118" s="21"/>
      <c r="D118" s="21"/>
      <c r="E118" s="21"/>
      <c r="F118" s="22"/>
      <c r="G118" s="21"/>
      <c r="H118" s="21"/>
      <c r="I118" s="22"/>
      <c r="J118" s="117"/>
      <c r="K118" s="117"/>
    </row>
    <row r="119" spans="1:11" ht="14.45">
      <c r="A119" s="21"/>
      <c r="B119" s="70"/>
      <c r="C119" s="21"/>
      <c r="D119" s="21"/>
      <c r="E119" s="21"/>
      <c r="F119" s="22"/>
      <c r="G119" s="21"/>
      <c r="H119" s="21"/>
      <c r="I119" s="22"/>
      <c r="J119" s="117"/>
      <c r="K119" s="117"/>
    </row>
    <row r="120" spans="1:11" ht="14.45">
      <c r="A120" s="21"/>
      <c r="B120" s="70"/>
      <c r="C120" s="21"/>
      <c r="D120" s="21"/>
      <c r="E120" s="21"/>
      <c r="F120" s="22"/>
      <c r="G120" s="21"/>
      <c r="H120" s="21"/>
      <c r="I120" s="22"/>
      <c r="J120" s="117"/>
      <c r="K120" s="117"/>
    </row>
    <row r="121" spans="1:11" ht="14.45">
      <c r="A121" s="21"/>
      <c r="B121" s="70"/>
      <c r="C121" s="21"/>
      <c r="D121" s="21"/>
      <c r="E121" s="21"/>
      <c r="F121" s="22"/>
      <c r="G121" s="21"/>
      <c r="H121" s="21"/>
      <c r="I121" s="22"/>
      <c r="J121" s="117"/>
      <c r="K121" s="117"/>
    </row>
    <row r="122" spans="1:11" ht="14.45">
      <c r="A122" s="21"/>
      <c r="B122" s="70"/>
      <c r="C122" s="21"/>
      <c r="D122" s="21"/>
      <c r="E122" s="21"/>
      <c r="F122" s="22"/>
      <c r="G122" s="21"/>
      <c r="H122" s="21"/>
      <c r="I122" s="22"/>
      <c r="J122" s="117"/>
      <c r="K122" s="117"/>
    </row>
    <row r="123" spans="1:11" ht="14.45">
      <c r="A123" s="21"/>
      <c r="B123" s="70"/>
      <c r="C123" s="21"/>
      <c r="D123" s="21"/>
      <c r="E123" s="21"/>
      <c r="F123" s="22"/>
      <c r="G123" s="21"/>
      <c r="H123" s="21"/>
      <c r="I123" s="22"/>
      <c r="J123" s="117"/>
      <c r="K123" s="117"/>
    </row>
    <row r="124" spans="1:11" ht="14.45">
      <c r="A124" s="21"/>
      <c r="B124" s="70"/>
      <c r="C124" s="21"/>
      <c r="D124" s="21"/>
      <c r="E124" s="21"/>
      <c r="F124" s="22"/>
      <c r="G124" s="21"/>
      <c r="H124" s="21"/>
      <c r="I124" s="22"/>
      <c r="J124" s="117"/>
      <c r="K124" s="117"/>
    </row>
    <row r="125" spans="1:11" ht="14.45">
      <c r="A125" s="21"/>
      <c r="B125" s="70"/>
      <c r="C125" s="21"/>
      <c r="D125" s="21"/>
      <c r="E125" s="21"/>
      <c r="F125" s="22"/>
      <c r="G125" s="21"/>
      <c r="H125" s="21"/>
      <c r="I125" s="22"/>
      <c r="J125" s="117"/>
      <c r="K125" s="117"/>
    </row>
    <row r="126" spans="1:11" ht="14.45">
      <c r="A126" s="21"/>
      <c r="B126" s="70"/>
      <c r="C126" s="21"/>
      <c r="D126" s="21"/>
      <c r="E126" s="21"/>
      <c r="F126" s="22"/>
      <c r="G126" s="21"/>
      <c r="H126" s="21"/>
      <c r="I126" s="22"/>
      <c r="J126" s="117"/>
      <c r="K126" s="117"/>
    </row>
    <row r="127" spans="1:11" ht="14.45">
      <c r="A127" s="21"/>
      <c r="B127" s="70"/>
      <c r="C127" s="21"/>
      <c r="D127" s="21"/>
      <c r="E127" s="21"/>
      <c r="F127" s="22"/>
      <c r="G127" s="21"/>
      <c r="H127" s="21"/>
      <c r="I127" s="22"/>
      <c r="J127" s="117"/>
      <c r="K127" s="117"/>
    </row>
    <row r="128" spans="1:11" ht="14.45">
      <c r="A128" s="21"/>
      <c r="B128" s="70"/>
      <c r="C128" s="21"/>
      <c r="D128" s="21"/>
      <c r="E128" s="21"/>
      <c r="F128" s="22"/>
      <c r="G128" s="21"/>
      <c r="H128" s="21"/>
      <c r="I128" s="22"/>
      <c r="J128" s="117"/>
      <c r="K128" s="117"/>
    </row>
    <row r="129" spans="1:11" ht="14.45">
      <c r="A129" s="21"/>
      <c r="B129" s="70"/>
      <c r="C129" s="21"/>
      <c r="D129" s="21"/>
      <c r="E129" s="21"/>
      <c r="F129" s="22"/>
      <c r="G129" s="21"/>
      <c r="H129" s="21"/>
      <c r="I129" s="22"/>
      <c r="J129" s="117"/>
      <c r="K129" s="117"/>
    </row>
    <row r="130" spans="1:11" ht="14.45">
      <c r="A130" s="21"/>
      <c r="B130" s="70"/>
      <c r="C130" s="21"/>
      <c r="D130" s="21"/>
      <c r="E130" s="21"/>
      <c r="F130" s="22"/>
      <c r="G130" s="21"/>
      <c r="H130" s="21"/>
      <c r="I130" s="22"/>
      <c r="J130" s="117"/>
      <c r="K130" s="117"/>
    </row>
    <row r="131" spans="1:11" ht="14.45">
      <c r="A131" s="21"/>
      <c r="B131" s="70"/>
      <c r="C131" s="21"/>
      <c r="D131" s="21"/>
      <c r="E131" s="21"/>
      <c r="F131" s="22"/>
      <c r="G131" s="21"/>
      <c r="H131" s="21"/>
      <c r="I131" s="22"/>
      <c r="J131" s="117"/>
      <c r="K131" s="117"/>
    </row>
    <row r="132" spans="1:11" ht="14.45">
      <c r="A132" s="21"/>
      <c r="B132" s="70"/>
      <c r="C132" s="21"/>
      <c r="D132" s="21"/>
      <c r="E132" s="21"/>
      <c r="F132" s="22"/>
      <c r="G132" s="21"/>
      <c r="H132" s="21"/>
      <c r="I132" s="22"/>
      <c r="J132" s="117"/>
      <c r="K132" s="117"/>
    </row>
    <row r="133" spans="1:11" ht="14.45">
      <c r="A133" s="21"/>
      <c r="B133" s="70"/>
      <c r="C133" s="21"/>
      <c r="D133" s="21"/>
      <c r="E133" s="21"/>
      <c r="F133" s="22"/>
      <c r="G133" s="21"/>
      <c r="H133" s="21"/>
      <c r="I133" s="22"/>
      <c r="J133" s="117"/>
      <c r="K133" s="117"/>
    </row>
    <row r="134" spans="1:11" ht="14.45">
      <c r="A134" s="21"/>
      <c r="B134" s="70"/>
      <c r="C134" s="21"/>
      <c r="D134" s="21"/>
      <c r="E134" s="21"/>
      <c r="F134" s="22"/>
      <c r="G134" s="21"/>
      <c r="H134" s="21"/>
      <c r="I134" s="22"/>
      <c r="J134" s="117"/>
      <c r="K134" s="117"/>
    </row>
    <row r="135" spans="1:11" ht="14.45">
      <c r="A135" s="21"/>
      <c r="B135" s="70"/>
      <c r="C135" s="21"/>
      <c r="D135" s="21"/>
      <c r="E135" s="21"/>
      <c r="F135" s="22"/>
      <c r="G135" s="21"/>
      <c r="H135" s="21"/>
      <c r="I135" s="22"/>
      <c r="J135" s="117"/>
      <c r="K135" s="117"/>
    </row>
    <row r="136" spans="1:11" ht="14.45">
      <c r="A136" s="21"/>
      <c r="B136" s="70"/>
      <c r="C136" s="21"/>
      <c r="D136" s="21"/>
      <c r="E136" s="21"/>
      <c r="F136" s="22"/>
      <c r="G136" s="21"/>
      <c r="H136" s="21"/>
      <c r="I136" s="22"/>
      <c r="J136" s="117"/>
      <c r="K136" s="117"/>
    </row>
    <row r="137" spans="1:11" ht="14.45">
      <c r="A137" s="21"/>
      <c r="B137" s="70"/>
      <c r="C137" s="21"/>
      <c r="D137" s="21"/>
      <c r="E137" s="21"/>
      <c r="F137" s="22"/>
      <c r="G137" s="21"/>
      <c r="H137" s="21"/>
      <c r="I137" s="22"/>
      <c r="J137" s="117"/>
      <c r="K137" s="117"/>
    </row>
    <row r="138" spans="1:11" ht="14.45">
      <c r="A138" s="21"/>
      <c r="B138" s="70"/>
      <c r="C138" s="21"/>
      <c r="D138" s="21"/>
      <c r="E138" s="21"/>
      <c r="F138" s="22"/>
      <c r="G138" s="21"/>
      <c r="H138" s="21"/>
      <c r="I138" s="22"/>
      <c r="J138" s="117"/>
      <c r="K138" s="117"/>
    </row>
    <row r="139" spans="1:11" ht="14.45">
      <c r="A139" s="21"/>
      <c r="B139" s="70"/>
      <c r="C139" s="21"/>
      <c r="D139" s="21"/>
      <c r="E139" s="21"/>
      <c r="F139" s="22"/>
      <c r="G139" s="21"/>
      <c r="H139" s="21"/>
      <c r="I139" s="22"/>
      <c r="J139" s="117"/>
      <c r="K139" s="117"/>
    </row>
    <row r="140" spans="1:11" ht="14.45">
      <c r="A140" s="21"/>
      <c r="B140" s="70"/>
      <c r="C140" s="21"/>
      <c r="D140" s="21"/>
      <c r="E140" s="21"/>
      <c r="F140" s="22"/>
      <c r="G140" s="21"/>
      <c r="H140" s="21"/>
      <c r="I140" s="22"/>
      <c r="J140" s="117"/>
      <c r="K140" s="117"/>
    </row>
    <row r="141" spans="1:11" ht="14.45">
      <c r="A141" s="21"/>
      <c r="B141" s="70"/>
      <c r="C141" s="21"/>
      <c r="D141" s="21"/>
      <c r="E141" s="21"/>
      <c r="F141" s="22"/>
      <c r="G141" s="21"/>
      <c r="H141" s="21"/>
      <c r="I141" s="22"/>
      <c r="J141" s="117"/>
      <c r="K141" s="117"/>
    </row>
    <row r="142" spans="1:11" ht="14.45">
      <c r="A142" s="21"/>
      <c r="B142" s="70"/>
      <c r="C142" s="21"/>
      <c r="D142" s="21"/>
      <c r="E142" s="21"/>
      <c r="F142" s="22"/>
      <c r="G142" s="21"/>
      <c r="H142" s="21"/>
      <c r="I142" s="22"/>
      <c r="J142" s="117"/>
      <c r="K142" s="117"/>
    </row>
    <row r="143" spans="1:11" ht="14.45">
      <c r="A143" s="21"/>
      <c r="B143" s="70"/>
      <c r="C143" s="21"/>
      <c r="D143" s="21"/>
      <c r="E143" s="21"/>
      <c r="F143" s="22"/>
      <c r="G143" s="21"/>
      <c r="H143" s="21"/>
      <c r="I143" s="22"/>
      <c r="J143" s="117"/>
      <c r="K143" s="117"/>
    </row>
    <row r="144" spans="1:11" ht="14.45">
      <c r="A144" s="21"/>
      <c r="B144" s="70"/>
      <c r="C144" s="21"/>
      <c r="D144" s="21"/>
      <c r="E144" s="21"/>
      <c r="F144" s="22"/>
      <c r="G144" s="21"/>
      <c r="H144" s="21"/>
      <c r="I144" s="22"/>
      <c r="J144" s="117"/>
      <c r="K144" s="117"/>
    </row>
    <row r="145" spans="1:11" ht="14.45">
      <c r="A145" s="21"/>
      <c r="B145" s="70"/>
      <c r="C145" s="21"/>
      <c r="D145" s="21"/>
      <c r="E145" s="21"/>
      <c r="F145" s="22"/>
      <c r="G145" s="21"/>
      <c r="H145" s="21"/>
      <c r="I145" s="22"/>
      <c r="J145" s="117"/>
      <c r="K145" s="117"/>
    </row>
    <row r="146" spans="1:11" ht="14.45">
      <c r="A146" s="21"/>
      <c r="B146" s="70"/>
      <c r="C146" s="21"/>
      <c r="D146" s="21"/>
      <c r="E146" s="21"/>
      <c r="F146" s="22"/>
      <c r="G146" s="21"/>
      <c r="H146" s="21"/>
      <c r="I146" s="22"/>
      <c r="J146" s="117"/>
      <c r="K146" s="117"/>
    </row>
    <row r="147" spans="1:11" ht="14.45">
      <c r="A147" s="21"/>
      <c r="B147" s="70"/>
      <c r="C147" s="21"/>
      <c r="D147" s="21"/>
      <c r="E147" s="21"/>
      <c r="F147" s="22"/>
      <c r="G147" s="21"/>
      <c r="H147" s="21"/>
      <c r="I147" s="22"/>
      <c r="J147" s="117"/>
      <c r="K147" s="117"/>
    </row>
    <row r="148" spans="1:11" ht="14.45">
      <c r="A148" s="21"/>
      <c r="B148" s="70"/>
      <c r="C148" s="21"/>
      <c r="D148" s="21"/>
      <c r="E148" s="21"/>
      <c r="F148" s="22"/>
      <c r="G148" s="21"/>
      <c r="H148" s="21"/>
      <c r="I148" s="22"/>
      <c r="J148" s="117"/>
      <c r="K148" s="117"/>
    </row>
    <row r="149" spans="1:11" ht="14.45">
      <c r="A149" s="21"/>
      <c r="B149" s="70"/>
      <c r="C149" s="21"/>
      <c r="D149" s="21"/>
      <c r="E149" s="21"/>
      <c r="F149" s="22"/>
      <c r="G149" s="21"/>
      <c r="H149" s="21"/>
      <c r="I149" s="22"/>
      <c r="J149" s="117"/>
      <c r="K149" s="117"/>
    </row>
    <row r="150" spans="1:11" ht="14.45">
      <c r="A150" s="21"/>
      <c r="B150" s="70"/>
      <c r="C150" s="21"/>
      <c r="D150" s="21"/>
      <c r="E150" s="21"/>
      <c r="F150" s="22"/>
      <c r="G150" s="21"/>
      <c r="H150" s="21"/>
      <c r="I150" s="22"/>
      <c r="J150" s="117"/>
      <c r="K150" s="117"/>
    </row>
    <row r="151" spans="1:11" ht="14.45">
      <c r="A151" s="21"/>
      <c r="B151" s="70"/>
      <c r="C151" s="21"/>
      <c r="D151" s="21"/>
      <c r="E151" s="21"/>
      <c r="F151" s="22"/>
      <c r="G151" s="21"/>
      <c r="H151" s="21"/>
      <c r="I151" s="22"/>
      <c r="J151" s="117"/>
      <c r="K151" s="117"/>
    </row>
    <row r="152" spans="1:11" ht="14.45">
      <c r="A152" s="21"/>
      <c r="B152" s="70"/>
      <c r="C152" s="21"/>
      <c r="D152" s="21"/>
      <c r="E152" s="21"/>
      <c r="F152" s="22"/>
      <c r="G152" s="21"/>
      <c r="H152" s="21"/>
      <c r="I152" s="22"/>
      <c r="J152" s="117"/>
      <c r="K152" s="117"/>
    </row>
    <row r="153" spans="1:11" ht="14.45">
      <c r="A153" s="21"/>
      <c r="B153" s="70"/>
      <c r="C153" s="21"/>
      <c r="D153" s="21"/>
      <c r="E153" s="21"/>
      <c r="F153" s="22"/>
      <c r="G153" s="21"/>
      <c r="H153" s="21"/>
      <c r="I153" s="22"/>
      <c r="J153" s="117"/>
      <c r="K153" s="117"/>
    </row>
    <row r="154" spans="1:11" ht="14.45">
      <c r="A154" s="21"/>
      <c r="B154" s="70"/>
      <c r="C154" s="21"/>
      <c r="D154" s="21"/>
      <c r="E154" s="21"/>
      <c r="F154" s="22"/>
      <c r="G154" s="21"/>
      <c r="H154" s="21"/>
      <c r="I154" s="22"/>
      <c r="J154" s="117"/>
      <c r="K154" s="117"/>
    </row>
    <row r="155" spans="1:11" ht="14.45">
      <c r="A155" s="21"/>
      <c r="B155" s="70"/>
      <c r="C155" s="21"/>
      <c r="D155" s="21"/>
      <c r="E155" s="21"/>
      <c r="F155" s="22"/>
      <c r="G155" s="21"/>
      <c r="H155" s="21"/>
      <c r="I155" s="22"/>
      <c r="J155" s="117"/>
      <c r="K155" s="117"/>
    </row>
    <row r="156" spans="1:11" ht="14.45">
      <c r="A156" s="21"/>
      <c r="B156" s="70"/>
      <c r="C156" s="21"/>
      <c r="D156" s="21"/>
      <c r="E156" s="21"/>
      <c r="F156" s="22"/>
      <c r="G156" s="21"/>
      <c r="H156" s="21"/>
      <c r="I156" s="22"/>
      <c r="J156" s="117"/>
      <c r="K156" s="117"/>
    </row>
    <row r="157" spans="1:11" ht="14.45">
      <c r="A157" s="21"/>
      <c r="B157" s="70"/>
      <c r="C157" s="21"/>
      <c r="D157" s="21"/>
      <c r="E157" s="21"/>
      <c r="F157" s="22"/>
      <c r="G157" s="21"/>
      <c r="H157" s="21"/>
      <c r="I157" s="22"/>
      <c r="J157" s="117"/>
      <c r="K157" s="117"/>
    </row>
    <row r="158" spans="1:11" ht="14.45">
      <c r="A158" s="21"/>
      <c r="B158" s="70"/>
      <c r="C158" s="21"/>
      <c r="D158" s="21"/>
      <c r="E158" s="21"/>
      <c r="F158" s="22"/>
      <c r="G158" s="21"/>
      <c r="H158" s="21"/>
      <c r="I158" s="22"/>
      <c r="J158" s="117"/>
      <c r="K158" s="117"/>
    </row>
    <row r="159" spans="1:11" ht="14.45">
      <c r="A159" s="21"/>
      <c r="B159" s="70"/>
      <c r="C159" s="21"/>
      <c r="D159" s="21"/>
      <c r="E159" s="21"/>
      <c r="F159" s="22"/>
      <c r="G159" s="21"/>
      <c r="H159" s="21"/>
      <c r="I159" s="22"/>
      <c r="J159" s="117"/>
      <c r="K159" s="117"/>
    </row>
    <row r="160" spans="1:11" ht="14.45">
      <c r="A160" s="21"/>
      <c r="B160" s="70"/>
      <c r="C160" s="21"/>
      <c r="D160" s="21"/>
      <c r="E160" s="21"/>
      <c r="F160" s="22"/>
      <c r="G160" s="21"/>
      <c r="H160" s="21"/>
      <c r="I160" s="22"/>
      <c r="J160" s="117"/>
      <c r="K160" s="117"/>
    </row>
    <row r="161" spans="1:11" ht="14.45">
      <c r="A161" s="21"/>
      <c r="B161" s="70"/>
      <c r="C161" s="21"/>
      <c r="D161" s="21"/>
      <c r="E161" s="21"/>
      <c r="F161" s="22"/>
      <c r="G161" s="21"/>
      <c r="H161" s="21"/>
      <c r="I161" s="22"/>
      <c r="J161" s="117"/>
      <c r="K161" s="117"/>
    </row>
    <row r="162" spans="1:11" ht="14.45">
      <c r="A162" s="21"/>
      <c r="B162" s="70"/>
      <c r="C162" s="21"/>
      <c r="D162" s="21"/>
      <c r="E162" s="21"/>
      <c r="F162" s="22"/>
      <c r="G162" s="21"/>
      <c r="H162" s="21"/>
      <c r="I162" s="22"/>
      <c r="J162" s="117"/>
      <c r="K162" s="117"/>
    </row>
    <row r="163" spans="1:11" ht="14.45">
      <c r="A163" s="21"/>
      <c r="B163" s="70"/>
      <c r="C163" s="21"/>
      <c r="D163" s="21"/>
      <c r="E163" s="21"/>
      <c r="F163" s="22"/>
      <c r="G163" s="21"/>
      <c r="H163" s="21"/>
      <c r="I163" s="22"/>
      <c r="J163" s="117"/>
      <c r="K163" s="117"/>
    </row>
    <row r="164" spans="1:11" ht="14.45">
      <c r="A164" s="21"/>
      <c r="B164" s="70"/>
      <c r="C164" s="21"/>
      <c r="D164" s="21"/>
      <c r="E164" s="21"/>
      <c r="F164" s="22"/>
      <c r="G164" s="21"/>
      <c r="H164" s="21"/>
      <c r="I164" s="22"/>
      <c r="J164" s="117"/>
      <c r="K164" s="117"/>
    </row>
    <row r="165" spans="1:11" ht="14.45">
      <c r="A165" s="21"/>
      <c r="B165" s="70"/>
      <c r="C165" s="21"/>
      <c r="D165" s="21"/>
      <c r="E165" s="21"/>
      <c r="F165" s="22"/>
      <c r="G165" s="21"/>
      <c r="H165" s="21"/>
      <c r="I165" s="22"/>
      <c r="J165" s="117"/>
      <c r="K165" s="117"/>
    </row>
    <row r="166" spans="1:11" ht="14.45">
      <c r="A166" s="21"/>
      <c r="B166" s="70"/>
      <c r="C166" s="21"/>
      <c r="D166" s="21"/>
      <c r="E166" s="21"/>
      <c r="F166" s="22"/>
      <c r="G166" s="21"/>
      <c r="H166" s="21"/>
      <c r="I166" s="22"/>
      <c r="J166" s="117"/>
      <c r="K166" s="117"/>
    </row>
    <row r="167" spans="1:11" ht="14.45">
      <c r="A167" s="21"/>
      <c r="B167" s="70"/>
      <c r="C167" s="21"/>
      <c r="D167" s="21"/>
      <c r="E167" s="21"/>
      <c r="F167" s="22"/>
      <c r="G167" s="21"/>
      <c r="H167" s="21"/>
      <c r="I167" s="22"/>
      <c r="J167" s="117"/>
      <c r="K167" s="117"/>
    </row>
    <row r="168" spans="1:11" ht="14.45">
      <c r="A168" s="21"/>
      <c r="B168" s="70"/>
      <c r="C168" s="21"/>
      <c r="D168" s="21"/>
      <c r="E168" s="21"/>
      <c r="F168" s="22"/>
      <c r="G168" s="21"/>
      <c r="H168" s="21"/>
      <c r="I168" s="22"/>
      <c r="J168" s="117"/>
      <c r="K168" s="117"/>
    </row>
    <row r="169" spans="1:11" ht="14.45">
      <c r="A169" s="21"/>
      <c r="B169" s="70"/>
      <c r="C169" s="21"/>
      <c r="D169" s="21"/>
      <c r="E169" s="21"/>
      <c r="F169" s="22"/>
      <c r="G169" s="21"/>
      <c r="H169" s="21"/>
      <c r="I169" s="22"/>
      <c r="J169" s="117"/>
      <c r="K169" s="117"/>
    </row>
    <row r="170" spans="1:11" ht="14.45">
      <c r="A170" s="21"/>
      <c r="B170" s="70"/>
      <c r="C170" s="21"/>
      <c r="D170" s="21"/>
      <c r="E170" s="21"/>
      <c r="F170" s="22"/>
      <c r="G170" s="21"/>
      <c r="H170" s="21"/>
      <c r="I170" s="22"/>
      <c r="J170" s="117"/>
      <c r="K170" s="117"/>
    </row>
    <row r="171" spans="1:11" ht="14.45">
      <c r="A171" s="21"/>
      <c r="B171" s="70"/>
      <c r="C171" s="21"/>
      <c r="D171" s="21"/>
      <c r="E171" s="21"/>
      <c r="F171" s="22"/>
      <c r="G171" s="21"/>
      <c r="H171" s="21"/>
      <c r="I171" s="22"/>
      <c r="J171" s="117"/>
      <c r="K171" s="117"/>
    </row>
    <row r="172" spans="1:11" ht="14.45">
      <c r="A172" s="21"/>
      <c r="B172" s="70"/>
      <c r="C172" s="21"/>
      <c r="D172" s="21"/>
      <c r="E172" s="21"/>
      <c r="F172" s="22"/>
      <c r="G172" s="21"/>
      <c r="H172" s="21"/>
      <c r="I172" s="22"/>
      <c r="J172" s="117"/>
      <c r="K172" s="117"/>
    </row>
    <row r="173" spans="1:11" ht="14.45">
      <c r="A173" s="21"/>
      <c r="B173" s="70"/>
      <c r="C173" s="21"/>
      <c r="D173" s="21"/>
      <c r="E173" s="21"/>
      <c r="F173" s="22"/>
      <c r="G173" s="21"/>
      <c r="H173" s="21"/>
      <c r="I173" s="22"/>
      <c r="J173" s="117"/>
      <c r="K173" s="117"/>
    </row>
    <row r="174" spans="1:11" ht="14.45">
      <c r="A174" s="21"/>
      <c r="B174" s="70"/>
      <c r="C174" s="21"/>
      <c r="D174" s="21"/>
      <c r="E174" s="21"/>
      <c r="F174" s="22"/>
      <c r="G174" s="21"/>
      <c r="H174" s="21"/>
      <c r="I174" s="22"/>
      <c r="J174" s="117"/>
      <c r="K174" s="117"/>
    </row>
    <row r="175" spans="1:11" ht="14.45">
      <c r="A175" s="21"/>
      <c r="B175" s="70"/>
      <c r="C175" s="21"/>
      <c r="D175" s="21"/>
      <c r="E175" s="21"/>
      <c r="F175" s="22"/>
      <c r="G175" s="21"/>
      <c r="H175" s="21"/>
      <c r="I175" s="22"/>
      <c r="J175" s="117"/>
      <c r="K175" s="117"/>
    </row>
    <row r="176" spans="1:11" ht="14.45">
      <c r="A176" s="21"/>
      <c r="B176" s="70"/>
      <c r="C176" s="21"/>
      <c r="D176" s="21"/>
      <c r="E176" s="21"/>
      <c r="F176" s="22"/>
      <c r="G176" s="21"/>
      <c r="H176" s="21"/>
      <c r="I176" s="22"/>
      <c r="J176" s="117"/>
      <c r="K176" s="117"/>
    </row>
    <row r="177" spans="1:11" ht="14.45">
      <c r="A177" s="21"/>
      <c r="B177" s="70"/>
      <c r="C177" s="21"/>
      <c r="D177" s="21"/>
      <c r="E177" s="21"/>
      <c r="F177" s="22"/>
      <c r="G177" s="21"/>
      <c r="H177" s="21"/>
      <c r="I177" s="22"/>
      <c r="J177" s="117"/>
      <c r="K177" s="117"/>
    </row>
    <row r="178" spans="1:11" ht="14.45">
      <c r="A178" s="21"/>
      <c r="B178" s="70"/>
      <c r="C178" s="21"/>
      <c r="D178" s="21"/>
      <c r="E178" s="21"/>
      <c r="F178" s="22"/>
      <c r="G178" s="21"/>
      <c r="H178" s="21"/>
      <c r="I178" s="22"/>
      <c r="J178" s="117"/>
      <c r="K178" s="117"/>
    </row>
    <row r="179" spans="1:11" ht="14.45">
      <c r="A179" s="21"/>
      <c r="B179" s="70"/>
      <c r="C179" s="21"/>
      <c r="D179" s="21"/>
      <c r="E179" s="21"/>
      <c r="F179" s="22"/>
      <c r="G179" s="21"/>
      <c r="H179" s="21"/>
      <c r="I179" s="22"/>
      <c r="J179" s="117"/>
      <c r="K179" s="117"/>
    </row>
    <row r="180" spans="1:11" ht="14.45">
      <c r="A180" s="21"/>
      <c r="B180" s="70"/>
      <c r="C180" s="21"/>
      <c r="D180" s="21"/>
      <c r="E180" s="21"/>
      <c r="F180" s="22"/>
      <c r="G180" s="21"/>
      <c r="H180" s="21"/>
      <c r="I180" s="22"/>
      <c r="J180" s="117"/>
      <c r="K180" s="117"/>
    </row>
    <row r="181" spans="1:11" ht="14.45">
      <c r="A181" s="21"/>
      <c r="B181" s="70"/>
      <c r="C181" s="21"/>
      <c r="D181" s="21"/>
      <c r="E181" s="21"/>
      <c r="F181" s="22"/>
      <c r="G181" s="21"/>
      <c r="H181" s="21"/>
      <c r="I181" s="22"/>
      <c r="J181" s="117"/>
      <c r="K181" s="117"/>
    </row>
    <row r="182" spans="1:11" ht="14.45">
      <c r="A182" s="21"/>
      <c r="B182" s="70"/>
      <c r="C182" s="21"/>
      <c r="D182" s="21"/>
      <c r="E182" s="21"/>
      <c r="F182" s="22"/>
      <c r="G182" s="21"/>
      <c r="H182" s="21"/>
      <c r="I182" s="22"/>
      <c r="J182" s="117"/>
      <c r="K182" s="117"/>
    </row>
    <row r="183" spans="1:11" ht="14.45">
      <c r="A183" s="21"/>
      <c r="B183" s="70"/>
      <c r="C183" s="21"/>
      <c r="D183" s="21"/>
      <c r="E183" s="21"/>
      <c r="F183" s="22"/>
      <c r="G183" s="21"/>
      <c r="H183" s="21"/>
      <c r="I183" s="22"/>
      <c r="J183" s="117"/>
      <c r="K183" s="117"/>
    </row>
    <row r="184" spans="1:11" ht="14.45">
      <c r="A184" s="21"/>
      <c r="B184" s="70"/>
      <c r="C184" s="21"/>
      <c r="D184" s="21"/>
      <c r="E184" s="21"/>
      <c r="F184" s="22"/>
      <c r="G184" s="21"/>
      <c r="H184" s="21"/>
      <c r="I184" s="22"/>
      <c r="J184" s="117"/>
      <c r="K184" s="117"/>
    </row>
    <row r="185" spans="1:11" ht="14.45">
      <c r="A185" s="21"/>
      <c r="B185" s="70"/>
      <c r="C185" s="21"/>
      <c r="D185" s="21"/>
      <c r="E185" s="21"/>
      <c r="F185" s="22"/>
      <c r="G185" s="21"/>
      <c r="H185" s="21"/>
      <c r="I185" s="22"/>
      <c r="J185" s="117"/>
      <c r="K185" s="117"/>
    </row>
    <row r="186" spans="1:11" ht="14.45">
      <c r="A186" s="21"/>
      <c r="B186" s="70"/>
      <c r="C186" s="21"/>
      <c r="D186" s="21"/>
      <c r="E186" s="21"/>
      <c r="F186" s="22"/>
      <c r="G186" s="21"/>
      <c r="H186" s="21"/>
      <c r="I186" s="22"/>
      <c r="J186" s="117"/>
      <c r="K186" s="117"/>
    </row>
    <row r="187" spans="1:11" ht="14.45">
      <c r="A187" s="21"/>
      <c r="B187" s="70"/>
      <c r="C187" s="21"/>
      <c r="D187" s="21"/>
      <c r="E187" s="21"/>
      <c r="F187" s="22"/>
      <c r="G187" s="21"/>
      <c r="H187" s="21"/>
      <c r="I187" s="22"/>
      <c r="J187" s="117"/>
      <c r="K187" s="117"/>
    </row>
    <row r="188" spans="1:11" ht="14.45">
      <c r="A188" s="21"/>
      <c r="B188" s="70"/>
      <c r="C188" s="21"/>
      <c r="D188" s="21"/>
      <c r="E188" s="21"/>
      <c r="F188" s="22"/>
      <c r="G188" s="21"/>
      <c r="H188" s="21"/>
      <c r="I188" s="22"/>
      <c r="J188" s="117"/>
      <c r="K188" s="117"/>
    </row>
    <row r="189" spans="1:11" ht="14.45">
      <c r="A189" s="21"/>
      <c r="B189" s="70"/>
      <c r="C189" s="21"/>
      <c r="D189" s="21"/>
      <c r="E189" s="21"/>
      <c r="F189" s="22"/>
      <c r="G189" s="21"/>
      <c r="H189" s="21"/>
      <c r="I189" s="22"/>
      <c r="J189" s="117"/>
      <c r="K189" s="117"/>
    </row>
    <row r="190" spans="1:11" ht="14.45">
      <c r="A190" s="21"/>
      <c r="B190" s="70"/>
      <c r="C190" s="21"/>
      <c r="D190" s="21"/>
      <c r="E190" s="21"/>
      <c r="F190" s="22"/>
      <c r="G190" s="21"/>
      <c r="H190" s="21"/>
      <c r="I190" s="22"/>
      <c r="J190" s="117"/>
      <c r="K190" s="117"/>
    </row>
    <row r="191" spans="1:11" ht="14.45">
      <c r="A191" s="21"/>
      <c r="B191" s="70"/>
      <c r="C191" s="21"/>
      <c r="D191" s="21"/>
      <c r="E191" s="21"/>
      <c r="F191" s="22"/>
      <c r="G191" s="21"/>
      <c r="H191" s="21"/>
      <c r="I191" s="22"/>
      <c r="J191" s="117"/>
      <c r="K191" s="117"/>
    </row>
    <row r="192" spans="1:11" ht="14.45">
      <c r="A192" s="21"/>
      <c r="B192" s="70"/>
      <c r="C192" s="21"/>
      <c r="D192" s="21"/>
      <c r="E192" s="21"/>
      <c r="F192" s="22"/>
      <c r="G192" s="21"/>
      <c r="H192" s="21"/>
      <c r="I192" s="22"/>
      <c r="J192" s="117"/>
      <c r="K192" s="117"/>
    </row>
    <row r="193" spans="1:11" ht="14.45">
      <c r="A193" s="21"/>
      <c r="B193" s="70"/>
      <c r="C193" s="21"/>
      <c r="D193" s="21"/>
      <c r="E193" s="21"/>
      <c r="F193" s="22"/>
      <c r="G193" s="21"/>
      <c r="H193" s="21"/>
      <c r="I193" s="22"/>
      <c r="J193" s="117"/>
      <c r="K193" s="117"/>
    </row>
    <row r="194" spans="1:11" ht="14.45">
      <c r="A194" s="21"/>
      <c r="B194" s="70"/>
      <c r="C194" s="21"/>
      <c r="D194" s="21"/>
      <c r="E194" s="21"/>
      <c r="F194" s="22"/>
      <c r="G194" s="21"/>
      <c r="H194" s="21"/>
      <c r="I194" s="22"/>
      <c r="J194" s="117"/>
      <c r="K194" s="117"/>
    </row>
    <row r="195" spans="1:11" ht="14.45">
      <c r="A195" s="21"/>
      <c r="B195" s="70"/>
      <c r="C195" s="21"/>
      <c r="D195" s="21"/>
      <c r="E195" s="21"/>
      <c r="F195" s="22"/>
      <c r="G195" s="21"/>
      <c r="H195" s="21"/>
      <c r="I195" s="22"/>
      <c r="J195" s="117"/>
      <c r="K195" s="117"/>
    </row>
    <row r="196" spans="1:11" ht="14.45">
      <c r="A196" s="21"/>
      <c r="B196" s="70"/>
      <c r="C196" s="21"/>
      <c r="D196" s="21"/>
      <c r="E196" s="21"/>
      <c r="F196" s="22"/>
      <c r="G196" s="21"/>
      <c r="H196" s="21"/>
      <c r="I196" s="22"/>
      <c r="J196" s="117"/>
      <c r="K196" s="117"/>
    </row>
    <row r="197" spans="1:11" ht="14.45">
      <c r="A197" s="21"/>
      <c r="B197" s="70"/>
      <c r="C197" s="21"/>
      <c r="D197" s="21"/>
      <c r="E197" s="21"/>
      <c r="F197" s="22"/>
      <c r="G197" s="21"/>
      <c r="H197" s="21"/>
      <c r="I197" s="22"/>
      <c r="J197" s="117"/>
      <c r="K197" s="117"/>
    </row>
    <row r="198" spans="1:11" ht="14.45">
      <c r="A198" s="21"/>
      <c r="B198" s="70"/>
      <c r="C198" s="21"/>
      <c r="D198" s="21"/>
      <c r="E198" s="21"/>
      <c r="F198" s="22"/>
      <c r="G198" s="21"/>
      <c r="H198" s="21"/>
      <c r="I198" s="22"/>
      <c r="J198" s="117"/>
      <c r="K198" s="117"/>
    </row>
    <row r="199" spans="1:11" ht="14.45">
      <c r="A199" s="21"/>
      <c r="B199" s="70"/>
      <c r="C199" s="21"/>
      <c r="D199" s="21"/>
      <c r="E199" s="21"/>
      <c r="F199" s="22"/>
      <c r="G199" s="21"/>
      <c r="H199" s="21"/>
      <c r="I199" s="22"/>
      <c r="J199" s="117"/>
      <c r="K199" s="117"/>
    </row>
    <row r="200" spans="1:11" ht="14.45">
      <c r="A200" s="21"/>
      <c r="B200" s="70"/>
      <c r="C200" s="21"/>
      <c r="D200" s="21"/>
      <c r="E200" s="21"/>
      <c r="F200" s="22"/>
      <c r="G200" s="21"/>
      <c r="H200" s="21"/>
      <c r="I200" s="22"/>
      <c r="J200" s="117"/>
      <c r="K200" s="117"/>
    </row>
    <row r="201" spans="1:11" ht="14.45">
      <c r="A201" s="21"/>
      <c r="B201" s="70"/>
      <c r="C201" s="21"/>
      <c r="D201" s="21"/>
      <c r="E201" s="21"/>
      <c r="F201" s="22"/>
      <c r="G201" s="21"/>
      <c r="H201" s="21"/>
      <c r="I201" s="22"/>
      <c r="J201" s="117"/>
      <c r="K201" s="117"/>
    </row>
    <row r="202" spans="1:11" ht="14.45">
      <c r="A202" s="21"/>
      <c r="B202" s="70"/>
      <c r="C202" s="21"/>
      <c r="D202" s="21"/>
      <c r="E202" s="21"/>
      <c r="F202" s="22"/>
      <c r="G202" s="21"/>
      <c r="H202" s="21"/>
      <c r="I202" s="22"/>
      <c r="J202" s="117"/>
      <c r="K202" s="117"/>
    </row>
    <row r="203" spans="1:11" ht="14.45">
      <c r="A203" s="21"/>
      <c r="B203" s="70"/>
      <c r="C203" s="21"/>
      <c r="D203" s="21"/>
      <c r="E203" s="21"/>
      <c r="F203" s="22"/>
      <c r="G203" s="21"/>
      <c r="H203" s="21"/>
      <c r="I203" s="22"/>
      <c r="J203" s="117"/>
      <c r="K203" s="117"/>
    </row>
    <row r="204" spans="1:11" ht="14.45">
      <c r="A204" s="21"/>
      <c r="B204" s="70"/>
      <c r="C204" s="21"/>
      <c r="D204" s="21"/>
      <c r="E204" s="21"/>
      <c r="F204" s="22"/>
      <c r="G204" s="21"/>
      <c r="H204" s="21"/>
      <c r="I204" s="22"/>
      <c r="J204" s="117"/>
      <c r="K204" s="117"/>
    </row>
    <row r="205" spans="1:11" ht="14.45">
      <c r="A205" s="21"/>
      <c r="B205" s="70"/>
      <c r="C205" s="21"/>
      <c r="D205" s="21"/>
      <c r="E205" s="21"/>
      <c r="F205" s="22"/>
      <c r="G205" s="21"/>
      <c r="H205" s="21"/>
      <c r="I205" s="22"/>
      <c r="J205" s="117"/>
      <c r="K205" s="117"/>
    </row>
    <row r="206" spans="1:11" ht="14.45">
      <c r="A206" s="21"/>
      <c r="B206" s="70"/>
      <c r="C206" s="21"/>
      <c r="D206" s="21"/>
      <c r="E206" s="21"/>
      <c r="F206" s="22"/>
      <c r="G206" s="21"/>
      <c r="H206" s="21"/>
      <c r="I206" s="22"/>
      <c r="J206" s="117"/>
      <c r="K206" s="117"/>
    </row>
    <row r="207" spans="1:11" ht="14.45">
      <c r="A207" s="21"/>
      <c r="B207" s="70"/>
      <c r="C207" s="21"/>
      <c r="D207" s="21"/>
      <c r="E207" s="21"/>
      <c r="F207" s="22"/>
      <c r="G207" s="21"/>
      <c r="H207" s="21"/>
      <c r="I207" s="22"/>
      <c r="J207" s="117"/>
      <c r="K207" s="117"/>
    </row>
    <row r="208" spans="1:11" ht="14.45">
      <c r="A208" s="21"/>
      <c r="B208" s="70"/>
      <c r="C208" s="21"/>
      <c r="D208" s="21"/>
      <c r="E208" s="21"/>
      <c r="F208" s="22"/>
      <c r="G208" s="21"/>
      <c r="H208" s="21"/>
      <c r="I208" s="22"/>
      <c r="J208" s="117"/>
      <c r="K208" s="117"/>
    </row>
    <row r="209" spans="1:11" ht="14.45">
      <c r="A209" s="21"/>
      <c r="B209" s="70"/>
      <c r="C209" s="21"/>
      <c r="D209" s="21"/>
      <c r="E209" s="21"/>
      <c r="F209" s="22"/>
      <c r="G209" s="21"/>
      <c r="H209" s="21"/>
      <c r="I209" s="22"/>
      <c r="J209" s="117"/>
      <c r="K209" s="117"/>
    </row>
    <row r="210" spans="1:11" ht="14.45">
      <c r="A210" s="21"/>
      <c r="B210" s="70"/>
      <c r="C210" s="21"/>
      <c r="D210" s="21"/>
      <c r="E210" s="21"/>
      <c r="F210" s="22"/>
      <c r="G210" s="21"/>
      <c r="H210" s="21"/>
      <c r="I210" s="22"/>
      <c r="J210" s="117"/>
      <c r="K210" s="117"/>
    </row>
    <row r="211" spans="1:11" ht="14.45">
      <c r="A211" s="21"/>
      <c r="B211" s="70"/>
      <c r="C211" s="21"/>
      <c r="D211" s="21"/>
      <c r="E211" s="21"/>
      <c r="F211" s="22"/>
      <c r="G211" s="21"/>
      <c r="H211" s="21"/>
      <c r="I211" s="22"/>
      <c r="J211" s="117"/>
      <c r="K211" s="117"/>
    </row>
    <row r="212" spans="1:11" ht="14.45">
      <c r="A212" s="21"/>
      <c r="B212" s="70"/>
      <c r="C212" s="21"/>
      <c r="D212" s="21"/>
      <c r="E212" s="21"/>
      <c r="F212" s="22"/>
      <c r="G212" s="21"/>
      <c r="H212" s="21"/>
      <c r="I212" s="22"/>
      <c r="J212" s="117"/>
      <c r="K212" s="117"/>
    </row>
    <row r="213" spans="1:11" ht="14.45">
      <c r="A213" s="21"/>
      <c r="B213" s="70"/>
      <c r="C213" s="21"/>
      <c r="D213" s="21"/>
      <c r="E213" s="21"/>
      <c r="F213" s="22"/>
      <c r="G213" s="21"/>
      <c r="H213" s="21"/>
      <c r="I213" s="22"/>
      <c r="J213" s="117"/>
      <c r="K213" s="117"/>
    </row>
    <row r="214" spans="1:11" ht="14.45">
      <c r="A214" s="21"/>
      <c r="B214" s="70"/>
      <c r="C214" s="21"/>
      <c r="D214" s="21"/>
      <c r="E214" s="21"/>
      <c r="F214" s="22"/>
      <c r="G214" s="21"/>
      <c r="H214" s="21"/>
      <c r="I214" s="22"/>
      <c r="J214" s="117"/>
      <c r="K214" s="117"/>
    </row>
    <row r="215" spans="1:11" ht="14.45">
      <c r="A215" s="21"/>
      <c r="B215" s="70"/>
      <c r="C215" s="21"/>
      <c r="D215" s="21"/>
      <c r="E215" s="21"/>
      <c r="F215" s="22"/>
      <c r="G215" s="21"/>
      <c r="H215" s="21"/>
      <c r="I215" s="22"/>
      <c r="J215" s="117"/>
      <c r="K215" s="117"/>
    </row>
    <row r="216" spans="1:11" ht="14.45">
      <c r="A216" s="21"/>
      <c r="B216" s="70"/>
      <c r="C216" s="21"/>
      <c r="D216" s="21"/>
      <c r="E216" s="21"/>
      <c r="F216" s="22"/>
      <c r="G216" s="21"/>
      <c r="H216" s="21"/>
      <c r="I216" s="22"/>
      <c r="J216" s="117"/>
      <c r="K216" s="117"/>
    </row>
    <row r="217" spans="1:11" ht="14.45">
      <c r="A217" s="21"/>
      <c r="B217" s="70"/>
      <c r="C217" s="21"/>
      <c r="D217" s="21"/>
      <c r="E217" s="21"/>
      <c r="F217" s="22"/>
      <c r="G217" s="21"/>
      <c r="H217" s="21"/>
      <c r="I217" s="22"/>
      <c r="J217" s="117"/>
      <c r="K217" s="117"/>
    </row>
    <row r="218" spans="1:11" ht="14.45">
      <c r="A218" s="21"/>
      <c r="B218" s="70"/>
      <c r="C218" s="21"/>
      <c r="D218" s="21"/>
      <c r="E218" s="21"/>
      <c r="F218" s="22"/>
      <c r="G218" s="21"/>
      <c r="H218" s="21"/>
      <c r="I218" s="22"/>
      <c r="J218" s="117"/>
      <c r="K218" s="117"/>
    </row>
    <row r="219" spans="1:11" ht="14.45">
      <c r="A219" s="21"/>
      <c r="B219" s="70"/>
      <c r="C219" s="21"/>
      <c r="D219" s="21"/>
      <c r="E219" s="21"/>
      <c r="F219" s="22"/>
      <c r="G219" s="21"/>
      <c r="H219" s="21"/>
      <c r="I219" s="22"/>
      <c r="J219" s="117"/>
      <c r="K219" s="117"/>
    </row>
    <row r="220" spans="1:11" ht="14.45">
      <c r="A220" s="21"/>
      <c r="B220" s="70"/>
      <c r="C220" s="21"/>
      <c r="D220" s="21"/>
      <c r="E220" s="21"/>
      <c r="F220" s="22"/>
      <c r="G220" s="21"/>
      <c r="H220" s="21"/>
      <c r="I220" s="22"/>
      <c r="J220" s="117"/>
      <c r="K220" s="117"/>
    </row>
    <row r="221" spans="1:11" ht="14.45">
      <c r="A221" s="21"/>
      <c r="B221" s="70"/>
      <c r="C221" s="21"/>
      <c r="D221" s="21"/>
      <c r="E221" s="21"/>
      <c r="F221" s="22"/>
      <c r="G221" s="21"/>
      <c r="H221" s="21"/>
      <c r="I221" s="22"/>
      <c r="J221" s="117"/>
      <c r="K221" s="117"/>
    </row>
    <row r="222" spans="1:11" ht="14.45">
      <c r="A222" s="21"/>
      <c r="B222" s="70"/>
      <c r="C222" s="21"/>
      <c r="D222" s="21"/>
      <c r="E222" s="21"/>
      <c r="F222" s="22"/>
      <c r="G222" s="21"/>
      <c r="H222" s="21"/>
      <c r="I222" s="22"/>
      <c r="J222" s="117"/>
      <c r="K222" s="117"/>
    </row>
    <row r="223" spans="1:11" ht="14.45">
      <c r="A223" s="21"/>
      <c r="B223" s="70"/>
      <c r="C223" s="21"/>
      <c r="D223" s="21"/>
      <c r="E223" s="21"/>
      <c r="F223" s="22"/>
      <c r="G223" s="21"/>
      <c r="H223" s="21"/>
      <c r="I223" s="22"/>
      <c r="J223" s="117"/>
      <c r="K223" s="117"/>
    </row>
    <row r="224" spans="1:11" ht="14.45">
      <c r="A224" s="21"/>
      <c r="B224" s="70"/>
      <c r="C224" s="21"/>
      <c r="D224" s="21"/>
      <c r="E224" s="21"/>
      <c r="F224" s="22"/>
      <c r="G224" s="21"/>
      <c r="H224" s="21"/>
      <c r="I224" s="22"/>
      <c r="J224" s="117"/>
      <c r="K224" s="117"/>
    </row>
    <row r="225" spans="1:11" ht="14.45">
      <c r="A225" s="21"/>
      <c r="B225" s="70"/>
      <c r="C225" s="21"/>
      <c r="D225" s="21"/>
      <c r="E225" s="21"/>
      <c r="F225" s="22"/>
      <c r="G225" s="21"/>
      <c r="H225" s="21"/>
      <c r="I225" s="22"/>
      <c r="J225" s="117"/>
      <c r="K225" s="117"/>
    </row>
    <row r="226" spans="1:11" ht="14.45">
      <c r="A226" s="21"/>
      <c r="B226" s="70"/>
      <c r="C226" s="21"/>
      <c r="D226" s="21"/>
      <c r="E226" s="21"/>
      <c r="F226" s="22"/>
      <c r="G226" s="21"/>
      <c r="H226" s="21"/>
      <c r="I226" s="22"/>
      <c r="J226" s="117"/>
      <c r="K226" s="117"/>
    </row>
    <row r="227" spans="1:11" ht="14.45">
      <c r="A227" s="21"/>
      <c r="B227" s="70"/>
      <c r="C227" s="21"/>
      <c r="D227" s="21"/>
      <c r="E227" s="21"/>
      <c r="F227" s="22"/>
      <c r="G227" s="21"/>
      <c r="H227" s="21"/>
      <c r="I227" s="22"/>
      <c r="J227" s="117"/>
      <c r="K227" s="117"/>
    </row>
    <row r="228" spans="1:11" ht="14.45">
      <c r="A228" s="21"/>
      <c r="B228" s="70"/>
      <c r="C228" s="21"/>
      <c r="D228" s="21"/>
      <c r="E228" s="21"/>
      <c r="F228" s="22"/>
      <c r="G228" s="21"/>
      <c r="H228" s="21"/>
      <c r="I228" s="22"/>
      <c r="J228" s="117"/>
      <c r="K228" s="117"/>
    </row>
    <row r="229" spans="1:11" ht="14.45">
      <c r="A229" s="21"/>
      <c r="B229" s="70"/>
      <c r="C229" s="21"/>
      <c r="D229" s="21"/>
      <c r="E229" s="21"/>
      <c r="F229" s="22"/>
      <c r="G229" s="21"/>
      <c r="H229" s="21"/>
      <c r="I229" s="22"/>
      <c r="J229" s="117"/>
      <c r="K229" s="117"/>
    </row>
    <row r="230" spans="1:11" ht="14.45">
      <c r="A230" s="21"/>
      <c r="B230" s="70"/>
      <c r="C230" s="21"/>
      <c r="D230" s="21"/>
      <c r="E230" s="21"/>
      <c r="F230" s="22"/>
      <c r="G230" s="21"/>
      <c r="H230" s="21"/>
      <c r="I230" s="22"/>
      <c r="J230" s="117"/>
      <c r="K230" s="117"/>
    </row>
    <row r="231" spans="1:11" ht="14.45">
      <c r="A231" s="21"/>
      <c r="B231" s="70"/>
      <c r="C231" s="21"/>
      <c r="D231" s="21"/>
      <c r="E231" s="21"/>
      <c r="F231" s="22"/>
      <c r="G231" s="21"/>
      <c r="H231" s="21"/>
      <c r="I231" s="22"/>
      <c r="J231" s="117"/>
      <c r="K231" s="117"/>
    </row>
    <row r="232" spans="1:11" ht="14.45">
      <c r="A232" s="21"/>
      <c r="B232" s="70"/>
      <c r="C232" s="21"/>
      <c r="D232" s="21"/>
      <c r="E232" s="21"/>
      <c r="F232" s="22"/>
      <c r="G232" s="21"/>
      <c r="H232" s="21"/>
      <c r="I232" s="22"/>
      <c r="J232" s="117"/>
      <c r="K232" s="117"/>
    </row>
    <row r="233" spans="1:11" ht="14.45">
      <c r="A233" s="21"/>
      <c r="B233" s="70"/>
      <c r="C233" s="21"/>
      <c r="D233" s="21"/>
      <c r="E233" s="21"/>
      <c r="F233" s="22"/>
      <c r="G233" s="21"/>
      <c r="H233" s="21"/>
      <c r="I233" s="22"/>
      <c r="J233" s="117"/>
      <c r="K233" s="117"/>
    </row>
    <row r="234" spans="1:11" ht="14.45">
      <c r="A234" s="21"/>
      <c r="B234" s="70"/>
      <c r="C234" s="21"/>
      <c r="D234" s="21"/>
      <c r="E234" s="21"/>
      <c r="F234" s="22"/>
      <c r="G234" s="21"/>
      <c r="H234" s="21"/>
      <c r="I234" s="22"/>
      <c r="J234" s="117"/>
      <c r="K234" s="117"/>
    </row>
    <row r="235" spans="1:11" ht="14.45">
      <c r="A235" s="21"/>
      <c r="B235" s="70"/>
      <c r="C235" s="21"/>
      <c r="D235" s="21"/>
      <c r="E235" s="21"/>
      <c r="F235" s="22"/>
      <c r="G235" s="21"/>
      <c r="H235" s="21"/>
      <c r="I235" s="22"/>
      <c r="J235" s="117"/>
      <c r="K235" s="117"/>
    </row>
    <row r="236" spans="1:11" ht="14.45">
      <c r="A236" s="21"/>
      <c r="B236" s="70"/>
      <c r="C236" s="21"/>
      <c r="D236" s="21"/>
      <c r="E236" s="21"/>
      <c r="F236" s="22"/>
      <c r="G236" s="21"/>
      <c r="H236" s="21"/>
      <c r="I236" s="22"/>
      <c r="J236" s="117"/>
      <c r="K236" s="117"/>
    </row>
    <row r="237" spans="1:11" ht="14.45">
      <c r="A237" s="21"/>
      <c r="B237" s="70"/>
      <c r="C237" s="21"/>
      <c r="D237" s="21"/>
      <c r="E237" s="21"/>
      <c r="F237" s="22"/>
      <c r="G237" s="21"/>
      <c r="H237" s="21"/>
      <c r="I237" s="22"/>
      <c r="J237" s="117"/>
      <c r="K237" s="117"/>
    </row>
    <row r="238" spans="1:11" ht="14.45">
      <c r="A238" s="21"/>
      <c r="B238" s="70"/>
      <c r="C238" s="21"/>
      <c r="D238" s="21"/>
      <c r="E238" s="21"/>
      <c r="F238" s="22"/>
      <c r="G238" s="21"/>
      <c r="H238" s="21"/>
      <c r="I238" s="22"/>
      <c r="J238" s="117"/>
      <c r="K238" s="117"/>
    </row>
    <row r="239" spans="1:11" ht="14.45">
      <c r="A239" s="21"/>
      <c r="B239" s="70"/>
      <c r="C239" s="21"/>
      <c r="D239" s="21"/>
      <c r="E239" s="21"/>
      <c r="F239" s="22"/>
      <c r="G239" s="21"/>
      <c r="H239" s="21"/>
      <c r="I239" s="22"/>
      <c r="J239" s="117"/>
      <c r="K239" s="117"/>
    </row>
    <row r="240" spans="1:11" ht="14.45">
      <c r="A240" s="21"/>
      <c r="B240" s="70"/>
      <c r="C240" s="21"/>
      <c r="D240" s="21"/>
      <c r="E240" s="21"/>
      <c r="F240" s="22"/>
      <c r="G240" s="21"/>
      <c r="H240" s="21"/>
      <c r="I240" s="22"/>
      <c r="J240" s="117"/>
      <c r="K240" s="117"/>
    </row>
    <row r="241" spans="1:11" ht="14.45">
      <c r="A241" s="21"/>
      <c r="B241" s="70"/>
      <c r="C241" s="21"/>
      <c r="D241" s="21"/>
      <c r="E241" s="21"/>
      <c r="F241" s="22"/>
      <c r="G241" s="21"/>
      <c r="H241" s="21"/>
      <c r="I241" s="22"/>
      <c r="J241" s="117"/>
      <c r="K241" s="117"/>
    </row>
    <row r="242" spans="1:11" ht="14.45">
      <c r="A242" s="21"/>
      <c r="B242" s="70"/>
      <c r="C242" s="21"/>
      <c r="D242" s="21"/>
      <c r="E242" s="21"/>
      <c r="F242" s="22"/>
      <c r="G242" s="21"/>
      <c r="H242" s="21"/>
      <c r="I242" s="22"/>
      <c r="J242" s="117"/>
      <c r="K242" s="117"/>
    </row>
    <row r="243" spans="1:11" ht="14.45">
      <c r="A243" s="21"/>
      <c r="B243" s="70"/>
      <c r="C243" s="21"/>
      <c r="D243" s="21"/>
      <c r="E243" s="21"/>
      <c r="F243" s="22"/>
      <c r="G243" s="21"/>
      <c r="H243" s="21"/>
      <c r="I243" s="22"/>
      <c r="J243" s="117"/>
      <c r="K243" s="117"/>
    </row>
    <row r="244" spans="1:11" ht="14.45">
      <c r="A244" s="21"/>
      <c r="B244" s="70"/>
      <c r="C244" s="21"/>
      <c r="D244" s="21"/>
      <c r="E244" s="21"/>
      <c r="F244" s="22"/>
      <c r="G244" s="21"/>
      <c r="H244" s="21"/>
      <c r="I244" s="22"/>
      <c r="J244" s="117"/>
      <c r="K244" s="117"/>
    </row>
    <row r="245" spans="1:11" ht="14.45">
      <c r="A245" s="21"/>
      <c r="B245" s="70"/>
      <c r="C245" s="21"/>
      <c r="D245" s="21"/>
      <c r="E245" s="21"/>
      <c r="F245" s="22"/>
      <c r="G245" s="21"/>
      <c r="H245" s="21"/>
      <c r="I245" s="22"/>
      <c r="J245" s="117"/>
      <c r="K245" s="117"/>
    </row>
    <row r="246" spans="1:11" ht="14.45">
      <c r="A246" s="21"/>
      <c r="B246" s="70"/>
      <c r="C246" s="21"/>
      <c r="D246" s="21"/>
      <c r="E246" s="21"/>
      <c r="F246" s="22"/>
      <c r="G246" s="21"/>
      <c r="H246" s="21"/>
      <c r="I246" s="22"/>
      <c r="J246" s="117"/>
      <c r="K246" s="117"/>
    </row>
    <row r="247" spans="1:11" ht="14.45">
      <c r="A247" s="21"/>
      <c r="B247" s="70"/>
      <c r="C247" s="21"/>
      <c r="D247" s="21"/>
      <c r="E247" s="21"/>
      <c r="F247" s="22"/>
      <c r="G247" s="21"/>
      <c r="H247" s="21"/>
      <c r="I247" s="22"/>
      <c r="J247" s="117"/>
      <c r="K247" s="117"/>
    </row>
    <row r="248" spans="1:11" ht="14.45">
      <c r="A248" s="21"/>
      <c r="B248" s="70"/>
      <c r="C248" s="21"/>
      <c r="D248" s="21"/>
      <c r="E248" s="21"/>
      <c r="F248" s="22"/>
      <c r="G248" s="21"/>
      <c r="H248" s="21"/>
      <c r="I248" s="22"/>
      <c r="J248" s="117"/>
      <c r="K248" s="117"/>
    </row>
    <row r="249" spans="1:11" ht="14.45">
      <c r="A249" s="21"/>
      <c r="B249" s="70"/>
      <c r="C249" s="21"/>
      <c r="D249" s="21"/>
      <c r="E249" s="21"/>
      <c r="F249" s="22"/>
      <c r="G249" s="21"/>
      <c r="H249" s="21"/>
      <c r="I249" s="22"/>
      <c r="J249" s="117"/>
      <c r="K249" s="117"/>
    </row>
    <row r="250" spans="1:11" ht="14.45">
      <c r="A250" s="21"/>
      <c r="B250" s="70"/>
      <c r="C250" s="21"/>
      <c r="D250" s="21"/>
      <c r="E250" s="21"/>
      <c r="F250" s="22"/>
      <c r="G250" s="21"/>
      <c r="H250" s="21"/>
      <c r="I250" s="22"/>
      <c r="J250" s="117"/>
      <c r="K250" s="117"/>
    </row>
    <row r="251" spans="1:11" ht="14.45">
      <c r="A251" s="21"/>
      <c r="B251" s="70"/>
      <c r="C251" s="21"/>
      <c r="D251" s="21"/>
      <c r="E251" s="21"/>
      <c r="F251" s="22"/>
      <c r="G251" s="21"/>
      <c r="H251" s="21"/>
      <c r="I251" s="22"/>
      <c r="J251" s="117"/>
      <c r="K251" s="117"/>
    </row>
    <row r="252" spans="1:11" ht="14.45">
      <c r="A252" s="21"/>
      <c r="B252" s="70"/>
      <c r="C252" s="21"/>
      <c r="D252" s="21"/>
      <c r="E252" s="21"/>
      <c r="F252" s="22"/>
      <c r="G252" s="21"/>
      <c r="H252" s="21"/>
      <c r="I252" s="22"/>
      <c r="J252" s="117"/>
      <c r="K252" s="117"/>
    </row>
    <row r="253" spans="1:11" ht="14.45">
      <c r="A253" s="21"/>
      <c r="B253" s="70"/>
      <c r="C253" s="21"/>
      <c r="D253" s="21"/>
      <c r="E253" s="21"/>
      <c r="F253" s="22"/>
      <c r="G253" s="21"/>
      <c r="H253" s="21"/>
      <c r="I253" s="22"/>
      <c r="J253" s="117"/>
      <c r="K253" s="117"/>
    </row>
    <row r="254" spans="1:11" ht="14.45">
      <c r="A254" s="21"/>
      <c r="B254" s="70"/>
      <c r="C254" s="21"/>
      <c r="D254" s="21"/>
      <c r="E254" s="21"/>
      <c r="F254" s="22"/>
      <c r="G254" s="21"/>
      <c r="H254" s="21"/>
      <c r="I254" s="22"/>
      <c r="J254" s="117"/>
      <c r="K254" s="117"/>
    </row>
    <row r="255" spans="1:11" ht="14.45">
      <c r="A255" s="21"/>
      <c r="B255" s="70"/>
      <c r="C255" s="21"/>
      <c r="D255" s="21"/>
      <c r="E255" s="21"/>
      <c r="F255" s="22"/>
      <c r="G255" s="21"/>
      <c r="H255" s="21"/>
      <c r="I255" s="22"/>
      <c r="J255" s="117"/>
      <c r="K255" s="117"/>
    </row>
    <row r="256" spans="1:11" ht="14.45">
      <c r="A256" s="21"/>
      <c r="B256" s="70"/>
      <c r="C256" s="21"/>
      <c r="D256" s="21"/>
      <c r="E256" s="21"/>
      <c r="F256" s="22"/>
      <c r="G256" s="21"/>
      <c r="H256" s="21"/>
      <c r="I256" s="22"/>
      <c r="J256" s="117"/>
      <c r="K256" s="117"/>
    </row>
    <row r="257" spans="1:11" ht="14.45">
      <c r="A257" s="21"/>
      <c r="B257" s="70"/>
      <c r="C257" s="21"/>
      <c r="D257" s="21"/>
      <c r="E257" s="21"/>
      <c r="F257" s="22"/>
      <c r="G257" s="21"/>
      <c r="H257" s="21"/>
      <c r="I257" s="22"/>
      <c r="J257" s="117"/>
      <c r="K257" s="117"/>
    </row>
    <row r="258" spans="1:11" ht="14.45">
      <c r="A258" s="21"/>
      <c r="B258" s="70"/>
      <c r="C258" s="21"/>
      <c r="D258" s="21"/>
      <c r="E258" s="21"/>
      <c r="F258" s="22"/>
      <c r="G258" s="21"/>
      <c r="H258" s="21"/>
      <c r="I258" s="22"/>
      <c r="J258" s="117"/>
      <c r="K258" s="117"/>
    </row>
    <row r="259" spans="1:11" ht="14.45">
      <c r="A259" s="21"/>
      <c r="B259" s="70"/>
      <c r="C259" s="21"/>
      <c r="D259" s="21"/>
      <c r="E259" s="21"/>
      <c r="F259" s="22"/>
      <c r="G259" s="21"/>
      <c r="H259" s="21"/>
      <c r="I259" s="22"/>
      <c r="J259" s="117"/>
      <c r="K259" s="117"/>
    </row>
    <row r="260" spans="1:11" ht="14.45">
      <c r="A260" s="21"/>
      <c r="B260" s="70"/>
      <c r="C260" s="21"/>
      <c r="D260" s="21"/>
      <c r="E260" s="21"/>
      <c r="F260" s="22"/>
      <c r="G260" s="21"/>
      <c r="H260" s="21"/>
      <c r="I260" s="22"/>
      <c r="J260" s="117"/>
      <c r="K260" s="117"/>
    </row>
    <row r="261" spans="1:11" ht="14.45">
      <c r="A261" s="21"/>
      <c r="B261" s="70"/>
      <c r="C261" s="21"/>
      <c r="D261" s="21"/>
      <c r="E261" s="21"/>
      <c r="F261" s="22"/>
      <c r="G261" s="21"/>
      <c r="H261" s="21"/>
      <c r="I261" s="22"/>
      <c r="J261" s="117"/>
      <c r="K261" s="117"/>
    </row>
    <row r="262" spans="1:11" ht="14.45">
      <c r="A262" s="21"/>
      <c r="B262" s="70"/>
      <c r="C262" s="21"/>
      <c r="D262" s="21"/>
      <c r="E262" s="21"/>
      <c r="F262" s="22"/>
      <c r="G262" s="21"/>
      <c r="H262" s="21"/>
      <c r="I262" s="22"/>
      <c r="J262" s="117"/>
      <c r="K262" s="117"/>
    </row>
    <row r="263" spans="1:11" ht="14.45">
      <c r="A263" s="21"/>
      <c r="B263" s="70"/>
      <c r="C263" s="21"/>
      <c r="D263" s="21"/>
      <c r="E263" s="21"/>
      <c r="F263" s="22"/>
      <c r="G263" s="21"/>
      <c r="H263" s="21"/>
      <c r="I263" s="22"/>
      <c r="J263" s="117"/>
      <c r="K263" s="117"/>
    </row>
    <row r="264" spans="1:11" ht="14.45">
      <c r="A264" s="21"/>
      <c r="B264" s="70"/>
      <c r="C264" s="21"/>
      <c r="D264" s="21"/>
      <c r="E264" s="21"/>
      <c r="F264" s="22"/>
      <c r="G264" s="21"/>
      <c r="H264" s="21"/>
      <c r="I264" s="22"/>
      <c r="J264" s="117"/>
      <c r="K264" s="117"/>
    </row>
    <row r="265" spans="1:11" ht="14.45">
      <c r="A265" s="21"/>
      <c r="B265" s="70"/>
      <c r="C265" s="21"/>
      <c r="D265" s="21"/>
      <c r="E265" s="21"/>
      <c r="F265" s="22"/>
      <c r="G265" s="21"/>
      <c r="H265" s="21"/>
      <c r="I265" s="22"/>
      <c r="J265" s="117"/>
      <c r="K265" s="117"/>
    </row>
    <row r="266" spans="1:11" ht="14.45">
      <c r="A266" s="21"/>
      <c r="B266" s="70"/>
      <c r="C266" s="21"/>
      <c r="D266" s="21"/>
      <c r="E266" s="21"/>
      <c r="F266" s="22"/>
      <c r="G266" s="21"/>
      <c r="H266" s="21"/>
      <c r="I266" s="22"/>
      <c r="J266" s="117"/>
      <c r="K266" s="117"/>
    </row>
    <row r="267" spans="1:11" ht="14.45">
      <c r="A267" s="21"/>
      <c r="B267" s="70"/>
      <c r="C267" s="21"/>
      <c r="D267" s="21"/>
      <c r="E267" s="21"/>
      <c r="F267" s="22"/>
      <c r="G267" s="21"/>
      <c r="H267" s="21"/>
      <c r="I267" s="22"/>
      <c r="J267" s="117"/>
      <c r="K267" s="117"/>
    </row>
    <row r="268" spans="1:11" ht="14.45">
      <c r="A268" s="21"/>
      <c r="B268" s="70"/>
      <c r="C268" s="21"/>
      <c r="D268" s="21"/>
      <c r="E268" s="21"/>
      <c r="F268" s="22"/>
      <c r="G268" s="21"/>
      <c r="H268" s="21"/>
      <c r="I268" s="22"/>
      <c r="J268" s="117"/>
      <c r="K268" s="117"/>
    </row>
    <row r="269" spans="1:11" ht="14.45">
      <c r="A269" s="21"/>
      <c r="B269" s="70"/>
      <c r="C269" s="21"/>
      <c r="D269" s="21"/>
      <c r="E269" s="21"/>
      <c r="F269" s="22"/>
      <c r="G269" s="21"/>
      <c r="H269" s="21"/>
      <c r="I269" s="22"/>
      <c r="J269" s="117"/>
      <c r="K269" s="117"/>
    </row>
    <row r="270" spans="1:11" ht="14.45">
      <c r="A270" s="21"/>
      <c r="B270" s="70"/>
      <c r="C270" s="21"/>
      <c r="D270" s="21"/>
      <c r="E270" s="21"/>
      <c r="F270" s="22"/>
      <c r="G270" s="21"/>
      <c r="H270" s="21"/>
      <c r="I270" s="22"/>
      <c r="J270" s="117"/>
      <c r="K270" s="117"/>
    </row>
    <row r="271" spans="1:11" ht="14.45">
      <c r="A271" s="21"/>
      <c r="B271" s="70"/>
      <c r="C271" s="21"/>
      <c r="D271" s="21"/>
      <c r="E271" s="21"/>
      <c r="F271" s="22"/>
      <c r="G271" s="21"/>
      <c r="H271" s="21"/>
      <c r="I271" s="22"/>
      <c r="J271" s="117"/>
      <c r="K271" s="117"/>
    </row>
    <row r="272" spans="1:11" ht="14.45">
      <c r="A272" s="21"/>
      <c r="B272" s="70"/>
      <c r="C272" s="21"/>
      <c r="D272" s="21"/>
      <c r="E272" s="21"/>
      <c r="F272" s="22"/>
      <c r="G272" s="21"/>
      <c r="H272" s="21"/>
      <c r="I272" s="22"/>
      <c r="J272" s="117"/>
      <c r="K272" s="117"/>
    </row>
    <row r="273" spans="1:11" ht="14.45">
      <c r="A273" s="21"/>
      <c r="B273" s="70"/>
      <c r="C273" s="21"/>
      <c r="D273" s="21"/>
      <c r="E273" s="21"/>
      <c r="F273" s="22"/>
      <c r="G273" s="21"/>
      <c r="H273" s="21"/>
      <c r="I273" s="22"/>
      <c r="J273" s="117"/>
      <c r="K273" s="117"/>
    </row>
    <row r="274" spans="1:11" ht="14.45">
      <c r="A274" s="21"/>
      <c r="B274" s="70"/>
      <c r="C274" s="21"/>
      <c r="D274" s="21"/>
      <c r="E274" s="21"/>
      <c r="F274" s="22"/>
      <c r="G274" s="21"/>
      <c r="H274" s="21"/>
      <c r="I274" s="22"/>
      <c r="J274" s="117"/>
      <c r="K274" s="117"/>
    </row>
    <row r="275" spans="1:11" ht="14.45">
      <c r="A275" s="21"/>
      <c r="B275" s="70"/>
      <c r="C275" s="21"/>
      <c r="D275" s="21"/>
      <c r="E275" s="21"/>
      <c r="F275" s="22"/>
      <c r="G275" s="21"/>
      <c r="H275" s="21"/>
      <c r="I275" s="22"/>
      <c r="J275" s="117"/>
      <c r="K275" s="117"/>
    </row>
    <row r="276" spans="1:11" ht="14.45">
      <c r="A276" s="21"/>
      <c r="B276" s="70"/>
      <c r="C276" s="21"/>
      <c r="D276" s="21"/>
      <c r="E276" s="21"/>
      <c r="F276" s="22"/>
      <c r="G276" s="21"/>
      <c r="H276" s="21"/>
      <c r="I276" s="22"/>
      <c r="J276" s="117"/>
      <c r="K276" s="117"/>
    </row>
    <row r="277" spans="1:11" ht="14.45">
      <c r="A277" s="21"/>
      <c r="B277" s="70"/>
      <c r="C277" s="21"/>
      <c r="D277" s="21"/>
      <c r="E277" s="21"/>
      <c r="F277" s="22"/>
      <c r="G277" s="21"/>
      <c r="H277" s="21"/>
      <c r="I277" s="22"/>
      <c r="J277" s="117"/>
      <c r="K277" s="117"/>
    </row>
    <row r="278" spans="1:11" ht="14.45">
      <c r="A278" s="21"/>
      <c r="B278" s="70"/>
      <c r="C278" s="21"/>
      <c r="D278" s="21"/>
      <c r="E278" s="21"/>
      <c r="F278" s="22"/>
      <c r="G278" s="21"/>
      <c r="H278" s="21"/>
      <c r="I278" s="22"/>
      <c r="J278" s="117"/>
      <c r="K278" s="117"/>
    </row>
    <row r="279" spans="1:11" ht="14.45">
      <c r="A279" s="21"/>
      <c r="B279" s="70"/>
      <c r="C279" s="21"/>
      <c r="D279" s="21"/>
      <c r="E279" s="21"/>
      <c r="F279" s="22"/>
      <c r="G279" s="21"/>
      <c r="H279" s="21"/>
      <c r="I279" s="22"/>
      <c r="J279" s="117"/>
      <c r="K279" s="117"/>
    </row>
    <row r="280" spans="1:11" ht="14.45">
      <c r="A280" s="21"/>
      <c r="B280" s="70"/>
      <c r="C280" s="21"/>
      <c r="D280" s="21"/>
      <c r="E280" s="21"/>
      <c r="F280" s="22"/>
      <c r="G280" s="21"/>
      <c r="H280" s="21"/>
      <c r="I280" s="22"/>
      <c r="J280" s="117"/>
      <c r="K280" s="117"/>
    </row>
    <row r="281" spans="1:11" ht="14.45">
      <c r="A281" s="21"/>
      <c r="B281" s="70"/>
      <c r="C281" s="21"/>
      <c r="D281" s="21"/>
      <c r="E281" s="21"/>
      <c r="F281" s="22"/>
      <c r="G281" s="21"/>
      <c r="H281" s="21"/>
      <c r="I281" s="22"/>
      <c r="J281" s="117"/>
      <c r="K281" s="117"/>
    </row>
    <row r="282" spans="1:11" ht="14.45">
      <c r="A282" s="21"/>
      <c r="B282" s="70"/>
      <c r="C282" s="21"/>
      <c r="D282" s="21"/>
      <c r="E282" s="21"/>
      <c r="F282" s="22"/>
      <c r="G282" s="21"/>
      <c r="H282" s="21"/>
      <c r="I282" s="22"/>
      <c r="J282" s="117"/>
      <c r="K282" s="117"/>
    </row>
    <row r="283" spans="1:11" ht="14.45">
      <c r="A283" s="21"/>
      <c r="B283" s="70"/>
      <c r="C283" s="21"/>
      <c r="D283" s="21"/>
      <c r="E283" s="21"/>
      <c r="F283" s="22"/>
      <c r="G283" s="21"/>
      <c r="H283" s="21"/>
      <c r="I283" s="22"/>
      <c r="J283" s="117"/>
      <c r="K283" s="117"/>
    </row>
    <row r="284" spans="1:11" ht="14.45">
      <c r="A284" s="21"/>
      <c r="B284" s="70"/>
      <c r="C284" s="21"/>
      <c r="D284" s="21"/>
      <c r="E284" s="21"/>
      <c r="F284" s="22"/>
      <c r="G284" s="21"/>
      <c r="H284" s="21"/>
      <c r="I284" s="22"/>
      <c r="J284" s="117"/>
      <c r="K284" s="117"/>
    </row>
    <row r="285" spans="1:11" ht="14.45">
      <c r="A285" s="21"/>
      <c r="B285" s="70"/>
      <c r="C285" s="21"/>
      <c r="D285" s="21"/>
      <c r="E285" s="21"/>
      <c r="F285" s="22"/>
      <c r="G285" s="21"/>
      <c r="H285" s="21"/>
      <c r="I285" s="22"/>
      <c r="J285" s="117"/>
      <c r="K285" s="117"/>
    </row>
    <row r="286" spans="1:11" ht="14.45">
      <c r="A286" s="21"/>
      <c r="B286" s="70"/>
      <c r="C286" s="21"/>
      <c r="D286" s="21"/>
      <c r="E286" s="21"/>
      <c r="F286" s="22"/>
      <c r="G286" s="21"/>
      <c r="H286" s="21"/>
      <c r="I286" s="22"/>
      <c r="J286" s="117"/>
      <c r="K286" s="117"/>
    </row>
    <row r="287" spans="1:11" ht="14.45">
      <c r="A287" s="21"/>
      <c r="B287" s="70"/>
      <c r="C287" s="21"/>
      <c r="D287" s="21"/>
      <c r="E287" s="21"/>
      <c r="F287" s="22"/>
      <c r="G287" s="21"/>
      <c r="H287" s="21"/>
      <c r="I287" s="22"/>
      <c r="J287" s="117"/>
      <c r="K287" s="117"/>
    </row>
    <row r="288" spans="1:11" ht="14.45">
      <c r="A288" s="21"/>
      <c r="B288" s="70"/>
      <c r="C288" s="21"/>
      <c r="D288" s="21"/>
      <c r="E288" s="21"/>
      <c r="F288" s="22"/>
      <c r="G288" s="21"/>
      <c r="H288" s="21"/>
      <c r="I288" s="22"/>
      <c r="J288" s="117"/>
      <c r="K288" s="117"/>
    </row>
    <row r="289" spans="1:11" ht="14.45">
      <c r="A289" s="21"/>
      <c r="B289" s="70"/>
      <c r="C289" s="21"/>
      <c r="D289" s="21"/>
      <c r="E289" s="21"/>
      <c r="F289" s="22"/>
      <c r="G289" s="21"/>
      <c r="H289" s="21"/>
      <c r="I289" s="22"/>
      <c r="J289" s="117"/>
      <c r="K289" s="117"/>
    </row>
    <row r="290" spans="1:11" ht="14.45">
      <c r="A290" s="21"/>
      <c r="B290" s="70"/>
      <c r="C290" s="21"/>
      <c r="D290" s="21"/>
      <c r="E290" s="21"/>
      <c r="F290" s="22"/>
      <c r="G290" s="21"/>
      <c r="H290" s="21"/>
      <c r="I290" s="22"/>
      <c r="J290" s="117"/>
      <c r="K290" s="117"/>
    </row>
    <row r="291" spans="1:11" ht="14.45">
      <c r="A291" s="21"/>
      <c r="B291" s="70"/>
      <c r="C291" s="21"/>
      <c r="D291" s="21"/>
      <c r="E291" s="21"/>
      <c r="F291" s="22"/>
      <c r="G291" s="21"/>
      <c r="H291" s="21"/>
      <c r="I291" s="22"/>
      <c r="J291" s="117"/>
      <c r="K291" s="117"/>
    </row>
    <row r="292" spans="1:11" ht="14.45">
      <c r="A292" s="21"/>
      <c r="B292" s="70"/>
      <c r="C292" s="21"/>
      <c r="D292" s="21"/>
      <c r="E292" s="21"/>
      <c r="F292" s="22"/>
      <c r="G292" s="21"/>
      <c r="H292" s="21"/>
      <c r="I292" s="22"/>
      <c r="J292" s="117"/>
      <c r="K292" s="117"/>
    </row>
    <row r="293" spans="1:11" ht="14.45">
      <c r="A293" s="21"/>
      <c r="B293" s="70"/>
      <c r="C293" s="21"/>
      <c r="D293" s="21"/>
      <c r="E293" s="21"/>
      <c r="F293" s="22"/>
      <c r="G293" s="21"/>
      <c r="H293" s="21"/>
      <c r="I293" s="22"/>
      <c r="J293" s="117"/>
      <c r="K293" s="117"/>
    </row>
    <row r="294" spans="1:11" ht="14.45">
      <c r="A294" s="21"/>
      <c r="B294" s="70"/>
      <c r="C294" s="21"/>
      <c r="D294" s="21"/>
      <c r="E294" s="21"/>
      <c r="F294" s="22"/>
      <c r="G294" s="21"/>
      <c r="H294" s="21"/>
      <c r="I294" s="22"/>
      <c r="J294" s="117"/>
      <c r="K294" s="117"/>
    </row>
    <row r="295" spans="1:11" ht="14.45">
      <c r="A295" s="21"/>
      <c r="B295" s="70"/>
      <c r="C295" s="21"/>
      <c r="D295" s="21"/>
      <c r="E295" s="21"/>
      <c r="F295" s="22"/>
      <c r="G295" s="21"/>
      <c r="H295" s="21"/>
      <c r="I295" s="22"/>
      <c r="J295" s="117"/>
      <c r="K295" s="117"/>
    </row>
    <row r="296" spans="1:11" ht="14.45">
      <c r="A296" s="21"/>
      <c r="B296" s="70"/>
      <c r="C296" s="21"/>
      <c r="D296" s="21"/>
      <c r="E296" s="21"/>
      <c r="F296" s="22"/>
      <c r="G296" s="21"/>
      <c r="H296" s="21"/>
      <c r="I296" s="22"/>
      <c r="J296" s="117"/>
      <c r="K296" s="117"/>
    </row>
    <row r="297" spans="1:11" ht="14.45">
      <c r="A297" s="21"/>
      <c r="B297" s="70"/>
      <c r="C297" s="21"/>
      <c r="D297" s="21"/>
      <c r="E297" s="21"/>
      <c r="F297" s="22"/>
      <c r="G297" s="21"/>
      <c r="H297" s="21"/>
      <c r="I297" s="22"/>
      <c r="J297" s="117"/>
      <c r="K297" s="117"/>
    </row>
    <row r="298" spans="1:11" ht="14.45">
      <c r="A298" s="21"/>
      <c r="B298" s="70"/>
      <c r="C298" s="21"/>
      <c r="D298" s="21"/>
      <c r="E298" s="21"/>
      <c r="F298" s="22"/>
      <c r="G298" s="21"/>
      <c r="H298" s="21"/>
      <c r="I298" s="22"/>
      <c r="J298" s="117"/>
      <c r="K298" s="117"/>
    </row>
    <row r="299" spans="1:11" ht="14.45">
      <c r="A299" s="21"/>
      <c r="B299" s="70"/>
      <c r="C299" s="21"/>
      <c r="D299" s="21"/>
      <c r="E299" s="21"/>
      <c r="F299" s="22"/>
      <c r="G299" s="21"/>
      <c r="H299" s="21"/>
      <c r="I299" s="22"/>
      <c r="J299" s="117"/>
      <c r="K299" s="117"/>
    </row>
    <row r="300" spans="1:11" ht="14.45">
      <c r="A300" s="21"/>
      <c r="B300" s="70"/>
      <c r="C300" s="21"/>
      <c r="D300" s="21"/>
      <c r="E300" s="21"/>
      <c r="F300" s="22"/>
      <c r="G300" s="21"/>
      <c r="H300" s="21"/>
      <c r="I300" s="22"/>
      <c r="J300" s="117"/>
      <c r="K300" s="117"/>
    </row>
    <row r="301" spans="1:11" ht="14.45">
      <c r="A301" s="21"/>
      <c r="B301" s="70"/>
      <c r="C301" s="21"/>
      <c r="D301" s="21"/>
      <c r="E301" s="21"/>
      <c r="F301" s="22"/>
      <c r="G301" s="21"/>
      <c r="H301" s="21"/>
      <c r="I301" s="22"/>
      <c r="J301" s="117"/>
      <c r="K301" s="117"/>
    </row>
    <row r="302" spans="1:11" ht="14.45">
      <c r="A302" s="21"/>
      <c r="B302" s="70"/>
      <c r="C302" s="21"/>
      <c r="D302" s="21"/>
      <c r="E302" s="21"/>
      <c r="F302" s="22"/>
      <c r="G302" s="21"/>
      <c r="H302" s="21"/>
      <c r="I302" s="22"/>
      <c r="J302" s="117"/>
      <c r="K302" s="117"/>
    </row>
    <row r="303" spans="1:11" ht="14.45">
      <c r="A303" s="21"/>
      <c r="B303" s="70"/>
      <c r="C303" s="21"/>
      <c r="D303" s="21"/>
      <c r="E303" s="21"/>
      <c r="F303" s="22"/>
      <c r="G303" s="21"/>
      <c r="H303" s="21"/>
      <c r="I303" s="22"/>
      <c r="J303" s="117"/>
      <c r="K303" s="117"/>
    </row>
    <row r="304" spans="1:11" ht="14.45">
      <c r="A304" s="21"/>
      <c r="B304" s="70"/>
      <c r="C304" s="21"/>
      <c r="D304" s="21"/>
      <c r="E304" s="21"/>
      <c r="F304" s="22"/>
      <c r="G304" s="21"/>
      <c r="H304" s="21"/>
      <c r="I304" s="22"/>
      <c r="J304" s="117"/>
      <c r="K304" s="117"/>
    </row>
    <row r="305" spans="1:11" ht="14.45">
      <c r="A305" s="21"/>
      <c r="B305" s="70"/>
      <c r="C305" s="21"/>
      <c r="D305" s="21"/>
      <c r="E305" s="21"/>
      <c r="F305" s="22"/>
      <c r="G305" s="21"/>
      <c r="H305" s="21"/>
      <c r="I305" s="22"/>
      <c r="J305" s="117"/>
      <c r="K305" s="117"/>
    </row>
    <row r="306" spans="1:11" ht="14.45">
      <c r="A306" s="21"/>
      <c r="B306" s="70"/>
      <c r="C306" s="21"/>
      <c r="D306" s="21"/>
      <c r="E306" s="21"/>
      <c r="F306" s="22"/>
      <c r="G306" s="21"/>
      <c r="H306" s="21"/>
      <c r="I306" s="22"/>
      <c r="J306" s="117"/>
      <c r="K306" s="117"/>
    </row>
    <row r="307" spans="1:11" ht="14.45">
      <c r="A307" s="21"/>
      <c r="B307" s="70"/>
      <c r="C307" s="21"/>
      <c r="D307" s="21"/>
      <c r="E307" s="21"/>
      <c r="F307" s="22"/>
      <c r="G307" s="21"/>
      <c r="H307" s="21"/>
      <c r="I307" s="22"/>
      <c r="J307" s="117"/>
      <c r="K307" s="117"/>
    </row>
    <row r="308" spans="1:11" ht="14.45">
      <c r="A308" s="21"/>
      <c r="B308" s="70"/>
      <c r="C308" s="21"/>
      <c r="D308" s="21"/>
      <c r="E308" s="21"/>
      <c r="F308" s="22"/>
      <c r="G308" s="21"/>
      <c r="H308" s="21"/>
      <c r="I308" s="22"/>
      <c r="J308" s="117"/>
      <c r="K308" s="117"/>
    </row>
    <row r="309" spans="1:11" ht="14.45">
      <c r="A309" s="21"/>
      <c r="B309" s="70"/>
      <c r="C309" s="21"/>
      <c r="D309" s="21"/>
      <c r="E309" s="21"/>
      <c r="F309" s="22"/>
      <c r="G309" s="21"/>
      <c r="H309" s="21"/>
      <c r="I309" s="22"/>
      <c r="J309" s="117"/>
      <c r="K309" s="117"/>
    </row>
    <row r="310" spans="1:11" ht="14.45">
      <c r="A310" s="21"/>
      <c r="B310" s="70"/>
      <c r="C310" s="21"/>
      <c r="D310" s="21"/>
      <c r="E310" s="21"/>
      <c r="F310" s="22"/>
      <c r="G310" s="21"/>
      <c r="H310" s="21"/>
      <c r="I310" s="22"/>
      <c r="J310" s="117"/>
      <c r="K310" s="117"/>
    </row>
    <row r="311" spans="1:11" ht="14.45">
      <c r="A311" s="21"/>
      <c r="B311" s="70"/>
      <c r="C311" s="21"/>
      <c r="D311" s="21"/>
      <c r="E311" s="21"/>
      <c r="F311" s="22"/>
      <c r="G311" s="21"/>
      <c r="H311" s="21"/>
      <c r="I311" s="22"/>
      <c r="J311" s="117"/>
      <c r="K311" s="117"/>
    </row>
    <row r="312" spans="1:11" ht="14.45">
      <c r="A312" s="21"/>
      <c r="B312" s="70"/>
      <c r="C312" s="21"/>
      <c r="D312" s="21"/>
      <c r="E312" s="21"/>
      <c r="F312" s="22"/>
      <c r="G312" s="21"/>
      <c r="H312" s="21"/>
      <c r="I312" s="22"/>
      <c r="J312" s="117"/>
      <c r="K312" s="117"/>
    </row>
    <row r="313" spans="1:11" ht="14.45">
      <c r="A313" s="21"/>
      <c r="B313" s="70"/>
      <c r="C313" s="21"/>
      <c r="D313" s="21"/>
      <c r="E313" s="21"/>
      <c r="F313" s="22"/>
      <c r="G313" s="21"/>
      <c r="H313" s="21"/>
      <c r="I313" s="22"/>
      <c r="J313" s="117"/>
      <c r="K313" s="117"/>
    </row>
    <row r="314" spans="1:11" ht="14.45">
      <c r="A314" s="21"/>
      <c r="B314" s="70"/>
      <c r="C314" s="21"/>
      <c r="D314" s="21"/>
      <c r="E314" s="21"/>
      <c r="F314" s="22"/>
      <c r="G314" s="21"/>
      <c r="H314" s="21"/>
      <c r="I314" s="22"/>
      <c r="J314" s="117"/>
      <c r="K314" s="117"/>
    </row>
    <row r="315" spans="1:11" ht="14.45">
      <c r="A315" s="21"/>
      <c r="B315" s="70"/>
      <c r="C315" s="21"/>
      <c r="D315" s="21"/>
      <c r="E315" s="21"/>
      <c r="F315" s="22"/>
      <c r="G315" s="21"/>
      <c r="H315" s="21"/>
      <c r="I315" s="22"/>
      <c r="J315" s="117"/>
      <c r="K315" s="117"/>
    </row>
    <row r="316" spans="1:11" ht="14.45">
      <c r="A316" s="21"/>
      <c r="B316" s="70"/>
      <c r="C316" s="21"/>
      <c r="D316" s="21"/>
      <c r="E316" s="21"/>
      <c r="F316" s="22"/>
      <c r="G316" s="21"/>
      <c r="H316" s="21"/>
      <c r="I316" s="22"/>
      <c r="J316" s="117"/>
      <c r="K316" s="117"/>
    </row>
    <row r="317" spans="1:11" ht="14.45">
      <c r="A317" s="21"/>
      <c r="B317" s="70"/>
      <c r="C317" s="21"/>
      <c r="D317" s="21"/>
      <c r="E317" s="21"/>
      <c r="F317" s="22"/>
      <c r="G317" s="21"/>
      <c r="H317" s="21"/>
      <c r="I317" s="22"/>
      <c r="J317" s="117"/>
      <c r="K317" s="117"/>
    </row>
    <row r="318" spans="1:11" ht="14.45">
      <c r="A318" s="21"/>
      <c r="B318" s="70"/>
      <c r="C318" s="21"/>
      <c r="D318" s="21"/>
      <c r="E318" s="21"/>
      <c r="F318" s="22"/>
      <c r="G318" s="21"/>
      <c r="H318" s="21"/>
      <c r="I318" s="22"/>
      <c r="J318" s="117"/>
      <c r="K318" s="117"/>
    </row>
    <row r="319" spans="1:11" ht="14.45">
      <c r="A319" s="21"/>
      <c r="B319" s="70"/>
      <c r="C319" s="21"/>
      <c r="D319" s="21"/>
      <c r="E319" s="21"/>
      <c r="F319" s="22"/>
      <c r="G319" s="21"/>
      <c r="H319" s="21"/>
      <c r="I319" s="22"/>
      <c r="J319" s="117"/>
      <c r="K319" s="117"/>
    </row>
    <row r="320" spans="1:11" ht="14.45">
      <c r="A320" s="21"/>
      <c r="B320" s="70"/>
      <c r="C320" s="21"/>
      <c r="D320" s="21"/>
      <c r="E320" s="21"/>
      <c r="F320" s="22"/>
      <c r="G320" s="21"/>
      <c r="H320" s="21"/>
      <c r="I320" s="22"/>
      <c r="J320" s="117"/>
      <c r="K320" s="117"/>
    </row>
    <row r="321" spans="1:11" ht="14.45">
      <c r="A321" s="21"/>
      <c r="B321" s="70"/>
      <c r="C321" s="21"/>
      <c r="D321" s="21"/>
      <c r="E321" s="21"/>
      <c r="F321" s="22"/>
      <c r="G321" s="21"/>
      <c r="H321" s="21"/>
      <c r="I321" s="22"/>
      <c r="J321" s="117"/>
      <c r="K321" s="117"/>
    </row>
    <row r="322" spans="1:11" ht="14.45">
      <c r="A322" s="21"/>
      <c r="B322" s="70"/>
      <c r="C322" s="21"/>
      <c r="D322" s="21"/>
      <c r="E322" s="21"/>
      <c r="F322" s="22"/>
      <c r="G322" s="21"/>
      <c r="H322" s="21"/>
      <c r="I322" s="22"/>
      <c r="J322" s="117"/>
      <c r="K322" s="117"/>
    </row>
    <row r="323" spans="1:11" ht="14.45">
      <c r="A323" s="21"/>
      <c r="B323" s="70"/>
      <c r="C323" s="21"/>
      <c r="D323" s="21"/>
      <c r="E323" s="21"/>
      <c r="F323" s="22"/>
      <c r="G323" s="21"/>
      <c r="H323" s="21"/>
      <c r="I323" s="22"/>
      <c r="J323" s="117"/>
      <c r="K323" s="117"/>
    </row>
    <row r="324" spans="1:11" ht="14.45">
      <c r="A324" s="21"/>
      <c r="B324" s="70"/>
      <c r="C324" s="21"/>
      <c r="D324" s="21"/>
      <c r="E324" s="21"/>
      <c r="F324" s="22"/>
      <c r="G324" s="21"/>
      <c r="H324" s="21"/>
      <c r="I324" s="22"/>
      <c r="J324" s="117"/>
      <c r="K324" s="117"/>
    </row>
    <row r="325" spans="1:11" ht="14.45">
      <c r="A325" s="21"/>
      <c r="B325" s="70"/>
      <c r="C325" s="21"/>
      <c r="D325" s="21"/>
      <c r="E325" s="21"/>
      <c r="F325" s="22"/>
      <c r="G325" s="21"/>
      <c r="H325" s="21"/>
      <c r="I325" s="22"/>
      <c r="J325" s="117"/>
      <c r="K325" s="117"/>
    </row>
    <row r="326" spans="1:11" ht="14.45">
      <c r="A326" s="21"/>
      <c r="B326" s="70"/>
      <c r="C326" s="21"/>
      <c r="D326" s="21"/>
      <c r="E326" s="21"/>
      <c r="F326" s="22"/>
      <c r="G326" s="21"/>
      <c r="H326" s="21"/>
      <c r="I326" s="22"/>
      <c r="J326" s="117"/>
      <c r="K326" s="117"/>
    </row>
    <row r="327" spans="1:11" ht="14.45">
      <c r="A327" s="21"/>
      <c r="B327" s="70"/>
      <c r="C327" s="21"/>
      <c r="D327" s="21"/>
      <c r="E327" s="21"/>
      <c r="F327" s="22"/>
      <c r="G327" s="21"/>
      <c r="H327" s="21"/>
      <c r="I327" s="22"/>
      <c r="J327" s="117"/>
      <c r="K327" s="117"/>
    </row>
    <row r="328" spans="1:11" ht="14.45">
      <c r="A328" s="21"/>
      <c r="B328" s="70"/>
      <c r="C328" s="21"/>
      <c r="D328" s="21"/>
      <c r="E328" s="21"/>
      <c r="F328" s="22"/>
      <c r="G328" s="21"/>
      <c r="H328" s="21"/>
      <c r="I328" s="22"/>
      <c r="J328" s="117"/>
      <c r="K328" s="117"/>
    </row>
    <row r="329" spans="1:11" ht="14.45">
      <c r="A329" s="21"/>
      <c r="B329" s="70"/>
      <c r="C329" s="21"/>
      <c r="D329" s="21"/>
      <c r="E329" s="21"/>
      <c r="F329" s="22"/>
      <c r="G329" s="21"/>
      <c r="H329" s="21"/>
      <c r="I329" s="22"/>
      <c r="J329" s="117"/>
      <c r="K329" s="117"/>
    </row>
    <row r="330" spans="1:11" ht="14.45">
      <c r="A330" s="21"/>
      <c r="B330" s="70"/>
      <c r="C330" s="21"/>
      <c r="D330" s="21"/>
      <c r="E330" s="21"/>
      <c r="F330" s="22"/>
      <c r="G330" s="21"/>
      <c r="H330" s="21"/>
      <c r="I330" s="22"/>
      <c r="J330" s="117"/>
      <c r="K330" s="117"/>
    </row>
    <row r="331" spans="1:11" ht="14.45">
      <c r="A331" s="21"/>
      <c r="B331" s="70"/>
      <c r="C331" s="21"/>
      <c r="D331" s="21"/>
      <c r="E331" s="21"/>
      <c r="F331" s="22"/>
      <c r="G331" s="21"/>
      <c r="H331" s="21"/>
      <c r="I331" s="22"/>
      <c r="J331" s="117"/>
      <c r="K331" s="117"/>
    </row>
    <row r="332" spans="1:11" ht="14.45">
      <c r="A332" s="21"/>
      <c r="B332" s="70"/>
      <c r="C332" s="21"/>
      <c r="D332" s="21"/>
      <c r="E332" s="21"/>
      <c r="F332" s="22"/>
      <c r="G332" s="21"/>
      <c r="H332" s="21"/>
      <c r="I332" s="22"/>
      <c r="J332" s="117"/>
      <c r="K332" s="117"/>
    </row>
    <row r="333" spans="1:11" ht="14.45">
      <c r="A333" s="21"/>
      <c r="B333" s="70"/>
      <c r="C333" s="21"/>
      <c r="D333" s="21"/>
      <c r="E333" s="21"/>
      <c r="F333" s="22"/>
      <c r="G333" s="21"/>
      <c r="H333" s="21"/>
      <c r="I333" s="22"/>
      <c r="J333" s="117"/>
      <c r="K333" s="117"/>
    </row>
    <row r="334" spans="1:11" ht="14.45">
      <c r="A334" s="21"/>
      <c r="B334" s="70"/>
      <c r="C334" s="21"/>
      <c r="D334" s="21"/>
      <c r="E334" s="21"/>
      <c r="F334" s="22"/>
      <c r="G334" s="21"/>
      <c r="H334" s="21"/>
      <c r="I334" s="22"/>
      <c r="J334" s="117"/>
      <c r="K334" s="117"/>
    </row>
    <row r="335" spans="1:11" ht="14.45">
      <c r="A335" s="21"/>
      <c r="B335" s="70"/>
      <c r="C335" s="21"/>
      <c r="D335" s="21"/>
      <c r="E335" s="21"/>
      <c r="F335" s="22"/>
      <c r="G335" s="21"/>
      <c r="H335" s="21"/>
      <c r="I335" s="22"/>
      <c r="J335" s="117"/>
      <c r="K335" s="117"/>
    </row>
    <row r="336" spans="1:11" ht="14.45">
      <c r="A336" s="21"/>
      <c r="B336" s="70"/>
      <c r="C336" s="21"/>
      <c r="D336" s="21"/>
      <c r="E336" s="21"/>
      <c r="F336" s="22"/>
      <c r="G336" s="21"/>
      <c r="H336" s="21"/>
      <c r="I336" s="22"/>
      <c r="J336" s="117"/>
      <c r="K336" s="117"/>
    </row>
    <row r="337" spans="1:11" ht="14.45">
      <c r="A337" s="21"/>
      <c r="B337" s="70"/>
      <c r="C337" s="21"/>
      <c r="D337" s="21"/>
      <c r="E337" s="21"/>
      <c r="F337" s="22"/>
      <c r="G337" s="21"/>
      <c r="H337" s="21"/>
      <c r="I337" s="22"/>
      <c r="J337" s="117"/>
      <c r="K337" s="117"/>
    </row>
    <row r="338" spans="1:11" ht="14.45">
      <c r="A338" s="21"/>
      <c r="B338" s="70"/>
      <c r="C338" s="21"/>
      <c r="D338" s="21"/>
      <c r="E338" s="21"/>
      <c r="F338" s="22"/>
      <c r="G338" s="21"/>
      <c r="H338" s="21"/>
      <c r="I338" s="22"/>
      <c r="J338" s="117"/>
      <c r="K338" s="117"/>
    </row>
    <row r="339" spans="1:11" ht="14.45">
      <c r="A339" s="21"/>
      <c r="B339" s="70"/>
      <c r="C339" s="21"/>
      <c r="D339" s="21"/>
      <c r="E339" s="21"/>
      <c r="F339" s="22"/>
      <c r="G339" s="21"/>
      <c r="H339" s="21"/>
      <c r="I339" s="22"/>
      <c r="J339" s="117"/>
      <c r="K339" s="117"/>
    </row>
    <row r="340" spans="1:11" ht="14.45">
      <c r="A340" s="21"/>
      <c r="B340" s="70"/>
      <c r="C340" s="21"/>
      <c r="D340" s="21"/>
      <c r="E340" s="21"/>
      <c r="F340" s="22"/>
      <c r="G340" s="21"/>
      <c r="H340" s="21"/>
      <c r="I340" s="22"/>
      <c r="J340" s="117"/>
      <c r="K340" s="117"/>
    </row>
    <row r="341" spans="1:11" ht="14.45">
      <c r="A341" s="21"/>
      <c r="B341" s="70"/>
      <c r="C341" s="21"/>
      <c r="D341" s="21"/>
      <c r="E341" s="21"/>
      <c r="F341" s="22"/>
      <c r="G341" s="21"/>
      <c r="H341" s="21"/>
      <c r="I341" s="22"/>
      <c r="J341" s="117"/>
      <c r="K341" s="117"/>
    </row>
    <row r="342" spans="1:11" ht="14.45">
      <c r="C342" s="21"/>
      <c r="D342" s="21"/>
      <c r="E342" s="21"/>
      <c r="F342" s="22"/>
      <c r="G342" s="21"/>
      <c r="H342" s="21"/>
      <c r="I342" s="22"/>
      <c r="J342" s="117"/>
      <c r="K342" s="117"/>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hyperlinks>
    <hyperlink ref="S43" r:id="rId1" display="https://us3.assetplanner.com/service_request?ID=105124" xr:uid="{09AEECC0-E9A3-42A0-B667-A5BE3DFB97D3}"/>
    <hyperlink ref="T43" r:id="rId2" display="https://us3.assetplanner.com/service_request?ID=101136" xr:uid="{9F461D98-B994-4370-9CB1-F9CB15861098}"/>
    <hyperlink ref="S58" r:id="rId3" display="https://us3.assetplanner.com/service_request?ID=104174" xr:uid="{7D5A446D-F616-4D2A-B345-A8B5A734941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342"/>
  <sheetViews>
    <sheetView zoomScale="70" zoomScaleNormal="70" workbookViewId="0">
      <pane xSplit="2" ySplit="3" topLeftCell="C20"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140625" customWidth="1"/>
  </cols>
  <sheetData>
    <row r="1" spans="1:16" ht="19.5" customHeight="1">
      <c r="A1" s="135" t="str" cm="1">
        <f t="array" ref="A1">portfolio</f>
        <v>Silicon Ranch</v>
      </c>
      <c r="B1" s="135"/>
      <c r="C1" s="135"/>
      <c r="D1" s="136" t="s">
        <v>194</v>
      </c>
      <c r="E1" s="136"/>
      <c r="F1" s="136"/>
      <c r="G1" s="134" t="s">
        <v>195</v>
      </c>
      <c r="H1" s="134"/>
      <c r="I1" s="134"/>
      <c r="J1" s="4"/>
      <c r="K1" s="4"/>
    </row>
    <row r="2" spans="1:16"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c r="L3" s="25" t="s">
        <v>22</v>
      </c>
    </row>
    <row r="4" spans="1:16"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56"/>
      <c r="K4" s="56"/>
      <c r="L4" s="56"/>
      <c r="M4" s="97"/>
      <c r="N4" s="97"/>
      <c r="O4" s="97"/>
      <c r="P4" s="97"/>
    </row>
    <row r="5" spans="1:16"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58"/>
      <c r="K5" s="54"/>
      <c r="L5" s="54"/>
      <c r="M5" s="97"/>
      <c r="N5" s="97"/>
      <c r="O5" s="97"/>
      <c r="P5" s="97"/>
    </row>
    <row r="6" spans="1:16" ht="15.6">
      <c r="A6" s="28" t="str">
        <v>Kohls - Bensalem</v>
      </c>
      <c r="B6" s="29" t="str">
        <v>PA</v>
      </c>
      <c r="C6" s="24"/>
      <c r="D6" s="13"/>
      <c r="E6" s="13" t="str">
        <f t="shared" si="0"/>
        <v/>
      </c>
      <c r="F6" s="14" t="str">
        <f t="shared" ref="F6:F69" si="3">IFERROR(E6/D6, "")</f>
        <v/>
      </c>
      <c r="G6" s="15"/>
      <c r="H6" s="15" t="str">
        <f t="shared" si="1"/>
        <v/>
      </c>
      <c r="I6" s="16" t="str">
        <f t="shared" si="2"/>
        <v/>
      </c>
      <c r="J6" s="56"/>
      <c r="K6" s="91"/>
      <c r="L6" s="56"/>
      <c r="M6" s="98"/>
      <c r="N6" s="97"/>
      <c r="O6" s="97"/>
      <c r="P6" s="97"/>
    </row>
    <row r="7" spans="1:16" ht="15.6">
      <c r="A7" s="30" t="str">
        <v>Kohls - Brick</v>
      </c>
      <c r="B7" s="31" t="str">
        <v>NJ</v>
      </c>
      <c r="C7" s="11"/>
      <c r="D7" s="18"/>
      <c r="E7" s="18" t="str">
        <f t="shared" si="0"/>
        <v/>
      </c>
      <c r="F7" s="19" t="str">
        <f t="shared" si="3"/>
        <v/>
      </c>
      <c r="G7" s="20"/>
      <c r="H7" s="20" t="str">
        <f t="shared" si="1"/>
        <v/>
      </c>
      <c r="I7" s="19" t="str">
        <f t="shared" si="2"/>
        <v/>
      </c>
      <c r="J7" s="54"/>
      <c r="K7" s="90"/>
      <c r="L7" s="54"/>
      <c r="M7" s="97"/>
      <c r="N7" s="97"/>
      <c r="O7" s="97"/>
      <c r="P7" s="97"/>
    </row>
    <row r="8" spans="1:16" ht="15.6">
      <c r="A8" s="28" t="str">
        <v>Kohls - Buffalo</v>
      </c>
      <c r="B8" s="29" t="str">
        <v>NY</v>
      </c>
      <c r="C8" s="24"/>
      <c r="D8" s="13"/>
      <c r="E8" s="13" t="str">
        <f t="shared" si="0"/>
        <v/>
      </c>
      <c r="F8" s="14" t="str">
        <f t="shared" si="3"/>
        <v/>
      </c>
      <c r="G8" s="15"/>
      <c r="H8" s="15" t="str">
        <f t="shared" si="1"/>
        <v/>
      </c>
      <c r="I8" s="16" t="str">
        <f t="shared" si="2"/>
        <v/>
      </c>
      <c r="J8" s="56"/>
      <c r="K8" s="91"/>
      <c r="L8" s="56"/>
      <c r="M8" s="98"/>
      <c r="N8" s="98"/>
      <c r="O8" s="97"/>
      <c r="P8" s="97"/>
    </row>
    <row r="9" spans="1:16" ht="15.6">
      <c r="A9" s="30" t="str">
        <v>Kohls - Canton</v>
      </c>
      <c r="B9" s="31" t="str">
        <v>CT</v>
      </c>
      <c r="C9" s="11"/>
      <c r="D9" s="18"/>
      <c r="E9" s="18" t="str">
        <f t="shared" si="0"/>
        <v/>
      </c>
      <c r="F9" s="19" t="str">
        <f t="shared" si="3"/>
        <v/>
      </c>
      <c r="G9" s="20"/>
      <c r="H9" s="20" t="str">
        <f t="shared" si="1"/>
        <v/>
      </c>
      <c r="I9" s="19" t="str">
        <f t="shared" si="2"/>
        <v/>
      </c>
      <c r="J9" s="58"/>
      <c r="K9" s="57"/>
      <c r="L9" s="54"/>
      <c r="M9" s="97"/>
      <c r="N9" s="97"/>
      <c r="O9" s="97"/>
      <c r="P9" s="97"/>
    </row>
    <row r="10" spans="1:16" ht="15.6">
      <c r="A10" s="28" t="str">
        <v>Kohls - East Amherst</v>
      </c>
      <c r="B10" s="29" t="str">
        <v>NY</v>
      </c>
      <c r="C10" s="24"/>
      <c r="D10" s="13"/>
      <c r="E10" s="13" t="str">
        <f t="shared" si="0"/>
        <v/>
      </c>
      <c r="F10" s="14" t="str">
        <f t="shared" si="3"/>
        <v/>
      </c>
      <c r="G10" s="15"/>
      <c r="H10" s="15" t="str">
        <f t="shared" si="1"/>
        <v/>
      </c>
      <c r="I10" s="16" t="str">
        <f t="shared" si="2"/>
        <v/>
      </c>
      <c r="J10" s="56"/>
      <c r="K10" s="91"/>
      <c r="L10" s="56"/>
      <c r="M10" s="97"/>
      <c r="N10" s="97"/>
      <c r="O10" s="97"/>
      <c r="P10" s="97"/>
    </row>
    <row r="11" spans="1:16" ht="40.9" customHeight="1">
      <c r="A11" s="30" t="str">
        <v>Kohls - East Brunswick</v>
      </c>
      <c r="B11" s="31" t="str">
        <v>NJ</v>
      </c>
      <c r="C11" s="11"/>
      <c r="D11" s="18"/>
      <c r="E11" s="18" t="str">
        <f t="shared" si="0"/>
        <v/>
      </c>
      <c r="F11" s="19" t="str">
        <f t="shared" si="3"/>
        <v/>
      </c>
      <c r="G11" s="20"/>
      <c r="H11" s="20" t="str">
        <f t="shared" si="1"/>
        <v/>
      </c>
      <c r="I11" s="19" t="str">
        <f t="shared" si="2"/>
        <v/>
      </c>
      <c r="J11" s="54"/>
      <c r="K11" s="90"/>
      <c r="L11" s="54"/>
      <c r="M11" s="97"/>
      <c r="N11" s="97"/>
      <c r="O11" s="97"/>
      <c r="P11" s="97"/>
    </row>
    <row r="12" spans="1:16" ht="61.5" customHeight="1">
      <c r="A12" s="28" t="str">
        <v>Kohls - Edgewood</v>
      </c>
      <c r="B12" s="29" t="str">
        <v>MD</v>
      </c>
      <c r="C12" s="24"/>
      <c r="D12" s="13"/>
      <c r="E12" s="13" t="str">
        <f t="shared" si="0"/>
        <v/>
      </c>
      <c r="F12" s="14" t="str">
        <f t="shared" si="3"/>
        <v/>
      </c>
      <c r="G12" s="15"/>
      <c r="H12" s="15" t="str">
        <f t="shared" si="1"/>
        <v/>
      </c>
      <c r="I12" s="16" t="str">
        <f t="shared" si="2"/>
        <v/>
      </c>
      <c r="J12" s="56"/>
      <c r="K12" s="91"/>
      <c r="L12" s="56"/>
      <c r="M12" s="98"/>
      <c r="N12" s="97"/>
      <c r="O12" s="97"/>
      <c r="P12" s="97"/>
    </row>
    <row r="13" spans="1:16" ht="15.6">
      <c r="A13" s="30" t="str">
        <v>Kohls - Granite Run</v>
      </c>
      <c r="B13" s="31" t="str">
        <v>PA</v>
      </c>
      <c r="C13" s="11"/>
      <c r="D13" s="18"/>
      <c r="E13" s="18" t="str">
        <f t="shared" si="0"/>
        <v/>
      </c>
      <c r="F13" s="19" t="str">
        <f t="shared" si="3"/>
        <v/>
      </c>
      <c r="G13" s="20"/>
      <c r="H13" s="20" t="str">
        <f t="shared" si="1"/>
        <v/>
      </c>
      <c r="I13" s="19" t="str">
        <f t="shared" si="2"/>
        <v/>
      </c>
      <c r="J13" s="58"/>
      <c r="K13" s="57"/>
      <c r="L13" s="54"/>
      <c r="M13" s="97"/>
      <c r="N13" s="97"/>
      <c r="O13" s="97"/>
      <c r="P13" s="97"/>
    </row>
    <row r="14" spans="1:16" ht="55.5" customHeight="1">
      <c r="A14" s="28" t="str">
        <v>Kohls - Greece</v>
      </c>
      <c r="B14" s="29" t="str">
        <v>NY</v>
      </c>
      <c r="C14" s="24"/>
      <c r="D14" s="13"/>
      <c r="E14" s="13" t="str">
        <f t="shared" si="0"/>
        <v/>
      </c>
      <c r="F14" s="14" t="str">
        <f t="shared" si="3"/>
        <v/>
      </c>
      <c r="G14" s="15"/>
      <c r="H14" s="15" t="str">
        <f t="shared" si="1"/>
        <v/>
      </c>
      <c r="I14" s="16" t="str">
        <f t="shared" si="2"/>
        <v/>
      </c>
      <c r="J14" s="56"/>
      <c r="K14" s="91"/>
      <c r="L14" s="56"/>
      <c r="M14" s="98"/>
      <c r="N14" s="97"/>
      <c r="O14" s="97"/>
      <c r="P14" s="97"/>
    </row>
    <row r="15" spans="1:16" ht="15.6">
      <c r="A15" s="30" t="str">
        <v>Kohls - Hanover</v>
      </c>
      <c r="B15" s="31" t="str">
        <v>PA</v>
      </c>
      <c r="C15" s="11"/>
      <c r="D15" s="18"/>
      <c r="E15" s="18" t="str">
        <f t="shared" si="0"/>
        <v/>
      </c>
      <c r="F15" s="19" t="str">
        <f t="shared" si="3"/>
        <v/>
      </c>
      <c r="G15" s="20"/>
      <c r="H15" s="20" t="str">
        <f t="shared" si="1"/>
        <v/>
      </c>
      <c r="I15" s="19" t="str">
        <f t="shared" si="2"/>
        <v/>
      </c>
      <c r="J15" s="54"/>
      <c r="K15" s="54"/>
      <c r="L15" s="54"/>
      <c r="M15" s="97"/>
      <c r="N15" s="97"/>
      <c r="O15" s="97"/>
      <c r="P15" s="97"/>
    </row>
    <row r="16" spans="1:16" ht="15.6">
      <c r="A16" s="28" t="str">
        <v>Kohls - Horsehead</v>
      </c>
      <c r="B16" s="29" t="str">
        <v>NY</v>
      </c>
      <c r="C16" s="24"/>
      <c r="D16" s="13"/>
      <c r="E16" s="13" t="str">
        <f t="shared" si="0"/>
        <v/>
      </c>
      <c r="F16" s="14" t="str">
        <f t="shared" si="3"/>
        <v/>
      </c>
      <c r="G16" s="15"/>
      <c r="H16" s="15" t="str">
        <f t="shared" si="1"/>
        <v/>
      </c>
      <c r="I16" s="16" t="str">
        <f t="shared" si="2"/>
        <v/>
      </c>
      <c r="J16" s="56"/>
      <c r="K16" s="56"/>
      <c r="L16" s="56"/>
      <c r="M16" s="97"/>
      <c r="N16" s="97"/>
      <c r="O16" s="97"/>
      <c r="P16" s="97"/>
    </row>
    <row r="17" spans="1:16" ht="15.6">
      <c r="A17" s="30" t="str">
        <v>Kohls - Hudson</v>
      </c>
      <c r="B17" s="31" t="str">
        <v>NY</v>
      </c>
      <c r="C17" s="11"/>
      <c r="D17" s="18"/>
      <c r="E17" s="18" t="str">
        <f t="shared" si="0"/>
        <v/>
      </c>
      <c r="F17" s="19" t="str">
        <f t="shared" si="3"/>
        <v/>
      </c>
      <c r="G17" s="20"/>
      <c r="H17" s="20" t="str">
        <f t="shared" si="1"/>
        <v/>
      </c>
      <c r="I17" s="19" t="str">
        <f t="shared" si="2"/>
        <v/>
      </c>
      <c r="J17" s="54"/>
      <c r="K17" s="90"/>
      <c r="L17" s="54"/>
      <c r="M17" s="97"/>
      <c r="N17" s="97"/>
      <c r="O17" s="97"/>
      <c r="P17" s="97"/>
    </row>
    <row r="18" spans="1:16" ht="12.75" customHeight="1">
      <c r="A18" s="32" t="str">
        <v>Kohls - Ithaca</v>
      </c>
      <c r="B18" s="29" t="str">
        <v>NY</v>
      </c>
      <c r="C18" s="24"/>
      <c r="D18" s="13"/>
      <c r="E18" s="13" t="str">
        <f t="shared" si="0"/>
        <v/>
      </c>
      <c r="F18" s="14" t="str">
        <f t="shared" si="3"/>
        <v/>
      </c>
      <c r="G18" s="15"/>
      <c r="H18" s="15" t="str">
        <f t="shared" si="1"/>
        <v/>
      </c>
      <c r="I18" s="16" t="str">
        <f t="shared" si="2"/>
        <v/>
      </c>
      <c r="J18" s="56"/>
      <c r="K18" s="56"/>
      <c r="L18" s="56"/>
      <c r="M18" s="97"/>
      <c r="N18" s="97"/>
      <c r="O18" s="97"/>
      <c r="P18" s="97"/>
    </row>
    <row r="19" spans="1:16" ht="15.6">
      <c r="A19" s="30" t="str">
        <v>Kohls - Kingston</v>
      </c>
      <c r="B19" s="31" t="str">
        <v>NY</v>
      </c>
      <c r="C19" s="11"/>
      <c r="D19" s="18"/>
      <c r="E19" s="18" t="str">
        <f t="shared" si="0"/>
        <v/>
      </c>
      <c r="F19" s="19" t="str">
        <f t="shared" si="3"/>
        <v/>
      </c>
      <c r="G19" s="20"/>
      <c r="H19" s="20" t="str">
        <f t="shared" si="1"/>
        <v/>
      </c>
      <c r="I19" s="19" t="str">
        <f t="shared" si="2"/>
        <v/>
      </c>
      <c r="J19" s="54"/>
      <c r="K19" s="90"/>
      <c r="L19" s="54"/>
      <c r="M19" s="97"/>
      <c r="N19" s="97"/>
      <c r="O19" s="97"/>
      <c r="P19" s="97"/>
    </row>
    <row r="20" spans="1:16" ht="15.6">
      <c r="A20" s="28" t="str">
        <v>Kohls - Mechanicsburg</v>
      </c>
      <c r="B20" s="29" t="str">
        <v>PA</v>
      </c>
      <c r="C20" s="24"/>
      <c r="D20" s="13"/>
      <c r="E20" s="13" t="str">
        <f t="shared" si="0"/>
        <v/>
      </c>
      <c r="F20" s="14" t="str">
        <f t="shared" si="3"/>
        <v/>
      </c>
      <c r="G20" s="15"/>
      <c r="H20" s="15" t="str">
        <f t="shared" si="1"/>
        <v/>
      </c>
      <c r="I20" s="16" t="str">
        <f t="shared" si="2"/>
        <v/>
      </c>
      <c r="J20" s="56"/>
      <c r="K20" s="91"/>
      <c r="L20" s="56"/>
      <c r="M20" s="97"/>
      <c r="N20" s="97"/>
      <c r="O20" s="97"/>
      <c r="P20" s="97"/>
    </row>
    <row r="21" spans="1:16" ht="15.6">
      <c r="A21" s="30" t="str">
        <v>Kohls - Middletown</v>
      </c>
      <c r="B21" s="31" t="str">
        <v>NJ</v>
      </c>
      <c r="C21" s="11"/>
      <c r="D21" s="18"/>
      <c r="E21" s="18" t="str">
        <f t="shared" si="0"/>
        <v/>
      </c>
      <c r="F21" s="19" t="str">
        <f t="shared" si="3"/>
        <v/>
      </c>
      <c r="G21" s="20"/>
      <c r="H21" s="20" t="str">
        <f t="shared" si="1"/>
        <v/>
      </c>
      <c r="I21" s="19" t="str">
        <f t="shared" si="2"/>
        <v/>
      </c>
      <c r="J21" s="54"/>
      <c r="K21" s="90"/>
      <c r="L21" s="54"/>
      <c r="M21" s="97"/>
      <c r="N21" s="97"/>
      <c r="O21" s="97"/>
      <c r="P21" s="97"/>
    </row>
    <row r="22" spans="1:16" ht="15.6">
      <c r="A22" s="28" t="str">
        <v>Kohls - North Amherst</v>
      </c>
      <c r="B22" s="29" t="str">
        <v>NY</v>
      </c>
      <c r="C22" s="24"/>
      <c r="D22" s="13"/>
      <c r="E22" s="13" t="str">
        <f t="shared" si="0"/>
        <v/>
      </c>
      <c r="F22" s="14" t="str">
        <f t="shared" si="3"/>
        <v/>
      </c>
      <c r="G22" s="15"/>
      <c r="H22" s="15" t="str">
        <f t="shared" si="1"/>
        <v/>
      </c>
      <c r="I22" s="16" t="str">
        <f t="shared" si="2"/>
        <v/>
      </c>
      <c r="J22" s="56"/>
      <c r="K22" s="56"/>
      <c r="L22" s="56"/>
      <c r="M22" s="97"/>
      <c r="N22" s="97"/>
      <c r="O22" s="97"/>
      <c r="P22" s="97"/>
    </row>
    <row r="23" spans="1:16" ht="15.6">
      <c r="A23" s="30" t="str">
        <v>Kohls - Staten Island</v>
      </c>
      <c r="B23" s="31" t="str">
        <v>NY</v>
      </c>
      <c r="C23" s="11"/>
      <c r="D23" s="18"/>
      <c r="E23" s="18" t="str">
        <f t="shared" si="0"/>
        <v/>
      </c>
      <c r="F23" s="19" t="str">
        <f t="shared" si="3"/>
        <v/>
      </c>
      <c r="G23" s="20"/>
      <c r="H23" s="20" t="str">
        <f t="shared" si="1"/>
        <v/>
      </c>
      <c r="I23" s="19" t="str">
        <f t="shared" si="2"/>
        <v/>
      </c>
      <c r="J23" s="54"/>
      <c r="K23" s="90"/>
      <c r="L23" s="54"/>
      <c r="M23" s="98"/>
      <c r="N23" s="98"/>
      <c r="O23" s="97"/>
      <c r="P23" s="97"/>
    </row>
    <row r="24" spans="1:16" ht="15.6">
      <c r="A24" s="28" t="str">
        <v>Kohls - Warminster</v>
      </c>
      <c r="B24" s="29" t="str">
        <v>PA</v>
      </c>
      <c r="C24" s="24"/>
      <c r="D24" s="13"/>
      <c r="E24" s="13" t="str">
        <f t="shared" si="0"/>
        <v/>
      </c>
      <c r="F24" s="14" t="str">
        <f t="shared" si="3"/>
        <v/>
      </c>
      <c r="G24" s="15"/>
      <c r="H24" s="15" t="str">
        <f t="shared" si="1"/>
        <v/>
      </c>
      <c r="I24" s="16" t="str">
        <f t="shared" si="2"/>
        <v/>
      </c>
      <c r="J24" s="56"/>
      <c r="K24" s="56"/>
      <c r="L24" s="56"/>
      <c r="M24" s="97"/>
      <c r="N24" s="97"/>
      <c r="O24" s="97"/>
      <c r="P24" s="97"/>
    </row>
    <row r="25" spans="1:16" ht="15.6">
      <c r="A25" s="30" t="str">
        <v xml:space="preserve">Kohls - Waterbury </v>
      </c>
      <c r="B25" s="31" t="str">
        <v>CT</v>
      </c>
      <c r="C25" s="11"/>
      <c r="D25" s="18"/>
      <c r="E25" s="18" t="str">
        <f t="shared" si="0"/>
        <v/>
      </c>
      <c r="F25" s="19" t="str">
        <f t="shared" si="3"/>
        <v/>
      </c>
      <c r="G25" s="20"/>
      <c r="H25" s="20" t="str">
        <f t="shared" si="1"/>
        <v/>
      </c>
      <c r="I25" s="19" t="str">
        <f t="shared" si="2"/>
        <v/>
      </c>
      <c r="J25" s="58"/>
      <c r="K25" s="90"/>
      <c r="L25" s="54"/>
      <c r="M25" s="97"/>
      <c r="N25" s="97"/>
      <c r="O25" s="97"/>
      <c r="P25" s="97"/>
    </row>
    <row r="26" spans="1:16" ht="15.6">
      <c r="A26" s="28" t="str">
        <v>Mojave Water Agency - Headquarters</v>
      </c>
      <c r="B26" s="29" t="str">
        <v>CA</v>
      </c>
      <c r="C26" s="24"/>
      <c r="D26" s="13"/>
      <c r="E26" s="13" t="str">
        <f t="shared" si="0"/>
        <v/>
      </c>
      <c r="F26" s="14" t="str">
        <f t="shared" si="3"/>
        <v/>
      </c>
      <c r="G26" s="15"/>
      <c r="H26" s="15" t="str">
        <f t="shared" si="1"/>
        <v/>
      </c>
      <c r="I26" s="16" t="str">
        <f t="shared" si="2"/>
        <v/>
      </c>
      <c r="J26" s="56"/>
      <c r="K26" s="56"/>
      <c r="L26" s="56"/>
      <c r="M26" s="97"/>
      <c r="N26" s="97"/>
      <c r="O26" s="97"/>
      <c r="P26" s="97"/>
    </row>
    <row r="27" spans="1:16" ht="15.6">
      <c r="A27" s="30" t="str">
        <v>CSU - Bakersfield</v>
      </c>
      <c r="B27" s="31" t="str">
        <v>CA</v>
      </c>
      <c r="C27" s="11"/>
      <c r="D27" s="18"/>
      <c r="E27" s="18" t="str">
        <f t="shared" si="0"/>
        <v/>
      </c>
      <c r="F27" s="19" t="str">
        <f t="shared" si="3"/>
        <v/>
      </c>
      <c r="G27" s="20"/>
      <c r="H27" s="20" t="str">
        <f t="shared" si="1"/>
        <v/>
      </c>
      <c r="I27" s="19" t="str">
        <f t="shared" si="2"/>
        <v/>
      </c>
      <c r="J27" s="53"/>
      <c r="K27" s="90"/>
      <c r="L27" s="54"/>
      <c r="M27" s="97"/>
      <c r="N27" s="97"/>
      <c r="O27" s="97"/>
      <c r="P27" s="97"/>
    </row>
    <row r="28" spans="1:16" ht="15.6">
      <c r="A28" s="28" t="str">
        <v>Greenfield USD - Fairfield ES</v>
      </c>
      <c r="B28" s="29" t="str">
        <v>CA</v>
      </c>
      <c r="C28" s="24"/>
      <c r="D28" s="13"/>
      <c r="E28" s="13" t="str">
        <f t="shared" si="0"/>
        <v/>
      </c>
      <c r="F28" s="14" t="str">
        <f t="shared" si="3"/>
        <v/>
      </c>
      <c r="G28" s="15"/>
      <c r="H28" s="15" t="str">
        <f t="shared" si="1"/>
        <v/>
      </c>
      <c r="I28" s="16" t="str">
        <f t="shared" si="2"/>
        <v/>
      </c>
      <c r="J28" s="56"/>
      <c r="K28" s="56"/>
      <c r="L28" s="56"/>
      <c r="M28" s="97"/>
      <c r="N28" s="97"/>
      <c r="O28" s="97"/>
      <c r="P28" s="97"/>
    </row>
    <row r="29" spans="1:16" ht="15.6">
      <c r="A29" s="30" t="str">
        <v>Greenfield USD - Granite Point ES</v>
      </c>
      <c r="B29" s="31" t="str">
        <v>CA</v>
      </c>
      <c r="C29" s="11"/>
      <c r="D29" s="18"/>
      <c r="E29" s="18" t="str">
        <f t="shared" si="0"/>
        <v/>
      </c>
      <c r="F29" s="19" t="str">
        <f t="shared" si="3"/>
        <v/>
      </c>
      <c r="G29" s="20"/>
      <c r="H29" s="20" t="str">
        <f t="shared" si="1"/>
        <v/>
      </c>
      <c r="I29" s="19" t="str">
        <f t="shared" si="2"/>
        <v/>
      </c>
      <c r="J29" s="58"/>
      <c r="K29" s="90"/>
      <c r="L29" s="54"/>
      <c r="M29" s="98"/>
      <c r="N29" s="97"/>
      <c r="O29" s="97"/>
      <c r="P29" s="97"/>
    </row>
    <row r="30" spans="1:16" ht="15.6">
      <c r="A30" s="28" t="str">
        <v>Greenfield USD - Greenfield MS</v>
      </c>
      <c r="B30" s="29" t="str">
        <v>CA</v>
      </c>
      <c r="C30" s="24"/>
      <c r="D30" s="13"/>
      <c r="E30" s="13" t="str">
        <f t="shared" si="0"/>
        <v/>
      </c>
      <c r="F30" s="14" t="str">
        <f t="shared" si="3"/>
        <v/>
      </c>
      <c r="G30" s="15"/>
      <c r="H30" s="15" t="str">
        <f t="shared" si="1"/>
        <v/>
      </c>
      <c r="I30" s="16" t="str">
        <f t="shared" si="2"/>
        <v/>
      </c>
      <c r="J30" s="56"/>
      <c r="K30" s="56"/>
      <c r="L30" s="56"/>
      <c r="M30" s="97"/>
      <c r="N30" s="97"/>
      <c r="O30" s="97"/>
      <c r="P30" s="97"/>
    </row>
    <row r="31" spans="1:16" ht="15.6">
      <c r="A31" s="30" t="str">
        <v>Greenfield USD - Horizon ES</v>
      </c>
      <c r="B31" s="31" t="str">
        <v>CA</v>
      </c>
      <c r="C31" s="11"/>
      <c r="D31" s="18"/>
      <c r="E31" s="18" t="str">
        <f t="shared" si="0"/>
        <v/>
      </c>
      <c r="F31" s="19" t="str">
        <f t="shared" si="3"/>
        <v/>
      </c>
      <c r="G31" s="20"/>
      <c r="H31" s="20" t="str">
        <f t="shared" si="1"/>
        <v/>
      </c>
      <c r="I31" s="19" t="str">
        <f t="shared" si="2"/>
        <v/>
      </c>
      <c r="J31" s="54"/>
      <c r="K31" s="54"/>
      <c r="L31" s="54"/>
      <c r="M31" s="97"/>
      <c r="N31" s="97"/>
      <c r="O31" s="97"/>
      <c r="P31" s="97"/>
    </row>
    <row r="32" spans="1:16" ht="15.6">
      <c r="A32" s="28" t="str">
        <v>Greenfield USD - McKee MS</v>
      </c>
      <c r="B32" s="29" t="str">
        <v>CA</v>
      </c>
      <c r="C32" s="24"/>
      <c r="D32" s="13"/>
      <c r="E32" s="13" t="str">
        <f t="shared" si="0"/>
        <v/>
      </c>
      <c r="F32" s="14" t="str">
        <f t="shared" si="3"/>
        <v/>
      </c>
      <c r="G32" s="15"/>
      <c r="H32" s="15" t="str">
        <f t="shared" si="1"/>
        <v/>
      </c>
      <c r="I32" s="16" t="str">
        <f t="shared" si="2"/>
        <v/>
      </c>
      <c r="J32" s="56"/>
      <c r="K32" s="91"/>
      <c r="L32" s="56"/>
      <c r="M32" s="97"/>
      <c r="N32" s="97"/>
      <c r="O32" s="97"/>
      <c r="P32" s="97"/>
    </row>
    <row r="33" spans="1:21" ht="15.6">
      <c r="A33" s="30" t="str">
        <v>Greenfield USD - Plantation ES</v>
      </c>
      <c r="B33" s="31" t="str">
        <v>CA</v>
      </c>
      <c r="C33" s="11"/>
      <c r="D33" s="18"/>
      <c r="E33" s="18" t="str">
        <f t="shared" si="0"/>
        <v/>
      </c>
      <c r="F33" s="19" t="str">
        <f t="shared" si="3"/>
        <v/>
      </c>
      <c r="G33" s="20"/>
      <c r="H33" s="20" t="str">
        <f t="shared" si="1"/>
        <v/>
      </c>
      <c r="I33" s="19" t="str">
        <f t="shared" si="2"/>
        <v/>
      </c>
      <c r="J33" s="58"/>
      <c r="K33" s="57"/>
      <c r="L33" s="54"/>
      <c r="M33" s="97"/>
      <c r="N33" s="97"/>
      <c r="O33" s="97"/>
      <c r="P33" s="97"/>
    </row>
    <row r="34" spans="1:21" ht="15.6">
      <c r="A34" s="28" t="str">
        <v>Greenfield USD - Planz ES</v>
      </c>
      <c r="B34" s="29" t="str">
        <v>CA</v>
      </c>
      <c r="C34" s="24"/>
      <c r="D34" s="13"/>
      <c r="E34" s="13" t="str">
        <f t="shared" si="0"/>
        <v/>
      </c>
      <c r="F34" s="14" t="str">
        <f t="shared" si="3"/>
        <v/>
      </c>
      <c r="G34" s="15"/>
      <c r="H34" s="15" t="str">
        <f t="shared" si="1"/>
        <v/>
      </c>
      <c r="I34" s="16" t="str">
        <f t="shared" si="2"/>
        <v/>
      </c>
      <c r="J34" s="56"/>
      <c r="K34" s="56"/>
      <c r="L34" s="56"/>
      <c r="M34" s="97"/>
      <c r="N34" s="97"/>
      <c r="O34" s="97"/>
      <c r="P34" s="97"/>
    </row>
    <row r="35" spans="1:21" ht="15.6">
      <c r="A35" s="30" t="str">
        <v>Greenfield USD - Raffaello Palla ES</v>
      </c>
      <c r="B35" s="31" t="str">
        <v>CA</v>
      </c>
      <c r="C35" s="11"/>
      <c r="D35" s="18"/>
      <c r="E35" s="18" t="str">
        <f t="shared" si="0"/>
        <v/>
      </c>
      <c r="F35" s="19" t="str">
        <f t="shared" si="3"/>
        <v/>
      </c>
      <c r="G35" s="20"/>
      <c r="H35" s="20" t="str">
        <f t="shared" si="1"/>
        <v/>
      </c>
      <c r="I35" s="19" t="str">
        <f t="shared" si="2"/>
        <v/>
      </c>
      <c r="J35" s="58"/>
      <c r="K35" s="90"/>
      <c r="L35" s="54"/>
      <c r="M35" s="97"/>
      <c r="N35" s="97"/>
      <c r="O35" s="97"/>
      <c r="P35" s="97"/>
    </row>
    <row r="36" spans="1:21" ht="15.6">
      <c r="A36" s="28" t="str">
        <v>Greenfield USD - Valle Verde ES</v>
      </c>
      <c r="B36" s="29" t="str">
        <v>CA</v>
      </c>
      <c r="C36" s="24"/>
      <c r="D36" s="13"/>
      <c r="E36" s="13" t="str">
        <f t="shared" si="0"/>
        <v/>
      </c>
      <c r="F36" s="14" t="str">
        <f t="shared" si="3"/>
        <v/>
      </c>
      <c r="G36" s="15"/>
      <c r="H36" s="15" t="str">
        <f t="shared" si="1"/>
        <v/>
      </c>
      <c r="I36" s="16" t="str">
        <f t="shared" si="2"/>
        <v/>
      </c>
      <c r="J36" s="56"/>
      <c r="K36" s="56"/>
      <c r="L36" s="56"/>
      <c r="M36" s="97"/>
      <c r="N36" s="97"/>
      <c r="O36" s="97"/>
      <c r="P36" s="97"/>
    </row>
    <row r="37" spans="1:21" ht="15.6">
      <c r="A37" s="30" t="str">
        <v>Greenfield USD - W.A. Kendrick ES</v>
      </c>
      <c r="B37" s="31" t="str">
        <v>CA</v>
      </c>
      <c r="C37" s="11"/>
      <c r="D37" s="18"/>
      <c r="E37" s="18" t="str">
        <f t="shared" si="0"/>
        <v/>
      </c>
      <c r="F37" s="19" t="str">
        <f t="shared" si="3"/>
        <v/>
      </c>
      <c r="G37" s="20"/>
      <c r="H37" s="20" t="str">
        <f t="shared" si="1"/>
        <v/>
      </c>
      <c r="I37" s="19" t="str">
        <f t="shared" si="2"/>
        <v/>
      </c>
      <c r="J37" s="122"/>
      <c r="K37" s="90"/>
      <c r="L37" s="54"/>
      <c r="M37" s="98"/>
      <c r="N37" s="97"/>
      <c r="O37" s="97"/>
      <c r="P37" s="97"/>
    </row>
    <row r="38" spans="1:21" ht="15.6">
      <c r="A38" s="28" t="str">
        <v>Muroc Joint USD - Boron HS</v>
      </c>
      <c r="B38" s="29" t="str">
        <v>CA</v>
      </c>
      <c r="C38" s="24"/>
      <c r="D38" s="13"/>
      <c r="E38" s="13" t="str">
        <f t="shared" si="0"/>
        <v/>
      </c>
      <c r="F38" s="14" t="str">
        <f t="shared" si="3"/>
        <v/>
      </c>
      <c r="G38" s="15"/>
      <c r="H38" s="15" t="str">
        <f t="shared" si="1"/>
        <v/>
      </c>
      <c r="I38" s="16" t="str">
        <f t="shared" si="2"/>
        <v/>
      </c>
      <c r="J38" s="56"/>
      <c r="K38" s="91"/>
      <c r="L38" s="56"/>
      <c r="M38" s="97"/>
      <c r="N38" s="97"/>
      <c r="O38" s="97"/>
      <c r="P38" s="97"/>
    </row>
    <row r="39" spans="1:21" ht="15.6">
      <c r="A39" s="30" t="str">
        <v>Muroc Joint USD - W. Boron ES</v>
      </c>
      <c r="B39" s="31" t="str">
        <v>CA</v>
      </c>
      <c r="C39" s="11"/>
      <c r="D39" s="18"/>
      <c r="E39" s="18" t="str">
        <f t="shared" si="0"/>
        <v/>
      </c>
      <c r="F39" s="19" t="str">
        <f t="shared" si="3"/>
        <v/>
      </c>
      <c r="G39" s="20"/>
      <c r="H39" s="20" t="str">
        <f t="shared" si="1"/>
        <v/>
      </c>
      <c r="I39" s="19" t="str">
        <f t="shared" si="2"/>
        <v/>
      </c>
      <c r="J39" s="58"/>
      <c r="K39" s="57"/>
      <c r="L39" s="54"/>
      <c r="M39" s="97"/>
      <c r="N39" s="97"/>
      <c r="O39" s="97"/>
      <c r="P39" s="97"/>
    </row>
    <row r="40" spans="1:21" ht="15.6">
      <c r="A40" s="28" t="str">
        <v>Colusa - WTP</v>
      </c>
      <c r="B40" s="29" t="str">
        <v>CA</v>
      </c>
      <c r="C40" s="24"/>
      <c r="D40" s="13"/>
      <c r="E40" s="13" t="str">
        <f t="shared" si="0"/>
        <v/>
      </c>
      <c r="F40" s="14" t="str">
        <f t="shared" si="3"/>
        <v/>
      </c>
      <c r="G40" s="15"/>
      <c r="H40" s="15" t="str">
        <f t="shared" si="1"/>
        <v/>
      </c>
      <c r="I40" s="16" t="str">
        <f t="shared" si="2"/>
        <v/>
      </c>
      <c r="J40" s="56"/>
      <c r="K40" s="91"/>
      <c r="L40" s="56"/>
      <c r="M40" s="98"/>
      <c r="N40" s="97"/>
      <c r="O40" s="97"/>
      <c r="P40" s="97"/>
    </row>
    <row r="41" spans="1:21" ht="15.6">
      <c r="A41" s="30" t="str">
        <v>CDCR-North Kern State Prision</v>
      </c>
      <c r="B41" s="31" t="str">
        <v>CA</v>
      </c>
      <c r="C41" s="11"/>
      <c r="D41" s="18"/>
      <c r="E41" s="18" t="str">
        <f t="shared" si="0"/>
        <v/>
      </c>
      <c r="F41" s="19" t="str">
        <f t="shared" si="3"/>
        <v/>
      </c>
      <c r="G41" s="20"/>
      <c r="H41" s="20" t="str">
        <f t="shared" si="1"/>
        <v/>
      </c>
      <c r="I41" s="19" t="str">
        <f t="shared" si="2"/>
        <v/>
      </c>
      <c r="J41" s="58"/>
      <c r="K41" s="90"/>
      <c r="L41" s="54"/>
      <c r="M41" s="98"/>
      <c r="N41" s="98"/>
      <c r="O41" s="97"/>
      <c r="P41" s="97"/>
    </row>
    <row r="42" spans="1:21" ht="15.6">
      <c r="A42" s="28" t="str">
        <v>Muroc Joint USD - District Office</v>
      </c>
      <c r="B42" s="29" t="str">
        <v>CA</v>
      </c>
      <c r="C42" s="24"/>
      <c r="D42" s="13"/>
      <c r="E42" s="13" t="str">
        <f t="shared" si="0"/>
        <v/>
      </c>
      <c r="F42" s="14" t="str">
        <f t="shared" si="3"/>
        <v/>
      </c>
      <c r="G42" s="15"/>
      <c r="H42" s="15" t="str">
        <f t="shared" si="1"/>
        <v/>
      </c>
      <c r="I42" s="16" t="str">
        <f t="shared" si="2"/>
        <v/>
      </c>
      <c r="J42" s="56"/>
      <c r="K42" s="91"/>
      <c r="L42" s="56"/>
      <c r="M42" s="97"/>
      <c r="N42" s="97"/>
      <c r="O42" s="97"/>
      <c r="P42" s="97"/>
    </row>
    <row r="43" spans="1:21" ht="15.6">
      <c r="A43" s="30" t="str">
        <v>Whole Foods - Manhattan Beach</v>
      </c>
      <c r="B43" s="31" t="str">
        <v>CA</v>
      </c>
      <c r="C43" s="11"/>
      <c r="D43" s="18"/>
      <c r="E43" s="18" t="str">
        <f t="shared" si="0"/>
        <v/>
      </c>
      <c r="F43" s="19" t="str">
        <f t="shared" si="3"/>
        <v/>
      </c>
      <c r="G43" s="20"/>
      <c r="H43" s="20" t="str">
        <f t="shared" si="1"/>
        <v/>
      </c>
      <c r="I43" s="19" t="str">
        <f t="shared" si="2"/>
        <v/>
      </c>
      <c r="J43" s="54"/>
      <c r="K43" s="90"/>
      <c r="L43" s="124"/>
      <c r="M43" s="90"/>
      <c r="N43" s="98"/>
      <c r="O43" s="98"/>
      <c r="P43" s="98"/>
      <c r="Q43" s="98"/>
      <c r="S43" s="89" t="s">
        <v>99</v>
      </c>
      <c r="T43" s="89" t="s">
        <v>97</v>
      </c>
      <c r="U43" s="89" t="s">
        <v>100</v>
      </c>
    </row>
    <row r="44" spans="1:21" ht="15.6">
      <c r="A44" s="28" t="str">
        <v>Pioneer USD - Frontier ES</v>
      </c>
      <c r="B44" s="29" t="str">
        <v>CA</v>
      </c>
      <c r="C44" s="24"/>
      <c r="D44" s="13"/>
      <c r="E44" s="13" t="str">
        <f t="shared" si="0"/>
        <v/>
      </c>
      <c r="F44" s="14" t="str">
        <f t="shared" si="3"/>
        <v/>
      </c>
      <c r="G44" s="15"/>
      <c r="H44" s="15" t="str">
        <f t="shared" si="1"/>
        <v/>
      </c>
      <c r="I44" s="16" t="str">
        <f t="shared" si="2"/>
        <v/>
      </c>
      <c r="J44" s="56"/>
      <c r="K44" s="91"/>
      <c r="L44" s="56"/>
      <c r="M44" s="98"/>
      <c r="N44" s="97"/>
      <c r="O44" s="97"/>
      <c r="P44" s="97"/>
    </row>
    <row r="45" spans="1:21" ht="15.6">
      <c r="A45" s="30" t="str">
        <v>Pioneer USD - Pioneer ES</v>
      </c>
      <c r="B45" s="31" t="str">
        <v>CA</v>
      </c>
      <c r="C45" s="11"/>
      <c r="D45" s="18"/>
      <c r="E45" s="18" t="str">
        <f t="shared" si="0"/>
        <v/>
      </c>
      <c r="F45" s="19" t="str">
        <f t="shared" si="3"/>
        <v/>
      </c>
      <c r="G45" s="20"/>
      <c r="H45" s="20" t="str">
        <f t="shared" si="1"/>
        <v/>
      </c>
      <c r="I45" s="19" t="str">
        <f t="shared" si="2"/>
        <v/>
      </c>
      <c r="J45" s="54"/>
      <c r="K45" s="90"/>
      <c r="L45" s="54"/>
      <c r="M45" s="98"/>
      <c r="N45" s="97"/>
      <c r="O45" s="97"/>
      <c r="P45" s="97"/>
    </row>
    <row r="46" spans="1:21" ht="15.6">
      <c r="A46" s="28" t="str">
        <v>Pioneer USD - Pioneer MS</v>
      </c>
      <c r="B46" s="29" t="str">
        <v>CA</v>
      </c>
      <c r="C46" s="24"/>
      <c r="D46" s="13"/>
      <c r="E46" s="13" t="str">
        <f t="shared" si="0"/>
        <v/>
      </c>
      <c r="F46" s="14" t="str">
        <f t="shared" si="3"/>
        <v/>
      </c>
      <c r="G46" s="15"/>
      <c r="H46" s="15" t="str">
        <f t="shared" si="1"/>
        <v/>
      </c>
      <c r="I46" s="16" t="str">
        <f t="shared" si="2"/>
        <v/>
      </c>
      <c r="J46" s="56"/>
      <c r="K46" s="56"/>
      <c r="L46" s="56"/>
      <c r="M46" s="97"/>
      <c r="N46" s="97"/>
      <c r="O46" s="97"/>
      <c r="P46" s="97"/>
    </row>
    <row r="47" spans="1:21" ht="15.6">
      <c r="A47" s="30" t="str">
        <v>Kingsburg Joint UHSD - Kingsburg HS</v>
      </c>
      <c r="B47" s="31" t="str">
        <v>CA</v>
      </c>
      <c r="C47" s="11"/>
      <c r="D47" s="18"/>
      <c r="E47" s="18" t="str">
        <f t="shared" si="0"/>
        <v/>
      </c>
      <c r="F47" s="19" t="str">
        <f t="shared" si="3"/>
        <v/>
      </c>
      <c r="G47" s="20"/>
      <c r="H47" s="20" t="str">
        <f t="shared" si="1"/>
        <v/>
      </c>
      <c r="I47" s="19" t="str">
        <f t="shared" si="2"/>
        <v/>
      </c>
      <c r="J47" s="58"/>
      <c r="K47" s="90"/>
      <c r="L47" s="54"/>
      <c r="M47" s="98"/>
      <c r="N47" s="98"/>
      <c r="O47" s="97"/>
      <c r="P47" s="97"/>
    </row>
    <row r="48" spans="1:21" ht="15.6">
      <c r="A48" s="28" t="str">
        <v>CADRB</v>
      </c>
      <c r="B48" s="29" t="str">
        <v>CA</v>
      </c>
      <c r="C48" s="24"/>
      <c r="D48" s="13"/>
      <c r="E48" s="13" t="str">
        <f t="shared" si="0"/>
        <v/>
      </c>
      <c r="F48" s="14" t="str">
        <f t="shared" si="3"/>
        <v/>
      </c>
      <c r="G48" s="15"/>
      <c r="H48" s="15" t="str">
        <f t="shared" si="1"/>
        <v/>
      </c>
      <c r="I48" s="16" t="str">
        <f t="shared" si="2"/>
        <v/>
      </c>
      <c r="J48" s="56"/>
      <c r="K48" s="91"/>
      <c r="L48" s="56"/>
      <c r="M48" s="98"/>
      <c r="N48" s="98"/>
      <c r="O48" s="97"/>
      <c r="P48" s="97"/>
    </row>
    <row r="49" spans="1:16" ht="15.6">
      <c r="A49" s="30" t="str">
        <v>CDCR-CA State Prison LA County</v>
      </c>
      <c r="B49" s="31" t="str">
        <v>CA</v>
      </c>
      <c r="C49" s="11"/>
      <c r="D49" s="18"/>
      <c r="E49" s="18" t="str">
        <f t="shared" si="0"/>
        <v/>
      </c>
      <c r="F49" s="19" t="str">
        <f t="shared" si="3"/>
        <v/>
      </c>
      <c r="G49" s="20"/>
      <c r="H49" s="20" t="str">
        <f t="shared" si="1"/>
        <v/>
      </c>
      <c r="I49" s="19" t="str">
        <f t="shared" si="2"/>
        <v/>
      </c>
      <c r="J49" s="58"/>
      <c r="K49" s="90"/>
      <c r="L49" s="54"/>
      <c r="M49" s="97"/>
      <c r="N49" s="97"/>
      <c r="O49" s="97"/>
      <c r="P49" s="97"/>
    </row>
    <row r="50" spans="1:16" ht="61.15" customHeight="1">
      <c r="A50" s="28" t="str">
        <v>Central USD Akers ES</v>
      </c>
      <c r="B50" s="29" t="str">
        <v>CA</v>
      </c>
      <c r="C50" s="24"/>
      <c r="D50" s="13"/>
      <c r="E50" s="13" t="str">
        <f t="shared" si="0"/>
        <v/>
      </c>
      <c r="F50" s="14" t="str">
        <f t="shared" si="3"/>
        <v/>
      </c>
      <c r="G50" s="15"/>
      <c r="H50" s="15" t="str">
        <f t="shared" si="1"/>
        <v/>
      </c>
      <c r="I50" s="16" t="str">
        <f t="shared" si="2"/>
        <v/>
      </c>
      <c r="J50" s="56"/>
      <c r="K50" s="91"/>
      <c r="L50" s="56"/>
      <c r="M50" s="98"/>
      <c r="N50" s="97"/>
      <c r="O50" s="97"/>
      <c r="P50" s="97"/>
    </row>
    <row r="51" spans="1:16" ht="15.6">
      <c r="A51" s="30" t="str">
        <v>CUSD - District Office</v>
      </c>
      <c r="B51" s="31" t="str">
        <v>CA</v>
      </c>
      <c r="C51" s="11"/>
      <c r="D51" s="18"/>
      <c r="E51" s="18" t="str">
        <f t="shared" si="0"/>
        <v/>
      </c>
      <c r="F51" s="19" t="str">
        <f t="shared" si="3"/>
        <v/>
      </c>
      <c r="G51" s="20"/>
      <c r="H51" s="20" t="str">
        <f t="shared" si="1"/>
        <v/>
      </c>
      <c r="I51" s="19" t="str">
        <f t="shared" si="2"/>
        <v/>
      </c>
      <c r="J51" s="58"/>
      <c r="K51" s="90"/>
      <c r="L51" s="54"/>
      <c r="M51" s="98"/>
      <c r="N51" s="97"/>
      <c r="O51" s="97"/>
      <c r="P51" s="97"/>
    </row>
    <row r="52" spans="1:16" ht="15.6">
      <c r="A52" s="28" t="str">
        <v>Parlier - WTP</v>
      </c>
      <c r="B52" s="29" t="str">
        <v>CA</v>
      </c>
      <c r="C52" s="24"/>
      <c r="D52" s="13"/>
      <c r="E52" s="13" t="str">
        <f t="shared" si="0"/>
        <v/>
      </c>
      <c r="F52" s="14" t="str">
        <f t="shared" si="3"/>
        <v/>
      </c>
      <c r="G52" s="15"/>
      <c r="H52" s="15" t="str">
        <f t="shared" si="1"/>
        <v/>
      </c>
      <c r="I52" s="16" t="str">
        <f t="shared" si="2"/>
        <v/>
      </c>
      <c r="J52" s="56"/>
      <c r="K52" s="91"/>
      <c r="L52" s="56"/>
      <c r="M52" s="97"/>
      <c r="N52" s="97"/>
      <c r="O52" s="97"/>
      <c r="P52" s="97"/>
    </row>
    <row r="53" spans="1:16" ht="15.6">
      <c r="A53" s="30" t="str">
        <v>Snowline SD - Quail Valley MS</v>
      </c>
      <c r="B53" s="31" t="str">
        <v>CA</v>
      </c>
      <c r="C53" s="11"/>
      <c r="D53" s="18"/>
      <c r="E53" s="18" t="str">
        <f t="shared" si="0"/>
        <v/>
      </c>
      <c r="F53" s="19" t="str">
        <f t="shared" si="3"/>
        <v/>
      </c>
      <c r="G53" s="20"/>
      <c r="H53" s="20" t="str">
        <f t="shared" si="1"/>
        <v/>
      </c>
      <c r="I53" s="19" t="str">
        <f t="shared" si="2"/>
        <v/>
      </c>
      <c r="J53" s="54"/>
      <c r="K53" s="90"/>
      <c r="L53" s="54"/>
      <c r="M53" s="97"/>
      <c r="N53" s="97"/>
      <c r="O53" s="97"/>
      <c r="P53" s="97"/>
    </row>
    <row r="54" spans="1:16" ht="15.6">
      <c r="A54" s="28" t="str">
        <v>Snowline SD - Serrano HS - Middle Lot</v>
      </c>
      <c r="B54" s="29" t="str">
        <v>CA</v>
      </c>
      <c r="C54" s="24"/>
      <c r="D54" s="13"/>
      <c r="E54" s="13" t="str">
        <f t="shared" si="0"/>
        <v/>
      </c>
      <c r="F54" s="14" t="str">
        <f t="shared" si="3"/>
        <v/>
      </c>
      <c r="G54" s="15"/>
      <c r="H54" s="15" t="str">
        <f t="shared" si="1"/>
        <v/>
      </c>
      <c r="I54" s="16" t="str">
        <f t="shared" si="2"/>
        <v/>
      </c>
      <c r="J54" s="56"/>
      <c r="K54" s="91"/>
      <c r="L54" s="56"/>
      <c r="M54" s="97"/>
      <c r="N54" s="97"/>
      <c r="O54" s="97"/>
      <c r="P54" s="97"/>
    </row>
    <row r="55" spans="1:16" ht="15.6">
      <c r="A55" s="30" t="str">
        <v>Snowline SD - Pinon Hills ES</v>
      </c>
      <c r="B55" s="31" t="str">
        <v>CA</v>
      </c>
      <c r="C55" s="11"/>
      <c r="D55" s="18"/>
      <c r="E55" s="18" t="str">
        <f t="shared" si="0"/>
        <v/>
      </c>
      <c r="F55" s="19" t="str">
        <f t="shared" si="3"/>
        <v/>
      </c>
      <c r="G55" s="20"/>
      <c r="H55" s="20" t="str">
        <f t="shared" si="1"/>
        <v/>
      </c>
      <c r="I55" s="19" t="str">
        <f t="shared" si="2"/>
        <v/>
      </c>
      <c r="J55" s="58"/>
      <c r="K55" s="90"/>
      <c r="L55" s="54"/>
      <c r="M55" s="97"/>
      <c r="N55" s="97"/>
      <c r="O55" s="97"/>
      <c r="P55" s="97"/>
    </row>
    <row r="56" spans="1:16" ht="15.6">
      <c r="A56" s="28" t="str">
        <v>Ramona - Santa Maria WTP</v>
      </c>
      <c r="B56" s="29" t="str">
        <v>CA</v>
      </c>
      <c r="C56" s="24"/>
      <c r="D56" s="13"/>
      <c r="E56" s="13" t="str">
        <f t="shared" si="0"/>
        <v/>
      </c>
      <c r="F56" s="14" t="str">
        <f t="shared" si="3"/>
        <v/>
      </c>
      <c r="G56" s="15"/>
      <c r="H56" s="15" t="str">
        <f t="shared" si="1"/>
        <v/>
      </c>
      <c r="I56" s="16" t="str">
        <f t="shared" si="2"/>
        <v/>
      </c>
      <c r="J56" s="56"/>
      <c r="K56" s="91"/>
      <c r="L56" s="56"/>
      <c r="M56" s="97"/>
      <c r="N56" s="97"/>
      <c r="O56" s="97"/>
      <c r="P56" s="97"/>
    </row>
    <row r="57" spans="1:16" ht="15.6">
      <c r="A57" s="30" t="str">
        <v>Kohls - Redding</v>
      </c>
      <c r="B57" s="31" t="str">
        <v>CA</v>
      </c>
      <c r="C57" s="11"/>
      <c r="D57" s="18"/>
      <c r="E57" s="18" t="str">
        <f t="shared" si="0"/>
        <v/>
      </c>
      <c r="F57" s="19" t="str">
        <f t="shared" si="3"/>
        <v/>
      </c>
      <c r="G57" s="20"/>
      <c r="H57" s="20" t="str">
        <f t="shared" si="1"/>
        <v/>
      </c>
      <c r="I57" s="19" t="str">
        <f t="shared" si="2"/>
        <v/>
      </c>
      <c r="J57" s="58"/>
      <c r="K57" s="90"/>
      <c r="L57" s="54"/>
      <c r="M57" s="97"/>
      <c r="N57" s="97"/>
      <c r="O57" s="97"/>
      <c r="P57" s="97"/>
    </row>
    <row r="58" spans="1:16" ht="15.6">
      <c r="A58" s="28" t="str">
        <v>Kohls - Salinas</v>
      </c>
      <c r="B58" s="29" t="str">
        <v>CA</v>
      </c>
      <c r="C58" s="24"/>
      <c r="D58" s="13"/>
      <c r="E58" s="13" t="str">
        <f t="shared" si="0"/>
        <v/>
      </c>
      <c r="F58" s="14" t="str">
        <f t="shared" si="3"/>
        <v/>
      </c>
      <c r="G58" s="15"/>
      <c r="H58" s="15" t="str">
        <f t="shared" si="1"/>
        <v/>
      </c>
      <c r="I58" s="16" t="str">
        <f t="shared" si="2"/>
        <v/>
      </c>
      <c r="J58" s="56"/>
      <c r="K58" s="91"/>
      <c r="L58" s="56"/>
      <c r="M58" s="98"/>
      <c r="N58" s="98"/>
      <c r="O58" s="98"/>
      <c r="P58" s="97"/>
    </row>
    <row r="59" spans="1:16" ht="15.6" hidden="1">
      <c r="A59" s="30" t="str">
        <v>Kohls - Sonora</v>
      </c>
      <c r="B59" s="31" t="str">
        <v>CA</v>
      </c>
      <c r="C59" s="11"/>
      <c r="D59" s="18"/>
      <c r="E59" s="18" t="str">
        <f t="shared" si="0"/>
        <v/>
      </c>
      <c r="F59" s="19" t="str">
        <f t="shared" si="3"/>
        <v/>
      </c>
      <c r="G59" s="20"/>
      <c r="H59" s="20" t="str">
        <f t="shared" si="1"/>
        <v/>
      </c>
      <c r="I59" s="19" t="str">
        <f t="shared" si="2"/>
        <v/>
      </c>
      <c r="J59" s="58"/>
      <c r="K59" s="57"/>
      <c r="L59" s="54"/>
      <c r="M59" s="97"/>
      <c r="N59" s="97"/>
      <c r="O59" s="97"/>
      <c r="P59" s="97"/>
    </row>
    <row r="60" spans="1:16" ht="15.6">
      <c r="A60" s="28" t="str">
        <v>CUSD - Stratford ES</v>
      </c>
      <c r="B60" s="29" t="str">
        <v>CA</v>
      </c>
      <c r="C60" s="24"/>
      <c r="D60" s="13"/>
      <c r="E60" s="13" t="str">
        <f t="shared" si="0"/>
        <v/>
      </c>
      <c r="F60" s="14" t="str">
        <f t="shared" si="3"/>
        <v/>
      </c>
      <c r="G60" s="15"/>
      <c r="H60" s="15" t="str">
        <f t="shared" si="1"/>
        <v/>
      </c>
      <c r="I60" s="16" t="str">
        <f t="shared" si="2"/>
        <v/>
      </c>
      <c r="J60" s="56"/>
      <c r="K60" s="91"/>
      <c r="L60" s="56"/>
      <c r="M60" s="98"/>
      <c r="N60" s="97"/>
      <c r="O60" s="97"/>
      <c r="P60" s="97"/>
    </row>
    <row r="61" spans="1:16" ht="15.6">
      <c r="A61" s="30" t="str">
        <v>Taft - City Hall</v>
      </c>
      <c r="B61" s="31" t="str">
        <v>CA</v>
      </c>
      <c r="C61" s="11"/>
      <c r="D61" s="18"/>
      <c r="E61" s="18" t="str">
        <f t="shared" si="0"/>
        <v/>
      </c>
      <c r="F61" s="19" t="str">
        <f t="shared" si="3"/>
        <v/>
      </c>
      <c r="G61" s="20"/>
      <c r="H61" s="20" t="str">
        <f t="shared" si="1"/>
        <v/>
      </c>
      <c r="I61" s="19" t="str">
        <f t="shared" si="2"/>
        <v/>
      </c>
      <c r="J61" s="58"/>
      <c r="K61" s="90"/>
      <c r="L61" s="54"/>
      <c r="M61" s="97"/>
      <c r="N61" s="97"/>
      <c r="O61" s="97"/>
      <c r="P61" s="97"/>
    </row>
    <row r="62" spans="1:16" ht="15.6">
      <c r="A62" s="28" t="str">
        <v>Taft - Federal Prison</v>
      </c>
      <c r="B62" s="29" t="str">
        <v>CA</v>
      </c>
      <c r="C62" s="24"/>
      <c r="D62" s="13"/>
      <c r="E62" s="13" t="str">
        <f t="shared" si="0"/>
        <v/>
      </c>
      <c r="F62" s="14" t="str">
        <f t="shared" si="3"/>
        <v/>
      </c>
      <c r="G62" s="15"/>
      <c r="H62" s="15" t="str">
        <f t="shared" si="1"/>
        <v/>
      </c>
      <c r="I62" s="16" t="str">
        <f t="shared" si="2"/>
        <v/>
      </c>
      <c r="J62" s="56"/>
      <c r="K62" s="91"/>
      <c r="L62" s="56"/>
      <c r="M62" s="97"/>
      <c r="N62" s="97"/>
      <c r="O62" s="97"/>
      <c r="P62" s="97"/>
    </row>
    <row r="63" spans="1:16" ht="29.25" customHeight="1">
      <c r="A63" s="30" t="str">
        <v>Taft - Police Department</v>
      </c>
      <c r="B63" s="31" t="str">
        <v>CA</v>
      </c>
      <c r="C63" s="11"/>
      <c r="D63" s="18"/>
      <c r="E63" s="18" t="str">
        <f t="shared" si="0"/>
        <v/>
      </c>
      <c r="F63" s="19" t="str">
        <f t="shared" si="3"/>
        <v/>
      </c>
      <c r="G63" s="20"/>
      <c r="H63" s="20" t="str">
        <f t="shared" si="1"/>
        <v/>
      </c>
      <c r="I63" s="19" t="str">
        <f t="shared" si="2"/>
        <v/>
      </c>
      <c r="J63" s="54"/>
      <c r="K63" s="90"/>
      <c r="L63" s="54"/>
      <c r="M63" s="97"/>
      <c r="N63" s="97"/>
      <c r="O63" s="97"/>
      <c r="P63" s="97"/>
    </row>
    <row r="64" spans="1:16" ht="15.6">
      <c r="A64" s="28" t="str">
        <v>Taft - WTP</v>
      </c>
      <c r="B64" s="29" t="str">
        <v>CA</v>
      </c>
      <c r="C64" s="24"/>
      <c r="D64" s="13"/>
      <c r="E64" s="13" t="str">
        <f t="shared" si="0"/>
        <v/>
      </c>
      <c r="F64" s="14" t="str">
        <f t="shared" si="3"/>
        <v/>
      </c>
      <c r="G64" s="15"/>
      <c r="H64" s="15" t="str">
        <f t="shared" si="1"/>
        <v/>
      </c>
      <c r="I64" s="16" t="str">
        <f t="shared" si="2"/>
        <v/>
      </c>
      <c r="J64" s="56"/>
      <c r="K64" s="56"/>
      <c r="L64" s="56"/>
      <c r="M64" s="97"/>
      <c r="N64" s="97"/>
      <c r="O64" s="97"/>
      <c r="P64" s="97"/>
    </row>
    <row r="65" spans="1:16" ht="15.6">
      <c r="A65" s="30" t="str">
        <v>CDCR - CA Correctional Institution</v>
      </c>
      <c r="B65" s="31" t="str">
        <v>CA</v>
      </c>
      <c r="C65" s="11"/>
      <c r="D65" s="18"/>
      <c r="E65" s="18" t="str">
        <f t="shared" si="0"/>
        <v/>
      </c>
      <c r="F65" s="19" t="str">
        <f t="shared" si="3"/>
        <v/>
      </c>
      <c r="G65" s="20"/>
      <c r="H65" s="20" t="str">
        <f t="shared" si="1"/>
        <v/>
      </c>
      <c r="I65" s="19" t="str">
        <f t="shared" si="2"/>
        <v/>
      </c>
      <c r="J65" s="122"/>
      <c r="K65" s="90"/>
      <c r="L65" s="54"/>
      <c r="M65" s="97"/>
      <c r="N65" s="97"/>
      <c r="O65" s="97"/>
      <c r="P65" s="97"/>
    </row>
    <row r="66" spans="1:16" ht="15.6">
      <c r="A66" s="28" t="str">
        <v>CDCR - CA Correctional Institution II</v>
      </c>
      <c r="B66" s="29" t="str">
        <v>CA</v>
      </c>
      <c r="C66" s="24"/>
      <c r="D66" s="13"/>
      <c r="E66" s="13" t="str">
        <f t="shared" si="0"/>
        <v/>
      </c>
      <c r="F66" s="14" t="str">
        <f t="shared" si="3"/>
        <v/>
      </c>
      <c r="G66" s="15"/>
      <c r="H66" s="15" t="str">
        <f t="shared" si="1"/>
        <v/>
      </c>
      <c r="I66" s="16" t="str">
        <f t="shared" si="2"/>
        <v/>
      </c>
      <c r="J66" s="56"/>
      <c r="K66" s="91"/>
      <c r="L66" s="56"/>
      <c r="M66" s="98"/>
      <c r="N66" s="98"/>
      <c r="O66" s="97"/>
      <c r="P66" s="97"/>
    </row>
    <row r="67" spans="1:16" ht="36.4" customHeight="1">
      <c r="A67" s="30" t="str">
        <v>Snowline SD - Vista Verde ES</v>
      </c>
      <c r="B67" s="31" t="str">
        <v>CA</v>
      </c>
      <c r="C67" s="11"/>
      <c r="D67" s="18"/>
      <c r="E67" s="18" t="str">
        <f t="shared" si="0"/>
        <v/>
      </c>
      <c r="F67" s="19" t="str">
        <f t="shared" si="3"/>
        <v/>
      </c>
      <c r="G67" s="20"/>
      <c r="H67" s="20" t="str">
        <f t="shared" si="1"/>
        <v/>
      </c>
      <c r="I67" s="19" t="str">
        <f t="shared" si="2"/>
        <v/>
      </c>
      <c r="J67" s="54"/>
      <c r="K67" s="90"/>
      <c r="L67" s="54"/>
      <c r="M67" s="98"/>
      <c r="N67" s="97"/>
      <c r="O67" s="97"/>
      <c r="P67" s="97"/>
    </row>
    <row r="68" spans="1:16" ht="15.6">
      <c r="A68" s="28" t="str">
        <v>North Stonington</v>
      </c>
      <c r="B68" s="29" t="str">
        <v>CT</v>
      </c>
      <c r="C68" s="24"/>
      <c r="D68" s="13"/>
      <c r="E68" s="13" t="str">
        <f t="shared" si="0"/>
        <v/>
      </c>
      <c r="F68" s="14" t="str">
        <f t="shared" si="3"/>
        <v/>
      </c>
      <c r="G68" s="15"/>
      <c r="H68" s="15" t="str">
        <f t="shared" si="1"/>
        <v/>
      </c>
      <c r="I68" s="16" t="str">
        <f t="shared" si="2"/>
        <v/>
      </c>
      <c r="J68" s="56"/>
      <c r="K68" s="91"/>
      <c r="L68" s="56"/>
      <c r="M68" s="97"/>
      <c r="N68" s="97"/>
      <c r="O68" s="97"/>
      <c r="P68" s="97"/>
    </row>
    <row r="69" spans="1:16" ht="36.4" customHeight="1">
      <c r="A69" s="30" t="str">
        <v>CT: Torrington - 2-298 Rossi Road</v>
      </c>
      <c r="B69" s="31" t="str">
        <v>CT</v>
      </c>
      <c r="C69" s="11"/>
      <c r="D69" s="18"/>
      <c r="E69" s="18"/>
      <c r="F69" s="19" t="str">
        <f t="shared" si="3"/>
        <v/>
      </c>
      <c r="G69" s="123"/>
      <c r="H69" s="20"/>
      <c r="I69" s="19"/>
      <c r="J69" s="54"/>
      <c r="K69" s="57"/>
      <c r="L69" s="54"/>
      <c r="M69" s="97"/>
      <c r="N69" s="97"/>
      <c r="O69" s="97"/>
      <c r="P69" s="97"/>
    </row>
    <row r="70" spans="1:16" ht="15.6">
      <c r="A70" s="28"/>
      <c r="B70" s="29"/>
      <c r="C70" s="24"/>
      <c r="D70" s="13"/>
      <c r="E70" s="13"/>
      <c r="F70" s="14" t="str">
        <f t="shared" ref="F70" si="4">IFERROR(E70/D70, "")</f>
        <v/>
      </c>
      <c r="G70" s="15"/>
      <c r="H70" s="15"/>
      <c r="I70" s="16"/>
      <c r="J70" s="56"/>
      <c r="K70" s="56"/>
      <c r="L70" s="56"/>
      <c r="M70" s="97"/>
      <c r="N70" s="97"/>
      <c r="O70" s="97"/>
      <c r="P70" s="97"/>
    </row>
    <row r="71" spans="1:16" ht="14.45">
      <c r="A71" s="21"/>
      <c r="B71" s="33"/>
      <c r="C71" s="21"/>
      <c r="D71" s="21"/>
      <c r="E71" s="21"/>
      <c r="F71" s="22"/>
      <c r="G71" s="21"/>
      <c r="H71" s="21"/>
      <c r="I71" s="22"/>
      <c r="J71" s="21"/>
      <c r="K71" s="21"/>
      <c r="L71" s="42"/>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hyperlinks>
    <hyperlink ref="S43" r:id="rId1" display="https://us3.assetplanner.com/service_request?ID=089461" xr:uid="{AD1F1BF8-CF71-4838-8516-4F7B00285FDA}"/>
    <hyperlink ref="T43" r:id="rId2" display="https://us3.assetplanner.com/service_request?ID=105124" xr:uid="{2D33C5DE-54E6-4092-B5C2-7DB43B9475AD}"/>
    <hyperlink ref="U43" r:id="rId3" display="https://us3.assetplanner.com/service_request?ID=101136" xr:uid="{B32739BE-BF32-4270-A5F3-477985BC719D}"/>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U342"/>
  <sheetViews>
    <sheetView zoomScale="70" zoomScaleNormal="70" workbookViewId="0">
      <pane xSplit="2" ySplit="3" topLeftCell="C37" activePane="bottomRight" state="frozen"/>
      <selection pane="bottomRight" activeCell="I74" sqref="I74"/>
      <selection pane="bottomLeft" activeCell="I74" sqref="I74"/>
      <selection pane="topRight" activeCell="I74" sqref="I74"/>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s>
  <sheetData>
    <row r="1" spans="1:13" ht="19.5" customHeight="1">
      <c r="A1" s="135" t="str" cm="1">
        <f t="array" ref="A1">portfolio</f>
        <v>Silicon Ranch</v>
      </c>
      <c r="B1" s="135"/>
      <c r="C1" s="135"/>
      <c r="D1" s="136" t="s">
        <v>196</v>
      </c>
      <c r="E1" s="136"/>
      <c r="F1" s="136"/>
      <c r="G1" s="134" t="s">
        <v>197</v>
      </c>
      <c r="H1" s="134"/>
      <c r="I1" s="134"/>
      <c r="J1" s="4"/>
      <c r="K1" s="4"/>
      <c r="L1" s="4"/>
    </row>
    <row r="2" spans="1:13"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3" ht="14.25" customHeight="1">
      <c r="A3" s="8" t="s">
        <v>3</v>
      </c>
      <c r="B3" s="8" t="s">
        <v>4</v>
      </c>
      <c r="C3" s="23" t="s">
        <v>5</v>
      </c>
      <c r="D3" s="35" t="s">
        <v>6</v>
      </c>
      <c r="E3" s="35" t="s">
        <v>7</v>
      </c>
      <c r="F3" s="36" t="s">
        <v>8</v>
      </c>
      <c r="G3" s="37" t="s">
        <v>9</v>
      </c>
      <c r="H3" s="38" t="s">
        <v>7</v>
      </c>
      <c r="I3" s="39" t="s">
        <v>8</v>
      </c>
      <c r="J3" s="25" t="s">
        <v>20</v>
      </c>
      <c r="K3" s="25" t="s">
        <v>21</v>
      </c>
      <c r="L3" s="25" t="s">
        <v>22</v>
      </c>
    </row>
    <row r="4" spans="1:13"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76"/>
      <c r="K4" s="76"/>
      <c r="L4" s="101"/>
    </row>
    <row r="5" spans="1:13" ht="15.6">
      <c r="A5" s="30" t="str">
        <v>Kohls - Auburn</v>
      </c>
      <c r="B5" s="31" t="str">
        <v>NY</v>
      </c>
      <c r="C5" s="11"/>
      <c r="D5" s="18"/>
      <c r="E5" s="18" t="str">
        <f t="shared" ref="E5:E69" si="0">IF(AND(ISNUMBER(C5),ISNUMBER(D5)), C5-D5, "")</f>
        <v/>
      </c>
      <c r="F5" s="19" t="str">
        <f>IFERROR(E5/D5, "")</f>
        <v/>
      </c>
      <c r="G5" s="18"/>
      <c r="H5" s="20" t="str">
        <f t="shared" ref="H5:H69" si="1">IF(AND(ISNUMBER(C5),ISNUMBER(G5)), C5-G5, "")</f>
        <v/>
      </c>
      <c r="I5" s="19" t="str">
        <f t="shared" ref="I5:I66" si="2">IFERROR(H5/G5, "")</f>
        <v/>
      </c>
      <c r="J5" s="130"/>
      <c r="K5" s="130"/>
      <c r="L5" s="130"/>
    </row>
    <row r="6" spans="1:13" ht="15.6">
      <c r="A6" s="28" t="str">
        <v>Kohls - Bensalem</v>
      </c>
      <c r="B6" s="29" t="str">
        <v>PA</v>
      </c>
      <c r="C6" s="24"/>
      <c r="D6" s="13"/>
      <c r="E6" s="13" t="str">
        <f t="shared" si="0"/>
        <v/>
      </c>
      <c r="F6" s="14" t="str">
        <f t="shared" ref="F6:F17" si="3">IFERROR(E6/D6, "")</f>
        <v/>
      </c>
      <c r="G6" s="15"/>
      <c r="H6" s="15" t="str">
        <f t="shared" si="1"/>
        <v/>
      </c>
      <c r="I6" s="16" t="str">
        <f t="shared" si="2"/>
        <v/>
      </c>
      <c r="J6" s="76"/>
      <c r="K6" s="91"/>
      <c r="L6" s="101"/>
      <c r="M6" s="89"/>
    </row>
    <row r="7" spans="1:13" ht="15.6">
      <c r="A7" s="30" t="str">
        <v>Kohls - Brick</v>
      </c>
      <c r="B7" s="31" t="str">
        <v>NJ</v>
      </c>
      <c r="C7" s="11"/>
      <c r="D7" s="18"/>
      <c r="E7" s="18" t="str">
        <f t="shared" si="0"/>
        <v/>
      </c>
      <c r="F7" s="19" t="str">
        <f t="shared" si="3"/>
        <v/>
      </c>
      <c r="G7" s="20"/>
      <c r="H7" s="20" t="str">
        <f t="shared" si="1"/>
        <v/>
      </c>
      <c r="I7" s="19" t="str">
        <f t="shared" si="2"/>
        <v/>
      </c>
      <c r="J7" s="130"/>
      <c r="K7" s="73"/>
      <c r="L7" s="73"/>
    </row>
    <row r="8" spans="1:13" ht="15.6">
      <c r="A8" s="28" t="str">
        <v>Kohls - Buffalo</v>
      </c>
      <c r="B8" s="29" t="str">
        <v>NY</v>
      </c>
      <c r="C8" s="24"/>
      <c r="D8" s="13"/>
      <c r="E8" s="13" t="str">
        <f t="shared" si="0"/>
        <v/>
      </c>
      <c r="F8" s="14" t="str">
        <f t="shared" si="3"/>
        <v/>
      </c>
      <c r="G8" s="15"/>
      <c r="H8" s="15" t="str">
        <f t="shared" si="1"/>
        <v/>
      </c>
      <c r="I8" s="16" t="str">
        <f t="shared" si="2"/>
        <v/>
      </c>
      <c r="J8" s="76"/>
      <c r="K8" s="76"/>
      <c r="L8" s="101"/>
    </row>
    <row r="9" spans="1:13" ht="15.6">
      <c r="A9" s="30" t="str">
        <v>Kohls - Canton</v>
      </c>
      <c r="B9" s="31" t="str">
        <v>CT</v>
      </c>
      <c r="C9" s="11"/>
      <c r="D9" s="18"/>
      <c r="E9" s="18" t="str">
        <f t="shared" si="0"/>
        <v/>
      </c>
      <c r="F9" s="19" t="str">
        <f t="shared" si="3"/>
        <v/>
      </c>
      <c r="G9" s="20"/>
      <c r="H9" s="20" t="str">
        <f t="shared" si="1"/>
        <v/>
      </c>
      <c r="I9" s="19" t="str">
        <f t="shared" si="2"/>
        <v/>
      </c>
      <c r="J9" s="130"/>
      <c r="K9" s="73"/>
      <c r="L9" s="73"/>
    </row>
    <row r="10" spans="1:13" ht="15.6">
      <c r="A10" s="28" t="str">
        <v>Kohls - East Amherst</v>
      </c>
      <c r="B10" s="29" t="str">
        <v>NY</v>
      </c>
      <c r="C10" s="24"/>
      <c r="D10" s="13"/>
      <c r="E10" s="13" t="str">
        <f t="shared" si="0"/>
        <v/>
      </c>
      <c r="F10" s="14" t="str">
        <f t="shared" si="3"/>
        <v/>
      </c>
      <c r="G10" s="15"/>
      <c r="H10" s="15" t="str">
        <f t="shared" si="1"/>
        <v/>
      </c>
      <c r="I10" s="16" t="str">
        <f t="shared" si="2"/>
        <v/>
      </c>
      <c r="J10" s="76"/>
      <c r="K10" s="76"/>
      <c r="L10" s="101"/>
    </row>
    <row r="11" spans="1:13" ht="15.6">
      <c r="A11" s="30" t="str">
        <v>Kohls - East Brunswick</v>
      </c>
      <c r="B11" s="31" t="str">
        <v>NJ</v>
      </c>
      <c r="C11" s="11"/>
      <c r="D11" s="18"/>
      <c r="E11" s="18" t="str">
        <f t="shared" si="0"/>
        <v/>
      </c>
      <c r="F11" s="19" t="str">
        <f t="shared" si="3"/>
        <v/>
      </c>
      <c r="G11" s="20"/>
      <c r="H11" s="20" t="str">
        <f t="shared" si="1"/>
        <v/>
      </c>
      <c r="I11" s="19" t="str">
        <f t="shared" si="2"/>
        <v/>
      </c>
      <c r="J11" s="130"/>
      <c r="K11" s="90"/>
      <c r="L11" s="130"/>
    </row>
    <row r="12" spans="1:13" ht="106.5" customHeight="1">
      <c r="A12" s="28" t="str">
        <v>Kohls - Edgewood</v>
      </c>
      <c r="B12" s="29" t="str">
        <v>MD</v>
      </c>
      <c r="C12" s="24"/>
      <c r="D12" s="13"/>
      <c r="E12" s="13" t="str">
        <f t="shared" si="0"/>
        <v/>
      </c>
      <c r="F12" s="14" t="str">
        <f t="shared" si="3"/>
        <v/>
      </c>
      <c r="G12" s="15"/>
      <c r="H12" s="15" t="str">
        <f t="shared" si="1"/>
        <v/>
      </c>
      <c r="I12" s="16" t="str">
        <f t="shared" si="2"/>
        <v/>
      </c>
      <c r="J12" s="76"/>
      <c r="K12" s="91"/>
      <c r="L12" s="101"/>
      <c r="M12" s="89"/>
    </row>
    <row r="13" spans="1:13" ht="15.6">
      <c r="A13" s="30" t="str">
        <v>Kohls - Granite Run</v>
      </c>
      <c r="B13" s="31" t="str">
        <v>PA</v>
      </c>
      <c r="C13" s="11"/>
      <c r="D13" s="18"/>
      <c r="E13" s="18" t="str">
        <f t="shared" si="0"/>
        <v/>
      </c>
      <c r="F13" s="19" t="str">
        <f t="shared" si="3"/>
        <v/>
      </c>
      <c r="G13" s="20"/>
      <c r="H13" s="20" t="str">
        <f t="shared" si="1"/>
        <v/>
      </c>
      <c r="I13" s="19" t="str">
        <f t="shared" si="2"/>
        <v/>
      </c>
      <c r="J13" s="130"/>
      <c r="K13" s="73"/>
      <c r="L13" s="73"/>
    </row>
    <row r="14" spans="1:13" ht="39" customHeight="1">
      <c r="A14" s="28" t="str">
        <v>Kohls - Greece</v>
      </c>
      <c r="B14" s="29" t="str">
        <v>NY</v>
      </c>
      <c r="C14" s="24"/>
      <c r="D14" s="13"/>
      <c r="E14" s="13" t="str">
        <f t="shared" si="0"/>
        <v/>
      </c>
      <c r="F14" s="14" t="str">
        <f t="shared" si="3"/>
        <v/>
      </c>
      <c r="G14" s="15"/>
      <c r="H14" s="15" t="str">
        <f t="shared" si="1"/>
        <v/>
      </c>
      <c r="I14" s="16" t="str">
        <f t="shared" si="2"/>
        <v/>
      </c>
      <c r="J14" s="76"/>
      <c r="K14" s="91"/>
      <c r="L14" s="101"/>
    </row>
    <row r="15" spans="1:13" ht="19.149999999999999" customHeight="1">
      <c r="A15" s="30" t="str">
        <v>Kohls - Hanover</v>
      </c>
      <c r="B15" s="31" t="str">
        <v>PA</v>
      </c>
      <c r="C15" s="11"/>
      <c r="D15" s="18"/>
      <c r="E15" s="18" t="str">
        <f t="shared" si="0"/>
        <v/>
      </c>
      <c r="F15" s="19" t="str">
        <f t="shared" si="3"/>
        <v/>
      </c>
      <c r="G15" s="20"/>
      <c r="H15" s="20" t="str">
        <f t="shared" si="1"/>
        <v/>
      </c>
      <c r="I15" s="19" t="str">
        <f t="shared" si="2"/>
        <v/>
      </c>
      <c r="J15" s="130"/>
      <c r="K15" s="130"/>
      <c r="L15" s="130"/>
    </row>
    <row r="16" spans="1:13" ht="15.6">
      <c r="A16" s="28" t="str">
        <v>Kohls - Horsehead</v>
      </c>
      <c r="B16" s="29" t="str">
        <v>NY</v>
      </c>
      <c r="C16" s="24"/>
      <c r="D16" s="13"/>
      <c r="E16" s="13" t="str">
        <f t="shared" si="0"/>
        <v/>
      </c>
      <c r="F16" s="14" t="str">
        <f t="shared" si="3"/>
        <v/>
      </c>
      <c r="G16" s="15"/>
      <c r="H16" s="15" t="str">
        <f t="shared" si="1"/>
        <v/>
      </c>
      <c r="I16" s="16" t="str">
        <f t="shared" si="2"/>
        <v/>
      </c>
      <c r="J16" s="76"/>
      <c r="K16" s="76"/>
      <c r="L16" s="101"/>
    </row>
    <row r="17" spans="1:14" ht="15.6">
      <c r="A17" s="30" t="str">
        <v>Kohls - Hudson</v>
      </c>
      <c r="B17" s="31" t="str">
        <v>NY</v>
      </c>
      <c r="C17" s="11"/>
      <c r="D17" s="18"/>
      <c r="E17" s="18" t="str">
        <f t="shared" si="0"/>
        <v/>
      </c>
      <c r="F17" s="19" t="str">
        <f t="shared" si="3"/>
        <v/>
      </c>
      <c r="G17" s="20"/>
      <c r="H17" s="20" t="str">
        <f t="shared" si="1"/>
        <v/>
      </c>
      <c r="I17" s="19" t="str">
        <f t="shared" si="2"/>
        <v/>
      </c>
      <c r="J17" s="130"/>
      <c r="K17" s="90"/>
      <c r="L17" s="73"/>
    </row>
    <row r="18" spans="1:14" ht="12.75" customHeight="1">
      <c r="A18" s="32" t="str">
        <v>Kohls - Ithaca</v>
      </c>
      <c r="B18" s="29" t="str">
        <v>NY</v>
      </c>
      <c r="C18" s="24"/>
      <c r="D18" s="13"/>
      <c r="E18" s="13" t="str">
        <f t="shared" si="0"/>
        <v/>
      </c>
      <c r="F18" s="14" t="str">
        <f>IFERROR(E18/D18, "")</f>
        <v/>
      </c>
      <c r="G18" s="15"/>
      <c r="H18" s="15" t="str">
        <f t="shared" si="1"/>
        <v/>
      </c>
      <c r="I18" s="16" t="str">
        <f t="shared" si="2"/>
        <v/>
      </c>
      <c r="J18" s="76"/>
      <c r="K18" s="76"/>
      <c r="L18" s="101"/>
    </row>
    <row r="19" spans="1:14" ht="15.6">
      <c r="A19" s="30" t="str">
        <v>Kohls - Kingston</v>
      </c>
      <c r="B19" s="31" t="str">
        <v>NY</v>
      </c>
      <c r="C19" s="11"/>
      <c r="D19" s="18"/>
      <c r="E19" s="18" t="str">
        <f t="shared" si="0"/>
        <v/>
      </c>
      <c r="F19" s="19" t="str">
        <f>IFERROR(E19/D19, "")</f>
        <v/>
      </c>
      <c r="G19" s="20"/>
      <c r="H19" s="20" t="str">
        <f t="shared" si="1"/>
        <v/>
      </c>
      <c r="I19" s="19" t="str">
        <f t="shared" si="2"/>
        <v/>
      </c>
      <c r="J19" s="130"/>
      <c r="K19" s="130"/>
      <c r="L19" s="130"/>
    </row>
    <row r="20" spans="1:14" ht="15.6">
      <c r="A20" s="28" t="str">
        <v>Kohls - Mechanicsburg</v>
      </c>
      <c r="B20" s="29" t="str">
        <v>PA</v>
      </c>
      <c r="C20" s="24"/>
      <c r="D20" s="13"/>
      <c r="E20" s="13" t="str">
        <f t="shared" si="0"/>
        <v/>
      </c>
      <c r="F20" s="14" t="str">
        <f>IFERROR(E20/D20, "")</f>
        <v/>
      </c>
      <c r="G20" s="15"/>
      <c r="H20" s="15" t="str">
        <f t="shared" si="1"/>
        <v/>
      </c>
      <c r="I20" s="16" t="str">
        <f t="shared" si="2"/>
        <v/>
      </c>
      <c r="J20" s="76"/>
      <c r="K20" s="76"/>
      <c r="L20" s="101"/>
    </row>
    <row r="21" spans="1:14" ht="15.6">
      <c r="A21" s="30" t="str">
        <v>Kohls - Middletown</v>
      </c>
      <c r="B21" s="31" t="str">
        <v>NJ</v>
      </c>
      <c r="C21" s="11"/>
      <c r="D21" s="18"/>
      <c r="E21" s="18" t="str">
        <f t="shared" si="0"/>
        <v/>
      </c>
      <c r="F21" s="19" t="str">
        <f>IFERROR(E21/D21, "")</f>
        <v/>
      </c>
      <c r="G21" s="20"/>
      <c r="H21" s="20" t="str">
        <f t="shared" si="1"/>
        <v/>
      </c>
      <c r="I21" s="19" t="str">
        <f t="shared" si="2"/>
        <v/>
      </c>
      <c r="J21" s="130"/>
      <c r="K21" s="90"/>
      <c r="L21" s="73"/>
    </row>
    <row r="22" spans="1:14" ht="34.5" customHeight="1">
      <c r="A22" s="28" t="str">
        <v>Kohls - North Amherst</v>
      </c>
      <c r="B22" s="29" t="str">
        <v>NY</v>
      </c>
      <c r="C22" s="24"/>
      <c r="D22" s="13"/>
      <c r="E22" s="13" t="str">
        <f t="shared" si="0"/>
        <v/>
      </c>
      <c r="F22" s="14" t="str">
        <f>IFERROR(E22/D22, "")</f>
        <v/>
      </c>
      <c r="G22" s="15"/>
      <c r="H22" s="15" t="str">
        <f t="shared" si="1"/>
        <v/>
      </c>
      <c r="I22" s="16" t="str">
        <f t="shared" si="2"/>
        <v/>
      </c>
      <c r="J22" s="76"/>
      <c r="K22" s="91"/>
      <c r="L22" s="101"/>
    </row>
    <row r="23" spans="1:14" ht="15.6">
      <c r="A23" s="30" t="str">
        <v>Kohls - Staten Island</v>
      </c>
      <c r="B23" s="31" t="str">
        <v>NY</v>
      </c>
      <c r="C23" s="11"/>
      <c r="D23" s="18"/>
      <c r="E23" s="18" t="str">
        <f t="shared" si="0"/>
        <v/>
      </c>
      <c r="F23" s="19" t="str">
        <f t="shared" ref="F23:F68" si="4">IFERROR(E23/D23, "")</f>
        <v/>
      </c>
      <c r="G23" s="20"/>
      <c r="H23" s="20" t="str">
        <f t="shared" si="1"/>
        <v/>
      </c>
      <c r="I23" s="19" t="str">
        <f t="shared" si="2"/>
        <v/>
      </c>
      <c r="J23" s="130"/>
      <c r="K23" s="90"/>
      <c r="L23" s="130"/>
      <c r="M23" s="89"/>
      <c r="N23" s="89"/>
    </row>
    <row r="24" spans="1:14" ht="15.6">
      <c r="A24" s="28" t="str">
        <v>Kohls - Warminster</v>
      </c>
      <c r="B24" s="29" t="str">
        <v>PA</v>
      </c>
      <c r="C24" s="24"/>
      <c r="D24" s="13"/>
      <c r="E24" s="13" t="str">
        <f t="shared" si="0"/>
        <v/>
      </c>
      <c r="F24" s="14" t="str">
        <f t="shared" si="4"/>
        <v/>
      </c>
      <c r="G24" s="15"/>
      <c r="H24" s="15" t="str">
        <f t="shared" si="1"/>
        <v/>
      </c>
      <c r="I24" s="16" t="str">
        <f t="shared" si="2"/>
        <v/>
      </c>
      <c r="J24" s="76"/>
      <c r="K24" s="76"/>
      <c r="L24" s="101"/>
    </row>
    <row r="25" spans="1:14" ht="15.6">
      <c r="A25" s="30" t="str">
        <v xml:space="preserve">Kohls - Waterbury </v>
      </c>
      <c r="B25" s="31" t="str">
        <v>CT</v>
      </c>
      <c r="C25" s="11"/>
      <c r="D25" s="18"/>
      <c r="E25" s="18" t="str">
        <f t="shared" si="0"/>
        <v/>
      </c>
      <c r="F25" s="19" t="str">
        <f t="shared" si="4"/>
        <v/>
      </c>
      <c r="G25" s="20"/>
      <c r="H25" s="20" t="str">
        <f t="shared" si="1"/>
        <v/>
      </c>
      <c r="I25" s="19" t="str">
        <f t="shared" si="2"/>
        <v/>
      </c>
      <c r="J25" s="130"/>
      <c r="K25" s="90"/>
      <c r="L25" s="73"/>
    </row>
    <row r="26" spans="1:14" ht="15.6">
      <c r="A26" s="28" t="str">
        <v>Mojave Water Agency - Headquarters</v>
      </c>
      <c r="B26" s="29" t="str">
        <v>CA</v>
      </c>
      <c r="C26" s="24"/>
      <c r="D26" s="13"/>
      <c r="E26" s="13" t="str">
        <f t="shared" si="0"/>
        <v/>
      </c>
      <c r="F26" s="14" t="str">
        <f t="shared" si="4"/>
        <v/>
      </c>
      <c r="G26" s="15"/>
      <c r="H26" s="15" t="str">
        <f t="shared" si="1"/>
        <v/>
      </c>
      <c r="I26" s="16" t="str">
        <f t="shared" si="2"/>
        <v/>
      </c>
      <c r="J26" s="76"/>
      <c r="K26" s="76"/>
      <c r="L26" s="101"/>
    </row>
    <row r="27" spans="1:14" ht="15.6">
      <c r="A27" s="30" t="str">
        <v>CSU - Bakersfield</v>
      </c>
      <c r="B27" s="31" t="str">
        <v>CA</v>
      </c>
      <c r="C27" s="11"/>
      <c r="D27" s="18"/>
      <c r="E27" s="18" t="str">
        <f t="shared" si="0"/>
        <v/>
      </c>
      <c r="F27" s="19" t="str">
        <f t="shared" si="4"/>
        <v/>
      </c>
      <c r="G27" s="20"/>
      <c r="H27" s="20" t="str">
        <f t="shared" si="1"/>
        <v/>
      </c>
      <c r="I27" s="19" t="str">
        <f t="shared" si="2"/>
        <v/>
      </c>
      <c r="J27" s="130"/>
      <c r="K27" s="74"/>
      <c r="L27" s="74"/>
    </row>
    <row r="28" spans="1:14" ht="15.6">
      <c r="A28" s="28" t="str">
        <v>Greenfield USD - Fairfield ES</v>
      </c>
      <c r="B28" s="29" t="str">
        <v>CA</v>
      </c>
      <c r="C28" s="24"/>
      <c r="D28" s="13"/>
      <c r="E28" s="13" t="str">
        <f t="shared" si="0"/>
        <v/>
      </c>
      <c r="F28" s="14" t="str">
        <f t="shared" si="4"/>
        <v/>
      </c>
      <c r="G28" s="15"/>
      <c r="H28" s="15" t="str">
        <f t="shared" si="1"/>
        <v/>
      </c>
      <c r="I28" s="16" t="str">
        <f t="shared" si="2"/>
        <v/>
      </c>
      <c r="J28" s="76"/>
      <c r="K28" s="76"/>
      <c r="L28" s="101"/>
    </row>
    <row r="29" spans="1:14" ht="15.6">
      <c r="A29" s="30" t="str">
        <v>Greenfield USD - Granite Point ES</v>
      </c>
      <c r="B29" s="31" t="str">
        <v>CA</v>
      </c>
      <c r="C29" s="11"/>
      <c r="D29" s="18"/>
      <c r="E29" s="18" t="str">
        <f t="shared" si="0"/>
        <v/>
      </c>
      <c r="F29" s="19" t="str">
        <f t="shared" si="4"/>
        <v/>
      </c>
      <c r="G29" s="20"/>
      <c r="H29" s="20" t="str">
        <f t="shared" si="1"/>
        <v/>
      </c>
      <c r="I29" s="19" t="str">
        <f t="shared" si="2"/>
        <v/>
      </c>
      <c r="J29" s="130"/>
      <c r="K29" s="90"/>
      <c r="L29" s="73"/>
    </row>
    <row r="30" spans="1:14" ht="15.6">
      <c r="A30" s="28" t="str">
        <v>Greenfield USD - Greenfield MS</v>
      </c>
      <c r="B30" s="29" t="str">
        <v>CA</v>
      </c>
      <c r="C30" s="24"/>
      <c r="D30" s="13"/>
      <c r="E30" s="13" t="str">
        <f t="shared" si="0"/>
        <v/>
      </c>
      <c r="F30" s="14" t="str">
        <f t="shared" si="4"/>
        <v/>
      </c>
      <c r="G30" s="15"/>
      <c r="H30" s="15" t="str">
        <f t="shared" si="1"/>
        <v/>
      </c>
      <c r="I30" s="16" t="str">
        <f t="shared" si="2"/>
        <v/>
      </c>
      <c r="J30" s="76"/>
      <c r="K30" s="76"/>
      <c r="L30" s="101"/>
    </row>
    <row r="31" spans="1:14" ht="15.6">
      <c r="A31" s="30" t="str">
        <v>Greenfield USD - Horizon ES</v>
      </c>
      <c r="B31" s="31" t="str">
        <v>CA</v>
      </c>
      <c r="C31" s="11"/>
      <c r="D31" s="18"/>
      <c r="E31" s="18" t="str">
        <f t="shared" si="0"/>
        <v/>
      </c>
      <c r="F31" s="19" t="str">
        <f t="shared" si="4"/>
        <v/>
      </c>
      <c r="G31" s="20"/>
      <c r="H31" s="20" t="str">
        <f t="shared" si="1"/>
        <v/>
      </c>
      <c r="I31" s="19" t="str">
        <f t="shared" si="2"/>
        <v/>
      </c>
      <c r="J31" s="130"/>
      <c r="K31" s="130"/>
      <c r="L31" s="130"/>
    </row>
    <row r="32" spans="1:14" ht="62.25" customHeight="1">
      <c r="A32" s="28" t="str">
        <v>Greenfield USD - McKee MS</v>
      </c>
      <c r="B32" s="29" t="str">
        <v>CA</v>
      </c>
      <c r="C32" s="24"/>
      <c r="D32" s="13"/>
      <c r="E32" s="13" t="str">
        <f t="shared" si="0"/>
        <v/>
      </c>
      <c r="F32" s="14" t="str">
        <f t="shared" si="4"/>
        <v/>
      </c>
      <c r="G32" s="15"/>
      <c r="H32" s="15" t="str">
        <f t="shared" si="1"/>
        <v/>
      </c>
      <c r="I32" s="16" t="str">
        <f t="shared" si="2"/>
        <v/>
      </c>
      <c r="J32" s="76"/>
      <c r="K32" s="91"/>
      <c r="L32" s="101"/>
    </row>
    <row r="33" spans="1:21" ht="15.6">
      <c r="A33" s="30" t="str">
        <v>Greenfield USD - Plantation ES</v>
      </c>
      <c r="B33" s="31" t="str">
        <v>CA</v>
      </c>
      <c r="C33" s="11"/>
      <c r="D33" s="18"/>
      <c r="E33" s="18" t="str">
        <f t="shared" si="0"/>
        <v/>
      </c>
      <c r="F33" s="19" t="str">
        <f t="shared" si="4"/>
        <v/>
      </c>
      <c r="G33" s="20"/>
      <c r="H33" s="20" t="str">
        <f t="shared" si="1"/>
        <v/>
      </c>
      <c r="I33" s="19" t="str">
        <f t="shared" si="2"/>
        <v/>
      </c>
      <c r="J33" s="130"/>
      <c r="K33" s="130"/>
      <c r="L33" s="130"/>
    </row>
    <row r="34" spans="1:21" ht="13.9" customHeight="1">
      <c r="A34" s="28" t="str">
        <v>Greenfield USD - Planz ES</v>
      </c>
      <c r="B34" s="29" t="str">
        <v>CA</v>
      </c>
      <c r="C34" s="24"/>
      <c r="D34" s="13"/>
      <c r="E34" s="13" t="str">
        <f t="shared" si="0"/>
        <v/>
      </c>
      <c r="F34" s="14" t="str">
        <f t="shared" si="4"/>
        <v/>
      </c>
      <c r="G34" s="15"/>
      <c r="H34" s="15" t="str">
        <f t="shared" si="1"/>
        <v/>
      </c>
      <c r="I34" s="16" t="str">
        <f t="shared" si="2"/>
        <v/>
      </c>
      <c r="J34" s="76"/>
      <c r="K34" s="76"/>
      <c r="L34" s="101"/>
    </row>
    <row r="35" spans="1:21" ht="15.6">
      <c r="A35" s="30" t="str">
        <v>Greenfield USD - Raffaello Palla ES</v>
      </c>
      <c r="B35" s="31" t="str">
        <v>CA</v>
      </c>
      <c r="C35" s="11"/>
      <c r="D35" s="18"/>
      <c r="E35" s="18" t="str">
        <f t="shared" si="0"/>
        <v/>
      </c>
      <c r="F35" s="19" t="str">
        <f t="shared" si="4"/>
        <v/>
      </c>
      <c r="G35" s="20"/>
      <c r="H35" s="20" t="str">
        <f t="shared" si="1"/>
        <v/>
      </c>
      <c r="I35" s="19" t="str">
        <f t="shared" si="2"/>
        <v/>
      </c>
      <c r="J35" s="130"/>
      <c r="K35" s="90"/>
      <c r="L35" s="73"/>
    </row>
    <row r="36" spans="1:21" ht="15.6">
      <c r="A36" s="28" t="str">
        <v>Greenfield USD - Valle Verde ES</v>
      </c>
      <c r="B36" s="29" t="str">
        <v>CA</v>
      </c>
      <c r="C36" s="24"/>
      <c r="D36" s="13"/>
      <c r="E36" s="13" t="str">
        <f t="shared" si="0"/>
        <v/>
      </c>
      <c r="F36" s="14" t="str">
        <f t="shared" si="4"/>
        <v/>
      </c>
      <c r="G36" s="15"/>
      <c r="H36" s="15" t="str">
        <f t="shared" si="1"/>
        <v/>
      </c>
      <c r="I36" s="16" t="str">
        <f t="shared" si="2"/>
        <v/>
      </c>
      <c r="J36" s="76"/>
      <c r="K36" s="76"/>
      <c r="L36" s="101"/>
    </row>
    <row r="37" spans="1:21" ht="43.15" customHeight="1">
      <c r="A37" s="30" t="str">
        <v>Greenfield USD - W.A. Kendrick ES</v>
      </c>
      <c r="B37" s="31" t="str">
        <v>CA</v>
      </c>
      <c r="C37" s="11"/>
      <c r="D37" s="18"/>
      <c r="E37" s="18" t="str">
        <f t="shared" si="0"/>
        <v/>
      </c>
      <c r="F37" s="19" t="str">
        <f t="shared" si="4"/>
        <v/>
      </c>
      <c r="G37" s="20"/>
      <c r="H37" s="20" t="str">
        <f t="shared" si="1"/>
        <v/>
      </c>
      <c r="I37" s="19" t="str">
        <f t="shared" si="2"/>
        <v/>
      </c>
      <c r="J37" s="130"/>
      <c r="K37" s="90"/>
      <c r="L37" s="73"/>
      <c r="M37" s="89"/>
    </row>
    <row r="38" spans="1:21" ht="31.5" customHeight="1">
      <c r="A38" s="28" t="str">
        <v>Muroc Joint USD - Boron HS</v>
      </c>
      <c r="B38" s="29" t="str">
        <v>CA</v>
      </c>
      <c r="C38" s="24"/>
      <c r="D38" s="13"/>
      <c r="E38" s="13" t="str">
        <f t="shared" si="0"/>
        <v/>
      </c>
      <c r="F38" s="14" t="str">
        <f t="shared" si="4"/>
        <v/>
      </c>
      <c r="G38" s="15"/>
      <c r="H38" s="15" t="str">
        <f t="shared" si="1"/>
        <v/>
      </c>
      <c r="I38" s="16" t="str">
        <f t="shared" si="2"/>
        <v/>
      </c>
      <c r="J38" s="76"/>
      <c r="K38" s="91"/>
      <c r="L38" s="101"/>
    </row>
    <row r="39" spans="1:21" ht="15.6">
      <c r="A39" s="30" t="str">
        <v>Muroc Joint USD - W. Boron ES</v>
      </c>
      <c r="B39" s="31" t="str">
        <v>CA</v>
      </c>
      <c r="C39" s="11"/>
      <c r="D39" s="18"/>
      <c r="E39" s="18" t="str">
        <f t="shared" si="0"/>
        <v/>
      </c>
      <c r="F39" s="19" t="str">
        <f t="shared" si="4"/>
        <v/>
      </c>
      <c r="G39" s="20"/>
      <c r="H39" s="20" t="str">
        <f t="shared" si="1"/>
        <v/>
      </c>
      <c r="I39" s="19" t="str">
        <f t="shared" si="2"/>
        <v/>
      </c>
      <c r="J39" s="130"/>
      <c r="K39" s="73"/>
      <c r="L39" s="73"/>
    </row>
    <row r="40" spans="1:21" ht="15.6">
      <c r="A40" s="28" t="str">
        <v>Colusa - WTP</v>
      </c>
      <c r="B40" s="29" t="str">
        <v>CA</v>
      </c>
      <c r="C40" s="24"/>
      <c r="D40" s="13"/>
      <c r="E40" s="13" t="str">
        <f t="shared" si="0"/>
        <v/>
      </c>
      <c r="F40" s="14" t="str">
        <f t="shared" si="4"/>
        <v/>
      </c>
      <c r="G40" s="15"/>
      <c r="H40" s="15" t="str">
        <f t="shared" si="1"/>
        <v/>
      </c>
      <c r="I40" s="16" t="str">
        <f t="shared" si="2"/>
        <v/>
      </c>
      <c r="J40" s="101"/>
      <c r="K40" s="91"/>
      <c r="L40" s="101"/>
      <c r="M40" s="89"/>
    </row>
    <row r="41" spans="1:21" ht="15.6">
      <c r="A41" s="30" t="str">
        <v>CDCR-North Kern State Prision</v>
      </c>
      <c r="B41" s="31" t="str">
        <v>CA</v>
      </c>
      <c r="C41" s="11"/>
      <c r="D41" s="18"/>
      <c r="E41" s="18" t="str">
        <f t="shared" si="0"/>
        <v/>
      </c>
      <c r="F41" s="19" t="str">
        <f t="shared" si="4"/>
        <v/>
      </c>
      <c r="G41" s="20"/>
      <c r="H41" s="20" t="str">
        <f t="shared" si="1"/>
        <v/>
      </c>
      <c r="I41" s="19" t="str">
        <f t="shared" si="2"/>
        <v/>
      </c>
      <c r="J41" s="130"/>
      <c r="K41" s="90"/>
      <c r="L41" s="75"/>
    </row>
    <row r="42" spans="1:21" ht="15.6">
      <c r="A42" s="28" t="str">
        <v>Muroc Joint USD - District Office</v>
      </c>
      <c r="B42" s="29" t="str">
        <v>CA</v>
      </c>
      <c r="C42" s="24"/>
      <c r="D42" s="13"/>
      <c r="E42" s="13" t="str">
        <f t="shared" si="0"/>
        <v/>
      </c>
      <c r="F42" s="14" t="str">
        <f t="shared" si="4"/>
        <v/>
      </c>
      <c r="G42" s="15"/>
      <c r="H42" s="15" t="str">
        <f t="shared" si="1"/>
        <v/>
      </c>
      <c r="I42" s="16" t="str">
        <f t="shared" si="2"/>
        <v/>
      </c>
      <c r="J42" s="76"/>
      <c r="K42" s="91"/>
      <c r="L42" s="101"/>
    </row>
    <row r="43" spans="1:21" ht="15.6">
      <c r="A43" s="30" t="str">
        <v>Whole Foods - Manhattan Beach</v>
      </c>
      <c r="B43" s="31" t="str">
        <v>CA</v>
      </c>
      <c r="C43" s="11"/>
      <c r="D43" s="18"/>
      <c r="E43" s="18" t="str">
        <f t="shared" si="0"/>
        <v/>
      </c>
      <c r="F43" s="19" t="str">
        <f t="shared" si="4"/>
        <v/>
      </c>
      <c r="G43" s="126"/>
      <c r="H43" s="20" t="str">
        <f t="shared" si="1"/>
        <v/>
      </c>
      <c r="I43" s="19" t="str">
        <f t="shared" si="2"/>
        <v/>
      </c>
      <c r="J43" s="130"/>
      <c r="K43" s="90"/>
      <c r="L43" s="130"/>
      <c r="M43" s="89"/>
      <c r="N43" s="89"/>
      <c r="O43" s="89"/>
      <c r="P43" s="89"/>
      <c r="Q43" s="89"/>
      <c r="R43" s="89"/>
      <c r="S43" s="89" t="s">
        <v>99</v>
      </c>
      <c r="T43" s="89" t="s">
        <v>97</v>
      </c>
      <c r="U43" s="89" t="s">
        <v>100</v>
      </c>
    </row>
    <row r="44" spans="1:21" ht="15.6">
      <c r="A44" s="28" t="str">
        <v>Pioneer USD - Frontier ES</v>
      </c>
      <c r="B44" s="29" t="str">
        <v>CA</v>
      </c>
      <c r="C44" s="24"/>
      <c r="D44" s="13"/>
      <c r="E44" s="13" t="str">
        <f t="shared" si="0"/>
        <v/>
      </c>
      <c r="F44" s="14" t="str">
        <f t="shared" si="4"/>
        <v/>
      </c>
      <c r="G44" s="15"/>
      <c r="H44" s="15" t="str">
        <f t="shared" si="1"/>
        <v/>
      </c>
      <c r="I44" s="16" t="str">
        <f t="shared" si="2"/>
        <v/>
      </c>
      <c r="J44" s="76"/>
      <c r="K44" s="91"/>
      <c r="L44" s="101"/>
      <c r="M44" s="89"/>
    </row>
    <row r="45" spans="1:21" ht="51.75" customHeight="1">
      <c r="A45" s="30" t="str">
        <v>Pioneer USD - Pioneer ES</v>
      </c>
      <c r="B45" s="31" t="str">
        <v>CA</v>
      </c>
      <c r="C45" s="11"/>
      <c r="D45" s="18"/>
      <c r="E45" s="18" t="str">
        <f t="shared" si="0"/>
        <v/>
      </c>
      <c r="F45" s="19" t="str">
        <f t="shared" si="4"/>
        <v/>
      </c>
      <c r="G45" s="20"/>
      <c r="H45" s="20" t="str">
        <f t="shared" si="1"/>
        <v/>
      </c>
      <c r="I45" s="19" t="str">
        <f t="shared" si="2"/>
        <v/>
      </c>
      <c r="J45" s="130"/>
      <c r="K45" s="90"/>
      <c r="L45" s="130"/>
      <c r="M45" s="89"/>
    </row>
    <row r="46" spans="1:21" ht="15.6">
      <c r="A46" s="28" t="str">
        <v>Pioneer USD - Pioneer MS</v>
      </c>
      <c r="B46" s="29" t="str">
        <v>CA</v>
      </c>
      <c r="C46" s="24"/>
      <c r="D46" s="13"/>
      <c r="E46" s="13" t="str">
        <f t="shared" si="0"/>
        <v/>
      </c>
      <c r="F46" s="14" t="str">
        <f t="shared" si="4"/>
        <v/>
      </c>
      <c r="G46" s="15"/>
      <c r="H46" s="15" t="str">
        <f t="shared" si="1"/>
        <v/>
      </c>
      <c r="I46" s="16" t="str">
        <f t="shared" si="2"/>
        <v/>
      </c>
      <c r="J46" s="76"/>
      <c r="K46" s="76"/>
      <c r="L46" s="101"/>
    </row>
    <row r="47" spans="1:21" ht="15.6">
      <c r="A47" s="30" t="str">
        <v>Kingsburg Joint UHSD - Kingsburg HS</v>
      </c>
      <c r="B47" s="31" t="str">
        <v>CA</v>
      </c>
      <c r="C47" s="11"/>
      <c r="D47" s="18"/>
      <c r="E47" s="18" t="str">
        <f t="shared" si="0"/>
        <v/>
      </c>
      <c r="F47" s="19" t="str">
        <f t="shared" si="4"/>
        <v/>
      </c>
      <c r="G47" s="20"/>
      <c r="H47" s="20" t="str">
        <f t="shared" si="1"/>
        <v/>
      </c>
      <c r="I47" s="19" t="str">
        <f t="shared" si="2"/>
        <v/>
      </c>
      <c r="J47" s="130"/>
      <c r="K47" s="90"/>
      <c r="L47" s="130"/>
      <c r="M47" s="89"/>
      <c r="N47" s="89"/>
    </row>
    <row r="48" spans="1:21" ht="102" customHeight="1">
      <c r="A48" s="28" t="str">
        <v>CADRB</v>
      </c>
      <c r="B48" s="29" t="str">
        <v>CA</v>
      </c>
      <c r="C48" s="24"/>
      <c r="D48" s="13"/>
      <c r="E48" s="13" t="str">
        <f t="shared" si="0"/>
        <v/>
      </c>
      <c r="F48" s="14" t="str">
        <f t="shared" si="4"/>
        <v/>
      </c>
      <c r="G48" s="127"/>
      <c r="H48" s="15" t="str">
        <f t="shared" si="1"/>
        <v/>
      </c>
      <c r="I48" s="16" t="str">
        <f t="shared" si="2"/>
        <v/>
      </c>
      <c r="J48" s="76"/>
      <c r="K48" s="91"/>
      <c r="L48" s="101"/>
      <c r="T48" s="129"/>
    </row>
    <row r="49" spans="1:15" ht="15.6">
      <c r="A49" s="30" t="str">
        <v>CDCR-CA State Prison LA County</v>
      </c>
      <c r="B49" s="31" t="str">
        <v>CA</v>
      </c>
      <c r="C49" s="11"/>
      <c r="D49" s="18"/>
      <c r="E49" s="18" t="str">
        <f t="shared" si="0"/>
        <v/>
      </c>
      <c r="F49" s="19" t="str">
        <f t="shared" si="4"/>
        <v/>
      </c>
      <c r="G49" s="20"/>
      <c r="H49" s="20" t="str">
        <f t="shared" si="1"/>
        <v/>
      </c>
      <c r="I49" s="19" t="str">
        <f t="shared" si="2"/>
        <v/>
      </c>
      <c r="J49" s="130"/>
      <c r="K49" s="90"/>
      <c r="L49" s="73"/>
      <c r="M49" s="89"/>
    </row>
    <row r="50" spans="1:15" ht="15.6">
      <c r="A50" s="28" t="str">
        <v>Central USD Akers ES</v>
      </c>
      <c r="B50" s="29" t="str">
        <v>CA</v>
      </c>
      <c r="C50" s="24"/>
      <c r="D50" s="13"/>
      <c r="E50" s="13" t="str">
        <f t="shared" si="0"/>
        <v/>
      </c>
      <c r="F50" s="14" t="str">
        <f t="shared" si="4"/>
        <v/>
      </c>
      <c r="G50" s="15"/>
      <c r="H50" s="15" t="str">
        <f t="shared" si="1"/>
        <v/>
      </c>
      <c r="I50" s="16" t="str">
        <f t="shared" si="2"/>
        <v/>
      </c>
      <c r="J50" s="76"/>
      <c r="K50" s="91"/>
      <c r="L50" s="101"/>
      <c r="M50" s="89"/>
      <c r="N50" s="89"/>
      <c r="O50" s="89"/>
    </row>
    <row r="51" spans="1:15" ht="15.6">
      <c r="A51" s="30" t="str">
        <v>CUSD - District Office</v>
      </c>
      <c r="B51" s="31" t="str">
        <v>CA</v>
      </c>
      <c r="C51" s="11"/>
      <c r="D51" s="18"/>
      <c r="E51" s="18" t="str">
        <f t="shared" si="0"/>
        <v/>
      </c>
      <c r="F51" s="19" t="str">
        <f t="shared" si="4"/>
        <v/>
      </c>
      <c r="G51" s="20"/>
      <c r="H51" s="20" t="str">
        <f t="shared" si="1"/>
        <v/>
      </c>
      <c r="I51" s="19" t="str">
        <f t="shared" si="2"/>
        <v/>
      </c>
      <c r="J51" s="130"/>
      <c r="K51" s="90"/>
      <c r="L51" s="130"/>
      <c r="M51" s="89"/>
    </row>
    <row r="52" spans="1:15" ht="15.6">
      <c r="A52" s="28" t="str">
        <v>Parlier - WTP</v>
      </c>
      <c r="B52" s="29" t="str">
        <v>CA</v>
      </c>
      <c r="C52" s="24"/>
      <c r="D52" s="13"/>
      <c r="E52" s="13" t="str">
        <f t="shared" si="0"/>
        <v/>
      </c>
      <c r="F52" s="14" t="str">
        <f t="shared" si="4"/>
        <v/>
      </c>
      <c r="G52" s="15"/>
      <c r="H52" s="15" t="str">
        <f t="shared" si="1"/>
        <v/>
      </c>
      <c r="I52" s="16" t="str">
        <f t="shared" si="2"/>
        <v/>
      </c>
      <c r="J52" s="76"/>
      <c r="K52" s="76"/>
      <c r="L52" s="101"/>
    </row>
    <row r="53" spans="1:15" ht="15.6">
      <c r="A53" s="30" t="str">
        <v>Snowline SD - Quail Valley MS</v>
      </c>
      <c r="B53" s="31" t="str">
        <v>CA</v>
      </c>
      <c r="C53" s="11"/>
      <c r="D53" s="18"/>
      <c r="E53" s="18" t="str">
        <f t="shared" si="0"/>
        <v/>
      </c>
      <c r="F53" s="19" t="str">
        <f t="shared" si="4"/>
        <v/>
      </c>
      <c r="G53" s="20"/>
      <c r="H53" s="20" t="str">
        <f t="shared" si="1"/>
        <v/>
      </c>
      <c r="I53" s="19" t="str">
        <f t="shared" si="2"/>
        <v/>
      </c>
      <c r="J53" s="130"/>
      <c r="K53" s="98"/>
      <c r="L53" s="77"/>
    </row>
    <row r="54" spans="1:15" ht="15.6">
      <c r="A54" s="28" t="str">
        <v>Snowline SD - Serrano HS - Middle Lot</v>
      </c>
      <c r="B54" s="29" t="str">
        <v>CA</v>
      </c>
      <c r="C54" s="24"/>
      <c r="D54" s="13"/>
      <c r="E54" s="13" t="str">
        <f t="shared" si="0"/>
        <v/>
      </c>
      <c r="F54" s="14" t="str">
        <f t="shared" si="4"/>
        <v/>
      </c>
      <c r="G54" s="15"/>
      <c r="H54" s="15" t="str">
        <f t="shared" si="1"/>
        <v/>
      </c>
      <c r="I54" s="16" t="str">
        <f t="shared" si="2"/>
        <v/>
      </c>
      <c r="J54" s="76"/>
      <c r="K54" s="91"/>
      <c r="L54" s="101"/>
    </row>
    <row r="55" spans="1:15" ht="15.6">
      <c r="A55" s="30" t="str">
        <v>Snowline SD - Pinon Hills ES</v>
      </c>
      <c r="B55" s="31" t="str">
        <v>CA</v>
      </c>
      <c r="C55" s="11"/>
      <c r="D55" s="18"/>
      <c r="E55" s="18" t="str">
        <f t="shared" si="0"/>
        <v/>
      </c>
      <c r="F55" s="19" t="str">
        <f t="shared" si="4"/>
        <v/>
      </c>
      <c r="G55" s="20"/>
      <c r="H55" s="20" t="str">
        <f t="shared" si="1"/>
        <v/>
      </c>
      <c r="I55" s="19" t="str">
        <f t="shared" si="2"/>
        <v/>
      </c>
      <c r="J55" s="130"/>
      <c r="K55" s="90"/>
      <c r="L55" s="130"/>
    </row>
    <row r="56" spans="1:15" ht="15.6">
      <c r="A56" s="28" t="str">
        <v>Ramona - Santa Maria WTP</v>
      </c>
      <c r="B56" s="29" t="str">
        <v>CA</v>
      </c>
      <c r="C56" s="24"/>
      <c r="D56" s="13"/>
      <c r="E56" s="13" t="str">
        <f t="shared" si="0"/>
        <v/>
      </c>
      <c r="F56" s="14" t="str">
        <f t="shared" si="4"/>
        <v/>
      </c>
      <c r="G56" s="15"/>
      <c r="H56" s="15" t="str">
        <f t="shared" si="1"/>
        <v/>
      </c>
      <c r="I56" s="16" t="str">
        <f t="shared" si="2"/>
        <v/>
      </c>
      <c r="J56" s="101"/>
      <c r="K56" s="91"/>
      <c r="L56" s="101"/>
    </row>
    <row r="57" spans="1:15" ht="15.6">
      <c r="A57" s="30" t="str">
        <v>Kohls - Redding</v>
      </c>
      <c r="B57" s="31" t="str">
        <v>CA</v>
      </c>
      <c r="C57" s="11"/>
      <c r="D57" s="18"/>
      <c r="E57" s="18" t="str">
        <f t="shared" si="0"/>
        <v/>
      </c>
      <c r="F57" s="19" t="str">
        <f t="shared" si="4"/>
        <v/>
      </c>
      <c r="G57" s="20"/>
      <c r="H57" s="20" t="str">
        <f t="shared" si="1"/>
        <v/>
      </c>
      <c r="I57" s="19" t="str">
        <f t="shared" si="2"/>
        <v/>
      </c>
      <c r="J57" s="130"/>
      <c r="K57" s="130"/>
      <c r="L57" s="130"/>
    </row>
    <row r="58" spans="1:15" ht="15.6">
      <c r="A58" s="28" t="str">
        <v>Kohls - Salinas</v>
      </c>
      <c r="B58" s="29" t="str">
        <v>CA</v>
      </c>
      <c r="C58" s="24"/>
      <c r="D58" s="13"/>
      <c r="E58" s="13" t="str">
        <f t="shared" si="0"/>
        <v/>
      </c>
      <c r="F58" s="14" t="str">
        <f t="shared" si="4"/>
        <v/>
      </c>
      <c r="G58" s="15"/>
      <c r="H58" s="15" t="str">
        <f t="shared" si="1"/>
        <v/>
      </c>
      <c r="I58" s="16" t="str">
        <f t="shared" si="2"/>
        <v/>
      </c>
      <c r="J58" s="76"/>
      <c r="K58" s="91"/>
      <c r="L58" s="101"/>
      <c r="M58" s="89"/>
      <c r="N58" s="89"/>
      <c r="O58" s="89"/>
    </row>
    <row r="59" spans="1:15" ht="15.6" hidden="1">
      <c r="A59" s="30" t="str">
        <v>Kohls - Sonora</v>
      </c>
      <c r="B59" s="31" t="str">
        <v>CA</v>
      </c>
      <c r="C59" s="11"/>
      <c r="D59" s="18"/>
      <c r="E59" s="18" t="str">
        <f t="shared" si="0"/>
        <v/>
      </c>
      <c r="F59" s="19" t="str">
        <f t="shared" si="4"/>
        <v/>
      </c>
      <c r="G59" s="20"/>
      <c r="H59" s="20" t="str">
        <f t="shared" si="1"/>
        <v/>
      </c>
      <c r="I59" s="19" t="str">
        <f t="shared" si="2"/>
        <v/>
      </c>
      <c r="J59" s="130"/>
      <c r="K59" s="73"/>
      <c r="L59" s="73"/>
    </row>
    <row r="60" spans="1:15" ht="15.6">
      <c r="A60" s="28" t="str">
        <v>CUSD - Stratford ES</v>
      </c>
      <c r="B60" s="29" t="str">
        <v>CA</v>
      </c>
      <c r="C60" s="24"/>
      <c r="D60" s="13"/>
      <c r="E60" s="13" t="str">
        <f t="shared" si="0"/>
        <v/>
      </c>
      <c r="F60" s="14" t="str">
        <f t="shared" si="4"/>
        <v/>
      </c>
      <c r="G60" s="15"/>
      <c r="H60" s="15" t="str">
        <f t="shared" si="1"/>
        <v/>
      </c>
      <c r="I60" s="16" t="str">
        <f t="shared" si="2"/>
        <v/>
      </c>
      <c r="J60" s="76"/>
      <c r="K60" s="91"/>
      <c r="L60" s="101"/>
      <c r="M60" s="89"/>
      <c r="N60" s="89"/>
    </row>
    <row r="61" spans="1:15" ht="15.6">
      <c r="A61" s="30" t="str">
        <v>Taft - City Hall</v>
      </c>
      <c r="B61" s="31" t="str">
        <v>CA</v>
      </c>
      <c r="C61" s="11"/>
      <c r="D61" s="18"/>
      <c r="E61" s="18" t="str">
        <f t="shared" si="0"/>
        <v/>
      </c>
      <c r="F61" s="19" t="str">
        <f t="shared" si="4"/>
        <v/>
      </c>
      <c r="G61" s="20"/>
      <c r="H61" s="20" t="str">
        <f t="shared" si="1"/>
        <v/>
      </c>
      <c r="I61" s="19" t="str">
        <f t="shared" si="2"/>
        <v/>
      </c>
      <c r="J61" s="130"/>
      <c r="K61" s="90"/>
      <c r="L61" s="73"/>
    </row>
    <row r="62" spans="1:15" ht="15.6">
      <c r="A62" s="28" t="str">
        <v>Taft - Federal Prison</v>
      </c>
      <c r="B62" s="29" t="str">
        <v>CA</v>
      </c>
      <c r="C62" s="24"/>
      <c r="D62" s="13"/>
      <c r="E62" s="13" t="str">
        <f t="shared" si="0"/>
        <v/>
      </c>
      <c r="F62" s="14" t="str">
        <f t="shared" si="4"/>
        <v/>
      </c>
      <c r="G62" s="15"/>
      <c r="H62" s="15" t="str">
        <f t="shared" si="1"/>
        <v/>
      </c>
      <c r="I62" s="16" t="str">
        <f t="shared" si="2"/>
        <v/>
      </c>
      <c r="J62" s="76"/>
      <c r="K62" s="91"/>
      <c r="L62" s="101"/>
    </row>
    <row r="63" spans="1:15" ht="15.6">
      <c r="A63" s="30" t="str">
        <v>Taft - Police Department</v>
      </c>
      <c r="B63" s="31" t="str">
        <v>CA</v>
      </c>
      <c r="C63" s="11"/>
      <c r="D63" s="18"/>
      <c r="E63" s="18" t="str">
        <f t="shared" si="0"/>
        <v/>
      </c>
      <c r="F63" s="19" t="str">
        <f t="shared" si="4"/>
        <v/>
      </c>
      <c r="G63" s="20"/>
      <c r="H63" s="20" t="str">
        <f t="shared" si="1"/>
        <v/>
      </c>
      <c r="I63" s="19" t="str">
        <f t="shared" si="2"/>
        <v/>
      </c>
      <c r="J63" s="130"/>
      <c r="K63" s="90"/>
      <c r="L63" s="73"/>
      <c r="M63" s="89"/>
    </row>
    <row r="64" spans="1:15" ht="15.6">
      <c r="A64" s="28" t="str">
        <v>Taft - WTP</v>
      </c>
      <c r="B64" s="29" t="str">
        <v>CA</v>
      </c>
      <c r="C64" s="24"/>
      <c r="D64" s="13"/>
      <c r="E64" s="13" t="str">
        <f t="shared" si="0"/>
        <v/>
      </c>
      <c r="F64" s="14" t="str">
        <f t="shared" si="4"/>
        <v/>
      </c>
      <c r="G64" s="15"/>
      <c r="H64" s="15" t="str">
        <f t="shared" si="1"/>
        <v/>
      </c>
      <c r="I64" s="16" t="str">
        <f t="shared" si="2"/>
        <v/>
      </c>
      <c r="J64" s="76"/>
      <c r="K64" s="91"/>
      <c r="L64" s="101"/>
    </row>
    <row r="65" spans="1:16" ht="117" customHeight="1">
      <c r="A65" s="30" t="str">
        <v>CDCR - CA Correctional Institution</v>
      </c>
      <c r="B65" s="31" t="str">
        <v>CA</v>
      </c>
      <c r="C65" s="11"/>
      <c r="D65" s="18"/>
      <c r="E65" s="18" t="str">
        <f t="shared" si="0"/>
        <v/>
      </c>
      <c r="F65" s="19" t="str">
        <f t="shared" si="4"/>
        <v/>
      </c>
      <c r="G65" s="20"/>
      <c r="H65" s="20" t="str">
        <f t="shared" si="1"/>
        <v/>
      </c>
      <c r="I65" s="19" t="str">
        <f t="shared" si="2"/>
        <v/>
      </c>
      <c r="J65" s="130"/>
      <c r="K65" s="90"/>
      <c r="L65" s="75"/>
      <c r="M65" s="89"/>
      <c r="N65" s="89"/>
    </row>
    <row r="66" spans="1:16" ht="15.6">
      <c r="A66" s="28" t="str">
        <v>CDCR - CA Correctional Institution II</v>
      </c>
      <c r="B66" s="29" t="str">
        <v>CA</v>
      </c>
      <c r="C66" s="24"/>
      <c r="D66" s="13"/>
      <c r="E66" s="13" t="str">
        <f t="shared" si="0"/>
        <v/>
      </c>
      <c r="F66" s="14" t="str">
        <f t="shared" si="4"/>
        <v/>
      </c>
      <c r="G66" s="15"/>
      <c r="H66" s="15" t="str">
        <f t="shared" si="1"/>
        <v/>
      </c>
      <c r="I66" s="16" t="str">
        <f t="shared" si="2"/>
        <v/>
      </c>
      <c r="J66" s="76"/>
      <c r="K66" s="91"/>
      <c r="L66" s="101"/>
      <c r="M66" s="89"/>
      <c r="N66" s="89"/>
    </row>
    <row r="67" spans="1:16" ht="15.6">
      <c r="A67" s="30" t="str">
        <v>Snowline SD - Vista Verde ES</v>
      </c>
      <c r="B67" s="31" t="str">
        <v>CA</v>
      </c>
      <c r="C67" s="11"/>
      <c r="D67" s="18"/>
      <c r="E67" s="18" t="str">
        <f t="shared" si="0"/>
        <v/>
      </c>
      <c r="F67" s="19" t="str">
        <f t="shared" si="4"/>
        <v/>
      </c>
      <c r="G67" s="20"/>
      <c r="H67" s="20" t="str">
        <f t="shared" si="1"/>
        <v/>
      </c>
      <c r="I67" s="19" t="str">
        <f>IFERROR(H67/G67, "")</f>
        <v/>
      </c>
      <c r="J67" s="130"/>
      <c r="K67" s="90"/>
      <c r="L67" s="75"/>
    </row>
    <row r="68" spans="1:16" ht="15.6">
      <c r="A68" s="28" t="str">
        <v>North Stonington</v>
      </c>
      <c r="B68" s="29" t="str">
        <v>CT</v>
      </c>
      <c r="C68" s="24"/>
      <c r="D68" s="13"/>
      <c r="E68" s="13" t="str">
        <f t="shared" si="0"/>
        <v/>
      </c>
      <c r="F68" s="14" t="str">
        <f t="shared" si="4"/>
        <v/>
      </c>
      <c r="G68" s="15"/>
      <c r="H68" s="15" t="str">
        <f t="shared" si="1"/>
        <v/>
      </c>
      <c r="I68" s="16" t="str">
        <f>IFERROR(H68/G68, "")</f>
        <v/>
      </c>
      <c r="J68" s="76"/>
      <c r="K68" s="91"/>
      <c r="L68" s="101"/>
    </row>
    <row r="69" spans="1:16" ht="15.6">
      <c r="A69" s="30" t="str">
        <v>CT: Torrington - 2-298 Rossi Road</v>
      </c>
      <c r="B69" s="31" t="str">
        <v>CT</v>
      </c>
      <c r="C69" s="65"/>
      <c r="D69" s="18"/>
      <c r="E69" s="18" t="str">
        <f t="shared" si="0"/>
        <v/>
      </c>
      <c r="F69" s="19" t="str">
        <f>IFERROR(E69/D69, "")</f>
        <v/>
      </c>
      <c r="G69" s="113"/>
      <c r="H69" s="20" t="str">
        <f t="shared" si="1"/>
        <v/>
      </c>
      <c r="I69" s="19" t="str">
        <f>IFERROR(H69/G69, "")</f>
        <v/>
      </c>
      <c r="J69" s="130"/>
      <c r="K69" s="75"/>
      <c r="L69" s="75"/>
    </row>
    <row r="70" spans="1:16" ht="15.6">
      <c r="A70" s="28"/>
      <c r="B70" s="29"/>
      <c r="C70" s="63"/>
      <c r="D70" s="13"/>
      <c r="E70" s="13" t="str">
        <f t="shared" ref="E70" si="5">IF(AND(ISNUMBER(C70),ISNUMBER(D70)), C70-D70, "")</f>
        <v/>
      </c>
      <c r="F70" s="14" t="str">
        <f>IFERROR(E70/D70, "")</f>
        <v/>
      </c>
      <c r="G70" s="125"/>
      <c r="H70" s="15" t="str">
        <f t="shared" ref="H70" si="6">IF(AND(ISNUMBER(C70),ISNUMBER(G70)), C70-G70, "")</f>
        <v/>
      </c>
      <c r="I70" s="16" t="str">
        <f>IFERROR(H70/G70, "")</f>
        <v/>
      </c>
      <c r="J70" s="101"/>
      <c r="K70" s="128"/>
      <c r="L70" s="101"/>
      <c r="M70" s="89"/>
      <c r="N70" s="89"/>
      <c r="O70" s="89"/>
      <c r="P70" s="89"/>
    </row>
    <row r="71" spans="1:16" ht="14.45">
      <c r="A71" s="21"/>
      <c r="B71" s="33"/>
      <c r="C71" s="21"/>
      <c r="D71" s="21"/>
      <c r="E71" s="21"/>
      <c r="F71" s="22"/>
      <c r="G71" s="21"/>
      <c r="H71" s="21"/>
      <c r="I71" s="22"/>
      <c r="J71" s="21"/>
      <c r="K71" s="21"/>
      <c r="L71" s="21"/>
    </row>
    <row r="72" spans="1:16" ht="14.45">
      <c r="A72" s="21"/>
      <c r="B72" s="33"/>
      <c r="C72" s="21"/>
      <c r="D72" s="21"/>
      <c r="E72" s="21"/>
      <c r="F72" s="22"/>
      <c r="G72" s="21"/>
      <c r="H72" s="21"/>
      <c r="I72" s="22"/>
      <c r="J72" s="21"/>
      <c r="K72" s="21"/>
      <c r="L72" s="21"/>
    </row>
    <row r="73" spans="1:16" ht="14.45">
      <c r="A73" s="21"/>
      <c r="B73" s="33"/>
      <c r="C73" s="21"/>
      <c r="D73" s="21"/>
      <c r="E73" s="21"/>
      <c r="F73" s="22"/>
      <c r="G73" s="21"/>
      <c r="H73" s="21"/>
      <c r="I73" s="22"/>
      <c r="J73" s="21"/>
      <c r="K73" s="21"/>
      <c r="L73" s="21"/>
    </row>
    <row r="74" spans="1:16" ht="14.45">
      <c r="A74" s="21"/>
      <c r="B74" s="33"/>
      <c r="C74" s="21"/>
      <c r="D74" s="21"/>
      <c r="E74" s="21"/>
      <c r="F74" s="22"/>
      <c r="G74" s="21"/>
      <c r="H74" s="21"/>
      <c r="I74" s="22"/>
      <c r="J74" s="21"/>
      <c r="K74" s="21"/>
      <c r="L74" s="21"/>
    </row>
    <row r="75" spans="1:16" ht="14.45">
      <c r="A75" s="21"/>
      <c r="B75" s="33"/>
      <c r="C75" s="21"/>
      <c r="D75" s="21"/>
      <c r="E75" s="21"/>
      <c r="F75" s="22"/>
      <c r="G75" s="21"/>
      <c r="H75" s="21"/>
      <c r="I75" s="22"/>
      <c r="J75" s="21"/>
      <c r="K75" s="21"/>
      <c r="L75" s="21"/>
    </row>
    <row r="76" spans="1:16" ht="14.45">
      <c r="A76" s="21"/>
      <c r="B76" s="33"/>
      <c r="C76" s="21"/>
      <c r="D76" s="21"/>
      <c r="E76" s="21"/>
      <c r="F76" s="22"/>
      <c r="G76" s="21"/>
      <c r="H76" s="21"/>
      <c r="I76" s="22"/>
      <c r="J76" s="21"/>
      <c r="K76" s="21"/>
      <c r="L76" s="21"/>
    </row>
    <row r="77" spans="1:16" ht="14.45">
      <c r="A77" s="21"/>
      <c r="B77" s="33"/>
      <c r="C77" s="21"/>
      <c r="D77" s="21"/>
      <c r="E77" s="21"/>
      <c r="F77" s="22"/>
      <c r="G77" s="21"/>
      <c r="H77" s="21"/>
      <c r="I77" s="22"/>
      <c r="J77" s="21"/>
      <c r="K77" s="21"/>
      <c r="L77" s="21"/>
    </row>
    <row r="78" spans="1:16" ht="14.45">
      <c r="A78" s="21"/>
      <c r="B78" s="33"/>
      <c r="C78" s="21"/>
      <c r="D78" s="21"/>
      <c r="E78" s="21"/>
      <c r="F78" s="22"/>
      <c r="G78" s="21"/>
      <c r="H78" s="21"/>
      <c r="I78" s="22"/>
      <c r="J78" s="21"/>
      <c r="K78" s="21"/>
      <c r="L78" s="21"/>
    </row>
    <row r="79" spans="1:16" ht="14.45">
      <c r="A79" s="21"/>
      <c r="B79" s="33"/>
      <c r="C79" s="21"/>
      <c r="D79" s="21"/>
      <c r="E79" s="21"/>
      <c r="F79" s="22"/>
      <c r="G79" s="21"/>
      <c r="H79" s="21"/>
      <c r="I79" s="22"/>
      <c r="J79" s="21"/>
      <c r="K79" s="21"/>
      <c r="L79" s="21"/>
    </row>
    <row r="80" spans="1:16" ht="14.45">
      <c r="A80" s="21"/>
      <c r="B80" s="33"/>
      <c r="C80" s="21"/>
      <c r="D80" s="21"/>
      <c r="E80" s="21"/>
      <c r="F80" s="22"/>
      <c r="G80" s="21"/>
      <c r="H80" s="21"/>
      <c r="I80" s="22"/>
      <c r="J80" s="21"/>
      <c r="K80" s="21"/>
      <c r="L80" s="21"/>
    </row>
    <row r="81" spans="1:12" ht="14.45">
      <c r="A81" s="21"/>
      <c r="B81" s="33"/>
      <c r="C81" s="21"/>
      <c r="D81" s="21"/>
      <c r="E81" s="21"/>
      <c r="F81" s="22"/>
      <c r="G81" s="21"/>
      <c r="H81" s="21"/>
      <c r="I81" s="22"/>
      <c r="J81" s="21"/>
      <c r="K81" s="21"/>
      <c r="L81" s="21"/>
    </row>
    <row r="82" spans="1:12" ht="14.45">
      <c r="A82" s="21"/>
      <c r="B82" s="33"/>
      <c r="C82" s="21"/>
      <c r="D82" s="21"/>
      <c r="E82" s="21"/>
      <c r="F82" s="22"/>
      <c r="G82" s="21"/>
      <c r="H82" s="21"/>
      <c r="I82" s="22"/>
      <c r="J82" s="21"/>
      <c r="K82" s="21"/>
      <c r="L82" s="21"/>
    </row>
    <row r="83" spans="1:12" ht="14.45">
      <c r="A83" s="21"/>
      <c r="B83" s="33"/>
      <c r="C83" s="21"/>
      <c r="D83" s="21"/>
      <c r="E83" s="21"/>
      <c r="F83" s="22"/>
      <c r="G83" s="21"/>
      <c r="H83" s="21"/>
      <c r="I83" s="22"/>
      <c r="J83" s="21"/>
      <c r="K83" s="21"/>
      <c r="L83" s="21"/>
    </row>
    <row r="84" spans="1:12" ht="14.45">
      <c r="A84" s="21"/>
      <c r="B84" s="33"/>
      <c r="C84" s="21"/>
      <c r="D84" s="21"/>
      <c r="E84" s="21"/>
      <c r="F84" s="22"/>
      <c r="G84" s="21"/>
      <c r="H84" s="21"/>
      <c r="I84" s="22"/>
      <c r="J84" s="21"/>
      <c r="K84" s="21"/>
      <c r="L84" s="21"/>
    </row>
    <row r="85" spans="1:12" ht="14.45">
      <c r="A85" s="21"/>
      <c r="B85" s="33"/>
      <c r="C85" s="21"/>
      <c r="D85" s="21"/>
      <c r="E85" s="21"/>
      <c r="F85" s="22"/>
      <c r="G85" s="21"/>
      <c r="H85" s="21"/>
      <c r="I85" s="22"/>
      <c r="J85" s="21"/>
      <c r="K85" s="21"/>
      <c r="L85" s="21"/>
    </row>
    <row r="86" spans="1:12" ht="14.45">
      <c r="A86" s="21"/>
      <c r="B86" s="33"/>
      <c r="C86" s="21"/>
      <c r="D86" s="21"/>
      <c r="E86" s="21"/>
      <c r="F86" s="22"/>
      <c r="G86" s="21"/>
      <c r="H86" s="21"/>
      <c r="I86" s="22"/>
      <c r="J86" s="21"/>
      <c r="K86" s="21"/>
      <c r="L86" s="21"/>
    </row>
    <row r="87" spans="1:12" ht="14.45">
      <c r="A87" s="21"/>
      <c r="B87" s="33"/>
      <c r="C87" s="21"/>
      <c r="D87" s="21"/>
      <c r="E87" s="21"/>
      <c r="F87" s="22"/>
      <c r="G87" s="21"/>
      <c r="H87" s="21"/>
      <c r="I87" s="22"/>
      <c r="J87" s="21"/>
      <c r="K87" s="21"/>
      <c r="L87" s="21"/>
    </row>
    <row r="88" spans="1:12" ht="14.45">
      <c r="A88" s="21"/>
      <c r="B88" s="33"/>
      <c r="C88" s="21"/>
      <c r="D88" s="21"/>
      <c r="E88" s="21"/>
      <c r="F88" s="22"/>
      <c r="G88" s="21"/>
      <c r="H88" s="21"/>
      <c r="I88" s="22"/>
      <c r="J88" s="21"/>
      <c r="K88" s="21"/>
      <c r="L88" s="21"/>
    </row>
    <row r="89" spans="1:12" ht="14.45">
      <c r="A89" s="21"/>
      <c r="B89" s="33"/>
      <c r="C89" s="21"/>
      <c r="D89" s="21"/>
      <c r="E89" s="21"/>
      <c r="F89" s="22"/>
      <c r="G89" s="21"/>
      <c r="H89" s="21"/>
      <c r="I89" s="22"/>
      <c r="J89" s="21"/>
      <c r="K89" s="21"/>
      <c r="L89" s="21"/>
    </row>
    <row r="90" spans="1:12" ht="14.45">
      <c r="A90" s="21"/>
      <c r="B90" s="33"/>
      <c r="C90" s="21"/>
      <c r="D90" s="21"/>
      <c r="E90" s="21"/>
      <c r="F90" s="22"/>
      <c r="G90" s="21"/>
      <c r="H90" s="21"/>
      <c r="I90" s="22"/>
      <c r="J90" s="21"/>
      <c r="K90" s="21"/>
      <c r="L90" s="21"/>
    </row>
    <row r="91" spans="1:12" ht="14.45">
      <c r="A91" s="21"/>
      <c r="B91" s="33"/>
      <c r="C91" s="21"/>
      <c r="D91" s="21"/>
      <c r="E91" s="21"/>
      <c r="F91" s="22"/>
      <c r="G91" s="21"/>
      <c r="H91" s="21"/>
      <c r="I91" s="22"/>
      <c r="J91" s="21"/>
      <c r="K91" s="21"/>
      <c r="L91" s="21"/>
    </row>
    <row r="92" spans="1:12" ht="14.45">
      <c r="A92" s="21"/>
      <c r="B92" s="33"/>
      <c r="C92" s="21"/>
      <c r="D92" s="21"/>
      <c r="E92" s="21"/>
      <c r="F92" s="22"/>
      <c r="G92" s="21"/>
      <c r="H92" s="21"/>
      <c r="I92" s="22"/>
      <c r="J92" s="21"/>
      <c r="K92" s="21"/>
      <c r="L92" s="21"/>
    </row>
    <row r="93" spans="1:12" ht="14.45">
      <c r="A93" s="21"/>
      <c r="B93" s="33"/>
      <c r="C93" s="21"/>
      <c r="D93" s="21"/>
      <c r="E93" s="21"/>
      <c r="F93" s="22"/>
      <c r="G93" s="21"/>
      <c r="H93" s="21"/>
      <c r="I93" s="22"/>
      <c r="J93" s="21"/>
      <c r="K93" s="21"/>
      <c r="L93" s="21"/>
    </row>
    <row r="94" spans="1:12" ht="14.45">
      <c r="A94" s="21"/>
      <c r="B94" s="33"/>
      <c r="C94" s="21"/>
      <c r="D94" s="21"/>
      <c r="E94" s="21"/>
      <c r="F94" s="22"/>
      <c r="G94" s="21"/>
      <c r="H94" s="21"/>
      <c r="I94" s="22"/>
      <c r="J94" s="21"/>
      <c r="K94" s="21"/>
      <c r="L94" s="21"/>
    </row>
    <row r="95" spans="1:12" ht="14.45">
      <c r="A95" s="21"/>
      <c r="B95" s="33"/>
      <c r="C95" s="21"/>
      <c r="D95" s="21"/>
      <c r="E95" s="21"/>
      <c r="F95" s="22"/>
      <c r="G95" s="21"/>
      <c r="H95" s="21"/>
      <c r="I95" s="22"/>
      <c r="J95" s="21"/>
      <c r="K95" s="21"/>
      <c r="L95" s="21"/>
    </row>
    <row r="96" spans="1:12" ht="14.45">
      <c r="A96" s="21"/>
      <c r="B96" s="33"/>
      <c r="C96" s="21"/>
      <c r="D96" s="21"/>
      <c r="E96" s="21"/>
      <c r="F96" s="22"/>
      <c r="G96" s="21"/>
      <c r="H96" s="21"/>
      <c r="I96" s="22"/>
      <c r="J96" s="21"/>
      <c r="K96" s="21"/>
      <c r="L96" s="21"/>
    </row>
    <row r="97" spans="1:12" ht="14.45">
      <c r="A97" s="21"/>
      <c r="B97" s="33"/>
      <c r="C97" s="21"/>
      <c r="D97" s="21"/>
      <c r="E97" s="21"/>
      <c r="F97" s="22"/>
      <c r="G97" s="21"/>
      <c r="H97" s="21"/>
      <c r="I97" s="22"/>
      <c r="J97" s="21"/>
      <c r="K97" s="21"/>
      <c r="L97" s="21"/>
    </row>
    <row r="98" spans="1:12" ht="14.45">
      <c r="A98" s="21"/>
      <c r="B98" s="33"/>
      <c r="C98" s="21"/>
      <c r="D98" s="21"/>
      <c r="E98" s="21"/>
      <c r="F98" s="22"/>
      <c r="G98" s="21"/>
      <c r="H98" s="21"/>
      <c r="I98" s="22"/>
      <c r="J98" s="21"/>
      <c r="K98" s="21"/>
      <c r="L98" s="21"/>
    </row>
    <row r="99" spans="1:12" ht="14.45">
      <c r="A99" s="21"/>
      <c r="B99" s="33"/>
      <c r="C99" s="21"/>
      <c r="D99" s="21"/>
      <c r="E99" s="21"/>
      <c r="F99" s="22"/>
      <c r="G99" s="21"/>
      <c r="H99" s="21"/>
      <c r="I99" s="22"/>
      <c r="J99" s="21"/>
      <c r="K99" s="21"/>
      <c r="L99" s="21"/>
    </row>
    <row r="100" spans="1:12" ht="14.45">
      <c r="A100" s="21"/>
      <c r="B100" s="33"/>
      <c r="C100" s="21"/>
      <c r="D100" s="21"/>
      <c r="E100" s="21"/>
      <c r="F100" s="22"/>
      <c r="G100" s="21"/>
      <c r="H100" s="21"/>
      <c r="I100" s="22"/>
      <c r="J100" s="21"/>
      <c r="K100" s="21"/>
      <c r="L100" s="21"/>
    </row>
    <row r="101" spans="1:12" ht="14.45">
      <c r="A101" s="21"/>
      <c r="B101" s="33"/>
      <c r="C101" s="21"/>
      <c r="D101" s="21"/>
      <c r="E101" s="21"/>
      <c r="F101" s="22"/>
      <c r="G101" s="21"/>
      <c r="H101" s="21"/>
      <c r="I101" s="22"/>
      <c r="J101" s="21"/>
      <c r="K101" s="21"/>
      <c r="L101" s="21"/>
    </row>
    <row r="102" spans="1:12" ht="14.45">
      <c r="A102" s="21"/>
      <c r="B102" s="33"/>
      <c r="C102" s="21"/>
      <c r="D102" s="21"/>
      <c r="E102" s="21"/>
      <c r="F102" s="22"/>
      <c r="G102" s="21"/>
      <c r="H102" s="21"/>
      <c r="I102" s="22"/>
      <c r="J102" s="21"/>
      <c r="K102" s="21"/>
      <c r="L102" s="21"/>
    </row>
    <row r="103" spans="1:12" ht="14.45">
      <c r="A103" s="21"/>
      <c r="B103" s="33"/>
      <c r="C103" s="21"/>
      <c r="D103" s="21"/>
      <c r="E103" s="21"/>
      <c r="F103" s="22"/>
      <c r="G103" s="21"/>
      <c r="H103" s="21"/>
      <c r="I103" s="22"/>
      <c r="J103" s="21"/>
      <c r="K103" s="21"/>
      <c r="L103" s="21"/>
    </row>
    <row r="104" spans="1:12" ht="14.45">
      <c r="A104" s="21"/>
      <c r="B104" s="33"/>
      <c r="C104" s="21"/>
      <c r="D104" s="21"/>
      <c r="E104" s="21"/>
      <c r="F104" s="22"/>
      <c r="G104" s="21"/>
      <c r="H104" s="21"/>
      <c r="I104" s="22"/>
      <c r="J104" s="21"/>
      <c r="K104" s="21"/>
      <c r="L104" s="21"/>
    </row>
    <row r="105" spans="1:12" ht="14.45">
      <c r="A105" s="21"/>
      <c r="B105" s="33"/>
      <c r="C105" s="21"/>
      <c r="D105" s="21"/>
      <c r="E105" s="21"/>
      <c r="F105" s="22"/>
      <c r="G105" s="21"/>
      <c r="H105" s="21"/>
      <c r="I105" s="22"/>
      <c r="J105" s="21"/>
      <c r="K105" s="21"/>
      <c r="L105" s="21"/>
    </row>
    <row r="106" spans="1:12" ht="14.45">
      <c r="A106" s="21"/>
      <c r="B106" s="33"/>
      <c r="C106" s="21"/>
      <c r="D106" s="21"/>
      <c r="E106" s="21"/>
      <c r="F106" s="22"/>
      <c r="G106" s="21"/>
      <c r="H106" s="21"/>
      <c r="I106" s="22"/>
      <c r="J106" s="21"/>
      <c r="K106" s="21"/>
      <c r="L106" s="21"/>
    </row>
    <row r="107" spans="1:12" ht="14.45">
      <c r="A107" s="21"/>
      <c r="B107" s="33"/>
      <c r="C107" s="21"/>
      <c r="D107" s="21"/>
      <c r="E107" s="21"/>
      <c r="F107" s="22"/>
      <c r="G107" s="21"/>
      <c r="H107" s="21"/>
      <c r="I107" s="22"/>
      <c r="J107" s="21"/>
      <c r="K107" s="21"/>
      <c r="L107" s="21"/>
    </row>
    <row r="108" spans="1:12" ht="14.45">
      <c r="A108" s="21"/>
      <c r="B108" s="33"/>
      <c r="C108" s="21"/>
      <c r="D108" s="21"/>
      <c r="E108" s="21"/>
      <c r="F108" s="22"/>
      <c r="G108" s="21"/>
      <c r="H108" s="21"/>
      <c r="I108" s="22"/>
      <c r="J108" s="21"/>
      <c r="K108" s="21"/>
      <c r="L108" s="21"/>
    </row>
    <row r="109" spans="1:12" ht="14.45">
      <c r="A109" s="21"/>
      <c r="B109" s="33"/>
      <c r="C109" s="21"/>
      <c r="D109" s="21"/>
      <c r="E109" s="21"/>
      <c r="F109" s="22"/>
      <c r="G109" s="21"/>
      <c r="H109" s="21"/>
      <c r="I109" s="22"/>
      <c r="J109" s="21"/>
      <c r="K109" s="21"/>
      <c r="L109" s="21"/>
    </row>
    <row r="110" spans="1:12" ht="14.45">
      <c r="A110" s="21"/>
      <c r="B110" s="33"/>
      <c r="C110" s="21"/>
      <c r="D110" s="21"/>
      <c r="E110" s="21"/>
      <c r="F110" s="22"/>
      <c r="G110" s="21"/>
      <c r="H110" s="21"/>
      <c r="I110" s="22"/>
      <c r="J110" s="21"/>
      <c r="K110" s="21"/>
      <c r="L110" s="21"/>
    </row>
    <row r="111" spans="1:12" ht="14.45">
      <c r="A111" s="21"/>
      <c r="B111" s="33"/>
      <c r="C111" s="21"/>
      <c r="D111" s="21"/>
      <c r="E111" s="21"/>
      <c r="F111" s="22"/>
      <c r="G111" s="21"/>
      <c r="H111" s="21"/>
      <c r="I111" s="22"/>
      <c r="J111" s="21"/>
      <c r="K111" s="21"/>
      <c r="L111" s="21"/>
    </row>
    <row r="112" spans="1:12" ht="14.45">
      <c r="A112" s="21"/>
      <c r="B112" s="33"/>
      <c r="C112" s="21"/>
      <c r="D112" s="21"/>
      <c r="E112" s="21"/>
      <c r="F112" s="22"/>
      <c r="G112" s="21"/>
      <c r="H112" s="21"/>
      <c r="I112" s="22"/>
      <c r="J112" s="21"/>
      <c r="K112" s="21"/>
      <c r="L112" s="21"/>
    </row>
    <row r="113" spans="1:12" ht="14.45">
      <c r="A113" s="21"/>
      <c r="B113" s="33"/>
      <c r="C113" s="21"/>
      <c r="D113" s="21"/>
      <c r="E113" s="21"/>
      <c r="F113" s="22"/>
      <c r="G113" s="21"/>
      <c r="H113" s="21"/>
      <c r="I113" s="22"/>
      <c r="J113" s="21"/>
      <c r="K113" s="21"/>
      <c r="L113" s="21"/>
    </row>
    <row r="114" spans="1:12" ht="14.45">
      <c r="A114" s="21"/>
      <c r="B114" s="33"/>
      <c r="C114" s="21"/>
      <c r="D114" s="21"/>
      <c r="E114" s="21"/>
      <c r="F114" s="22"/>
      <c r="G114" s="21"/>
      <c r="H114" s="21"/>
      <c r="I114" s="22"/>
      <c r="J114" s="21"/>
      <c r="K114" s="21"/>
      <c r="L114" s="21"/>
    </row>
    <row r="115" spans="1:12" ht="14.45">
      <c r="A115" s="21"/>
      <c r="B115" s="33"/>
      <c r="C115" s="21"/>
      <c r="D115" s="21"/>
      <c r="E115" s="21"/>
      <c r="F115" s="22"/>
      <c r="G115" s="21"/>
      <c r="H115" s="21"/>
      <c r="I115" s="22"/>
      <c r="J115" s="21"/>
      <c r="K115" s="21"/>
      <c r="L115" s="21"/>
    </row>
    <row r="116" spans="1:12" ht="14.45">
      <c r="A116" s="21"/>
      <c r="B116" s="33"/>
      <c r="C116" s="21"/>
      <c r="D116" s="21"/>
      <c r="E116" s="21"/>
      <c r="F116" s="22"/>
      <c r="G116" s="21"/>
      <c r="H116" s="21"/>
      <c r="I116" s="22"/>
      <c r="J116" s="21"/>
      <c r="K116" s="21"/>
      <c r="L116" s="21"/>
    </row>
    <row r="117" spans="1:12" ht="14.45">
      <c r="A117" s="21"/>
      <c r="B117" s="33"/>
      <c r="C117" s="21"/>
      <c r="D117" s="21"/>
      <c r="E117" s="21"/>
      <c r="F117" s="22"/>
      <c r="G117" s="21"/>
      <c r="H117" s="21"/>
      <c r="I117" s="22"/>
      <c r="J117" s="21"/>
      <c r="K117" s="21"/>
      <c r="L117" s="21"/>
    </row>
    <row r="118" spans="1:12" ht="14.45">
      <c r="A118" s="21"/>
      <c r="B118" s="33"/>
      <c r="C118" s="21"/>
      <c r="D118" s="21"/>
      <c r="E118" s="21"/>
      <c r="F118" s="22"/>
      <c r="G118" s="21"/>
      <c r="H118" s="21"/>
      <c r="I118" s="22"/>
      <c r="J118" s="21"/>
      <c r="K118" s="21"/>
      <c r="L118" s="21"/>
    </row>
    <row r="119" spans="1:12" ht="14.45">
      <c r="A119" s="21"/>
      <c r="B119" s="33"/>
      <c r="C119" s="21"/>
      <c r="D119" s="21"/>
      <c r="E119" s="21"/>
      <c r="F119" s="22"/>
      <c r="G119" s="21"/>
      <c r="H119" s="21"/>
      <c r="I119" s="22"/>
      <c r="J119" s="21"/>
      <c r="K119" s="21"/>
      <c r="L119" s="21"/>
    </row>
    <row r="120" spans="1:12" ht="14.45">
      <c r="A120" s="21"/>
      <c r="B120" s="33"/>
      <c r="C120" s="21"/>
      <c r="D120" s="21"/>
      <c r="E120" s="21"/>
      <c r="F120" s="22"/>
      <c r="G120" s="21"/>
      <c r="H120" s="21"/>
      <c r="I120" s="22"/>
      <c r="J120" s="21"/>
      <c r="K120" s="21"/>
      <c r="L120" s="21"/>
    </row>
    <row r="121" spans="1:12" ht="14.45">
      <c r="A121" s="21"/>
      <c r="B121" s="33"/>
      <c r="C121" s="21"/>
      <c r="D121" s="21"/>
      <c r="E121" s="21"/>
      <c r="F121" s="22"/>
      <c r="G121" s="21"/>
      <c r="H121" s="21"/>
      <c r="I121" s="22"/>
      <c r="J121" s="21"/>
      <c r="K121" s="21"/>
      <c r="L121" s="21"/>
    </row>
    <row r="122" spans="1:12" ht="14.45">
      <c r="A122" s="21"/>
      <c r="B122" s="33"/>
      <c r="C122" s="21"/>
      <c r="D122" s="21"/>
      <c r="E122" s="21"/>
      <c r="F122" s="22"/>
      <c r="G122" s="21"/>
      <c r="H122" s="21"/>
      <c r="I122" s="22"/>
      <c r="J122" s="21"/>
      <c r="K122" s="21"/>
      <c r="L122" s="21"/>
    </row>
    <row r="123" spans="1:12" ht="14.45">
      <c r="A123" s="21"/>
      <c r="B123" s="33"/>
      <c r="C123" s="21"/>
      <c r="D123" s="21"/>
      <c r="E123" s="21"/>
      <c r="F123" s="22"/>
      <c r="G123" s="21"/>
      <c r="H123" s="21"/>
      <c r="I123" s="22"/>
      <c r="J123" s="21"/>
      <c r="K123" s="21"/>
      <c r="L123" s="21"/>
    </row>
    <row r="124" spans="1:12" ht="14.45">
      <c r="A124" s="21"/>
      <c r="B124" s="33"/>
      <c r="C124" s="21"/>
      <c r="D124" s="21"/>
      <c r="E124" s="21"/>
      <c r="F124" s="22"/>
      <c r="G124" s="21"/>
      <c r="H124" s="21"/>
      <c r="I124" s="22"/>
      <c r="J124" s="21"/>
      <c r="K124" s="21"/>
      <c r="L124" s="21"/>
    </row>
    <row r="125" spans="1:12" ht="14.45">
      <c r="A125" s="21"/>
      <c r="B125" s="33"/>
      <c r="C125" s="21"/>
      <c r="D125" s="21"/>
      <c r="E125" s="21"/>
      <c r="F125" s="22"/>
      <c r="G125" s="21"/>
      <c r="H125" s="21"/>
      <c r="I125" s="22"/>
      <c r="J125" s="21"/>
      <c r="K125" s="21"/>
      <c r="L125" s="21"/>
    </row>
    <row r="126" spans="1:12" ht="14.45">
      <c r="A126" s="21"/>
      <c r="B126" s="33"/>
      <c r="C126" s="21"/>
      <c r="D126" s="21"/>
      <c r="E126" s="21"/>
      <c r="F126" s="22"/>
      <c r="G126" s="21"/>
      <c r="H126" s="21"/>
      <c r="I126" s="22"/>
      <c r="J126" s="21"/>
      <c r="K126" s="21"/>
      <c r="L126" s="21"/>
    </row>
    <row r="127" spans="1:12" ht="14.45">
      <c r="A127" s="21"/>
      <c r="B127" s="33"/>
      <c r="C127" s="21"/>
      <c r="D127" s="21"/>
      <c r="E127" s="21"/>
      <c r="F127" s="22"/>
      <c r="G127" s="21"/>
      <c r="H127" s="21"/>
      <c r="I127" s="22"/>
      <c r="J127" s="21"/>
      <c r="K127" s="21"/>
      <c r="L127" s="21"/>
    </row>
    <row r="128" spans="1:12" ht="14.45">
      <c r="A128" s="21"/>
      <c r="B128" s="33"/>
      <c r="C128" s="21"/>
      <c r="D128" s="21"/>
      <c r="E128" s="21"/>
      <c r="F128" s="22"/>
      <c r="G128" s="21"/>
      <c r="H128" s="21"/>
      <c r="I128" s="22"/>
      <c r="J128" s="21"/>
      <c r="K128" s="21"/>
      <c r="L128" s="21"/>
    </row>
    <row r="129" spans="1:12" ht="14.45">
      <c r="A129" s="21"/>
      <c r="B129" s="33"/>
      <c r="C129" s="21"/>
      <c r="D129" s="21"/>
      <c r="E129" s="21"/>
      <c r="F129" s="22"/>
      <c r="G129" s="21"/>
      <c r="H129" s="21"/>
      <c r="I129" s="22"/>
      <c r="J129" s="21"/>
      <c r="K129" s="21"/>
      <c r="L129" s="21"/>
    </row>
    <row r="130" spans="1:12" ht="14.45">
      <c r="A130" s="21"/>
      <c r="B130" s="33"/>
      <c r="C130" s="21"/>
      <c r="D130" s="21"/>
      <c r="E130" s="21"/>
      <c r="F130" s="22"/>
      <c r="G130" s="21"/>
      <c r="H130" s="21"/>
      <c r="I130" s="22"/>
      <c r="J130" s="21"/>
      <c r="K130" s="21"/>
      <c r="L130" s="21"/>
    </row>
    <row r="131" spans="1:12" ht="14.45">
      <c r="A131" s="21"/>
      <c r="B131" s="33"/>
      <c r="C131" s="21"/>
      <c r="D131" s="21"/>
      <c r="E131" s="21"/>
      <c r="F131" s="22"/>
      <c r="G131" s="21"/>
      <c r="H131" s="21"/>
      <c r="I131" s="22"/>
      <c r="J131" s="21"/>
      <c r="K131" s="21"/>
      <c r="L131" s="21"/>
    </row>
    <row r="132" spans="1:12" ht="14.45">
      <c r="A132" s="21"/>
      <c r="B132" s="33"/>
      <c r="C132" s="21"/>
      <c r="D132" s="21"/>
      <c r="E132" s="21"/>
      <c r="F132" s="22"/>
      <c r="G132" s="21"/>
      <c r="H132" s="21"/>
      <c r="I132" s="22"/>
      <c r="J132" s="21"/>
      <c r="K132" s="21"/>
      <c r="L132" s="21"/>
    </row>
    <row r="133" spans="1:12" ht="14.45">
      <c r="A133" s="21"/>
      <c r="B133" s="33"/>
      <c r="C133" s="21"/>
      <c r="D133" s="21"/>
      <c r="E133" s="21"/>
      <c r="F133" s="22"/>
      <c r="G133" s="21"/>
      <c r="H133" s="21"/>
      <c r="I133" s="22"/>
      <c r="J133" s="21"/>
      <c r="K133" s="21"/>
      <c r="L133" s="21"/>
    </row>
    <row r="134" spans="1:12" ht="14.45">
      <c r="A134" s="21"/>
      <c r="B134" s="33"/>
      <c r="C134" s="21"/>
      <c r="D134" s="21"/>
      <c r="E134" s="21"/>
      <c r="F134" s="22"/>
      <c r="G134" s="21"/>
      <c r="H134" s="21"/>
      <c r="I134" s="22"/>
      <c r="J134" s="21"/>
      <c r="K134" s="21"/>
      <c r="L134" s="21"/>
    </row>
    <row r="135" spans="1:12" ht="14.45">
      <c r="A135" s="21"/>
      <c r="B135" s="33"/>
      <c r="C135" s="21"/>
      <c r="D135" s="21"/>
      <c r="E135" s="21"/>
      <c r="F135" s="22"/>
      <c r="G135" s="21"/>
      <c r="H135" s="21"/>
      <c r="I135" s="22"/>
      <c r="J135" s="21"/>
      <c r="K135" s="21"/>
      <c r="L135" s="21"/>
    </row>
    <row r="136" spans="1:12" ht="14.45">
      <c r="A136" s="21"/>
      <c r="B136" s="33"/>
      <c r="C136" s="21"/>
      <c r="D136" s="21"/>
      <c r="E136" s="21"/>
      <c r="F136" s="22"/>
      <c r="G136" s="21"/>
      <c r="H136" s="21"/>
      <c r="I136" s="22"/>
      <c r="J136" s="21"/>
      <c r="K136" s="21"/>
      <c r="L136" s="21"/>
    </row>
    <row r="137" spans="1:12" ht="14.45">
      <c r="A137" s="21"/>
      <c r="B137" s="33"/>
      <c r="C137" s="21"/>
      <c r="D137" s="21"/>
      <c r="E137" s="21"/>
      <c r="F137" s="22"/>
      <c r="G137" s="21"/>
      <c r="H137" s="21"/>
      <c r="I137" s="22"/>
      <c r="J137" s="21"/>
      <c r="K137" s="21"/>
      <c r="L137" s="21"/>
    </row>
    <row r="138" spans="1:12" ht="14.45">
      <c r="A138" s="21"/>
      <c r="B138" s="33"/>
      <c r="C138" s="21"/>
      <c r="D138" s="21"/>
      <c r="E138" s="21"/>
      <c r="F138" s="22"/>
      <c r="G138" s="21"/>
      <c r="H138" s="21"/>
      <c r="I138" s="22"/>
      <c r="J138" s="21"/>
      <c r="K138" s="21"/>
      <c r="L138" s="21"/>
    </row>
    <row r="139" spans="1:12" ht="14.45">
      <c r="A139" s="21"/>
      <c r="B139" s="33"/>
      <c r="C139" s="21"/>
      <c r="D139" s="21"/>
      <c r="E139" s="21"/>
      <c r="F139" s="22"/>
      <c r="G139" s="21"/>
      <c r="H139" s="21"/>
      <c r="I139" s="22"/>
      <c r="J139" s="21"/>
      <c r="K139" s="21"/>
      <c r="L139" s="21"/>
    </row>
    <row r="140" spans="1:12" ht="14.45">
      <c r="A140" s="21"/>
      <c r="B140" s="33"/>
      <c r="C140" s="21"/>
      <c r="D140" s="21"/>
      <c r="E140" s="21"/>
      <c r="F140" s="22"/>
      <c r="G140" s="21"/>
      <c r="H140" s="21"/>
      <c r="I140" s="22"/>
      <c r="J140" s="21"/>
      <c r="K140" s="21"/>
      <c r="L140" s="21"/>
    </row>
    <row r="141" spans="1:12" ht="14.45">
      <c r="A141" s="21"/>
      <c r="B141" s="33"/>
      <c r="C141" s="21"/>
      <c r="D141" s="21"/>
      <c r="E141" s="21"/>
      <c r="F141" s="22"/>
      <c r="G141" s="21"/>
      <c r="H141" s="21"/>
      <c r="I141" s="22"/>
      <c r="J141" s="21"/>
      <c r="K141" s="21"/>
      <c r="L141" s="21"/>
    </row>
    <row r="142" spans="1:12" ht="14.45">
      <c r="A142" s="21"/>
      <c r="B142" s="33"/>
      <c r="C142" s="21"/>
      <c r="D142" s="21"/>
      <c r="E142" s="21"/>
      <c r="F142" s="22"/>
      <c r="G142" s="21"/>
      <c r="H142" s="21"/>
      <c r="I142" s="22"/>
      <c r="J142" s="21"/>
      <c r="K142" s="21"/>
      <c r="L142" s="21"/>
    </row>
    <row r="143" spans="1:12" ht="14.45">
      <c r="A143" s="21"/>
      <c r="B143" s="33"/>
      <c r="C143" s="21"/>
      <c r="D143" s="21"/>
      <c r="E143" s="21"/>
      <c r="F143" s="22"/>
      <c r="G143" s="21"/>
      <c r="H143" s="21"/>
      <c r="I143" s="22"/>
      <c r="J143" s="21"/>
      <c r="K143" s="21"/>
      <c r="L143" s="21"/>
    </row>
    <row r="144" spans="1:12" ht="14.45">
      <c r="A144" s="21"/>
      <c r="B144" s="33"/>
      <c r="C144" s="21"/>
      <c r="D144" s="21"/>
      <c r="E144" s="21"/>
      <c r="F144" s="22"/>
      <c r="G144" s="21"/>
      <c r="H144" s="21"/>
      <c r="I144" s="22"/>
      <c r="J144" s="21"/>
      <c r="K144" s="21"/>
      <c r="L144" s="21"/>
    </row>
    <row r="145" spans="1:12" ht="14.45">
      <c r="A145" s="21"/>
      <c r="B145" s="33"/>
      <c r="C145" s="21"/>
      <c r="D145" s="21"/>
      <c r="E145" s="21"/>
      <c r="F145" s="22"/>
      <c r="G145" s="21"/>
      <c r="H145" s="21"/>
      <c r="I145" s="22"/>
      <c r="J145" s="21"/>
      <c r="K145" s="21"/>
      <c r="L145" s="21"/>
    </row>
    <row r="146" spans="1:12" ht="14.45">
      <c r="A146" s="21"/>
      <c r="B146" s="33"/>
      <c r="C146" s="21"/>
      <c r="D146" s="21"/>
      <c r="E146" s="21"/>
      <c r="F146" s="22"/>
      <c r="G146" s="21"/>
      <c r="H146" s="21"/>
      <c r="I146" s="22"/>
      <c r="J146" s="21"/>
      <c r="K146" s="21"/>
      <c r="L146" s="21"/>
    </row>
    <row r="147" spans="1:12" ht="14.45">
      <c r="A147" s="21"/>
      <c r="B147" s="33"/>
      <c r="C147" s="21"/>
      <c r="D147" s="21"/>
      <c r="E147" s="21"/>
      <c r="F147" s="22"/>
      <c r="G147" s="21"/>
      <c r="H147" s="21"/>
      <c r="I147" s="22"/>
      <c r="J147" s="21"/>
      <c r="K147" s="21"/>
      <c r="L147" s="21"/>
    </row>
    <row r="148" spans="1:12" ht="14.45">
      <c r="A148" s="21"/>
      <c r="B148" s="33"/>
      <c r="C148" s="21"/>
      <c r="D148" s="21"/>
      <c r="E148" s="21"/>
      <c r="F148" s="22"/>
      <c r="G148" s="21"/>
      <c r="H148" s="21"/>
      <c r="I148" s="22"/>
      <c r="J148" s="21"/>
      <c r="K148" s="21"/>
      <c r="L148" s="21"/>
    </row>
    <row r="149" spans="1:12" ht="14.45">
      <c r="A149" s="21"/>
      <c r="B149" s="33"/>
      <c r="C149" s="21"/>
      <c r="D149" s="21"/>
      <c r="E149" s="21"/>
      <c r="F149" s="22"/>
      <c r="G149" s="21"/>
      <c r="H149" s="21"/>
      <c r="I149" s="22"/>
      <c r="J149" s="21"/>
      <c r="K149" s="21"/>
      <c r="L149" s="21"/>
    </row>
    <row r="150" spans="1:12" ht="14.45">
      <c r="A150" s="21"/>
      <c r="B150" s="33"/>
      <c r="C150" s="21"/>
      <c r="D150" s="21"/>
      <c r="E150" s="21"/>
      <c r="F150" s="22"/>
      <c r="G150" s="21"/>
      <c r="H150" s="21"/>
      <c r="I150" s="22"/>
      <c r="J150" s="21"/>
      <c r="K150" s="21"/>
      <c r="L150" s="21"/>
    </row>
    <row r="151" spans="1:12" ht="14.45">
      <c r="A151" s="21"/>
      <c r="B151" s="33"/>
      <c r="C151" s="21"/>
      <c r="D151" s="21"/>
      <c r="E151" s="21"/>
      <c r="F151" s="22"/>
      <c r="G151" s="21"/>
      <c r="H151" s="21"/>
      <c r="I151" s="22"/>
      <c r="J151" s="21"/>
      <c r="K151" s="21"/>
      <c r="L151" s="21"/>
    </row>
    <row r="152" spans="1:12" ht="14.45">
      <c r="A152" s="21"/>
      <c r="B152" s="33"/>
      <c r="C152" s="21"/>
      <c r="D152" s="21"/>
      <c r="E152" s="21"/>
      <c r="F152" s="22"/>
      <c r="G152" s="21"/>
      <c r="H152" s="21"/>
      <c r="I152" s="22"/>
      <c r="J152" s="21"/>
      <c r="K152" s="21"/>
      <c r="L152" s="21"/>
    </row>
    <row r="153" spans="1:12" ht="14.45">
      <c r="A153" s="21"/>
      <c r="B153" s="33"/>
      <c r="C153" s="21"/>
      <c r="D153" s="21"/>
      <c r="E153" s="21"/>
      <c r="F153" s="22"/>
      <c r="G153" s="21"/>
      <c r="H153" s="21"/>
      <c r="I153" s="22"/>
      <c r="J153" s="21"/>
      <c r="K153" s="21"/>
      <c r="L153" s="21"/>
    </row>
    <row r="154" spans="1:12" ht="14.45">
      <c r="A154" s="21"/>
      <c r="B154" s="33"/>
      <c r="C154" s="21"/>
      <c r="D154" s="21"/>
      <c r="E154" s="21"/>
      <c r="F154" s="22"/>
      <c r="G154" s="21"/>
      <c r="H154" s="21"/>
      <c r="I154" s="22"/>
      <c r="J154" s="21"/>
      <c r="K154" s="21"/>
      <c r="L154" s="21"/>
    </row>
    <row r="155" spans="1:12" ht="14.45">
      <c r="A155" s="21"/>
      <c r="B155" s="33"/>
      <c r="C155" s="21"/>
      <c r="D155" s="21"/>
      <c r="E155" s="21"/>
      <c r="F155" s="22"/>
      <c r="G155" s="21"/>
      <c r="H155" s="21"/>
      <c r="I155" s="22"/>
      <c r="J155" s="21"/>
      <c r="K155" s="21"/>
      <c r="L155" s="21"/>
    </row>
    <row r="156" spans="1:12" ht="14.45">
      <c r="A156" s="21"/>
      <c r="B156" s="33"/>
      <c r="C156" s="21"/>
      <c r="D156" s="21"/>
      <c r="E156" s="21"/>
      <c r="F156" s="22"/>
      <c r="G156" s="21"/>
      <c r="H156" s="21"/>
      <c r="I156" s="22"/>
      <c r="J156" s="21"/>
      <c r="K156" s="21"/>
      <c r="L156" s="21"/>
    </row>
    <row r="157" spans="1:12" ht="14.45">
      <c r="A157" s="21"/>
      <c r="B157" s="33"/>
      <c r="C157" s="21"/>
      <c r="D157" s="21"/>
      <c r="E157" s="21"/>
      <c r="F157" s="22"/>
      <c r="G157" s="21"/>
      <c r="H157" s="21"/>
      <c r="I157" s="22"/>
      <c r="J157" s="21"/>
      <c r="K157" s="21"/>
      <c r="L157" s="21"/>
    </row>
    <row r="158" spans="1:12" ht="14.45">
      <c r="A158" s="21"/>
      <c r="B158" s="33"/>
      <c r="C158" s="21"/>
      <c r="D158" s="21"/>
      <c r="E158" s="21"/>
      <c r="F158" s="22"/>
      <c r="G158" s="21"/>
      <c r="H158" s="21"/>
      <c r="I158" s="22"/>
      <c r="J158" s="21"/>
      <c r="K158" s="21"/>
      <c r="L158" s="21"/>
    </row>
    <row r="159" spans="1:12" ht="14.45">
      <c r="A159" s="21"/>
      <c r="B159" s="33"/>
      <c r="C159" s="21"/>
      <c r="D159" s="21"/>
      <c r="E159" s="21"/>
      <c r="F159" s="22"/>
      <c r="G159" s="21"/>
      <c r="H159" s="21"/>
      <c r="I159" s="22"/>
      <c r="J159" s="21"/>
      <c r="K159" s="21"/>
      <c r="L159" s="21"/>
    </row>
    <row r="160" spans="1:12" ht="14.45">
      <c r="A160" s="21"/>
      <c r="B160" s="33"/>
      <c r="C160" s="21"/>
      <c r="D160" s="21"/>
      <c r="E160" s="21"/>
      <c r="F160" s="22"/>
      <c r="G160" s="21"/>
      <c r="H160" s="21"/>
      <c r="I160" s="22"/>
      <c r="J160" s="21"/>
      <c r="K160" s="21"/>
      <c r="L160" s="21"/>
    </row>
    <row r="161" spans="1:12" ht="14.45">
      <c r="A161" s="21"/>
      <c r="B161" s="33"/>
      <c r="C161" s="21"/>
      <c r="D161" s="21"/>
      <c r="E161" s="21"/>
      <c r="F161" s="22"/>
      <c r="G161" s="21"/>
      <c r="H161" s="21"/>
      <c r="I161" s="22"/>
      <c r="J161" s="21"/>
      <c r="K161" s="21"/>
      <c r="L161" s="21"/>
    </row>
    <row r="162" spans="1:12" ht="14.45">
      <c r="A162" s="21"/>
      <c r="B162" s="33"/>
      <c r="C162" s="21"/>
      <c r="D162" s="21"/>
      <c r="E162" s="21"/>
      <c r="F162" s="22"/>
      <c r="G162" s="21"/>
      <c r="H162" s="21"/>
      <c r="I162" s="22"/>
      <c r="J162" s="21"/>
      <c r="K162" s="21"/>
      <c r="L162" s="21"/>
    </row>
    <row r="163" spans="1:12" ht="14.45">
      <c r="A163" s="21"/>
      <c r="B163" s="33"/>
      <c r="C163" s="21"/>
      <c r="D163" s="21"/>
      <c r="E163" s="21"/>
      <c r="F163" s="22"/>
      <c r="G163" s="21"/>
      <c r="H163" s="21"/>
      <c r="I163" s="22"/>
      <c r="J163" s="21"/>
      <c r="K163" s="21"/>
      <c r="L163" s="21"/>
    </row>
    <row r="164" spans="1:12" ht="14.45">
      <c r="A164" s="21"/>
      <c r="B164" s="33"/>
      <c r="C164" s="21"/>
      <c r="D164" s="21"/>
      <c r="E164" s="21"/>
      <c r="F164" s="22"/>
      <c r="G164" s="21"/>
      <c r="H164" s="21"/>
      <c r="I164" s="22"/>
      <c r="J164" s="21"/>
      <c r="K164" s="21"/>
      <c r="L164" s="21"/>
    </row>
    <row r="165" spans="1:12" ht="14.45">
      <c r="A165" s="21"/>
      <c r="B165" s="33"/>
      <c r="C165" s="21"/>
      <c r="D165" s="21"/>
      <c r="E165" s="21"/>
      <c r="F165" s="22"/>
      <c r="G165" s="21"/>
      <c r="H165" s="21"/>
      <c r="I165" s="22"/>
      <c r="J165" s="21"/>
      <c r="K165" s="21"/>
      <c r="L165" s="21"/>
    </row>
    <row r="166" spans="1:12" ht="14.45">
      <c r="A166" s="21"/>
      <c r="B166" s="33"/>
      <c r="C166" s="21"/>
      <c r="D166" s="21"/>
      <c r="E166" s="21"/>
      <c r="F166" s="22"/>
      <c r="G166" s="21"/>
      <c r="H166" s="21"/>
      <c r="I166" s="22"/>
      <c r="J166" s="21"/>
      <c r="K166" s="21"/>
      <c r="L166" s="21"/>
    </row>
    <row r="167" spans="1:12" ht="14.45">
      <c r="A167" s="21"/>
      <c r="B167" s="33"/>
      <c r="C167" s="21"/>
      <c r="D167" s="21"/>
      <c r="E167" s="21"/>
      <c r="F167" s="22"/>
      <c r="G167" s="21"/>
      <c r="H167" s="21"/>
      <c r="I167" s="22"/>
      <c r="J167" s="21"/>
      <c r="K167" s="21"/>
      <c r="L167" s="21"/>
    </row>
    <row r="168" spans="1:12" ht="14.45">
      <c r="A168" s="21"/>
      <c r="B168" s="33"/>
      <c r="C168" s="21"/>
      <c r="D168" s="21"/>
      <c r="E168" s="21"/>
      <c r="F168" s="22"/>
      <c r="G168" s="21"/>
      <c r="H168" s="21"/>
      <c r="I168" s="22"/>
      <c r="J168" s="21"/>
      <c r="K168" s="21"/>
      <c r="L168" s="21"/>
    </row>
    <row r="169" spans="1:12" ht="14.45">
      <c r="A169" s="21"/>
      <c r="B169" s="33"/>
      <c r="C169" s="21"/>
      <c r="D169" s="21"/>
      <c r="E169" s="21"/>
      <c r="F169" s="22"/>
      <c r="G169" s="21"/>
      <c r="H169" s="21"/>
      <c r="I169" s="22"/>
      <c r="J169" s="21"/>
      <c r="K169" s="21"/>
      <c r="L169" s="21"/>
    </row>
    <row r="170" spans="1:12" ht="14.45">
      <c r="A170" s="21"/>
      <c r="B170" s="33"/>
      <c r="C170" s="21"/>
      <c r="D170" s="21"/>
      <c r="E170" s="21"/>
      <c r="F170" s="22"/>
      <c r="G170" s="21"/>
      <c r="H170" s="21"/>
      <c r="I170" s="22"/>
      <c r="J170" s="21"/>
      <c r="K170" s="21"/>
      <c r="L170" s="21"/>
    </row>
    <row r="171" spans="1:12" ht="14.45">
      <c r="A171" s="21"/>
      <c r="B171" s="33"/>
      <c r="C171" s="21"/>
      <c r="D171" s="21"/>
      <c r="E171" s="21"/>
      <c r="F171" s="22"/>
      <c r="G171" s="21"/>
      <c r="H171" s="21"/>
      <c r="I171" s="22"/>
      <c r="J171" s="21"/>
      <c r="K171" s="21"/>
      <c r="L171" s="21"/>
    </row>
    <row r="172" spans="1:12" ht="14.45">
      <c r="A172" s="21"/>
      <c r="B172" s="33"/>
      <c r="C172" s="21"/>
      <c r="D172" s="21"/>
      <c r="E172" s="21"/>
      <c r="F172" s="22"/>
      <c r="G172" s="21"/>
      <c r="H172" s="21"/>
      <c r="I172" s="22"/>
      <c r="J172" s="21"/>
      <c r="K172" s="21"/>
      <c r="L172" s="21"/>
    </row>
    <row r="173" spans="1:12" ht="14.45">
      <c r="A173" s="21"/>
      <c r="B173" s="33"/>
      <c r="C173" s="21"/>
      <c r="D173" s="21"/>
      <c r="E173" s="21"/>
      <c r="F173" s="22"/>
      <c r="G173" s="21"/>
      <c r="H173" s="21"/>
      <c r="I173" s="22"/>
      <c r="J173" s="21"/>
      <c r="K173" s="21"/>
      <c r="L173" s="21"/>
    </row>
    <row r="174" spans="1:12" ht="14.45">
      <c r="A174" s="21"/>
      <c r="B174" s="33"/>
      <c r="C174" s="21"/>
      <c r="D174" s="21"/>
      <c r="E174" s="21"/>
      <c r="F174" s="22"/>
      <c r="G174" s="21"/>
      <c r="H174" s="21"/>
      <c r="I174" s="22"/>
      <c r="J174" s="21"/>
      <c r="K174" s="21"/>
      <c r="L174" s="21"/>
    </row>
    <row r="175" spans="1:12" ht="14.45">
      <c r="A175" s="21"/>
      <c r="B175" s="33"/>
      <c r="C175" s="21"/>
      <c r="D175" s="21"/>
      <c r="E175" s="21"/>
      <c r="F175" s="22"/>
      <c r="G175" s="21"/>
      <c r="H175" s="21"/>
      <c r="I175" s="22"/>
      <c r="J175" s="21"/>
      <c r="K175" s="21"/>
      <c r="L175" s="21"/>
    </row>
    <row r="176" spans="1:12" ht="14.45">
      <c r="A176" s="21"/>
      <c r="B176" s="33"/>
      <c r="C176" s="21"/>
      <c r="D176" s="21"/>
      <c r="E176" s="21"/>
      <c r="F176" s="22"/>
      <c r="G176" s="21"/>
      <c r="H176" s="21"/>
      <c r="I176" s="22"/>
      <c r="J176" s="21"/>
      <c r="K176" s="21"/>
      <c r="L176" s="21"/>
    </row>
    <row r="177" spans="1:12" ht="14.45">
      <c r="A177" s="21"/>
      <c r="B177" s="33"/>
      <c r="C177" s="21"/>
      <c r="D177" s="21"/>
      <c r="E177" s="21"/>
      <c r="F177" s="22"/>
      <c r="G177" s="21"/>
      <c r="H177" s="21"/>
      <c r="I177" s="22"/>
      <c r="J177" s="21"/>
      <c r="K177" s="21"/>
      <c r="L177" s="21"/>
    </row>
    <row r="178" spans="1:12" ht="14.45">
      <c r="A178" s="21"/>
      <c r="B178" s="33"/>
      <c r="C178" s="21"/>
      <c r="D178" s="21"/>
      <c r="E178" s="21"/>
      <c r="F178" s="22"/>
      <c r="G178" s="21"/>
      <c r="H178" s="21"/>
      <c r="I178" s="22"/>
      <c r="J178" s="21"/>
      <c r="K178" s="21"/>
      <c r="L178" s="21"/>
    </row>
    <row r="179" spans="1:12" ht="14.45">
      <c r="A179" s="21"/>
      <c r="B179" s="33"/>
      <c r="C179" s="21"/>
      <c r="D179" s="21"/>
      <c r="E179" s="21"/>
      <c r="F179" s="22"/>
      <c r="G179" s="21"/>
      <c r="H179" s="21"/>
      <c r="I179" s="22"/>
      <c r="J179" s="21"/>
      <c r="K179" s="21"/>
      <c r="L179" s="21"/>
    </row>
    <row r="180" spans="1:12" ht="14.45">
      <c r="A180" s="21"/>
      <c r="B180" s="33"/>
      <c r="C180" s="21"/>
      <c r="D180" s="21"/>
      <c r="E180" s="21"/>
      <c r="F180" s="22"/>
      <c r="G180" s="21"/>
      <c r="H180" s="21"/>
      <c r="I180" s="22"/>
      <c r="J180" s="21"/>
      <c r="K180" s="21"/>
      <c r="L180" s="21"/>
    </row>
    <row r="181" spans="1:12" ht="14.45">
      <c r="A181" s="21"/>
      <c r="B181" s="33"/>
      <c r="C181" s="21"/>
      <c r="D181" s="21"/>
      <c r="E181" s="21"/>
      <c r="F181" s="22"/>
      <c r="G181" s="21"/>
      <c r="H181" s="21"/>
      <c r="I181" s="22"/>
      <c r="J181" s="21"/>
      <c r="K181" s="21"/>
      <c r="L181" s="21"/>
    </row>
    <row r="182" spans="1:12" ht="14.45">
      <c r="A182" s="21"/>
      <c r="B182" s="33"/>
      <c r="C182" s="21"/>
      <c r="D182" s="21"/>
      <c r="E182" s="21"/>
      <c r="F182" s="22"/>
      <c r="G182" s="21"/>
      <c r="H182" s="21"/>
      <c r="I182" s="22"/>
      <c r="J182" s="21"/>
      <c r="K182" s="21"/>
      <c r="L182" s="21"/>
    </row>
    <row r="183" spans="1:12" ht="14.45">
      <c r="A183" s="21"/>
      <c r="B183" s="33"/>
      <c r="C183" s="21"/>
      <c r="D183" s="21"/>
      <c r="E183" s="21"/>
      <c r="F183" s="22"/>
      <c r="G183" s="21"/>
      <c r="H183" s="21"/>
      <c r="I183" s="22"/>
      <c r="J183" s="21"/>
      <c r="K183" s="21"/>
      <c r="L183" s="21"/>
    </row>
    <row r="184" spans="1:12" ht="14.45">
      <c r="A184" s="21"/>
      <c r="B184" s="33"/>
      <c r="C184" s="21"/>
      <c r="D184" s="21"/>
      <c r="E184" s="21"/>
      <c r="F184" s="22"/>
      <c r="G184" s="21"/>
      <c r="H184" s="21"/>
      <c r="I184" s="22"/>
      <c r="J184" s="21"/>
      <c r="K184" s="21"/>
      <c r="L184" s="21"/>
    </row>
    <row r="185" spans="1:12" ht="14.45">
      <c r="A185" s="21"/>
      <c r="B185" s="33"/>
      <c r="C185" s="21"/>
      <c r="D185" s="21"/>
      <c r="E185" s="21"/>
      <c r="F185" s="22"/>
      <c r="G185" s="21"/>
      <c r="H185" s="21"/>
      <c r="I185" s="22"/>
      <c r="J185" s="21"/>
      <c r="K185" s="21"/>
      <c r="L185" s="21"/>
    </row>
    <row r="186" spans="1:12" ht="14.45">
      <c r="A186" s="21"/>
      <c r="B186" s="33"/>
      <c r="C186" s="21"/>
      <c r="D186" s="21"/>
      <c r="E186" s="21"/>
      <c r="F186" s="22"/>
      <c r="G186" s="21"/>
      <c r="H186" s="21"/>
      <c r="I186" s="22"/>
      <c r="J186" s="21"/>
      <c r="K186" s="21"/>
      <c r="L186" s="21"/>
    </row>
    <row r="187" spans="1:12" ht="14.45">
      <c r="A187" s="21"/>
      <c r="B187" s="33"/>
      <c r="C187" s="21"/>
      <c r="D187" s="21"/>
      <c r="E187" s="21"/>
      <c r="F187" s="22"/>
      <c r="G187" s="21"/>
      <c r="H187" s="21"/>
      <c r="I187" s="22"/>
      <c r="J187" s="21"/>
      <c r="K187" s="21"/>
      <c r="L187" s="21"/>
    </row>
    <row r="188" spans="1:12" ht="14.45">
      <c r="A188" s="21"/>
      <c r="B188" s="33"/>
      <c r="C188" s="21"/>
      <c r="D188" s="21"/>
      <c r="E188" s="21"/>
      <c r="F188" s="22"/>
      <c r="G188" s="21"/>
      <c r="H188" s="21"/>
      <c r="I188" s="22"/>
      <c r="J188" s="21"/>
      <c r="K188" s="21"/>
      <c r="L188" s="21"/>
    </row>
    <row r="189" spans="1:12" ht="14.45">
      <c r="A189" s="21"/>
      <c r="B189" s="33"/>
      <c r="C189" s="21"/>
      <c r="D189" s="21"/>
      <c r="E189" s="21"/>
      <c r="F189" s="22"/>
      <c r="G189" s="21"/>
      <c r="H189" s="21"/>
      <c r="I189" s="22"/>
      <c r="J189" s="21"/>
      <c r="K189" s="21"/>
      <c r="L189" s="21"/>
    </row>
    <row r="190" spans="1:12" ht="14.45">
      <c r="A190" s="21"/>
      <c r="B190" s="33"/>
      <c r="C190" s="21"/>
      <c r="D190" s="21"/>
      <c r="E190" s="21"/>
      <c r="F190" s="22"/>
      <c r="G190" s="21"/>
      <c r="H190" s="21"/>
      <c r="I190" s="22"/>
      <c r="J190" s="21"/>
      <c r="K190" s="21"/>
      <c r="L190" s="21"/>
    </row>
    <row r="191" spans="1:12" ht="14.45">
      <c r="A191" s="21"/>
      <c r="B191" s="33"/>
      <c r="C191" s="21"/>
      <c r="D191" s="21"/>
      <c r="E191" s="21"/>
      <c r="F191" s="22"/>
      <c r="G191" s="21"/>
      <c r="H191" s="21"/>
      <c r="I191" s="22"/>
      <c r="J191" s="21"/>
      <c r="K191" s="21"/>
      <c r="L191" s="21"/>
    </row>
    <row r="192" spans="1:12" ht="14.45">
      <c r="A192" s="21"/>
      <c r="B192" s="33"/>
      <c r="C192" s="21"/>
      <c r="D192" s="21"/>
      <c r="E192" s="21"/>
      <c r="F192" s="22"/>
      <c r="G192" s="21"/>
      <c r="H192" s="21"/>
      <c r="I192" s="22"/>
      <c r="J192" s="21"/>
      <c r="K192" s="21"/>
      <c r="L192" s="21"/>
    </row>
    <row r="193" spans="1:12" ht="14.45">
      <c r="A193" s="21"/>
      <c r="B193" s="33"/>
      <c r="C193" s="21"/>
      <c r="D193" s="21"/>
      <c r="E193" s="21"/>
      <c r="F193" s="22"/>
      <c r="G193" s="21"/>
      <c r="H193" s="21"/>
      <c r="I193" s="22"/>
      <c r="J193" s="21"/>
      <c r="K193" s="21"/>
      <c r="L193" s="21"/>
    </row>
    <row r="194" spans="1:12" ht="14.45">
      <c r="A194" s="21"/>
      <c r="B194" s="33"/>
      <c r="C194" s="21"/>
      <c r="D194" s="21"/>
      <c r="E194" s="21"/>
      <c r="F194" s="22"/>
      <c r="G194" s="21"/>
      <c r="H194" s="21"/>
      <c r="I194" s="22"/>
      <c r="J194" s="21"/>
      <c r="K194" s="21"/>
      <c r="L194" s="21"/>
    </row>
    <row r="195" spans="1:12" ht="14.45">
      <c r="A195" s="21"/>
      <c r="B195" s="33"/>
      <c r="C195" s="21"/>
      <c r="D195" s="21"/>
      <c r="E195" s="21"/>
      <c r="F195" s="22"/>
      <c r="G195" s="21"/>
      <c r="H195" s="21"/>
      <c r="I195" s="22"/>
      <c r="J195" s="21"/>
      <c r="K195" s="21"/>
      <c r="L195" s="21"/>
    </row>
    <row r="196" spans="1:12" ht="14.45">
      <c r="A196" s="21"/>
      <c r="B196" s="33"/>
      <c r="C196" s="21"/>
      <c r="D196" s="21"/>
      <c r="E196" s="21"/>
      <c r="F196" s="22"/>
      <c r="G196" s="21"/>
      <c r="H196" s="21"/>
      <c r="I196" s="22"/>
      <c r="J196" s="21"/>
      <c r="K196" s="21"/>
      <c r="L196" s="21"/>
    </row>
    <row r="197" spans="1:12" ht="14.45">
      <c r="A197" s="21"/>
      <c r="B197" s="33"/>
      <c r="C197" s="21"/>
      <c r="D197" s="21"/>
      <c r="E197" s="21"/>
      <c r="F197" s="22"/>
      <c r="G197" s="21"/>
      <c r="H197" s="21"/>
      <c r="I197" s="22"/>
      <c r="J197" s="21"/>
      <c r="K197" s="21"/>
      <c r="L197" s="21"/>
    </row>
    <row r="198" spans="1:12" ht="14.45">
      <c r="A198" s="21"/>
      <c r="B198" s="33"/>
      <c r="C198" s="21"/>
      <c r="D198" s="21"/>
      <c r="E198" s="21"/>
      <c r="F198" s="22"/>
      <c r="G198" s="21"/>
      <c r="H198" s="21"/>
      <c r="I198" s="22"/>
      <c r="J198" s="21"/>
      <c r="K198" s="21"/>
      <c r="L198" s="21"/>
    </row>
    <row r="199" spans="1:12" ht="14.45">
      <c r="A199" s="21"/>
      <c r="B199" s="33"/>
      <c r="C199" s="21"/>
      <c r="D199" s="21"/>
      <c r="E199" s="21"/>
      <c r="F199" s="22"/>
      <c r="G199" s="21"/>
      <c r="H199" s="21"/>
      <c r="I199" s="22"/>
      <c r="J199" s="21"/>
      <c r="K199" s="21"/>
      <c r="L199" s="21"/>
    </row>
    <row r="200" spans="1:12" ht="14.45">
      <c r="A200" s="21"/>
      <c r="B200" s="33"/>
      <c r="C200" s="21"/>
      <c r="D200" s="21"/>
      <c r="E200" s="21"/>
      <c r="F200" s="22"/>
      <c r="G200" s="21"/>
      <c r="H200" s="21"/>
      <c r="I200" s="22"/>
      <c r="J200" s="21"/>
      <c r="K200" s="21"/>
      <c r="L200" s="21"/>
    </row>
    <row r="201" spans="1:12" ht="14.45">
      <c r="A201" s="21"/>
      <c r="B201" s="33"/>
      <c r="C201" s="21"/>
      <c r="D201" s="21"/>
      <c r="E201" s="21"/>
      <c r="F201" s="22"/>
      <c r="G201" s="21"/>
      <c r="H201" s="21"/>
      <c r="I201" s="22"/>
      <c r="J201" s="21"/>
      <c r="K201" s="21"/>
      <c r="L201" s="21"/>
    </row>
    <row r="202" spans="1:12" ht="14.45">
      <c r="A202" s="21"/>
      <c r="B202" s="33"/>
      <c r="C202" s="21"/>
      <c r="D202" s="21"/>
      <c r="E202" s="21"/>
      <c r="F202" s="22"/>
      <c r="G202" s="21"/>
      <c r="H202" s="21"/>
      <c r="I202" s="22"/>
      <c r="J202" s="21"/>
      <c r="K202" s="21"/>
      <c r="L202" s="21"/>
    </row>
    <row r="203" spans="1:12" ht="14.45">
      <c r="A203" s="21"/>
      <c r="B203" s="33"/>
      <c r="C203" s="21"/>
      <c r="D203" s="21"/>
      <c r="E203" s="21"/>
      <c r="F203" s="22"/>
      <c r="G203" s="21"/>
      <c r="H203" s="21"/>
      <c r="I203" s="22"/>
      <c r="J203" s="21"/>
      <c r="K203" s="21"/>
      <c r="L203" s="21"/>
    </row>
    <row r="204" spans="1:12" ht="14.45">
      <c r="A204" s="21"/>
      <c r="B204" s="33"/>
      <c r="C204" s="21"/>
      <c r="D204" s="21"/>
      <c r="E204" s="21"/>
      <c r="F204" s="22"/>
      <c r="G204" s="21"/>
      <c r="H204" s="21"/>
      <c r="I204" s="22"/>
      <c r="J204" s="21"/>
      <c r="K204" s="21"/>
      <c r="L204" s="21"/>
    </row>
    <row r="205" spans="1:12" ht="14.45">
      <c r="A205" s="21"/>
      <c r="B205" s="33"/>
      <c r="C205" s="21"/>
      <c r="D205" s="21"/>
      <c r="E205" s="21"/>
      <c r="F205" s="22"/>
      <c r="G205" s="21"/>
      <c r="H205" s="21"/>
      <c r="I205" s="22"/>
      <c r="J205" s="21"/>
      <c r="K205" s="21"/>
      <c r="L205" s="21"/>
    </row>
    <row r="206" spans="1:12" ht="14.45">
      <c r="A206" s="21"/>
      <c r="B206" s="33"/>
      <c r="C206" s="21"/>
      <c r="D206" s="21"/>
      <c r="E206" s="21"/>
      <c r="F206" s="22"/>
      <c r="G206" s="21"/>
      <c r="H206" s="21"/>
      <c r="I206" s="22"/>
      <c r="J206" s="21"/>
      <c r="K206" s="21"/>
      <c r="L206" s="21"/>
    </row>
    <row r="207" spans="1:12" ht="14.45">
      <c r="A207" s="21"/>
      <c r="B207" s="33"/>
      <c r="C207" s="21"/>
      <c r="D207" s="21"/>
      <c r="E207" s="21"/>
      <c r="F207" s="22"/>
      <c r="G207" s="21"/>
      <c r="H207" s="21"/>
      <c r="I207" s="22"/>
      <c r="J207" s="21"/>
      <c r="K207" s="21"/>
      <c r="L207" s="21"/>
    </row>
    <row r="208" spans="1:12" ht="14.45">
      <c r="A208" s="21"/>
      <c r="B208" s="33"/>
      <c r="C208" s="21"/>
      <c r="D208" s="21"/>
      <c r="E208" s="21"/>
      <c r="F208" s="22"/>
      <c r="G208" s="21"/>
      <c r="H208" s="21"/>
      <c r="I208" s="22"/>
      <c r="J208" s="21"/>
      <c r="K208" s="21"/>
      <c r="L208" s="21"/>
    </row>
    <row r="209" spans="1:12" ht="14.45">
      <c r="A209" s="21"/>
      <c r="B209" s="33"/>
      <c r="C209" s="21"/>
      <c r="D209" s="21"/>
      <c r="E209" s="21"/>
      <c r="F209" s="22"/>
      <c r="G209" s="21"/>
      <c r="H209" s="21"/>
      <c r="I209" s="22"/>
      <c r="J209" s="21"/>
      <c r="K209" s="21"/>
      <c r="L209" s="21"/>
    </row>
    <row r="210" spans="1:12" ht="14.45">
      <c r="A210" s="21"/>
      <c r="B210" s="33"/>
      <c r="C210" s="21"/>
      <c r="D210" s="21"/>
      <c r="E210" s="21"/>
      <c r="F210" s="22"/>
      <c r="G210" s="21"/>
      <c r="H210" s="21"/>
      <c r="I210" s="22"/>
      <c r="J210" s="21"/>
      <c r="K210" s="21"/>
      <c r="L210" s="21"/>
    </row>
    <row r="211" spans="1:12" ht="14.45">
      <c r="A211" s="21"/>
      <c r="B211" s="33"/>
      <c r="C211" s="21"/>
      <c r="D211" s="21"/>
      <c r="E211" s="21"/>
      <c r="F211" s="22"/>
      <c r="G211" s="21"/>
      <c r="H211" s="21"/>
      <c r="I211" s="22"/>
      <c r="J211" s="21"/>
      <c r="K211" s="21"/>
      <c r="L211" s="21"/>
    </row>
    <row r="212" spans="1:12" ht="14.45">
      <c r="A212" s="21"/>
      <c r="B212" s="33"/>
      <c r="C212" s="21"/>
      <c r="D212" s="21"/>
      <c r="E212" s="21"/>
      <c r="F212" s="22"/>
      <c r="G212" s="21"/>
      <c r="H212" s="21"/>
      <c r="I212" s="22"/>
      <c r="J212" s="21"/>
      <c r="K212" s="21"/>
      <c r="L212" s="21"/>
    </row>
    <row r="213" spans="1:12" ht="14.45">
      <c r="A213" s="21"/>
      <c r="B213" s="33"/>
      <c r="C213" s="21"/>
      <c r="D213" s="21"/>
      <c r="E213" s="21"/>
      <c r="F213" s="22"/>
      <c r="G213" s="21"/>
      <c r="H213" s="21"/>
      <c r="I213" s="22"/>
      <c r="J213" s="21"/>
      <c r="K213" s="21"/>
      <c r="L213" s="21"/>
    </row>
    <row r="214" spans="1:12" ht="14.45">
      <c r="A214" s="21"/>
      <c r="B214" s="33"/>
      <c r="C214" s="21"/>
      <c r="D214" s="21"/>
      <c r="E214" s="21"/>
      <c r="F214" s="22"/>
      <c r="G214" s="21"/>
      <c r="H214" s="21"/>
      <c r="I214" s="22"/>
      <c r="J214" s="21"/>
      <c r="K214" s="21"/>
      <c r="L214" s="21"/>
    </row>
    <row r="215" spans="1:12" ht="14.45">
      <c r="A215" s="21"/>
      <c r="B215" s="33"/>
      <c r="C215" s="21"/>
      <c r="D215" s="21"/>
      <c r="E215" s="21"/>
      <c r="F215" s="22"/>
      <c r="G215" s="21"/>
      <c r="H215" s="21"/>
      <c r="I215" s="22"/>
      <c r="J215" s="21"/>
      <c r="K215" s="21"/>
      <c r="L215" s="21"/>
    </row>
    <row r="216" spans="1:12" ht="14.45">
      <c r="A216" s="21"/>
      <c r="B216" s="33"/>
      <c r="C216" s="21"/>
      <c r="D216" s="21"/>
      <c r="E216" s="21"/>
      <c r="F216" s="22"/>
      <c r="G216" s="21"/>
      <c r="H216" s="21"/>
      <c r="I216" s="22"/>
      <c r="J216" s="21"/>
      <c r="K216" s="21"/>
      <c r="L216" s="21"/>
    </row>
    <row r="217" spans="1:12" ht="14.45">
      <c r="A217" s="21"/>
      <c r="B217" s="33"/>
      <c r="C217" s="21"/>
      <c r="D217" s="21"/>
      <c r="E217" s="21"/>
      <c r="F217" s="22"/>
      <c r="G217" s="21"/>
      <c r="H217" s="21"/>
      <c r="I217" s="22"/>
      <c r="J217" s="21"/>
      <c r="K217" s="21"/>
      <c r="L217" s="21"/>
    </row>
    <row r="218" spans="1:12" ht="14.45">
      <c r="A218" s="21"/>
      <c r="B218" s="33"/>
      <c r="C218" s="21"/>
      <c r="D218" s="21"/>
      <c r="E218" s="21"/>
      <c r="F218" s="22"/>
      <c r="G218" s="21"/>
      <c r="H218" s="21"/>
      <c r="I218" s="22"/>
      <c r="J218" s="21"/>
      <c r="K218" s="21"/>
      <c r="L218" s="21"/>
    </row>
    <row r="219" spans="1:12" ht="14.45">
      <c r="A219" s="21"/>
      <c r="B219" s="33"/>
      <c r="C219" s="21"/>
      <c r="D219" s="21"/>
      <c r="E219" s="21"/>
      <c r="F219" s="22"/>
      <c r="G219" s="21"/>
      <c r="H219" s="21"/>
      <c r="I219" s="22"/>
      <c r="J219" s="21"/>
      <c r="K219" s="21"/>
      <c r="L219" s="21"/>
    </row>
    <row r="220" spans="1:12" ht="14.45">
      <c r="A220" s="21"/>
      <c r="B220" s="33"/>
      <c r="C220" s="21"/>
      <c r="D220" s="21"/>
      <c r="E220" s="21"/>
      <c r="F220" s="22"/>
      <c r="G220" s="21"/>
      <c r="H220" s="21"/>
      <c r="I220" s="22"/>
      <c r="J220" s="21"/>
      <c r="K220" s="21"/>
      <c r="L220" s="21"/>
    </row>
    <row r="221" spans="1:12" ht="14.45">
      <c r="A221" s="21"/>
      <c r="B221" s="33"/>
      <c r="C221" s="21"/>
      <c r="D221" s="21"/>
      <c r="E221" s="21"/>
      <c r="F221" s="22"/>
      <c r="G221" s="21"/>
      <c r="H221" s="21"/>
      <c r="I221" s="22"/>
      <c r="J221" s="21"/>
      <c r="K221" s="21"/>
      <c r="L221" s="21"/>
    </row>
    <row r="222" spans="1:12" ht="14.45">
      <c r="A222" s="21"/>
      <c r="B222" s="33"/>
      <c r="C222" s="21"/>
      <c r="D222" s="21"/>
      <c r="E222" s="21"/>
      <c r="F222" s="22"/>
      <c r="G222" s="21"/>
      <c r="H222" s="21"/>
      <c r="I222" s="22"/>
      <c r="J222" s="21"/>
      <c r="K222" s="21"/>
      <c r="L222" s="21"/>
    </row>
    <row r="223" spans="1:12" ht="14.45">
      <c r="A223" s="21"/>
      <c r="B223" s="33"/>
      <c r="C223" s="21"/>
      <c r="D223" s="21"/>
      <c r="E223" s="21"/>
      <c r="F223" s="22"/>
      <c r="G223" s="21"/>
      <c r="H223" s="21"/>
      <c r="I223" s="22"/>
      <c r="J223" s="21"/>
      <c r="K223" s="21"/>
      <c r="L223" s="21"/>
    </row>
    <row r="224" spans="1:12" ht="14.45">
      <c r="A224" s="21"/>
      <c r="B224" s="33"/>
      <c r="C224" s="21"/>
      <c r="D224" s="21"/>
      <c r="E224" s="21"/>
      <c r="F224" s="22"/>
      <c r="G224" s="21"/>
      <c r="H224" s="21"/>
      <c r="I224" s="22"/>
      <c r="J224" s="21"/>
      <c r="K224" s="21"/>
      <c r="L224" s="21"/>
    </row>
    <row r="225" spans="1:12" ht="14.45">
      <c r="A225" s="21"/>
      <c r="B225" s="33"/>
      <c r="C225" s="21"/>
      <c r="D225" s="21"/>
      <c r="E225" s="21"/>
      <c r="F225" s="22"/>
      <c r="G225" s="21"/>
      <c r="H225" s="21"/>
      <c r="I225" s="22"/>
      <c r="J225" s="21"/>
      <c r="K225" s="21"/>
      <c r="L225" s="21"/>
    </row>
    <row r="226" spans="1:12" ht="14.45">
      <c r="A226" s="21"/>
      <c r="B226" s="33"/>
      <c r="C226" s="21"/>
      <c r="D226" s="21"/>
      <c r="E226" s="21"/>
      <c r="F226" s="22"/>
      <c r="G226" s="21"/>
      <c r="H226" s="21"/>
      <c r="I226" s="22"/>
      <c r="J226" s="21"/>
      <c r="K226" s="21"/>
      <c r="L226" s="21"/>
    </row>
    <row r="227" spans="1:12" ht="14.45">
      <c r="A227" s="21"/>
      <c r="B227" s="33"/>
      <c r="C227" s="21"/>
      <c r="D227" s="21"/>
      <c r="E227" s="21"/>
      <c r="F227" s="22"/>
      <c r="G227" s="21"/>
      <c r="H227" s="21"/>
      <c r="I227" s="22"/>
      <c r="J227" s="21"/>
      <c r="K227" s="21"/>
      <c r="L227" s="21"/>
    </row>
    <row r="228" spans="1:12" ht="14.45">
      <c r="A228" s="21"/>
      <c r="B228" s="33"/>
      <c r="C228" s="21"/>
      <c r="D228" s="21"/>
      <c r="E228" s="21"/>
      <c r="F228" s="22"/>
      <c r="G228" s="21"/>
      <c r="H228" s="21"/>
      <c r="I228" s="22"/>
      <c r="J228" s="21"/>
      <c r="K228" s="21"/>
      <c r="L228" s="21"/>
    </row>
    <row r="229" spans="1:12" ht="14.45">
      <c r="A229" s="21"/>
      <c r="B229" s="33"/>
      <c r="C229" s="21"/>
      <c r="D229" s="21"/>
      <c r="E229" s="21"/>
      <c r="F229" s="22"/>
      <c r="G229" s="21"/>
      <c r="H229" s="21"/>
      <c r="I229" s="22"/>
      <c r="J229" s="21"/>
      <c r="K229" s="21"/>
      <c r="L229" s="21"/>
    </row>
    <row r="230" spans="1:12" ht="14.45">
      <c r="A230" s="21"/>
      <c r="B230" s="33"/>
      <c r="C230" s="21"/>
      <c r="D230" s="21"/>
      <c r="E230" s="21"/>
      <c r="F230" s="22"/>
      <c r="G230" s="21"/>
      <c r="H230" s="21"/>
      <c r="I230" s="22"/>
      <c r="J230" s="21"/>
      <c r="K230" s="21"/>
      <c r="L230" s="21"/>
    </row>
    <row r="231" spans="1:12" ht="14.45">
      <c r="A231" s="21"/>
      <c r="B231" s="33"/>
      <c r="C231" s="21"/>
      <c r="D231" s="21"/>
      <c r="E231" s="21"/>
      <c r="F231" s="22"/>
      <c r="G231" s="21"/>
      <c r="H231" s="21"/>
      <c r="I231" s="22"/>
      <c r="J231" s="21"/>
      <c r="K231" s="21"/>
      <c r="L231" s="21"/>
    </row>
    <row r="232" spans="1:12" ht="14.45">
      <c r="A232" s="21"/>
      <c r="B232" s="33"/>
      <c r="C232" s="21"/>
      <c r="D232" s="21"/>
      <c r="E232" s="21"/>
      <c r="F232" s="22"/>
      <c r="G232" s="21"/>
      <c r="H232" s="21"/>
      <c r="I232" s="22"/>
      <c r="J232" s="21"/>
      <c r="K232" s="21"/>
      <c r="L232" s="21"/>
    </row>
    <row r="233" spans="1:12" ht="14.45">
      <c r="A233" s="21"/>
      <c r="B233" s="33"/>
      <c r="C233" s="21"/>
      <c r="D233" s="21"/>
      <c r="E233" s="21"/>
      <c r="F233" s="22"/>
      <c r="G233" s="21"/>
      <c r="H233" s="21"/>
      <c r="I233" s="22"/>
      <c r="J233" s="21"/>
      <c r="K233" s="21"/>
      <c r="L233" s="21"/>
    </row>
    <row r="234" spans="1:12" ht="14.45">
      <c r="A234" s="21"/>
      <c r="B234" s="33"/>
      <c r="C234" s="21"/>
      <c r="D234" s="21"/>
      <c r="E234" s="21"/>
      <c r="F234" s="22"/>
      <c r="G234" s="21"/>
      <c r="H234" s="21"/>
      <c r="I234" s="22"/>
      <c r="J234" s="21"/>
      <c r="K234" s="21"/>
      <c r="L234" s="21"/>
    </row>
    <row r="235" spans="1:12" ht="14.45">
      <c r="A235" s="21"/>
      <c r="B235" s="33"/>
      <c r="C235" s="21"/>
      <c r="D235" s="21"/>
      <c r="E235" s="21"/>
      <c r="F235" s="22"/>
      <c r="G235" s="21"/>
      <c r="H235" s="21"/>
      <c r="I235" s="22"/>
      <c r="J235" s="21"/>
      <c r="K235" s="21"/>
      <c r="L235" s="21"/>
    </row>
    <row r="236" spans="1:12" ht="14.45">
      <c r="A236" s="21"/>
      <c r="B236" s="33"/>
      <c r="C236" s="21"/>
      <c r="D236" s="21"/>
      <c r="E236" s="21"/>
      <c r="F236" s="22"/>
      <c r="G236" s="21"/>
      <c r="H236" s="21"/>
      <c r="I236" s="22"/>
      <c r="J236" s="21"/>
      <c r="K236" s="21"/>
      <c r="L236" s="21"/>
    </row>
    <row r="237" spans="1:12" ht="14.45">
      <c r="A237" s="21"/>
      <c r="B237" s="33"/>
      <c r="C237" s="21"/>
      <c r="D237" s="21"/>
      <c r="E237" s="21"/>
      <c r="F237" s="22"/>
      <c r="G237" s="21"/>
      <c r="H237" s="21"/>
      <c r="I237" s="22"/>
      <c r="J237" s="21"/>
      <c r="K237" s="21"/>
      <c r="L237" s="21"/>
    </row>
    <row r="238" spans="1:12" ht="14.45">
      <c r="A238" s="21"/>
      <c r="B238" s="33"/>
      <c r="C238" s="21"/>
      <c r="D238" s="21"/>
      <c r="E238" s="21"/>
      <c r="F238" s="22"/>
      <c r="G238" s="21"/>
      <c r="H238" s="21"/>
      <c r="I238" s="22"/>
      <c r="J238" s="21"/>
      <c r="K238" s="21"/>
      <c r="L238" s="21"/>
    </row>
    <row r="239" spans="1:12" ht="14.45">
      <c r="A239" s="21"/>
      <c r="B239" s="33"/>
      <c r="C239" s="21"/>
      <c r="D239" s="21"/>
      <c r="E239" s="21"/>
      <c r="F239" s="22"/>
      <c r="G239" s="21"/>
      <c r="H239" s="21"/>
      <c r="I239" s="22"/>
      <c r="J239" s="21"/>
      <c r="K239" s="21"/>
      <c r="L239" s="21"/>
    </row>
    <row r="240" spans="1:12" ht="14.45">
      <c r="A240" s="21"/>
      <c r="B240" s="33"/>
      <c r="C240" s="21"/>
      <c r="D240" s="21"/>
      <c r="E240" s="21"/>
      <c r="F240" s="22"/>
      <c r="G240" s="21"/>
      <c r="H240" s="21"/>
      <c r="I240" s="22"/>
      <c r="J240" s="21"/>
      <c r="K240" s="21"/>
      <c r="L240" s="21"/>
    </row>
    <row r="241" spans="1:12" ht="14.45">
      <c r="A241" s="21"/>
      <c r="B241" s="33"/>
      <c r="C241" s="21"/>
      <c r="D241" s="21"/>
      <c r="E241" s="21"/>
      <c r="F241" s="22"/>
      <c r="G241" s="21"/>
      <c r="H241" s="21"/>
      <c r="I241" s="22"/>
      <c r="J241" s="21"/>
      <c r="K241" s="21"/>
      <c r="L241" s="21"/>
    </row>
    <row r="242" spans="1:12" ht="14.45">
      <c r="A242" s="21"/>
      <c r="B242" s="33"/>
      <c r="C242" s="21"/>
      <c r="D242" s="21"/>
      <c r="E242" s="21"/>
      <c r="F242" s="22"/>
      <c r="G242" s="21"/>
      <c r="H242" s="21"/>
      <c r="I242" s="22"/>
      <c r="J242" s="21"/>
      <c r="K242" s="21"/>
      <c r="L242" s="21"/>
    </row>
    <row r="243" spans="1:12" ht="14.45">
      <c r="A243" s="21"/>
      <c r="B243" s="33"/>
      <c r="C243" s="21"/>
      <c r="D243" s="21"/>
      <c r="E243" s="21"/>
      <c r="F243" s="22"/>
      <c r="G243" s="21"/>
      <c r="H243" s="21"/>
      <c r="I243" s="22"/>
      <c r="J243" s="21"/>
      <c r="K243" s="21"/>
      <c r="L243" s="21"/>
    </row>
    <row r="244" spans="1:12" ht="14.45">
      <c r="A244" s="21"/>
      <c r="B244" s="33"/>
      <c r="C244" s="21"/>
      <c r="D244" s="21"/>
      <c r="E244" s="21"/>
      <c r="F244" s="22"/>
      <c r="G244" s="21"/>
      <c r="H244" s="21"/>
      <c r="I244" s="22"/>
      <c r="J244" s="21"/>
      <c r="K244" s="21"/>
      <c r="L244" s="21"/>
    </row>
    <row r="245" spans="1:12" ht="14.45">
      <c r="A245" s="21"/>
      <c r="B245" s="33"/>
      <c r="C245" s="21"/>
      <c r="D245" s="21"/>
      <c r="E245" s="21"/>
      <c r="F245" s="22"/>
      <c r="G245" s="21"/>
      <c r="H245" s="21"/>
      <c r="I245" s="22"/>
      <c r="J245" s="21"/>
      <c r="K245" s="21"/>
      <c r="L245" s="21"/>
    </row>
    <row r="246" spans="1:12" ht="14.45">
      <c r="A246" s="21"/>
      <c r="B246" s="33"/>
      <c r="C246" s="21"/>
      <c r="D246" s="21"/>
      <c r="E246" s="21"/>
      <c r="F246" s="22"/>
      <c r="G246" s="21"/>
      <c r="H246" s="21"/>
      <c r="I246" s="22"/>
      <c r="J246" s="21"/>
      <c r="K246" s="21"/>
      <c r="L246" s="21"/>
    </row>
    <row r="247" spans="1:12" ht="14.45">
      <c r="A247" s="21"/>
      <c r="B247" s="33"/>
      <c r="C247" s="21"/>
      <c r="D247" s="21"/>
      <c r="E247" s="21"/>
      <c r="F247" s="22"/>
      <c r="G247" s="21"/>
      <c r="H247" s="21"/>
      <c r="I247" s="22"/>
      <c r="J247" s="21"/>
      <c r="K247" s="21"/>
      <c r="L247" s="21"/>
    </row>
    <row r="248" spans="1:12" ht="14.45">
      <c r="A248" s="21"/>
      <c r="B248" s="33"/>
      <c r="C248" s="21"/>
      <c r="D248" s="21"/>
      <c r="E248" s="21"/>
      <c r="F248" s="22"/>
      <c r="G248" s="21"/>
      <c r="H248" s="21"/>
      <c r="I248" s="22"/>
      <c r="J248" s="21"/>
      <c r="K248" s="21"/>
      <c r="L248" s="21"/>
    </row>
    <row r="249" spans="1:12" ht="14.45">
      <c r="A249" s="21"/>
      <c r="B249" s="33"/>
      <c r="C249" s="21"/>
      <c r="D249" s="21"/>
      <c r="E249" s="21"/>
      <c r="F249" s="22"/>
      <c r="G249" s="21"/>
      <c r="H249" s="21"/>
      <c r="I249" s="22"/>
      <c r="J249" s="21"/>
      <c r="K249" s="21"/>
      <c r="L249" s="21"/>
    </row>
    <row r="250" spans="1:12" ht="14.45">
      <c r="A250" s="21"/>
      <c r="B250" s="33"/>
      <c r="C250" s="21"/>
      <c r="D250" s="21"/>
      <c r="E250" s="21"/>
      <c r="F250" s="22"/>
      <c r="G250" s="21"/>
      <c r="H250" s="21"/>
      <c r="I250" s="22"/>
      <c r="J250" s="21"/>
      <c r="K250" s="21"/>
      <c r="L250" s="21"/>
    </row>
    <row r="251" spans="1:12" ht="14.45">
      <c r="A251" s="21"/>
      <c r="B251" s="33"/>
      <c r="C251" s="21"/>
      <c r="D251" s="21"/>
      <c r="E251" s="21"/>
      <c r="F251" s="22"/>
      <c r="G251" s="21"/>
      <c r="H251" s="21"/>
      <c r="I251" s="22"/>
      <c r="J251" s="21"/>
      <c r="K251" s="21"/>
      <c r="L251" s="21"/>
    </row>
    <row r="252" spans="1:12" ht="14.45">
      <c r="A252" s="21"/>
      <c r="B252" s="33"/>
      <c r="C252" s="21"/>
      <c r="D252" s="21"/>
      <c r="E252" s="21"/>
      <c r="F252" s="22"/>
      <c r="G252" s="21"/>
      <c r="H252" s="21"/>
      <c r="I252" s="22"/>
      <c r="J252" s="21"/>
      <c r="K252" s="21"/>
      <c r="L252" s="21"/>
    </row>
    <row r="253" spans="1:12" ht="14.45">
      <c r="A253" s="21"/>
      <c r="B253" s="33"/>
      <c r="C253" s="21"/>
      <c r="D253" s="21"/>
      <c r="E253" s="21"/>
      <c r="F253" s="22"/>
      <c r="G253" s="21"/>
      <c r="H253" s="21"/>
      <c r="I253" s="22"/>
      <c r="J253" s="21"/>
      <c r="K253" s="21"/>
      <c r="L253" s="21"/>
    </row>
    <row r="254" spans="1:12" ht="14.45">
      <c r="A254" s="21"/>
      <c r="B254" s="33"/>
      <c r="C254" s="21"/>
      <c r="D254" s="21"/>
      <c r="E254" s="21"/>
      <c r="F254" s="22"/>
      <c r="G254" s="21"/>
      <c r="H254" s="21"/>
      <c r="I254" s="22"/>
      <c r="J254" s="21"/>
      <c r="K254" s="21"/>
      <c r="L254" s="21"/>
    </row>
    <row r="255" spans="1:12" ht="14.45">
      <c r="A255" s="21"/>
      <c r="B255" s="33"/>
      <c r="C255" s="21"/>
      <c r="D255" s="21"/>
      <c r="E255" s="21"/>
      <c r="F255" s="22"/>
      <c r="G255" s="21"/>
      <c r="H255" s="21"/>
      <c r="I255" s="22"/>
      <c r="J255" s="21"/>
      <c r="K255" s="21"/>
      <c r="L255" s="21"/>
    </row>
    <row r="256" spans="1:12" ht="14.45">
      <c r="A256" s="21"/>
      <c r="B256" s="33"/>
      <c r="C256" s="21"/>
      <c r="D256" s="21"/>
      <c r="E256" s="21"/>
      <c r="F256" s="22"/>
      <c r="G256" s="21"/>
      <c r="H256" s="21"/>
      <c r="I256" s="22"/>
      <c r="J256" s="21"/>
      <c r="K256" s="21"/>
      <c r="L256" s="21"/>
    </row>
    <row r="257" spans="1:12" ht="14.45">
      <c r="A257" s="21"/>
      <c r="B257" s="33"/>
      <c r="C257" s="21"/>
      <c r="D257" s="21"/>
      <c r="E257" s="21"/>
      <c r="F257" s="22"/>
      <c r="G257" s="21"/>
      <c r="H257" s="21"/>
      <c r="I257" s="22"/>
      <c r="J257" s="21"/>
      <c r="K257" s="21"/>
      <c r="L257" s="21"/>
    </row>
    <row r="258" spans="1:12" ht="14.45">
      <c r="A258" s="21"/>
      <c r="B258" s="33"/>
      <c r="C258" s="21"/>
      <c r="D258" s="21"/>
      <c r="E258" s="21"/>
      <c r="F258" s="22"/>
      <c r="G258" s="21"/>
      <c r="H258" s="21"/>
      <c r="I258" s="22"/>
      <c r="J258" s="21"/>
      <c r="K258" s="21"/>
      <c r="L258" s="21"/>
    </row>
    <row r="259" spans="1:12" ht="14.45">
      <c r="A259" s="21"/>
      <c r="B259" s="33"/>
      <c r="C259" s="21"/>
      <c r="D259" s="21"/>
      <c r="E259" s="21"/>
      <c r="F259" s="22"/>
      <c r="G259" s="21"/>
      <c r="H259" s="21"/>
      <c r="I259" s="22"/>
      <c r="J259" s="21"/>
      <c r="K259" s="21"/>
      <c r="L259" s="21"/>
    </row>
    <row r="260" spans="1:12" ht="14.45">
      <c r="A260" s="21"/>
      <c r="B260" s="33"/>
      <c r="C260" s="21"/>
      <c r="D260" s="21"/>
      <c r="E260" s="21"/>
      <c r="F260" s="22"/>
      <c r="G260" s="21"/>
      <c r="H260" s="21"/>
      <c r="I260" s="22"/>
      <c r="J260" s="21"/>
      <c r="K260" s="21"/>
      <c r="L260" s="21"/>
    </row>
    <row r="261" spans="1:12" ht="14.45">
      <c r="A261" s="21"/>
      <c r="B261" s="33"/>
      <c r="C261" s="21"/>
      <c r="D261" s="21"/>
      <c r="E261" s="21"/>
      <c r="F261" s="22"/>
      <c r="G261" s="21"/>
      <c r="H261" s="21"/>
      <c r="I261" s="22"/>
      <c r="J261" s="21"/>
      <c r="K261" s="21"/>
      <c r="L261" s="21"/>
    </row>
    <row r="262" spans="1:12" ht="14.45">
      <c r="A262" s="21"/>
      <c r="B262" s="33"/>
      <c r="C262" s="21"/>
      <c r="D262" s="21"/>
      <c r="E262" s="21"/>
      <c r="F262" s="22"/>
      <c r="G262" s="21"/>
      <c r="H262" s="21"/>
      <c r="I262" s="22"/>
      <c r="J262" s="21"/>
      <c r="K262" s="21"/>
      <c r="L262" s="21"/>
    </row>
    <row r="263" spans="1:12" ht="14.45">
      <c r="A263" s="21"/>
      <c r="B263" s="33"/>
      <c r="C263" s="21"/>
      <c r="D263" s="21"/>
      <c r="E263" s="21"/>
      <c r="F263" s="22"/>
      <c r="G263" s="21"/>
      <c r="H263" s="21"/>
      <c r="I263" s="22"/>
      <c r="J263" s="21"/>
      <c r="K263" s="21"/>
      <c r="L263" s="21"/>
    </row>
    <row r="264" spans="1:12" ht="14.45">
      <c r="A264" s="21"/>
      <c r="B264" s="33"/>
      <c r="C264" s="21"/>
      <c r="D264" s="21"/>
      <c r="E264" s="21"/>
      <c r="F264" s="22"/>
      <c r="G264" s="21"/>
      <c r="H264" s="21"/>
      <c r="I264" s="22"/>
      <c r="J264" s="21"/>
      <c r="K264" s="21"/>
      <c r="L264" s="21"/>
    </row>
    <row r="265" spans="1:12" ht="14.45">
      <c r="A265" s="21"/>
      <c r="B265" s="33"/>
      <c r="C265" s="21"/>
      <c r="D265" s="21"/>
      <c r="E265" s="21"/>
      <c r="F265" s="22"/>
      <c r="G265" s="21"/>
      <c r="H265" s="21"/>
      <c r="I265" s="22"/>
      <c r="J265" s="21"/>
      <c r="K265" s="21"/>
      <c r="L265" s="21"/>
    </row>
    <row r="266" spans="1:12" ht="14.45">
      <c r="A266" s="21"/>
      <c r="B266" s="33"/>
      <c r="C266" s="21"/>
      <c r="D266" s="21"/>
      <c r="E266" s="21"/>
      <c r="F266" s="22"/>
      <c r="G266" s="21"/>
      <c r="H266" s="21"/>
      <c r="I266" s="22"/>
      <c r="J266" s="21"/>
      <c r="K266" s="21"/>
      <c r="L266" s="21"/>
    </row>
    <row r="267" spans="1:12" ht="14.45">
      <c r="A267" s="21"/>
      <c r="B267" s="33"/>
      <c r="C267" s="21"/>
      <c r="D267" s="21"/>
      <c r="E267" s="21"/>
      <c r="F267" s="22"/>
      <c r="G267" s="21"/>
      <c r="H267" s="21"/>
      <c r="I267" s="22"/>
      <c r="J267" s="21"/>
      <c r="K267" s="21"/>
      <c r="L267" s="21"/>
    </row>
    <row r="268" spans="1:12" ht="14.45">
      <c r="A268" s="21"/>
      <c r="B268" s="33"/>
      <c r="C268" s="21"/>
      <c r="D268" s="21"/>
      <c r="E268" s="21"/>
      <c r="F268" s="22"/>
      <c r="G268" s="21"/>
      <c r="H268" s="21"/>
      <c r="I268" s="22"/>
      <c r="J268" s="21"/>
      <c r="K268" s="21"/>
      <c r="L268" s="21"/>
    </row>
    <row r="269" spans="1:12" ht="14.45">
      <c r="A269" s="21"/>
      <c r="B269" s="33"/>
      <c r="C269" s="21"/>
      <c r="D269" s="21"/>
      <c r="E269" s="21"/>
      <c r="F269" s="22"/>
      <c r="G269" s="21"/>
      <c r="H269" s="21"/>
      <c r="I269" s="22"/>
      <c r="J269" s="21"/>
      <c r="K269" s="21"/>
      <c r="L269" s="21"/>
    </row>
    <row r="270" spans="1:12" ht="14.45">
      <c r="A270" s="21"/>
      <c r="B270" s="33"/>
      <c r="C270" s="21"/>
      <c r="D270" s="21"/>
      <c r="E270" s="21"/>
      <c r="F270" s="22"/>
      <c r="G270" s="21"/>
      <c r="H270" s="21"/>
      <c r="I270" s="22"/>
      <c r="J270" s="21"/>
      <c r="K270" s="21"/>
      <c r="L270" s="21"/>
    </row>
    <row r="271" spans="1:12" ht="14.45">
      <c r="A271" s="21"/>
      <c r="B271" s="33"/>
      <c r="C271" s="21"/>
      <c r="D271" s="21"/>
      <c r="E271" s="21"/>
      <c r="F271" s="22"/>
      <c r="G271" s="21"/>
      <c r="H271" s="21"/>
      <c r="I271" s="22"/>
      <c r="J271" s="21"/>
      <c r="K271" s="21"/>
      <c r="L271" s="21"/>
    </row>
    <row r="272" spans="1:12" ht="14.45">
      <c r="A272" s="21"/>
      <c r="B272" s="33"/>
      <c r="C272" s="21"/>
      <c r="D272" s="21"/>
      <c r="E272" s="21"/>
      <c r="F272" s="22"/>
      <c r="G272" s="21"/>
      <c r="H272" s="21"/>
      <c r="I272" s="22"/>
      <c r="J272" s="21"/>
      <c r="K272" s="21"/>
      <c r="L272" s="21"/>
    </row>
    <row r="273" spans="1:12" ht="14.45">
      <c r="A273" s="21"/>
      <c r="B273" s="33"/>
      <c r="C273" s="21"/>
      <c r="D273" s="21"/>
      <c r="E273" s="21"/>
      <c r="F273" s="22"/>
      <c r="G273" s="21"/>
      <c r="H273" s="21"/>
      <c r="I273" s="22"/>
      <c r="J273" s="21"/>
      <c r="K273" s="21"/>
      <c r="L273" s="21"/>
    </row>
    <row r="274" spans="1:12" ht="14.45">
      <c r="A274" s="21"/>
      <c r="B274" s="33"/>
      <c r="C274" s="21"/>
      <c r="D274" s="21"/>
      <c r="E274" s="21"/>
      <c r="F274" s="22"/>
      <c r="G274" s="21"/>
      <c r="H274" s="21"/>
      <c r="I274" s="22"/>
      <c r="J274" s="21"/>
      <c r="K274" s="21"/>
      <c r="L274" s="21"/>
    </row>
    <row r="275" spans="1:12" ht="14.45">
      <c r="A275" s="21"/>
      <c r="B275" s="33"/>
      <c r="C275" s="21"/>
      <c r="D275" s="21"/>
      <c r="E275" s="21"/>
      <c r="F275" s="22"/>
      <c r="G275" s="21"/>
      <c r="H275" s="21"/>
      <c r="I275" s="22"/>
      <c r="J275" s="21"/>
      <c r="K275" s="21"/>
      <c r="L275" s="21"/>
    </row>
    <row r="276" spans="1:12" ht="14.45">
      <c r="A276" s="21"/>
      <c r="B276" s="33"/>
      <c r="C276" s="21"/>
      <c r="D276" s="21"/>
      <c r="E276" s="21"/>
      <c r="F276" s="22"/>
      <c r="G276" s="21"/>
      <c r="H276" s="21"/>
      <c r="I276" s="22"/>
      <c r="J276" s="21"/>
      <c r="K276" s="21"/>
      <c r="L276" s="21"/>
    </row>
    <row r="277" spans="1:12" ht="14.45">
      <c r="A277" s="21"/>
      <c r="B277" s="33"/>
      <c r="C277" s="21"/>
      <c r="D277" s="21"/>
      <c r="E277" s="21"/>
      <c r="F277" s="22"/>
      <c r="G277" s="21"/>
      <c r="H277" s="21"/>
      <c r="I277" s="22"/>
      <c r="J277" s="21"/>
      <c r="K277" s="21"/>
      <c r="L277" s="21"/>
    </row>
    <row r="278" spans="1:12" ht="14.45">
      <c r="A278" s="21"/>
      <c r="B278" s="33"/>
      <c r="C278" s="21"/>
      <c r="D278" s="21"/>
      <c r="E278" s="21"/>
      <c r="F278" s="22"/>
      <c r="G278" s="21"/>
      <c r="H278" s="21"/>
      <c r="I278" s="22"/>
      <c r="J278" s="21"/>
      <c r="K278" s="21"/>
      <c r="L278" s="21"/>
    </row>
    <row r="279" spans="1:12" ht="14.45">
      <c r="A279" s="21"/>
      <c r="B279" s="33"/>
      <c r="C279" s="21"/>
      <c r="D279" s="21"/>
      <c r="E279" s="21"/>
      <c r="F279" s="22"/>
      <c r="G279" s="21"/>
      <c r="H279" s="21"/>
      <c r="I279" s="22"/>
      <c r="J279" s="21"/>
      <c r="K279" s="21"/>
      <c r="L279" s="21"/>
    </row>
    <row r="280" spans="1:12" ht="14.45">
      <c r="A280" s="21"/>
      <c r="B280" s="33"/>
      <c r="C280" s="21"/>
      <c r="D280" s="21"/>
      <c r="E280" s="21"/>
      <c r="F280" s="22"/>
      <c r="G280" s="21"/>
      <c r="H280" s="21"/>
      <c r="I280" s="22"/>
      <c r="J280" s="21"/>
      <c r="K280" s="21"/>
      <c r="L280" s="21"/>
    </row>
    <row r="281" spans="1:12" ht="14.45">
      <c r="A281" s="21"/>
      <c r="B281" s="33"/>
      <c r="C281" s="21"/>
      <c r="D281" s="21"/>
      <c r="E281" s="21"/>
      <c r="F281" s="22"/>
      <c r="G281" s="21"/>
      <c r="H281" s="21"/>
      <c r="I281" s="22"/>
      <c r="J281" s="21"/>
      <c r="K281" s="21"/>
      <c r="L281" s="21"/>
    </row>
    <row r="282" spans="1:12" ht="14.45">
      <c r="A282" s="21"/>
      <c r="B282" s="33"/>
      <c r="C282" s="21"/>
      <c r="D282" s="21"/>
      <c r="E282" s="21"/>
      <c r="F282" s="22"/>
      <c r="G282" s="21"/>
      <c r="H282" s="21"/>
      <c r="I282" s="22"/>
      <c r="J282" s="21"/>
      <c r="K282" s="21"/>
      <c r="L282" s="21"/>
    </row>
    <row r="283" spans="1:12" ht="14.45">
      <c r="A283" s="21"/>
      <c r="B283" s="33"/>
      <c r="C283" s="21"/>
      <c r="D283" s="21"/>
      <c r="E283" s="21"/>
      <c r="F283" s="22"/>
      <c r="G283" s="21"/>
      <c r="H283" s="21"/>
      <c r="I283" s="22"/>
      <c r="J283" s="21"/>
      <c r="K283" s="21"/>
      <c r="L283" s="21"/>
    </row>
    <row r="284" spans="1:12" ht="14.45">
      <c r="A284" s="21"/>
      <c r="B284" s="33"/>
      <c r="C284" s="21"/>
      <c r="D284" s="21"/>
      <c r="E284" s="21"/>
      <c r="F284" s="22"/>
      <c r="G284" s="21"/>
      <c r="H284" s="21"/>
      <c r="I284" s="22"/>
      <c r="J284" s="21"/>
      <c r="K284" s="21"/>
      <c r="L284" s="21"/>
    </row>
    <row r="285" spans="1:12" ht="14.45">
      <c r="A285" s="21"/>
      <c r="B285" s="33"/>
      <c r="C285" s="21"/>
      <c r="D285" s="21"/>
      <c r="E285" s="21"/>
      <c r="F285" s="22"/>
      <c r="G285" s="21"/>
      <c r="H285" s="21"/>
      <c r="I285" s="22"/>
      <c r="J285" s="21"/>
      <c r="K285" s="21"/>
      <c r="L285" s="21"/>
    </row>
    <row r="286" spans="1:12" ht="14.45">
      <c r="A286" s="21"/>
      <c r="B286" s="33"/>
      <c r="C286" s="21"/>
      <c r="D286" s="21"/>
      <c r="E286" s="21"/>
      <c r="F286" s="22"/>
      <c r="G286" s="21"/>
      <c r="H286" s="21"/>
      <c r="I286" s="22"/>
      <c r="J286" s="21"/>
      <c r="K286" s="21"/>
      <c r="L286" s="21"/>
    </row>
    <row r="287" spans="1:12" ht="14.45">
      <c r="A287" s="21"/>
      <c r="B287" s="33"/>
      <c r="C287" s="21"/>
      <c r="D287" s="21"/>
      <c r="E287" s="21"/>
      <c r="F287" s="22"/>
      <c r="G287" s="21"/>
      <c r="H287" s="21"/>
      <c r="I287" s="22"/>
      <c r="J287" s="21"/>
      <c r="K287" s="21"/>
      <c r="L287" s="21"/>
    </row>
    <row r="288" spans="1:12" ht="14.45">
      <c r="A288" s="21"/>
      <c r="B288" s="33"/>
      <c r="C288" s="21"/>
      <c r="D288" s="21"/>
      <c r="E288" s="21"/>
      <c r="F288" s="22"/>
      <c r="G288" s="21"/>
      <c r="H288" s="21"/>
      <c r="I288" s="22"/>
      <c r="J288" s="21"/>
      <c r="K288" s="21"/>
      <c r="L288" s="21"/>
    </row>
    <row r="289" spans="1:12" ht="14.45">
      <c r="A289" s="21"/>
      <c r="B289" s="33"/>
      <c r="C289" s="21"/>
      <c r="D289" s="21"/>
      <c r="E289" s="21"/>
      <c r="F289" s="22"/>
      <c r="G289" s="21"/>
      <c r="H289" s="21"/>
      <c r="I289" s="22"/>
      <c r="J289" s="21"/>
      <c r="K289" s="21"/>
      <c r="L289" s="21"/>
    </row>
    <row r="290" spans="1:12" ht="14.45">
      <c r="A290" s="21"/>
      <c r="B290" s="33"/>
      <c r="C290" s="21"/>
      <c r="D290" s="21"/>
      <c r="E290" s="21"/>
      <c r="F290" s="22"/>
      <c r="G290" s="21"/>
      <c r="H290" s="21"/>
      <c r="I290" s="22"/>
      <c r="J290" s="21"/>
      <c r="K290" s="21"/>
      <c r="L290" s="21"/>
    </row>
    <row r="291" spans="1:12" ht="14.45">
      <c r="A291" s="21"/>
      <c r="B291" s="33"/>
      <c r="C291" s="21"/>
      <c r="D291" s="21"/>
      <c r="E291" s="21"/>
      <c r="F291" s="22"/>
      <c r="G291" s="21"/>
      <c r="H291" s="21"/>
      <c r="I291" s="22"/>
      <c r="J291" s="21"/>
      <c r="K291" s="21"/>
      <c r="L291" s="21"/>
    </row>
    <row r="292" spans="1:12" ht="14.45">
      <c r="A292" s="21"/>
      <c r="B292" s="33"/>
      <c r="C292" s="21"/>
      <c r="D292" s="21"/>
      <c r="E292" s="21"/>
      <c r="F292" s="22"/>
      <c r="G292" s="21"/>
      <c r="H292" s="21"/>
      <c r="I292" s="22"/>
      <c r="J292" s="21"/>
      <c r="K292" s="21"/>
      <c r="L292" s="21"/>
    </row>
    <row r="293" spans="1:12" ht="14.45">
      <c r="A293" s="21"/>
      <c r="B293" s="33"/>
      <c r="C293" s="21"/>
      <c r="D293" s="21"/>
      <c r="E293" s="21"/>
      <c r="F293" s="22"/>
      <c r="G293" s="21"/>
      <c r="H293" s="21"/>
      <c r="I293" s="22"/>
      <c r="J293" s="21"/>
      <c r="K293" s="21"/>
      <c r="L293" s="21"/>
    </row>
    <row r="294" spans="1:12" ht="14.45">
      <c r="A294" s="21"/>
      <c r="B294" s="33"/>
      <c r="C294" s="21"/>
      <c r="D294" s="21"/>
      <c r="E294" s="21"/>
      <c r="F294" s="22"/>
      <c r="G294" s="21"/>
      <c r="H294" s="21"/>
      <c r="I294" s="22"/>
      <c r="J294" s="21"/>
      <c r="K294" s="21"/>
      <c r="L294" s="21"/>
    </row>
    <row r="295" spans="1:12" ht="14.45">
      <c r="A295" s="21"/>
      <c r="B295" s="33"/>
      <c r="C295" s="21"/>
      <c r="D295" s="21"/>
      <c r="E295" s="21"/>
      <c r="F295" s="22"/>
      <c r="G295" s="21"/>
      <c r="H295" s="21"/>
      <c r="I295" s="22"/>
      <c r="J295" s="21"/>
      <c r="K295" s="21"/>
      <c r="L295" s="21"/>
    </row>
    <row r="296" spans="1:12" ht="14.45">
      <c r="A296" s="21"/>
      <c r="B296" s="33"/>
      <c r="C296" s="21"/>
      <c r="D296" s="21"/>
      <c r="E296" s="21"/>
      <c r="F296" s="22"/>
      <c r="G296" s="21"/>
      <c r="H296" s="21"/>
      <c r="I296" s="22"/>
      <c r="J296" s="21"/>
      <c r="K296" s="21"/>
      <c r="L296" s="21"/>
    </row>
    <row r="297" spans="1:12" ht="14.45">
      <c r="A297" s="21"/>
      <c r="B297" s="33"/>
      <c r="C297" s="21"/>
      <c r="D297" s="21"/>
      <c r="E297" s="21"/>
      <c r="F297" s="22"/>
      <c r="G297" s="21"/>
      <c r="H297" s="21"/>
      <c r="I297" s="22"/>
      <c r="J297" s="21"/>
      <c r="K297" s="21"/>
      <c r="L297" s="21"/>
    </row>
    <row r="298" spans="1:12" ht="14.45">
      <c r="A298" s="21"/>
      <c r="B298" s="33"/>
      <c r="C298" s="21"/>
      <c r="D298" s="21"/>
      <c r="E298" s="21"/>
      <c r="F298" s="22"/>
      <c r="G298" s="21"/>
      <c r="H298" s="21"/>
      <c r="I298" s="22"/>
      <c r="J298" s="21"/>
      <c r="K298" s="21"/>
      <c r="L298" s="21"/>
    </row>
    <row r="299" spans="1:12" ht="14.45">
      <c r="A299" s="21"/>
      <c r="B299" s="33"/>
      <c r="C299" s="21"/>
      <c r="D299" s="21"/>
      <c r="E299" s="21"/>
      <c r="F299" s="22"/>
      <c r="G299" s="21"/>
      <c r="H299" s="21"/>
      <c r="I299" s="22"/>
      <c r="J299" s="21"/>
      <c r="K299" s="21"/>
      <c r="L299" s="21"/>
    </row>
    <row r="300" spans="1:12" ht="14.45">
      <c r="A300" s="21"/>
      <c r="B300" s="33"/>
      <c r="C300" s="21"/>
      <c r="D300" s="21"/>
      <c r="E300" s="21"/>
      <c r="F300" s="22"/>
      <c r="G300" s="21"/>
      <c r="H300" s="21"/>
      <c r="I300" s="22"/>
      <c r="J300" s="21"/>
      <c r="K300" s="21"/>
      <c r="L300" s="21"/>
    </row>
    <row r="301" spans="1:12" ht="14.45">
      <c r="A301" s="21"/>
      <c r="B301" s="33"/>
      <c r="C301" s="21"/>
      <c r="D301" s="21"/>
      <c r="E301" s="21"/>
      <c r="F301" s="22"/>
      <c r="G301" s="21"/>
      <c r="H301" s="21"/>
      <c r="I301" s="22"/>
      <c r="J301" s="21"/>
      <c r="K301" s="21"/>
      <c r="L301" s="21"/>
    </row>
    <row r="302" spans="1:12" ht="14.45">
      <c r="A302" s="21"/>
      <c r="B302" s="33"/>
      <c r="C302" s="21"/>
      <c r="D302" s="21"/>
      <c r="E302" s="21"/>
      <c r="F302" s="22"/>
      <c r="G302" s="21"/>
      <c r="H302" s="21"/>
      <c r="I302" s="22"/>
      <c r="J302" s="21"/>
      <c r="K302" s="21"/>
      <c r="L302" s="21"/>
    </row>
    <row r="303" spans="1:12" ht="14.45">
      <c r="A303" s="21"/>
      <c r="B303" s="33"/>
      <c r="C303" s="21"/>
      <c r="D303" s="21"/>
      <c r="E303" s="21"/>
      <c r="F303" s="22"/>
      <c r="G303" s="21"/>
      <c r="H303" s="21"/>
      <c r="I303" s="22"/>
      <c r="J303" s="21"/>
      <c r="K303" s="21"/>
      <c r="L303" s="21"/>
    </row>
    <row r="304" spans="1:12" ht="14.45">
      <c r="A304" s="21"/>
      <c r="B304" s="33"/>
      <c r="C304" s="21"/>
      <c r="D304" s="21"/>
      <c r="E304" s="21"/>
      <c r="F304" s="22"/>
      <c r="G304" s="21"/>
      <c r="H304" s="21"/>
      <c r="I304" s="22"/>
      <c r="J304" s="21"/>
      <c r="K304" s="21"/>
      <c r="L304" s="21"/>
    </row>
    <row r="305" spans="1:12" ht="14.45">
      <c r="A305" s="21"/>
      <c r="B305" s="33"/>
      <c r="C305" s="21"/>
      <c r="D305" s="21"/>
      <c r="E305" s="21"/>
      <c r="F305" s="22"/>
      <c r="G305" s="21"/>
      <c r="H305" s="21"/>
      <c r="I305" s="22"/>
      <c r="J305" s="21"/>
      <c r="K305" s="21"/>
      <c r="L305" s="21"/>
    </row>
    <row r="306" spans="1:12" ht="14.45">
      <c r="A306" s="21"/>
      <c r="B306" s="33"/>
      <c r="C306" s="21"/>
      <c r="D306" s="21"/>
      <c r="E306" s="21"/>
      <c r="F306" s="22"/>
      <c r="G306" s="21"/>
      <c r="H306" s="21"/>
      <c r="I306" s="22"/>
      <c r="J306" s="21"/>
      <c r="K306" s="21"/>
      <c r="L306" s="21"/>
    </row>
    <row r="307" spans="1:12" ht="14.45">
      <c r="A307" s="21"/>
      <c r="B307" s="33"/>
      <c r="C307" s="21"/>
      <c r="D307" s="21"/>
      <c r="E307" s="21"/>
      <c r="F307" s="22"/>
      <c r="G307" s="21"/>
      <c r="H307" s="21"/>
      <c r="I307" s="22"/>
      <c r="J307" s="21"/>
      <c r="K307" s="21"/>
      <c r="L307" s="21"/>
    </row>
    <row r="308" spans="1:12" ht="14.45">
      <c r="A308" s="21"/>
      <c r="B308" s="33"/>
      <c r="C308" s="21"/>
      <c r="D308" s="21"/>
      <c r="E308" s="21"/>
      <c r="F308" s="22"/>
      <c r="G308" s="21"/>
      <c r="H308" s="21"/>
      <c r="I308" s="22"/>
      <c r="J308" s="21"/>
      <c r="K308" s="21"/>
      <c r="L308" s="21"/>
    </row>
    <row r="309" spans="1:12" ht="14.45">
      <c r="A309" s="21"/>
      <c r="B309" s="33"/>
      <c r="C309" s="21"/>
      <c r="D309" s="21"/>
      <c r="E309" s="21"/>
      <c r="F309" s="22"/>
      <c r="G309" s="21"/>
      <c r="H309" s="21"/>
      <c r="I309" s="22"/>
      <c r="J309" s="21"/>
      <c r="K309" s="21"/>
      <c r="L309" s="21"/>
    </row>
    <row r="310" spans="1:12" ht="14.45">
      <c r="A310" s="21"/>
      <c r="B310" s="33"/>
      <c r="C310" s="21"/>
      <c r="D310" s="21"/>
      <c r="E310" s="21"/>
      <c r="F310" s="22"/>
      <c r="G310" s="21"/>
      <c r="H310" s="21"/>
      <c r="I310" s="22"/>
      <c r="J310" s="21"/>
      <c r="K310" s="21"/>
      <c r="L310" s="21"/>
    </row>
    <row r="311" spans="1:12" ht="14.45">
      <c r="A311" s="21"/>
      <c r="B311" s="33"/>
      <c r="C311" s="21"/>
      <c r="D311" s="21"/>
      <c r="E311" s="21"/>
      <c r="F311" s="22"/>
      <c r="G311" s="21"/>
      <c r="H311" s="21"/>
      <c r="I311" s="22"/>
      <c r="J311" s="21"/>
      <c r="K311" s="21"/>
      <c r="L311" s="21"/>
    </row>
    <row r="312" spans="1:12" ht="14.45">
      <c r="A312" s="21"/>
      <c r="B312" s="33"/>
      <c r="C312" s="21"/>
      <c r="D312" s="21"/>
      <c r="E312" s="21"/>
      <c r="F312" s="22"/>
      <c r="G312" s="21"/>
      <c r="H312" s="21"/>
      <c r="I312" s="22"/>
      <c r="J312" s="21"/>
      <c r="K312" s="21"/>
      <c r="L312" s="21"/>
    </row>
    <row r="313" spans="1:12" ht="14.45">
      <c r="A313" s="21"/>
      <c r="B313" s="33"/>
      <c r="C313" s="21"/>
      <c r="D313" s="21"/>
      <c r="E313" s="21"/>
      <c r="F313" s="22"/>
      <c r="G313" s="21"/>
      <c r="H313" s="21"/>
      <c r="I313" s="22"/>
      <c r="J313" s="21"/>
      <c r="K313" s="21"/>
      <c r="L313" s="21"/>
    </row>
    <row r="314" spans="1:12" ht="14.45">
      <c r="A314" s="21"/>
      <c r="B314" s="33"/>
      <c r="C314" s="21"/>
      <c r="D314" s="21"/>
      <c r="E314" s="21"/>
      <c r="F314" s="22"/>
      <c r="G314" s="21"/>
      <c r="H314" s="21"/>
      <c r="I314" s="22"/>
      <c r="J314" s="21"/>
      <c r="K314" s="21"/>
      <c r="L314" s="21"/>
    </row>
    <row r="315" spans="1:12" ht="14.45">
      <c r="A315" s="21"/>
      <c r="B315" s="33"/>
      <c r="C315" s="21"/>
      <c r="D315" s="21"/>
      <c r="E315" s="21"/>
      <c r="F315" s="22"/>
      <c r="G315" s="21"/>
      <c r="H315" s="21"/>
      <c r="I315" s="22"/>
      <c r="J315" s="21"/>
      <c r="K315" s="21"/>
      <c r="L315" s="21"/>
    </row>
    <row r="316" spans="1:12" ht="14.45">
      <c r="A316" s="21"/>
      <c r="B316" s="33"/>
      <c r="C316" s="21"/>
      <c r="D316" s="21"/>
      <c r="E316" s="21"/>
      <c r="F316" s="22"/>
      <c r="G316" s="21"/>
      <c r="H316" s="21"/>
      <c r="I316" s="22"/>
      <c r="J316" s="21"/>
      <c r="K316" s="21"/>
      <c r="L316" s="21"/>
    </row>
    <row r="317" spans="1:12" ht="14.45">
      <c r="A317" s="21"/>
      <c r="B317" s="33"/>
      <c r="C317" s="21"/>
      <c r="D317" s="21"/>
      <c r="E317" s="21"/>
      <c r="F317" s="22"/>
      <c r="G317" s="21"/>
      <c r="H317" s="21"/>
      <c r="I317" s="22"/>
      <c r="J317" s="21"/>
      <c r="K317" s="21"/>
      <c r="L317" s="21"/>
    </row>
    <row r="318" spans="1:12" ht="14.45">
      <c r="A318" s="21"/>
      <c r="B318" s="33"/>
      <c r="C318" s="21"/>
      <c r="D318" s="21"/>
      <c r="E318" s="21"/>
      <c r="F318" s="22"/>
      <c r="G318" s="21"/>
      <c r="H318" s="21"/>
      <c r="I318" s="22"/>
      <c r="J318" s="21"/>
      <c r="K318" s="21"/>
      <c r="L318" s="21"/>
    </row>
    <row r="319" spans="1:12" ht="14.45">
      <c r="A319" s="21"/>
      <c r="B319" s="33"/>
      <c r="C319" s="21"/>
      <c r="D319" s="21"/>
      <c r="E319" s="21"/>
      <c r="F319" s="22"/>
      <c r="G319" s="21"/>
      <c r="H319" s="21"/>
      <c r="I319" s="22"/>
      <c r="J319" s="21"/>
      <c r="K319" s="21"/>
      <c r="L319" s="21"/>
    </row>
    <row r="320" spans="1:12" ht="14.45">
      <c r="A320" s="21"/>
      <c r="B320" s="33"/>
      <c r="C320" s="21"/>
      <c r="D320" s="21"/>
      <c r="E320" s="21"/>
      <c r="F320" s="22"/>
      <c r="G320" s="21"/>
      <c r="H320" s="21"/>
      <c r="I320" s="22"/>
      <c r="J320" s="21"/>
      <c r="K320" s="21"/>
      <c r="L320" s="21"/>
    </row>
    <row r="321" spans="1:12" ht="14.45">
      <c r="A321" s="21"/>
      <c r="B321" s="33"/>
      <c r="C321" s="21"/>
      <c r="D321" s="21"/>
      <c r="E321" s="21"/>
      <c r="F321" s="22"/>
      <c r="G321" s="21"/>
      <c r="H321" s="21"/>
      <c r="I321" s="22"/>
      <c r="J321" s="21"/>
      <c r="K321" s="21"/>
      <c r="L321" s="21"/>
    </row>
    <row r="322" spans="1:12" ht="14.45">
      <c r="A322" s="21"/>
      <c r="B322" s="33"/>
      <c r="C322" s="21"/>
      <c r="D322" s="21"/>
      <c r="E322" s="21"/>
      <c r="F322" s="22"/>
      <c r="G322" s="21"/>
      <c r="H322" s="21"/>
      <c r="I322" s="22"/>
      <c r="J322" s="21"/>
      <c r="K322" s="21"/>
      <c r="L322" s="21"/>
    </row>
    <row r="323" spans="1:12" ht="14.45">
      <c r="A323" s="21"/>
      <c r="B323" s="33"/>
      <c r="C323" s="21"/>
      <c r="D323" s="21"/>
      <c r="E323" s="21"/>
      <c r="F323" s="22"/>
      <c r="G323" s="21"/>
      <c r="H323" s="21"/>
      <c r="I323" s="22"/>
      <c r="J323" s="21"/>
      <c r="K323" s="21"/>
      <c r="L323" s="21"/>
    </row>
    <row r="324" spans="1:12" ht="14.45">
      <c r="A324" s="21"/>
      <c r="B324" s="33"/>
      <c r="C324" s="21"/>
      <c r="D324" s="21"/>
      <c r="E324" s="21"/>
      <c r="F324" s="22"/>
      <c r="G324" s="21"/>
      <c r="H324" s="21"/>
      <c r="I324" s="22"/>
      <c r="J324" s="21"/>
      <c r="K324" s="21"/>
      <c r="L324" s="21"/>
    </row>
    <row r="325" spans="1:12" ht="14.45">
      <c r="A325" s="21"/>
      <c r="B325" s="33"/>
      <c r="C325" s="21"/>
      <c r="D325" s="21"/>
      <c r="E325" s="21"/>
      <c r="F325" s="22"/>
      <c r="G325" s="21"/>
      <c r="H325" s="21"/>
      <c r="I325" s="22"/>
      <c r="J325" s="21"/>
      <c r="K325" s="21"/>
      <c r="L325" s="21"/>
    </row>
    <row r="326" spans="1:12" ht="14.45">
      <c r="A326" s="21"/>
      <c r="B326" s="33"/>
      <c r="C326" s="21"/>
      <c r="D326" s="21"/>
      <c r="E326" s="21"/>
      <c r="F326" s="22"/>
      <c r="G326" s="21"/>
      <c r="H326" s="21"/>
      <c r="I326" s="22"/>
      <c r="J326" s="21"/>
      <c r="K326" s="21"/>
      <c r="L326" s="21"/>
    </row>
    <row r="327" spans="1:12" ht="14.45">
      <c r="A327" s="21"/>
      <c r="B327" s="33"/>
      <c r="C327" s="21"/>
      <c r="D327" s="21"/>
      <c r="E327" s="21"/>
      <c r="F327" s="22"/>
      <c r="G327" s="21"/>
      <c r="H327" s="21"/>
      <c r="I327" s="22"/>
      <c r="J327" s="21"/>
      <c r="K327" s="21"/>
      <c r="L327" s="21"/>
    </row>
    <row r="328" spans="1:12" ht="14.45">
      <c r="A328" s="21"/>
      <c r="B328" s="33"/>
      <c r="C328" s="21"/>
      <c r="D328" s="21"/>
      <c r="E328" s="21"/>
      <c r="F328" s="22"/>
      <c r="G328" s="21"/>
      <c r="H328" s="21"/>
      <c r="I328" s="22"/>
      <c r="J328" s="21"/>
      <c r="K328" s="21"/>
      <c r="L328" s="21"/>
    </row>
    <row r="329" spans="1:12" ht="14.45">
      <c r="A329" s="21"/>
      <c r="B329" s="33"/>
      <c r="C329" s="21"/>
      <c r="D329" s="21"/>
      <c r="E329" s="21"/>
      <c r="F329" s="22"/>
      <c r="G329" s="21"/>
      <c r="H329" s="21"/>
      <c r="I329" s="22"/>
      <c r="J329" s="21"/>
      <c r="K329" s="21"/>
      <c r="L329" s="21"/>
    </row>
    <row r="330" spans="1:12" ht="14.45">
      <c r="A330" s="21"/>
      <c r="B330" s="33"/>
      <c r="C330" s="21"/>
      <c r="D330" s="21"/>
      <c r="E330" s="21"/>
      <c r="F330" s="22"/>
      <c r="G330" s="21"/>
      <c r="H330" s="21"/>
      <c r="I330" s="22"/>
      <c r="J330" s="21"/>
      <c r="K330" s="21"/>
      <c r="L330" s="21"/>
    </row>
    <row r="331" spans="1:12" ht="14.45">
      <c r="A331" s="21"/>
      <c r="B331" s="33"/>
      <c r="C331" s="21"/>
      <c r="D331" s="21"/>
      <c r="E331" s="21"/>
      <c r="F331" s="22"/>
      <c r="G331" s="21"/>
      <c r="H331" s="21"/>
      <c r="I331" s="22"/>
      <c r="J331" s="21"/>
      <c r="K331" s="21"/>
      <c r="L331" s="21"/>
    </row>
    <row r="332" spans="1:12" ht="14.45">
      <c r="A332" s="21"/>
      <c r="B332" s="33"/>
      <c r="C332" s="21"/>
      <c r="D332" s="21"/>
      <c r="E332" s="21"/>
      <c r="F332" s="22"/>
      <c r="G332" s="21"/>
      <c r="H332" s="21"/>
      <c r="I332" s="22"/>
      <c r="J332" s="21"/>
      <c r="K332" s="21"/>
      <c r="L332" s="21"/>
    </row>
    <row r="333" spans="1:12" ht="14.45">
      <c r="A333" s="21"/>
      <c r="B333" s="33"/>
      <c r="C333" s="21"/>
      <c r="D333" s="21"/>
      <c r="E333" s="21"/>
      <c r="F333" s="22"/>
      <c r="G333" s="21"/>
      <c r="H333" s="21"/>
      <c r="I333" s="22"/>
      <c r="J333" s="21"/>
      <c r="K333" s="21"/>
      <c r="L333" s="21"/>
    </row>
    <row r="334" spans="1:12" ht="14.45">
      <c r="A334" s="21"/>
      <c r="B334" s="33"/>
      <c r="C334" s="21"/>
      <c r="D334" s="21"/>
      <c r="E334" s="21"/>
      <c r="F334" s="22"/>
      <c r="G334" s="21"/>
      <c r="H334" s="21"/>
      <c r="I334" s="22"/>
      <c r="J334" s="21"/>
      <c r="K334" s="21"/>
      <c r="L334" s="21"/>
    </row>
    <row r="335" spans="1:12" ht="14.45">
      <c r="A335" s="21"/>
      <c r="B335" s="33"/>
      <c r="C335" s="21"/>
      <c r="D335" s="21"/>
      <c r="E335" s="21"/>
      <c r="F335" s="22"/>
      <c r="G335" s="21"/>
      <c r="H335" s="21"/>
      <c r="I335" s="22"/>
      <c r="J335" s="21"/>
      <c r="K335" s="21"/>
      <c r="L335" s="21"/>
    </row>
    <row r="336" spans="1:12" ht="14.45">
      <c r="A336" s="21"/>
      <c r="B336" s="33"/>
      <c r="C336" s="21"/>
      <c r="D336" s="21"/>
      <c r="E336" s="21"/>
      <c r="F336" s="22"/>
      <c r="G336" s="21"/>
      <c r="H336" s="21"/>
      <c r="I336" s="22"/>
      <c r="J336" s="21"/>
      <c r="K336" s="21"/>
      <c r="L336" s="21"/>
    </row>
    <row r="337" spans="1:12" ht="14.45">
      <c r="A337" s="21"/>
      <c r="B337" s="33"/>
      <c r="C337" s="21"/>
      <c r="D337" s="21"/>
      <c r="E337" s="21"/>
      <c r="F337" s="22"/>
      <c r="G337" s="21"/>
      <c r="H337" s="21"/>
      <c r="I337" s="22"/>
      <c r="J337" s="21"/>
      <c r="K337" s="21"/>
      <c r="L337" s="21"/>
    </row>
    <row r="338" spans="1:12" ht="14.45">
      <c r="A338" s="21"/>
      <c r="B338" s="33"/>
      <c r="C338" s="21"/>
      <c r="D338" s="21"/>
      <c r="E338" s="21"/>
      <c r="F338" s="22"/>
      <c r="G338" s="21"/>
      <c r="H338" s="21"/>
      <c r="I338" s="22"/>
      <c r="J338" s="21"/>
      <c r="K338" s="21"/>
      <c r="L338" s="21"/>
    </row>
    <row r="339" spans="1:12" ht="14.45">
      <c r="A339" s="21"/>
      <c r="B339" s="33"/>
      <c r="C339" s="21"/>
      <c r="D339" s="21"/>
      <c r="E339" s="21"/>
      <c r="F339" s="22"/>
      <c r="G339" s="21"/>
      <c r="H339" s="21"/>
      <c r="I339" s="22"/>
      <c r="J339" s="21"/>
      <c r="K339" s="21"/>
      <c r="L339" s="21"/>
    </row>
    <row r="340" spans="1:12" ht="14.45">
      <c r="A340" s="21"/>
      <c r="B340" s="33"/>
      <c r="C340" s="21"/>
      <c r="D340" s="21"/>
      <c r="E340" s="21"/>
      <c r="F340" s="22"/>
      <c r="G340" s="21"/>
      <c r="H340" s="21"/>
      <c r="I340" s="22"/>
      <c r="J340" s="21"/>
      <c r="K340" s="21"/>
      <c r="L340" s="21"/>
    </row>
    <row r="341" spans="1:12" ht="14.45">
      <c r="A341" s="21"/>
      <c r="B341" s="33"/>
      <c r="C341" s="21"/>
      <c r="D341" s="21"/>
      <c r="E341" s="21"/>
      <c r="F341" s="22"/>
      <c r="G341" s="21"/>
      <c r="H341" s="21"/>
      <c r="I341" s="22"/>
      <c r="J341" s="21"/>
      <c r="K341" s="21"/>
      <c r="L341" s="21"/>
    </row>
    <row r="342" spans="1:12" ht="14.45">
      <c r="C342" s="21"/>
      <c r="D342" s="21"/>
      <c r="E342" s="21"/>
      <c r="F342" s="22"/>
      <c r="G342" s="21"/>
      <c r="H342" s="21"/>
      <c r="I342" s="22"/>
      <c r="J342" s="21"/>
      <c r="K342" s="21"/>
      <c r="L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hyperlinks>
    <hyperlink ref="S43" r:id="rId1" display="https://us3.assetplanner.com/service_request?ID=089461" xr:uid="{56661B50-8BDA-4A02-9EEC-668FE01ED90D}"/>
    <hyperlink ref="T43" r:id="rId2" display="https://us3.assetplanner.com/service_request?ID=105124" xr:uid="{B91E9DDF-9475-4B7A-B41C-32F994D83C6C}"/>
    <hyperlink ref="U43" r:id="rId3" display="https://us3.assetplanner.com/service_request?ID=101136" xr:uid="{D0D978E2-35B8-476A-98C2-3EDE8AA640CC}"/>
  </hyperlinks>
  <pageMargins left="0.4" right="0.7" top="0.25" bottom="0.25" header="0.3" footer="0.3"/>
  <pageSetup fitToHeight="99" orientation="landscape" r:id="rId4"/>
  <legacy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T342"/>
  <sheetViews>
    <sheetView zoomScale="58" zoomScaleNormal="58" workbookViewId="0">
      <pane xSplit="2" ySplit="3" topLeftCell="I74" activePane="bottomRight" state="frozen"/>
      <selection pane="bottomRight" activeCell="I74" sqref="I74"/>
      <selection pane="bottomLeft" activeCell="I74" sqref="I74"/>
      <selection pane="topRight" activeCell="I74" sqref="I74"/>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7.42578125" style="1" customWidth="1"/>
    <col min="10" max="10" width="71.5703125" customWidth="1"/>
    <col min="11" max="12" width="21.28515625" customWidth="1"/>
  </cols>
  <sheetData>
    <row r="1" spans="1:12" ht="19.5" customHeight="1">
      <c r="A1" s="135" t="str" cm="1">
        <f t="array" ref="A1">portfolio</f>
        <v>Silicon Ranch</v>
      </c>
      <c r="B1" s="135"/>
      <c r="C1" s="135"/>
      <c r="D1" s="136" t="s">
        <v>198</v>
      </c>
      <c r="E1" s="136"/>
      <c r="F1" s="136"/>
      <c r="G1" s="134" t="s">
        <v>199</v>
      </c>
      <c r="H1" s="134"/>
      <c r="I1" s="134"/>
      <c r="J1" s="4"/>
      <c r="K1" s="4"/>
      <c r="L1" s="4"/>
    </row>
    <row r="2" spans="1:12" ht="19.5" customHeight="1">
      <c r="A2" s="137" t="s">
        <v>2</v>
      </c>
      <c r="B2" s="137"/>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2" ht="14.25" customHeight="1">
      <c r="A3" s="8" t="s">
        <v>3</v>
      </c>
      <c r="B3" s="8" t="s">
        <v>4</v>
      </c>
      <c r="C3" s="23" t="s">
        <v>5</v>
      </c>
      <c r="D3" s="35" t="s">
        <v>6</v>
      </c>
      <c r="E3" s="35" t="s">
        <v>7</v>
      </c>
      <c r="F3" s="36" t="s">
        <v>8</v>
      </c>
      <c r="G3" s="37" t="s">
        <v>9</v>
      </c>
      <c r="H3" s="38" t="s">
        <v>7</v>
      </c>
      <c r="I3" s="39" t="s">
        <v>8</v>
      </c>
      <c r="J3" s="25" t="s">
        <v>20</v>
      </c>
      <c r="K3" s="25" t="s">
        <v>21</v>
      </c>
      <c r="L3" s="25" t="s">
        <v>22</v>
      </c>
    </row>
    <row r="4" spans="1:12"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c r="L4" s="41"/>
    </row>
    <row r="5" spans="1:12"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c r="L5" s="42"/>
    </row>
    <row r="6" spans="1:12" ht="15.6">
      <c r="A6" s="28" t="str">
        <v>Kohls - Bensalem</v>
      </c>
      <c r="B6" s="29" t="str">
        <v>PA</v>
      </c>
      <c r="C6" s="24"/>
      <c r="D6" s="13"/>
      <c r="E6" s="13" t="str">
        <f t="shared" si="0"/>
        <v/>
      </c>
      <c r="F6" s="14" t="str">
        <f t="shared" ref="F6:F17" si="3">IFERROR(E6/D6, "")</f>
        <v/>
      </c>
      <c r="G6" s="15"/>
      <c r="H6" s="15" t="str">
        <f t="shared" si="1"/>
        <v/>
      </c>
      <c r="I6" s="16" t="str">
        <f t="shared" si="2"/>
        <v/>
      </c>
      <c r="J6" s="41"/>
      <c r="K6" s="88"/>
      <c r="L6" s="41"/>
    </row>
    <row r="7" spans="1:12" ht="15.6">
      <c r="A7" s="30" t="str">
        <v>Kohls - Brick</v>
      </c>
      <c r="B7" s="31" t="str">
        <v>NJ</v>
      </c>
      <c r="C7" s="11"/>
      <c r="D7" s="18"/>
      <c r="E7" s="18" t="str">
        <f t="shared" si="0"/>
        <v/>
      </c>
      <c r="F7" s="19" t="str">
        <f t="shared" si="3"/>
        <v/>
      </c>
      <c r="G7" s="20"/>
      <c r="H7" s="20" t="str">
        <f t="shared" si="1"/>
        <v/>
      </c>
      <c r="I7" s="19" t="str">
        <f t="shared" si="2"/>
        <v/>
      </c>
      <c r="J7" s="54"/>
      <c r="K7" s="54"/>
      <c r="L7" s="54"/>
    </row>
    <row r="8" spans="1:12" ht="15.6">
      <c r="A8" s="28" t="str">
        <v>Kohls - Buffalo</v>
      </c>
      <c r="B8" s="29" t="str">
        <v>NY</v>
      </c>
      <c r="C8" s="24"/>
      <c r="D8" s="13"/>
      <c r="E8" s="13" t="str">
        <f t="shared" si="0"/>
        <v/>
      </c>
      <c r="F8" s="14" t="str">
        <f t="shared" si="3"/>
        <v/>
      </c>
      <c r="G8" s="15"/>
      <c r="H8" s="15" t="str">
        <f t="shared" si="1"/>
        <v/>
      </c>
      <c r="I8" s="16" t="str">
        <f t="shared" si="2"/>
        <v/>
      </c>
      <c r="J8" s="56"/>
      <c r="K8" s="56"/>
      <c r="L8" s="56"/>
    </row>
    <row r="9" spans="1:12" ht="15.6">
      <c r="A9" s="30" t="str">
        <v>Kohls - Canton</v>
      </c>
      <c r="B9" s="31" t="str">
        <v>CT</v>
      </c>
      <c r="C9" s="11"/>
      <c r="D9" s="18"/>
      <c r="E9" s="18" t="str">
        <f t="shared" si="0"/>
        <v/>
      </c>
      <c r="F9" s="19" t="str">
        <f t="shared" si="3"/>
        <v/>
      </c>
      <c r="G9" s="20"/>
      <c r="H9" s="20" t="str">
        <f t="shared" si="1"/>
        <v/>
      </c>
      <c r="I9" s="19" t="str">
        <f t="shared" si="2"/>
        <v/>
      </c>
      <c r="J9" s="42"/>
      <c r="K9" s="43"/>
      <c r="L9" s="43"/>
    </row>
    <row r="10" spans="1:12" ht="15.6">
      <c r="A10" s="28" t="str">
        <v>Kohls - East Amherst</v>
      </c>
      <c r="B10" s="29" t="str">
        <v>NY</v>
      </c>
      <c r="C10" s="24"/>
      <c r="D10" s="13"/>
      <c r="E10" s="13" t="str">
        <f t="shared" si="0"/>
        <v/>
      </c>
      <c r="F10" s="14" t="str">
        <f t="shared" si="3"/>
        <v/>
      </c>
      <c r="G10" s="15"/>
      <c r="H10" s="15" t="str">
        <f t="shared" si="1"/>
        <v/>
      </c>
      <c r="I10" s="16" t="str">
        <f t="shared" si="2"/>
        <v/>
      </c>
      <c r="J10" s="41"/>
      <c r="K10" s="41"/>
      <c r="L10" s="41"/>
    </row>
    <row r="11" spans="1:12" ht="15.6">
      <c r="A11" s="30" t="str">
        <v>Kohls - East Brunswick</v>
      </c>
      <c r="B11" s="31" t="str">
        <v>NJ</v>
      </c>
      <c r="C11" s="11"/>
      <c r="D11" s="18"/>
      <c r="E11" s="18" t="str">
        <f t="shared" si="0"/>
        <v/>
      </c>
      <c r="F11" s="19" t="str">
        <f t="shared" si="3"/>
        <v/>
      </c>
      <c r="G11" s="20"/>
      <c r="H11" s="20" t="str">
        <f t="shared" si="1"/>
        <v/>
      </c>
      <c r="I11" s="19" t="str">
        <f t="shared" si="2"/>
        <v/>
      </c>
      <c r="J11" s="53"/>
      <c r="K11" s="87"/>
      <c r="L11" s="60"/>
    </row>
    <row r="12" spans="1:12" ht="15.6">
      <c r="A12" s="28" t="str">
        <v>Kohls - Edgewood</v>
      </c>
      <c r="B12" s="29" t="str">
        <v>MD</v>
      </c>
      <c r="C12" s="24"/>
      <c r="D12" s="13"/>
      <c r="E12" s="13" t="str">
        <f t="shared" si="0"/>
        <v/>
      </c>
      <c r="F12" s="14" t="str">
        <f t="shared" si="3"/>
        <v/>
      </c>
      <c r="G12" s="15"/>
      <c r="H12" s="15" t="str">
        <f t="shared" si="1"/>
        <v/>
      </c>
      <c r="I12" s="16" t="str">
        <f t="shared" si="2"/>
        <v/>
      </c>
      <c r="J12" s="41"/>
      <c r="K12" s="88"/>
      <c r="L12" s="41"/>
    </row>
    <row r="13" spans="1:12" ht="15.6">
      <c r="A13" s="30" t="str">
        <v>Kohls - Granite Run</v>
      </c>
      <c r="B13" s="31" t="str">
        <v>PA</v>
      </c>
      <c r="C13" s="11"/>
      <c r="D13" s="18"/>
      <c r="E13" s="18" t="str">
        <f t="shared" si="0"/>
        <v/>
      </c>
      <c r="F13" s="19" t="str">
        <f t="shared" si="3"/>
        <v/>
      </c>
      <c r="G13" s="20"/>
      <c r="H13" s="20" t="str">
        <f t="shared" si="1"/>
        <v/>
      </c>
      <c r="I13" s="19" t="str">
        <f t="shared" si="2"/>
        <v/>
      </c>
      <c r="J13" s="42"/>
      <c r="K13" s="43"/>
      <c r="L13" s="43"/>
    </row>
    <row r="14" spans="1:12" ht="15.6">
      <c r="A14" s="28" t="str">
        <v>Kohls - Greece</v>
      </c>
      <c r="B14" s="29" t="str">
        <v>NY</v>
      </c>
      <c r="C14" s="24"/>
      <c r="D14" s="13"/>
      <c r="E14" s="13" t="str">
        <f t="shared" si="0"/>
        <v/>
      </c>
      <c r="F14" s="14" t="str">
        <f t="shared" si="3"/>
        <v/>
      </c>
      <c r="G14" s="15"/>
      <c r="H14" s="15" t="str">
        <f t="shared" si="1"/>
        <v/>
      </c>
      <c r="I14" s="16" t="str">
        <f t="shared" si="2"/>
        <v/>
      </c>
      <c r="J14" s="41"/>
      <c r="K14" s="41"/>
      <c r="L14" s="41"/>
    </row>
    <row r="15" spans="1:12" ht="15.6">
      <c r="A15" s="30" t="str">
        <v>Kohls - Hanover</v>
      </c>
      <c r="B15" s="31" t="str">
        <v>PA</v>
      </c>
      <c r="C15" s="11"/>
      <c r="D15" s="18"/>
      <c r="E15" s="18" t="str">
        <f t="shared" si="0"/>
        <v/>
      </c>
      <c r="F15" s="19" t="str">
        <f t="shared" si="3"/>
        <v/>
      </c>
      <c r="G15" s="20"/>
      <c r="H15" s="20" t="str">
        <f t="shared" si="1"/>
        <v/>
      </c>
      <c r="I15" s="19" t="str">
        <f t="shared" si="2"/>
        <v/>
      </c>
      <c r="J15" s="54"/>
      <c r="K15" s="79"/>
      <c r="L15" s="79"/>
    </row>
    <row r="16" spans="1:12" ht="15.6">
      <c r="A16" s="28" t="str">
        <v>Kohls - Horsehead</v>
      </c>
      <c r="B16" s="29" t="str">
        <v>NY</v>
      </c>
      <c r="C16" s="24"/>
      <c r="D16" s="13"/>
      <c r="E16" s="13" t="str">
        <f t="shared" si="0"/>
        <v/>
      </c>
      <c r="F16" s="14" t="str">
        <f t="shared" si="3"/>
        <v/>
      </c>
      <c r="G16" s="15"/>
      <c r="H16" s="15" t="str">
        <f t="shared" si="1"/>
        <v/>
      </c>
      <c r="I16" s="16" t="str">
        <f t="shared" si="2"/>
        <v/>
      </c>
      <c r="J16" s="41"/>
      <c r="K16" s="41"/>
      <c r="L16" s="41"/>
    </row>
    <row r="17" spans="1:13" ht="15.6">
      <c r="A17" s="30" t="str">
        <v>Kohls - Hudson</v>
      </c>
      <c r="B17" s="31" t="str">
        <v>NY</v>
      </c>
      <c r="C17" s="11"/>
      <c r="D17" s="18"/>
      <c r="E17" s="18" t="str">
        <f t="shared" si="0"/>
        <v/>
      </c>
      <c r="F17" s="19" t="str">
        <f t="shared" si="3"/>
        <v/>
      </c>
      <c r="G17" s="20"/>
      <c r="H17" s="20" t="str">
        <f t="shared" si="1"/>
        <v/>
      </c>
      <c r="I17" s="19" t="str">
        <f t="shared" si="2"/>
        <v/>
      </c>
      <c r="J17" s="53"/>
      <c r="K17" s="87"/>
      <c r="L17" s="60"/>
    </row>
    <row r="18" spans="1:13" ht="36" customHeight="1">
      <c r="A18" s="32" t="str">
        <v>Kohls - Ithaca</v>
      </c>
      <c r="B18" s="29" t="str">
        <v>NY</v>
      </c>
      <c r="C18" s="24"/>
      <c r="D18" s="13"/>
      <c r="E18" s="13" t="str">
        <f t="shared" si="0"/>
        <v/>
      </c>
      <c r="F18" s="14"/>
      <c r="G18" s="15"/>
      <c r="H18" s="15" t="str">
        <f t="shared" si="1"/>
        <v/>
      </c>
      <c r="I18" s="16" t="str">
        <f t="shared" si="2"/>
        <v/>
      </c>
      <c r="J18" s="41"/>
      <c r="K18" s="41"/>
      <c r="L18" s="41"/>
    </row>
    <row r="19" spans="1:13" ht="15.6">
      <c r="A19" s="30" t="str">
        <v>Kohls - Kingston</v>
      </c>
      <c r="B19" s="31" t="str">
        <v>NY</v>
      </c>
      <c r="C19" s="11"/>
      <c r="D19" s="18"/>
      <c r="E19" s="18" t="str">
        <f t="shared" si="0"/>
        <v/>
      </c>
      <c r="F19" s="19"/>
      <c r="G19" s="20"/>
      <c r="H19" s="20" t="str">
        <f t="shared" si="1"/>
        <v/>
      </c>
      <c r="I19" s="19" t="str">
        <f t="shared" si="2"/>
        <v/>
      </c>
      <c r="J19" s="54"/>
      <c r="K19" s="92"/>
      <c r="L19" s="42"/>
    </row>
    <row r="20" spans="1:13" ht="15.6">
      <c r="A20" s="28" t="str">
        <v>Kohls - Mechanicsburg</v>
      </c>
      <c r="B20" s="29" t="str">
        <v>PA</v>
      </c>
      <c r="C20" s="24"/>
      <c r="D20" s="13"/>
      <c r="E20" s="13" t="str">
        <f t="shared" si="0"/>
        <v/>
      </c>
      <c r="F20" s="14"/>
      <c r="G20" s="15"/>
      <c r="H20" s="15" t="str">
        <f t="shared" si="1"/>
        <v/>
      </c>
      <c r="I20" s="16" t="str">
        <f t="shared" si="2"/>
        <v/>
      </c>
      <c r="J20" s="41"/>
      <c r="K20" s="41"/>
      <c r="L20" s="41"/>
    </row>
    <row r="21" spans="1:13" ht="15.6">
      <c r="A21" s="30" t="str">
        <v>Kohls - Middletown</v>
      </c>
      <c r="B21" s="31" t="str">
        <v>NJ</v>
      </c>
      <c r="C21" s="11"/>
      <c r="D21" s="18"/>
      <c r="E21" s="18" t="str">
        <f t="shared" si="0"/>
        <v/>
      </c>
      <c r="F21" s="19"/>
      <c r="G21" s="20"/>
      <c r="H21" s="20" t="str">
        <f t="shared" si="1"/>
        <v/>
      </c>
      <c r="I21" s="19" t="str">
        <f t="shared" si="2"/>
        <v/>
      </c>
      <c r="J21" s="54"/>
      <c r="K21" s="54"/>
      <c r="L21" s="54"/>
    </row>
    <row r="22" spans="1:13" ht="15.6">
      <c r="A22" s="28" t="str">
        <v>Kohls - North Amherst</v>
      </c>
      <c r="B22" s="29" t="str">
        <v>NY</v>
      </c>
      <c r="C22" s="24"/>
      <c r="D22" s="13"/>
      <c r="E22" s="13" t="str">
        <f t="shared" si="0"/>
        <v/>
      </c>
      <c r="F22" s="14"/>
      <c r="G22" s="15"/>
      <c r="H22" s="15" t="str">
        <f t="shared" si="1"/>
        <v/>
      </c>
      <c r="I22" s="16" t="str">
        <f t="shared" si="2"/>
        <v/>
      </c>
      <c r="J22" s="41"/>
      <c r="K22" s="91"/>
      <c r="L22" s="76"/>
    </row>
    <row r="23" spans="1:13" ht="15.6">
      <c r="A23" s="30" t="str">
        <v>Kohls - Staten Island</v>
      </c>
      <c r="B23" s="31" t="str">
        <v>NY</v>
      </c>
      <c r="C23" s="11"/>
      <c r="D23" s="18"/>
      <c r="E23" s="18" t="str">
        <f t="shared" si="0"/>
        <v/>
      </c>
      <c r="F23" s="19"/>
      <c r="G23" s="20"/>
      <c r="H23" s="20" t="str">
        <f t="shared" si="1"/>
        <v/>
      </c>
      <c r="I23" s="19" t="str">
        <f t="shared" si="2"/>
        <v/>
      </c>
      <c r="J23" s="42"/>
      <c r="K23" s="90"/>
      <c r="L23" s="130"/>
      <c r="M23" s="89"/>
    </row>
    <row r="24" spans="1:13" ht="15.6">
      <c r="A24" s="28" t="str">
        <v>Kohls - Warminster</v>
      </c>
      <c r="B24" s="29" t="str">
        <v>PA</v>
      </c>
      <c r="C24" s="24"/>
      <c r="D24" s="13"/>
      <c r="E24" s="13" t="str">
        <f t="shared" si="0"/>
        <v/>
      </c>
      <c r="F24" s="14"/>
      <c r="G24" s="15"/>
      <c r="H24" s="15" t="str">
        <f t="shared" si="1"/>
        <v/>
      </c>
      <c r="I24" s="16" t="str">
        <f t="shared" si="2"/>
        <v/>
      </c>
      <c r="J24" s="41"/>
      <c r="K24" s="41"/>
      <c r="L24" s="41"/>
    </row>
    <row r="25" spans="1:13" ht="15.6">
      <c r="A25" s="30" t="str">
        <v xml:space="preserve">Kohls - Waterbury </v>
      </c>
      <c r="B25" s="31" t="str">
        <v>CT</v>
      </c>
      <c r="C25" s="11"/>
      <c r="D25" s="18"/>
      <c r="E25" s="18" t="str">
        <f t="shared" si="0"/>
        <v/>
      </c>
      <c r="F25" s="19"/>
      <c r="G25" s="20"/>
      <c r="H25" s="20" t="str">
        <f t="shared" si="1"/>
        <v/>
      </c>
      <c r="I25" s="19" t="str">
        <f t="shared" si="2"/>
        <v/>
      </c>
      <c r="J25" s="53"/>
      <c r="K25" s="87"/>
      <c r="L25" s="60"/>
    </row>
    <row r="26" spans="1:13" ht="15.6">
      <c r="A26" s="28" t="str">
        <v>Mojave Water Agency - Headquarters</v>
      </c>
      <c r="B26" s="29" t="str">
        <v>CA</v>
      </c>
      <c r="C26" s="24"/>
      <c r="D26" s="13"/>
      <c r="E26" s="13" t="str">
        <f t="shared" si="0"/>
        <v/>
      </c>
      <c r="F26" s="14"/>
      <c r="G26" s="15"/>
      <c r="H26" s="15" t="str">
        <f t="shared" si="1"/>
        <v/>
      </c>
      <c r="I26" s="16" t="str">
        <f t="shared" si="2"/>
        <v/>
      </c>
      <c r="J26" s="41"/>
      <c r="K26" s="41"/>
      <c r="L26" s="41"/>
    </row>
    <row r="27" spans="1:13" ht="15.6">
      <c r="A27" s="30" t="str">
        <v>CSU - Bakersfield</v>
      </c>
      <c r="B27" s="31" t="str">
        <v>CA</v>
      </c>
      <c r="C27" s="11"/>
      <c r="D27" s="18"/>
      <c r="E27" s="18" t="str">
        <f t="shared" si="0"/>
        <v/>
      </c>
      <c r="F27" s="19"/>
      <c r="G27" s="20"/>
      <c r="H27" s="20" t="str">
        <f t="shared" si="1"/>
        <v/>
      </c>
      <c r="I27" s="19" t="str">
        <f t="shared" si="2"/>
        <v/>
      </c>
      <c r="J27" s="42"/>
      <c r="K27" s="43"/>
      <c r="L27" s="43"/>
    </row>
    <row r="28" spans="1:13" ht="15.6">
      <c r="A28" s="28" t="str">
        <v>Greenfield USD - Fairfield ES</v>
      </c>
      <c r="B28" s="29" t="str">
        <v>CA</v>
      </c>
      <c r="C28" s="24"/>
      <c r="D28" s="13"/>
      <c r="E28" s="13" t="str">
        <f t="shared" si="0"/>
        <v/>
      </c>
      <c r="F28" s="14"/>
      <c r="G28" s="15"/>
      <c r="H28" s="15" t="str">
        <f t="shared" si="1"/>
        <v/>
      </c>
      <c r="I28" s="16" t="str">
        <f t="shared" si="2"/>
        <v/>
      </c>
      <c r="J28" s="41"/>
      <c r="K28" s="41"/>
      <c r="L28" s="41"/>
    </row>
    <row r="29" spans="1:13" ht="15.6">
      <c r="A29" s="30" t="str">
        <v>Greenfield USD - Granite Point ES</v>
      </c>
      <c r="B29" s="31" t="str">
        <v>CA</v>
      </c>
      <c r="C29" s="11"/>
      <c r="D29" s="18"/>
      <c r="E29" s="18" t="str">
        <f t="shared" si="0"/>
        <v/>
      </c>
      <c r="F29" s="19"/>
      <c r="G29" s="20"/>
      <c r="H29" s="20" t="str">
        <f t="shared" si="1"/>
        <v/>
      </c>
      <c r="I29" s="19" t="str">
        <f t="shared" si="2"/>
        <v/>
      </c>
      <c r="J29" s="42"/>
      <c r="K29" s="92"/>
      <c r="L29" s="43"/>
    </row>
    <row r="30" spans="1:13" ht="15.6">
      <c r="A30" s="28" t="str">
        <v>Greenfield USD - Greenfield MS</v>
      </c>
      <c r="B30" s="29" t="str">
        <v>CA</v>
      </c>
      <c r="C30" s="24"/>
      <c r="D30" s="13"/>
      <c r="E30" s="13" t="str">
        <f t="shared" si="0"/>
        <v/>
      </c>
      <c r="F30" s="14"/>
      <c r="G30" s="15"/>
      <c r="H30" s="15" t="str">
        <f t="shared" si="1"/>
        <v/>
      </c>
      <c r="I30" s="16" t="str">
        <f t="shared" si="2"/>
        <v/>
      </c>
      <c r="J30" s="41"/>
      <c r="K30" s="41"/>
      <c r="L30" s="41"/>
    </row>
    <row r="31" spans="1:13" ht="15.6">
      <c r="A31" s="30" t="str">
        <v>Greenfield USD - Horizon ES</v>
      </c>
      <c r="B31" s="31" t="str">
        <v>CA</v>
      </c>
      <c r="C31" s="11"/>
      <c r="D31" s="18"/>
      <c r="E31" s="18" t="str">
        <f t="shared" si="0"/>
        <v/>
      </c>
      <c r="F31" s="19"/>
      <c r="G31" s="20"/>
      <c r="H31" s="20" t="str">
        <f t="shared" si="1"/>
        <v/>
      </c>
      <c r="I31" s="19" t="str">
        <f t="shared" si="2"/>
        <v/>
      </c>
      <c r="J31" s="42"/>
      <c r="K31" s="54"/>
      <c r="L31" s="54"/>
    </row>
    <row r="32" spans="1:13" ht="15.6">
      <c r="A32" s="28" t="str">
        <v>Greenfield USD - McKee MS</v>
      </c>
      <c r="B32" s="29" t="str">
        <v>CA</v>
      </c>
      <c r="C32" s="24"/>
      <c r="D32" s="13"/>
      <c r="E32" s="13" t="str">
        <f t="shared" si="0"/>
        <v/>
      </c>
      <c r="F32" s="14"/>
      <c r="G32" s="15"/>
      <c r="H32" s="15" t="str">
        <f t="shared" si="1"/>
        <v/>
      </c>
      <c r="I32" s="16" t="str">
        <f t="shared" si="2"/>
        <v/>
      </c>
      <c r="J32" s="41"/>
      <c r="K32" s="88"/>
      <c r="L32" s="41"/>
    </row>
    <row r="33" spans="1:20" ht="15.6">
      <c r="A33" s="30" t="str">
        <v>Greenfield USD - Plantation ES</v>
      </c>
      <c r="B33" s="31" t="str">
        <v>CA</v>
      </c>
      <c r="C33" s="11"/>
      <c r="D33" s="18"/>
      <c r="E33" s="18" t="str">
        <f t="shared" si="0"/>
        <v/>
      </c>
      <c r="F33" s="19"/>
      <c r="G33" s="20"/>
      <c r="H33" s="20" t="str">
        <f t="shared" si="1"/>
        <v/>
      </c>
      <c r="I33" s="19" t="str">
        <f t="shared" si="2"/>
        <v/>
      </c>
      <c r="J33" s="42"/>
      <c r="K33" s="43"/>
      <c r="L33" s="43"/>
    </row>
    <row r="34" spans="1:20" ht="15.6">
      <c r="A34" s="28" t="str">
        <v>Greenfield USD - Planz ES</v>
      </c>
      <c r="B34" s="29" t="str">
        <v>CA</v>
      </c>
      <c r="C34" s="24"/>
      <c r="D34" s="13"/>
      <c r="E34" s="13" t="str">
        <f t="shared" si="0"/>
        <v/>
      </c>
      <c r="F34" s="14"/>
      <c r="G34" s="15"/>
      <c r="H34" s="15" t="str">
        <f t="shared" si="1"/>
        <v/>
      </c>
      <c r="I34" s="16" t="str">
        <f t="shared" si="2"/>
        <v/>
      </c>
      <c r="J34" s="41"/>
      <c r="K34" s="41"/>
      <c r="L34" s="41"/>
    </row>
    <row r="35" spans="1:20" ht="15.6">
      <c r="A35" s="30" t="str">
        <v>Greenfield USD - Raffaello Palla ES</v>
      </c>
      <c r="B35" s="31" t="str">
        <v>CA</v>
      </c>
      <c r="C35" s="11"/>
      <c r="D35" s="18"/>
      <c r="E35" s="18" t="str">
        <f t="shared" si="0"/>
        <v/>
      </c>
      <c r="F35" s="19"/>
      <c r="G35" s="20"/>
      <c r="H35" s="20" t="str">
        <f t="shared" si="1"/>
        <v/>
      </c>
      <c r="I35" s="19" t="str">
        <f t="shared" si="2"/>
        <v/>
      </c>
      <c r="J35" s="42"/>
      <c r="K35" s="43"/>
      <c r="L35" s="43"/>
    </row>
    <row r="36" spans="1:20" ht="15.6">
      <c r="A36" s="28" t="str">
        <v>Greenfield USD - Valle Verde ES</v>
      </c>
      <c r="B36" s="29" t="str">
        <v>CA</v>
      </c>
      <c r="C36" s="24"/>
      <c r="D36" s="13"/>
      <c r="E36" s="13" t="str">
        <f t="shared" si="0"/>
        <v/>
      </c>
      <c r="F36" s="14"/>
      <c r="G36" s="15"/>
      <c r="H36" s="15" t="str">
        <f t="shared" si="1"/>
        <v/>
      </c>
      <c r="I36" s="16" t="str">
        <f t="shared" si="2"/>
        <v/>
      </c>
      <c r="J36" s="41"/>
      <c r="K36" s="41"/>
      <c r="L36" s="41"/>
    </row>
    <row r="37" spans="1:20" ht="15.6">
      <c r="A37" s="30" t="str">
        <v>Greenfield USD - W.A. Kendrick ES</v>
      </c>
      <c r="B37" s="31" t="str">
        <v>CA</v>
      </c>
      <c r="C37" s="11"/>
      <c r="D37" s="18"/>
      <c r="E37" s="18" t="str">
        <f t="shared" si="0"/>
        <v/>
      </c>
      <c r="F37" s="19"/>
      <c r="G37" s="20"/>
      <c r="H37" s="20" t="str">
        <f t="shared" si="1"/>
        <v/>
      </c>
      <c r="I37" s="19" t="str">
        <f t="shared" si="2"/>
        <v/>
      </c>
      <c r="J37" s="42"/>
      <c r="K37" s="87"/>
      <c r="L37" s="60"/>
    </row>
    <row r="38" spans="1:20" ht="15.6">
      <c r="A38" s="28" t="str">
        <v>Muroc Joint USD - Boron HS</v>
      </c>
      <c r="B38" s="29" t="str">
        <v>CA</v>
      </c>
      <c r="C38" s="24"/>
      <c r="D38" s="13"/>
      <c r="E38" s="13" t="str">
        <f t="shared" si="0"/>
        <v/>
      </c>
      <c r="F38" s="14"/>
      <c r="G38" s="15"/>
      <c r="H38" s="15" t="str">
        <f t="shared" si="1"/>
        <v/>
      </c>
      <c r="I38" s="16" t="str">
        <f t="shared" si="2"/>
        <v/>
      </c>
      <c r="J38" s="41"/>
      <c r="K38" s="88"/>
      <c r="L38" s="41"/>
    </row>
    <row r="39" spans="1:20" ht="15.6">
      <c r="A39" s="30" t="str">
        <v>Muroc Joint USD - W. Boron ES</v>
      </c>
      <c r="B39" s="31" t="str">
        <v>CA</v>
      </c>
      <c r="C39" s="11"/>
      <c r="D39" s="18"/>
      <c r="E39" s="18" t="str">
        <f t="shared" si="0"/>
        <v/>
      </c>
      <c r="F39" s="19"/>
      <c r="G39" s="20"/>
      <c r="H39" s="20" t="str">
        <f t="shared" si="1"/>
        <v/>
      </c>
      <c r="I39" s="19" t="str">
        <f t="shared" si="2"/>
        <v/>
      </c>
      <c r="J39" s="42"/>
      <c r="K39" s="43"/>
      <c r="L39" s="43"/>
    </row>
    <row r="40" spans="1:20" ht="15.6">
      <c r="A40" s="28" t="str">
        <v>Colusa - WTP</v>
      </c>
      <c r="B40" s="29" t="str">
        <v>CA</v>
      </c>
      <c r="C40" s="24"/>
      <c r="D40" s="13"/>
      <c r="E40" s="13" t="str">
        <f t="shared" si="0"/>
        <v/>
      </c>
      <c r="F40" s="14"/>
      <c r="G40" s="15"/>
      <c r="H40" s="15" t="str">
        <f t="shared" si="1"/>
        <v/>
      </c>
      <c r="I40" s="16" t="str">
        <f t="shared" si="2"/>
        <v/>
      </c>
      <c r="J40" s="41"/>
      <c r="K40" s="91"/>
      <c r="L40" s="76"/>
      <c r="M40" s="89"/>
    </row>
    <row r="41" spans="1:20" ht="15.6">
      <c r="A41" s="30" t="str">
        <v>CDCR-North Kern State Prision</v>
      </c>
      <c r="B41" s="31" t="str">
        <v>CA</v>
      </c>
      <c r="C41" s="11"/>
      <c r="D41" s="18"/>
      <c r="E41" s="18" t="str">
        <f t="shared" si="0"/>
        <v/>
      </c>
      <c r="F41" s="19"/>
      <c r="G41" s="20"/>
      <c r="H41" s="20" t="str">
        <f t="shared" si="1"/>
        <v/>
      </c>
      <c r="I41" s="19" t="str">
        <f t="shared" si="2"/>
        <v/>
      </c>
      <c r="J41" s="54"/>
      <c r="K41" s="90"/>
      <c r="L41" s="54"/>
    </row>
    <row r="42" spans="1:20" ht="15.6">
      <c r="A42" s="28" t="str">
        <v>Muroc Joint USD - District Office</v>
      </c>
      <c r="B42" s="29" t="str">
        <v>CA</v>
      </c>
      <c r="C42" s="24"/>
      <c r="D42" s="13"/>
      <c r="E42" s="13" t="str">
        <f t="shared" si="0"/>
        <v/>
      </c>
      <c r="F42" s="14"/>
      <c r="G42" s="15"/>
      <c r="H42" s="15" t="str">
        <f t="shared" si="1"/>
        <v/>
      </c>
      <c r="I42" s="16" t="str">
        <f t="shared" si="2"/>
        <v/>
      </c>
      <c r="J42" s="41"/>
      <c r="K42" s="41"/>
      <c r="L42" s="41"/>
    </row>
    <row r="43" spans="1:20" ht="15.6">
      <c r="A43" s="30" t="str">
        <v>Whole Foods - Manhattan Beach</v>
      </c>
      <c r="B43" s="31" t="str">
        <v>CA</v>
      </c>
      <c r="C43" s="11"/>
      <c r="D43" s="18"/>
      <c r="E43" s="18" t="str">
        <f t="shared" si="0"/>
        <v/>
      </c>
      <c r="F43" s="19"/>
      <c r="G43" s="20"/>
      <c r="H43" s="20" t="str">
        <f t="shared" si="1"/>
        <v/>
      </c>
      <c r="I43" s="19" t="str">
        <f t="shared" si="2"/>
        <v/>
      </c>
      <c r="J43" s="54"/>
      <c r="K43" s="90"/>
      <c r="L43" s="54"/>
      <c r="M43" s="89"/>
      <c r="N43" s="89"/>
      <c r="O43" s="89"/>
      <c r="P43" s="89"/>
      <c r="Q43" s="89"/>
      <c r="R43" s="89"/>
      <c r="S43" s="89" t="s">
        <v>97</v>
      </c>
      <c r="T43" s="89" t="s">
        <v>100</v>
      </c>
    </row>
    <row r="44" spans="1:20" ht="15.6">
      <c r="A44" s="28" t="str">
        <v>Pioneer USD - Frontier ES</v>
      </c>
      <c r="B44" s="29" t="str">
        <v>CA</v>
      </c>
      <c r="C44" s="24"/>
      <c r="D44" s="13"/>
      <c r="E44" s="13" t="str">
        <f t="shared" si="0"/>
        <v/>
      </c>
      <c r="F44" s="14"/>
      <c r="G44" s="15"/>
      <c r="H44" s="15" t="str">
        <f t="shared" si="1"/>
        <v/>
      </c>
      <c r="I44" s="16" t="str">
        <f t="shared" si="2"/>
        <v/>
      </c>
      <c r="J44" s="76"/>
      <c r="K44" s="88"/>
      <c r="L44" s="41"/>
      <c r="M44" s="89"/>
    </row>
    <row r="45" spans="1:20" ht="15.6">
      <c r="A45" s="30" t="str">
        <v>Pioneer USD - Pioneer ES</v>
      </c>
      <c r="B45" s="31" t="str">
        <v>CA</v>
      </c>
      <c r="C45" s="11"/>
      <c r="D45" s="18"/>
      <c r="E45" s="18" t="str">
        <f t="shared" si="0"/>
        <v/>
      </c>
      <c r="F45" s="19"/>
      <c r="G45" s="20"/>
      <c r="H45" s="20" t="str">
        <f t="shared" si="1"/>
        <v/>
      </c>
      <c r="I45" s="19" t="str">
        <f t="shared" si="2"/>
        <v/>
      </c>
      <c r="J45" s="130"/>
      <c r="K45" s="90"/>
      <c r="L45" s="130"/>
    </row>
    <row r="46" spans="1:20" ht="15.6">
      <c r="A46" s="28" t="str">
        <v>Pioneer USD - Pioneer MS</v>
      </c>
      <c r="B46" s="29" t="str">
        <v>CA</v>
      </c>
      <c r="C46" s="24"/>
      <c r="D46" s="13"/>
      <c r="E46" s="13" t="str">
        <f t="shared" si="0"/>
        <v/>
      </c>
      <c r="F46" s="14"/>
      <c r="G46" s="15"/>
      <c r="H46" s="15" t="str">
        <f t="shared" si="1"/>
        <v/>
      </c>
      <c r="I46" s="16" t="str">
        <f t="shared" si="2"/>
        <v/>
      </c>
      <c r="J46" s="76"/>
      <c r="K46" s="76"/>
      <c r="L46" s="76"/>
    </row>
    <row r="47" spans="1:20" ht="15.6">
      <c r="A47" s="30" t="str">
        <v>Kingsburg Joint UHSD - Kingsburg HS</v>
      </c>
      <c r="B47" s="31" t="str">
        <v>CA</v>
      </c>
      <c r="C47" s="11"/>
      <c r="D47" s="18"/>
      <c r="E47" s="18" t="str">
        <f t="shared" si="0"/>
        <v/>
      </c>
      <c r="F47" s="19"/>
      <c r="G47" s="20"/>
      <c r="H47" s="20" t="str">
        <f t="shared" si="1"/>
        <v/>
      </c>
      <c r="I47" s="19" t="str">
        <f t="shared" si="2"/>
        <v/>
      </c>
      <c r="J47" s="130"/>
      <c r="K47" s="90"/>
      <c r="L47" s="130"/>
    </row>
    <row r="48" spans="1:20" ht="111.75" customHeight="1">
      <c r="A48" s="28" t="str">
        <v>CADRB</v>
      </c>
      <c r="B48" s="29" t="str">
        <v>CA</v>
      </c>
      <c r="C48" s="24"/>
      <c r="D48" s="13"/>
      <c r="E48" s="13" t="str">
        <f t="shared" si="0"/>
        <v/>
      </c>
      <c r="F48" s="14"/>
      <c r="G48" s="15"/>
      <c r="H48" s="15" t="str">
        <f t="shared" si="1"/>
        <v/>
      </c>
      <c r="I48" s="16" t="str">
        <f t="shared" si="2"/>
        <v/>
      </c>
      <c r="J48" s="76"/>
      <c r="K48" s="91"/>
      <c r="L48" s="76"/>
    </row>
    <row r="49" spans="1:14" ht="65.25" customHeight="1">
      <c r="A49" s="30" t="str">
        <v>CDCR-CA State Prison LA County</v>
      </c>
      <c r="B49" s="31" t="str">
        <v>CA</v>
      </c>
      <c r="C49" s="11"/>
      <c r="D49" s="18"/>
      <c r="E49" s="18" t="str">
        <f t="shared" si="0"/>
        <v/>
      </c>
      <c r="F49" s="19"/>
      <c r="G49" s="20"/>
      <c r="H49" s="20" t="str">
        <f t="shared" si="1"/>
        <v/>
      </c>
      <c r="I49" s="19" t="str">
        <f t="shared" si="2"/>
        <v/>
      </c>
      <c r="J49" s="42"/>
      <c r="K49" s="92"/>
      <c r="L49" s="43"/>
    </row>
    <row r="50" spans="1:14" ht="15.6">
      <c r="A50" s="28" t="str">
        <v>Central USD Akers ES</v>
      </c>
      <c r="B50" s="29" t="str">
        <v>CA</v>
      </c>
      <c r="C50" s="24"/>
      <c r="D50" s="13"/>
      <c r="E50" s="13" t="str">
        <f t="shared" si="0"/>
        <v/>
      </c>
      <c r="F50" s="14"/>
      <c r="G50" s="15"/>
      <c r="H50" s="15" t="str">
        <f t="shared" si="1"/>
        <v/>
      </c>
      <c r="I50" s="16" t="str">
        <f t="shared" si="2"/>
        <v/>
      </c>
      <c r="J50" s="41"/>
      <c r="K50" s="88"/>
      <c r="L50" s="41"/>
      <c r="M50" s="89"/>
      <c r="N50" s="89"/>
    </row>
    <row r="51" spans="1:14" ht="15.6">
      <c r="A51" s="30" t="str">
        <v>CUSD - District Office</v>
      </c>
      <c r="B51" s="31" t="str">
        <v>CA</v>
      </c>
      <c r="C51" s="11"/>
      <c r="D51" s="18"/>
      <c r="E51" s="18" t="str">
        <f t="shared" si="0"/>
        <v/>
      </c>
      <c r="F51" s="19"/>
      <c r="G51" s="20"/>
      <c r="H51" s="20" t="str">
        <f t="shared" si="1"/>
        <v/>
      </c>
      <c r="I51" s="19" t="str">
        <f t="shared" si="2"/>
        <v/>
      </c>
      <c r="J51" s="42"/>
      <c r="K51" s="90"/>
      <c r="L51" s="130"/>
    </row>
    <row r="52" spans="1:14" ht="15.6">
      <c r="A52" s="28" t="str">
        <v>Parlier - WTP</v>
      </c>
      <c r="B52" s="29" t="str">
        <v>CA</v>
      </c>
      <c r="C52" s="24"/>
      <c r="D52" s="13"/>
      <c r="E52" s="13" t="str">
        <f t="shared" si="0"/>
        <v/>
      </c>
      <c r="F52" s="14"/>
      <c r="G52" s="15"/>
      <c r="H52" s="15" t="str">
        <f t="shared" si="1"/>
        <v/>
      </c>
      <c r="I52" s="16" t="str">
        <f t="shared" si="2"/>
        <v/>
      </c>
      <c r="J52" s="56"/>
      <c r="K52" s="91"/>
      <c r="L52" s="76"/>
    </row>
    <row r="53" spans="1:14" ht="15.6">
      <c r="A53" s="30" t="str">
        <v>Snowline SD - Quail Valley MS</v>
      </c>
      <c r="B53" s="31" t="str">
        <v>CA</v>
      </c>
      <c r="C53" s="11"/>
      <c r="D53" s="18"/>
      <c r="E53" s="18" t="str">
        <f t="shared" si="0"/>
        <v/>
      </c>
      <c r="F53" s="19"/>
      <c r="G53" s="20"/>
      <c r="H53" s="20" t="str">
        <f t="shared" si="1"/>
        <v/>
      </c>
      <c r="I53" s="19" t="str">
        <f t="shared" si="2"/>
        <v/>
      </c>
      <c r="J53" s="130"/>
      <c r="K53" s="93"/>
      <c r="L53" s="77"/>
    </row>
    <row r="54" spans="1:14" ht="15.6">
      <c r="A54" s="28" t="str">
        <v>Snowline SD - Serrano HS - Middle Lot</v>
      </c>
      <c r="B54" s="29" t="str">
        <v>CA</v>
      </c>
      <c r="C54" s="24"/>
      <c r="D54" s="13"/>
      <c r="E54" s="13" t="str">
        <f t="shared" si="0"/>
        <v/>
      </c>
      <c r="F54" s="14"/>
      <c r="G54" s="15"/>
      <c r="H54" s="15" t="str">
        <f t="shared" si="1"/>
        <v/>
      </c>
      <c r="I54" s="16" t="str">
        <f t="shared" si="2"/>
        <v/>
      </c>
      <c r="J54" s="41"/>
      <c r="K54" s="41"/>
      <c r="L54" s="41"/>
    </row>
    <row r="55" spans="1:14" ht="15.6">
      <c r="A55" s="30" t="str">
        <v>Snowline SD - Pinon Hills ES</v>
      </c>
      <c r="B55" s="31" t="str">
        <v>CA</v>
      </c>
      <c r="C55" s="11"/>
      <c r="D55" s="18"/>
      <c r="E55" s="18" t="str">
        <f t="shared" si="0"/>
        <v/>
      </c>
      <c r="F55" s="19"/>
      <c r="G55" s="20"/>
      <c r="H55" s="20" t="str">
        <f t="shared" si="1"/>
        <v/>
      </c>
      <c r="I55" s="19" t="str">
        <f t="shared" si="2"/>
        <v/>
      </c>
      <c r="J55" s="130"/>
      <c r="K55" s="130"/>
      <c r="L55" s="130"/>
    </row>
    <row r="56" spans="1:14" ht="15.6">
      <c r="A56" s="28" t="str">
        <v>Ramona - Santa Maria WTP</v>
      </c>
      <c r="B56" s="29" t="str">
        <v>CA</v>
      </c>
      <c r="C56" s="24"/>
      <c r="D56" s="13"/>
      <c r="E56" s="13" t="str">
        <f t="shared" si="0"/>
        <v/>
      </c>
      <c r="F56" s="14"/>
      <c r="G56" s="15"/>
      <c r="H56" s="15" t="str">
        <f t="shared" si="1"/>
        <v/>
      </c>
      <c r="I56" s="16" t="str">
        <f t="shared" si="2"/>
        <v/>
      </c>
      <c r="J56" s="56"/>
      <c r="K56" s="91"/>
      <c r="L56" s="56"/>
    </row>
    <row r="57" spans="1:14" ht="15.6">
      <c r="A57" s="30" t="str">
        <v>Kohls - Redding</v>
      </c>
      <c r="B57" s="31" t="str">
        <v>CA</v>
      </c>
      <c r="C57" s="11"/>
      <c r="D57" s="18"/>
      <c r="E57" s="18" t="str">
        <f t="shared" si="0"/>
        <v/>
      </c>
      <c r="F57" s="19"/>
      <c r="G57" s="20"/>
      <c r="H57" s="20" t="str">
        <f t="shared" si="1"/>
        <v/>
      </c>
      <c r="I57" s="19" t="str">
        <f t="shared" si="2"/>
        <v/>
      </c>
      <c r="J57" s="54"/>
      <c r="K57" s="90"/>
      <c r="L57" s="54"/>
    </row>
    <row r="58" spans="1:14" ht="15.6">
      <c r="A58" s="28" t="str">
        <v>Kohls - Salinas</v>
      </c>
      <c r="B58" s="29" t="str">
        <v>CA</v>
      </c>
      <c r="C58" s="24"/>
      <c r="D58" s="13"/>
      <c r="E58" s="13" t="str">
        <f t="shared" si="0"/>
        <v/>
      </c>
      <c r="F58" s="14"/>
      <c r="G58" s="15"/>
      <c r="H58" s="15" t="str">
        <f t="shared" si="1"/>
        <v/>
      </c>
      <c r="I58" s="16" t="str">
        <f t="shared" si="2"/>
        <v/>
      </c>
      <c r="J58" s="76"/>
      <c r="K58" s="76"/>
      <c r="L58" s="76"/>
    </row>
    <row r="59" spans="1:14" ht="15.6">
      <c r="A59" s="30" t="str">
        <v>Kohls - Sonora</v>
      </c>
      <c r="B59" s="31" t="str">
        <v>CA</v>
      </c>
      <c r="C59" s="11"/>
      <c r="D59" s="18"/>
      <c r="E59" s="18" t="str">
        <f t="shared" si="0"/>
        <v/>
      </c>
      <c r="F59" s="19"/>
      <c r="G59" s="20"/>
      <c r="H59" s="20" t="str">
        <f t="shared" si="1"/>
        <v/>
      </c>
      <c r="I59" s="19" t="str">
        <f t="shared" si="2"/>
        <v/>
      </c>
      <c r="J59" s="42"/>
      <c r="K59" s="43"/>
      <c r="L59" s="43"/>
    </row>
    <row r="60" spans="1:14" ht="15.6">
      <c r="A60" s="28" t="str">
        <v>CUSD - Stratford ES</v>
      </c>
      <c r="B60" s="29" t="str">
        <v>CA</v>
      </c>
      <c r="C60" s="24"/>
      <c r="D60" s="13"/>
      <c r="E60" s="13" t="str">
        <f t="shared" si="0"/>
        <v/>
      </c>
      <c r="F60" s="14"/>
      <c r="G60" s="15"/>
      <c r="H60" s="15" t="str">
        <f t="shared" si="1"/>
        <v/>
      </c>
      <c r="I60" s="16" t="str">
        <f t="shared" si="2"/>
        <v/>
      </c>
      <c r="J60" s="76"/>
      <c r="K60" s="91"/>
      <c r="L60" s="76"/>
    </row>
    <row r="61" spans="1:14" ht="15.6">
      <c r="A61" s="30" t="str">
        <v>Taft - City Hall</v>
      </c>
      <c r="B61" s="31" t="str">
        <v>CA</v>
      </c>
      <c r="C61" s="11"/>
      <c r="D61" s="18"/>
      <c r="E61" s="18" t="str">
        <f t="shared" si="0"/>
        <v/>
      </c>
      <c r="F61" s="19"/>
      <c r="G61" s="78"/>
      <c r="H61" s="20" t="str">
        <f t="shared" si="1"/>
        <v/>
      </c>
      <c r="I61" s="19" t="str">
        <f t="shared" si="2"/>
        <v/>
      </c>
      <c r="J61" s="54"/>
      <c r="K61" s="92"/>
      <c r="L61" s="43"/>
    </row>
    <row r="62" spans="1:14" ht="15.6">
      <c r="A62" s="28" t="str">
        <v>Taft - Federal Prison</v>
      </c>
      <c r="B62" s="29" t="str">
        <v>CA</v>
      </c>
      <c r="C62" s="24"/>
      <c r="D62" s="13"/>
      <c r="E62" s="13" t="str">
        <f t="shared" si="0"/>
        <v/>
      </c>
      <c r="F62" s="14"/>
      <c r="G62" s="15"/>
      <c r="H62" s="15" t="str">
        <f t="shared" si="1"/>
        <v/>
      </c>
      <c r="I62" s="16" t="str">
        <f t="shared" si="2"/>
        <v/>
      </c>
      <c r="J62" s="41"/>
      <c r="K62" s="88"/>
      <c r="L62" s="41"/>
    </row>
    <row r="63" spans="1:14" ht="15.6">
      <c r="A63" s="30" t="str">
        <v>Taft - Police Department</v>
      </c>
      <c r="B63" s="31" t="str">
        <v>CA</v>
      </c>
      <c r="C63" s="11"/>
      <c r="D63" s="18"/>
      <c r="E63" s="18" t="str">
        <f t="shared" si="0"/>
        <v/>
      </c>
      <c r="F63" s="19"/>
      <c r="G63" s="20"/>
      <c r="H63" s="20" t="str">
        <f t="shared" si="1"/>
        <v/>
      </c>
      <c r="I63" s="19" t="str">
        <f t="shared" si="2"/>
        <v/>
      </c>
      <c r="J63" s="54"/>
      <c r="K63" s="43"/>
      <c r="L63" s="43"/>
    </row>
    <row r="64" spans="1:14" ht="15.6">
      <c r="A64" s="28" t="str">
        <v>Taft - WTP</v>
      </c>
      <c r="B64" s="29" t="str">
        <v>CA</v>
      </c>
      <c r="C64" s="24"/>
      <c r="D64" s="13"/>
      <c r="E64" s="13" t="str">
        <f t="shared" si="0"/>
        <v/>
      </c>
      <c r="F64" s="14"/>
      <c r="G64" s="15"/>
      <c r="H64" s="15" t="str">
        <f t="shared" si="1"/>
        <v/>
      </c>
      <c r="I64" s="16" t="str">
        <f t="shared" si="2"/>
        <v/>
      </c>
      <c r="J64" s="56"/>
      <c r="K64" s="41"/>
      <c r="L64" s="41"/>
    </row>
    <row r="65" spans="1:14" ht="15.6">
      <c r="A65" s="30" t="str">
        <v>CDCR - CA Correctional Institution</v>
      </c>
      <c r="B65" s="31" t="str">
        <v>CA</v>
      </c>
      <c r="C65" s="11"/>
      <c r="D65" s="18"/>
      <c r="E65" s="18" t="str">
        <f t="shared" si="0"/>
        <v/>
      </c>
      <c r="F65" s="19"/>
      <c r="G65" s="20"/>
      <c r="H65" s="20" t="str">
        <f t="shared" si="1"/>
        <v/>
      </c>
      <c r="I65" s="19" t="str">
        <f t="shared" si="2"/>
        <v/>
      </c>
      <c r="J65" s="54"/>
      <c r="K65" s="54"/>
      <c r="L65" s="54"/>
    </row>
    <row r="66" spans="1:14" ht="15.6">
      <c r="A66" s="28" t="str">
        <v>CDCR - CA Correctional Institution II</v>
      </c>
      <c r="B66" s="29" t="str">
        <v>CA</v>
      </c>
      <c r="C66" s="24"/>
      <c r="D66" s="13"/>
      <c r="E66" s="13" t="str">
        <f t="shared" si="0"/>
        <v/>
      </c>
      <c r="F66" s="14"/>
      <c r="G66" s="15"/>
      <c r="H66" s="15" t="str">
        <f t="shared" si="1"/>
        <v/>
      </c>
      <c r="I66" s="16" t="str">
        <f t="shared" si="2"/>
        <v/>
      </c>
      <c r="J66" s="56"/>
      <c r="K66" s="91"/>
      <c r="L66" s="56"/>
    </row>
    <row r="67" spans="1:14" ht="15.6">
      <c r="A67" s="30" t="str">
        <v>Snowline SD - Vista Verde ES</v>
      </c>
      <c r="B67" s="31" t="str">
        <v>CA</v>
      </c>
      <c r="C67" s="11"/>
      <c r="D67" s="18"/>
      <c r="E67" s="18" t="str">
        <f t="shared" si="0"/>
        <v/>
      </c>
      <c r="F67" s="19"/>
      <c r="G67" s="20"/>
      <c r="H67" s="20" t="str">
        <f t="shared" si="1"/>
        <v/>
      </c>
      <c r="I67" s="19" t="str">
        <f t="shared" si="2"/>
        <v/>
      </c>
      <c r="J67" s="54"/>
      <c r="K67" s="54"/>
      <c r="L67" s="54"/>
    </row>
    <row r="68" spans="1:14" ht="15.6">
      <c r="A68" s="28" t="str">
        <v>North Stonington</v>
      </c>
      <c r="B68" s="29" t="str">
        <v>CT</v>
      </c>
      <c r="C68" s="24"/>
      <c r="D68" s="13"/>
      <c r="E68" s="13" t="str">
        <f t="shared" si="0"/>
        <v/>
      </c>
      <c r="F68" s="14"/>
      <c r="G68" s="15"/>
      <c r="H68" s="15" t="str">
        <f t="shared" si="1"/>
        <v/>
      </c>
      <c r="I68" s="16" t="str">
        <f t="shared" si="2"/>
        <v/>
      </c>
      <c r="J68" s="41"/>
      <c r="K68" s="88"/>
      <c r="L68" s="41"/>
    </row>
    <row r="69" spans="1:14" ht="15.6">
      <c r="A69" s="30" t="str">
        <v>CT: Torrington - 2-298 Rossi Road</v>
      </c>
      <c r="B69" s="31" t="str">
        <v>CT</v>
      </c>
      <c r="C69" s="11"/>
      <c r="D69" s="18"/>
      <c r="E69" s="18"/>
      <c r="F69" s="19"/>
      <c r="G69" s="123"/>
      <c r="H69" s="20"/>
      <c r="I69" s="19"/>
      <c r="J69" s="54"/>
      <c r="K69" s="90"/>
      <c r="L69" s="54"/>
    </row>
    <row r="70" spans="1:14" ht="15.6">
      <c r="A70" s="28"/>
      <c r="B70" s="29"/>
      <c r="C70" s="24"/>
      <c r="D70" s="13"/>
      <c r="E70" s="13"/>
      <c r="F70" s="14"/>
      <c r="G70" s="127"/>
      <c r="H70" s="15"/>
      <c r="I70" s="16"/>
      <c r="J70" s="41"/>
      <c r="K70" s="88"/>
      <c r="L70" s="41"/>
      <c r="M70" s="89"/>
      <c r="N70" s="89"/>
    </row>
    <row r="71" spans="1:14" ht="14.45">
      <c r="A71" s="21"/>
      <c r="B71" s="33"/>
      <c r="C71" s="21"/>
      <c r="D71" s="21"/>
      <c r="E71" s="21"/>
      <c r="F71" s="22"/>
      <c r="G71" s="21"/>
      <c r="H71" s="21"/>
      <c r="I71" s="22"/>
      <c r="J71" s="21"/>
      <c r="K71" s="21"/>
      <c r="L71" s="21"/>
    </row>
    <row r="72" spans="1:14" ht="14.45">
      <c r="A72" s="21"/>
      <c r="B72" s="33"/>
      <c r="C72" s="21"/>
      <c r="D72" s="21"/>
      <c r="E72" s="21"/>
      <c r="F72" s="22"/>
      <c r="G72" s="21"/>
      <c r="H72" s="21"/>
      <c r="I72" s="22"/>
      <c r="J72" s="21"/>
      <c r="K72" s="21"/>
      <c r="L72" s="21"/>
    </row>
    <row r="73" spans="1:14" ht="14.45">
      <c r="A73" s="21"/>
      <c r="B73" s="33"/>
      <c r="C73" s="21"/>
      <c r="D73" s="21"/>
      <c r="E73" s="21"/>
      <c r="F73" s="22"/>
      <c r="G73" s="21"/>
      <c r="H73" s="21"/>
      <c r="I73" s="22"/>
      <c r="J73" s="21"/>
      <c r="K73" s="21"/>
      <c r="L73" s="21"/>
    </row>
    <row r="74" spans="1:14" ht="14.45">
      <c r="A74" s="21"/>
      <c r="B74" s="33"/>
      <c r="C74" s="21"/>
      <c r="D74" s="21"/>
      <c r="E74" s="21"/>
      <c r="F74" s="22"/>
      <c r="G74" s="21"/>
      <c r="H74" s="21"/>
      <c r="I74" s="22"/>
      <c r="J74" s="21"/>
      <c r="K74" s="21"/>
      <c r="L74" s="21"/>
    </row>
    <row r="75" spans="1:14" ht="14.45">
      <c r="A75" s="21"/>
      <c r="B75" s="33"/>
      <c r="C75" s="21"/>
      <c r="D75" s="21"/>
      <c r="E75" s="21"/>
      <c r="F75" s="22"/>
      <c r="G75" s="21"/>
      <c r="H75" s="21"/>
      <c r="I75" s="22"/>
      <c r="J75" s="21"/>
      <c r="K75" s="21"/>
      <c r="L75" s="21"/>
    </row>
    <row r="76" spans="1:14" ht="14.45">
      <c r="A76" s="21"/>
      <c r="B76" s="33"/>
      <c r="C76" s="21"/>
      <c r="D76" s="21"/>
      <c r="E76" s="21"/>
      <c r="F76" s="22"/>
      <c r="G76" s="21"/>
      <c r="H76" s="21"/>
      <c r="I76" s="22"/>
      <c r="J76" s="21"/>
      <c r="K76" s="21"/>
      <c r="L76" s="21"/>
    </row>
    <row r="77" spans="1:14" ht="14.45">
      <c r="A77" s="21"/>
      <c r="B77" s="33"/>
      <c r="C77" s="21"/>
      <c r="D77" s="21"/>
      <c r="E77" s="21"/>
      <c r="F77" s="22"/>
      <c r="G77" s="21"/>
      <c r="H77" s="21"/>
      <c r="I77" s="22"/>
      <c r="J77" s="21"/>
      <c r="K77" s="21"/>
      <c r="L77" s="21"/>
    </row>
    <row r="78" spans="1:14" ht="14.45">
      <c r="A78" s="21"/>
      <c r="B78" s="33"/>
      <c r="C78" s="21"/>
      <c r="D78" s="21"/>
      <c r="E78" s="21"/>
      <c r="F78" s="22"/>
      <c r="G78" s="21"/>
      <c r="H78" s="21"/>
      <c r="I78" s="22"/>
      <c r="J78" s="21"/>
      <c r="K78" s="21"/>
      <c r="L78" s="21"/>
    </row>
    <row r="79" spans="1:14" ht="14.45">
      <c r="A79" s="21"/>
      <c r="B79" s="33"/>
      <c r="C79" s="21"/>
      <c r="D79" s="21"/>
      <c r="E79" s="21"/>
      <c r="F79" s="22"/>
      <c r="G79" s="21"/>
      <c r="H79" s="21"/>
      <c r="I79" s="22"/>
      <c r="J79" s="21"/>
      <c r="K79" s="21"/>
      <c r="L79" s="21"/>
    </row>
    <row r="80" spans="1:14" ht="14.45">
      <c r="A80" s="21"/>
      <c r="B80" s="33"/>
      <c r="C80" s="21"/>
      <c r="D80" s="21"/>
      <c r="E80" s="21"/>
      <c r="F80" s="22"/>
      <c r="G80" s="21"/>
      <c r="H80" s="21"/>
      <c r="I80" s="22"/>
      <c r="J80" s="21"/>
      <c r="K80" s="21"/>
      <c r="L80" s="21"/>
    </row>
    <row r="81" spans="1:12" ht="14.45">
      <c r="A81" s="21"/>
      <c r="B81" s="33"/>
      <c r="C81" s="21"/>
      <c r="D81" s="21"/>
      <c r="E81" s="21"/>
      <c r="F81" s="22"/>
      <c r="G81" s="21"/>
      <c r="H81" s="21"/>
      <c r="I81" s="22"/>
      <c r="J81" s="21"/>
      <c r="K81" s="21"/>
      <c r="L81" s="21"/>
    </row>
    <row r="82" spans="1:12" ht="14.45">
      <c r="A82" s="21"/>
      <c r="B82" s="33"/>
      <c r="C82" s="21"/>
      <c r="D82" s="21"/>
      <c r="E82" s="21"/>
      <c r="F82" s="22"/>
      <c r="G82" s="21"/>
      <c r="H82" s="21"/>
      <c r="I82" s="22"/>
      <c r="J82" s="21"/>
      <c r="K82" s="21"/>
      <c r="L82" s="21"/>
    </row>
    <row r="83" spans="1:12" ht="14.45">
      <c r="A83" s="21"/>
      <c r="B83" s="33"/>
      <c r="C83" s="21"/>
      <c r="D83" s="21"/>
      <c r="E83" s="21"/>
      <c r="F83" s="22"/>
      <c r="G83" s="21"/>
      <c r="H83" s="21"/>
      <c r="I83" s="22"/>
      <c r="J83" s="21"/>
      <c r="K83" s="21"/>
      <c r="L83" s="21"/>
    </row>
    <row r="84" spans="1:12" ht="14.45">
      <c r="A84" s="21"/>
      <c r="B84" s="33"/>
      <c r="C84" s="21"/>
      <c r="D84" s="21"/>
      <c r="E84" s="21"/>
      <c r="F84" s="22"/>
      <c r="G84" s="21"/>
      <c r="H84" s="21"/>
      <c r="I84" s="22"/>
      <c r="J84" s="21"/>
      <c r="K84" s="21"/>
      <c r="L84" s="21"/>
    </row>
    <row r="85" spans="1:12" ht="14.45">
      <c r="A85" s="21"/>
      <c r="B85" s="33"/>
      <c r="C85" s="21"/>
      <c r="D85" s="21"/>
      <c r="E85" s="21"/>
      <c r="F85" s="22"/>
      <c r="G85" s="21"/>
      <c r="H85" s="21"/>
      <c r="I85" s="22"/>
      <c r="J85" s="21"/>
      <c r="K85" s="21"/>
      <c r="L85" s="21"/>
    </row>
    <row r="86" spans="1:12" ht="14.45">
      <c r="A86" s="21"/>
      <c r="B86" s="33"/>
      <c r="C86" s="21"/>
      <c r="D86" s="21"/>
      <c r="E86" s="21"/>
      <c r="F86" s="22"/>
      <c r="G86" s="21"/>
      <c r="H86" s="21"/>
      <c r="I86" s="22"/>
      <c r="J86" s="21"/>
      <c r="K86" s="21"/>
      <c r="L86" s="21"/>
    </row>
    <row r="87" spans="1:12" ht="14.45">
      <c r="A87" s="21"/>
      <c r="B87" s="33"/>
      <c r="C87" s="21"/>
      <c r="D87" s="21"/>
      <c r="E87" s="21"/>
      <c r="F87" s="22"/>
      <c r="G87" s="21"/>
      <c r="H87" s="21"/>
      <c r="I87" s="22"/>
      <c r="J87" s="21"/>
      <c r="K87" s="21"/>
      <c r="L87" s="21"/>
    </row>
    <row r="88" spans="1:12" ht="14.45">
      <c r="A88" s="21"/>
      <c r="B88" s="33"/>
      <c r="C88" s="21"/>
      <c r="D88" s="21"/>
      <c r="E88" s="21"/>
      <c r="F88" s="22"/>
      <c r="G88" s="21"/>
      <c r="H88" s="21"/>
      <c r="I88" s="22"/>
      <c r="J88" s="21"/>
      <c r="K88" s="21"/>
      <c r="L88" s="21"/>
    </row>
    <row r="89" spans="1:12" ht="14.45">
      <c r="A89" s="21"/>
      <c r="B89" s="33"/>
      <c r="C89" s="21"/>
      <c r="D89" s="21"/>
      <c r="E89" s="21"/>
      <c r="F89" s="22"/>
      <c r="G89" s="21"/>
      <c r="H89" s="21"/>
      <c r="I89" s="22"/>
      <c r="J89" s="21"/>
      <c r="K89" s="21"/>
      <c r="L89" s="21"/>
    </row>
    <row r="90" spans="1:12" ht="14.45">
      <c r="A90" s="21"/>
      <c r="B90" s="33"/>
      <c r="C90" s="21"/>
      <c r="D90" s="21"/>
      <c r="E90" s="21"/>
      <c r="F90" s="22"/>
      <c r="G90" s="21"/>
      <c r="H90" s="21"/>
      <c r="I90" s="22"/>
      <c r="J90" s="21"/>
      <c r="K90" s="21"/>
      <c r="L90" s="21"/>
    </row>
    <row r="91" spans="1:12" ht="14.45">
      <c r="A91" s="21"/>
      <c r="B91" s="33"/>
      <c r="C91" s="21"/>
      <c r="D91" s="21"/>
      <c r="E91" s="21"/>
      <c r="F91" s="22"/>
      <c r="G91" s="21"/>
      <c r="H91" s="21"/>
      <c r="I91" s="22"/>
      <c r="J91" s="21"/>
      <c r="K91" s="21"/>
      <c r="L91" s="21"/>
    </row>
    <row r="92" spans="1:12" ht="14.45">
      <c r="A92" s="21"/>
      <c r="B92" s="33"/>
      <c r="C92" s="21"/>
      <c r="D92" s="21"/>
      <c r="E92" s="21"/>
      <c r="F92" s="22"/>
      <c r="G92" s="21"/>
      <c r="H92" s="21"/>
      <c r="I92" s="22"/>
      <c r="J92" s="21"/>
      <c r="K92" s="21"/>
      <c r="L92" s="21"/>
    </row>
    <row r="93" spans="1:12" ht="14.45">
      <c r="A93" s="21"/>
      <c r="B93" s="33"/>
      <c r="C93" s="21"/>
      <c r="D93" s="21"/>
      <c r="E93" s="21"/>
      <c r="F93" s="22"/>
      <c r="G93" s="21"/>
      <c r="H93" s="21"/>
      <c r="I93" s="22"/>
      <c r="J93" s="21"/>
      <c r="K93" s="21"/>
      <c r="L93" s="21"/>
    </row>
    <row r="94" spans="1:12" ht="14.45">
      <c r="A94" s="21"/>
      <c r="B94" s="33"/>
      <c r="C94" s="21"/>
      <c r="D94" s="21"/>
      <c r="E94" s="21"/>
      <c r="F94" s="22"/>
      <c r="G94" s="21"/>
      <c r="H94" s="21"/>
      <c r="I94" s="22"/>
      <c r="J94" s="21"/>
      <c r="K94" s="21"/>
      <c r="L94" s="21"/>
    </row>
    <row r="95" spans="1:12" ht="14.45">
      <c r="A95" s="21"/>
      <c r="B95" s="33"/>
      <c r="C95" s="21"/>
      <c r="D95" s="21"/>
      <c r="E95" s="21"/>
      <c r="F95" s="22"/>
      <c r="G95" s="21"/>
      <c r="H95" s="21"/>
      <c r="I95" s="22"/>
      <c r="J95" s="21"/>
      <c r="K95" s="21"/>
      <c r="L95" s="21"/>
    </row>
    <row r="96" spans="1:12" ht="14.45">
      <c r="A96" s="21"/>
      <c r="B96" s="33"/>
      <c r="C96" s="21"/>
      <c r="D96" s="21"/>
      <c r="E96" s="21"/>
      <c r="F96" s="22"/>
      <c r="G96" s="21"/>
      <c r="H96" s="21"/>
      <c r="I96" s="22"/>
      <c r="J96" s="21"/>
      <c r="K96" s="21"/>
      <c r="L96" s="21"/>
    </row>
    <row r="97" spans="1:12" ht="14.45">
      <c r="A97" s="21"/>
      <c r="B97" s="33"/>
      <c r="C97" s="21"/>
      <c r="D97" s="21"/>
      <c r="E97" s="21"/>
      <c r="F97" s="22"/>
      <c r="G97" s="21"/>
      <c r="H97" s="21"/>
      <c r="I97" s="22"/>
      <c r="J97" s="21"/>
      <c r="K97" s="21"/>
      <c r="L97" s="21"/>
    </row>
    <row r="98" spans="1:12" ht="14.45">
      <c r="A98" s="21"/>
      <c r="B98" s="33"/>
      <c r="C98" s="21"/>
      <c r="D98" s="21"/>
      <c r="E98" s="21"/>
      <c r="F98" s="22"/>
      <c r="G98" s="21"/>
      <c r="H98" s="21"/>
      <c r="I98" s="22"/>
      <c r="J98" s="21"/>
      <c r="K98" s="21"/>
      <c r="L98" s="21"/>
    </row>
    <row r="99" spans="1:12" ht="14.45">
      <c r="A99" s="21"/>
      <c r="B99" s="33"/>
      <c r="C99" s="21"/>
      <c r="D99" s="21"/>
      <c r="E99" s="21"/>
      <c r="F99" s="22"/>
      <c r="G99" s="21"/>
      <c r="H99" s="21"/>
      <c r="I99" s="22"/>
      <c r="J99" s="21"/>
      <c r="K99" s="21"/>
      <c r="L99" s="21"/>
    </row>
    <row r="100" spans="1:12" ht="14.45">
      <c r="A100" s="21"/>
      <c r="B100" s="33"/>
      <c r="C100" s="21"/>
      <c r="D100" s="21"/>
      <c r="E100" s="21"/>
      <c r="F100" s="22"/>
      <c r="G100" s="21"/>
      <c r="H100" s="21"/>
      <c r="I100" s="22"/>
      <c r="J100" s="21"/>
      <c r="K100" s="21"/>
      <c r="L100" s="21"/>
    </row>
    <row r="101" spans="1:12" ht="14.45">
      <c r="A101" s="21"/>
      <c r="B101" s="33"/>
      <c r="C101" s="21"/>
      <c r="D101" s="21"/>
      <c r="E101" s="21"/>
      <c r="F101" s="22"/>
      <c r="G101" s="21"/>
      <c r="H101" s="21"/>
      <c r="I101" s="22"/>
      <c r="J101" s="21"/>
      <c r="K101" s="21"/>
      <c r="L101" s="21"/>
    </row>
    <row r="102" spans="1:12" ht="14.45">
      <c r="A102" s="21"/>
      <c r="B102" s="33"/>
      <c r="C102" s="21"/>
      <c r="D102" s="21"/>
      <c r="E102" s="21"/>
      <c r="F102" s="22"/>
      <c r="G102" s="21"/>
      <c r="H102" s="21"/>
      <c r="I102" s="22"/>
      <c r="J102" s="21"/>
      <c r="K102" s="21"/>
      <c r="L102" s="21"/>
    </row>
    <row r="103" spans="1:12" ht="14.45">
      <c r="A103" s="21"/>
      <c r="B103" s="33"/>
      <c r="C103" s="21"/>
      <c r="D103" s="21"/>
      <c r="E103" s="21"/>
      <c r="F103" s="22"/>
      <c r="G103" s="21"/>
      <c r="H103" s="21"/>
      <c r="I103" s="22"/>
      <c r="J103" s="21"/>
      <c r="K103" s="21"/>
      <c r="L103" s="21"/>
    </row>
    <row r="104" spans="1:12" ht="14.45">
      <c r="A104" s="21"/>
      <c r="B104" s="33"/>
      <c r="C104" s="21"/>
      <c r="D104" s="21"/>
      <c r="E104" s="21"/>
      <c r="F104" s="22"/>
      <c r="G104" s="21"/>
      <c r="H104" s="21"/>
      <c r="I104" s="22"/>
      <c r="J104" s="21"/>
      <c r="K104" s="21"/>
      <c r="L104" s="21"/>
    </row>
    <row r="105" spans="1:12" ht="14.45">
      <c r="A105" s="21"/>
      <c r="B105" s="33"/>
      <c r="C105" s="21"/>
      <c r="D105" s="21"/>
      <c r="E105" s="21"/>
      <c r="F105" s="22"/>
      <c r="G105" s="21"/>
      <c r="H105" s="21"/>
      <c r="I105" s="22"/>
      <c r="J105" s="21"/>
      <c r="K105" s="21"/>
      <c r="L105" s="21"/>
    </row>
    <row r="106" spans="1:12" ht="14.45">
      <c r="A106" s="21"/>
      <c r="B106" s="33"/>
      <c r="C106" s="21"/>
      <c r="D106" s="21"/>
      <c r="E106" s="21"/>
      <c r="F106" s="22"/>
      <c r="G106" s="21"/>
      <c r="H106" s="21"/>
      <c r="I106" s="22"/>
      <c r="J106" s="21"/>
      <c r="K106" s="21"/>
      <c r="L106" s="21"/>
    </row>
    <row r="107" spans="1:12" ht="14.45">
      <c r="A107" s="21"/>
      <c r="B107" s="33"/>
      <c r="C107" s="21"/>
      <c r="D107" s="21"/>
      <c r="E107" s="21"/>
      <c r="F107" s="22"/>
      <c r="G107" s="21"/>
      <c r="H107" s="21"/>
      <c r="I107" s="22"/>
      <c r="J107" s="21"/>
      <c r="K107" s="21"/>
      <c r="L107" s="21"/>
    </row>
    <row r="108" spans="1:12" ht="14.45">
      <c r="A108" s="21"/>
      <c r="B108" s="33"/>
      <c r="C108" s="21"/>
      <c r="D108" s="21"/>
      <c r="E108" s="21"/>
      <c r="F108" s="22"/>
      <c r="G108" s="21"/>
      <c r="H108" s="21"/>
      <c r="I108" s="22"/>
      <c r="J108" s="21"/>
      <c r="K108" s="21"/>
      <c r="L108" s="21"/>
    </row>
    <row r="109" spans="1:12" ht="14.45">
      <c r="A109" s="21"/>
      <c r="B109" s="33"/>
      <c r="C109" s="21"/>
      <c r="D109" s="21"/>
      <c r="E109" s="21"/>
      <c r="F109" s="22"/>
      <c r="G109" s="21"/>
      <c r="H109" s="21"/>
      <c r="I109" s="22"/>
      <c r="J109" s="21"/>
      <c r="K109" s="21"/>
      <c r="L109" s="21"/>
    </row>
    <row r="110" spans="1:12" ht="14.45">
      <c r="A110" s="21"/>
      <c r="B110" s="33"/>
      <c r="C110" s="21"/>
      <c r="D110" s="21"/>
      <c r="E110" s="21"/>
      <c r="F110" s="22"/>
      <c r="G110" s="21"/>
      <c r="H110" s="21"/>
      <c r="I110" s="22"/>
      <c r="J110" s="21"/>
      <c r="K110" s="21"/>
      <c r="L110" s="21"/>
    </row>
    <row r="111" spans="1:12" ht="14.45">
      <c r="A111" s="21"/>
      <c r="B111" s="33"/>
      <c r="C111" s="21"/>
      <c r="D111" s="21"/>
      <c r="E111" s="21"/>
      <c r="F111" s="22"/>
      <c r="G111" s="21"/>
      <c r="H111" s="21"/>
      <c r="I111" s="22"/>
      <c r="J111" s="21"/>
      <c r="K111" s="21"/>
      <c r="L111" s="21"/>
    </row>
    <row r="112" spans="1:12" ht="14.45">
      <c r="A112" s="21"/>
      <c r="B112" s="33"/>
      <c r="C112" s="21"/>
      <c r="D112" s="21"/>
      <c r="E112" s="21"/>
      <c r="F112" s="22"/>
      <c r="G112" s="21"/>
      <c r="H112" s="21"/>
      <c r="I112" s="22"/>
      <c r="J112" s="21"/>
      <c r="K112" s="21"/>
      <c r="L112" s="21"/>
    </row>
    <row r="113" spans="1:12" ht="14.45">
      <c r="A113" s="21"/>
      <c r="B113" s="33"/>
      <c r="C113" s="21"/>
      <c r="D113" s="21"/>
      <c r="E113" s="21"/>
      <c r="F113" s="22"/>
      <c r="G113" s="21"/>
      <c r="H113" s="21"/>
      <c r="I113" s="22"/>
      <c r="J113" s="21"/>
      <c r="K113" s="21"/>
      <c r="L113" s="21"/>
    </row>
    <row r="114" spans="1:12" ht="14.45">
      <c r="A114" s="21"/>
      <c r="B114" s="33"/>
      <c r="C114" s="21"/>
      <c r="D114" s="21"/>
      <c r="E114" s="21"/>
      <c r="F114" s="22"/>
      <c r="G114" s="21"/>
      <c r="H114" s="21"/>
      <c r="I114" s="22"/>
      <c r="J114" s="21"/>
      <c r="K114" s="21"/>
      <c r="L114" s="21"/>
    </row>
    <row r="115" spans="1:12" ht="14.45">
      <c r="A115" s="21"/>
      <c r="B115" s="33"/>
      <c r="C115" s="21"/>
      <c r="D115" s="21"/>
      <c r="E115" s="21"/>
      <c r="F115" s="22"/>
      <c r="G115" s="21"/>
      <c r="H115" s="21"/>
      <c r="I115" s="22"/>
      <c r="J115" s="21"/>
      <c r="K115" s="21"/>
      <c r="L115" s="21"/>
    </row>
    <row r="116" spans="1:12" ht="14.45">
      <c r="A116" s="21"/>
      <c r="B116" s="33"/>
      <c r="C116" s="21"/>
      <c r="D116" s="21"/>
      <c r="E116" s="21"/>
      <c r="F116" s="22"/>
      <c r="G116" s="21"/>
      <c r="H116" s="21"/>
      <c r="I116" s="22"/>
      <c r="J116" s="21"/>
      <c r="K116" s="21"/>
      <c r="L116" s="21"/>
    </row>
    <row r="117" spans="1:12" ht="14.45">
      <c r="A117" s="21"/>
      <c r="B117" s="33"/>
      <c r="C117" s="21"/>
      <c r="D117" s="21"/>
      <c r="E117" s="21"/>
      <c r="F117" s="22"/>
      <c r="G117" s="21"/>
      <c r="H117" s="21"/>
      <c r="I117" s="22"/>
      <c r="J117" s="21"/>
      <c r="K117" s="21"/>
      <c r="L117" s="21"/>
    </row>
    <row r="118" spans="1:12" ht="14.45">
      <c r="A118" s="21"/>
      <c r="B118" s="33"/>
      <c r="C118" s="21"/>
      <c r="D118" s="21"/>
      <c r="E118" s="21"/>
      <c r="F118" s="22"/>
      <c r="G118" s="21"/>
      <c r="H118" s="21"/>
      <c r="I118" s="22"/>
      <c r="J118" s="21"/>
      <c r="K118" s="21"/>
      <c r="L118" s="21"/>
    </row>
    <row r="119" spans="1:12" ht="14.45">
      <c r="A119" s="21"/>
      <c r="B119" s="33"/>
      <c r="C119" s="21"/>
      <c r="D119" s="21"/>
      <c r="E119" s="21"/>
      <c r="F119" s="22"/>
      <c r="G119" s="21"/>
      <c r="H119" s="21"/>
      <c r="I119" s="22"/>
      <c r="J119" s="21"/>
      <c r="K119" s="21"/>
      <c r="L119" s="21"/>
    </row>
    <row r="120" spans="1:12" ht="14.45">
      <c r="A120" s="21"/>
      <c r="B120" s="33"/>
      <c r="C120" s="21"/>
      <c r="D120" s="21"/>
      <c r="E120" s="21"/>
      <c r="F120" s="22"/>
      <c r="G120" s="21"/>
      <c r="H120" s="21"/>
      <c r="I120" s="22"/>
      <c r="J120" s="21"/>
      <c r="K120" s="21"/>
      <c r="L120" s="21"/>
    </row>
    <row r="121" spans="1:12" ht="14.45">
      <c r="A121" s="21"/>
      <c r="B121" s="33"/>
      <c r="C121" s="21"/>
      <c r="D121" s="21"/>
      <c r="E121" s="21"/>
      <c r="F121" s="22"/>
      <c r="G121" s="21"/>
      <c r="H121" s="21"/>
      <c r="I121" s="22"/>
      <c r="J121" s="21"/>
      <c r="K121" s="21"/>
      <c r="L121" s="21"/>
    </row>
    <row r="122" spans="1:12" ht="14.45">
      <c r="A122" s="21"/>
      <c r="B122" s="33"/>
      <c r="C122" s="21"/>
      <c r="D122" s="21"/>
      <c r="E122" s="21"/>
      <c r="F122" s="22"/>
      <c r="G122" s="21"/>
      <c r="H122" s="21"/>
      <c r="I122" s="22"/>
      <c r="J122" s="21"/>
      <c r="K122" s="21"/>
      <c r="L122" s="21"/>
    </row>
    <row r="123" spans="1:12" ht="14.45">
      <c r="A123" s="21"/>
      <c r="B123" s="33"/>
      <c r="C123" s="21"/>
      <c r="D123" s="21"/>
      <c r="E123" s="21"/>
      <c r="F123" s="22"/>
      <c r="G123" s="21"/>
      <c r="H123" s="21"/>
      <c r="I123" s="22"/>
      <c r="J123" s="21"/>
      <c r="K123" s="21"/>
      <c r="L123" s="21"/>
    </row>
    <row r="124" spans="1:12" ht="14.45">
      <c r="A124" s="21"/>
      <c r="B124" s="33"/>
      <c r="C124" s="21"/>
      <c r="D124" s="21"/>
      <c r="E124" s="21"/>
      <c r="F124" s="22"/>
      <c r="G124" s="21"/>
      <c r="H124" s="21"/>
      <c r="I124" s="22"/>
      <c r="J124" s="21"/>
      <c r="K124" s="21"/>
      <c r="L124" s="21"/>
    </row>
    <row r="125" spans="1:12" ht="14.45">
      <c r="A125" s="21"/>
      <c r="B125" s="33"/>
      <c r="C125" s="21"/>
      <c r="D125" s="21"/>
      <c r="E125" s="21"/>
      <c r="F125" s="22"/>
      <c r="G125" s="21"/>
      <c r="H125" s="21"/>
      <c r="I125" s="22"/>
      <c r="J125" s="21"/>
      <c r="K125" s="21"/>
      <c r="L125" s="21"/>
    </row>
    <row r="126" spans="1:12" ht="14.45">
      <c r="A126" s="21"/>
      <c r="B126" s="33"/>
      <c r="C126" s="21"/>
      <c r="D126" s="21"/>
      <c r="E126" s="21"/>
      <c r="F126" s="22"/>
      <c r="G126" s="21"/>
      <c r="H126" s="21"/>
      <c r="I126" s="22"/>
      <c r="J126" s="21"/>
      <c r="K126" s="21"/>
      <c r="L126" s="21"/>
    </row>
    <row r="127" spans="1:12" ht="14.45">
      <c r="A127" s="21"/>
      <c r="B127" s="33"/>
      <c r="C127" s="21"/>
      <c r="D127" s="21"/>
      <c r="E127" s="21"/>
      <c r="F127" s="22"/>
      <c r="G127" s="21"/>
      <c r="H127" s="21"/>
      <c r="I127" s="22"/>
      <c r="J127" s="21"/>
      <c r="K127" s="21"/>
      <c r="L127" s="21"/>
    </row>
    <row r="128" spans="1:12" ht="14.45">
      <c r="A128" s="21"/>
      <c r="B128" s="33"/>
      <c r="C128" s="21"/>
      <c r="D128" s="21"/>
      <c r="E128" s="21"/>
      <c r="F128" s="22"/>
      <c r="G128" s="21"/>
      <c r="H128" s="21"/>
      <c r="I128" s="22"/>
      <c r="J128" s="21"/>
      <c r="K128" s="21"/>
      <c r="L128" s="21"/>
    </row>
    <row r="129" spans="1:12" ht="14.45">
      <c r="A129" s="21"/>
      <c r="B129" s="33"/>
      <c r="C129" s="21"/>
      <c r="D129" s="21"/>
      <c r="E129" s="21"/>
      <c r="F129" s="22"/>
      <c r="G129" s="21"/>
      <c r="H129" s="21"/>
      <c r="I129" s="22"/>
      <c r="J129" s="21"/>
      <c r="K129" s="21"/>
      <c r="L129" s="21"/>
    </row>
    <row r="130" spans="1:12" ht="14.45">
      <c r="A130" s="21"/>
      <c r="B130" s="33"/>
      <c r="C130" s="21"/>
      <c r="D130" s="21"/>
      <c r="E130" s="21"/>
      <c r="F130" s="22"/>
      <c r="G130" s="21"/>
      <c r="H130" s="21"/>
      <c r="I130" s="22"/>
      <c r="J130" s="21"/>
      <c r="K130" s="21"/>
      <c r="L130" s="21"/>
    </row>
    <row r="131" spans="1:12" ht="14.45">
      <c r="A131" s="21"/>
      <c r="B131" s="33"/>
      <c r="C131" s="21"/>
      <c r="D131" s="21"/>
      <c r="E131" s="21"/>
      <c r="F131" s="22"/>
      <c r="G131" s="21"/>
      <c r="H131" s="21"/>
      <c r="I131" s="22"/>
      <c r="J131" s="21"/>
      <c r="K131" s="21"/>
      <c r="L131" s="21"/>
    </row>
    <row r="132" spans="1:12" ht="14.45">
      <c r="A132" s="21"/>
      <c r="B132" s="33"/>
      <c r="C132" s="21"/>
      <c r="D132" s="21"/>
      <c r="E132" s="21"/>
      <c r="F132" s="22"/>
      <c r="G132" s="21"/>
      <c r="H132" s="21"/>
      <c r="I132" s="22"/>
      <c r="J132" s="21"/>
      <c r="K132" s="21"/>
      <c r="L132" s="21"/>
    </row>
    <row r="133" spans="1:12" ht="14.45">
      <c r="A133" s="21"/>
      <c r="B133" s="33"/>
      <c r="C133" s="21"/>
      <c r="D133" s="21"/>
      <c r="E133" s="21"/>
      <c r="F133" s="22"/>
      <c r="G133" s="21"/>
      <c r="H133" s="21"/>
      <c r="I133" s="22"/>
      <c r="J133" s="21"/>
      <c r="K133" s="21"/>
      <c r="L133" s="21"/>
    </row>
    <row r="134" spans="1:12" ht="14.45">
      <c r="A134" s="21"/>
      <c r="B134" s="33"/>
      <c r="C134" s="21"/>
      <c r="D134" s="21"/>
      <c r="E134" s="21"/>
      <c r="F134" s="22"/>
      <c r="G134" s="21"/>
      <c r="H134" s="21"/>
      <c r="I134" s="22"/>
      <c r="J134" s="21"/>
      <c r="K134" s="21"/>
      <c r="L134" s="21"/>
    </row>
    <row r="135" spans="1:12" ht="14.45">
      <c r="A135" s="21"/>
      <c r="B135" s="33"/>
      <c r="C135" s="21"/>
      <c r="D135" s="21"/>
      <c r="E135" s="21"/>
      <c r="F135" s="22"/>
      <c r="G135" s="21"/>
      <c r="H135" s="21"/>
      <c r="I135" s="22"/>
      <c r="J135" s="21"/>
      <c r="K135" s="21"/>
      <c r="L135" s="21"/>
    </row>
    <row r="136" spans="1:12" ht="14.45">
      <c r="A136" s="21"/>
      <c r="B136" s="33"/>
      <c r="C136" s="21"/>
      <c r="D136" s="21"/>
      <c r="E136" s="21"/>
      <c r="F136" s="22"/>
      <c r="G136" s="21"/>
      <c r="H136" s="21"/>
      <c r="I136" s="22"/>
      <c r="J136" s="21"/>
      <c r="K136" s="21"/>
      <c r="L136" s="21"/>
    </row>
    <row r="137" spans="1:12" ht="14.45">
      <c r="A137" s="21"/>
      <c r="B137" s="33"/>
      <c r="C137" s="21"/>
      <c r="D137" s="21"/>
      <c r="E137" s="21"/>
      <c r="F137" s="22"/>
      <c r="G137" s="21"/>
      <c r="H137" s="21"/>
      <c r="I137" s="22"/>
      <c r="J137" s="21"/>
      <c r="K137" s="21"/>
      <c r="L137" s="21"/>
    </row>
    <row r="138" spans="1:12" ht="14.45">
      <c r="A138" s="21"/>
      <c r="B138" s="33"/>
      <c r="C138" s="21"/>
      <c r="D138" s="21"/>
      <c r="E138" s="21"/>
      <c r="F138" s="22"/>
      <c r="G138" s="21"/>
      <c r="H138" s="21"/>
      <c r="I138" s="22"/>
      <c r="J138" s="21"/>
      <c r="K138" s="21"/>
      <c r="L138" s="21"/>
    </row>
    <row r="139" spans="1:12" ht="14.45">
      <c r="A139" s="21"/>
      <c r="B139" s="33"/>
      <c r="C139" s="21"/>
      <c r="D139" s="21"/>
      <c r="E139" s="21"/>
      <c r="F139" s="22"/>
      <c r="G139" s="21"/>
      <c r="H139" s="21"/>
      <c r="I139" s="22"/>
      <c r="J139" s="21"/>
      <c r="K139" s="21"/>
      <c r="L139" s="21"/>
    </row>
    <row r="140" spans="1:12" ht="14.45">
      <c r="A140" s="21"/>
      <c r="B140" s="33"/>
      <c r="C140" s="21"/>
      <c r="D140" s="21"/>
      <c r="E140" s="21"/>
      <c r="F140" s="22"/>
      <c r="G140" s="21"/>
      <c r="H140" s="21"/>
      <c r="I140" s="22"/>
      <c r="J140" s="21"/>
      <c r="K140" s="21"/>
      <c r="L140" s="21"/>
    </row>
    <row r="141" spans="1:12" ht="14.45">
      <c r="A141" s="21"/>
      <c r="B141" s="33"/>
      <c r="C141" s="21"/>
      <c r="D141" s="21"/>
      <c r="E141" s="21"/>
      <c r="F141" s="22"/>
      <c r="G141" s="21"/>
      <c r="H141" s="21"/>
      <c r="I141" s="22"/>
      <c r="J141" s="21"/>
      <c r="K141" s="21"/>
      <c r="L141" s="21"/>
    </row>
    <row r="142" spans="1:12" ht="14.45">
      <c r="A142" s="21"/>
      <c r="B142" s="33"/>
      <c r="C142" s="21"/>
      <c r="D142" s="21"/>
      <c r="E142" s="21"/>
      <c r="F142" s="22"/>
      <c r="G142" s="21"/>
      <c r="H142" s="21"/>
      <c r="I142" s="22"/>
      <c r="J142" s="21"/>
      <c r="K142" s="21"/>
      <c r="L142" s="21"/>
    </row>
    <row r="143" spans="1:12" ht="14.45">
      <c r="A143" s="21"/>
      <c r="B143" s="33"/>
      <c r="C143" s="21"/>
      <c r="D143" s="21"/>
      <c r="E143" s="21"/>
      <c r="F143" s="22"/>
      <c r="G143" s="21"/>
      <c r="H143" s="21"/>
      <c r="I143" s="22"/>
      <c r="J143" s="21"/>
      <c r="K143" s="21"/>
      <c r="L143" s="21"/>
    </row>
    <row r="144" spans="1:12" ht="14.45">
      <c r="A144" s="21"/>
      <c r="B144" s="33"/>
      <c r="C144" s="21"/>
      <c r="D144" s="21"/>
      <c r="E144" s="21"/>
      <c r="F144" s="22"/>
      <c r="G144" s="21"/>
      <c r="H144" s="21"/>
      <c r="I144" s="22"/>
      <c r="J144" s="21"/>
      <c r="K144" s="21"/>
      <c r="L144" s="21"/>
    </row>
    <row r="145" spans="1:12" ht="14.45">
      <c r="A145" s="21"/>
      <c r="B145" s="33"/>
      <c r="C145" s="21"/>
      <c r="D145" s="21"/>
      <c r="E145" s="21"/>
      <c r="F145" s="22"/>
      <c r="G145" s="21"/>
      <c r="H145" s="21"/>
      <c r="I145" s="22"/>
      <c r="J145" s="21"/>
      <c r="K145" s="21"/>
      <c r="L145" s="21"/>
    </row>
    <row r="146" spans="1:12" ht="14.45">
      <c r="A146" s="21"/>
      <c r="B146" s="33"/>
      <c r="C146" s="21"/>
      <c r="D146" s="21"/>
      <c r="E146" s="21"/>
      <c r="F146" s="22"/>
      <c r="G146" s="21"/>
      <c r="H146" s="21"/>
      <c r="I146" s="22"/>
      <c r="J146" s="21"/>
      <c r="K146" s="21"/>
      <c r="L146" s="21"/>
    </row>
    <row r="147" spans="1:12" ht="14.45">
      <c r="A147" s="21"/>
      <c r="B147" s="33"/>
      <c r="C147" s="21"/>
      <c r="D147" s="21"/>
      <c r="E147" s="21"/>
      <c r="F147" s="22"/>
      <c r="G147" s="21"/>
      <c r="H147" s="21"/>
      <c r="I147" s="22"/>
      <c r="J147" s="21"/>
      <c r="K147" s="21"/>
      <c r="L147" s="21"/>
    </row>
    <row r="148" spans="1:12" ht="14.45">
      <c r="A148" s="21"/>
      <c r="B148" s="33"/>
      <c r="C148" s="21"/>
      <c r="D148" s="21"/>
      <c r="E148" s="21"/>
      <c r="F148" s="22"/>
      <c r="G148" s="21"/>
      <c r="H148" s="21"/>
      <c r="I148" s="22"/>
      <c r="J148" s="21"/>
      <c r="K148" s="21"/>
      <c r="L148" s="21"/>
    </row>
    <row r="149" spans="1:12" ht="14.45">
      <c r="A149" s="21"/>
      <c r="B149" s="33"/>
      <c r="C149" s="21"/>
      <c r="D149" s="21"/>
      <c r="E149" s="21"/>
      <c r="F149" s="22"/>
      <c r="G149" s="21"/>
      <c r="H149" s="21"/>
      <c r="I149" s="22"/>
      <c r="J149" s="21"/>
      <c r="K149" s="21"/>
      <c r="L149" s="21"/>
    </row>
    <row r="150" spans="1:12" ht="14.45">
      <c r="A150" s="21"/>
      <c r="B150" s="33"/>
      <c r="C150" s="21"/>
      <c r="D150" s="21"/>
      <c r="E150" s="21"/>
      <c r="F150" s="22"/>
      <c r="G150" s="21"/>
      <c r="H150" s="21"/>
      <c r="I150" s="22"/>
      <c r="J150" s="21"/>
      <c r="K150" s="21"/>
      <c r="L150" s="21"/>
    </row>
    <row r="151" spans="1:12" ht="14.45">
      <c r="A151" s="21"/>
      <c r="B151" s="33"/>
      <c r="C151" s="21"/>
      <c r="D151" s="21"/>
      <c r="E151" s="21"/>
      <c r="F151" s="22"/>
      <c r="G151" s="21"/>
      <c r="H151" s="21"/>
      <c r="I151" s="22"/>
      <c r="J151" s="21"/>
      <c r="K151" s="21"/>
      <c r="L151" s="21"/>
    </row>
    <row r="152" spans="1:12" ht="14.45">
      <c r="A152" s="21"/>
      <c r="B152" s="33"/>
      <c r="C152" s="21"/>
      <c r="D152" s="21"/>
      <c r="E152" s="21"/>
      <c r="F152" s="22"/>
      <c r="G152" s="21"/>
      <c r="H152" s="21"/>
      <c r="I152" s="22"/>
      <c r="J152" s="21"/>
      <c r="K152" s="21"/>
      <c r="L152" s="21"/>
    </row>
    <row r="153" spans="1:12" ht="14.45">
      <c r="A153" s="21"/>
      <c r="B153" s="33"/>
      <c r="C153" s="21"/>
      <c r="D153" s="21"/>
      <c r="E153" s="21"/>
      <c r="F153" s="22"/>
      <c r="G153" s="21"/>
      <c r="H153" s="21"/>
      <c r="I153" s="22"/>
      <c r="J153" s="21"/>
      <c r="K153" s="21"/>
      <c r="L153" s="21"/>
    </row>
    <row r="154" spans="1:12" ht="14.45">
      <c r="A154" s="21"/>
      <c r="B154" s="33"/>
      <c r="C154" s="21"/>
      <c r="D154" s="21"/>
      <c r="E154" s="21"/>
      <c r="F154" s="22"/>
      <c r="G154" s="21"/>
      <c r="H154" s="21"/>
      <c r="I154" s="22"/>
      <c r="J154" s="21"/>
      <c r="K154" s="21"/>
      <c r="L154" s="21"/>
    </row>
    <row r="155" spans="1:12" ht="14.45">
      <c r="A155" s="21"/>
      <c r="B155" s="33"/>
      <c r="C155" s="21"/>
      <c r="D155" s="21"/>
      <c r="E155" s="21"/>
      <c r="F155" s="22"/>
      <c r="G155" s="21"/>
      <c r="H155" s="21"/>
      <c r="I155" s="22"/>
      <c r="J155" s="21"/>
      <c r="K155" s="21"/>
      <c r="L155" s="21"/>
    </row>
    <row r="156" spans="1:12" ht="14.45">
      <c r="A156" s="21"/>
      <c r="B156" s="33"/>
      <c r="C156" s="21"/>
      <c r="D156" s="21"/>
      <c r="E156" s="21"/>
      <c r="F156" s="22"/>
      <c r="G156" s="21"/>
      <c r="H156" s="21"/>
      <c r="I156" s="22"/>
      <c r="J156" s="21"/>
      <c r="K156" s="21"/>
      <c r="L156" s="21"/>
    </row>
    <row r="157" spans="1:12" ht="14.45">
      <c r="A157" s="21"/>
      <c r="B157" s="33"/>
      <c r="C157" s="21"/>
      <c r="D157" s="21"/>
      <c r="E157" s="21"/>
      <c r="F157" s="22"/>
      <c r="G157" s="21"/>
      <c r="H157" s="21"/>
      <c r="I157" s="22"/>
      <c r="J157" s="21"/>
      <c r="K157" s="21"/>
      <c r="L157" s="21"/>
    </row>
    <row r="158" spans="1:12" ht="14.45">
      <c r="A158" s="21"/>
      <c r="B158" s="33"/>
      <c r="C158" s="21"/>
      <c r="D158" s="21"/>
      <c r="E158" s="21"/>
      <c r="F158" s="22"/>
      <c r="G158" s="21"/>
      <c r="H158" s="21"/>
      <c r="I158" s="22"/>
      <c r="J158" s="21"/>
      <c r="K158" s="21"/>
      <c r="L158" s="21"/>
    </row>
    <row r="159" spans="1:12" ht="14.45">
      <c r="A159" s="21"/>
      <c r="B159" s="33"/>
      <c r="C159" s="21"/>
      <c r="D159" s="21"/>
      <c r="E159" s="21"/>
      <c r="F159" s="22"/>
      <c r="G159" s="21"/>
      <c r="H159" s="21"/>
      <c r="I159" s="22"/>
      <c r="J159" s="21"/>
      <c r="K159" s="21"/>
      <c r="L159" s="21"/>
    </row>
    <row r="160" spans="1:12" ht="14.45">
      <c r="A160" s="21"/>
      <c r="B160" s="33"/>
      <c r="C160" s="21"/>
      <c r="D160" s="21"/>
      <c r="E160" s="21"/>
      <c r="F160" s="22"/>
      <c r="G160" s="21"/>
      <c r="H160" s="21"/>
      <c r="I160" s="22"/>
      <c r="J160" s="21"/>
      <c r="K160" s="21"/>
      <c r="L160" s="21"/>
    </row>
    <row r="161" spans="1:12" ht="14.45">
      <c r="A161" s="21"/>
      <c r="B161" s="33"/>
      <c r="C161" s="21"/>
      <c r="D161" s="21"/>
      <c r="E161" s="21"/>
      <c r="F161" s="22"/>
      <c r="G161" s="21"/>
      <c r="H161" s="21"/>
      <c r="I161" s="22"/>
      <c r="J161" s="21"/>
      <c r="K161" s="21"/>
      <c r="L161" s="21"/>
    </row>
    <row r="162" spans="1:12" ht="14.45">
      <c r="A162" s="21"/>
      <c r="B162" s="33"/>
      <c r="C162" s="21"/>
      <c r="D162" s="21"/>
      <c r="E162" s="21"/>
      <c r="F162" s="22"/>
      <c r="G162" s="21"/>
      <c r="H162" s="21"/>
      <c r="I162" s="22"/>
      <c r="J162" s="21"/>
      <c r="K162" s="21"/>
      <c r="L162" s="21"/>
    </row>
    <row r="163" spans="1:12" ht="14.45">
      <c r="A163" s="21"/>
      <c r="B163" s="33"/>
      <c r="C163" s="21"/>
      <c r="D163" s="21"/>
      <c r="E163" s="21"/>
      <c r="F163" s="22"/>
      <c r="G163" s="21"/>
      <c r="H163" s="21"/>
      <c r="I163" s="22"/>
      <c r="J163" s="21"/>
      <c r="K163" s="21"/>
      <c r="L163" s="21"/>
    </row>
    <row r="164" spans="1:12" ht="14.45">
      <c r="A164" s="21"/>
      <c r="B164" s="33"/>
      <c r="C164" s="21"/>
      <c r="D164" s="21"/>
      <c r="E164" s="21"/>
      <c r="F164" s="22"/>
      <c r="G164" s="21"/>
      <c r="H164" s="21"/>
      <c r="I164" s="22"/>
      <c r="J164" s="21"/>
      <c r="K164" s="21"/>
      <c r="L164" s="21"/>
    </row>
    <row r="165" spans="1:12" ht="14.45">
      <c r="A165" s="21"/>
      <c r="B165" s="33"/>
      <c r="C165" s="21"/>
      <c r="D165" s="21"/>
      <c r="E165" s="21"/>
      <c r="F165" s="22"/>
      <c r="G165" s="21"/>
      <c r="H165" s="21"/>
      <c r="I165" s="22"/>
      <c r="J165" s="21"/>
      <c r="K165" s="21"/>
      <c r="L165" s="21"/>
    </row>
    <row r="166" spans="1:12" ht="14.45">
      <c r="A166" s="21"/>
      <c r="B166" s="33"/>
      <c r="C166" s="21"/>
      <c r="D166" s="21"/>
      <c r="E166" s="21"/>
      <c r="F166" s="22"/>
      <c r="G166" s="21"/>
      <c r="H166" s="21"/>
      <c r="I166" s="22"/>
      <c r="J166" s="21"/>
      <c r="K166" s="21"/>
      <c r="L166" s="21"/>
    </row>
    <row r="167" spans="1:12" ht="14.45">
      <c r="A167" s="21"/>
      <c r="B167" s="33"/>
      <c r="C167" s="21"/>
      <c r="D167" s="21"/>
      <c r="E167" s="21"/>
      <c r="F167" s="22"/>
      <c r="G167" s="21"/>
      <c r="H167" s="21"/>
      <c r="I167" s="22"/>
      <c r="J167" s="21"/>
      <c r="K167" s="21"/>
      <c r="L167" s="21"/>
    </row>
    <row r="168" spans="1:12" ht="14.45">
      <c r="A168" s="21"/>
      <c r="B168" s="33"/>
      <c r="C168" s="21"/>
      <c r="D168" s="21"/>
      <c r="E168" s="21"/>
      <c r="F168" s="22"/>
      <c r="G168" s="21"/>
      <c r="H168" s="21"/>
      <c r="I168" s="22"/>
      <c r="J168" s="21"/>
      <c r="K168" s="21"/>
      <c r="L168" s="21"/>
    </row>
    <row r="169" spans="1:12" ht="14.45">
      <c r="A169" s="21"/>
      <c r="B169" s="33"/>
      <c r="C169" s="21"/>
      <c r="D169" s="21"/>
      <c r="E169" s="21"/>
      <c r="F169" s="22"/>
      <c r="G169" s="21"/>
      <c r="H169" s="21"/>
      <c r="I169" s="22"/>
      <c r="J169" s="21"/>
      <c r="K169" s="21"/>
      <c r="L169" s="21"/>
    </row>
    <row r="170" spans="1:12" ht="14.45">
      <c r="A170" s="21"/>
      <c r="B170" s="33"/>
      <c r="C170" s="21"/>
      <c r="D170" s="21"/>
      <c r="E170" s="21"/>
      <c r="F170" s="22"/>
      <c r="G170" s="21"/>
      <c r="H170" s="21"/>
      <c r="I170" s="22"/>
      <c r="J170" s="21"/>
      <c r="K170" s="21"/>
      <c r="L170" s="21"/>
    </row>
    <row r="171" spans="1:12" ht="14.45">
      <c r="A171" s="21"/>
      <c r="B171" s="33"/>
      <c r="C171" s="21"/>
      <c r="D171" s="21"/>
      <c r="E171" s="21"/>
      <c r="F171" s="22"/>
      <c r="G171" s="21"/>
      <c r="H171" s="21"/>
      <c r="I171" s="22"/>
      <c r="J171" s="21"/>
      <c r="K171" s="21"/>
      <c r="L171" s="21"/>
    </row>
    <row r="172" spans="1:12" ht="14.45">
      <c r="A172" s="21"/>
      <c r="B172" s="33"/>
      <c r="C172" s="21"/>
      <c r="D172" s="21"/>
      <c r="E172" s="21"/>
      <c r="F172" s="22"/>
      <c r="G172" s="21"/>
      <c r="H172" s="21"/>
      <c r="I172" s="22"/>
      <c r="J172" s="21"/>
      <c r="K172" s="21"/>
      <c r="L172" s="21"/>
    </row>
    <row r="173" spans="1:12" ht="14.45">
      <c r="A173" s="21"/>
      <c r="B173" s="33"/>
      <c r="C173" s="21"/>
      <c r="D173" s="21"/>
      <c r="E173" s="21"/>
      <c r="F173" s="22"/>
      <c r="G173" s="21"/>
      <c r="H173" s="21"/>
      <c r="I173" s="22"/>
      <c r="J173" s="21"/>
      <c r="K173" s="21"/>
      <c r="L173" s="21"/>
    </row>
    <row r="174" spans="1:12" ht="14.45">
      <c r="A174" s="21"/>
      <c r="B174" s="33"/>
      <c r="C174" s="21"/>
      <c r="D174" s="21"/>
      <c r="E174" s="21"/>
      <c r="F174" s="22"/>
      <c r="G174" s="21"/>
      <c r="H174" s="21"/>
      <c r="I174" s="22"/>
      <c r="J174" s="21"/>
      <c r="K174" s="21"/>
      <c r="L174" s="21"/>
    </row>
    <row r="175" spans="1:12" ht="14.45">
      <c r="A175" s="21"/>
      <c r="B175" s="33"/>
      <c r="C175" s="21"/>
      <c r="D175" s="21"/>
      <c r="E175" s="21"/>
      <c r="F175" s="22"/>
      <c r="G175" s="21"/>
      <c r="H175" s="21"/>
      <c r="I175" s="22"/>
      <c r="J175" s="21"/>
      <c r="K175" s="21"/>
      <c r="L175" s="21"/>
    </row>
    <row r="176" spans="1:12" ht="14.45">
      <c r="A176" s="21"/>
      <c r="B176" s="33"/>
      <c r="C176" s="21"/>
      <c r="D176" s="21"/>
      <c r="E176" s="21"/>
      <c r="F176" s="22"/>
      <c r="G176" s="21"/>
      <c r="H176" s="21"/>
      <c r="I176" s="22"/>
      <c r="J176" s="21"/>
      <c r="K176" s="21"/>
      <c r="L176" s="21"/>
    </row>
    <row r="177" spans="1:12" ht="14.45">
      <c r="A177" s="21"/>
      <c r="B177" s="33"/>
      <c r="C177" s="21"/>
      <c r="D177" s="21"/>
      <c r="E177" s="21"/>
      <c r="F177" s="22"/>
      <c r="G177" s="21"/>
      <c r="H177" s="21"/>
      <c r="I177" s="22"/>
      <c r="J177" s="21"/>
      <c r="K177" s="21"/>
      <c r="L177" s="21"/>
    </row>
    <row r="178" spans="1:12" ht="14.45">
      <c r="A178" s="21"/>
      <c r="B178" s="33"/>
      <c r="C178" s="21"/>
      <c r="D178" s="21"/>
      <c r="E178" s="21"/>
      <c r="F178" s="22"/>
      <c r="G178" s="21"/>
      <c r="H178" s="21"/>
      <c r="I178" s="22"/>
      <c r="J178" s="21"/>
      <c r="K178" s="21"/>
      <c r="L178" s="21"/>
    </row>
    <row r="179" spans="1:12" ht="14.45">
      <c r="A179" s="21"/>
      <c r="B179" s="33"/>
      <c r="C179" s="21"/>
      <c r="D179" s="21"/>
      <c r="E179" s="21"/>
      <c r="F179" s="22"/>
      <c r="G179" s="21"/>
      <c r="H179" s="21"/>
      <c r="I179" s="22"/>
      <c r="J179" s="21"/>
      <c r="K179" s="21"/>
      <c r="L179" s="21"/>
    </row>
    <row r="180" spans="1:12" ht="14.45">
      <c r="A180" s="21"/>
      <c r="B180" s="33"/>
      <c r="C180" s="21"/>
      <c r="D180" s="21"/>
      <c r="E180" s="21"/>
      <c r="F180" s="22"/>
      <c r="G180" s="21"/>
      <c r="H180" s="21"/>
      <c r="I180" s="22"/>
      <c r="J180" s="21"/>
      <c r="K180" s="21"/>
      <c r="L180" s="21"/>
    </row>
    <row r="181" spans="1:12" ht="14.45">
      <c r="A181" s="21"/>
      <c r="B181" s="33"/>
      <c r="C181" s="21"/>
      <c r="D181" s="21"/>
      <c r="E181" s="21"/>
      <c r="F181" s="22"/>
      <c r="G181" s="21"/>
      <c r="H181" s="21"/>
      <c r="I181" s="22"/>
      <c r="J181" s="21"/>
      <c r="K181" s="21"/>
      <c r="L181" s="21"/>
    </row>
    <row r="182" spans="1:12" ht="14.45">
      <c r="A182" s="21"/>
      <c r="B182" s="33"/>
      <c r="C182" s="21"/>
      <c r="D182" s="21"/>
      <c r="E182" s="21"/>
      <c r="F182" s="22"/>
      <c r="G182" s="21"/>
      <c r="H182" s="21"/>
      <c r="I182" s="22"/>
      <c r="J182" s="21"/>
      <c r="K182" s="21"/>
      <c r="L182" s="21"/>
    </row>
    <row r="183" spans="1:12" ht="14.45">
      <c r="A183" s="21"/>
      <c r="B183" s="33"/>
      <c r="C183" s="21"/>
      <c r="D183" s="21"/>
      <c r="E183" s="21"/>
      <c r="F183" s="22"/>
      <c r="G183" s="21"/>
      <c r="H183" s="21"/>
      <c r="I183" s="22"/>
      <c r="J183" s="21"/>
      <c r="K183" s="21"/>
      <c r="L183" s="21"/>
    </row>
    <row r="184" spans="1:12" ht="14.45">
      <c r="A184" s="21"/>
      <c r="B184" s="33"/>
      <c r="C184" s="21"/>
      <c r="D184" s="21"/>
      <c r="E184" s="21"/>
      <c r="F184" s="22"/>
      <c r="G184" s="21"/>
      <c r="H184" s="21"/>
      <c r="I184" s="22"/>
      <c r="J184" s="21"/>
      <c r="K184" s="21"/>
      <c r="L184" s="21"/>
    </row>
    <row r="185" spans="1:12" ht="14.45">
      <c r="A185" s="21"/>
      <c r="B185" s="33"/>
      <c r="C185" s="21"/>
      <c r="D185" s="21"/>
      <c r="E185" s="21"/>
      <c r="F185" s="22"/>
      <c r="G185" s="21"/>
      <c r="H185" s="21"/>
      <c r="I185" s="22"/>
      <c r="J185" s="21"/>
      <c r="K185" s="21"/>
      <c r="L185" s="21"/>
    </row>
    <row r="186" spans="1:12" ht="14.45">
      <c r="A186" s="21"/>
      <c r="B186" s="33"/>
      <c r="C186" s="21"/>
      <c r="D186" s="21"/>
      <c r="E186" s="21"/>
      <c r="F186" s="22"/>
      <c r="G186" s="21"/>
      <c r="H186" s="21"/>
      <c r="I186" s="22"/>
      <c r="J186" s="21"/>
      <c r="K186" s="21"/>
      <c r="L186" s="21"/>
    </row>
    <row r="187" spans="1:12" ht="14.45">
      <c r="A187" s="21"/>
      <c r="B187" s="33"/>
      <c r="C187" s="21"/>
      <c r="D187" s="21"/>
      <c r="E187" s="21"/>
      <c r="F187" s="22"/>
      <c r="G187" s="21"/>
      <c r="H187" s="21"/>
      <c r="I187" s="22"/>
      <c r="J187" s="21"/>
      <c r="K187" s="21"/>
      <c r="L187" s="21"/>
    </row>
    <row r="188" spans="1:12" ht="14.45">
      <c r="A188" s="21"/>
      <c r="B188" s="33"/>
      <c r="C188" s="21"/>
      <c r="D188" s="21"/>
      <c r="E188" s="21"/>
      <c r="F188" s="22"/>
      <c r="G188" s="21"/>
      <c r="H188" s="21"/>
      <c r="I188" s="22"/>
      <c r="J188" s="21"/>
      <c r="K188" s="21"/>
      <c r="L188" s="21"/>
    </row>
    <row r="189" spans="1:12" ht="14.45">
      <c r="A189" s="21"/>
      <c r="B189" s="33"/>
      <c r="C189" s="21"/>
      <c r="D189" s="21"/>
      <c r="E189" s="21"/>
      <c r="F189" s="22"/>
      <c r="G189" s="21"/>
      <c r="H189" s="21"/>
      <c r="I189" s="22"/>
      <c r="J189" s="21"/>
      <c r="K189" s="21"/>
      <c r="L189" s="21"/>
    </row>
    <row r="190" spans="1:12" ht="14.45">
      <c r="A190" s="21"/>
      <c r="B190" s="33"/>
      <c r="C190" s="21"/>
      <c r="D190" s="21"/>
      <c r="E190" s="21"/>
      <c r="F190" s="22"/>
      <c r="G190" s="21"/>
      <c r="H190" s="21"/>
      <c r="I190" s="22"/>
      <c r="J190" s="21"/>
      <c r="K190" s="21"/>
      <c r="L190" s="21"/>
    </row>
    <row r="191" spans="1:12" ht="14.45">
      <c r="A191" s="21"/>
      <c r="B191" s="33"/>
      <c r="C191" s="21"/>
      <c r="D191" s="21"/>
      <c r="E191" s="21"/>
      <c r="F191" s="22"/>
      <c r="G191" s="21"/>
      <c r="H191" s="21"/>
      <c r="I191" s="22"/>
      <c r="J191" s="21"/>
      <c r="K191" s="21"/>
      <c r="L191" s="21"/>
    </row>
    <row r="192" spans="1:12" ht="14.45">
      <c r="A192" s="21"/>
      <c r="B192" s="33"/>
      <c r="C192" s="21"/>
      <c r="D192" s="21"/>
      <c r="E192" s="21"/>
      <c r="F192" s="22"/>
      <c r="G192" s="21"/>
      <c r="H192" s="21"/>
      <c r="I192" s="22"/>
      <c r="J192" s="21"/>
      <c r="K192" s="21"/>
      <c r="L192" s="21"/>
    </row>
    <row r="193" spans="1:12" ht="14.45">
      <c r="A193" s="21"/>
      <c r="B193" s="33"/>
      <c r="C193" s="21"/>
      <c r="D193" s="21"/>
      <c r="E193" s="21"/>
      <c r="F193" s="22"/>
      <c r="G193" s="21"/>
      <c r="H193" s="21"/>
      <c r="I193" s="22"/>
      <c r="J193" s="21"/>
      <c r="K193" s="21"/>
      <c r="L193" s="21"/>
    </row>
    <row r="194" spans="1:12" ht="14.45">
      <c r="A194" s="21"/>
      <c r="B194" s="33"/>
      <c r="C194" s="21"/>
      <c r="D194" s="21"/>
      <c r="E194" s="21"/>
      <c r="F194" s="22"/>
      <c r="G194" s="21"/>
      <c r="H194" s="21"/>
      <c r="I194" s="22"/>
      <c r="J194" s="21"/>
      <c r="K194" s="21"/>
      <c r="L194" s="21"/>
    </row>
    <row r="195" spans="1:12" ht="14.45">
      <c r="A195" s="21"/>
      <c r="B195" s="33"/>
      <c r="C195" s="21"/>
      <c r="D195" s="21"/>
      <c r="E195" s="21"/>
      <c r="F195" s="22"/>
      <c r="G195" s="21"/>
      <c r="H195" s="21"/>
      <c r="I195" s="22"/>
      <c r="J195" s="21"/>
      <c r="K195" s="21"/>
      <c r="L195" s="21"/>
    </row>
    <row r="196" spans="1:12" ht="14.45">
      <c r="A196" s="21"/>
      <c r="B196" s="33"/>
      <c r="C196" s="21"/>
      <c r="D196" s="21"/>
      <c r="E196" s="21"/>
      <c r="F196" s="22"/>
      <c r="G196" s="21"/>
      <c r="H196" s="21"/>
      <c r="I196" s="22"/>
      <c r="J196" s="21"/>
      <c r="K196" s="21"/>
      <c r="L196" s="21"/>
    </row>
    <row r="197" spans="1:12" ht="14.45">
      <c r="A197" s="21"/>
      <c r="B197" s="33"/>
      <c r="C197" s="21"/>
      <c r="D197" s="21"/>
      <c r="E197" s="21"/>
      <c r="F197" s="22"/>
      <c r="G197" s="21"/>
      <c r="H197" s="21"/>
      <c r="I197" s="22"/>
      <c r="J197" s="21"/>
      <c r="K197" s="21"/>
      <c r="L197" s="21"/>
    </row>
    <row r="198" spans="1:12" ht="14.45">
      <c r="A198" s="21"/>
      <c r="B198" s="33"/>
      <c r="C198" s="21"/>
      <c r="D198" s="21"/>
      <c r="E198" s="21"/>
      <c r="F198" s="22"/>
      <c r="G198" s="21"/>
      <c r="H198" s="21"/>
      <c r="I198" s="22"/>
      <c r="J198" s="21"/>
      <c r="K198" s="21"/>
      <c r="L198" s="21"/>
    </row>
    <row r="199" spans="1:12" ht="14.45">
      <c r="A199" s="21"/>
      <c r="B199" s="33"/>
      <c r="C199" s="21"/>
      <c r="D199" s="21"/>
      <c r="E199" s="21"/>
      <c r="F199" s="22"/>
      <c r="G199" s="21"/>
      <c r="H199" s="21"/>
      <c r="I199" s="22"/>
      <c r="J199" s="21"/>
      <c r="K199" s="21"/>
      <c r="L199" s="21"/>
    </row>
    <row r="200" spans="1:12" ht="14.45">
      <c r="A200" s="21"/>
      <c r="B200" s="33"/>
      <c r="C200" s="21"/>
      <c r="D200" s="21"/>
      <c r="E200" s="21"/>
      <c r="F200" s="22"/>
      <c r="G200" s="21"/>
      <c r="H200" s="21"/>
      <c r="I200" s="22"/>
      <c r="J200" s="21"/>
      <c r="K200" s="21"/>
      <c r="L200" s="21"/>
    </row>
    <row r="201" spans="1:12" ht="14.45">
      <c r="A201" s="21"/>
      <c r="B201" s="33"/>
      <c r="C201" s="21"/>
      <c r="D201" s="21"/>
      <c r="E201" s="21"/>
      <c r="F201" s="22"/>
      <c r="G201" s="21"/>
      <c r="H201" s="21"/>
      <c r="I201" s="22"/>
      <c r="J201" s="21"/>
      <c r="K201" s="21"/>
      <c r="L201" s="21"/>
    </row>
    <row r="202" spans="1:12" ht="14.45">
      <c r="A202" s="21"/>
      <c r="B202" s="33"/>
      <c r="C202" s="21"/>
      <c r="D202" s="21"/>
      <c r="E202" s="21"/>
      <c r="F202" s="22"/>
      <c r="G202" s="21"/>
      <c r="H202" s="21"/>
      <c r="I202" s="22"/>
      <c r="J202" s="21"/>
      <c r="K202" s="21"/>
      <c r="L202" s="21"/>
    </row>
    <row r="203" spans="1:12" ht="14.45">
      <c r="A203" s="21"/>
      <c r="B203" s="33"/>
      <c r="C203" s="21"/>
      <c r="D203" s="21"/>
      <c r="E203" s="21"/>
      <c r="F203" s="22"/>
      <c r="G203" s="21"/>
      <c r="H203" s="21"/>
      <c r="I203" s="22"/>
      <c r="J203" s="21"/>
      <c r="K203" s="21"/>
      <c r="L203" s="21"/>
    </row>
    <row r="204" spans="1:12" ht="14.45">
      <c r="A204" s="21"/>
      <c r="B204" s="33"/>
      <c r="C204" s="21"/>
      <c r="D204" s="21"/>
      <c r="E204" s="21"/>
      <c r="F204" s="22"/>
      <c r="G204" s="21"/>
      <c r="H204" s="21"/>
      <c r="I204" s="22"/>
      <c r="J204" s="21"/>
      <c r="K204" s="21"/>
      <c r="L204" s="21"/>
    </row>
    <row r="205" spans="1:12" ht="14.45">
      <c r="A205" s="21"/>
      <c r="B205" s="33"/>
      <c r="C205" s="21"/>
      <c r="D205" s="21"/>
      <c r="E205" s="21"/>
      <c r="F205" s="22"/>
      <c r="G205" s="21"/>
      <c r="H205" s="21"/>
      <c r="I205" s="22"/>
      <c r="J205" s="21"/>
      <c r="K205" s="21"/>
      <c r="L205" s="21"/>
    </row>
    <row r="206" spans="1:12" ht="14.45">
      <c r="A206" s="21"/>
      <c r="B206" s="33"/>
      <c r="C206" s="21"/>
      <c r="D206" s="21"/>
      <c r="E206" s="21"/>
      <c r="F206" s="22"/>
      <c r="G206" s="21"/>
      <c r="H206" s="21"/>
      <c r="I206" s="22"/>
      <c r="J206" s="21"/>
      <c r="K206" s="21"/>
      <c r="L206" s="21"/>
    </row>
    <row r="207" spans="1:12" ht="14.45">
      <c r="A207" s="21"/>
      <c r="B207" s="33"/>
      <c r="C207" s="21"/>
      <c r="D207" s="21"/>
      <c r="E207" s="21"/>
      <c r="F207" s="22"/>
      <c r="G207" s="21"/>
      <c r="H207" s="21"/>
      <c r="I207" s="22"/>
      <c r="J207" s="21"/>
      <c r="K207" s="21"/>
      <c r="L207" s="21"/>
    </row>
    <row r="208" spans="1:12" ht="14.45">
      <c r="A208" s="21"/>
      <c r="B208" s="33"/>
      <c r="C208" s="21"/>
      <c r="D208" s="21"/>
      <c r="E208" s="21"/>
      <c r="F208" s="22"/>
      <c r="G208" s="21"/>
      <c r="H208" s="21"/>
      <c r="I208" s="22"/>
      <c r="J208" s="21"/>
      <c r="K208" s="21"/>
      <c r="L208" s="21"/>
    </row>
    <row r="209" spans="1:12" ht="14.45">
      <c r="A209" s="21"/>
      <c r="B209" s="33"/>
      <c r="C209" s="21"/>
      <c r="D209" s="21"/>
      <c r="E209" s="21"/>
      <c r="F209" s="22"/>
      <c r="G209" s="21"/>
      <c r="H209" s="21"/>
      <c r="I209" s="22"/>
      <c r="J209" s="21"/>
      <c r="K209" s="21"/>
      <c r="L209" s="21"/>
    </row>
    <row r="210" spans="1:12" ht="14.45">
      <c r="A210" s="21"/>
      <c r="B210" s="33"/>
      <c r="C210" s="21"/>
      <c r="D210" s="21"/>
      <c r="E210" s="21"/>
      <c r="F210" s="22"/>
      <c r="G210" s="21"/>
      <c r="H210" s="21"/>
      <c r="I210" s="22"/>
      <c r="J210" s="21"/>
      <c r="K210" s="21"/>
      <c r="L210" s="21"/>
    </row>
    <row r="211" spans="1:12" ht="14.45">
      <c r="A211" s="21"/>
      <c r="B211" s="33"/>
      <c r="C211" s="21"/>
      <c r="D211" s="21"/>
      <c r="E211" s="21"/>
      <c r="F211" s="22"/>
      <c r="G211" s="21"/>
      <c r="H211" s="21"/>
      <c r="I211" s="22"/>
      <c r="J211" s="21"/>
      <c r="K211" s="21"/>
      <c r="L211" s="21"/>
    </row>
    <row r="212" spans="1:12" ht="14.45">
      <c r="A212" s="21"/>
      <c r="B212" s="33"/>
      <c r="C212" s="21"/>
      <c r="D212" s="21"/>
      <c r="E212" s="21"/>
      <c r="F212" s="22"/>
      <c r="G212" s="21"/>
      <c r="H212" s="21"/>
      <c r="I212" s="22"/>
      <c r="J212" s="21"/>
      <c r="K212" s="21"/>
      <c r="L212" s="21"/>
    </row>
    <row r="213" spans="1:12" ht="14.45">
      <c r="A213" s="21"/>
      <c r="B213" s="33"/>
      <c r="C213" s="21"/>
      <c r="D213" s="21"/>
      <c r="E213" s="21"/>
      <c r="F213" s="22"/>
      <c r="G213" s="21"/>
      <c r="H213" s="21"/>
      <c r="I213" s="22"/>
      <c r="J213" s="21"/>
      <c r="K213" s="21"/>
      <c r="L213" s="21"/>
    </row>
    <row r="214" spans="1:12" ht="14.45">
      <c r="A214" s="21"/>
      <c r="B214" s="33"/>
      <c r="C214" s="21"/>
      <c r="D214" s="21"/>
      <c r="E214" s="21"/>
      <c r="F214" s="22"/>
      <c r="G214" s="21"/>
      <c r="H214" s="21"/>
      <c r="I214" s="22"/>
      <c r="J214" s="21"/>
      <c r="K214" s="21"/>
      <c r="L214" s="21"/>
    </row>
    <row r="215" spans="1:12" ht="14.45">
      <c r="A215" s="21"/>
      <c r="B215" s="33"/>
      <c r="C215" s="21"/>
      <c r="D215" s="21"/>
      <c r="E215" s="21"/>
      <c r="F215" s="22"/>
      <c r="G215" s="21"/>
      <c r="H215" s="21"/>
      <c r="I215" s="22"/>
      <c r="J215" s="21"/>
      <c r="K215" s="21"/>
      <c r="L215" s="21"/>
    </row>
    <row r="216" spans="1:12" ht="14.45">
      <c r="A216" s="21"/>
      <c r="B216" s="33"/>
      <c r="C216" s="21"/>
      <c r="D216" s="21"/>
      <c r="E216" s="21"/>
      <c r="F216" s="22"/>
      <c r="G216" s="21"/>
      <c r="H216" s="21"/>
      <c r="I216" s="22"/>
      <c r="J216" s="21"/>
      <c r="K216" s="21"/>
      <c r="L216" s="21"/>
    </row>
    <row r="217" spans="1:12" ht="14.45">
      <c r="A217" s="21"/>
      <c r="B217" s="33"/>
      <c r="C217" s="21"/>
      <c r="D217" s="21"/>
      <c r="E217" s="21"/>
      <c r="F217" s="22"/>
      <c r="G217" s="21"/>
      <c r="H217" s="21"/>
      <c r="I217" s="22"/>
      <c r="J217" s="21"/>
      <c r="K217" s="21"/>
      <c r="L217" s="21"/>
    </row>
    <row r="218" spans="1:12" ht="14.45">
      <c r="A218" s="21"/>
      <c r="B218" s="33"/>
      <c r="C218" s="21"/>
      <c r="D218" s="21"/>
      <c r="E218" s="21"/>
      <c r="F218" s="22"/>
      <c r="G218" s="21"/>
      <c r="H218" s="21"/>
      <c r="I218" s="22"/>
      <c r="J218" s="21"/>
      <c r="K218" s="21"/>
      <c r="L218" s="21"/>
    </row>
    <row r="219" spans="1:12" ht="14.45">
      <c r="A219" s="21"/>
      <c r="B219" s="33"/>
      <c r="C219" s="21"/>
      <c r="D219" s="21"/>
      <c r="E219" s="21"/>
      <c r="F219" s="22"/>
      <c r="G219" s="21"/>
      <c r="H219" s="21"/>
      <c r="I219" s="22"/>
      <c r="J219" s="21"/>
      <c r="K219" s="21"/>
      <c r="L219" s="21"/>
    </row>
    <row r="220" spans="1:12" ht="14.45">
      <c r="A220" s="21"/>
      <c r="B220" s="33"/>
      <c r="C220" s="21"/>
      <c r="D220" s="21"/>
      <c r="E220" s="21"/>
      <c r="F220" s="22"/>
      <c r="G220" s="21"/>
      <c r="H220" s="21"/>
      <c r="I220" s="22"/>
      <c r="J220" s="21"/>
      <c r="K220" s="21"/>
      <c r="L220" s="21"/>
    </row>
    <row r="221" spans="1:12" ht="14.45">
      <c r="A221" s="21"/>
      <c r="B221" s="33"/>
      <c r="C221" s="21"/>
      <c r="D221" s="21"/>
      <c r="E221" s="21"/>
      <c r="F221" s="22"/>
      <c r="G221" s="21"/>
      <c r="H221" s="21"/>
      <c r="I221" s="22"/>
      <c r="J221" s="21"/>
      <c r="K221" s="21"/>
      <c r="L221" s="21"/>
    </row>
    <row r="222" spans="1:12" ht="14.45">
      <c r="A222" s="21"/>
      <c r="B222" s="33"/>
      <c r="C222" s="21"/>
      <c r="D222" s="21"/>
      <c r="E222" s="21"/>
      <c r="F222" s="22"/>
      <c r="G222" s="21"/>
      <c r="H222" s="21"/>
      <c r="I222" s="22"/>
      <c r="J222" s="21"/>
      <c r="K222" s="21"/>
      <c r="L222" s="21"/>
    </row>
    <row r="223" spans="1:12" ht="14.45">
      <c r="A223" s="21"/>
      <c r="B223" s="33"/>
      <c r="C223" s="21"/>
      <c r="D223" s="21"/>
      <c r="E223" s="21"/>
      <c r="F223" s="22"/>
      <c r="G223" s="21"/>
      <c r="H223" s="21"/>
      <c r="I223" s="22"/>
      <c r="J223" s="21"/>
      <c r="K223" s="21"/>
      <c r="L223" s="21"/>
    </row>
    <row r="224" spans="1:12" ht="14.45">
      <c r="A224" s="21"/>
      <c r="B224" s="33"/>
      <c r="C224" s="21"/>
      <c r="D224" s="21"/>
      <c r="E224" s="21"/>
      <c r="F224" s="22"/>
      <c r="G224" s="21"/>
      <c r="H224" s="21"/>
      <c r="I224" s="22"/>
      <c r="J224" s="21"/>
      <c r="K224" s="21"/>
      <c r="L224" s="21"/>
    </row>
    <row r="225" spans="1:12" ht="14.45">
      <c r="A225" s="21"/>
      <c r="B225" s="33"/>
      <c r="C225" s="21"/>
      <c r="D225" s="21"/>
      <c r="E225" s="21"/>
      <c r="F225" s="22"/>
      <c r="G225" s="21"/>
      <c r="H225" s="21"/>
      <c r="I225" s="22"/>
      <c r="J225" s="21"/>
      <c r="K225" s="21"/>
      <c r="L225" s="21"/>
    </row>
    <row r="226" spans="1:12" ht="14.45">
      <c r="A226" s="21"/>
      <c r="B226" s="33"/>
      <c r="C226" s="21"/>
      <c r="D226" s="21"/>
      <c r="E226" s="21"/>
      <c r="F226" s="22"/>
      <c r="G226" s="21"/>
      <c r="H226" s="21"/>
      <c r="I226" s="22"/>
      <c r="J226" s="21"/>
      <c r="K226" s="21"/>
      <c r="L226" s="21"/>
    </row>
    <row r="227" spans="1:12" ht="14.45">
      <c r="A227" s="21"/>
      <c r="B227" s="33"/>
      <c r="C227" s="21"/>
      <c r="D227" s="21"/>
      <c r="E227" s="21"/>
      <c r="F227" s="22"/>
      <c r="G227" s="21"/>
      <c r="H227" s="21"/>
      <c r="I227" s="22"/>
      <c r="J227" s="21"/>
      <c r="K227" s="21"/>
      <c r="L227" s="21"/>
    </row>
    <row r="228" spans="1:12" ht="14.45">
      <c r="A228" s="21"/>
      <c r="B228" s="33"/>
      <c r="C228" s="21"/>
      <c r="D228" s="21"/>
      <c r="E228" s="21"/>
      <c r="F228" s="22"/>
      <c r="G228" s="21"/>
      <c r="H228" s="21"/>
      <c r="I228" s="22"/>
      <c r="J228" s="21"/>
      <c r="K228" s="21"/>
      <c r="L228" s="21"/>
    </row>
    <row r="229" spans="1:12" ht="14.45">
      <c r="A229" s="21"/>
      <c r="B229" s="33"/>
      <c r="C229" s="21"/>
      <c r="D229" s="21"/>
      <c r="E229" s="21"/>
      <c r="F229" s="22"/>
      <c r="G229" s="21"/>
      <c r="H229" s="21"/>
      <c r="I229" s="22"/>
      <c r="J229" s="21"/>
      <c r="K229" s="21"/>
      <c r="L229" s="21"/>
    </row>
    <row r="230" spans="1:12" ht="14.45">
      <c r="A230" s="21"/>
      <c r="B230" s="33"/>
      <c r="C230" s="21"/>
      <c r="D230" s="21"/>
      <c r="E230" s="21"/>
      <c r="F230" s="22"/>
      <c r="G230" s="21"/>
      <c r="H230" s="21"/>
      <c r="I230" s="22"/>
      <c r="J230" s="21"/>
      <c r="K230" s="21"/>
      <c r="L230" s="21"/>
    </row>
    <row r="231" spans="1:12" ht="14.45">
      <c r="A231" s="21"/>
      <c r="B231" s="33"/>
      <c r="C231" s="21"/>
      <c r="D231" s="21"/>
      <c r="E231" s="21"/>
      <c r="F231" s="22"/>
      <c r="G231" s="21"/>
      <c r="H231" s="21"/>
      <c r="I231" s="22"/>
      <c r="J231" s="21"/>
      <c r="K231" s="21"/>
      <c r="L231" s="21"/>
    </row>
    <row r="232" spans="1:12" ht="14.45">
      <c r="A232" s="21"/>
      <c r="B232" s="33"/>
      <c r="C232" s="21"/>
      <c r="D232" s="21"/>
      <c r="E232" s="21"/>
      <c r="F232" s="22"/>
      <c r="G232" s="21"/>
      <c r="H232" s="21"/>
      <c r="I232" s="22"/>
      <c r="J232" s="21"/>
      <c r="K232" s="21"/>
      <c r="L232" s="21"/>
    </row>
    <row r="233" spans="1:12" ht="14.45">
      <c r="A233" s="21"/>
      <c r="B233" s="33"/>
      <c r="C233" s="21"/>
      <c r="D233" s="21"/>
      <c r="E233" s="21"/>
      <c r="F233" s="22"/>
      <c r="G233" s="21"/>
      <c r="H233" s="21"/>
      <c r="I233" s="22"/>
      <c r="J233" s="21"/>
      <c r="K233" s="21"/>
      <c r="L233" s="21"/>
    </row>
    <row r="234" spans="1:12" ht="14.45">
      <c r="A234" s="21"/>
      <c r="B234" s="33"/>
      <c r="C234" s="21"/>
      <c r="D234" s="21"/>
      <c r="E234" s="21"/>
      <c r="F234" s="22"/>
      <c r="G234" s="21"/>
      <c r="H234" s="21"/>
      <c r="I234" s="22"/>
      <c r="J234" s="21"/>
      <c r="K234" s="21"/>
      <c r="L234" s="21"/>
    </row>
    <row r="235" spans="1:12" ht="14.45">
      <c r="A235" s="21"/>
      <c r="B235" s="33"/>
      <c r="C235" s="21"/>
      <c r="D235" s="21"/>
      <c r="E235" s="21"/>
      <c r="F235" s="22"/>
      <c r="G235" s="21"/>
      <c r="H235" s="21"/>
      <c r="I235" s="22"/>
      <c r="J235" s="21"/>
      <c r="K235" s="21"/>
      <c r="L235" s="21"/>
    </row>
    <row r="236" spans="1:12" ht="14.45">
      <c r="A236" s="21"/>
      <c r="B236" s="33"/>
      <c r="C236" s="21"/>
      <c r="D236" s="21"/>
      <c r="E236" s="21"/>
      <c r="F236" s="22"/>
      <c r="G236" s="21"/>
      <c r="H236" s="21"/>
      <c r="I236" s="22"/>
      <c r="J236" s="21"/>
      <c r="K236" s="21"/>
      <c r="L236" s="21"/>
    </row>
    <row r="237" spans="1:12" ht="14.45">
      <c r="A237" s="21"/>
      <c r="B237" s="33"/>
      <c r="C237" s="21"/>
      <c r="D237" s="21"/>
      <c r="E237" s="21"/>
      <c r="F237" s="22"/>
      <c r="G237" s="21"/>
      <c r="H237" s="21"/>
      <c r="I237" s="22"/>
      <c r="J237" s="21"/>
      <c r="K237" s="21"/>
      <c r="L237" s="21"/>
    </row>
    <row r="238" spans="1:12" ht="14.45">
      <c r="A238" s="21"/>
      <c r="B238" s="33"/>
      <c r="C238" s="21"/>
      <c r="D238" s="21"/>
      <c r="E238" s="21"/>
      <c r="F238" s="22"/>
      <c r="G238" s="21"/>
      <c r="H238" s="21"/>
      <c r="I238" s="22"/>
      <c r="J238" s="21"/>
      <c r="K238" s="21"/>
      <c r="L238" s="21"/>
    </row>
    <row r="239" spans="1:12" ht="14.45">
      <c r="A239" s="21"/>
      <c r="B239" s="33"/>
      <c r="C239" s="21"/>
      <c r="D239" s="21"/>
      <c r="E239" s="21"/>
      <c r="F239" s="22"/>
      <c r="G239" s="21"/>
      <c r="H239" s="21"/>
      <c r="I239" s="22"/>
      <c r="J239" s="21"/>
      <c r="K239" s="21"/>
      <c r="L239" s="21"/>
    </row>
    <row r="240" spans="1:12" ht="14.45">
      <c r="A240" s="21"/>
      <c r="B240" s="33"/>
      <c r="C240" s="21"/>
      <c r="D240" s="21"/>
      <c r="E240" s="21"/>
      <c r="F240" s="22"/>
      <c r="G240" s="21"/>
      <c r="H240" s="21"/>
      <c r="I240" s="22"/>
      <c r="J240" s="21"/>
      <c r="K240" s="21"/>
      <c r="L240" s="21"/>
    </row>
    <row r="241" spans="1:12" ht="14.45">
      <c r="A241" s="21"/>
      <c r="B241" s="33"/>
      <c r="C241" s="21"/>
      <c r="D241" s="21"/>
      <c r="E241" s="21"/>
      <c r="F241" s="22"/>
      <c r="G241" s="21"/>
      <c r="H241" s="21"/>
      <c r="I241" s="22"/>
      <c r="J241" s="21"/>
      <c r="K241" s="21"/>
      <c r="L241" s="21"/>
    </row>
    <row r="242" spans="1:12" ht="14.45">
      <c r="A242" s="21"/>
      <c r="B242" s="33"/>
      <c r="C242" s="21"/>
      <c r="D242" s="21"/>
      <c r="E242" s="21"/>
      <c r="F242" s="22"/>
      <c r="G242" s="21"/>
      <c r="H242" s="21"/>
      <c r="I242" s="22"/>
      <c r="J242" s="21"/>
      <c r="K242" s="21"/>
      <c r="L242" s="21"/>
    </row>
    <row r="243" spans="1:12" ht="14.45">
      <c r="A243" s="21"/>
      <c r="B243" s="33"/>
      <c r="C243" s="21"/>
      <c r="D243" s="21"/>
      <c r="E243" s="21"/>
      <c r="F243" s="22"/>
      <c r="G243" s="21"/>
      <c r="H243" s="21"/>
      <c r="I243" s="22"/>
      <c r="J243" s="21"/>
      <c r="K243" s="21"/>
      <c r="L243" s="21"/>
    </row>
    <row r="244" spans="1:12" ht="14.45">
      <c r="A244" s="21"/>
      <c r="B244" s="33"/>
      <c r="C244" s="21"/>
      <c r="D244" s="21"/>
      <c r="E244" s="21"/>
      <c r="F244" s="22"/>
      <c r="G244" s="21"/>
      <c r="H244" s="21"/>
      <c r="I244" s="22"/>
      <c r="J244" s="21"/>
      <c r="K244" s="21"/>
      <c r="L244" s="21"/>
    </row>
    <row r="245" spans="1:12" ht="14.45">
      <c r="A245" s="21"/>
      <c r="B245" s="33"/>
      <c r="C245" s="21"/>
      <c r="D245" s="21"/>
      <c r="E245" s="21"/>
      <c r="F245" s="22"/>
      <c r="G245" s="21"/>
      <c r="H245" s="21"/>
      <c r="I245" s="22"/>
      <c r="J245" s="21"/>
      <c r="K245" s="21"/>
      <c r="L245" s="21"/>
    </row>
    <row r="246" spans="1:12" ht="14.45">
      <c r="A246" s="21"/>
      <c r="B246" s="33"/>
      <c r="C246" s="21"/>
      <c r="D246" s="21"/>
      <c r="E246" s="21"/>
      <c r="F246" s="22"/>
      <c r="G246" s="21"/>
      <c r="H246" s="21"/>
      <c r="I246" s="22"/>
      <c r="J246" s="21"/>
      <c r="K246" s="21"/>
      <c r="L246" s="21"/>
    </row>
    <row r="247" spans="1:12" ht="14.45">
      <c r="A247" s="21"/>
      <c r="B247" s="33"/>
      <c r="C247" s="21"/>
      <c r="D247" s="21"/>
      <c r="E247" s="21"/>
      <c r="F247" s="22"/>
      <c r="G247" s="21"/>
      <c r="H247" s="21"/>
      <c r="I247" s="22"/>
      <c r="J247" s="21"/>
      <c r="K247" s="21"/>
      <c r="L247" s="21"/>
    </row>
    <row r="248" spans="1:12" ht="14.45">
      <c r="A248" s="21"/>
      <c r="B248" s="33"/>
      <c r="C248" s="21"/>
      <c r="D248" s="21"/>
      <c r="E248" s="21"/>
      <c r="F248" s="22"/>
      <c r="G248" s="21"/>
      <c r="H248" s="21"/>
      <c r="I248" s="22"/>
      <c r="J248" s="21"/>
      <c r="K248" s="21"/>
      <c r="L248" s="21"/>
    </row>
    <row r="249" spans="1:12" ht="14.45">
      <c r="A249" s="21"/>
      <c r="B249" s="33"/>
      <c r="C249" s="21"/>
      <c r="D249" s="21"/>
      <c r="E249" s="21"/>
      <c r="F249" s="22"/>
      <c r="G249" s="21"/>
      <c r="H249" s="21"/>
      <c r="I249" s="22"/>
      <c r="J249" s="21"/>
      <c r="K249" s="21"/>
      <c r="L249" s="21"/>
    </row>
    <row r="250" spans="1:12" ht="14.45">
      <c r="A250" s="21"/>
      <c r="B250" s="33"/>
      <c r="C250" s="21"/>
      <c r="D250" s="21"/>
      <c r="E250" s="21"/>
      <c r="F250" s="22"/>
      <c r="G250" s="21"/>
      <c r="H250" s="21"/>
      <c r="I250" s="22"/>
      <c r="J250" s="21"/>
      <c r="K250" s="21"/>
      <c r="L250" s="21"/>
    </row>
    <row r="251" spans="1:12" ht="14.45">
      <c r="A251" s="21"/>
      <c r="B251" s="33"/>
      <c r="C251" s="21"/>
      <c r="D251" s="21"/>
      <c r="E251" s="21"/>
      <c r="F251" s="22"/>
      <c r="G251" s="21"/>
      <c r="H251" s="21"/>
      <c r="I251" s="22"/>
      <c r="J251" s="21"/>
      <c r="K251" s="21"/>
      <c r="L251" s="21"/>
    </row>
    <row r="252" spans="1:12" ht="14.45">
      <c r="A252" s="21"/>
      <c r="B252" s="33"/>
      <c r="C252" s="21"/>
      <c r="D252" s="21"/>
      <c r="E252" s="21"/>
      <c r="F252" s="22"/>
      <c r="G252" s="21"/>
      <c r="H252" s="21"/>
      <c r="I252" s="22"/>
      <c r="J252" s="21"/>
      <c r="K252" s="21"/>
      <c r="L252" s="21"/>
    </row>
    <row r="253" spans="1:12" ht="14.45">
      <c r="A253" s="21"/>
      <c r="B253" s="33"/>
      <c r="C253" s="21"/>
      <c r="D253" s="21"/>
      <c r="E253" s="21"/>
      <c r="F253" s="22"/>
      <c r="G253" s="21"/>
      <c r="H253" s="21"/>
      <c r="I253" s="22"/>
      <c r="J253" s="21"/>
      <c r="K253" s="21"/>
      <c r="L253" s="21"/>
    </row>
    <row r="254" spans="1:12" ht="14.45">
      <c r="A254" s="21"/>
      <c r="B254" s="33"/>
      <c r="C254" s="21"/>
      <c r="D254" s="21"/>
      <c r="E254" s="21"/>
      <c r="F254" s="22"/>
      <c r="G254" s="21"/>
      <c r="H254" s="21"/>
      <c r="I254" s="22"/>
      <c r="J254" s="21"/>
      <c r="K254" s="21"/>
      <c r="L254" s="21"/>
    </row>
    <row r="255" spans="1:12" ht="14.45">
      <c r="A255" s="21"/>
      <c r="B255" s="33"/>
      <c r="C255" s="21"/>
      <c r="D255" s="21"/>
      <c r="E255" s="21"/>
      <c r="F255" s="22"/>
      <c r="G255" s="21"/>
      <c r="H255" s="21"/>
      <c r="I255" s="22"/>
      <c r="J255" s="21"/>
      <c r="K255" s="21"/>
      <c r="L255" s="21"/>
    </row>
    <row r="256" spans="1:12" ht="14.45">
      <c r="A256" s="21"/>
      <c r="B256" s="33"/>
      <c r="C256" s="21"/>
      <c r="D256" s="21"/>
      <c r="E256" s="21"/>
      <c r="F256" s="22"/>
      <c r="G256" s="21"/>
      <c r="H256" s="21"/>
      <c r="I256" s="22"/>
      <c r="J256" s="21"/>
      <c r="K256" s="21"/>
      <c r="L256" s="21"/>
    </row>
    <row r="257" spans="1:12" ht="14.45">
      <c r="A257" s="21"/>
      <c r="B257" s="33"/>
      <c r="C257" s="21"/>
      <c r="D257" s="21"/>
      <c r="E257" s="21"/>
      <c r="F257" s="22"/>
      <c r="G257" s="21"/>
      <c r="H257" s="21"/>
      <c r="I257" s="22"/>
      <c r="J257" s="21"/>
      <c r="K257" s="21"/>
      <c r="L257" s="21"/>
    </row>
    <row r="258" spans="1:12" ht="14.45">
      <c r="A258" s="21"/>
      <c r="B258" s="33"/>
      <c r="C258" s="21"/>
      <c r="D258" s="21"/>
      <c r="E258" s="21"/>
      <c r="F258" s="22"/>
      <c r="G258" s="21"/>
      <c r="H258" s="21"/>
      <c r="I258" s="22"/>
      <c r="J258" s="21"/>
      <c r="K258" s="21"/>
      <c r="L258" s="21"/>
    </row>
    <row r="259" spans="1:12" ht="14.45">
      <c r="A259" s="21"/>
      <c r="B259" s="33"/>
      <c r="C259" s="21"/>
      <c r="D259" s="21"/>
      <c r="E259" s="21"/>
      <c r="F259" s="22"/>
      <c r="G259" s="21"/>
      <c r="H259" s="21"/>
      <c r="I259" s="22"/>
      <c r="J259" s="21"/>
      <c r="K259" s="21"/>
      <c r="L259" s="21"/>
    </row>
    <row r="260" spans="1:12" ht="14.45">
      <c r="A260" s="21"/>
      <c r="B260" s="33"/>
      <c r="C260" s="21"/>
      <c r="D260" s="21"/>
      <c r="E260" s="21"/>
      <c r="F260" s="22"/>
      <c r="G260" s="21"/>
      <c r="H260" s="21"/>
      <c r="I260" s="22"/>
      <c r="J260" s="21"/>
      <c r="K260" s="21"/>
      <c r="L260" s="21"/>
    </row>
    <row r="261" spans="1:12" ht="14.45">
      <c r="A261" s="21"/>
      <c r="B261" s="33"/>
      <c r="C261" s="21"/>
      <c r="D261" s="21"/>
      <c r="E261" s="21"/>
      <c r="F261" s="22"/>
      <c r="G261" s="21"/>
      <c r="H261" s="21"/>
      <c r="I261" s="22"/>
      <c r="J261" s="21"/>
      <c r="K261" s="21"/>
      <c r="L261" s="21"/>
    </row>
    <row r="262" spans="1:12" ht="14.45">
      <c r="A262" s="21"/>
      <c r="B262" s="33"/>
      <c r="C262" s="21"/>
      <c r="D262" s="21"/>
      <c r="E262" s="21"/>
      <c r="F262" s="22"/>
      <c r="G262" s="21"/>
      <c r="H262" s="21"/>
      <c r="I262" s="22"/>
      <c r="J262" s="21"/>
      <c r="K262" s="21"/>
      <c r="L262" s="21"/>
    </row>
    <row r="263" spans="1:12" ht="14.45">
      <c r="A263" s="21"/>
      <c r="B263" s="33"/>
      <c r="C263" s="21"/>
      <c r="D263" s="21"/>
      <c r="E263" s="21"/>
      <c r="F263" s="22"/>
      <c r="G263" s="21"/>
      <c r="H263" s="21"/>
      <c r="I263" s="22"/>
      <c r="J263" s="21"/>
      <c r="K263" s="21"/>
      <c r="L263" s="21"/>
    </row>
    <row r="264" spans="1:12" ht="14.45">
      <c r="A264" s="21"/>
      <c r="B264" s="33"/>
      <c r="C264" s="21"/>
      <c r="D264" s="21"/>
      <c r="E264" s="21"/>
      <c r="F264" s="22"/>
      <c r="G264" s="21"/>
      <c r="H264" s="21"/>
      <c r="I264" s="22"/>
      <c r="J264" s="21"/>
      <c r="K264" s="21"/>
      <c r="L264" s="21"/>
    </row>
    <row r="265" spans="1:12" ht="14.45">
      <c r="A265" s="21"/>
      <c r="B265" s="33"/>
      <c r="C265" s="21"/>
      <c r="D265" s="21"/>
      <c r="E265" s="21"/>
      <c r="F265" s="22"/>
      <c r="G265" s="21"/>
      <c r="H265" s="21"/>
      <c r="I265" s="22"/>
      <c r="J265" s="21"/>
      <c r="K265" s="21"/>
      <c r="L265" s="21"/>
    </row>
    <row r="266" spans="1:12" ht="14.45">
      <c r="A266" s="21"/>
      <c r="B266" s="33"/>
      <c r="C266" s="21"/>
      <c r="D266" s="21"/>
      <c r="E266" s="21"/>
      <c r="F266" s="22"/>
      <c r="G266" s="21"/>
      <c r="H266" s="21"/>
      <c r="I266" s="22"/>
      <c r="J266" s="21"/>
      <c r="K266" s="21"/>
      <c r="L266" s="21"/>
    </row>
    <row r="267" spans="1:12" ht="14.45">
      <c r="A267" s="21"/>
      <c r="B267" s="33"/>
      <c r="C267" s="21"/>
      <c r="D267" s="21"/>
      <c r="E267" s="21"/>
      <c r="F267" s="22"/>
      <c r="G267" s="21"/>
      <c r="H267" s="21"/>
      <c r="I267" s="22"/>
      <c r="J267" s="21"/>
      <c r="K267" s="21"/>
      <c r="L267" s="21"/>
    </row>
    <row r="268" spans="1:12" ht="14.45">
      <c r="A268" s="21"/>
      <c r="B268" s="33"/>
      <c r="C268" s="21"/>
      <c r="D268" s="21"/>
      <c r="E268" s="21"/>
      <c r="F268" s="22"/>
      <c r="G268" s="21"/>
      <c r="H268" s="21"/>
      <c r="I268" s="22"/>
      <c r="J268" s="21"/>
      <c r="K268" s="21"/>
      <c r="L268" s="21"/>
    </row>
    <row r="269" spans="1:12" ht="14.45">
      <c r="A269" s="21"/>
      <c r="B269" s="33"/>
      <c r="C269" s="21"/>
      <c r="D269" s="21"/>
      <c r="E269" s="21"/>
      <c r="F269" s="22"/>
      <c r="G269" s="21"/>
      <c r="H269" s="21"/>
      <c r="I269" s="22"/>
      <c r="J269" s="21"/>
      <c r="K269" s="21"/>
      <c r="L269" s="21"/>
    </row>
    <row r="270" spans="1:12" ht="14.45">
      <c r="A270" s="21"/>
      <c r="B270" s="33"/>
      <c r="C270" s="21"/>
      <c r="D270" s="21"/>
      <c r="E270" s="21"/>
      <c r="F270" s="22"/>
      <c r="G270" s="21"/>
      <c r="H270" s="21"/>
      <c r="I270" s="22"/>
      <c r="J270" s="21"/>
      <c r="K270" s="21"/>
      <c r="L270" s="21"/>
    </row>
    <row r="271" spans="1:12" ht="14.45">
      <c r="A271" s="21"/>
      <c r="B271" s="33"/>
      <c r="C271" s="21"/>
      <c r="D271" s="21"/>
      <c r="E271" s="21"/>
      <c r="F271" s="22"/>
      <c r="G271" s="21"/>
      <c r="H271" s="21"/>
      <c r="I271" s="22"/>
      <c r="J271" s="21"/>
      <c r="K271" s="21"/>
      <c r="L271" s="21"/>
    </row>
    <row r="272" spans="1:12" ht="14.45">
      <c r="A272" s="21"/>
      <c r="B272" s="33"/>
      <c r="C272" s="21"/>
      <c r="D272" s="21"/>
      <c r="E272" s="21"/>
      <c r="F272" s="22"/>
      <c r="G272" s="21"/>
      <c r="H272" s="21"/>
      <c r="I272" s="22"/>
      <c r="J272" s="21"/>
      <c r="K272" s="21"/>
      <c r="L272" s="21"/>
    </row>
    <row r="273" spans="1:12" ht="14.45">
      <c r="A273" s="21"/>
      <c r="B273" s="33"/>
      <c r="C273" s="21"/>
      <c r="D273" s="21"/>
      <c r="E273" s="21"/>
      <c r="F273" s="22"/>
      <c r="G273" s="21"/>
      <c r="H273" s="21"/>
      <c r="I273" s="22"/>
      <c r="J273" s="21"/>
      <c r="K273" s="21"/>
      <c r="L273" s="21"/>
    </row>
    <row r="274" spans="1:12" ht="14.45">
      <c r="A274" s="21"/>
      <c r="B274" s="33"/>
      <c r="C274" s="21"/>
      <c r="D274" s="21"/>
      <c r="E274" s="21"/>
      <c r="F274" s="22"/>
      <c r="G274" s="21"/>
      <c r="H274" s="21"/>
      <c r="I274" s="22"/>
      <c r="J274" s="21"/>
      <c r="K274" s="21"/>
      <c r="L274" s="21"/>
    </row>
    <row r="275" spans="1:12" ht="14.45">
      <c r="A275" s="21"/>
      <c r="B275" s="33"/>
      <c r="C275" s="21"/>
      <c r="D275" s="21"/>
      <c r="E275" s="21"/>
      <c r="F275" s="22"/>
      <c r="G275" s="21"/>
      <c r="H275" s="21"/>
      <c r="I275" s="22"/>
      <c r="J275" s="21"/>
      <c r="K275" s="21"/>
      <c r="L275" s="21"/>
    </row>
    <row r="276" spans="1:12" ht="14.45">
      <c r="A276" s="21"/>
      <c r="B276" s="33"/>
      <c r="C276" s="21"/>
      <c r="D276" s="21"/>
      <c r="E276" s="21"/>
      <c r="F276" s="22"/>
      <c r="G276" s="21"/>
      <c r="H276" s="21"/>
      <c r="I276" s="22"/>
      <c r="J276" s="21"/>
      <c r="K276" s="21"/>
      <c r="L276" s="21"/>
    </row>
    <row r="277" spans="1:12" ht="14.45">
      <c r="A277" s="21"/>
      <c r="B277" s="33"/>
      <c r="C277" s="21"/>
      <c r="D277" s="21"/>
      <c r="E277" s="21"/>
      <c r="F277" s="22"/>
      <c r="G277" s="21"/>
      <c r="H277" s="21"/>
      <c r="I277" s="22"/>
      <c r="J277" s="21"/>
      <c r="K277" s="21"/>
      <c r="L277" s="21"/>
    </row>
    <row r="278" spans="1:12" ht="14.45">
      <c r="A278" s="21"/>
      <c r="B278" s="33"/>
      <c r="C278" s="21"/>
      <c r="D278" s="21"/>
      <c r="E278" s="21"/>
      <c r="F278" s="22"/>
      <c r="G278" s="21"/>
      <c r="H278" s="21"/>
      <c r="I278" s="22"/>
      <c r="J278" s="21"/>
      <c r="K278" s="21"/>
      <c r="L278" s="21"/>
    </row>
    <row r="279" spans="1:12" ht="14.45">
      <c r="A279" s="21"/>
      <c r="B279" s="33"/>
      <c r="C279" s="21"/>
      <c r="D279" s="21"/>
      <c r="E279" s="21"/>
      <c r="F279" s="22"/>
      <c r="G279" s="21"/>
      <c r="H279" s="21"/>
      <c r="I279" s="22"/>
      <c r="J279" s="21"/>
      <c r="K279" s="21"/>
      <c r="L279" s="21"/>
    </row>
    <row r="280" spans="1:12" ht="14.45">
      <c r="A280" s="21"/>
      <c r="B280" s="33"/>
      <c r="C280" s="21"/>
      <c r="D280" s="21"/>
      <c r="E280" s="21"/>
      <c r="F280" s="22"/>
      <c r="G280" s="21"/>
      <c r="H280" s="21"/>
      <c r="I280" s="22"/>
      <c r="J280" s="21"/>
      <c r="K280" s="21"/>
      <c r="L280" s="21"/>
    </row>
    <row r="281" spans="1:12" ht="14.45">
      <c r="A281" s="21"/>
      <c r="B281" s="33"/>
      <c r="C281" s="21"/>
      <c r="D281" s="21"/>
      <c r="E281" s="21"/>
      <c r="F281" s="22"/>
      <c r="G281" s="21"/>
      <c r="H281" s="21"/>
      <c r="I281" s="22"/>
      <c r="J281" s="21"/>
      <c r="K281" s="21"/>
      <c r="L281" s="21"/>
    </row>
    <row r="282" spans="1:12" ht="14.45">
      <c r="A282" s="21"/>
      <c r="B282" s="33"/>
      <c r="C282" s="21"/>
      <c r="D282" s="21"/>
      <c r="E282" s="21"/>
      <c r="F282" s="22"/>
      <c r="G282" s="21"/>
      <c r="H282" s="21"/>
      <c r="I282" s="22"/>
      <c r="J282" s="21"/>
      <c r="K282" s="21"/>
      <c r="L282" s="21"/>
    </row>
    <row r="283" spans="1:12" ht="14.45">
      <c r="A283" s="21"/>
      <c r="B283" s="33"/>
      <c r="C283" s="21"/>
      <c r="D283" s="21"/>
      <c r="E283" s="21"/>
      <c r="F283" s="22"/>
      <c r="G283" s="21"/>
      <c r="H283" s="21"/>
      <c r="I283" s="22"/>
      <c r="J283" s="21"/>
      <c r="K283" s="21"/>
      <c r="L283" s="21"/>
    </row>
    <row r="284" spans="1:12" ht="14.45">
      <c r="A284" s="21"/>
      <c r="B284" s="33"/>
      <c r="C284" s="21"/>
      <c r="D284" s="21"/>
      <c r="E284" s="21"/>
      <c r="F284" s="22"/>
      <c r="G284" s="21"/>
      <c r="H284" s="21"/>
      <c r="I284" s="22"/>
      <c r="J284" s="21"/>
      <c r="K284" s="21"/>
      <c r="L284" s="21"/>
    </row>
    <row r="285" spans="1:12" ht="14.45">
      <c r="A285" s="21"/>
      <c r="B285" s="33"/>
      <c r="C285" s="21"/>
      <c r="D285" s="21"/>
      <c r="E285" s="21"/>
      <c r="F285" s="22"/>
      <c r="G285" s="21"/>
      <c r="H285" s="21"/>
      <c r="I285" s="22"/>
      <c r="J285" s="21"/>
      <c r="K285" s="21"/>
      <c r="L285" s="21"/>
    </row>
    <row r="286" spans="1:12" ht="14.45">
      <c r="A286" s="21"/>
      <c r="B286" s="33"/>
      <c r="C286" s="21"/>
      <c r="D286" s="21"/>
      <c r="E286" s="21"/>
      <c r="F286" s="22"/>
      <c r="G286" s="21"/>
      <c r="H286" s="21"/>
      <c r="I286" s="22"/>
      <c r="J286" s="21"/>
      <c r="K286" s="21"/>
      <c r="L286" s="21"/>
    </row>
    <row r="287" spans="1:12" ht="14.45">
      <c r="A287" s="21"/>
      <c r="B287" s="33"/>
      <c r="C287" s="21"/>
      <c r="D287" s="21"/>
      <c r="E287" s="21"/>
      <c r="F287" s="22"/>
      <c r="G287" s="21"/>
      <c r="H287" s="21"/>
      <c r="I287" s="22"/>
      <c r="J287" s="21"/>
      <c r="K287" s="21"/>
      <c r="L287" s="21"/>
    </row>
    <row r="288" spans="1:12" ht="14.45">
      <c r="A288" s="21"/>
      <c r="B288" s="33"/>
      <c r="C288" s="21"/>
      <c r="D288" s="21"/>
      <c r="E288" s="21"/>
      <c r="F288" s="22"/>
      <c r="G288" s="21"/>
      <c r="H288" s="21"/>
      <c r="I288" s="22"/>
      <c r="J288" s="21"/>
      <c r="K288" s="21"/>
      <c r="L288" s="21"/>
    </row>
    <row r="289" spans="1:12" ht="14.45">
      <c r="A289" s="21"/>
      <c r="B289" s="33"/>
      <c r="C289" s="21"/>
      <c r="D289" s="21"/>
      <c r="E289" s="21"/>
      <c r="F289" s="22"/>
      <c r="G289" s="21"/>
      <c r="H289" s="21"/>
      <c r="I289" s="22"/>
      <c r="J289" s="21"/>
      <c r="K289" s="21"/>
      <c r="L289" s="21"/>
    </row>
    <row r="290" spans="1:12" ht="14.45">
      <c r="A290" s="21"/>
      <c r="B290" s="33"/>
      <c r="C290" s="21"/>
      <c r="D290" s="21"/>
      <c r="E290" s="21"/>
      <c r="F290" s="22"/>
      <c r="G290" s="21"/>
      <c r="H290" s="21"/>
      <c r="I290" s="22"/>
      <c r="J290" s="21"/>
      <c r="K290" s="21"/>
      <c r="L290" s="21"/>
    </row>
    <row r="291" spans="1:12" ht="14.45">
      <c r="A291" s="21"/>
      <c r="B291" s="33"/>
      <c r="C291" s="21"/>
      <c r="D291" s="21"/>
      <c r="E291" s="21"/>
      <c r="F291" s="22"/>
      <c r="G291" s="21"/>
      <c r="H291" s="21"/>
      <c r="I291" s="22"/>
      <c r="J291" s="21"/>
      <c r="K291" s="21"/>
      <c r="L291" s="21"/>
    </row>
    <row r="292" spans="1:12" ht="14.45">
      <c r="A292" s="21"/>
      <c r="B292" s="33"/>
      <c r="C292" s="21"/>
      <c r="D292" s="21"/>
      <c r="E292" s="21"/>
      <c r="F292" s="22"/>
      <c r="G292" s="21"/>
      <c r="H292" s="21"/>
      <c r="I292" s="22"/>
      <c r="J292" s="21"/>
      <c r="K292" s="21"/>
      <c r="L292" s="21"/>
    </row>
    <row r="293" spans="1:12" ht="14.45">
      <c r="A293" s="21"/>
      <c r="B293" s="33"/>
      <c r="C293" s="21"/>
      <c r="D293" s="21"/>
      <c r="E293" s="21"/>
      <c r="F293" s="22"/>
      <c r="G293" s="21"/>
      <c r="H293" s="21"/>
      <c r="I293" s="22"/>
      <c r="J293" s="21"/>
      <c r="K293" s="21"/>
      <c r="L293" s="21"/>
    </row>
    <row r="294" spans="1:12" ht="14.45">
      <c r="A294" s="21"/>
      <c r="B294" s="33"/>
      <c r="C294" s="21"/>
      <c r="D294" s="21"/>
      <c r="E294" s="21"/>
      <c r="F294" s="22"/>
      <c r="G294" s="21"/>
      <c r="H294" s="21"/>
      <c r="I294" s="22"/>
      <c r="J294" s="21"/>
      <c r="K294" s="21"/>
      <c r="L294" s="21"/>
    </row>
    <row r="295" spans="1:12" ht="14.45">
      <c r="A295" s="21"/>
      <c r="B295" s="33"/>
      <c r="C295" s="21"/>
      <c r="D295" s="21"/>
      <c r="E295" s="21"/>
      <c r="F295" s="22"/>
      <c r="G295" s="21"/>
      <c r="H295" s="21"/>
      <c r="I295" s="22"/>
      <c r="J295" s="21"/>
      <c r="K295" s="21"/>
      <c r="L295" s="21"/>
    </row>
    <row r="296" spans="1:12" ht="14.45">
      <c r="A296" s="21"/>
      <c r="B296" s="33"/>
      <c r="C296" s="21"/>
      <c r="D296" s="21"/>
      <c r="E296" s="21"/>
      <c r="F296" s="22"/>
      <c r="G296" s="21"/>
      <c r="H296" s="21"/>
      <c r="I296" s="22"/>
      <c r="J296" s="21"/>
      <c r="K296" s="21"/>
      <c r="L296" s="21"/>
    </row>
    <row r="297" spans="1:12" ht="14.45">
      <c r="A297" s="21"/>
      <c r="B297" s="33"/>
      <c r="C297" s="21"/>
      <c r="D297" s="21"/>
      <c r="E297" s="21"/>
      <c r="F297" s="22"/>
      <c r="G297" s="21"/>
      <c r="H297" s="21"/>
      <c r="I297" s="22"/>
      <c r="J297" s="21"/>
      <c r="K297" s="21"/>
      <c r="L297" s="21"/>
    </row>
    <row r="298" spans="1:12" ht="14.45">
      <c r="A298" s="21"/>
      <c r="B298" s="33"/>
      <c r="C298" s="21"/>
      <c r="D298" s="21"/>
      <c r="E298" s="21"/>
      <c r="F298" s="22"/>
      <c r="G298" s="21"/>
      <c r="H298" s="21"/>
      <c r="I298" s="22"/>
      <c r="J298" s="21"/>
      <c r="K298" s="21"/>
      <c r="L298" s="21"/>
    </row>
    <row r="299" spans="1:12" ht="14.45">
      <c r="A299" s="21"/>
      <c r="B299" s="33"/>
      <c r="C299" s="21"/>
      <c r="D299" s="21"/>
      <c r="E299" s="21"/>
      <c r="F299" s="22"/>
      <c r="G299" s="21"/>
      <c r="H299" s="21"/>
      <c r="I299" s="22"/>
      <c r="J299" s="21"/>
      <c r="K299" s="21"/>
      <c r="L299" s="21"/>
    </row>
    <row r="300" spans="1:12" ht="14.45">
      <c r="A300" s="21"/>
      <c r="B300" s="33"/>
      <c r="C300" s="21"/>
      <c r="D300" s="21"/>
      <c r="E300" s="21"/>
      <c r="F300" s="22"/>
      <c r="G300" s="21"/>
      <c r="H300" s="21"/>
      <c r="I300" s="22"/>
      <c r="J300" s="21"/>
      <c r="K300" s="21"/>
      <c r="L300" s="21"/>
    </row>
    <row r="301" spans="1:12" ht="14.45">
      <c r="A301" s="21"/>
      <c r="B301" s="33"/>
      <c r="C301" s="21"/>
      <c r="D301" s="21"/>
      <c r="E301" s="21"/>
      <c r="F301" s="22"/>
      <c r="G301" s="21"/>
      <c r="H301" s="21"/>
      <c r="I301" s="22"/>
      <c r="J301" s="21"/>
      <c r="K301" s="21"/>
      <c r="L301" s="21"/>
    </row>
    <row r="302" spans="1:12" ht="14.45">
      <c r="A302" s="21"/>
      <c r="B302" s="33"/>
      <c r="C302" s="21"/>
      <c r="D302" s="21"/>
      <c r="E302" s="21"/>
      <c r="F302" s="22"/>
      <c r="G302" s="21"/>
      <c r="H302" s="21"/>
      <c r="I302" s="22"/>
      <c r="J302" s="21"/>
      <c r="K302" s="21"/>
      <c r="L302" s="21"/>
    </row>
    <row r="303" spans="1:12" ht="14.45">
      <c r="A303" s="21"/>
      <c r="B303" s="33"/>
      <c r="C303" s="21"/>
      <c r="D303" s="21"/>
      <c r="E303" s="21"/>
      <c r="F303" s="22"/>
      <c r="G303" s="21"/>
      <c r="H303" s="21"/>
      <c r="I303" s="22"/>
      <c r="J303" s="21"/>
      <c r="K303" s="21"/>
      <c r="L303" s="21"/>
    </row>
    <row r="304" spans="1:12" ht="14.45">
      <c r="A304" s="21"/>
      <c r="B304" s="33"/>
      <c r="C304" s="21"/>
      <c r="D304" s="21"/>
      <c r="E304" s="21"/>
      <c r="F304" s="22"/>
      <c r="G304" s="21"/>
      <c r="H304" s="21"/>
      <c r="I304" s="22"/>
      <c r="J304" s="21"/>
      <c r="K304" s="21"/>
      <c r="L304" s="21"/>
    </row>
    <row r="305" spans="1:12" ht="14.45">
      <c r="A305" s="21"/>
      <c r="B305" s="33"/>
      <c r="C305" s="21"/>
      <c r="D305" s="21"/>
      <c r="E305" s="21"/>
      <c r="F305" s="22"/>
      <c r="G305" s="21"/>
      <c r="H305" s="21"/>
      <c r="I305" s="22"/>
      <c r="J305" s="21"/>
      <c r="K305" s="21"/>
      <c r="L305" s="21"/>
    </row>
    <row r="306" spans="1:12" ht="14.45">
      <c r="A306" s="21"/>
      <c r="B306" s="33"/>
      <c r="C306" s="21"/>
      <c r="D306" s="21"/>
      <c r="E306" s="21"/>
      <c r="F306" s="22"/>
      <c r="G306" s="21"/>
      <c r="H306" s="21"/>
      <c r="I306" s="22"/>
      <c r="J306" s="21"/>
      <c r="K306" s="21"/>
      <c r="L306" s="21"/>
    </row>
    <row r="307" spans="1:12" ht="14.45">
      <c r="A307" s="21"/>
      <c r="B307" s="33"/>
      <c r="C307" s="21"/>
      <c r="D307" s="21"/>
      <c r="E307" s="21"/>
      <c r="F307" s="22"/>
      <c r="G307" s="21"/>
      <c r="H307" s="21"/>
      <c r="I307" s="22"/>
      <c r="J307" s="21"/>
      <c r="K307" s="21"/>
      <c r="L307" s="21"/>
    </row>
    <row r="308" spans="1:12" ht="14.45">
      <c r="A308" s="21"/>
      <c r="B308" s="33"/>
      <c r="C308" s="21"/>
      <c r="D308" s="21"/>
      <c r="E308" s="21"/>
      <c r="F308" s="22"/>
      <c r="G308" s="21"/>
      <c r="H308" s="21"/>
      <c r="I308" s="22"/>
      <c r="J308" s="21"/>
      <c r="K308" s="21"/>
      <c r="L308" s="21"/>
    </row>
    <row r="309" spans="1:12" ht="14.45">
      <c r="A309" s="21"/>
      <c r="B309" s="33"/>
      <c r="C309" s="21"/>
      <c r="D309" s="21"/>
      <c r="E309" s="21"/>
      <c r="F309" s="22"/>
      <c r="G309" s="21"/>
      <c r="H309" s="21"/>
      <c r="I309" s="22"/>
      <c r="J309" s="21"/>
      <c r="K309" s="21"/>
      <c r="L309" s="21"/>
    </row>
    <row r="310" spans="1:12" ht="14.45">
      <c r="A310" s="21"/>
      <c r="B310" s="33"/>
      <c r="C310" s="21"/>
      <c r="D310" s="21"/>
      <c r="E310" s="21"/>
      <c r="F310" s="22"/>
      <c r="G310" s="21"/>
      <c r="H310" s="21"/>
      <c r="I310" s="22"/>
      <c r="J310" s="21"/>
      <c r="K310" s="21"/>
      <c r="L310" s="21"/>
    </row>
    <row r="311" spans="1:12" ht="14.45">
      <c r="A311" s="21"/>
      <c r="B311" s="33"/>
      <c r="C311" s="21"/>
      <c r="D311" s="21"/>
      <c r="E311" s="21"/>
      <c r="F311" s="22"/>
      <c r="G311" s="21"/>
      <c r="H311" s="21"/>
      <c r="I311" s="22"/>
      <c r="J311" s="21"/>
      <c r="K311" s="21"/>
      <c r="L311" s="21"/>
    </row>
    <row r="312" spans="1:12" ht="14.45">
      <c r="A312" s="21"/>
      <c r="B312" s="33"/>
      <c r="C312" s="21"/>
      <c r="D312" s="21"/>
      <c r="E312" s="21"/>
      <c r="F312" s="22"/>
      <c r="G312" s="21"/>
      <c r="H312" s="21"/>
      <c r="I312" s="22"/>
      <c r="J312" s="21"/>
      <c r="K312" s="21"/>
      <c r="L312" s="21"/>
    </row>
    <row r="313" spans="1:12" ht="14.45">
      <c r="A313" s="21"/>
      <c r="B313" s="33"/>
      <c r="C313" s="21"/>
      <c r="D313" s="21"/>
      <c r="E313" s="21"/>
      <c r="F313" s="22"/>
      <c r="G313" s="21"/>
      <c r="H313" s="21"/>
      <c r="I313" s="22"/>
      <c r="J313" s="21"/>
      <c r="K313" s="21"/>
      <c r="L313" s="21"/>
    </row>
    <row r="314" spans="1:12" ht="14.45">
      <c r="A314" s="21"/>
      <c r="B314" s="33"/>
      <c r="C314" s="21"/>
      <c r="D314" s="21"/>
      <c r="E314" s="21"/>
      <c r="F314" s="22"/>
      <c r="G314" s="21"/>
      <c r="H314" s="21"/>
      <c r="I314" s="22"/>
      <c r="J314" s="21"/>
      <c r="K314" s="21"/>
      <c r="L314" s="21"/>
    </row>
    <row r="315" spans="1:12" ht="14.45">
      <c r="A315" s="21"/>
      <c r="B315" s="33"/>
      <c r="C315" s="21"/>
      <c r="D315" s="21"/>
      <c r="E315" s="21"/>
      <c r="F315" s="22"/>
      <c r="G315" s="21"/>
      <c r="H315" s="21"/>
      <c r="I315" s="22"/>
      <c r="J315" s="21"/>
      <c r="K315" s="21"/>
      <c r="L315" s="21"/>
    </row>
    <row r="316" spans="1:12" ht="14.45">
      <c r="A316" s="21"/>
      <c r="B316" s="33"/>
      <c r="C316" s="21"/>
      <c r="D316" s="21"/>
      <c r="E316" s="21"/>
      <c r="F316" s="22"/>
      <c r="G316" s="21"/>
      <c r="H316" s="21"/>
      <c r="I316" s="22"/>
      <c r="J316" s="21"/>
      <c r="K316" s="21"/>
      <c r="L316" s="21"/>
    </row>
    <row r="317" spans="1:12" ht="14.45">
      <c r="A317" s="21"/>
      <c r="B317" s="33"/>
      <c r="C317" s="21"/>
      <c r="D317" s="21"/>
      <c r="E317" s="21"/>
      <c r="F317" s="22"/>
      <c r="G317" s="21"/>
      <c r="H317" s="21"/>
      <c r="I317" s="22"/>
      <c r="J317" s="21"/>
      <c r="K317" s="21"/>
      <c r="L317" s="21"/>
    </row>
    <row r="318" spans="1:12" ht="14.45">
      <c r="A318" s="21"/>
      <c r="B318" s="33"/>
      <c r="C318" s="21"/>
      <c r="D318" s="21"/>
      <c r="E318" s="21"/>
      <c r="F318" s="22"/>
      <c r="G318" s="21"/>
      <c r="H318" s="21"/>
      <c r="I318" s="22"/>
      <c r="J318" s="21"/>
      <c r="K318" s="21"/>
      <c r="L318" s="21"/>
    </row>
    <row r="319" spans="1:12" ht="14.45">
      <c r="A319" s="21"/>
      <c r="B319" s="33"/>
      <c r="C319" s="21"/>
      <c r="D319" s="21"/>
      <c r="E319" s="21"/>
      <c r="F319" s="22"/>
      <c r="G319" s="21"/>
      <c r="H319" s="21"/>
      <c r="I319" s="22"/>
      <c r="J319" s="21"/>
      <c r="K319" s="21"/>
      <c r="L319" s="21"/>
    </row>
    <row r="320" spans="1:12" ht="14.45">
      <c r="A320" s="21"/>
      <c r="B320" s="33"/>
      <c r="C320" s="21"/>
      <c r="D320" s="21"/>
      <c r="E320" s="21"/>
      <c r="F320" s="22"/>
      <c r="G320" s="21"/>
      <c r="H320" s="21"/>
      <c r="I320" s="22"/>
      <c r="J320" s="21"/>
      <c r="K320" s="21"/>
      <c r="L320" s="21"/>
    </row>
    <row r="321" spans="1:12" ht="14.45">
      <c r="A321" s="21"/>
      <c r="B321" s="33"/>
      <c r="C321" s="21"/>
      <c r="D321" s="21"/>
      <c r="E321" s="21"/>
      <c r="F321" s="22"/>
      <c r="G321" s="21"/>
      <c r="H321" s="21"/>
      <c r="I321" s="22"/>
      <c r="J321" s="21"/>
      <c r="K321" s="21"/>
      <c r="L321" s="21"/>
    </row>
    <row r="322" spans="1:12" ht="14.45">
      <c r="A322" s="21"/>
      <c r="B322" s="33"/>
      <c r="C322" s="21"/>
      <c r="D322" s="21"/>
      <c r="E322" s="21"/>
      <c r="F322" s="22"/>
      <c r="G322" s="21"/>
      <c r="H322" s="21"/>
      <c r="I322" s="22"/>
      <c r="J322" s="21"/>
      <c r="K322" s="21"/>
      <c r="L322" s="21"/>
    </row>
    <row r="323" spans="1:12" ht="14.45">
      <c r="A323" s="21"/>
      <c r="B323" s="33"/>
      <c r="C323" s="21"/>
      <c r="D323" s="21"/>
      <c r="E323" s="21"/>
      <c r="F323" s="22"/>
      <c r="G323" s="21"/>
      <c r="H323" s="21"/>
      <c r="I323" s="22"/>
      <c r="J323" s="21"/>
      <c r="K323" s="21"/>
      <c r="L323" s="21"/>
    </row>
    <row r="324" spans="1:12" ht="14.45">
      <c r="A324" s="21"/>
      <c r="B324" s="33"/>
      <c r="C324" s="21"/>
      <c r="D324" s="21"/>
      <c r="E324" s="21"/>
      <c r="F324" s="22"/>
      <c r="G324" s="21"/>
      <c r="H324" s="21"/>
      <c r="I324" s="22"/>
      <c r="J324" s="21"/>
      <c r="K324" s="21"/>
      <c r="L324" s="21"/>
    </row>
    <row r="325" spans="1:12" ht="14.45">
      <c r="A325" s="21"/>
      <c r="B325" s="33"/>
      <c r="C325" s="21"/>
      <c r="D325" s="21"/>
      <c r="E325" s="21"/>
      <c r="F325" s="22"/>
      <c r="G325" s="21"/>
      <c r="H325" s="21"/>
      <c r="I325" s="22"/>
      <c r="J325" s="21"/>
      <c r="K325" s="21"/>
      <c r="L325" s="21"/>
    </row>
    <row r="326" spans="1:12" ht="14.45">
      <c r="A326" s="21"/>
      <c r="B326" s="33"/>
      <c r="C326" s="21"/>
      <c r="D326" s="21"/>
      <c r="E326" s="21"/>
      <c r="F326" s="22"/>
      <c r="G326" s="21"/>
      <c r="H326" s="21"/>
      <c r="I326" s="22"/>
      <c r="J326" s="21"/>
      <c r="K326" s="21"/>
      <c r="L326" s="21"/>
    </row>
    <row r="327" spans="1:12" ht="14.45">
      <c r="A327" s="21"/>
      <c r="B327" s="33"/>
      <c r="C327" s="21"/>
      <c r="D327" s="21"/>
      <c r="E327" s="21"/>
      <c r="F327" s="22"/>
      <c r="G327" s="21"/>
      <c r="H327" s="21"/>
      <c r="I327" s="22"/>
      <c r="J327" s="21"/>
      <c r="K327" s="21"/>
      <c r="L327" s="21"/>
    </row>
    <row r="328" spans="1:12" ht="14.45">
      <c r="A328" s="21"/>
      <c r="B328" s="33"/>
      <c r="C328" s="21"/>
      <c r="D328" s="21"/>
      <c r="E328" s="21"/>
      <c r="F328" s="22"/>
      <c r="G328" s="21"/>
      <c r="H328" s="21"/>
      <c r="I328" s="22"/>
      <c r="J328" s="21"/>
      <c r="K328" s="21"/>
      <c r="L328" s="21"/>
    </row>
    <row r="329" spans="1:12" ht="14.45">
      <c r="A329" s="21"/>
      <c r="B329" s="33"/>
      <c r="C329" s="21"/>
      <c r="D329" s="21"/>
      <c r="E329" s="21"/>
      <c r="F329" s="22"/>
      <c r="G329" s="21"/>
      <c r="H329" s="21"/>
      <c r="I329" s="22"/>
      <c r="J329" s="21"/>
      <c r="K329" s="21"/>
      <c r="L329" s="21"/>
    </row>
    <row r="330" spans="1:12" ht="14.45">
      <c r="A330" s="21"/>
      <c r="B330" s="33"/>
      <c r="C330" s="21"/>
      <c r="D330" s="21"/>
      <c r="E330" s="21"/>
      <c r="F330" s="22"/>
      <c r="G330" s="21"/>
      <c r="H330" s="21"/>
      <c r="I330" s="22"/>
      <c r="J330" s="21"/>
      <c r="K330" s="21"/>
      <c r="L330" s="21"/>
    </row>
    <row r="331" spans="1:12" ht="14.45">
      <c r="A331" s="21"/>
      <c r="B331" s="33"/>
      <c r="C331" s="21"/>
      <c r="D331" s="21"/>
      <c r="E331" s="21"/>
      <c r="F331" s="22"/>
      <c r="G331" s="21"/>
      <c r="H331" s="21"/>
      <c r="I331" s="22"/>
      <c r="J331" s="21"/>
      <c r="K331" s="21"/>
      <c r="L331" s="21"/>
    </row>
    <row r="332" spans="1:12" ht="14.45">
      <c r="A332" s="21"/>
      <c r="B332" s="33"/>
      <c r="C332" s="21"/>
      <c r="D332" s="21"/>
      <c r="E332" s="21"/>
      <c r="F332" s="22"/>
      <c r="G332" s="21"/>
      <c r="H332" s="21"/>
      <c r="I332" s="22"/>
      <c r="J332" s="21"/>
      <c r="K332" s="21"/>
      <c r="L332" s="21"/>
    </row>
    <row r="333" spans="1:12" ht="14.45">
      <c r="A333" s="21"/>
      <c r="B333" s="33"/>
      <c r="C333" s="21"/>
      <c r="D333" s="21"/>
      <c r="E333" s="21"/>
      <c r="F333" s="22"/>
      <c r="G333" s="21"/>
      <c r="H333" s="21"/>
      <c r="I333" s="22"/>
      <c r="J333" s="21"/>
      <c r="K333" s="21"/>
      <c r="L333" s="21"/>
    </row>
    <row r="334" spans="1:12" ht="14.45">
      <c r="A334" s="21"/>
      <c r="B334" s="33"/>
      <c r="C334" s="21"/>
      <c r="D334" s="21"/>
      <c r="E334" s="21"/>
      <c r="F334" s="22"/>
      <c r="G334" s="21"/>
      <c r="H334" s="21"/>
      <c r="I334" s="22"/>
      <c r="J334" s="21"/>
      <c r="K334" s="21"/>
      <c r="L334" s="21"/>
    </row>
    <row r="335" spans="1:12" ht="14.45">
      <c r="A335" s="21"/>
      <c r="B335" s="33"/>
      <c r="C335" s="21"/>
      <c r="D335" s="21"/>
      <c r="E335" s="21"/>
      <c r="F335" s="22"/>
      <c r="G335" s="21"/>
      <c r="H335" s="21"/>
      <c r="I335" s="22"/>
      <c r="J335" s="21"/>
      <c r="K335" s="21"/>
      <c r="L335" s="21"/>
    </row>
    <row r="336" spans="1:12" ht="14.45">
      <c r="A336" s="21"/>
      <c r="B336" s="33"/>
      <c r="C336" s="21"/>
      <c r="D336" s="21"/>
      <c r="E336" s="21"/>
      <c r="F336" s="22"/>
      <c r="G336" s="21"/>
      <c r="H336" s="21"/>
      <c r="I336" s="22"/>
      <c r="J336" s="21"/>
      <c r="K336" s="21"/>
      <c r="L336" s="21"/>
    </row>
    <row r="337" spans="1:12" ht="14.45">
      <c r="A337" s="21"/>
      <c r="B337" s="33"/>
      <c r="C337" s="21"/>
      <c r="D337" s="21"/>
      <c r="E337" s="21"/>
      <c r="F337" s="22"/>
      <c r="G337" s="21"/>
      <c r="H337" s="21"/>
      <c r="I337" s="22"/>
      <c r="J337" s="21"/>
      <c r="K337" s="21"/>
      <c r="L337" s="21"/>
    </row>
    <row r="338" spans="1:12" ht="14.45">
      <c r="A338" s="21"/>
      <c r="B338" s="33"/>
      <c r="C338" s="21"/>
      <c r="D338" s="21"/>
      <c r="E338" s="21"/>
      <c r="F338" s="22"/>
      <c r="G338" s="21"/>
      <c r="H338" s="21"/>
      <c r="I338" s="22"/>
      <c r="J338" s="21"/>
      <c r="K338" s="21"/>
      <c r="L338" s="21"/>
    </row>
    <row r="339" spans="1:12" ht="14.45">
      <c r="A339" s="21"/>
      <c r="B339" s="33"/>
      <c r="C339" s="21"/>
      <c r="D339" s="21"/>
      <c r="E339" s="21"/>
      <c r="F339" s="22"/>
      <c r="G339" s="21"/>
      <c r="H339" s="21"/>
      <c r="I339" s="22"/>
      <c r="J339" s="21"/>
      <c r="K339" s="21"/>
      <c r="L339" s="21"/>
    </row>
    <row r="340" spans="1:12" ht="14.45">
      <c r="A340" s="21"/>
      <c r="B340" s="33"/>
      <c r="C340" s="21"/>
      <c r="D340" s="21"/>
      <c r="E340" s="21"/>
      <c r="F340" s="22"/>
      <c r="G340" s="21"/>
      <c r="H340" s="21"/>
      <c r="I340" s="22"/>
      <c r="J340" s="21"/>
      <c r="K340" s="21"/>
      <c r="L340" s="21"/>
    </row>
    <row r="341" spans="1:12" ht="14.45">
      <c r="A341" s="21"/>
      <c r="B341" s="33"/>
      <c r="C341" s="21"/>
      <c r="D341" s="21"/>
      <c r="E341" s="21"/>
      <c r="F341" s="22"/>
      <c r="G341" s="21"/>
      <c r="H341" s="21"/>
      <c r="I341" s="22"/>
      <c r="J341" s="21"/>
      <c r="K341" s="21"/>
      <c r="L341" s="21"/>
    </row>
    <row r="342" spans="1:12" ht="14.45">
      <c r="C342" s="21"/>
      <c r="D342" s="21"/>
      <c r="E342" s="21"/>
      <c r="F342" s="22"/>
      <c r="G342" s="21"/>
      <c r="H342" s="21"/>
      <c r="I342" s="22"/>
      <c r="J342" s="21"/>
      <c r="K342" s="21"/>
      <c r="L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hyperlinks>
    <hyperlink ref="S43" r:id="rId1" display="https://us3.assetplanner.com/service_request?ID=105124" xr:uid="{60957A94-19A0-4920-A80E-CD18462EDC9D}"/>
    <hyperlink ref="T43" r:id="rId2" display="https://us3.assetplanner.com/service_request?ID=101136" xr:uid="{D55642A6-A61D-4A2E-9527-409145983955}"/>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4" activePane="bottomLeft" state="frozen"/>
      <selection pane="bottomLeft" activeCell="I48" sqref="I48"/>
      <selection activeCell="J78" sqref="J7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200</v>
      </c>
      <c r="B1" t="s">
        <v>201</v>
      </c>
    </row>
    <row r="3" spans="1:12" ht="13.15">
      <c r="A3" t="s">
        <v>202</v>
      </c>
      <c r="B3" t="s">
        <v>3</v>
      </c>
      <c r="C3" t="s">
        <v>4</v>
      </c>
      <c r="D3" t="s">
        <v>203</v>
      </c>
      <c r="E3" s="2" t="s">
        <v>204</v>
      </c>
    </row>
    <row r="4" spans="1:12" ht="14.45">
      <c r="A4" s="49" t="s">
        <v>205</v>
      </c>
      <c r="B4" t="s">
        <v>206</v>
      </c>
      <c r="C4" s="46" t="s">
        <v>207</v>
      </c>
      <c r="D4" s="45" t="s">
        <v>208</v>
      </c>
      <c r="E4" t="s">
        <v>209</v>
      </c>
      <c r="G4" s="3"/>
    </row>
    <row r="5" spans="1:12" ht="14.45">
      <c r="A5" s="49" t="s">
        <v>210</v>
      </c>
      <c r="B5" t="s">
        <v>211</v>
      </c>
      <c r="C5" s="46" t="s">
        <v>212</v>
      </c>
      <c r="D5" s="45" t="s">
        <v>208</v>
      </c>
      <c r="E5" t="s">
        <v>209</v>
      </c>
      <c r="G5" s="3"/>
    </row>
    <row r="6" spans="1:12" ht="14.45">
      <c r="A6" s="49" t="s">
        <v>213</v>
      </c>
      <c r="B6" t="s">
        <v>214</v>
      </c>
      <c r="C6" s="46" t="s">
        <v>215</v>
      </c>
      <c r="D6" s="45" t="s">
        <v>208</v>
      </c>
      <c r="E6" t="s">
        <v>209</v>
      </c>
      <c r="G6" s="3"/>
    </row>
    <row r="7" spans="1:12" ht="12.75" customHeight="1">
      <c r="A7" s="49" t="s">
        <v>216</v>
      </c>
      <c r="B7" t="s">
        <v>217</v>
      </c>
      <c r="C7" s="46" t="s">
        <v>218</v>
      </c>
      <c r="D7" s="45" t="s">
        <v>208</v>
      </c>
      <c r="E7" t="s">
        <v>209</v>
      </c>
    </row>
    <row r="8" spans="1:12" ht="12.75" customHeight="1">
      <c r="A8" s="49" t="s">
        <v>219</v>
      </c>
      <c r="B8" t="s">
        <v>220</v>
      </c>
      <c r="C8" s="46" t="s">
        <v>212</v>
      </c>
      <c r="D8" s="45" t="s">
        <v>208</v>
      </c>
      <c r="E8" t="s">
        <v>209</v>
      </c>
    </row>
    <row r="9" spans="1:12" ht="12.75" customHeight="1">
      <c r="A9" s="49" t="s">
        <v>221</v>
      </c>
      <c r="B9" t="s">
        <v>222</v>
      </c>
      <c r="C9" s="46" t="s">
        <v>207</v>
      </c>
      <c r="D9" s="45" t="s">
        <v>208</v>
      </c>
      <c r="E9" t="s">
        <v>209</v>
      </c>
    </row>
    <row r="10" spans="1:12" ht="12.75" customHeight="1">
      <c r="A10" s="49" t="s">
        <v>223</v>
      </c>
      <c r="B10" t="s">
        <v>224</v>
      </c>
      <c r="C10" s="46" t="s">
        <v>212</v>
      </c>
      <c r="D10" s="45" t="s">
        <v>208</v>
      </c>
      <c r="E10" t="s">
        <v>209</v>
      </c>
      <c r="K10" s="44"/>
      <c r="L10" s="44"/>
    </row>
    <row r="11" spans="1:12" ht="12.75" customHeight="1">
      <c r="A11" s="49" t="s">
        <v>225</v>
      </c>
      <c r="B11" t="s">
        <v>226</v>
      </c>
      <c r="C11" s="46" t="s">
        <v>218</v>
      </c>
      <c r="D11" s="45" t="s">
        <v>208</v>
      </c>
      <c r="E11" t="s">
        <v>209</v>
      </c>
      <c r="K11" s="44"/>
      <c r="L11" s="44"/>
    </row>
    <row r="12" spans="1:12" ht="12.75" customHeight="1">
      <c r="A12" s="49" t="s">
        <v>227</v>
      </c>
      <c r="B12" t="s">
        <v>228</v>
      </c>
      <c r="C12" s="46" t="s">
        <v>229</v>
      </c>
      <c r="D12" s="45" t="s">
        <v>208</v>
      </c>
      <c r="E12" t="s">
        <v>209</v>
      </c>
      <c r="K12" s="44"/>
      <c r="L12" s="44"/>
    </row>
    <row r="13" spans="1:12" ht="12.75" customHeight="1">
      <c r="A13" s="49" t="s">
        <v>230</v>
      </c>
      <c r="B13" t="s">
        <v>231</v>
      </c>
      <c r="C13" s="46" t="s">
        <v>215</v>
      </c>
      <c r="D13" s="45" t="s">
        <v>208</v>
      </c>
      <c r="E13" t="s">
        <v>209</v>
      </c>
      <c r="K13" s="44"/>
      <c r="L13" s="44"/>
    </row>
    <row r="14" spans="1:12" ht="12.75" customHeight="1">
      <c r="A14" s="49" t="s">
        <v>232</v>
      </c>
      <c r="B14" t="s">
        <v>233</v>
      </c>
      <c r="C14" s="46" t="s">
        <v>212</v>
      </c>
      <c r="D14" s="45" t="s">
        <v>208</v>
      </c>
      <c r="E14" t="s">
        <v>209</v>
      </c>
      <c r="K14" s="44"/>
      <c r="L14" s="44"/>
    </row>
    <row r="15" spans="1:12" ht="12.75" customHeight="1">
      <c r="A15" s="49" t="s">
        <v>234</v>
      </c>
      <c r="B15" t="s">
        <v>235</v>
      </c>
      <c r="C15" s="46" t="s">
        <v>215</v>
      </c>
      <c r="D15" s="45" t="s">
        <v>208</v>
      </c>
      <c r="E15" t="s">
        <v>209</v>
      </c>
      <c r="K15" s="44"/>
      <c r="L15" s="44"/>
    </row>
    <row r="16" spans="1:12" ht="12.75" customHeight="1">
      <c r="A16" s="49" t="s">
        <v>236</v>
      </c>
      <c r="B16" t="s">
        <v>237</v>
      </c>
      <c r="C16" s="46" t="s">
        <v>212</v>
      </c>
      <c r="D16" s="45" t="s">
        <v>208</v>
      </c>
      <c r="E16" t="s">
        <v>209</v>
      </c>
      <c r="K16" s="44"/>
      <c r="L16" s="44"/>
    </row>
    <row r="17" spans="1:12" ht="12.75" customHeight="1">
      <c r="A17" s="49" t="s">
        <v>238</v>
      </c>
      <c r="B17" t="s">
        <v>239</v>
      </c>
      <c r="C17" s="46" t="s">
        <v>212</v>
      </c>
      <c r="D17" s="45" t="s">
        <v>208</v>
      </c>
      <c r="E17" t="s">
        <v>209</v>
      </c>
      <c r="K17" s="44"/>
      <c r="L17" s="44"/>
    </row>
    <row r="18" spans="1:12" ht="12.75" customHeight="1">
      <c r="A18" s="49" t="s">
        <v>240</v>
      </c>
      <c r="B18" t="s">
        <v>241</v>
      </c>
      <c r="C18" s="46" t="s">
        <v>212</v>
      </c>
      <c r="D18" s="45" t="s">
        <v>208</v>
      </c>
      <c r="E18" t="s">
        <v>209</v>
      </c>
      <c r="K18" s="44"/>
      <c r="L18" s="44"/>
    </row>
    <row r="19" spans="1:12" ht="12.75" customHeight="1">
      <c r="A19" s="49" t="s">
        <v>242</v>
      </c>
      <c r="B19" t="s">
        <v>243</v>
      </c>
      <c r="C19" s="46" t="s">
        <v>212</v>
      </c>
      <c r="D19" s="45" t="s">
        <v>208</v>
      </c>
      <c r="E19" t="s">
        <v>209</v>
      </c>
      <c r="K19" s="44"/>
      <c r="L19" s="44"/>
    </row>
    <row r="20" spans="1:12" ht="12.75" customHeight="1">
      <c r="A20" s="49" t="s">
        <v>244</v>
      </c>
      <c r="B20" t="s">
        <v>245</v>
      </c>
      <c r="C20" s="46" t="s">
        <v>215</v>
      </c>
      <c r="D20" s="45" t="s">
        <v>208</v>
      </c>
      <c r="E20" t="s">
        <v>209</v>
      </c>
      <c r="K20" s="44"/>
      <c r="L20" s="44"/>
    </row>
    <row r="21" spans="1:12" ht="12.75" customHeight="1">
      <c r="A21" s="49" t="s">
        <v>246</v>
      </c>
      <c r="B21" t="s">
        <v>247</v>
      </c>
      <c r="C21" s="46" t="s">
        <v>218</v>
      </c>
      <c r="D21" s="45" t="s">
        <v>208</v>
      </c>
      <c r="E21" t="s">
        <v>209</v>
      </c>
      <c r="K21" s="44"/>
      <c r="L21" s="44"/>
    </row>
    <row r="22" spans="1:12" ht="12.75" customHeight="1">
      <c r="A22" s="49" t="s">
        <v>248</v>
      </c>
      <c r="B22" t="s">
        <v>249</v>
      </c>
      <c r="C22" s="46" t="s">
        <v>212</v>
      </c>
      <c r="D22" s="45" t="s">
        <v>208</v>
      </c>
      <c r="E22" t="s">
        <v>209</v>
      </c>
      <c r="K22" s="44"/>
      <c r="L22" s="44"/>
    </row>
    <row r="23" spans="1:12" ht="12.75" customHeight="1">
      <c r="A23" s="49" t="s">
        <v>250</v>
      </c>
      <c r="B23" t="s">
        <v>251</v>
      </c>
      <c r="C23" s="46" t="s">
        <v>212</v>
      </c>
      <c r="D23" s="45" t="s">
        <v>208</v>
      </c>
      <c r="E23" t="s">
        <v>209</v>
      </c>
      <c r="K23" s="44"/>
      <c r="L23" s="44"/>
    </row>
    <row r="24" spans="1:12" ht="12.75" customHeight="1">
      <c r="A24" s="49" t="s">
        <v>252</v>
      </c>
      <c r="B24" t="s">
        <v>253</v>
      </c>
      <c r="C24" s="46" t="s">
        <v>215</v>
      </c>
      <c r="D24" s="45" t="s">
        <v>208</v>
      </c>
      <c r="E24" t="s">
        <v>209</v>
      </c>
      <c r="K24" s="44"/>
      <c r="L24" s="44"/>
    </row>
    <row r="25" spans="1:12" ht="12.75" customHeight="1">
      <c r="A25" s="49" t="s">
        <v>254</v>
      </c>
      <c r="B25" t="s">
        <v>255</v>
      </c>
      <c r="C25" s="46" t="s">
        <v>207</v>
      </c>
      <c r="D25" s="45" t="s">
        <v>208</v>
      </c>
      <c r="E25" t="s">
        <v>209</v>
      </c>
      <c r="K25" s="44"/>
      <c r="L25" s="44"/>
    </row>
    <row r="26" spans="1:12" ht="12.75" customHeight="1">
      <c r="A26" t="s">
        <v>256</v>
      </c>
      <c r="B26" t="s">
        <v>257</v>
      </c>
      <c r="C26" s="46" t="s">
        <v>258</v>
      </c>
      <c r="D26" t="s">
        <v>208</v>
      </c>
      <c r="E26" t="s">
        <v>209</v>
      </c>
      <c r="K26" s="44"/>
      <c r="L26" s="44"/>
    </row>
    <row r="27" spans="1:12" ht="12.75" customHeight="1">
      <c r="A27" t="s">
        <v>259</v>
      </c>
      <c r="B27" t="s">
        <v>260</v>
      </c>
      <c r="C27" s="46" t="s">
        <v>258</v>
      </c>
      <c r="D27" t="s">
        <v>208</v>
      </c>
      <c r="E27" t="s">
        <v>209</v>
      </c>
      <c r="K27" s="44"/>
      <c r="L27" s="44"/>
    </row>
    <row r="28" spans="1:12" ht="12.75" customHeight="1">
      <c r="A28" t="s">
        <v>261</v>
      </c>
      <c r="B28" t="s">
        <v>262</v>
      </c>
      <c r="C28" s="46" t="s">
        <v>258</v>
      </c>
      <c r="D28" t="s">
        <v>208</v>
      </c>
      <c r="E28" t="s">
        <v>209</v>
      </c>
      <c r="K28" s="44"/>
      <c r="L28" s="44"/>
    </row>
    <row r="29" spans="1:12" ht="12.75" customHeight="1">
      <c r="A29" t="s">
        <v>263</v>
      </c>
      <c r="B29" t="s">
        <v>264</v>
      </c>
      <c r="C29" s="46" t="s">
        <v>258</v>
      </c>
      <c r="D29" t="s">
        <v>208</v>
      </c>
      <c r="E29" t="s">
        <v>209</v>
      </c>
      <c r="K29" s="44"/>
      <c r="L29" s="44"/>
    </row>
    <row r="30" spans="1:12" ht="12.75" customHeight="1">
      <c r="A30" t="s">
        <v>265</v>
      </c>
      <c r="B30" t="s">
        <v>266</v>
      </c>
      <c r="C30" s="46" t="s">
        <v>258</v>
      </c>
      <c r="D30" t="s">
        <v>208</v>
      </c>
      <c r="E30" t="s">
        <v>209</v>
      </c>
      <c r="K30" s="44"/>
      <c r="L30" s="44"/>
    </row>
    <row r="31" spans="1:12" ht="12.75" customHeight="1">
      <c r="A31" t="s">
        <v>267</v>
      </c>
      <c r="B31" t="s">
        <v>268</v>
      </c>
      <c r="C31" s="46" t="s">
        <v>258</v>
      </c>
      <c r="D31" t="s">
        <v>208</v>
      </c>
      <c r="E31" t="s">
        <v>209</v>
      </c>
      <c r="K31" s="44"/>
      <c r="L31" s="44"/>
    </row>
    <row r="32" spans="1:12" ht="12.75" customHeight="1">
      <c r="A32" t="s">
        <v>269</v>
      </c>
      <c r="B32" t="s">
        <v>270</v>
      </c>
      <c r="C32" s="46" t="s">
        <v>258</v>
      </c>
      <c r="D32" t="s">
        <v>208</v>
      </c>
      <c r="E32" t="s">
        <v>209</v>
      </c>
    </row>
    <row r="33" spans="1:5" ht="12.75" customHeight="1">
      <c r="A33" t="s">
        <v>271</v>
      </c>
      <c r="B33" t="s">
        <v>272</v>
      </c>
      <c r="C33" s="46" t="s">
        <v>258</v>
      </c>
      <c r="D33" t="s">
        <v>208</v>
      </c>
      <c r="E33" t="s">
        <v>209</v>
      </c>
    </row>
    <row r="34" spans="1:5" ht="12.75" customHeight="1">
      <c r="A34" t="s">
        <v>273</v>
      </c>
      <c r="B34" t="s">
        <v>274</v>
      </c>
      <c r="C34" s="46" t="s">
        <v>258</v>
      </c>
      <c r="D34" t="s">
        <v>208</v>
      </c>
      <c r="E34" t="s">
        <v>209</v>
      </c>
    </row>
    <row r="35" spans="1:5" ht="12.75" customHeight="1">
      <c r="A35" t="s">
        <v>275</v>
      </c>
      <c r="B35" t="s">
        <v>276</v>
      </c>
      <c r="C35" s="46" t="s">
        <v>258</v>
      </c>
      <c r="D35" t="s">
        <v>208</v>
      </c>
      <c r="E35" t="s">
        <v>209</v>
      </c>
    </row>
    <row r="36" spans="1:5" ht="12.75" customHeight="1">
      <c r="A36" t="s">
        <v>277</v>
      </c>
      <c r="B36" t="s">
        <v>278</v>
      </c>
      <c r="C36" s="46" t="s">
        <v>258</v>
      </c>
      <c r="D36" t="s">
        <v>208</v>
      </c>
      <c r="E36" t="s">
        <v>209</v>
      </c>
    </row>
    <row r="37" spans="1:5" ht="12.75" customHeight="1">
      <c r="A37" t="s">
        <v>279</v>
      </c>
      <c r="B37" t="s">
        <v>280</v>
      </c>
      <c r="C37" s="46" t="s">
        <v>258</v>
      </c>
      <c r="D37" t="s">
        <v>208</v>
      </c>
      <c r="E37" t="s">
        <v>209</v>
      </c>
    </row>
    <row r="38" spans="1:5" ht="12.75" customHeight="1">
      <c r="A38" t="s">
        <v>281</v>
      </c>
      <c r="B38" t="s">
        <v>282</v>
      </c>
      <c r="C38" s="46" t="s">
        <v>258</v>
      </c>
      <c r="D38" t="s">
        <v>208</v>
      </c>
      <c r="E38" t="s">
        <v>209</v>
      </c>
    </row>
    <row r="39" spans="1:5" ht="12.75" customHeight="1">
      <c r="A39" t="s">
        <v>283</v>
      </c>
      <c r="B39" t="s">
        <v>284</v>
      </c>
      <c r="C39" s="46" t="s">
        <v>258</v>
      </c>
      <c r="D39" t="s">
        <v>208</v>
      </c>
      <c r="E39" t="s">
        <v>209</v>
      </c>
    </row>
    <row r="40" spans="1:5" ht="12.75" customHeight="1">
      <c r="A40" t="s">
        <v>285</v>
      </c>
      <c r="B40" t="s">
        <v>286</v>
      </c>
      <c r="C40" s="46" t="s">
        <v>258</v>
      </c>
      <c r="D40" t="s">
        <v>208</v>
      </c>
      <c r="E40" t="s">
        <v>209</v>
      </c>
    </row>
    <row r="41" spans="1:5" ht="12.75" customHeight="1">
      <c r="A41" t="s">
        <v>287</v>
      </c>
      <c r="B41" t="s">
        <v>288</v>
      </c>
      <c r="C41" s="46" t="s">
        <v>258</v>
      </c>
      <c r="E41" t="s">
        <v>209</v>
      </c>
    </row>
    <row r="42" spans="1:5" ht="12.75" customHeight="1">
      <c r="A42" t="s">
        <v>289</v>
      </c>
      <c r="B42" t="s">
        <v>290</v>
      </c>
      <c r="C42" s="46" t="s">
        <v>258</v>
      </c>
      <c r="D42" t="s">
        <v>208</v>
      </c>
      <c r="E42" t="s">
        <v>209</v>
      </c>
    </row>
    <row r="43" spans="1:5" ht="12.75" customHeight="1">
      <c r="A43" t="s">
        <v>291</v>
      </c>
      <c r="B43" t="s">
        <v>292</v>
      </c>
      <c r="C43" s="46" t="s">
        <v>258</v>
      </c>
      <c r="D43" t="s">
        <v>208</v>
      </c>
      <c r="E43" t="s">
        <v>209</v>
      </c>
    </row>
    <row r="44" spans="1:5" ht="12.75" customHeight="1">
      <c r="A44" t="s">
        <v>293</v>
      </c>
      <c r="B44" t="s">
        <v>294</v>
      </c>
      <c r="C44" s="46" t="s">
        <v>258</v>
      </c>
      <c r="D44" t="s">
        <v>208</v>
      </c>
      <c r="E44" t="s">
        <v>209</v>
      </c>
    </row>
    <row r="45" spans="1:5" ht="12.75" customHeight="1">
      <c r="A45" t="s">
        <v>295</v>
      </c>
      <c r="B45" t="s">
        <v>296</v>
      </c>
      <c r="C45" s="46" t="s">
        <v>258</v>
      </c>
      <c r="D45" t="s">
        <v>208</v>
      </c>
      <c r="E45" t="s">
        <v>209</v>
      </c>
    </row>
    <row r="46" spans="1:5" ht="12.75" customHeight="1">
      <c r="A46" t="s">
        <v>297</v>
      </c>
      <c r="B46" t="s">
        <v>298</v>
      </c>
      <c r="C46" s="46" t="s">
        <v>258</v>
      </c>
      <c r="D46" t="s">
        <v>208</v>
      </c>
      <c r="E46" t="s">
        <v>209</v>
      </c>
    </row>
    <row r="47" spans="1:5" ht="12.75" customHeight="1">
      <c r="A47" t="s">
        <v>299</v>
      </c>
      <c r="B47" t="s">
        <v>300</v>
      </c>
      <c r="C47" s="46" t="s">
        <v>258</v>
      </c>
      <c r="D47" t="s">
        <v>208</v>
      </c>
      <c r="E47" t="s">
        <v>209</v>
      </c>
    </row>
    <row r="48" spans="1:5" ht="12.75" customHeight="1">
      <c r="A48" t="s">
        <v>301</v>
      </c>
      <c r="B48" t="s">
        <v>301</v>
      </c>
      <c r="C48" s="46" t="s">
        <v>258</v>
      </c>
      <c r="D48" t="s">
        <v>208</v>
      </c>
      <c r="E48" t="s">
        <v>209</v>
      </c>
    </row>
    <row r="49" spans="1:5" ht="12.75" customHeight="1">
      <c r="A49" t="s">
        <v>302</v>
      </c>
      <c r="B49" t="s">
        <v>303</v>
      </c>
      <c r="C49" s="46" t="s">
        <v>258</v>
      </c>
      <c r="E49" t="s">
        <v>209</v>
      </c>
    </row>
    <row r="50" spans="1:5" ht="12.75" customHeight="1">
      <c r="A50" t="s">
        <v>304</v>
      </c>
      <c r="B50" t="s">
        <v>305</v>
      </c>
      <c r="C50" s="46" t="s">
        <v>258</v>
      </c>
      <c r="E50" t="s">
        <v>209</v>
      </c>
    </row>
    <row r="51" spans="1:5" ht="12.75" customHeight="1">
      <c r="A51" t="s">
        <v>306</v>
      </c>
      <c r="B51" t="s">
        <v>307</v>
      </c>
      <c r="C51" s="46" t="s">
        <v>258</v>
      </c>
      <c r="D51" t="s">
        <v>208</v>
      </c>
      <c r="E51" t="s">
        <v>209</v>
      </c>
    </row>
    <row r="52" spans="1:5" ht="12.75" customHeight="1">
      <c r="A52" t="s">
        <v>308</v>
      </c>
      <c r="B52" t="s">
        <v>309</v>
      </c>
      <c r="C52" s="46" t="s">
        <v>258</v>
      </c>
      <c r="E52" t="s">
        <v>209</v>
      </c>
    </row>
    <row r="53" spans="1:5" ht="12.75" customHeight="1">
      <c r="A53" t="s">
        <v>310</v>
      </c>
      <c r="B53" t="s">
        <v>311</v>
      </c>
      <c r="C53" s="46" t="s">
        <v>258</v>
      </c>
      <c r="D53" t="s">
        <v>208</v>
      </c>
      <c r="E53" t="s">
        <v>209</v>
      </c>
    </row>
    <row r="54" spans="1:5" ht="12.75" customHeight="1">
      <c r="A54" t="s">
        <v>312</v>
      </c>
      <c r="B54" t="s">
        <v>313</v>
      </c>
      <c r="C54" s="46" t="s">
        <v>258</v>
      </c>
      <c r="E54" t="s">
        <v>209</v>
      </c>
    </row>
    <row r="55" spans="1:5" ht="12.75" customHeight="1">
      <c r="A55" t="s">
        <v>314</v>
      </c>
      <c r="B55" t="s">
        <v>315</v>
      </c>
      <c r="C55" s="46" t="s">
        <v>258</v>
      </c>
      <c r="D55" t="s">
        <v>208</v>
      </c>
      <c r="E55" t="s">
        <v>209</v>
      </c>
    </row>
    <row r="56" spans="1:5" ht="12.75" customHeight="1">
      <c r="A56" t="s">
        <v>316</v>
      </c>
      <c r="B56" t="s">
        <v>317</v>
      </c>
      <c r="C56" s="46" t="s">
        <v>258</v>
      </c>
      <c r="D56" t="s">
        <v>208</v>
      </c>
      <c r="E56" t="s">
        <v>209</v>
      </c>
    </row>
    <row r="57" spans="1:5" ht="12.75" customHeight="1">
      <c r="A57" t="s">
        <v>318</v>
      </c>
      <c r="B57" t="s">
        <v>319</v>
      </c>
      <c r="C57" s="46" t="s">
        <v>258</v>
      </c>
      <c r="D57" t="s">
        <v>208</v>
      </c>
      <c r="E57" t="s">
        <v>209</v>
      </c>
    </row>
    <row r="58" spans="1:5" ht="12.75" customHeight="1">
      <c r="A58" t="s">
        <v>320</v>
      </c>
      <c r="B58" t="s">
        <v>321</v>
      </c>
      <c r="C58" s="46" t="s">
        <v>258</v>
      </c>
      <c r="D58" t="s">
        <v>208</v>
      </c>
      <c r="E58" t="s">
        <v>209</v>
      </c>
    </row>
    <row r="59" spans="1:5" ht="12.75" customHeight="1">
      <c r="A59" t="s">
        <v>322</v>
      </c>
      <c r="B59" t="s">
        <v>323</v>
      </c>
      <c r="C59" s="46" t="s">
        <v>258</v>
      </c>
      <c r="D59" t="s">
        <v>208</v>
      </c>
      <c r="E59" t="s">
        <v>209</v>
      </c>
    </row>
    <row r="60" spans="1:5" ht="12.75" customHeight="1">
      <c r="A60" t="s">
        <v>324</v>
      </c>
      <c r="B60" t="s">
        <v>325</v>
      </c>
      <c r="C60" s="46" t="s">
        <v>258</v>
      </c>
      <c r="D60" t="s">
        <v>208</v>
      </c>
      <c r="E60" t="s">
        <v>209</v>
      </c>
    </row>
    <row r="61" spans="1:5" ht="12.75" customHeight="1">
      <c r="A61" t="s">
        <v>326</v>
      </c>
      <c r="B61" t="s">
        <v>327</v>
      </c>
      <c r="C61" s="46" t="s">
        <v>258</v>
      </c>
      <c r="D61" t="s">
        <v>208</v>
      </c>
      <c r="E61" t="s">
        <v>209</v>
      </c>
    </row>
    <row r="62" spans="1:5" ht="12.75" customHeight="1">
      <c r="A62" t="s">
        <v>328</v>
      </c>
      <c r="B62" t="s">
        <v>329</v>
      </c>
      <c r="C62" s="46" t="s">
        <v>258</v>
      </c>
      <c r="D62" t="s">
        <v>208</v>
      </c>
      <c r="E62" t="s">
        <v>209</v>
      </c>
    </row>
    <row r="63" spans="1:5" ht="12.75" customHeight="1">
      <c r="A63" t="s">
        <v>330</v>
      </c>
      <c r="B63" t="s">
        <v>331</v>
      </c>
      <c r="C63" s="46" t="s">
        <v>258</v>
      </c>
      <c r="D63" t="s">
        <v>208</v>
      </c>
      <c r="E63" t="s">
        <v>209</v>
      </c>
    </row>
    <row r="64" spans="1:5" ht="12.75" customHeight="1">
      <c r="A64" t="s">
        <v>285</v>
      </c>
      <c r="B64" t="s">
        <v>332</v>
      </c>
      <c r="C64" s="46" t="s">
        <v>258</v>
      </c>
      <c r="E64" t="s">
        <v>209</v>
      </c>
    </row>
    <row r="65" spans="1:5" ht="12.75" customHeight="1">
      <c r="A65" t="s">
        <v>333</v>
      </c>
      <c r="B65" t="s">
        <v>334</v>
      </c>
      <c r="C65" s="46" t="s">
        <v>258</v>
      </c>
      <c r="E65" t="s">
        <v>209</v>
      </c>
    </row>
    <row r="66" spans="1:5" ht="12.75" customHeight="1">
      <c r="A66" t="s">
        <v>335</v>
      </c>
      <c r="B66" t="s">
        <v>336</v>
      </c>
      <c r="C66" s="46" t="s">
        <v>258</v>
      </c>
      <c r="E66" t="s">
        <v>209</v>
      </c>
    </row>
    <row r="67" spans="1:5" ht="12.75" customHeight="1">
      <c r="A67" t="s">
        <v>337</v>
      </c>
      <c r="B67" t="s">
        <v>338</v>
      </c>
      <c r="C67" s="46" t="s">
        <v>258</v>
      </c>
      <c r="D67" t="s">
        <v>208</v>
      </c>
      <c r="E67" t="s">
        <v>209</v>
      </c>
    </row>
    <row r="68" spans="1:5" ht="12.75" customHeight="1">
      <c r="A68" s="94" t="s">
        <v>339</v>
      </c>
      <c r="B68" s="95" t="s">
        <v>340</v>
      </c>
      <c r="C68" s="46" t="s">
        <v>207</v>
      </c>
      <c r="E68" t="s">
        <v>209</v>
      </c>
    </row>
    <row r="69" spans="1:5" ht="12.75" customHeight="1">
      <c r="A69" s="94" t="s">
        <v>341</v>
      </c>
      <c r="B69" s="95" t="s">
        <v>342</v>
      </c>
      <c r="C69" s="46" t="s">
        <v>207</v>
      </c>
      <c r="E69" t="s">
        <v>209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C1A353BF-F163-471F-9CAE-351EC0E2A0ED}"/>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F6B2B1A1-1C4B-4AC9-9A7D-7A102DD1C942}"/>
</file>

<file path=customXml/itemProps18.xml><?xml version="1.0" encoding="utf-8"?>
<ds:datastoreItem xmlns:ds="http://schemas.openxmlformats.org/officeDocument/2006/customXml" ds:itemID="{D3A7101F-9A85-4235-8B03-415370C100B2}"/>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