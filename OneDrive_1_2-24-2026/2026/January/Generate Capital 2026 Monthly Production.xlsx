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27" documentId="13_ncr:1_{A09D6AB6-CF9D-435C-A3B4-9E9C7E84BC09}" xr6:coauthVersionLast="47" xr6:coauthVersionMax="47" xr10:uidLastSave="{630E5E6A-6986-4FD4-90C9-0BECC7379A90}"/>
  <bookViews>
    <workbookView xWindow="-108" yWindow="-108" windowWidth="23256" windowHeight="13896" tabRatio="866" firstSheet="5" activeTab="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Mar!$G$1:$G$286</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2" i="72" l="1"/>
  <c r="I175" i="72"/>
  <c r="J175" i="72" s="1"/>
  <c r="F175" i="72"/>
  <c r="G175" i="72" s="1"/>
  <c r="C174" i="72"/>
  <c r="C175" i="72"/>
  <c r="I174" i="72"/>
  <c r="J174" i="72" s="1"/>
  <c r="F174" i="72"/>
  <c r="G174" i="72" s="1"/>
  <c r="C165" i="3"/>
  <c r="F165" i="3"/>
  <c r="G165" i="3" s="1"/>
  <c r="I165" i="3"/>
  <c r="J165" i="3"/>
  <c r="C166" i="3"/>
  <c r="F166" i="3"/>
  <c r="G166" i="3" s="1"/>
  <c r="I166" i="3"/>
  <c r="J166" i="3"/>
  <c r="C167" i="3"/>
  <c r="F167" i="3"/>
  <c r="G167" i="3"/>
  <c r="I167" i="3"/>
  <c r="J167" i="3"/>
  <c r="C168" i="3"/>
  <c r="F168" i="3"/>
  <c r="G168" i="3"/>
  <c r="I168" i="3"/>
  <c r="J168" i="3" s="1"/>
  <c r="C169" i="3"/>
  <c r="F169" i="3"/>
  <c r="G169" i="3"/>
  <c r="I169" i="3"/>
  <c r="J169" i="3"/>
  <c r="C170" i="3"/>
  <c r="F170" i="3"/>
  <c r="G170" i="3" s="1"/>
  <c r="I170" i="3"/>
  <c r="J170" i="3"/>
  <c r="C171" i="3"/>
  <c r="F171" i="3"/>
  <c r="G171" i="3"/>
  <c r="I171" i="3"/>
  <c r="J171" i="3" s="1"/>
  <c r="C172" i="3"/>
  <c r="F172" i="3"/>
  <c r="G172" i="3"/>
  <c r="I172" i="3"/>
  <c r="C173" i="3"/>
  <c r="F173" i="3"/>
  <c r="G173" i="3" s="1"/>
  <c r="I173" i="3"/>
  <c r="J173" i="3"/>
  <c r="C165" i="72"/>
  <c r="F165" i="72"/>
  <c r="G165" i="72" s="1"/>
  <c r="I165" i="72"/>
  <c r="J165" i="72"/>
  <c r="C166" i="72"/>
  <c r="F166" i="72"/>
  <c r="G166" i="72" s="1"/>
  <c r="I166" i="72"/>
  <c r="J166" i="72" s="1"/>
  <c r="C167" i="72"/>
  <c r="F167" i="72"/>
  <c r="G167" i="72"/>
  <c r="I167" i="72"/>
  <c r="I167" i="1" s="1"/>
  <c r="C168" i="72"/>
  <c r="F168" i="72"/>
  <c r="G168" i="72" s="1"/>
  <c r="I168" i="72"/>
  <c r="J168" i="72" s="1"/>
  <c r="C169" i="72"/>
  <c r="F169" i="72"/>
  <c r="G169" i="72" s="1"/>
  <c r="I169" i="72"/>
  <c r="J169" i="72" s="1"/>
  <c r="C170" i="72"/>
  <c r="F170" i="72"/>
  <c r="G170" i="72" s="1"/>
  <c r="I170" i="72"/>
  <c r="J170" i="72" s="1"/>
  <c r="C171" i="72"/>
  <c r="F171" i="72"/>
  <c r="G171" i="72" s="1"/>
  <c r="I171" i="72"/>
  <c r="J171" i="72" s="1"/>
  <c r="C172" i="72"/>
  <c r="F172" i="72"/>
  <c r="G172" i="72" s="1"/>
  <c r="I172" i="72"/>
  <c r="J172" i="72" s="1"/>
  <c r="C173" i="72"/>
  <c r="F173" i="72"/>
  <c r="G173" i="72" s="1"/>
  <c r="I173" i="72"/>
  <c r="I173" i="1" s="1"/>
  <c r="I172" i="29"/>
  <c r="I173" i="29"/>
  <c r="H172" i="29"/>
  <c r="J172" i="29" s="1"/>
  <c r="H173" i="29"/>
  <c r="J173" i="29" s="1"/>
  <c r="E172" i="29"/>
  <c r="E173" i="29"/>
  <c r="D172" i="29"/>
  <c r="F172" i="29" s="1"/>
  <c r="G172" i="29" s="1"/>
  <c r="D173" i="29"/>
  <c r="F173" i="29" s="1"/>
  <c r="G173" i="29" s="1"/>
  <c r="C172" i="29"/>
  <c r="C173" i="29"/>
  <c r="J171" i="18"/>
  <c r="J172" i="18"/>
  <c r="J173" i="18"/>
  <c r="I172" i="18"/>
  <c r="I173" i="18"/>
  <c r="H172" i="18"/>
  <c r="H173" i="18"/>
  <c r="E172" i="18"/>
  <c r="E173" i="18"/>
  <c r="D172" i="18"/>
  <c r="F172" i="18" s="1"/>
  <c r="G172" i="18" s="1"/>
  <c r="D173" i="18"/>
  <c r="F173" i="18" s="1"/>
  <c r="G173" i="18" s="1"/>
  <c r="C172" i="18"/>
  <c r="C173" i="18"/>
  <c r="H172" i="1"/>
  <c r="H173" i="1"/>
  <c r="E172" i="1"/>
  <c r="E173" i="1"/>
  <c r="D172" i="1"/>
  <c r="D172" i="34" s="1"/>
  <c r="D173" i="1"/>
  <c r="C171" i="1"/>
  <c r="C172" i="1"/>
  <c r="C173" i="1"/>
  <c r="H171" i="30"/>
  <c r="H172" i="30"/>
  <c r="H173" i="30"/>
  <c r="E172" i="30"/>
  <c r="E173" i="30"/>
  <c r="D172" i="30"/>
  <c r="D173" i="30"/>
  <c r="C172" i="30"/>
  <c r="C173" i="30"/>
  <c r="C171" i="34"/>
  <c r="C172" i="34"/>
  <c r="C173" i="34"/>
  <c r="I158" i="33"/>
  <c r="J158" i="33" s="1"/>
  <c r="I159" i="33"/>
  <c r="J159" i="33" s="1"/>
  <c r="I160" i="33"/>
  <c r="J160" i="33" s="1"/>
  <c r="I161" i="33"/>
  <c r="J161" i="33" s="1"/>
  <c r="I162" i="33"/>
  <c r="J162" i="33" s="1"/>
  <c r="I163" i="33"/>
  <c r="J163" i="33" s="1"/>
  <c r="I164" i="33"/>
  <c r="J164" i="33" s="1"/>
  <c r="I165" i="33"/>
  <c r="J165" i="33" s="1"/>
  <c r="I166" i="33"/>
  <c r="J166" i="33" s="1"/>
  <c r="I167" i="33"/>
  <c r="J167" i="33" s="1"/>
  <c r="I168" i="33"/>
  <c r="J168" i="33" s="1"/>
  <c r="I169" i="33"/>
  <c r="J169" i="33" s="1"/>
  <c r="I170" i="33"/>
  <c r="J170" i="33" s="1"/>
  <c r="I171" i="33"/>
  <c r="J171" i="33" s="1"/>
  <c r="I172" i="33"/>
  <c r="J172" i="33" s="1"/>
  <c r="I173" i="33"/>
  <c r="J173" i="33" s="1"/>
  <c r="F159" i="33"/>
  <c r="G159" i="33" s="1"/>
  <c r="F160" i="33"/>
  <c r="G160" i="33" s="1"/>
  <c r="F161" i="33"/>
  <c r="G161" i="33" s="1"/>
  <c r="F162" i="33"/>
  <c r="G162" i="33" s="1"/>
  <c r="F163" i="33"/>
  <c r="G163" i="33" s="1"/>
  <c r="F164" i="33"/>
  <c r="G164" i="33" s="1"/>
  <c r="F165" i="33"/>
  <c r="G165" i="33" s="1"/>
  <c r="F166" i="33"/>
  <c r="G166" i="33" s="1"/>
  <c r="F167" i="33"/>
  <c r="G167" i="33" s="1"/>
  <c r="F168" i="33"/>
  <c r="G168" i="33" s="1"/>
  <c r="F169" i="33"/>
  <c r="G169" i="33" s="1"/>
  <c r="F170" i="33"/>
  <c r="G170" i="33" s="1"/>
  <c r="F171" i="33"/>
  <c r="G171" i="33" s="1"/>
  <c r="F172" i="33"/>
  <c r="G172" i="33" s="1"/>
  <c r="F173" i="33"/>
  <c r="G173" i="33" s="1"/>
  <c r="H2" i="33"/>
  <c r="E2" i="33"/>
  <c r="E2" i="28"/>
  <c r="D2" i="28"/>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159" i="33"/>
  <c r="C160" i="33"/>
  <c r="C161" i="33"/>
  <c r="C162" i="33"/>
  <c r="C163" i="33"/>
  <c r="C164" i="33"/>
  <c r="C165" i="33"/>
  <c r="C166" i="33"/>
  <c r="C167" i="33"/>
  <c r="C168" i="33"/>
  <c r="C169" i="33"/>
  <c r="C170" i="33"/>
  <c r="C171" i="33"/>
  <c r="C172" i="33"/>
  <c r="C173" i="33"/>
  <c r="H2" i="32"/>
  <c r="E2" i="32"/>
  <c r="D2" i="32"/>
  <c r="D2" i="33"/>
  <c r="I171" i="32"/>
  <c r="J171" i="32" s="1"/>
  <c r="I172" i="32"/>
  <c r="J172" i="32" s="1"/>
  <c r="C172" i="32"/>
  <c r="C167" i="29"/>
  <c r="C168" i="29"/>
  <c r="C169" i="29"/>
  <c r="C170" i="29"/>
  <c r="C171" i="29"/>
  <c r="J168" i="18"/>
  <c r="I167" i="18"/>
  <c r="I168" i="18"/>
  <c r="I169" i="18"/>
  <c r="I170" i="18"/>
  <c r="I171" i="18"/>
  <c r="H167" i="18"/>
  <c r="J167" i="18" s="1"/>
  <c r="H168" i="18"/>
  <c r="H169" i="18"/>
  <c r="J169" i="18" s="1"/>
  <c r="H170" i="18"/>
  <c r="J170" i="18" s="1"/>
  <c r="H171" i="18"/>
  <c r="F170" i="18"/>
  <c r="G170" i="18" s="1"/>
  <c r="F171" i="18"/>
  <c r="G171" i="18" s="1"/>
  <c r="E167" i="18"/>
  <c r="E168" i="18"/>
  <c r="E169" i="18"/>
  <c r="E170" i="18"/>
  <c r="E171" i="18"/>
  <c r="D167" i="18"/>
  <c r="F167" i="18" s="1"/>
  <c r="G167" i="18" s="1"/>
  <c r="D168" i="18"/>
  <c r="F168" i="18" s="1"/>
  <c r="G168" i="18" s="1"/>
  <c r="D169" i="18"/>
  <c r="F169" i="18" s="1"/>
  <c r="G169" i="18" s="1"/>
  <c r="D170" i="18"/>
  <c r="D171" i="18"/>
  <c r="C167" i="18"/>
  <c r="C168" i="18"/>
  <c r="C169" i="18"/>
  <c r="C170" i="18"/>
  <c r="C171" i="18"/>
  <c r="I165" i="1"/>
  <c r="H165" i="1"/>
  <c r="H166" i="1"/>
  <c r="H167" i="1"/>
  <c r="H168" i="1"/>
  <c r="H169" i="1"/>
  <c r="H170" i="1"/>
  <c r="H171" i="1"/>
  <c r="E165" i="1"/>
  <c r="E166" i="1"/>
  <c r="E167" i="1"/>
  <c r="E168" i="1"/>
  <c r="E169" i="1"/>
  <c r="E170" i="1"/>
  <c r="E171" i="1"/>
  <c r="C167" i="1"/>
  <c r="C168" i="1"/>
  <c r="C169" i="1"/>
  <c r="C170" i="1"/>
  <c r="D165" i="1"/>
  <c r="D166" i="1"/>
  <c r="F166" i="1" s="1"/>
  <c r="G166" i="1" s="1"/>
  <c r="D167" i="1"/>
  <c r="D168" i="1"/>
  <c r="D169" i="1"/>
  <c r="D170" i="1"/>
  <c r="D171" i="1"/>
  <c r="F170" i="1" l="1"/>
  <c r="G170" i="1" s="1"/>
  <c r="I168" i="1"/>
  <c r="J168" i="1" s="1"/>
  <c r="J167" i="72"/>
  <c r="J173" i="72"/>
  <c r="F173" i="1"/>
  <c r="I170" i="1"/>
  <c r="J170" i="1" s="1"/>
  <c r="F169" i="1"/>
  <c r="G169" i="1" s="1"/>
  <c r="I169" i="1"/>
  <c r="J169" i="1" s="1"/>
  <c r="I172" i="1"/>
  <c r="J172" i="3"/>
  <c r="F168" i="1"/>
  <c r="G168" i="1" s="1"/>
  <c r="J167" i="1"/>
  <c r="H172" i="34"/>
  <c r="E173" i="34"/>
  <c r="F165" i="1"/>
  <c r="G165" i="1" s="1"/>
  <c r="I166" i="1"/>
  <c r="J166" i="1" s="1"/>
  <c r="E172" i="34"/>
  <c r="F172" i="34" s="1"/>
  <c r="G172" i="34" s="1"/>
  <c r="F171" i="1"/>
  <c r="G171" i="1" s="1"/>
  <c r="J165" i="1"/>
  <c r="F172" i="1"/>
  <c r="F167" i="1"/>
  <c r="G167" i="1" s="1"/>
  <c r="I171" i="1"/>
  <c r="J171" i="1" s="1"/>
  <c r="D173" i="34"/>
  <c r="H173" i="34"/>
  <c r="F173" i="30"/>
  <c r="G173" i="30" s="1"/>
  <c r="F172" i="30"/>
  <c r="G172" i="30" s="1"/>
  <c r="I173" i="30"/>
  <c r="I172" i="30"/>
  <c r="J167" i="29"/>
  <c r="I167" i="29"/>
  <c r="I168" i="29"/>
  <c r="I169" i="29"/>
  <c r="I170" i="29"/>
  <c r="I171" i="29"/>
  <c r="H167" i="29"/>
  <c r="H168" i="29"/>
  <c r="J168" i="29" s="1"/>
  <c r="H169" i="29"/>
  <c r="J169" i="29" s="1"/>
  <c r="H170" i="29"/>
  <c r="J170" i="29" s="1"/>
  <c r="H171" i="29"/>
  <c r="J171" i="29" s="1"/>
  <c r="F169" i="29"/>
  <c r="G169" i="29" s="1"/>
  <c r="F170" i="29"/>
  <c r="G170" i="29" s="1"/>
  <c r="E167" i="29"/>
  <c r="E168" i="29"/>
  <c r="E169" i="29"/>
  <c r="E170" i="29"/>
  <c r="E171" i="29"/>
  <c r="D167" i="29"/>
  <c r="F167" i="29" s="1"/>
  <c r="G167" i="29" s="1"/>
  <c r="D168" i="29"/>
  <c r="F168" i="29" s="1"/>
  <c r="G168" i="29" s="1"/>
  <c r="D169" i="29"/>
  <c r="D170" i="29"/>
  <c r="D171" i="29"/>
  <c r="F171" i="29" s="1"/>
  <c r="G171" i="29" s="1"/>
  <c r="E159" i="1"/>
  <c r="D155" i="1"/>
  <c r="F173" i="34" l="1"/>
  <c r="G173" i="34" s="1"/>
  <c r="J173" i="30"/>
  <c r="I173" i="34"/>
  <c r="J173" i="34" s="1"/>
  <c r="J172" i="30"/>
  <c r="I172" i="34"/>
  <c r="J172" i="34" s="1"/>
  <c r="I160" i="32"/>
  <c r="J160" i="32" s="1"/>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159" i="32"/>
  <c r="C160" i="32"/>
  <c r="C161" i="32"/>
  <c r="C162" i="32"/>
  <c r="C163" i="32"/>
  <c r="C164" i="32"/>
  <c r="C165" i="32"/>
  <c r="C166" i="32"/>
  <c r="C167" i="32"/>
  <c r="C168" i="32"/>
  <c r="C169" i="32"/>
  <c r="C170" i="32"/>
  <c r="C171" i="32"/>
  <c r="F159" i="32"/>
  <c r="G159" i="32" s="1"/>
  <c r="I159" i="32"/>
  <c r="J159" i="32" s="1"/>
  <c r="F160" i="32"/>
  <c r="G160" i="32" s="1"/>
  <c r="F161" i="32"/>
  <c r="G161" i="32" s="1"/>
  <c r="I161" i="32"/>
  <c r="J161" i="32" s="1"/>
  <c r="F162" i="32"/>
  <c r="G162" i="32" s="1"/>
  <c r="I162" i="32"/>
  <c r="J162" i="32" s="1"/>
  <c r="F163" i="32"/>
  <c r="G163" i="32" s="1"/>
  <c r="I163" i="32"/>
  <c r="J163" i="32" s="1"/>
  <c r="F164" i="32"/>
  <c r="G164" i="32" s="1"/>
  <c r="I164" i="32"/>
  <c r="J164" i="32" s="1"/>
  <c r="F165" i="32"/>
  <c r="G165" i="32" s="1"/>
  <c r="I165" i="32"/>
  <c r="J165" i="32" s="1"/>
  <c r="F166" i="32"/>
  <c r="G166" i="32" s="1"/>
  <c r="I166" i="32"/>
  <c r="F167" i="32"/>
  <c r="G167" i="32" s="1"/>
  <c r="I167" i="32"/>
  <c r="J167" i="32" s="1"/>
  <c r="F168" i="32"/>
  <c r="G168" i="32" s="1"/>
  <c r="I168" i="32"/>
  <c r="J168" i="32" s="1"/>
  <c r="F169" i="32"/>
  <c r="G169" i="32" s="1"/>
  <c r="I169" i="32"/>
  <c r="J169" i="32" s="1"/>
  <c r="F170" i="32"/>
  <c r="G170" i="32" s="1"/>
  <c r="I170" i="32"/>
  <c r="J170" i="32" s="1"/>
  <c r="F171" i="32"/>
  <c r="G171" i="32" s="1"/>
  <c r="C167" i="34"/>
  <c r="C168" i="34"/>
  <c r="C169" i="34"/>
  <c r="C170" i="34"/>
  <c r="C159" i="30"/>
  <c r="C160" i="30"/>
  <c r="C161" i="30"/>
  <c r="C162" i="30"/>
  <c r="C163" i="30"/>
  <c r="C164" i="30"/>
  <c r="C165" i="30"/>
  <c r="C166" i="30"/>
  <c r="C167" i="30"/>
  <c r="C168" i="30"/>
  <c r="C169" i="30"/>
  <c r="C170" i="30"/>
  <c r="C171"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162" i="30"/>
  <c r="H163" i="30"/>
  <c r="H164" i="30"/>
  <c r="H165" i="30"/>
  <c r="H166" i="30"/>
  <c r="H167" i="30"/>
  <c r="H167" i="34" s="1"/>
  <c r="H168" i="30"/>
  <c r="H168" i="34" s="1"/>
  <c r="H169" i="30"/>
  <c r="H169" i="34" s="1"/>
  <c r="H170" i="30"/>
  <c r="H170" i="34" s="1"/>
  <c r="H171" i="34"/>
  <c r="H5" i="30"/>
  <c r="H4" i="30"/>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113" i="30"/>
  <c r="E114" i="30"/>
  <c r="E115" i="30"/>
  <c r="E116" i="30"/>
  <c r="E117" i="30"/>
  <c r="E118" i="30"/>
  <c r="E119" i="30"/>
  <c r="E120" i="30"/>
  <c r="E121" i="30"/>
  <c r="E122" i="30"/>
  <c r="E123" i="30"/>
  <c r="E124" i="30"/>
  <c r="E125" i="30"/>
  <c r="E126" i="30"/>
  <c r="E127" i="30"/>
  <c r="E128" i="30"/>
  <c r="E129" i="30"/>
  <c r="E130" i="30"/>
  <c r="E131" i="30"/>
  <c r="E132" i="30"/>
  <c r="E133" i="30"/>
  <c r="E134" i="30"/>
  <c r="E135" i="30"/>
  <c r="E136" i="30"/>
  <c r="E137" i="30"/>
  <c r="E138" i="30"/>
  <c r="E139" i="30"/>
  <c r="E140" i="30"/>
  <c r="E141" i="30"/>
  <c r="E142" i="30"/>
  <c r="E143" i="30"/>
  <c r="E144" i="30"/>
  <c r="E145" i="30"/>
  <c r="E146" i="30"/>
  <c r="E147" i="30"/>
  <c r="E148" i="30"/>
  <c r="E149" i="30"/>
  <c r="E150" i="30"/>
  <c r="E151" i="30"/>
  <c r="E152" i="30"/>
  <c r="E153" i="30"/>
  <c r="E154" i="30"/>
  <c r="E155" i="30"/>
  <c r="E156" i="30"/>
  <c r="E157" i="30"/>
  <c r="E158" i="30"/>
  <c r="E159" i="30"/>
  <c r="E160" i="30"/>
  <c r="E161" i="30"/>
  <c r="E162" i="30"/>
  <c r="E163" i="30"/>
  <c r="E164" i="30"/>
  <c r="E165" i="30"/>
  <c r="E166" i="30"/>
  <c r="E167" i="30"/>
  <c r="E167" i="34" s="1"/>
  <c r="E168" i="30"/>
  <c r="E168" i="34" s="1"/>
  <c r="E169" i="30"/>
  <c r="E169" i="34" s="1"/>
  <c r="E170" i="30"/>
  <c r="E170" i="34" s="1"/>
  <c r="E171" i="30"/>
  <c r="E4" i="30"/>
  <c r="E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6" i="30"/>
  <c r="D157" i="30"/>
  <c r="D158" i="30"/>
  <c r="D159" i="30"/>
  <c r="D160" i="30"/>
  <c r="D161" i="30"/>
  <c r="D162" i="30"/>
  <c r="D163" i="30"/>
  <c r="D164" i="30"/>
  <c r="D165" i="30"/>
  <c r="D166" i="30"/>
  <c r="D167" i="30"/>
  <c r="D167" i="34" s="1"/>
  <c r="D168" i="30"/>
  <c r="D168" i="34" s="1"/>
  <c r="D169" i="30"/>
  <c r="D169" i="34" s="1"/>
  <c r="D170" i="30"/>
  <c r="D170" i="34" s="1"/>
  <c r="D171" i="30"/>
  <c r="D171" i="34" s="1"/>
  <c r="D5" i="30"/>
  <c r="D4" i="30"/>
  <c r="I155" i="31"/>
  <c r="J155" i="31" s="1"/>
  <c r="I156" i="31"/>
  <c r="J156" i="31" s="1"/>
  <c r="I157" i="31"/>
  <c r="J157" i="31" s="1"/>
  <c r="I158" i="31"/>
  <c r="J158" i="31" s="1"/>
  <c r="I159" i="31"/>
  <c r="J159" i="31" s="1"/>
  <c r="I160" i="31"/>
  <c r="J160" i="31" s="1"/>
  <c r="I161" i="31"/>
  <c r="J161" i="31" s="1"/>
  <c r="I162" i="31"/>
  <c r="J162" i="31" s="1"/>
  <c r="I163" i="31"/>
  <c r="J163" i="31" s="1"/>
  <c r="I164" i="31"/>
  <c r="J164" i="31" s="1"/>
  <c r="I165" i="31"/>
  <c r="J165" i="31" s="1"/>
  <c r="I166" i="31"/>
  <c r="J166" i="31" s="1"/>
  <c r="I167" i="31"/>
  <c r="J167" i="31" s="1"/>
  <c r="I168" i="31"/>
  <c r="J168" i="31" s="1"/>
  <c r="I169" i="31"/>
  <c r="J169" i="31" s="1"/>
  <c r="I170" i="31"/>
  <c r="J170" i="31" s="1"/>
  <c r="I171" i="31"/>
  <c r="F159" i="31"/>
  <c r="G159" i="31" s="1"/>
  <c r="F160" i="31"/>
  <c r="G160" i="31" s="1"/>
  <c r="F161" i="31"/>
  <c r="G161" i="31" s="1"/>
  <c r="F162" i="31"/>
  <c r="G162" i="31" s="1"/>
  <c r="F163" i="31"/>
  <c r="G163" i="31" s="1"/>
  <c r="F164" i="31"/>
  <c r="G164" i="31" s="1"/>
  <c r="F165" i="31"/>
  <c r="G165" i="31" s="1"/>
  <c r="F166" i="31"/>
  <c r="G166" i="31" s="1"/>
  <c r="F167" i="31"/>
  <c r="G167" i="31" s="1"/>
  <c r="F168" i="31"/>
  <c r="G168" i="31" s="1"/>
  <c r="F169" i="31"/>
  <c r="G169" i="31" s="1"/>
  <c r="F170" i="31"/>
  <c r="G170" i="31" s="1"/>
  <c r="F171" i="31"/>
  <c r="G171" i="31" s="1"/>
  <c r="I127" i="31"/>
  <c r="C167" i="31"/>
  <c r="C168" i="31"/>
  <c r="C169" i="31"/>
  <c r="C170" i="31"/>
  <c r="C171"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55" i="31"/>
  <c r="C156" i="31"/>
  <c r="C157" i="31"/>
  <c r="C158" i="31"/>
  <c r="C159" i="31"/>
  <c r="C160" i="31"/>
  <c r="C161" i="31"/>
  <c r="C162" i="31"/>
  <c r="C163" i="31"/>
  <c r="C164" i="31"/>
  <c r="C165" i="31"/>
  <c r="C166" i="31"/>
  <c r="C165" i="29"/>
  <c r="D165" i="29"/>
  <c r="F165" i="29" s="1"/>
  <c r="G165" i="29" s="1"/>
  <c r="E165" i="29"/>
  <c r="H165" i="29"/>
  <c r="I165" i="29"/>
  <c r="J165" i="29"/>
  <c r="C166" i="29"/>
  <c r="D166" i="29"/>
  <c r="F166" i="29" s="1"/>
  <c r="G166" i="29" s="1"/>
  <c r="E166" i="29"/>
  <c r="H166" i="29"/>
  <c r="C159" i="18"/>
  <c r="D159" i="18"/>
  <c r="F159" i="18" s="1"/>
  <c r="G159" i="18" s="1"/>
  <c r="E159" i="18"/>
  <c r="H159" i="18"/>
  <c r="C160" i="18"/>
  <c r="D160" i="18"/>
  <c r="F160" i="18" s="1"/>
  <c r="G160" i="18" s="1"/>
  <c r="E160" i="18"/>
  <c r="H160" i="18"/>
  <c r="C161" i="18"/>
  <c r="D161" i="18"/>
  <c r="F161" i="18" s="1"/>
  <c r="G161" i="18" s="1"/>
  <c r="E161" i="18"/>
  <c r="H161" i="18"/>
  <c r="C162" i="18"/>
  <c r="D162" i="18"/>
  <c r="E162" i="18"/>
  <c r="H162" i="18"/>
  <c r="C163" i="18"/>
  <c r="D163" i="18"/>
  <c r="F163" i="18" s="1"/>
  <c r="G163" i="18" s="1"/>
  <c r="E163" i="18"/>
  <c r="H163" i="18"/>
  <c r="C164" i="18"/>
  <c r="D164" i="18"/>
  <c r="F164" i="18" s="1"/>
  <c r="G164" i="18" s="1"/>
  <c r="E164" i="18"/>
  <c r="H164" i="18"/>
  <c r="C165" i="18"/>
  <c r="D165" i="18"/>
  <c r="F165" i="18" s="1"/>
  <c r="G165" i="18" s="1"/>
  <c r="E165" i="18"/>
  <c r="H165" i="18"/>
  <c r="J165" i="18" s="1"/>
  <c r="I165" i="18"/>
  <c r="C166" i="18"/>
  <c r="D166" i="18"/>
  <c r="E166" i="18"/>
  <c r="H166" i="18"/>
  <c r="I166" i="18"/>
  <c r="J166" i="18"/>
  <c r="C165" i="1"/>
  <c r="C166" i="1"/>
  <c r="C165" i="34"/>
  <c r="C166" i="34"/>
  <c r="F168" i="34" l="1"/>
  <c r="G168" i="34" s="1"/>
  <c r="H166" i="34"/>
  <c r="H165" i="34"/>
  <c r="I160" i="30"/>
  <c r="F162" i="18"/>
  <c r="G162" i="18" s="1"/>
  <c r="J171" i="31"/>
  <c r="I171" i="30"/>
  <c r="J171" i="30" s="1"/>
  <c r="E166" i="34"/>
  <c r="I167" i="30"/>
  <c r="I167" i="34" s="1"/>
  <c r="J167" i="34" s="1"/>
  <c r="I169" i="30"/>
  <c r="I166" i="30"/>
  <c r="F166" i="18"/>
  <c r="G166" i="18" s="1"/>
  <c r="I164" i="30"/>
  <c r="E165" i="34"/>
  <c r="F164" i="30"/>
  <c r="G164" i="30" s="1"/>
  <c r="F163" i="30"/>
  <c r="G163" i="30" s="1"/>
  <c r="F162" i="30"/>
  <c r="G162" i="30" s="1"/>
  <c r="F161" i="30"/>
  <c r="G161" i="30" s="1"/>
  <c r="E2" i="30"/>
  <c r="I161" i="30"/>
  <c r="J161" i="30" s="1"/>
  <c r="F159" i="30"/>
  <c r="G159" i="30" s="1"/>
  <c r="I162" i="30"/>
  <c r="J162" i="30" s="1"/>
  <c r="F160" i="30"/>
  <c r="G160" i="30" s="1"/>
  <c r="D2" i="30"/>
  <c r="H2" i="30"/>
  <c r="F169" i="34"/>
  <c r="G169" i="34" s="1"/>
  <c r="F167" i="34"/>
  <c r="G167" i="34" s="1"/>
  <c r="J169" i="30"/>
  <c r="J166" i="30"/>
  <c r="J166" i="32"/>
  <c r="F165" i="30"/>
  <c r="G165" i="30" s="1"/>
  <c r="F171" i="30"/>
  <c r="G171" i="30" s="1"/>
  <c r="J164" i="30"/>
  <c r="I163" i="30"/>
  <c r="J163" i="30" s="1"/>
  <c r="J160" i="30"/>
  <c r="I171" i="34"/>
  <c r="J171" i="34" s="1"/>
  <c r="E171" i="34"/>
  <c r="F171" i="34" s="1"/>
  <c r="G171" i="34" s="1"/>
  <c r="F166" i="30"/>
  <c r="G166" i="30" s="1"/>
  <c r="I159" i="30"/>
  <c r="J159" i="30" s="1"/>
  <c r="I168" i="30"/>
  <c r="I168" i="34" s="1"/>
  <c r="J168" i="34" s="1"/>
  <c r="I170" i="30"/>
  <c r="J170" i="30" s="1"/>
  <c r="F170" i="34"/>
  <c r="G170" i="34" s="1"/>
  <c r="I165" i="30"/>
  <c r="F170" i="30"/>
  <c r="G170" i="30" s="1"/>
  <c r="I169" i="34"/>
  <c r="J169" i="34" s="1"/>
  <c r="F169" i="30"/>
  <c r="G169" i="30" s="1"/>
  <c r="F168" i="30"/>
  <c r="G168" i="30" s="1"/>
  <c r="F167" i="30"/>
  <c r="G167" i="30" s="1"/>
  <c r="J167" i="30"/>
  <c r="D165" i="34"/>
  <c r="D166" i="34"/>
  <c r="F166" i="34" l="1"/>
  <c r="G166" i="34" s="1"/>
  <c r="F165" i="34"/>
  <c r="G165" i="34" s="1"/>
  <c r="J168" i="30"/>
  <c r="I170" i="34"/>
  <c r="J170" i="34" s="1"/>
  <c r="J165" i="30"/>
  <c r="I165" i="34"/>
  <c r="J165" i="34" s="1"/>
  <c r="J165" i="28"/>
  <c r="I166" i="28"/>
  <c r="F163" i="28"/>
  <c r="F164" i="28"/>
  <c r="F165" i="28"/>
  <c r="G165" i="28" s="1"/>
  <c r="F166" i="28"/>
  <c r="G166" i="28" s="1"/>
  <c r="C165" i="28"/>
  <c r="C166" i="28"/>
  <c r="I133" i="28"/>
  <c r="F132" i="28"/>
  <c r="F133" i="28"/>
  <c r="F90" i="28"/>
  <c r="F136" i="28"/>
  <c r="F137" i="28"/>
  <c r="F138" i="28"/>
  <c r="F139" i="28"/>
  <c r="J166" i="28" l="1"/>
  <c r="I166" i="29"/>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F159" i="28"/>
  <c r="F161" i="28"/>
  <c r="G161" i="28" s="1"/>
  <c r="F162" i="28"/>
  <c r="G162" i="28" s="1"/>
  <c r="G163" i="28"/>
  <c r="G164" i="28"/>
  <c r="F36" i="28"/>
  <c r="C22" i="28"/>
  <c r="G159" i="28"/>
  <c r="I159" i="28"/>
  <c r="J159" i="28" s="1"/>
  <c r="F160" i="28"/>
  <c r="G160" i="28"/>
  <c r="I160" i="28"/>
  <c r="J160" i="28" s="1"/>
  <c r="I161" i="28"/>
  <c r="J161" i="28" s="1"/>
  <c r="I162" i="28"/>
  <c r="J162" i="28" s="1"/>
  <c r="I163" i="28"/>
  <c r="J163" i="28" s="1"/>
  <c r="I164" i="28"/>
  <c r="J164" i="28" s="1"/>
  <c r="H164" i="29"/>
  <c r="H159" i="29"/>
  <c r="H160" i="29"/>
  <c r="H161" i="29"/>
  <c r="H162" i="29"/>
  <c r="H163" i="29"/>
  <c r="E159" i="29"/>
  <c r="E160" i="29"/>
  <c r="E161" i="29"/>
  <c r="E162" i="29"/>
  <c r="E163" i="29"/>
  <c r="E164" i="29"/>
  <c r="D159" i="29"/>
  <c r="F159" i="29" s="1"/>
  <c r="G159" i="29" s="1"/>
  <c r="D160" i="29"/>
  <c r="F160" i="29" s="1"/>
  <c r="G160" i="29" s="1"/>
  <c r="D161" i="29"/>
  <c r="D162" i="29"/>
  <c r="F162" i="29" s="1"/>
  <c r="G162" i="29" s="1"/>
  <c r="D163" i="29"/>
  <c r="D164" i="29"/>
  <c r="C159" i="29"/>
  <c r="C160" i="29"/>
  <c r="C161" i="29"/>
  <c r="C162" i="29"/>
  <c r="C163" i="29"/>
  <c r="C164" i="29"/>
  <c r="I156" i="26"/>
  <c r="J156" i="26" s="1"/>
  <c r="I157" i="26"/>
  <c r="J157" i="26" s="1"/>
  <c r="I158" i="26"/>
  <c r="J158" i="26" s="1"/>
  <c r="I159" i="26"/>
  <c r="I160" i="26"/>
  <c r="I161" i="26"/>
  <c r="I162" i="26"/>
  <c r="J162" i="26" s="1"/>
  <c r="I163" i="26"/>
  <c r="J163" i="26" s="1"/>
  <c r="I164" i="26"/>
  <c r="G159" i="26"/>
  <c r="G164" i="26"/>
  <c r="F159" i="26"/>
  <c r="F160" i="26"/>
  <c r="G160" i="26" s="1"/>
  <c r="F161" i="26"/>
  <c r="G161" i="26" s="1"/>
  <c r="F162" i="26"/>
  <c r="G162" i="26" s="1"/>
  <c r="F163" i="26"/>
  <c r="G163" i="26" s="1"/>
  <c r="F164" i="26"/>
  <c r="C159" i="26"/>
  <c r="C160" i="26"/>
  <c r="C161" i="26"/>
  <c r="C162" i="26"/>
  <c r="C163" i="26"/>
  <c r="C164" i="26"/>
  <c r="J162" i="19"/>
  <c r="I158" i="19"/>
  <c r="J158" i="19" s="1"/>
  <c r="I159" i="19"/>
  <c r="J159" i="19" s="1"/>
  <c r="I160" i="19"/>
  <c r="J160" i="19" s="1"/>
  <c r="I161" i="19"/>
  <c r="J161" i="19" s="1"/>
  <c r="I162" i="19"/>
  <c r="I163" i="19"/>
  <c r="J163" i="19" s="1"/>
  <c r="I164" i="19"/>
  <c r="J164" i="19" s="1"/>
  <c r="G160" i="19"/>
  <c r="G161" i="19"/>
  <c r="G163" i="19"/>
  <c r="F158" i="19"/>
  <c r="G158" i="19" s="1"/>
  <c r="F159" i="19"/>
  <c r="G159" i="19" s="1"/>
  <c r="F160" i="19"/>
  <c r="F161" i="19"/>
  <c r="F162" i="19"/>
  <c r="G162" i="19" s="1"/>
  <c r="F163" i="19"/>
  <c r="F164" i="19"/>
  <c r="G164" i="19" s="1"/>
  <c r="I152" i="20"/>
  <c r="J152" i="20" s="1"/>
  <c r="I153" i="20"/>
  <c r="J153" i="20" s="1"/>
  <c r="I154" i="20"/>
  <c r="J154" i="20" s="1"/>
  <c r="I155" i="20"/>
  <c r="J155" i="20" s="1"/>
  <c r="I156" i="20"/>
  <c r="J156" i="20" s="1"/>
  <c r="I157" i="20"/>
  <c r="J157" i="20" s="1"/>
  <c r="I158" i="20"/>
  <c r="J158" i="20" s="1"/>
  <c r="I159" i="20"/>
  <c r="J159" i="20" s="1"/>
  <c r="I160" i="20"/>
  <c r="J160" i="20" s="1"/>
  <c r="I161" i="20"/>
  <c r="J161" i="20" s="1"/>
  <c r="I162" i="20"/>
  <c r="J162" i="20" s="1"/>
  <c r="I163" i="20"/>
  <c r="J163" i="20" s="1"/>
  <c r="I164" i="20"/>
  <c r="J164" i="20" s="1"/>
  <c r="G150" i="20"/>
  <c r="G158"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G144" i="20" s="1"/>
  <c r="F145" i="20"/>
  <c r="G145" i="20" s="1"/>
  <c r="F146" i="20"/>
  <c r="G146" i="20" s="1"/>
  <c r="F147" i="20"/>
  <c r="G147" i="20" s="1"/>
  <c r="F148" i="20"/>
  <c r="G148" i="20" s="1"/>
  <c r="F149" i="20"/>
  <c r="G149" i="20" s="1"/>
  <c r="F150" i="20"/>
  <c r="F151" i="20"/>
  <c r="G151" i="20" s="1"/>
  <c r="F152" i="20"/>
  <c r="G152" i="20" s="1"/>
  <c r="F153" i="20"/>
  <c r="G153" i="20" s="1"/>
  <c r="F154" i="20"/>
  <c r="G154" i="20" s="1"/>
  <c r="F155" i="20"/>
  <c r="G155" i="20" s="1"/>
  <c r="F156" i="20"/>
  <c r="G156" i="20" s="1"/>
  <c r="F157" i="20"/>
  <c r="G157" i="20" s="1"/>
  <c r="F158" i="20"/>
  <c r="F159" i="20"/>
  <c r="G159" i="20" s="1"/>
  <c r="F160" i="20"/>
  <c r="G160" i="20" s="1"/>
  <c r="F161" i="20"/>
  <c r="G161" i="20" s="1"/>
  <c r="F162" i="20"/>
  <c r="G162" i="20" s="1"/>
  <c r="F163" i="20"/>
  <c r="G163" i="20" s="1"/>
  <c r="F164" i="20"/>
  <c r="G164" i="20" s="1"/>
  <c r="C159" i="20"/>
  <c r="C160" i="20"/>
  <c r="C161" i="20"/>
  <c r="C162" i="20"/>
  <c r="C163" i="20"/>
  <c r="C164" i="20"/>
  <c r="J163" i="21"/>
  <c r="I158" i="21"/>
  <c r="J158" i="21" s="1"/>
  <c r="I159" i="21"/>
  <c r="I160" i="21"/>
  <c r="I161" i="21"/>
  <c r="I162" i="21"/>
  <c r="I163" i="21"/>
  <c r="I164" i="21"/>
  <c r="I164" i="18" s="1"/>
  <c r="J164" i="18" s="1"/>
  <c r="G161" i="21"/>
  <c r="G162" i="21"/>
  <c r="G163" i="21"/>
  <c r="F158" i="21"/>
  <c r="G158" i="21" s="1"/>
  <c r="F159" i="21"/>
  <c r="G159" i="21" s="1"/>
  <c r="F160" i="21"/>
  <c r="G160" i="21" s="1"/>
  <c r="F161" i="21"/>
  <c r="F162" i="21"/>
  <c r="F163" i="21"/>
  <c r="F164" i="21"/>
  <c r="G164" i="21" s="1"/>
  <c r="C159" i="21"/>
  <c r="C160" i="21"/>
  <c r="C161" i="21"/>
  <c r="C162" i="21"/>
  <c r="C163" i="21"/>
  <c r="C164" i="21"/>
  <c r="J159" i="4"/>
  <c r="J160" i="4"/>
  <c r="I158" i="4"/>
  <c r="J158" i="4" s="1"/>
  <c r="I159" i="4"/>
  <c r="I160" i="4"/>
  <c r="I161" i="4"/>
  <c r="J161" i="4" s="1"/>
  <c r="I162" i="4"/>
  <c r="J162" i="4" s="1"/>
  <c r="I163" i="4"/>
  <c r="J163" i="4" s="1"/>
  <c r="I164" i="4"/>
  <c r="J164" i="4" s="1"/>
  <c r="G159" i="4"/>
  <c r="G160" i="4"/>
  <c r="G164" i="4"/>
  <c r="F159" i="4"/>
  <c r="F160" i="4"/>
  <c r="F161" i="4"/>
  <c r="G161" i="4" s="1"/>
  <c r="F162" i="4"/>
  <c r="G162" i="4" s="1"/>
  <c r="F163" i="4"/>
  <c r="G163" i="4" s="1"/>
  <c r="F164" i="4"/>
  <c r="C159" i="4"/>
  <c r="C160" i="4"/>
  <c r="C161" i="4"/>
  <c r="C162" i="4"/>
  <c r="C163" i="4"/>
  <c r="C164" i="4"/>
  <c r="J160" i="3"/>
  <c r="J163" i="3"/>
  <c r="I154" i="3"/>
  <c r="J154" i="3" s="1"/>
  <c r="I155" i="3"/>
  <c r="J155" i="3" s="1"/>
  <c r="I156" i="3"/>
  <c r="J156" i="3" s="1"/>
  <c r="I157" i="3"/>
  <c r="J157" i="3" s="1"/>
  <c r="I158" i="3"/>
  <c r="J158" i="3" s="1"/>
  <c r="I159" i="3"/>
  <c r="J159" i="3" s="1"/>
  <c r="I160" i="3"/>
  <c r="I161" i="3"/>
  <c r="J161" i="3" s="1"/>
  <c r="I162" i="3"/>
  <c r="J162" i="3" s="1"/>
  <c r="I163" i="3"/>
  <c r="I164" i="3"/>
  <c r="J164" i="3" s="1"/>
  <c r="G154" i="3"/>
  <c r="G155" i="3"/>
  <c r="G158" i="3"/>
  <c r="G160" i="3"/>
  <c r="G162" i="3"/>
  <c r="G163" i="3"/>
  <c r="F154" i="3"/>
  <c r="F155" i="3"/>
  <c r="F156" i="3"/>
  <c r="G156" i="3" s="1"/>
  <c r="F157" i="3"/>
  <c r="G157" i="3" s="1"/>
  <c r="F158" i="3"/>
  <c r="F159" i="3"/>
  <c r="G159" i="3" s="1"/>
  <c r="F160" i="3"/>
  <c r="F161" i="3"/>
  <c r="G161" i="3" s="1"/>
  <c r="F162" i="3"/>
  <c r="F163" i="3"/>
  <c r="F164" i="3"/>
  <c r="G164" i="3" s="1"/>
  <c r="C159" i="3"/>
  <c r="C160" i="3"/>
  <c r="C161" i="3"/>
  <c r="C162" i="3"/>
  <c r="C163" i="3"/>
  <c r="C164" i="3"/>
  <c r="I154" i="72"/>
  <c r="J154" i="72" s="1"/>
  <c r="I155" i="72"/>
  <c r="J155" i="72" s="1"/>
  <c r="I156" i="72"/>
  <c r="J156" i="72" s="1"/>
  <c r="I157" i="72"/>
  <c r="J157" i="72" s="1"/>
  <c r="I158" i="72"/>
  <c r="J158" i="72" s="1"/>
  <c r="I159" i="72"/>
  <c r="J159" i="72" s="1"/>
  <c r="I160" i="72"/>
  <c r="J160" i="72" s="1"/>
  <c r="I161" i="72"/>
  <c r="J161" i="72" s="1"/>
  <c r="J162" i="72"/>
  <c r="I163" i="72"/>
  <c r="J163" i="72" s="1"/>
  <c r="I164" i="72"/>
  <c r="J164" i="72" s="1"/>
  <c r="F154" i="72"/>
  <c r="G154" i="72" s="1"/>
  <c r="F155" i="72"/>
  <c r="G155" i="72" s="1"/>
  <c r="F156" i="72"/>
  <c r="G156" i="72" s="1"/>
  <c r="F157" i="72"/>
  <c r="G157" i="72" s="1"/>
  <c r="F158" i="72"/>
  <c r="G158" i="72" s="1"/>
  <c r="F159" i="72"/>
  <c r="G159" i="72" s="1"/>
  <c r="F160" i="72"/>
  <c r="G160" i="72" s="1"/>
  <c r="F161" i="72"/>
  <c r="G161" i="72" s="1"/>
  <c r="F162" i="72"/>
  <c r="G162" i="72" s="1"/>
  <c r="F163" i="72"/>
  <c r="G163" i="72" s="1"/>
  <c r="F164" i="72"/>
  <c r="G164" i="72" s="1"/>
  <c r="C159" i="72"/>
  <c r="C160" i="72"/>
  <c r="C161" i="72"/>
  <c r="C162" i="72"/>
  <c r="C163" i="72"/>
  <c r="C164" i="72"/>
  <c r="C159" i="19"/>
  <c r="C160" i="19"/>
  <c r="C161" i="19"/>
  <c r="C162" i="19"/>
  <c r="C163" i="19"/>
  <c r="C164" i="19"/>
  <c r="I162" i="18" l="1"/>
  <c r="J162" i="18" s="1"/>
  <c r="J160" i="21"/>
  <c r="I160" i="18"/>
  <c r="J160" i="18" s="1"/>
  <c r="J161" i="21"/>
  <c r="I161" i="18"/>
  <c r="J161" i="18" s="1"/>
  <c r="I159" i="18"/>
  <c r="J159" i="18" s="1"/>
  <c r="J164" i="26"/>
  <c r="F161" i="29"/>
  <c r="G161" i="29" s="1"/>
  <c r="J164" i="21"/>
  <c r="I163" i="18"/>
  <c r="J163" i="18" s="1"/>
  <c r="J162" i="21"/>
  <c r="J166" i="29"/>
  <c r="I166" i="34"/>
  <c r="J166" i="34" s="1"/>
  <c r="J159" i="21"/>
  <c r="F164" i="29"/>
  <c r="G164" i="29" s="1"/>
  <c r="F163" i="29"/>
  <c r="G163" i="29" s="1"/>
  <c r="J161" i="26"/>
  <c r="J160" i="26"/>
  <c r="J159" i="26"/>
  <c r="F58" i="26" l="1"/>
  <c r="F59" i="26"/>
  <c r="F60" i="26"/>
  <c r="F61" i="26"/>
  <c r="F62" i="26"/>
  <c r="F63" i="26"/>
  <c r="F64" i="26"/>
  <c r="G64" i="26" s="1"/>
  <c r="F65" i="26"/>
  <c r="G65" i="26" s="1"/>
  <c r="F66" i="26"/>
  <c r="F67" i="26"/>
  <c r="F68" i="26"/>
  <c r="F69" i="26"/>
  <c r="F70" i="26"/>
  <c r="F71" i="26"/>
  <c r="F72" i="26"/>
  <c r="G72" i="26" s="1"/>
  <c r="F73" i="26"/>
  <c r="G73" i="26" s="1"/>
  <c r="F74" i="26"/>
  <c r="G74" i="26" s="1"/>
  <c r="F75" i="26"/>
  <c r="F76" i="26"/>
  <c r="F77" i="26"/>
  <c r="F78" i="26"/>
  <c r="F79" i="26"/>
  <c r="F80" i="26"/>
  <c r="G80" i="26" s="1"/>
  <c r="F81" i="26"/>
  <c r="G81" i="26" s="1"/>
  <c r="F82" i="26"/>
  <c r="G82" i="26" s="1"/>
  <c r="F83" i="26"/>
  <c r="F84" i="26"/>
  <c r="F85" i="26"/>
  <c r="F86" i="26"/>
  <c r="F87" i="26"/>
  <c r="F88" i="26"/>
  <c r="G88" i="26" s="1"/>
  <c r="F89" i="26"/>
  <c r="F90" i="26"/>
  <c r="G90" i="26" s="1"/>
  <c r="F91" i="26"/>
  <c r="F92" i="26"/>
  <c r="F93" i="26"/>
  <c r="F94" i="26"/>
  <c r="F95" i="26"/>
  <c r="F96" i="26"/>
  <c r="G96" i="26" s="1"/>
  <c r="F97" i="26"/>
  <c r="G97" i="26" s="1"/>
  <c r="F98" i="26"/>
  <c r="G98" i="26" s="1"/>
  <c r="F99" i="26"/>
  <c r="F100" i="26"/>
  <c r="F101" i="26"/>
  <c r="F102" i="26"/>
  <c r="F103" i="26"/>
  <c r="F105" i="26"/>
  <c r="G105" i="26" s="1"/>
  <c r="F106" i="26"/>
  <c r="F107" i="26"/>
  <c r="G107" i="26" s="1"/>
  <c r="F108" i="26"/>
  <c r="F109" i="26"/>
  <c r="F110" i="26"/>
  <c r="F111" i="26"/>
  <c r="F112" i="26"/>
  <c r="F113" i="26"/>
  <c r="G113" i="26" s="1"/>
  <c r="F114" i="26"/>
  <c r="F115" i="26"/>
  <c r="G115" i="26" s="1"/>
  <c r="F116" i="26"/>
  <c r="F117" i="26"/>
  <c r="F118" i="26"/>
  <c r="F119" i="26"/>
  <c r="F120" i="26"/>
  <c r="F121" i="26"/>
  <c r="G121" i="26" s="1"/>
  <c r="F122" i="26"/>
  <c r="F123" i="26"/>
  <c r="G123" i="26" s="1"/>
  <c r="F124" i="26"/>
  <c r="F125" i="26"/>
  <c r="F126" i="26"/>
  <c r="F127" i="26"/>
  <c r="F128" i="26"/>
  <c r="F129" i="26"/>
  <c r="G129" i="26" s="1"/>
  <c r="F130" i="26"/>
  <c r="F131" i="26"/>
  <c r="F132" i="26"/>
  <c r="F133" i="26"/>
  <c r="F134" i="26"/>
  <c r="F135" i="26"/>
  <c r="F136" i="26"/>
  <c r="F137" i="26"/>
  <c r="G137" i="26" s="1"/>
  <c r="F138" i="26"/>
  <c r="F139" i="26"/>
  <c r="G139" i="26" s="1"/>
  <c r="F140" i="26"/>
  <c r="F141" i="26"/>
  <c r="F142" i="26"/>
  <c r="F143" i="26"/>
  <c r="F144" i="26"/>
  <c r="F145" i="26"/>
  <c r="G145" i="26" s="1"/>
  <c r="F146" i="26"/>
  <c r="F147" i="26"/>
  <c r="G147" i="26" s="1"/>
  <c r="F148" i="26"/>
  <c r="F149" i="26"/>
  <c r="F150" i="26"/>
  <c r="F151" i="26"/>
  <c r="F152" i="26"/>
  <c r="F153" i="26"/>
  <c r="G153" i="26" s="1"/>
  <c r="F154" i="26"/>
  <c r="F155" i="26"/>
  <c r="G155" i="26" s="1"/>
  <c r="F156" i="26"/>
  <c r="F157" i="26"/>
  <c r="F158" i="26"/>
  <c r="G63" i="26"/>
  <c r="G71" i="26"/>
  <c r="G79" i="26"/>
  <c r="G87" i="26"/>
  <c r="G89" i="26"/>
  <c r="G95" i="26"/>
  <c r="G103" i="26"/>
  <c r="G128" i="26"/>
  <c r="G136" i="26"/>
  <c r="J163" i="27"/>
  <c r="I159" i="27"/>
  <c r="I160" i="27"/>
  <c r="I161" i="27"/>
  <c r="I162" i="27"/>
  <c r="I162" i="29" s="1"/>
  <c r="J162" i="29" s="1"/>
  <c r="I163" i="27"/>
  <c r="I163" i="29" s="1"/>
  <c r="J163" i="29" s="1"/>
  <c r="I164" i="27"/>
  <c r="I164" i="29" s="1"/>
  <c r="J164" i="29" s="1"/>
  <c r="F53" i="27"/>
  <c r="I158" i="1"/>
  <c r="I159" i="1"/>
  <c r="I160" i="1"/>
  <c r="I161" i="1"/>
  <c r="I162" i="1"/>
  <c r="I163" i="1"/>
  <c r="I163" i="34" s="1"/>
  <c r="I164" i="1"/>
  <c r="H158" i="1"/>
  <c r="H159" i="1"/>
  <c r="H159" i="34" s="1"/>
  <c r="H160" i="1"/>
  <c r="H160" i="34" s="1"/>
  <c r="H161" i="1"/>
  <c r="H162" i="1"/>
  <c r="H162" i="34" s="1"/>
  <c r="H163" i="1"/>
  <c r="H163" i="34" s="1"/>
  <c r="H164" i="1"/>
  <c r="H164" i="34" s="1"/>
  <c r="E158" i="1"/>
  <c r="E160" i="1"/>
  <c r="E160" i="34" s="1"/>
  <c r="E161" i="1"/>
  <c r="E162" i="1"/>
  <c r="E162" i="34" s="1"/>
  <c r="E163" i="1"/>
  <c r="E164" i="1"/>
  <c r="D158" i="1"/>
  <c r="D159" i="1"/>
  <c r="D159" i="34" s="1"/>
  <c r="D160" i="1"/>
  <c r="D160" i="34" s="1"/>
  <c r="D161" i="1"/>
  <c r="D161" i="34" s="1"/>
  <c r="D162" i="1"/>
  <c r="D162" i="34" s="1"/>
  <c r="D163" i="1"/>
  <c r="D163" i="34" s="1"/>
  <c r="D164" i="1"/>
  <c r="D164" i="34" s="1"/>
  <c r="C158" i="1"/>
  <c r="C159" i="1"/>
  <c r="C160" i="1"/>
  <c r="C161" i="1"/>
  <c r="C162" i="1"/>
  <c r="C163" i="1"/>
  <c r="C164" i="1"/>
  <c r="C158" i="34"/>
  <c r="C159" i="34"/>
  <c r="C160" i="34"/>
  <c r="C161" i="34"/>
  <c r="C162" i="34"/>
  <c r="C163" i="34"/>
  <c r="C164" i="34"/>
  <c r="F6" i="27"/>
  <c r="G6" i="27" s="1"/>
  <c r="F7" i="27"/>
  <c r="F8" i="27"/>
  <c r="F9" i="27"/>
  <c r="F10" i="27"/>
  <c r="F11" i="27"/>
  <c r="F12" i="27"/>
  <c r="G12" i="27" s="1"/>
  <c r="F13" i="27"/>
  <c r="G13" i="27" s="1"/>
  <c r="F14" i="27"/>
  <c r="G14" i="27" s="1"/>
  <c r="F15" i="27"/>
  <c r="F16" i="27"/>
  <c r="F17" i="27"/>
  <c r="F18" i="27"/>
  <c r="F19" i="27"/>
  <c r="F20" i="27"/>
  <c r="G20" i="27" s="1"/>
  <c r="F21" i="27"/>
  <c r="G21" i="27" s="1"/>
  <c r="F22" i="27"/>
  <c r="F23" i="27"/>
  <c r="F24" i="27"/>
  <c r="F25" i="27"/>
  <c r="F26" i="27"/>
  <c r="F27" i="27"/>
  <c r="F28" i="27"/>
  <c r="G28" i="27" s="1"/>
  <c r="F29" i="27"/>
  <c r="G29" i="27" s="1"/>
  <c r="F30" i="27"/>
  <c r="F31" i="27"/>
  <c r="F32" i="27"/>
  <c r="F33" i="27"/>
  <c r="F34" i="27"/>
  <c r="F35" i="27"/>
  <c r="F36" i="27"/>
  <c r="G36" i="27" s="1"/>
  <c r="F37" i="27"/>
  <c r="G37" i="27" s="1"/>
  <c r="F38" i="27"/>
  <c r="F39" i="27"/>
  <c r="F40" i="27"/>
  <c r="F41" i="27"/>
  <c r="F42" i="27"/>
  <c r="F43" i="27"/>
  <c r="F44" i="27"/>
  <c r="G44" i="27" s="1"/>
  <c r="F45" i="27"/>
  <c r="G45" i="27" s="1"/>
  <c r="F46" i="27"/>
  <c r="F47" i="27"/>
  <c r="F48" i="27"/>
  <c r="F49" i="27"/>
  <c r="F50" i="27"/>
  <c r="F51" i="27"/>
  <c r="F52" i="27"/>
  <c r="G52" i="27" s="1"/>
  <c r="F54" i="27"/>
  <c r="G54" i="27" s="1"/>
  <c r="F55" i="27"/>
  <c r="F56" i="27"/>
  <c r="F57" i="27"/>
  <c r="F58" i="27"/>
  <c r="G58" i="27" s="1"/>
  <c r="F59" i="27"/>
  <c r="G59" i="27" s="1"/>
  <c r="F60" i="27"/>
  <c r="G60" i="27" s="1"/>
  <c r="F61" i="27"/>
  <c r="G61" i="27" s="1"/>
  <c r="F62" i="27"/>
  <c r="G62" i="27" s="1"/>
  <c r="F63" i="27"/>
  <c r="F64" i="27"/>
  <c r="F65" i="27"/>
  <c r="G65" i="27" s="1"/>
  <c r="F66" i="27"/>
  <c r="F67" i="27"/>
  <c r="G67" i="27" s="1"/>
  <c r="F68" i="27"/>
  <c r="F69" i="27"/>
  <c r="G69" i="27" s="1"/>
  <c r="F70" i="27"/>
  <c r="G70" i="27" s="1"/>
  <c r="F71" i="27"/>
  <c r="G71" i="27" s="1"/>
  <c r="F72" i="27"/>
  <c r="G72" i="27" s="1"/>
  <c r="F73" i="27"/>
  <c r="G73" i="27" s="1"/>
  <c r="F74" i="27"/>
  <c r="F75" i="27"/>
  <c r="G75" i="27" s="1"/>
  <c r="F76" i="27"/>
  <c r="F77" i="27"/>
  <c r="G77" i="27" s="1"/>
  <c r="F78" i="27"/>
  <c r="G78" i="27" s="1"/>
  <c r="F79" i="27"/>
  <c r="F80" i="27"/>
  <c r="G80" i="27" s="1"/>
  <c r="F81" i="27"/>
  <c r="G81" i="27" s="1"/>
  <c r="F82" i="27"/>
  <c r="G82" i="27" s="1"/>
  <c r="F83" i="27"/>
  <c r="G83" i="27" s="1"/>
  <c r="F84" i="27"/>
  <c r="G84" i="27" s="1"/>
  <c r="F85" i="27"/>
  <c r="G85" i="27" s="1"/>
  <c r="F86" i="27"/>
  <c r="G86" i="27" s="1"/>
  <c r="F87" i="27"/>
  <c r="G87" i="27" s="1"/>
  <c r="F88" i="27"/>
  <c r="G88" i="27" s="1"/>
  <c r="F89" i="27"/>
  <c r="G89" i="27" s="1"/>
  <c r="F90" i="27"/>
  <c r="G90" i="27" s="1"/>
  <c r="F91" i="27"/>
  <c r="G91" i="27" s="1"/>
  <c r="F92" i="27"/>
  <c r="G92" i="27" s="1"/>
  <c r="F93" i="27"/>
  <c r="G93" i="27" s="1"/>
  <c r="F94" i="27"/>
  <c r="F95" i="27"/>
  <c r="F96" i="27"/>
  <c r="G96" i="27" s="1"/>
  <c r="F97" i="27"/>
  <c r="G97" i="27" s="1"/>
  <c r="F98" i="27"/>
  <c r="G98" i="27" s="1"/>
  <c r="F99" i="27"/>
  <c r="G99" i="27" s="1"/>
  <c r="F100" i="27"/>
  <c r="F101" i="27"/>
  <c r="G101" i="27" s="1"/>
  <c r="F102" i="27"/>
  <c r="G102" i="27" s="1"/>
  <c r="F103" i="27"/>
  <c r="G103" i="27" s="1"/>
  <c r="F104" i="27"/>
  <c r="G105" i="27"/>
  <c r="F106" i="27"/>
  <c r="G106" i="27" s="1"/>
  <c r="F107" i="27"/>
  <c r="G107" i="27" s="1"/>
  <c r="F108" i="27"/>
  <c r="G108" i="27" s="1"/>
  <c r="F109" i="27"/>
  <c r="G109" i="27" s="1"/>
  <c r="F110" i="27"/>
  <c r="G110" i="27" s="1"/>
  <c r="F111" i="27"/>
  <c r="G111" i="27" s="1"/>
  <c r="F112" i="27"/>
  <c r="F113" i="27"/>
  <c r="F114" i="27"/>
  <c r="G114" i="27" s="1"/>
  <c r="F115" i="27"/>
  <c r="G115" i="27" s="1"/>
  <c r="F116" i="27"/>
  <c r="G116" i="27" s="1"/>
  <c r="F117" i="27"/>
  <c r="G117" i="27" s="1"/>
  <c r="F118" i="27"/>
  <c r="G118" i="27" s="1"/>
  <c r="F119" i="27"/>
  <c r="F120" i="27"/>
  <c r="F121" i="27"/>
  <c r="F122" i="27"/>
  <c r="F123" i="27"/>
  <c r="F124" i="27"/>
  <c r="F125" i="27"/>
  <c r="G125" i="27" s="1"/>
  <c r="F126" i="27"/>
  <c r="G126" i="27" s="1"/>
  <c r="F127" i="27"/>
  <c r="F128" i="27"/>
  <c r="F129" i="27"/>
  <c r="F130" i="27"/>
  <c r="F131" i="27"/>
  <c r="F132" i="27"/>
  <c r="F133" i="27"/>
  <c r="G133" i="27" s="1"/>
  <c r="F134" i="27"/>
  <c r="G134" i="27" s="1"/>
  <c r="F135" i="27"/>
  <c r="F136" i="27"/>
  <c r="F137" i="27"/>
  <c r="F138" i="27"/>
  <c r="F139" i="27"/>
  <c r="F140" i="27"/>
  <c r="G140" i="27" s="1"/>
  <c r="F141" i="27"/>
  <c r="G141" i="27" s="1"/>
  <c r="F142" i="27"/>
  <c r="G142" i="27" s="1"/>
  <c r="F143" i="27"/>
  <c r="F144" i="27"/>
  <c r="F145" i="27"/>
  <c r="F146" i="27"/>
  <c r="F147" i="27"/>
  <c r="F148" i="27"/>
  <c r="F149" i="27"/>
  <c r="G149" i="27" s="1"/>
  <c r="F150" i="27"/>
  <c r="G150" i="27" s="1"/>
  <c r="F151" i="27"/>
  <c r="F152" i="27"/>
  <c r="G152" i="27" s="1"/>
  <c r="F153" i="27"/>
  <c r="G153" i="27" s="1"/>
  <c r="F154" i="27"/>
  <c r="F155" i="27"/>
  <c r="G155" i="27" s="1"/>
  <c r="F156" i="27"/>
  <c r="G156" i="27" s="1"/>
  <c r="F157" i="27"/>
  <c r="G157" i="27" s="1"/>
  <c r="F158" i="27"/>
  <c r="G158" i="27" s="1"/>
  <c r="F159" i="27"/>
  <c r="F160" i="27"/>
  <c r="G160" i="27" s="1"/>
  <c r="F161" i="27"/>
  <c r="G161" i="27" s="1"/>
  <c r="F162" i="27"/>
  <c r="F163" i="27"/>
  <c r="G163" i="27" s="1"/>
  <c r="F164" i="27"/>
  <c r="G164" i="27" s="1"/>
  <c r="G7" i="27"/>
  <c r="G8" i="27"/>
  <c r="G9" i="27"/>
  <c r="G10" i="27"/>
  <c r="G11" i="27"/>
  <c r="G15" i="27"/>
  <c r="G16" i="27"/>
  <c r="G17" i="27"/>
  <c r="G18" i="27"/>
  <c r="G19" i="27"/>
  <c r="G22" i="27"/>
  <c r="G23" i="27"/>
  <c r="G24" i="27"/>
  <c r="G25" i="27"/>
  <c r="G26" i="27"/>
  <c r="G27" i="27"/>
  <c r="G30" i="27"/>
  <c r="G31" i="27"/>
  <c r="G32" i="27"/>
  <c r="G33" i="27"/>
  <c r="G34" i="27"/>
  <c r="G35" i="27"/>
  <c r="G38" i="27"/>
  <c r="G39" i="27"/>
  <c r="G40" i="27"/>
  <c r="G41" i="27"/>
  <c r="G42" i="27"/>
  <c r="G43" i="27"/>
  <c r="G46" i="27"/>
  <c r="G47" i="27"/>
  <c r="G48" i="27"/>
  <c r="G49" i="27"/>
  <c r="G50" i="27"/>
  <c r="G51" i="27"/>
  <c r="G53" i="27"/>
  <c r="G55" i="27"/>
  <c r="G56" i="27"/>
  <c r="G57" i="27"/>
  <c r="G63" i="27"/>
  <c r="G64" i="27"/>
  <c r="G66" i="27"/>
  <c r="G68" i="27"/>
  <c r="G74" i="27"/>
  <c r="G76" i="27"/>
  <c r="G79" i="27"/>
  <c r="G94" i="27"/>
  <c r="G95" i="27"/>
  <c r="G100" i="27"/>
  <c r="G104" i="27"/>
  <c r="G112" i="27"/>
  <c r="G113" i="27"/>
  <c r="G119" i="27"/>
  <c r="G120" i="27"/>
  <c r="G121" i="27"/>
  <c r="G122" i="27"/>
  <c r="G123" i="27"/>
  <c r="G124" i="27"/>
  <c r="G127" i="27"/>
  <c r="G128" i="27"/>
  <c r="G129" i="27"/>
  <c r="G130" i="27"/>
  <c r="G131" i="27"/>
  <c r="G132" i="27"/>
  <c r="G135" i="27"/>
  <c r="G136" i="27"/>
  <c r="G137" i="27"/>
  <c r="G138" i="27"/>
  <c r="G139" i="27"/>
  <c r="G143" i="27"/>
  <c r="G144" i="27"/>
  <c r="G145" i="27"/>
  <c r="G146" i="27"/>
  <c r="G147" i="27"/>
  <c r="G148" i="27"/>
  <c r="G151" i="27"/>
  <c r="G154" i="27"/>
  <c r="G159" i="27"/>
  <c r="G162" i="27"/>
  <c r="I4" i="26"/>
  <c r="J4" i="26" s="1"/>
  <c r="I4" i="27"/>
  <c r="J4" i="27" s="1"/>
  <c r="F4" i="27"/>
  <c r="G4" i="27" s="1"/>
  <c r="C159" i="27"/>
  <c r="C160" i="27"/>
  <c r="C161" i="27"/>
  <c r="C162" i="27"/>
  <c r="C163" i="27"/>
  <c r="C164"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I158" i="27"/>
  <c r="J158" i="27" s="1"/>
  <c r="C98" i="29"/>
  <c r="D98" i="29"/>
  <c r="E98" i="29"/>
  <c r="H98" i="29"/>
  <c r="C99" i="29"/>
  <c r="D99" i="29"/>
  <c r="E99" i="29"/>
  <c r="H99" i="29"/>
  <c r="C100" i="29"/>
  <c r="D100" i="29"/>
  <c r="E100" i="29"/>
  <c r="H100" i="29"/>
  <c r="C101" i="29"/>
  <c r="D101" i="29"/>
  <c r="E101" i="29"/>
  <c r="H101" i="29"/>
  <c r="C102" i="29"/>
  <c r="D102" i="29"/>
  <c r="E102" i="29"/>
  <c r="H102" i="29"/>
  <c r="C103" i="29"/>
  <c r="D103" i="29"/>
  <c r="E103" i="29"/>
  <c r="H103" i="29"/>
  <c r="C104" i="29"/>
  <c r="D104" i="29"/>
  <c r="E104" i="29"/>
  <c r="H104" i="29"/>
  <c r="C105" i="29"/>
  <c r="D105" i="29"/>
  <c r="E105" i="29"/>
  <c r="H105" i="29"/>
  <c r="C106" i="29"/>
  <c r="D106" i="29"/>
  <c r="E106" i="29"/>
  <c r="H106" i="29"/>
  <c r="C107" i="29"/>
  <c r="D107" i="29"/>
  <c r="E107" i="29"/>
  <c r="H107" i="29"/>
  <c r="C108" i="29"/>
  <c r="D108" i="29"/>
  <c r="E108" i="29"/>
  <c r="H108" i="29"/>
  <c r="C109" i="29"/>
  <c r="D109" i="29"/>
  <c r="E109" i="29"/>
  <c r="H109" i="29"/>
  <c r="C110" i="29"/>
  <c r="D110" i="29"/>
  <c r="E110" i="29"/>
  <c r="H110" i="29"/>
  <c r="C111" i="29"/>
  <c r="D111" i="29"/>
  <c r="E111" i="29"/>
  <c r="H111" i="29"/>
  <c r="C112" i="29"/>
  <c r="D112" i="29"/>
  <c r="E112" i="29"/>
  <c r="H112" i="29"/>
  <c r="C113" i="29"/>
  <c r="D113" i="29"/>
  <c r="E113" i="29"/>
  <c r="H113" i="29"/>
  <c r="C114" i="29"/>
  <c r="D114" i="29"/>
  <c r="E114" i="29"/>
  <c r="H114" i="29"/>
  <c r="C115" i="29"/>
  <c r="D115" i="29"/>
  <c r="E115" i="29"/>
  <c r="H115" i="29"/>
  <c r="C116" i="29"/>
  <c r="D116" i="29"/>
  <c r="E116" i="29"/>
  <c r="H116" i="29"/>
  <c r="C117" i="29"/>
  <c r="D117" i="29"/>
  <c r="E117" i="29"/>
  <c r="H117" i="29"/>
  <c r="C118" i="29"/>
  <c r="D118" i="29"/>
  <c r="E118" i="29"/>
  <c r="H118" i="29"/>
  <c r="C119" i="29"/>
  <c r="D119" i="29"/>
  <c r="F119" i="29" s="1"/>
  <c r="G119" i="29" s="1"/>
  <c r="E119" i="29"/>
  <c r="H119" i="29"/>
  <c r="C120" i="29"/>
  <c r="D120" i="29"/>
  <c r="E120" i="29"/>
  <c r="H120" i="29"/>
  <c r="C121" i="29"/>
  <c r="D121" i="29"/>
  <c r="E121" i="29"/>
  <c r="H121" i="29"/>
  <c r="C122" i="29"/>
  <c r="D122" i="29"/>
  <c r="E122" i="29"/>
  <c r="H122" i="29"/>
  <c r="C123" i="29"/>
  <c r="D123" i="29"/>
  <c r="E123" i="29"/>
  <c r="H123" i="29"/>
  <c r="C124" i="29"/>
  <c r="D124" i="29"/>
  <c r="E124" i="29"/>
  <c r="H124" i="29"/>
  <c r="C125" i="29"/>
  <c r="D125" i="29"/>
  <c r="E125" i="29"/>
  <c r="H125" i="29"/>
  <c r="C126" i="29"/>
  <c r="D126" i="29"/>
  <c r="E126" i="29"/>
  <c r="H126" i="29"/>
  <c r="C127" i="29"/>
  <c r="D127" i="29"/>
  <c r="E127" i="29"/>
  <c r="H127" i="29"/>
  <c r="C128" i="29"/>
  <c r="D128" i="29"/>
  <c r="E128" i="29"/>
  <c r="H128" i="29"/>
  <c r="C129" i="29"/>
  <c r="D129" i="29"/>
  <c r="E129" i="29"/>
  <c r="H129" i="29"/>
  <c r="C130" i="29"/>
  <c r="D130" i="29"/>
  <c r="E130" i="29"/>
  <c r="H130" i="29"/>
  <c r="C131" i="29"/>
  <c r="D131" i="29"/>
  <c r="E131" i="29"/>
  <c r="H131" i="29"/>
  <c r="C132" i="29"/>
  <c r="D132" i="29"/>
  <c r="E132" i="29"/>
  <c r="H132" i="29"/>
  <c r="C133" i="29"/>
  <c r="D133" i="29"/>
  <c r="E133" i="29"/>
  <c r="H133" i="29"/>
  <c r="C134" i="29"/>
  <c r="D134" i="29"/>
  <c r="E134" i="29"/>
  <c r="H134" i="29"/>
  <c r="C135" i="29"/>
  <c r="D135" i="29"/>
  <c r="E135" i="29"/>
  <c r="H135" i="29"/>
  <c r="C136" i="29"/>
  <c r="D136" i="29"/>
  <c r="E136" i="29"/>
  <c r="H136" i="29"/>
  <c r="C137" i="29"/>
  <c r="D137" i="29"/>
  <c r="E137" i="29"/>
  <c r="H137" i="29"/>
  <c r="C138" i="29"/>
  <c r="D138" i="29"/>
  <c r="E138" i="29"/>
  <c r="H138" i="29"/>
  <c r="C139" i="29"/>
  <c r="D139" i="29"/>
  <c r="E139" i="29"/>
  <c r="H139" i="29"/>
  <c r="C140" i="29"/>
  <c r="D140" i="29"/>
  <c r="E140" i="29"/>
  <c r="H140" i="29"/>
  <c r="C141" i="29"/>
  <c r="D141" i="29"/>
  <c r="E141" i="29"/>
  <c r="H141" i="29"/>
  <c r="C142" i="29"/>
  <c r="D142" i="29"/>
  <c r="E142" i="29"/>
  <c r="H142" i="29"/>
  <c r="C143" i="29"/>
  <c r="D143" i="29"/>
  <c r="E143" i="29"/>
  <c r="H143" i="29"/>
  <c r="C144" i="29"/>
  <c r="D144" i="29"/>
  <c r="E144" i="29"/>
  <c r="H144" i="29"/>
  <c r="C145" i="29"/>
  <c r="D145" i="29"/>
  <c r="E145" i="29"/>
  <c r="H145" i="29"/>
  <c r="C146" i="29"/>
  <c r="D146" i="29"/>
  <c r="E146" i="29"/>
  <c r="H146" i="29"/>
  <c r="C147" i="29"/>
  <c r="D147" i="29"/>
  <c r="E147" i="29"/>
  <c r="H147" i="29"/>
  <c r="C148" i="29"/>
  <c r="D148" i="29"/>
  <c r="E148" i="29"/>
  <c r="H148" i="29"/>
  <c r="C149" i="29"/>
  <c r="D149" i="29"/>
  <c r="E149" i="29"/>
  <c r="H149" i="29"/>
  <c r="C150" i="29"/>
  <c r="D150" i="29"/>
  <c r="E150" i="29"/>
  <c r="H150" i="29"/>
  <c r="C151" i="29"/>
  <c r="D151" i="29"/>
  <c r="E151" i="29"/>
  <c r="H151" i="29"/>
  <c r="C152" i="29"/>
  <c r="D152" i="29"/>
  <c r="E152" i="29"/>
  <c r="H152" i="29"/>
  <c r="C153" i="29"/>
  <c r="D153" i="29"/>
  <c r="E153" i="29"/>
  <c r="H153" i="29"/>
  <c r="C154" i="29"/>
  <c r="D154" i="29"/>
  <c r="E154" i="29"/>
  <c r="H154" i="29"/>
  <c r="C155" i="29"/>
  <c r="D155" i="29"/>
  <c r="E155" i="29"/>
  <c r="H155" i="29"/>
  <c r="C156" i="29"/>
  <c r="D156" i="29"/>
  <c r="E156" i="29"/>
  <c r="H156" i="29"/>
  <c r="C157" i="29"/>
  <c r="D157" i="29"/>
  <c r="E157" i="29"/>
  <c r="H157" i="29"/>
  <c r="C158" i="29"/>
  <c r="D158" i="29"/>
  <c r="E158" i="29"/>
  <c r="H158" i="29"/>
  <c r="C96" i="29"/>
  <c r="D96" i="29"/>
  <c r="E96" i="29"/>
  <c r="H96" i="29"/>
  <c r="C97" i="29"/>
  <c r="D97" i="29"/>
  <c r="E97" i="29"/>
  <c r="H97" i="29"/>
  <c r="F121" i="30"/>
  <c r="G121" i="30" s="1"/>
  <c r="F122" i="30"/>
  <c r="G122" i="30" s="1"/>
  <c r="F138" i="30"/>
  <c r="G138" i="30" s="1"/>
  <c r="F153" i="30"/>
  <c r="G153" i="30" s="1"/>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5" i="29"/>
  <c r="H4"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5" i="29"/>
  <c r="E4"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5" i="29"/>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I4" i="72"/>
  <c r="I5" i="72"/>
  <c r="D4" i="29"/>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5" i="18"/>
  <c r="H4" i="18"/>
  <c r="B4" i="29" a="1"/>
  <c r="B4" i="29" s="1"/>
  <c r="A4" i="29" a="1"/>
  <c r="A4" i="29" s="1"/>
  <c r="B4" i="30" a="1"/>
  <c r="B4" i="30" s="1"/>
  <c r="A4" i="30" a="1"/>
  <c r="A4" i="30" s="1"/>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5" i="18"/>
  <c r="E4"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5" i="34" s="1"/>
  <c r="D156" i="18"/>
  <c r="D157" i="18"/>
  <c r="D158" i="18"/>
  <c r="D5" i="18"/>
  <c r="D4" i="18"/>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5" i="1"/>
  <c r="H4"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5" i="1"/>
  <c r="E4" i="1"/>
  <c r="D6" i="1"/>
  <c r="D7" i="1"/>
  <c r="D8" i="1"/>
  <c r="D9" i="1"/>
  <c r="D10" i="1"/>
  <c r="D11" i="1"/>
  <c r="D12" i="1"/>
  <c r="D13" i="1"/>
  <c r="D14" i="1"/>
  <c r="D15" i="1"/>
  <c r="D16" i="1"/>
  <c r="D17" i="1"/>
  <c r="D18" i="1"/>
  <c r="D19" i="1"/>
  <c r="F19" i="1" s="1"/>
  <c r="G19" i="1" s="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7" i="34" s="1"/>
  <c r="D118" i="1"/>
  <c r="D119" i="1"/>
  <c r="D120" i="1"/>
  <c r="D121" i="1"/>
  <c r="D121" i="34" s="1"/>
  <c r="D122" i="1"/>
  <c r="D122" i="34" s="1"/>
  <c r="D123" i="1"/>
  <c r="D124" i="1"/>
  <c r="D125" i="1"/>
  <c r="D126" i="1"/>
  <c r="D127" i="1"/>
  <c r="D128" i="1"/>
  <c r="D129" i="1"/>
  <c r="D130" i="1"/>
  <c r="D131" i="1"/>
  <c r="D132" i="1"/>
  <c r="D133" i="1"/>
  <c r="D134" i="1"/>
  <c r="D135" i="1"/>
  <c r="D136" i="1"/>
  <c r="D137" i="1"/>
  <c r="D138" i="1"/>
  <c r="D139" i="1"/>
  <c r="D140" i="1"/>
  <c r="D140" i="34" s="1"/>
  <c r="D141" i="1"/>
  <c r="D142" i="1"/>
  <c r="D143" i="1"/>
  <c r="D144" i="1"/>
  <c r="D145" i="1"/>
  <c r="D146" i="1"/>
  <c r="D147" i="1"/>
  <c r="D148" i="1"/>
  <c r="D148" i="34" s="1"/>
  <c r="D149" i="1"/>
  <c r="D150" i="1"/>
  <c r="D151" i="1"/>
  <c r="D152" i="1"/>
  <c r="D153" i="1"/>
  <c r="D154" i="1"/>
  <c r="D156" i="1"/>
  <c r="D156" i="34" s="1"/>
  <c r="D157" i="1"/>
  <c r="D5" i="1"/>
  <c r="D4" i="1"/>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140" i="34"/>
  <c r="C141" i="34"/>
  <c r="C142" i="34"/>
  <c r="C143" i="34"/>
  <c r="C144" i="34"/>
  <c r="C145" i="34"/>
  <c r="C146" i="34"/>
  <c r="C147" i="34"/>
  <c r="C148" i="34"/>
  <c r="C149" i="34"/>
  <c r="C150" i="34"/>
  <c r="C151" i="34"/>
  <c r="C152" i="34"/>
  <c r="C153" i="34"/>
  <c r="C154" i="34"/>
  <c r="C155" i="34"/>
  <c r="C156" i="34"/>
  <c r="C157" i="34"/>
  <c r="B4" i="34" a="1"/>
  <c r="B4" i="34" s="1"/>
  <c r="A4" i="34" a="1"/>
  <c r="A4" i="34" s="1"/>
  <c r="B4" i="26" a="1"/>
  <c r="B4" i="26" s="1"/>
  <c r="A4" i="26" a="1"/>
  <c r="A4" i="26" s="1"/>
  <c r="B4" i="19" a="1"/>
  <c r="B4" i="19" s="1"/>
  <c r="A4" i="19" a="1"/>
  <c r="A4" i="19" s="1"/>
  <c r="B4" i="20" a="1"/>
  <c r="B4" i="20" s="1"/>
  <c r="A4" i="20" a="1"/>
  <c r="A4" i="20" s="1"/>
  <c r="B4" i="21" a="1"/>
  <c r="B4" i="21" s="1"/>
  <c r="A4" i="21" a="1"/>
  <c r="A4" i="21" s="1"/>
  <c r="B4" i="4" a="1"/>
  <c r="B4" i="4" s="1"/>
  <c r="A4" i="4" a="1"/>
  <c r="A4" i="4" s="1"/>
  <c r="B4" i="3" a="1"/>
  <c r="B4" i="3" s="1"/>
  <c r="B4" i="72" a="1"/>
  <c r="B4" i="72" s="1"/>
  <c r="A4" i="3" a="1"/>
  <c r="A4" i="3" s="1"/>
  <c r="A4" i="72" a="1"/>
  <c r="A4" i="72" s="1"/>
  <c r="C93" i="72"/>
  <c r="F93" i="72"/>
  <c r="G93" i="72" s="1"/>
  <c r="I93" i="72"/>
  <c r="J93" i="72" s="1"/>
  <c r="C94" i="72"/>
  <c r="F94" i="72"/>
  <c r="G94" i="72" s="1"/>
  <c r="I94" i="72"/>
  <c r="C95" i="72"/>
  <c r="F95" i="72"/>
  <c r="G95" i="72" s="1"/>
  <c r="I95" i="72"/>
  <c r="J95" i="72" s="1"/>
  <c r="I5" i="26"/>
  <c r="J5" i="26" s="1"/>
  <c r="I6" i="26"/>
  <c r="J6" i="26" s="1"/>
  <c r="I7" i="26"/>
  <c r="I8" i="26"/>
  <c r="I9" i="26"/>
  <c r="I10" i="26"/>
  <c r="I11" i="26"/>
  <c r="J11" i="26" s="1"/>
  <c r="I12" i="26"/>
  <c r="J12" i="26" s="1"/>
  <c r="I13" i="26"/>
  <c r="J13" i="26" s="1"/>
  <c r="I14" i="26"/>
  <c r="J14" i="26" s="1"/>
  <c r="I15" i="26"/>
  <c r="J15" i="26" s="1"/>
  <c r="I16" i="26"/>
  <c r="J16" i="26" s="1"/>
  <c r="I17" i="26"/>
  <c r="I18" i="26"/>
  <c r="J18" i="26" s="1"/>
  <c r="I19" i="26"/>
  <c r="J19" i="26" s="1"/>
  <c r="I20" i="26"/>
  <c r="J20" i="26" s="1"/>
  <c r="I21" i="26"/>
  <c r="J21" i="26" s="1"/>
  <c r="I22" i="26"/>
  <c r="I23" i="26"/>
  <c r="I24" i="26"/>
  <c r="J24" i="26" s="1"/>
  <c r="I25" i="26"/>
  <c r="I26" i="26"/>
  <c r="J26" i="26" s="1"/>
  <c r="I27" i="26"/>
  <c r="I28" i="26"/>
  <c r="J28" i="26" s="1"/>
  <c r="I29" i="26"/>
  <c r="J29" i="26" s="1"/>
  <c r="I30" i="26"/>
  <c r="J30" i="26" s="1"/>
  <c r="I31" i="26"/>
  <c r="J31" i="26" s="1"/>
  <c r="I32" i="26"/>
  <c r="J32" i="26" s="1"/>
  <c r="I33" i="26"/>
  <c r="I34" i="26"/>
  <c r="J34" i="26" s="1"/>
  <c r="I35" i="26"/>
  <c r="I36" i="26"/>
  <c r="J36" i="26" s="1"/>
  <c r="I37" i="26"/>
  <c r="J37" i="26" s="1"/>
  <c r="I38" i="26"/>
  <c r="J38" i="26" s="1"/>
  <c r="I39" i="26"/>
  <c r="J39" i="26" s="1"/>
  <c r="I40" i="26"/>
  <c r="J40" i="26" s="1"/>
  <c r="I41" i="26"/>
  <c r="J41" i="26" s="1"/>
  <c r="I42" i="26"/>
  <c r="J42" i="26" s="1"/>
  <c r="I43" i="26"/>
  <c r="J43" i="26" s="1"/>
  <c r="I44" i="26"/>
  <c r="J44" i="26" s="1"/>
  <c r="I45" i="26"/>
  <c r="J45" i="26" s="1"/>
  <c r="I46" i="26"/>
  <c r="J46" i="26" s="1"/>
  <c r="I47" i="26"/>
  <c r="J47" i="26" s="1"/>
  <c r="I48" i="26"/>
  <c r="J48" i="26" s="1"/>
  <c r="I49" i="26"/>
  <c r="I50" i="26"/>
  <c r="I51" i="26"/>
  <c r="J51" i="26" s="1"/>
  <c r="I52" i="26"/>
  <c r="J52" i="26" s="1"/>
  <c r="I53" i="26"/>
  <c r="J53" i="26" s="1"/>
  <c r="I54" i="26"/>
  <c r="J54" i="26" s="1"/>
  <c r="I55" i="26"/>
  <c r="J55" i="26" s="1"/>
  <c r="I56" i="26"/>
  <c r="J56" i="26" s="1"/>
  <c r="I57" i="26"/>
  <c r="I58" i="26"/>
  <c r="J58" i="26" s="1"/>
  <c r="I59" i="26"/>
  <c r="J59" i="26" s="1"/>
  <c r="I60" i="26"/>
  <c r="J60" i="26" s="1"/>
  <c r="I61" i="26"/>
  <c r="J61" i="26" s="1"/>
  <c r="I62" i="26"/>
  <c r="J62" i="26" s="1"/>
  <c r="I63" i="26"/>
  <c r="J63" i="26" s="1"/>
  <c r="I64" i="26"/>
  <c r="J64" i="26" s="1"/>
  <c r="I65" i="26"/>
  <c r="I66" i="26"/>
  <c r="I67" i="26"/>
  <c r="J67" i="26" s="1"/>
  <c r="I68" i="26"/>
  <c r="J68" i="26" s="1"/>
  <c r="I69" i="26"/>
  <c r="I70" i="26"/>
  <c r="I71" i="26"/>
  <c r="I72" i="26"/>
  <c r="J72" i="26" s="1"/>
  <c r="I73" i="26"/>
  <c r="J73" i="26" s="1"/>
  <c r="I74" i="26"/>
  <c r="J74" i="26" s="1"/>
  <c r="I75" i="26"/>
  <c r="J75" i="26" s="1"/>
  <c r="I76" i="26"/>
  <c r="J76" i="26" s="1"/>
  <c r="I77" i="26"/>
  <c r="J77" i="26" s="1"/>
  <c r="I78" i="26"/>
  <c r="J78" i="26" s="1"/>
  <c r="I79" i="26"/>
  <c r="J79" i="26" s="1"/>
  <c r="I80" i="26"/>
  <c r="J80" i="26" s="1"/>
  <c r="I81" i="26"/>
  <c r="J81" i="26" s="1"/>
  <c r="I82" i="26"/>
  <c r="J82" i="26" s="1"/>
  <c r="I83" i="26"/>
  <c r="J83" i="26" s="1"/>
  <c r="I84" i="26"/>
  <c r="J84" i="26" s="1"/>
  <c r="I85" i="26"/>
  <c r="J85" i="26" s="1"/>
  <c r="I86" i="26"/>
  <c r="J86" i="26" s="1"/>
  <c r="I87" i="26"/>
  <c r="J87" i="26" s="1"/>
  <c r="I88" i="26"/>
  <c r="J88" i="26" s="1"/>
  <c r="I89" i="26"/>
  <c r="J89" i="26" s="1"/>
  <c r="I90" i="26"/>
  <c r="J90" i="26" s="1"/>
  <c r="I91" i="26"/>
  <c r="J91" i="26" s="1"/>
  <c r="I92" i="26"/>
  <c r="J92" i="26" s="1"/>
  <c r="I93" i="26"/>
  <c r="I94" i="26"/>
  <c r="J94" i="26" s="1"/>
  <c r="I95" i="26"/>
  <c r="J95" i="26" s="1"/>
  <c r="I96" i="26"/>
  <c r="I97" i="26"/>
  <c r="J97" i="26" s="1"/>
  <c r="I98" i="26"/>
  <c r="J98" i="26" s="1"/>
  <c r="I99" i="26"/>
  <c r="J99" i="26" s="1"/>
  <c r="I100" i="26"/>
  <c r="I101" i="26"/>
  <c r="J101" i="26" s="1"/>
  <c r="I102" i="26"/>
  <c r="J102" i="26" s="1"/>
  <c r="I103" i="26"/>
  <c r="J103" i="26" s="1"/>
  <c r="I104" i="26"/>
  <c r="J104" i="26" s="1"/>
  <c r="I105" i="26"/>
  <c r="J105" i="26" s="1"/>
  <c r="I106" i="26"/>
  <c r="J106" i="26" s="1"/>
  <c r="I107" i="26"/>
  <c r="J107" i="26" s="1"/>
  <c r="I108" i="26"/>
  <c r="I109" i="26"/>
  <c r="I110" i="26"/>
  <c r="J110" i="26" s="1"/>
  <c r="I111" i="26"/>
  <c r="J111" i="26" s="1"/>
  <c r="I112" i="26"/>
  <c r="J112" i="26" s="1"/>
  <c r="I113" i="26"/>
  <c r="J113" i="26" s="1"/>
  <c r="I114" i="26"/>
  <c r="J114" i="26" s="1"/>
  <c r="I115" i="26"/>
  <c r="J115" i="26" s="1"/>
  <c r="I116" i="26"/>
  <c r="J116" i="26" s="1"/>
  <c r="I117" i="26"/>
  <c r="J117" i="26" s="1"/>
  <c r="I118" i="26"/>
  <c r="J118" i="26" s="1"/>
  <c r="I119" i="26"/>
  <c r="J119" i="26" s="1"/>
  <c r="I120" i="26"/>
  <c r="J120" i="26" s="1"/>
  <c r="I121" i="26"/>
  <c r="J121" i="26" s="1"/>
  <c r="I122" i="26"/>
  <c r="I123" i="26"/>
  <c r="J123" i="26" s="1"/>
  <c r="I124" i="26"/>
  <c r="J124" i="26" s="1"/>
  <c r="I125" i="26"/>
  <c r="J125" i="26" s="1"/>
  <c r="I126" i="26"/>
  <c r="J126" i="26" s="1"/>
  <c r="I127" i="26"/>
  <c r="J127" i="26" s="1"/>
  <c r="I128" i="26"/>
  <c r="J128" i="26" s="1"/>
  <c r="I129" i="26"/>
  <c r="I130" i="26"/>
  <c r="J130" i="26" s="1"/>
  <c r="I131" i="26"/>
  <c r="J131" i="26" s="1"/>
  <c r="I132" i="26"/>
  <c r="J132" i="26" s="1"/>
  <c r="I133" i="26"/>
  <c r="J133" i="26" s="1"/>
  <c r="I134" i="26"/>
  <c r="J134" i="26" s="1"/>
  <c r="I135" i="26"/>
  <c r="J135" i="26" s="1"/>
  <c r="I136" i="26"/>
  <c r="J136" i="26" s="1"/>
  <c r="I137" i="26"/>
  <c r="J137" i="26" s="1"/>
  <c r="I138" i="26"/>
  <c r="J138" i="26" s="1"/>
  <c r="I139" i="26"/>
  <c r="J139" i="26" s="1"/>
  <c r="I140" i="26"/>
  <c r="J140" i="26" s="1"/>
  <c r="I141" i="26"/>
  <c r="J141" i="26" s="1"/>
  <c r="I142" i="26"/>
  <c r="I143" i="26"/>
  <c r="J143" i="26" s="1"/>
  <c r="I144" i="26"/>
  <c r="I145" i="26"/>
  <c r="I146" i="26"/>
  <c r="I147" i="26"/>
  <c r="I148" i="26"/>
  <c r="I149" i="26"/>
  <c r="J149" i="26" s="1"/>
  <c r="I150" i="26"/>
  <c r="J150" i="26" s="1"/>
  <c r="I151" i="26"/>
  <c r="J151" i="26" s="1"/>
  <c r="I152" i="26"/>
  <c r="J152" i="26" s="1"/>
  <c r="I153" i="26"/>
  <c r="I154" i="26"/>
  <c r="J154" i="26" s="1"/>
  <c r="I155" i="26"/>
  <c r="J155" i="26" s="1"/>
  <c r="G142" i="26"/>
  <c r="G130" i="26"/>
  <c r="G131" i="26"/>
  <c r="G132" i="26"/>
  <c r="G133" i="26"/>
  <c r="G134" i="26"/>
  <c r="G135" i="26"/>
  <c r="G138" i="26"/>
  <c r="G140" i="26"/>
  <c r="G141" i="26"/>
  <c r="G143" i="26"/>
  <c r="G144" i="26"/>
  <c r="G146" i="26"/>
  <c r="G148" i="26"/>
  <c r="G149" i="26"/>
  <c r="G150" i="26"/>
  <c r="G151" i="26"/>
  <c r="G152" i="26"/>
  <c r="G154" i="26"/>
  <c r="G156" i="26"/>
  <c r="G157" i="26"/>
  <c r="G158" i="26"/>
  <c r="G118" i="26"/>
  <c r="G119" i="26"/>
  <c r="G120" i="26"/>
  <c r="G122" i="26"/>
  <c r="G124" i="26"/>
  <c r="G125" i="26"/>
  <c r="G126" i="26"/>
  <c r="G127" i="26"/>
  <c r="F17" i="26"/>
  <c r="G17" i="26" s="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J138" i="19"/>
  <c r="I119" i="19"/>
  <c r="J119" i="19" s="1"/>
  <c r="I120" i="19"/>
  <c r="J120" i="19" s="1"/>
  <c r="I121" i="19"/>
  <c r="I122" i="19"/>
  <c r="J122" i="19" s="1"/>
  <c r="I123" i="19"/>
  <c r="J123" i="19" s="1"/>
  <c r="I124" i="19"/>
  <c r="J124" i="19" s="1"/>
  <c r="I125" i="19"/>
  <c r="J125" i="19" s="1"/>
  <c r="I126" i="19"/>
  <c r="J126" i="19" s="1"/>
  <c r="I127" i="19"/>
  <c r="J127" i="19" s="1"/>
  <c r="I128" i="19"/>
  <c r="J128" i="19" s="1"/>
  <c r="I129" i="19"/>
  <c r="J129" i="19" s="1"/>
  <c r="I130" i="19"/>
  <c r="I131" i="19"/>
  <c r="J131" i="19" s="1"/>
  <c r="I132" i="19"/>
  <c r="J132" i="19" s="1"/>
  <c r="I133" i="19"/>
  <c r="J133" i="19" s="1"/>
  <c r="I134" i="19"/>
  <c r="J134" i="19" s="1"/>
  <c r="I135" i="19"/>
  <c r="J135" i="19" s="1"/>
  <c r="I136" i="19"/>
  <c r="J136" i="19" s="1"/>
  <c r="I137" i="19"/>
  <c r="J137" i="19" s="1"/>
  <c r="I138" i="19"/>
  <c r="I139" i="19"/>
  <c r="J139" i="19" s="1"/>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s="1"/>
  <c r="I154" i="19"/>
  <c r="J154" i="19" s="1"/>
  <c r="I155" i="19"/>
  <c r="J155" i="19" s="1"/>
  <c r="I156" i="19"/>
  <c r="J156" i="19" s="1"/>
  <c r="I157" i="19"/>
  <c r="J157" i="19" s="1"/>
  <c r="F69" i="19"/>
  <c r="G69" i="19" s="1"/>
  <c r="F70" i="19"/>
  <c r="G70" i="19" s="1"/>
  <c r="F71" i="19"/>
  <c r="G71" i="19" s="1"/>
  <c r="F72" i="19"/>
  <c r="F73" i="19"/>
  <c r="F74" i="19"/>
  <c r="G74" i="19" s="1"/>
  <c r="F75" i="19"/>
  <c r="G75" i="19" s="1"/>
  <c r="F76" i="19"/>
  <c r="G76" i="19" s="1"/>
  <c r="F77" i="19"/>
  <c r="G77" i="19" s="1"/>
  <c r="F78" i="19"/>
  <c r="G78" i="19" s="1"/>
  <c r="F79" i="19"/>
  <c r="G79" i="19" s="1"/>
  <c r="F80" i="19"/>
  <c r="G80" i="19" s="1"/>
  <c r="F81" i="19"/>
  <c r="G81" i="19" s="1"/>
  <c r="F82" i="19"/>
  <c r="G82" i="19" s="1"/>
  <c r="F83" i="19"/>
  <c r="G83" i="19" s="1"/>
  <c r="F84" i="19"/>
  <c r="G84" i="19" s="1"/>
  <c r="F85" i="19"/>
  <c r="G85" i="19" s="1"/>
  <c r="F86" i="19"/>
  <c r="G86" i="19" s="1"/>
  <c r="F87" i="19"/>
  <c r="G87" i="19" s="1"/>
  <c r="F88" i="19"/>
  <c r="F89" i="19"/>
  <c r="F90" i="19"/>
  <c r="F91" i="19"/>
  <c r="G91" i="19" s="1"/>
  <c r="F92" i="19"/>
  <c r="G92" i="19" s="1"/>
  <c r="F93" i="19"/>
  <c r="G93" i="19" s="1"/>
  <c r="F94" i="19"/>
  <c r="G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F107" i="19"/>
  <c r="G107" i="19" s="1"/>
  <c r="F108" i="19"/>
  <c r="G108" i="19" s="1"/>
  <c r="F109" i="19"/>
  <c r="G109" i="19" s="1"/>
  <c r="F110" i="19"/>
  <c r="G110" i="19" s="1"/>
  <c r="F111" i="19"/>
  <c r="G111" i="19" s="1"/>
  <c r="F112" i="19"/>
  <c r="G112" i="19" s="1"/>
  <c r="F113" i="19"/>
  <c r="G113" i="19" s="1"/>
  <c r="F114" i="19"/>
  <c r="G114" i="19" s="1"/>
  <c r="F115" i="19"/>
  <c r="G115" i="19" s="1"/>
  <c r="F116" i="19"/>
  <c r="G116" i="19" s="1"/>
  <c r="F117" i="19"/>
  <c r="G117" i="19" s="1"/>
  <c r="F118" i="19"/>
  <c r="G118" i="19" s="1"/>
  <c r="F119" i="19"/>
  <c r="G119" i="19" s="1"/>
  <c r="F120" i="19"/>
  <c r="G120" i="19" s="1"/>
  <c r="F121" i="19"/>
  <c r="G121" i="19" s="1"/>
  <c r="F122" i="19"/>
  <c r="G122" i="19" s="1"/>
  <c r="F123" i="19"/>
  <c r="G123" i="19" s="1"/>
  <c r="F124" i="19"/>
  <c r="G124" i="19" s="1"/>
  <c r="F125" i="19"/>
  <c r="G125" i="19" s="1"/>
  <c r="F126" i="19"/>
  <c r="G126" i="19" s="1"/>
  <c r="F127" i="19"/>
  <c r="G127" i="19" s="1"/>
  <c r="F128" i="19"/>
  <c r="G128" i="19" s="1"/>
  <c r="F129" i="19"/>
  <c r="G129" i="19" s="1"/>
  <c r="F130" i="19"/>
  <c r="G130" i="19" s="1"/>
  <c r="F131" i="19"/>
  <c r="G131" i="19" s="1"/>
  <c r="F132" i="19"/>
  <c r="G132" i="19" s="1"/>
  <c r="F133" i="19"/>
  <c r="G133" i="19" s="1"/>
  <c r="F134" i="19"/>
  <c r="G134" i="19" s="1"/>
  <c r="F135" i="19"/>
  <c r="G135" i="19" s="1"/>
  <c r="F136" i="19"/>
  <c r="G136" i="19" s="1"/>
  <c r="F137" i="19"/>
  <c r="G137" i="19" s="1"/>
  <c r="F138" i="19"/>
  <c r="G138" i="19" s="1"/>
  <c r="F139" i="19"/>
  <c r="G139" i="19" s="1"/>
  <c r="F140" i="19"/>
  <c r="G140" i="19" s="1"/>
  <c r="F141" i="19"/>
  <c r="G141" i="19" s="1"/>
  <c r="F142" i="19"/>
  <c r="G142" i="19" s="1"/>
  <c r="F143" i="19"/>
  <c r="G143" i="19" s="1"/>
  <c r="F144" i="19"/>
  <c r="G144" i="19" s="1"/>
  <c r="F145" i="19"/>
  <c r="G145" i="19" s="1"/>
  <c r="F146" i="19"/>
  <c r="G146" i="19" s="1"/>
  <c r="F147" i="19"/>
  <c r="G147" i="19" s="1"/>
  <c r="F148" i="19"/>
  <c r="G148" i="19" s="1"/>
  <c r="F149" i="19"/>
  <c r="G149" i="19" s="1"/>
  <c r="F150" i="19"/>
  <c r="G150" i="19" s="1"/>
  <c r="F151" i="19"/>
  <c r="G151" i="19" s="1"/>
  <c r="F152" i="19"/>
  <c r="G152" i="19" s="1"/>
  <c r="F153" i="19"/>
  <c r="G153" i="19" s="1"/>
  <c r="F154" i="19"/>
  <c r="G154" i="19" s="1"/>
  <c r="F155" i="19"/>
  <c r="G155" i="19" s="1"/>
  <c r="F156" i="19"/>
  <c r="G156" i="19" s="1"/>
  <c r="F157" i="19"/>
  <c r="G157" i="19" s="1"/>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4" i="20"/>
  <c r="C5" i="20"/>
  <c r="C5" i="33"/>
  <c r="C5" i="32"/>
  <c r="C5" i="31"/>
  <c r="C5" i="27"/>
  <c r="I28" i="20"/>
  <c r="I7" i="20"/>
  <c r="I118" i="20"/>
  <c r="I137" i="20"/>
  <c r="I138" i="20"/>
  <c r="I139" i="20"/>
  <c r="I140" i="20"/>
  <c r="I141" i="20"/>
  <c r="I142" i="20"/>
  <c r="I143" i="20"/>
  <c r="I144" i="20"/>
  <c r="I145" i="20"/>
  <c r="I146" i="20"/>
  <c r="I147" i="20"/>
  <c r="I148" i="20"/>
  <c r="I149" i="20"/>
  <c r="I150" i="20"/>
  <c r="I151" i="20"/>
  <c r="C150" i="21"/>
  <c r="J201" i="18"/>
  <c r="I98" i="21"/>
  <c r="J98" i="21" s="1"/>
  <c r="I99" i="21"/>
  <c r="J99" i="21" s="1"/>
  <c r="I100" i="21"/>
  <c r="J100" i="21" s="1"/>
  <c r="I101" i="21"/>
  <c r="J101" i="21" s="1"/>
  <c r="I102" i="21"/>
  <c r="J102" i="21" s="1"/>
  <c r="I103" i="21"/>
  <c r="J103" i="21" s="1"/>
  <c r="I104" i="21"/>
  <c r="J104" i="21" s="1"/>
  <c r="I105" i="21"/>
  <c r="J105" i="21" s="1"/>
  <c r="I106" i="21"/>
  <c r="J106" i="21" s="1"/>
  <c r="I107" i="21"/>
  <c r="J107" i="21" s="1"/>
  <c r="I108" i="21"/>
  <c r="J108" i="21" s="1"/>
  <c r="I109" i="21"/>
  <c r="J109" i="21" s="1"/>
  <c r="I110" i="21"/>
  <c r="J110" i="21" s="1"/>
  <c r="I111" i="21"/>
  <c r="J111" i="21" s="1"/>
  <c r="I112" i="21"/>
  <c r="J112" i="21" s="1"/>
  <c r="I113" i="21"/>
  <c r="J113" i="21" s="1"/>
  <c r="I114" i="21"/>
  <c r="J114" i="21" s="1"/>
  <c r="I115" i="21"/>
  <c r="J115" i="21" s="1"/>
  <c r="I116" i="21"/>
  <c r="J116" i="21" s="1"/>
  <c r="I117" i="21"/>
  <c r="J117" i="21" s="1"/>
  <c r="I118" i="21"/>
  <c r="J118" i="21" s="1"/>
  <c r="I119" i="21"/>
  <c r="J119" i="21" s="1"/>
  <c r="I120" i="21"/>
  <c r="J120" i="21" s="1"/>
  <c r="I121" i="21"/>
  <c r="J121" i="21" s="1"/>
  <c r="I122" i="21"/>
  <c r="J122" i="21" s="1"/>
  <c r="I123" i="21"/>
  <c r="J123" i="21" s="1"/>
  <c r="I124" i="21"/>
  <c r="J124" i="21" s="1"/>
  <c r="I125" i="21"/>
  <c r="J125" i="21" s="1"/>
  <c r="I126" i="21"/>
  <c r="J126" i="21" s="1"/>
  <c r="I127" i="21"/>
  <c r="J127" i="21" s="1"/>
  <c r="I128" i="21"/>
  <c r="J128" i="21" s="1"/>
  <c r="I129" i="21"/>
  <c r="J129" i="21" s="1"/>
  <c r="I130" i="21"/>
  <c r="J130" i="21" s="1"/>
  <c r="I131" i="21"/>
  <c r="J131" i="21" s="1"/>
  <c r="I132" i="21"/>
  <c r="J132" i="21" s="1"/>
  <c r="I133" i="21"/>
  <c r="J133" i="21" s="1"/>
  <c r="I134" i="21"/>
  <c r="J134" i="21" s="1"/>
  <c r="I135" i="21"/>
  <c r="J135" i="21" s="1"/>
  <c r="I136" i="21"/>
  <c r="J136" i="21" s="1"/>
  <c r="I137" i="21"/>
  <c r="J137" i="21" s="1"/>
  <c r="I138" i="21"/>
  <c r="J138" i="21" s="1"/>
  <c r="I139" i="21"/>
  <c r="J139" i="21" s="1"/>
  <c r="I140" i="21"/>
  <c r="J140" i="21" s="1"/>
  <c r="I141" i="21"/>
  <c r="J141" i="21" s="1"/>
  <c r="I142" i="21"/>
  <c r="J142" i="21" s="1"/>
  <c r="I143" i="21"/>
  <c r="J143" i="21" s="1"/>
  <c r="I144" i="21"/>
  <c r="J144" i="21" s="1"/>
  <c r="I145" i="21"/>
  <c r="J145" i="21" s="1"/>
  <c r="I146" i="21"/>
  <c r="J146" i="21" s="1"/>
  <c r="I147" i="21"/>
  <c r="J147" i="21" s="1"/>
  <c r="I148" i="21"/>
  <c r="J148" i="21" s="1"/>
  <c r="I149" i="21"/>
  <c r="J149" i="21" s="1"/>
  <c r="I150" i="21"/>
  <c r="J150" i="21" s="1"/>
  <c r="I151" i="21"/>
  <c r="J151" i="21" s="1"/>
  <c r="I152" i="21"/>
  <c r="J152" i="21" s="1"/>
  <c r="I153" i="21"/>
  <c r="J153" i="21" s="1"/>
  <c r="I154" i="21"/>
  <c r="J154" i="21" s="1"/>
  <c r="I155" i="21"/>
  <c r="J155" i="21" s="1"/>
  <c r="I156" i="21"/>
  <c r="J156" i="21" s="1"/>
  <c r="I157" i="21"/>
  <c r="J157" i="21" s="1"/>
  <c r="F96" i="21"/>
  <c r="G96" i="21" s="1"/>
  <c r="F97" i="21"/>
  <c r="G97" i="21" s="1"/>
  <c r="F98" i="21"/>
  <c r="G98" i="21" s="1"/>
  <c r="F99" i="21"/>
  <c r="G99" i="21" s="1"/>
  <c r="F100" i="21"/>
  <c r="G100" i="21" s="1"/>
  <c r="F101" i="21"/>
  <c r="G101" i="21" s="1"/>
  <c r="F102" i="21"/>
  <c r="G102" i="21" s="1"/>
  <c r="F103" i="21"/>
  <c r="G103" i="21" s="1"/>
  <c r="F104" i="21"/>
  <c r="G104" i="21" s="1"/>
  <c r="F105" i="21"/>
  <c r="G105" i="21" s="1"/>
  <c r="F106" i="21"/>
  <c r="G106" i="21" s="1"/>
  <c r="F107" i="21"/>
  <c r="G107" i="21" s="1"/>
  <c r="F108" i="21"/>
  <c r="G108" i="21" s="1"/>
  <c r="F109" i="21"/>
  <c r="G109" i="21" s="1"/>
  <c r="F110" i="21"/>
  <c r="G110" i="21" s="1"/>
  <c r="F111" i="21"/>
  <c r="G111" i="21" s="1"/>
  <c r="F112" i="21"/>
  <c r="G112" i="21" s="1"/>
  <c r="F113" i="21"/>
  <c r="G113" i="21" s="1"/>
  <c r="F114" i="21"/>
  <c r="G114" i="21" s="1"/>
  <c r="F115" i="21"/>
  <c r="G115" i="21" s="1"/>
  <c r="F116" i="21"/>
  <c r="G116" i="21" s="1"/>
  <c r="F117" i="21"/>
  <c r="G117" i="21" s="1"/>
  <c r="F118" i="21"/>
  <c r="G118" i="21" s="1"/>
  <c r="F119" i="21"/>
  <c r="G119" i="21" s="1"/>
  <c r="F120" i="21"/>
  <c r="G120" i="21" s="1"/>
  <c r="F121" i="21"/>
  <c r="G121" i="21" s="1"/>
  <c r="F122" i="21"/>
  <c r="G122" i="21" s="1"/>
  <c r="F123" i="21"/>
  <c r="G123" i="21" s="1"/>
  <c r="F124" i="21"/>
  <c r="G124" i="21" s="1"/>
  <c r="F125" i="21"/>
  <c r="G125" i="21" s="1"/>
  <c r="F126" i="21"/>
  <c r="G126" i="21" s="1"/>
  <c r="F127" i="21"/>
  <c r="G127" i="21" s="1"/>
  <c r="F128" i="21"/>
  <c r="G128" i="21" s="1"/>
  <c r="F129" i="21"/>
  <c r="G129" i="21" s="1"/>
  <c r="F130" i="21"/>
  <c r="G130" i="21" s="1"/>
  <c r="F131" i="21"/>
  <c r="G131" i="21" s="1"/>
  <c r="F132" i="21"/>
  <c r="G132" i="21" s="1"/>
  <c r="F133" i="21"/>
  <c r="G133" i="21" s="1"/>
  <c r="F134" i="21"/>
  <c r="G134" i="21" s="1"/>
  <c r="F135" i="21"/>
  <c r="G135" i="21" s="1"/>
  <c r="F136" i="21"/>
  <c r="G136" i="21" s="1"/>
  <c r="F137" i="21"/>
  <c r="G137" i="21" s="1"/>
  <c r="F138" i="21"/>
  <c r="G138" i="21" s="1"/>
  <c r="F139" i="21"/>
  <c r="G139" i="21" s="1"/>
  <c r="F140" i="21"/>
  <c r="G140" i="21" s="1"/>
  <c r="F141" i="21"/>
  <c r="G141" i="21" s="1"/>
  <c r="F142" i="21"/>
  <c r="G142" i="21" s="1"/>
  <c r="F143" i="21"/>
  <c r="G143" i="21" s="1"/>
  <c r="F144" i="21"/>
  <c r="G144" i="21" s="1"/>
  <c r="F145" i="21"/>
  <c r="G145" i="21" s="1"/>
  <c r="F146" i="21"/>
  <c r="G146" i="21" s="1"/>
  <c r="F147" i="21"/>
  <c r="G147" i="21" s="1"/>
  <c r="F148" i="21"/>
  <c r="G148" i="21" s="1"/>
  <c r="F149" i="21"/>
  <c r="G149" i="21" s="1"/>
  <c r="F150" i="21"/>
  <c r="G150" i="21" s="1"/>
  <c r="F151" i="21"/>
  <c r="G151" i="21" s="1"/>
  <c r="F152" i="21"/>
  <c r="G152" i="21" s="1"/>
  <c r="F153" i="21"/>
  <c r="G153" i="21" s="1"/>
  <c r="F154" i="21"/>
  <c r="G154" i="21" s="1"/>
  <c r="F155" i="21"/>
  <c r="G155" i="21" s="1"/>
  <c r="F156" i="21"/>
  <c r="G156" i="21" s="1"/>
  <c r="F157" i="21"/>
  <c r="G157" i="21" s="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1" i="21"/>
  <c r="C152" i="21"/>
  <c r="C153" i="21"/>
  <c r="C154" i="21"/>
  <c r="C155" i="21"/>
  <c r="C156" i="21"/>
  <c r="C157" i="21"/>
  <c r="C158" i="21"/>
  <c r="F156" i="30"/>
  <c r="G156" i="30" s="1"/>
  <c r="F157" i="30"/>
  <c r="G157" i="30" s="1"/>
  <c r="F158" i="30"/>
  <c r="G158" i="30" s="1"/>
  <c r="C154" i="30"/>
  <c r="C155" i="30"/>
  <c r="C156" i="30"/>
  <c r="C157" i="30"/>
  <c r="C158" i="30"/>
  <c r="G106" i="4"/>
  <c r="G121" i="4"/>
  <c r="G139" i="4"/>
  <c r="I106" i="4"/>
  <c r="J106" i="4" s="1"/>
  <c r="F101" i="4"/>
  <c r="G101" i="4" s="1"/>
  <c r="F102" i="4"/>
  <c r="G102" i="4" s="1"/>
  <c r="F103" i="4"/>
  <c r="G103" i="4" s="1"/>
  <c r="F104" i="4"/>
  <c r="G104" i="4" s="1"/>
  <c r="F105" i="4"/>
  <c r="G105" i="4" s="1"/>
  <c r="F106" i="4"/>
  <c r="F107" i="4"/>
  <c r="G107" i="4" s="1"/>
  <c r="F108" i="4"/>
  <c r="G108" i="4" s="1"/>
  <c r="F109" i="4"/>
  <c r="G109" i="4" s="1"/>
  <c r="F110" i="4"/>
  <c r="G110" i="4" s="1"/>
  <c r="F111" i="4"/>
  <c r="G111" i="4" s="1"/>
  <c r="F112" i="4"/>
  <c r="G112" i="4" s="1"/>
  <c r="F113" i="4"/>
  <c r="G113" i="4" s="1"/>
  <c r="F114" i="4"/>
  <c r="G114" i="4" s="1"/>
  <c r="F115" i="4"/>
  <c r="G115" i="4" s="1"/>
  <c r="F116" i="4"/>
  <c r="G116" i="4" s="1"/>
  <c r="F117" i="4"/>
  <c r="G117" i="4" s="1"/>
  <c r="F118" i="4"/>
  <c r="G118" i="4" s="1"/>
  <c r="F119" i="4"/>
  <c r="G119" i="4" s="1"/>
  <c r="F120" i="4"/>
  <c r="G120" i="4" s="1"/>
  <c r="F121" i="4"/>
  <c r="F122" i="4"/>
  <c r="G122" i="4" s="1"/>
  <c r="F123" i="4"/>
  <c r="G123" i="4" s="1"/>
  <c r="F124" i="4"/>
  <c r="G124" i="4" s="1"/>
  <c r="F125" i="4"/>
  <c r="G125" i="4" s="1"/>
  <c r="F126" i="4"/>
  <c r="G126" i="4" s="1"/>
  <c r="F127" i="4"/>
  <c r="G127" i="4" s="1"/>
  <c r="F128" i="4"/>
  <c r="G128" i="4"/>
  <c r="F129" i="4"/>
  <c r="G129" i="4" s="1"/>
  <c r="F130" i="4"/>
  <c r="G130" i="4" s="1"/>
  <c r="F131" i="4"/>
  <c r="G131" i="4" s="1"/>
  <c r="F132" i="4"/>
  <c r="G132" i="4" s="1"/>
  <c r="F133" i="4"/>
  <c r="G133" i="4" s="1"/>
  <c r="F134" i="4"/>
  <c r="G134" i="4" s="1"/>
  <c r="F135" i="4"/>
  <c r="G135" i="4" s="1"/>
  <c r="F136" i="4"/>
  <c r="G136" i="4" s="1"/>
  <c r="F137" i="4"/>
  <c r="G137" i="4" s="1"/>
  <c r="F138" i="4"/>
  <c r="G138" i="4" s="1"/>
  <c r="F139" i="4"/>
  <c r="F140" i="4"/>
  <c r="G140" i="4" s="1"/>
  <c r="F141" i="4"/>
  <c r="G141" i="4" s="1"/>
  <c r="F142" i="4"/>
  <c r="G142" i="4" s="1"/>
  <c r="F143" i="4"/>
  <c r="G143" i="4" s="1"/>
  <c r="F144" i="4"/>
  <c r="G144" i="4" s="1"/>
  <c r="F145" i="4"/>
  <c r="G145" i="4" s="1"/>
  <c r="F146" i="4"/>
  <c r="G146" i="4" s="1"/>
  <c r="F147" i="4"/>
  <c r="G147" i="4" s="1"/>
  <c r="F148" i="4"/>
  <c r="G148" i="4" s="1"/>
  <c r="F149" i="4"/>
  <c r="G149" i="4" s="1"/>
  <c r="F150" i="4"/>
  <c r="G150" i="4" s="1"/>
  <c r="F151" i="4"/>
  <c r="G151" i="4" s="1"/>
  <c r="F152" i="4"/>
  <c r="G152" i="4" s="1"/>
  <c r="F153" i="4"/>
  <c r="G153" i="4" s="1"/>
  <c r="F154" i="4"/>
  <c r="G154" i="4" s="1"/>
  <c r="F155" i="4"/>
  <c r="G155" i="4" s="1"/>
  <c r="F156" i="4"/>
  <c r="G156" i="4" s="1"/>
  <c r="F157" i="4"/>
  <c r="G157" i="4" s="1"/>
  <c r="F158" i="4"/>
  <c r="G158" i="4" s="1"/>
  <c r="J104" i="4"/>
  <c r="J113" i="4"/>
  <c r="I97" i="4"/>
  <c r="J97" i="4" s="1"/>
  <c r="I98" i="4"/>
  <c r="J98" i="4" s="1"/>
  <c r="I99" i="4"/>
  <c r="J99" i="4" s="1"/>
  <c r="I100" i="4"/>
  <c r="J100" i="4" s="1"/>
  <c r="I101" i="4"/>
  <c r="J101" i="4" s="1"/>
  <c r="I102" i="4"/>
  <c r="J102" i="4" s="1"/>
  <c r="I103" i="4"/>
  <c r="J103" i="4" s="1"/>
  <c r="I104" i="4"/>
  <c r="I105" i="4"/>
  <c r="J105" i="4"/>
  <c r="I107" i="4"/>
  <c r="J107" i="4" s="1"/>
  <c r="I108" i="4"/>
  <c r="J108" i="4" s="1"/>
  <c r="I109" i="4"/>
  <c r="J109" i="4" s="1"/>
  <c r="I110" i="4"/>
  <c r="J110" i="4" s="1"/>
  <c r="I111" i="4"/>
  <c r="J111" i="4" s="1"/>
  <c r="I112" i="4"/>
  <c r="J112" i="4" s="1"/>
  <c r="I113" i="4"/>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s="1"/>
  <c r="I130" i="4"/>
  <c r="J130" i="4" s="1"/>
  <c r="I131" i="4"/>
  <c r="J131" i="4" s="1"/>
  <c r="I132" i="4"/>
  <c r="J132" i="4" s="1"/>
  <c r="I133" i="4"/>
  <c r="J133" i="4" s="1"/>
  <c r="I134" i="4"/>
  <c r="J134" i="4" s="1"/>
  <c r="I135" i="4"/>
  <c r="J135" i="4" s="1"/>
  <c r="I136" i="4"/>
  <c r="J136" i="4" s="1"/>
  <c r="I137" i="4"/>
  <c r="J137" i="4" s="1"/>
  <c r="I138" i="4"/>
  <c r="J138" i="4" s="1"/>
  <c r="I139" i="4"/>
  <c r="J139" i="4" s="1"/>
  <c r="I140" i="4"/>
  <c r="J140" i="4" s="1"/>
  <c r="I141" i="4"/>
  <c r="J141" i="4" s="1"/>
  <c r="I142" i="4"/>
  <c r="J142" i="4" s="1"/>
  <c r="I143" i="4"/>
  <c r="J143" i="4" s="1"/>
  <c r="I144" i="4"/>
  <c r="J144" i="4" s="1"/>
  <c r="I145" i="4"/>
  <c r="J145" i="4" s="1"/>
  <c r="I146" i="4"/>
  <c r="J146" i="4" s="1"/>
  <c r="I147" i="4"/>
  <c r="J147" i="4" s="1"/>
  <c r="I148" i="4"/>
  <c r="J148" i="4" s="1"/>
  <c r="I149" i="4"/>
  <c r="J149" i="4" s="1"/>
  <c r="I150" i="4"/>
  <c r="J150" i="4" s="1"/>
  <c r="I151" i="4"/>
  <c r="J151" i="4" s="1"/>
  <c r="I152" i="4"/>
  <c r="J152" i="4" s="1"/>
  <c r="I153" i="4"/>
  <c r="J153" i="4" s="1"/>
  <c r="I154" i="4"/>
  <c r="J154" i="4" s="1"/>
  <c r="I155" i="4"/>
  <c r="J155" i="4" s="1"/>
  <c r="I156" i="4"/>
  <c r="J156" i="4" s="1"/>
  <c r="I157" i="4"/>
  <c r="J157" i="4" s="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F98" i="4"/>
  <c r="G98" i="4" s="1"/>
  <c r="F99" i="4"/>
  <c r="G99" i="4" s="1"/>
  <c r="F100" i="4"/>
  <c r="G100" i="4" s="1"/>
  <c r="F62" i="4"/>
  <c r="G62" i="4" s="1"/>
  <c r="F63" i="4"/>
  <c r="G63" i="4" s="1"/>
  <c r="C143" i="30"/>
  <c r="C144" i="30"/>
  <c r="C145" i="30"/>
  <c r="C146" i="30"/>
  <c r="C147" i="30"/>
  <c r="C148" i="30"/>
  <c r="C149" i="30"/>
  <c r="C150" i="30"/>
  <c r="C151" i="30"/>
  <c r="C152" i="30"/>
  <c r="C153" i="30"/>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18" i="3"/>
  <c r="C119" i="3"/>
  <c r="C158" i="72"/>
  <c r="C157" i="72"/>
  <c r="C155" i="72"/>
  <c r="C156" i="72"/>
  <c r="C154" i="72"/>
  <c r="C147" i="72"/>
  <c r="C146" i="72"/>
  <c r="C145" i="72"/>
  <c r="C144" i="72"/>
  <c r="C143" i="72"/>
  <c r="C141" i="72"/>
  <c r="C139" i="72"/>
  <c r="C137" i="72"/>
  <c r="C135" i="72"/>
  <c r="C133" i="72"/>
  <c r="C131" i="72"/>
  <c r="C129" i="72"/>
  <c r="C127" i="72"/>
  <c r="C125" i="72"/>
  <c r="C123" i="72"/>
  <c r="C121" i="72"/>
  <c r="C122" i="72"/>
  <c r="I147" i="3"/>
  <c r="J147" i="3" s="1"/>
  <c r="I148" i="3"/>
  <c r="J148" i="3" s="1"/>
  <c r="I149" i="3"/>
  <c r="J149" i="3" s="1"/>
  <c r="I150" i="3"/>
  <c r="J150" i="3" s="1"/>
  <c r="I151" i="3"/>
  <c r="J151" i="3" s="1"/>
  <c r="I152" i="3"/>
  <c r="J152" i="3" s="1"/>
  <c r="I153" i="3"/>
  <c r="J153" i="3" s="1"/>
  <c r="F148" i="3"/>
  <c r="G148" i="3"/>
  <c r="F149" i="3"/>
  <c r="G149" i="3" s="1"/>
  <c r="F150" i="3"/>
  <c r="G150" i="3" s="1"/>
  <c r="F151" i="3"/>
  <c r="G151" i="3" s="1"/>
  <c r="F152" i="3"/>
  <c r="G152" i="3" s="1"/>
  <c r="F153" i="3"/>
  <c r="G153" i="3" s="1"/>
  <c r="I122" i="72"/>
  <c r="J122" i="72" s="1"/>
  <c r="I123" i="72"/>
  <c r="I124" i="72"/>
  <c r="I124" i="1" s="1"/>
  <c r="I125" i="72"/>
  <c r="J125" i="72" s="1"/>
  <c r="I126" i="72"/>
  <c r="I127" i="72"/>
  <c r="I128" i="72"/>
  <c r="I128" i="1" s="1"/>
  <c r="I129" i="72"/>
  <c r="I129" i="1" s="1"/>
  <c r="I130" i="72"/>
  <c r="J130" i="72" s="1"/>
  <c r="I131" i="72"/>
  <c r="I132" i="72"/>
  <c r="I132" i="1" s="1"/>
  <c r="I133" i="72"/>
  <c r="I133" i="1" s="1"/>
  <c r="I134" i="72"/>
  <c r="I135" i="72"/>
  <c r="I136" i="72"/>
  <c r="I136" i="1" s="1"/>
  <c r="I137" i="72"/>
  <c r="I137" i="1" s="1"/>
  <c r="I138" i="72"/>
  <c r="J138" i="72" s="1"/>
  <c r="I139" i="72"/>
  <c r="I140" i="72"/>
  <c r="J140" i="72" s="1"/>
  <c r="I141" i="72"/>
  <c r="J141" i="72" s="1"/>
  <c r="I142" i="72"/>
  <c r="I143" i="72"/>
  <c r="I144" i="72"/>
  <c r="I144" i="1" s="1"/>
  <c r="I145" i="72"/>
  <c r="J145" i="72" s="1"/>
  <c r="I146" i="72"/>
  <c r="I147" i="72"/>
  <c r="I148" i="72"/>
  <c r="I149" i="72"/>
  <c r="I149" i="1" s="1"/>
  <c r="I150" i="72"/>
  <c r="I151" i="72"/>
  <c r="I151" i="1" s="1"/>
  <c r="I152" i="72"/>
  <c r="J152" i="72" s="1"/>
  <c r="I153" i="72"/>
  <c r="J153" i="72" s="1"/>
  <c r="F144" i="72"/>
  <c r="G144" i="72" s="1"/>
  <c r="F145" i="72"/>
  <c r="G145" i="72" s="1"/>
  <c r="F146" i="72"/>
  <c r="G146" i="72" s="1"/>
  <c r="F147" i="72"/>
  <c r="G147" i="72" s="1"/>
  <c r="F148" i="72"/>
  <c r="G148" i="72" s="1"/>
  <c r="F149" i="72"/>
  <c r="G149" i="72" s="1"/>
  <c r="F150" i="72"/>
  <c r="G150" i="72" s="1"/>
  <c r="F151" i="72"/>
  <c r="G151" i="72" s="1"/>
  <c r="F152" i="72"/>
  <c r="G152" i="72" s="1"/>
  <c r="F153" i="72"/>
  <c r="G153" i="72" s="1"/>
  <c r="C149" i="72"/>
  <c r="C150" i="72"/>
  <c r="C151" i="72"/>
  <c r="C152" i="72"/>
  <c r="C153" i="72"/>
  <c r="C148" i="72"/>
  <c r="I96" i="3"/>
  <c r="J96" i="3" s="1"/>
  <c r="I97" i="3"/>
  <c r="J97" i="3" s="1"/>
  <c r="I98" i="3"/>
  <c r="J98" i="3" s="1"/>
  <c r="I99" i="3"/>
  <c r="J99" i="3" s="1"/>
  <c r="I100" i="3"/>
  <c r="J100" i="3" s="1"/>
  <c r="I101" i="3"/>
  <c r="J101" i="3" s="1"/>
  <c r="I102" i="3"/>
  <c r="J102" i="3" s="1"/>
  <c r="I103" i="3"/>
  <c r="J103" i="3" s="1"/>
  <c r="I104" i="3"/>
  <c r="J104" i="3" s="1"/>
  <c r="I105" i="3"/>
  <c r="J105" i="3" s="1"/>
  <c r="I106" i="3"/>
  <c r="J106" i="3" s="1"/>
  <c r="I107" i="3"/>
  <c r="J107" i="3" s="1"/>
  <c r="I108" i="3"/>
  <c r="J108" i="3" s="1"/>
  <c r="I109" i="3"/>
  <c r="J109" i="3" s="1"/>
  <c r="I110" i="3"/>
  <c r="J110" i="3" s="1"/>
  <c r="I111" i="3"/>
  <c r="J111" i="3" s="1"/>
  <c r="I112" i="3"/>
  <c r="J112" i="3" s="1"/>
  <c r="I113" i="3"/>
  <c r="J113" i="3" s="1"/>
  <c r="I114" i="3"/>
  <c r="J114" i="3" s="1"/>
  <c r="I115" i="3"/>
  <c r="J115" i="3" s="1"/>
  <c r="I116" i="3"/>
  <c r="J116" i="3" s="1"/>
  <c r="I117" i="3"/>
  <c r="J117" i="3" s="1"/>
  <c r="I118" i="3"/>
  <c r="J118" i="3" s="1"/>
  <c r="I119" i="3"/>
  <c r="J119" i="3" s="1"/>
  <c r="I120" i="3"/>
  <c r="J120" i="3" s="1"/>
  <c r="I121" i="3"/>
  <c r="J121" i="3" s="1"/>
  <c r="I122" i="3"/>
  <c r="J122" i="3" s="1"/>
  <c r="I123" i="3"/>
  <c r="J123" i="3" s="1"/>
  <c r="I124" i="3"/>
  <c r="J124" i="3" s="1"/>
  <c r="I125" i="3"/>
  <c r="J125" i="3" s="1"/>
  <c r="I126" i="3"/>
  <c r="J126" i="3" s="1"/>
  <c r="I127" i="3"/>
  <c r="J127" i="3" s="1"/>
  <c r="I128" i="3"/>
  <c r="J128" i="3" s="1"/>
  <c r="I129" i="3"/>
  <c r="I130" i="3"/>
  <c r="J130" i="3" s="1"/>
  <c r="I131" i="3"/>
  <c r="J131" i="3" s="1"/>
  <c r="I132" i="3"/>
  <c r="J132" i="3" s="1"/>
  <c r="I133" i="3"/>
  <c r="J133" i="3" s="1"/>
  <c r="I134" i="3"/>
  <c r="J134" i="3" s="1"/>
  <c r="I135" i="3"/>
  <c r="J135" i="3" s="1"/>
  <c r="I136" i="3"/>
  <c r="J136" i="3" s="1"/>
  <c r="I137" i="3"/>
  <c r="J137" i="3" s="1"/>
  <c r="I138" i="3"/>
  <c r="J138" i="3" s="1"/>
  <c r="I139" i="3"/>
  <c r="J139" i="3" s="1"/>
  <c r="I140" i="3"/>
  <c r="J140" i="3" s="1"/>
  <c r="I141" i="3"/>
  <c r="J141" i="3" s="1"/>
  <c r="I142" i="3"/>
  <c r="J142" i="3" s="1"/>
  <c r="I143" i="3"/>
  <c r="J143" i="3" s="1"/>
  <c r="I144" i="3"/>
  <c r="J144" i="3" s="1"/>
  <c r="I145" i="3"/>
  <c r="J145" i="3" s="1"/>
  <c r="I146" i="3"/>
  <c r="J146" i="3" s="1"/>
  <c r="F146" i="3"/>
  <c r="G146" i="3" s="1"/>
  <c r="F147" i="3"/>
  <c r="G147" i="3"/>
  <c r="F144" i="3"/>
  <c r="G144" i="3" s="1"/>
  <c r="F145" i="3"/>
  <c r="G145" i="3" s="1"/>
  <c r="I47" i="72"/>
  <c r="J47" i="72" s="1"/>
  <c r="I48" i="72"/>
  <c r="I49" i="72"/>
  <c r="J49" i="72" s="1"/>
  <c r="I50" i="72"/>
  <c r="J50" i="72" s="1"/>
  <c r="I51" i="72"/>
  <c r="I52" i="72"/>
  <c r="F47" i="72"/>
  <c r="G47" i="72" s="1"/>
  <c r="F48" i="72"/>
  <c r="G48" i="72" s="1"/>
  <c r="F49" i="72"/>
  <c r="G49" i="72" s="1"/>
  <c r="F50" i="72"/>
  <c r="G50" i="72" s="1"/>
  <c r="F51" i="72"/>
  <c r="G51" i="72" s="1"/>
  <c r="F52" i="72"/>
  <c r="G52" i="72" s="1"/>
  <c r="I96" i="72"/>
  <c r="J96" i="72" s="1"/>
  <c r="I97" i="72"/>
  <c r="I97" i="1" s="1"/>
  <c r="I98" i="72"/>
  <c r="I98" i="1" s="1"/>
  <c r="I99" i="72"/>
  <c r="I100" i="72"/>
  <c r="J100" i="72" s="1"/>
  <c r="I101" i="72"/>
  <c r="I101" i="1" s="1"/>
  <c r="I102" i="72"/>
  <c r="I103" i="72"/>
  <c r="I104" i="72"/>
  <c r="I104" i="1" s="1"/>
  <c r="I105" i="72"/>
  <c r="J105" i="72" s="1"/>
  <c r="I106" i="72"/>
  <c r="J106" i="72" s="1"/>
  <c r="I107" i="72"/>
  <c r="I108" i="72"/>
  <c r="I109" i="72"/>
  <c r="I109" i="1" s="1"/>
  <c r="I110" i="72"/>
  <c r="I111" i="72"/>
  <c r="I112" i="72"/>
  <c r="I112" i="1" s="1"/>
  <c r="I113" i="72"/>
  <c r="I113" i="1" s="1"/>
  <c r="I114" i="72"/>
  <c r="I115" i="72"/>
  <c r="I116" i="72"/>
  <c r="I117" i="72"/>
  <c r="I118" i="72"/>
  <c r="J118" i="72" s="1"/>
  <c r="I119" i="72"/>
  <c r="I119" i="1" s="1"/>
  <c r="I120" i="72"/>
  <c r="I120" i="1" s="1"/>
  <c r="I121" i="72"/>
  <c r="I121" i="1" s="1"/>
  <c r="F96" i="72"/>
  <c r="F97" i="72"/>
  <c r="F98" i="72"/>
  <c r="G98" i="72" s="1"/>
  <c r="F99" i="72"/>
  <c r="G99" i="72" s="1"/>
  <c r="F100" i="72"/>
  <c r="G100" i="72" s="1"/>
  <c r="F101" i="72"/>
  <c r="F102" i="72"/>
  <c r="G102" i="72" s="1"/>
  <c r="F103" i="72"/>
  <c r="G103" i="72" s="1"/>
  <c r="F104" i="72"/>
  <c r="G104" i="72" s="1"/>
  <c r="F105" i="72"/>
  <c r="G105" i="72" s="1"/>
  <c r="F106" i="72"/>
  <c r="G106" i="72" s="1"/>
  <c r="F107" i="72"/>
  <c r="G107" i="72" s="1"/>
  <c r="F108" i="72"/>
  <c r="G108" i="72" s="1"/>
  <c r="F109" i="72"/>
  <c r="G109" i="72" s="1"/>
  <c r="F110" i="72"/>
  <c r="G110" i="72" s="1"/>
  <c r="F111" i="72"/>
  <c r="G111" i="72" s="1"/>
  <c r="F112" i="72"/>
  <c r="G112" i="72" s="1"/>
  <c r="F113" i="72"/>
  <c r="G113" i="72" s="1"/>
  <c r="F114" i="72"/>
  <c r="G114" i="72" s="1"/>
  <c r="F115" i="72"/>
  <c r="G115" i="72" s="1"/>
  <c r="F116" i="72"/>
  <c r="G116" i="72" s="1"/>
  <c r="F117" i="72"/>
  <c r="G117" i="72" s="1"/>
  <c r="F118" i="72"/>
  <c r="G118" i="72" s="1"/>
  <c r="F119" i="72"/>
  <c r="G119" i="72" s="1"/>
  <c r="F120" i="72"/>
  <c r="G120" i="72" s="1"/>
  <c r="F121" i="72"/>
  <c r="G121" i="72" s="1"/>
  <c r="F122" i="72"/>
  <c r="G122" i="72" s="1"/>
  <c r="F123" i="72"/>
  <c r="G123" i="72" s="1"/>
  <c r="F124" i="72"/>
  <c r="G124" i="72" s="1"/>
  <c r="F125" i="72"/>
  <c r="G125" i="72" s="1"/>
  <c r="F126" i="72"/>
  <c r="G126" i="72" s="1"/>
  <c r="F127" i="72"/>
  <c r="G127" i="72" s="1"/>
  <c r="F128" i="72"/>
  <c r="G128" i="72" s="1"/>
  <c r="F129" i="72"/>
  <c r="G129" i="72" s="1"/>
  <c r="F130" i="72"/>
  <c r="G130" i="72" s="1"/>
  <c r="F131" i="72"/>
  <c r="G131" i="72" s="1"/>
  <c r="F132" i="72"/>
  <c r="G132" i="72" s="1"/>
  <c r="F133" i="72"/>
  <c r="G133" i="72" s="1"/>
  <c r="F134" i="72"/>
  <c r="G134" i="72" s="1"/>
  <c r="F135" i="72"/>
  <c r="G135" i="72" s="1"/>
  <c r="F136" i="72"/>
  <c r="G136" i="72" s="1"/>
  <c r="F137" i="72"/>
  <c r="G137" i="72" s="1"/>
  <c r="F138" i="72"/>
  <c r="G138" i="72" s="1"/>
  <c r="F139" i="72"/>
  <c r="G139" i="72" s="1"/>
  <c r="F140" i="72"/>
  <c r="G140" i="72" s="1"/>
  <c r="F141" i="72"/>
  <c r="G141" i="72" s="1"/>
  <c r="F142" i="72"/>
  <c r="G142" i="72" s="1"/>
  <c r="F143" i="72"/>
  <c r="G143" i="72" s="1"/>
  <c r="G96" i="72"/>
  <c r="G97" i="72"/>
  <c r="G101" i="72"/>
  <c r="F96" i="3"/>
  <c r="G96" i="3" s="1"/>
  <c r="F97" i="3"/>
  <c r="G97" i="3" s="1"/>
  <c r="F98" i="3"/>
  <c r="G98" i="3"/>
  <c r="F99" i="3"/>
  <c r="G99" i="3"/>
  <c r="F100" i="3"/>
  <c r="G100" i="3" s="1"/>
  <c r="F101" i="3"/>
  <c r="G101" i="3" s="1"/>
  <c r="F102" i="3"/>
  <c r="G102" i="3"/>
  <c r="F103" i="3"/>
  <c r="G103" i="3" s="1"/>
  <c r="F104" i="3"/>
  <c r="G104" i="3" s="1"/>
  <c r="F105" i="3"/>
  <c r="G105" i="3"/>
  <c r="F106" i="3"/>
  <c r="G106" i="3"/>
  <c r="F107" i="3"/>
  <c r="G107" i="3"/>
  <c r="F108" i="3"/>
  <c r="G108" i="3" s="1"/>
  <c r="F109" i="3"/>
  <c r="G109" i="3" s="1"/>
  <c r="F110" i="3"/>
  <c r="G110" i="3"/>
  <c r="F111" i="3"/>
  <c r="G111" i="3" s="1"/>
  <c r="F112" i="3"/>
  <c r="G112" i="3" s="1"/>
  <c r="F113" i="3"/>
  <c r="G113" i="3" s="1"/>
  <c r="F114" i="3"/>
  <c r="G114" i="3" s="1"/>
  <c r="F115" i="3"/>
  <c r="G115" i="3" s="1"/>
  <c r="F116" i="3"/>
  <c r="G116" i="3" s="1"/>
  <c r="F117" i="3"/>
  <c r="G117" i="3" s="1"/>
  <c r="F118" i="3"/>
  <c r="G118" i="3" s="1"/>
  <c r="F119" i="3"/>
  <c r="G119" i="3" s="1"/>
  <c r="F120" i="3"/>
  <c r="G120" i="3"/>
  <c r="F121" i="3"/>
  <c r="G121" i="3"/>
  <c r="F122" i="3"/>
  <c r="G122" i="3"/>
  <c r="F123" i="3"/>
  <c r="G123" i="3" s="1"/>
  <c r="F124" i="3"/>
  <c r="G124" i="3" s="1"/>
  <c r="F125" i="3"/>
  <c r="G125" i="3" s="1"/>
  <c r="F126" i="3"/>
  <c r="G126" i="3" s="1"/>
  <c r="F127" i="3"/>
  <c r="G127" i="3" s="1"/>
  <c r="F128" i="3"/>
  <c r="G128" i="3"/>
  <c r="F129" i="3"/>
  <c r="G129" i="3"/>
  <c r="F130" i="3"/>
  <c r="G130" i="3" s="1"/>
  <c r="F131" i="3"/>
  <c r="G131" i="3" s="1"/>
  <c r="F132" i="3"/>
  <c r="G132" i="3" s="1"/>
  <c r="F133" i="3"/>
  <c r="G133" i="3" s="1"/>
  <c r="F134" i="3"/>
  <c r="G134" i="3" s="1"/>
  <c r="F135" i="3"/>
  <c r="G135" i="3" s="1"/>
  <c r="F136" i="3"/>
  <c r="G136" i="3" s="1"/>
  <c r="F137" i="3"/>
  <c r="G137" i="3"/>
  <c r="F138" i="3"/>
  <c r="G138" i="3" s="1"/>
  <c r="F139" i="3"/>
  <c r="G139" i="3" s="1"/>
  <c r="F140" i="3"/>
  <c r="G140" i="3" s="1"/>
  <c r="F141" i="3"/>
  <c r="G141" i="3" s="1"/>
  <c r="F142" i="3"/>
  <c r="G142" i="3" s="1"/>
  <c r="F143" i="3"/>
  <c r="G143" i="3" s="1"/>
  <c r="C120" i="72"/>
  <c r="C124" i="72"/>
  <c r="C126" i="72"/>
  <c r="C128" i="72"/>
  <c r="C130" i="72"/>
  <c r="C132" i="72"/>
  <c r="C134" i="72"/>
  <c r="C136" i="72"/>
  <c r="C138" i="72"/>
  <c r="C140" i="72"/>
  <c r="C142" i="72"/>
  <c r="C120" i="30"/>
  <c r="C121" i="30"/>
  <c r="C122" i="30"/>
  <c r="C123" i="30"/>
  <c r="C124" i="30"/>
  <c r="C125" i="30"/>
  <c r="C126" i="30"/>
  <c r="C127" i="30"/>
  <c r="C128" i="30"/>
  <c r="C129" i="30"/>
  <c r="C130" i="30"/>
  <c r="C131" i="30"/>
  <c r="C132" i="30"/>
  <c r="C133" i="30"/>
  <c r="C134" i="30"/>
  <c r="C135" i="30"/>
  <c r="C136" i="30"/>
  <c r="C137" i="30"/>
  <c r="C138" i="30"/>
  <c r="C139" i="30"/>
  <c r="C140" i="30"/>
  <c r="C141" i="30"/>
  <c r="C142" i="30"/>
  <c r="I117" i="19"/>
  <c r="I118" i="19"/>
  <c r="J118" i="19" s="1"/>
  <c r="C119" i="30"/>
  <c r="C118" i="30"/>
  <c r="C154" i="1"/>
  <c r="F133" i="33"/>
  <c r="G133" i="33" s="1"/>
  <c r="I18" i="33"/>
  <c r="J18" i="33" s="1"/>
  <c r="I19" i="33"/>
  <c r="J19" i="33" s="1"/>
  <c r="I20" i="33"/>
  <c r="J20" i="33" s="1"/>
  <c r="I21" i="33"/>
  <c r="J21" i="33" s="1"/>
  <c r="I22" i="33"/>
  <c r="J22" i="33" s="1"/>
  <c r="I23" i="33"/>
  <c r="J23" i="33" s="1"/>
  <c r="I24" i="33"/>
  <c r="J24" i="33" s="1"/>
  <c r="I25" i="33"/>
  <c r="J25" i="33" s="1"/>
  <c r="I26" i="33"/>
  <c r="J26" i="33" s="1"/>
  <c r="I27" i="33"/>
  <c r="J27" i="33" s="1"/>
  <c r="I28" i="33"/>
  <c r="J28" i="33" s="1"/>
  <c r="I29" i="33"/>
  <c r="J29" i="33" s="1"/>
  <c r="I30" i="33"/>
  <c r="J30" i="33" s="1"/>
  <c r="I31" i="33"/>
  <c r="J31" i="33" s="1"/>
  <c r="I32" i="33"/>
  <c r="I33" i="33"/>
  <c r="J33" i="33" s="1"/>
  <c r="I34" i="33"/>
  <c r="J34" i="33" s="1"/>
  <c r="I35" i="33"/>
  <c r="J35" i="33" s="1"/>
  <c r="I36" i="33"/>
  <c r="J36" i="33" s="1"/>
  <c r="I37" i="33"/>
  <c r="J37" i="33" s="1"/>
  <c r="I38" i="33"/>
  <c r="J38" i="33" s="1"/>
  <c r="I39" i="33"/>
  <c r="J39" i="33" s="1"/>
  <c r="I40" i="33"/>
  <c r="J40" i="33" s="1"/>
  <c r="I41" i="33"/>
  <c r="J41" i="33" s="1"/>
  <c r="I42" i="33"/>
  <c r="J42" i="33" s="1"/>
  <c r="I43" i="33"/>
  <c r="I44" i="33"/>
  <c r="J44" i="33" s="1"/>
  <c r="I45" i="33"/>
  <c r="J45" i="33" s="1"/>
  <c r="I46" i="33"/>
  <c r="J46" i="33" s="1"/>
  <c r="I47" i="33"/>
  <c r="J47" i="33" s="1"/>
  <c r="I48" i="33"/>
  <c r="J48" i="33" s="1"/>
  <c r="I49" i="33"/>
  <c r="J49" i="33" s="1"/>
  <c r="I50" i="33"/>
  <c r="J50" i="33" s="1"/>
  <c r="I51" i="33"/>
  <c r="J51" i="33" s="1"/>
  <c r="I52" i="33"/>
  <c r="J52" i="33" s="1"/>
  <c r="I53" i="33"/>
  <c r="J53" i="33" s="1"/>
  <c r="I54" i="33"/>
  <c r="J54" i="33" s="1"/>
  <c r="I55" i="33"/>
  <c r="J55" i="33" s="1"/>
  <c r="I56" i="33"/>
  <c r="J56" i="33" s="1"/>
  <c r="I57" i="33"/>
  <c r="J57" i="33" s="1"/>
  <c r="I58" i="33"/>
  <c r="J58" i="33" s="1"/>
  <c r="I59" i="33"/>
  <c r="I60" i="33"/>
  <c r="J60" i="33" s="1"/>
  <c r="I61" i="33"/>
  <c r="J61" i="33" s="1"/>
  <c r="I62" i="33"/>
  <c r="J62" i="33" s="1"/>
  <c r="I63" i="33"/>
  <c r="J63" i="33" s="1"/>
  <c r="I64" i="33"/>
  <c r="J64" i="33" s="1"/>
  <c r="I65" i="33"/>
  <c r="J65" i="33" s="1"/>
  <c r="I66" i="33"/>
  <c r="J66" i="33" s="1"/>
  <c r="I67" i="33"/>
  <c r="J67" i="33" s="1"/>
  <c r="I68" i="33"/>
  <c r="J68" i="33" s="1"/>
  <c r="I69" i="33"/>
  <c r="J69" i="33" s="1"/>
  <c r="I70" i="33"/>
  <c r="J70" i="33" s="1"/>
  <c r="I71" i="33"/>
  <c r="J71" i="33" s="1"/>
  <c r="I72" i="33"/>
  <c r="J72" i="33" s="1"/>
  <c r="I73" i="33"/>
  <c r="J73" i="33" s="1"/>
  <c r="I74" i="33"/>
  <c r="J74" i="33" s="1"/>
  <c r="I75" i="33"/>
  <c r="J75" i="33" s="1"/>
  <c r="I76" i="33"/>
  <c r="J76" i="33" s="1"/>
  <c r="I77" i="33"/>
  <c r="J77" i="33" s="1"/>
  <c r="I78" i="33"/>
  <c r="J78" i="33" s="1"/>
  <c r="I79" i="33"/>
  <c r="J79" i="33" s="1"/>
  <c r="I80" i="33"/>
  <c r="J80" i="33" s="1"/>
  <c r="I81" i="33"/>
  <c r="J81" i="33" s="1"/>
  <c r="I82" i="33"/>
  <c r="J82" i="33" s="1"/>
  <c r="I83" i="33"/>
  <c r="J83" i="33" s="1"/>
  <c r="I84" i="33"/>
  <c r="J84" i="33" s="1"/>
  <c r="I85" i="33"/>
  <c r="J85" i="33" s="1"/>
  <c r="I86" i="33"/>
  <c r="J86" i="33" s="1"/>
  <c r="I87" i="33"/>
  <c r="J87" i="33" s="1"/>
  <c r="I88" i="33"/>
  <c r="J88" i="33" s="1"/>
  <c r="I89" i="33"/>
  <c r="J89" i="33" s="1"/>
  <c r="I90" i="33"/>
  <c r="J90" i="33" s="1"/>
  <c r="I91" i="33"/>
  <c r="J91" i="33" s="1"/>
  <c r="I92" i="33"/>
  <c r="J92" i="33" s="1"/>
  <c r="I93" i="33"/>
  <c r="J93" i="33" s="1"/>
  <c r="I94" i="33"/>
  <c r="I95" i="33"/>
  <c r="J95" i="33" s="1"/>
  <c r="I96" i="33"/>
  <c r="J96" i="33" s="1"/>
  <c r="I97" i="33"/>
  <c r="J97" i="33" s="1"/>
  <c r="I98" i="33"/>
  <c r="J98" i="33" s="1"/>
  <c r="I99" i="33"/>
  <c r="J99" i="33" s="1"/>
  <c r="I100" i="33"/>
  <c r="J100" i="33" s="1"/>
  <c r="I101" i="33"/>
  <c r="J101" i="33" s="1"/>
  <c r="I102" i="33"/>
  <c r="J102" i="33" s="1"/>
  <c r="I103" i="33"/>
  <c r="J103" i="33" s="1"/>
  <c r="I104" i="33"/>
  <c r="J104" i="33" s="1"/>
  <c r="I105" i="33"/>
  <c r="J105" i="33" s="1"/>
  <c r="I106" i="33"/>
  <c r="J106" i="33" s="1"/>
  <c r="I107" i="33"/>
  <c r="J107" i="33" s="1"/>
  <c r="I108" i="33"/>
  <c r="J108" i="33" s="1"/>
  <c r="I109" i="33"/>
  <c r="J109" i="33" s="1"/>
  <c r="I110" i="33"/>
  <c r="J110" i="33" s="1"/>
  <c r="I111" i="33"/>
  <c r="J111" i="33" s="1"/>
  <c r="I112" i="33"/>
  <c r="J112" i="33" s="1"/>
  <c r="I113" i="33"/>
  <c r="J113" i="33" s="1"/>
  <c r="I114" i="33"/>
  <c r="J114" i="33" s="1"/>
  <c r="I115" i="33"/>
  <c r="J115" i="33" s="1"/>
  <c r="I116" i="33"/>
  <c r="J116" i="33" s="1"/>
  <c r="I117" i="33"/>
  <c r="J117" i="33" s="1"/>
  <c r="I118" i="33"/>
  <c r="J118" i="33" s="1"/>
  <c r="I119" i="33"/>
  <c r="J119" i="33" s="1"/>
  <c r="I120" i="33"/>
  <c r="J120" i="33" s="1"/>
  <c r="I121" i="33"/>
  <c r="J121" i="33" s="1"/>
  <c r="I122" i="33"/>
  <c r="J122" i="33" s="1"/>
  <c r="I123" i="33"/>
  <c r="J123" i="33" s="1"/>
  <c r="I124" i="33"/>
  <c r="J124" i="33" s="1"/>
  <c r="I125" i="33"/>
  <c r="J125" i="33" s="1"/>
  <c r="I126" i="33"/>
  <c r="J126" i="33" s="1"/>
  <c r="I127" i="33"/>
  <c r="J127" i="33" s="1"/>
  <c r="I128" i="33"/>
  <c r="J128" i="33" s="1"/>
  <c r="I129" i="33"/>
  <c r="J129" i="33" s="1"/>
  <c r="I130" i="33"/>
  <c r="J130" i="33" s="1"/>
  <c r="I131" i="33"/>
  <c r="J131" i="33" s="1"/>
  <c r="I132" i="33"/>
  <c r="J132" i="33" s="1"/>
  <c r="I133" i="33"/>
  <c r="J133" i="33" s="1"/>
  <c r="I134" i="33"/>
  <c r="J134" i="33" s="1"/>
  <c r="I135" i="33"/>
  <c r="J135" i="33" s="1"/>
  <c r="I136" i="33"/>
  <c r="J136" i="33" s="1"/>
  <c r="I137" i="33"/>
  <c r="J137" i="33" s="1"/>
  <c r="I138" i="33"/>
  <c r="J138" i="33" s="1"/>
  <c r="I139" i="33"/>
  <c r="J139" i="33" s="1"/>
  <c r="I140" i="33"/>
  <c r="J140" i="33" s="1"/>
  <c r="I141" i="33"/>
  <c r="I142" i="33"/>
  <c r="J142" i="33" s="1"/>
  <c r="I143" i="33"/>
  <c r="J143" i="33" s="1"/>
  <c r="I144" i="33"/>
  <c r="J144" i="33" s="1"/>
  <c r="I145" i="33"/>
  <c r="I146" i="33"/>
  <c r="J146" i="33" s="1"/>
  <c r="I147" i="33"/>
  <c r="J147" i="33" s="1"/>
  <c r="I148" i="33"/>
  <c r="J148" i="33" s="1"/>
  <c r="I149" i="33"/>
  <c r="J149" i="33" s="1"/>
  <c r="I150" i="33"/>
  <c r="J150" i="33" s="1"/>
  <c r="I151" i="33"/>
  <c r="J151" i="33" s="1"/>
  <c r="I152" i="33"/>
  <c r="J152" i="33" s="1"/>
  <c r="I153" i="33"/>
  <c r="J153" i="33" s="1"/>
  <c r="I154" i="33"/>
  <c r="J154" i="33" s="1"/>
  <c r="I155" i="33"/>
  <c r="J155" i="33" s="1"/>
  <c r="I156" i="33"/>
  <c r="J156" i="33" s="1"/>
  <c r="I157" i="33"/>
  <c r="J157" i="33" s="1"/>
  <c r="I16" i="33"/>
  <c r="F18" i="33"/>
  <c r="G18" i="33" s="1"/>
  <c r="F19" i="33"/>
  <c r="G19" i="33" s="1"/>
  <c r="F20" i="33"/>
  <c r="G20" i="33" s="1"/>
  <c r="F21" i="33"/>
  <c r="G21" i="33" s="1"/>
  <c r="F22" i="33"/>
  <c r="G22" i="33" s="1"/>
  <c r="F23" i="33"/>
  <c r="G23" i="33" s="1"/>
  <c r="F24" i="33"/>
  <c r="G24" i="33" s="1"/>
  <c r="F25" i="33"/>
  <c r="G25" i="33" s="1"/>
  <c r="F26" i="33"/>
  <c r="G26" i="33" s="1"/>
  <c r="F27" i="33"/>
  <c r="G27" i="33" s="1"/>
  <c r="F28" i="33"/>
  <c r="G28" i="33" s="1"/>
  <c r="F29" i="33"/>
  <c r="G29" i="33" s="1"/>
  <c r="F30" i="33"/>
  <c r="G30" i="33" s="1"/>
  <c r="F31" i="33"/>
  <c r="G31" i="33" s="1"/>
  <c r="F32" i="33"/>
  <c r="G32" i="33" s="1"/>
  <c r="F33" i="33"/>
  <c r="G33" i="33" s="1"/>
  <c r="F34" i="33"/>
  <c r="G34" i="33" s="1"/>
  <c r="F35" i="33"/>
  <c r="G35" i="33" s="1"/>
  <c r="F36" i="33"/>
  <c r="G36" i="33" s="1"/>
  <c r="F37" i="33"/>
  <c r="G37" i="33" s="1"/>
  <c r="F38" i="33"/>
  <c r="G38" i="33" s="1"/>
  <c r="F39" i="33"/>
  <c r="G39" i="33" s="1"/>
  <c r="F40" i="33"/>
  <c r="G40" i="33" s="1"/>
  <c r="F41" i="33"/>
  <c r="G41" i="33" s="1"/>
  <c r="F42" i="33"/>
  <c r="G42" i="33" s="1"/>
  <c r="F43" i="33"/>
  <c r="G43" i="33" s="1"/>
  <c r="F44" i="33"/>
  <c r="G44" i="33" s="1"/>
  <c r="F45" i="33"/>
  <c r="G45" i="33" s="1"/>
  <c r="F46" i="33"/>
  <c r="G46" i="33" s="1"/>
  <c r="F47" i="33"/>
  <c r="G47" i="33"/>
  <c r="F48" i="33"/>
  <c r="G48" i="33"/>
  <c r="F49" i="33"/>
  <c r="G49" i="33" s="1"/>
  <c r="F50" i="33"/>
  <c r="G50" i="33" s="1"/>
  <c r="F51" i="33"/>
  <c r="G51" i="33" s="1"/>
  <c r="F52" i="33"/>
  <c r="G52" i="33" s="1"/>
  <c r="F53" i="33"/>
  <c r="G53" i="33" s="1"/>
  <c r="F54" i="33"/>
  <c r="G54" i="33" s="1"/>
  <c r="F55" i="33"/>
  <c r="G55" i="33" s="1"/>
  <c r="F56" i="33"/>
  <c r="G56" i="33" s="1"/>
  <c r="F57" i="33"/>
  <c r="G57" i="33" s="1"/>
  <c r="F58" i="33"/>
  <c r="G58" i="33" s="1"/>
  <c r="F59" i="33"/>
  <c r="G59" i="33" s="1"/>
  <c r="F60" i="33"/>
  <c r="G60" i="33" s="1"/>
  <c r="F61" i="33"/>
  <c r="G61" i="33" s="1"/>
  <c r="F62" i="33"/>
  <c r="G62" i="33" s="1"/>
  <c r="F63" i="33"/>
  <c r="G63" i="33" s="1"/>
  <c r="F64" i="33"/>
  <c r="G64" i="33" s="1"/>
  <c r="F65" i="33"/>
  <c r="G65" i="33" s="1"/>
  <c r="F66" i="33"/>
  <c r="G66" i="33" s="1"/>
  <c r="F67" i="33"/>
  <c r="G67" i="33" s="1"/>
  <c r="F68" i="33"/>
  <c r="G68" i="33" s="1"/>
  <c r="F69" i="33"/>
  <c r="G69" i="33" s="1"/>
  <c r="F70" i="33"/>
  <c r="G70" i="33" s="1"/>
  <c r="F71" i="33"/>
  <c r="G71" i="33" s="1"/>
  <c r="F72" i="33"/>
  <c r="G72" i="33" s="1"/>
  <c r="F73" i="33"/>
  <c r="G73" i="33" s="1"/>
  <c r="F74" i="33"/>
  <c r="G74" i="33" s="1"/>
  <c r="F75" i="33"/>
  <c r="G75" i="33" s="1"/>
  <c r="F76" i="33"/>
  <c r="G76" i="33" s="1"/>
  <c r="F77" i="33"/>
  <c r="G77" i="33" s="1"/>
  <c r="F78" i="33"/>
  <c r="G78" i="33" s="1"/>
  <c r="F79" i="33"/>
  <c r="G79" i="33" s="1"/>
  <c r="F80" i="33"/>
  <c r="G80" i="33" s="1"/>
  <c r="F81" i="33"/>
  <c r="G81" i="33" s="1"/>
  <c r="F82" i="33"/>
  <c r="G82" i="33" s="1"/>
  <c r="F83" i="33"/>
  <c r="G83" i="33" s="1"/>
  <c r="F84" i="33"/>
  <c r="G84" i="33" s="1"/>
  <c r="F85" i="33"/>
  <c r="G85" i="33" s="1"/>
  <c r="F86" i="33"/>
  <c r="G86" i="33" s="1"/>
  <c r="F87" i="33"/>
  <c r="G87" i="33" s="1"/>
  <c r="F88" i="33"/>
  <c r="G88" i="33" s="1"/>
  <c r="F89" i="33"/>
  <c r="G89" i="33" s="1"/>
  <c r="F90" i="33"/>
  <c r="G90" i="33" s="1"/>
  <c r="F91" i="33"/>
  <c r="G91" i="33"/>
  <c r="F92" i="33"/>
  <c r="G92" i="33" s="1"/>
  <c r="F93" i="33"/>
  <c r="G93" i="33" s="1"/>
  <c r="F94" i="33"/>
  <c r="G94" i="33" s="1"/>
  <c r="F95" i="33"/>
  <c r="G95" i="33" s="1"/>
  <c r="F96" i="33"/>
  <c r="G96" i="33" s="1"/>
  <c r="F97" i="33"/>
  <c r="G97" i="33" s="1"/>
  <c r="F98" i="33"/>
  <c r="G98" i="33" s="1"/>
  <c r="F99" i="33"/>
  <c r="G99" i="33" s="1"/>
  <c r="F100" i="33"/>
  <c r="G100" i="33" s="1"/>
  <c r="F101" i="33"/>
  <c r="G101" i="33" s="1"/>
  <c r="F102" i="33"/>
  <c r="G102" i="33" s="1"/>
  <c r="F103" i="33"/>
  <c r="G103" i="33" s="1"/>
  <c r="F104" i="33"/>
  <c r="G104" i="33" s="1"/>
  <c r="F105" i="33"/>
  <c r="G105" i="33" s="1"/>
  <c r="F106" i="33"/>
  <c r="G106" i="33" s="1"/>
  <c r="F107" i="33"/>
  <c r="G107" i="33" s="1"/>
  <c r="F108" i="33"/>
  <c r="G108" i="33" s="1"/>
  <c r="F109" i="33"/>
  <c r="G109" i="33" s="1"/>
  <c r="F110" i="33"/>
  <c r="G110" i="33" s="1"/>
  <c r="F111" i="33"/>
  <c r="G111" i="33" s="1"/>
  <c r="F112" i="33"/>
  <c r="G112" i="33" s="1"/>
  <c r="F113" i="33"/>
  <c r="G113" i="33" s="1"/>
  <c r="F114" i="33"/>
  <c r="G114" i="33" s="1"/>
  <c r="F115" i="33"/>
  <c r="G115" i="33" s="1"/>
  <c r="F116" i="33"/>
  <c r="G116" i="33" s="1"/>
  <c r="F117" i="33"/>
  <c r="G117" i="33" s="1"/>
  <c r="F118" i="33"/>
  <c r="G118" i="33" s="1"/>
  <c r="F119" i="33"/>
  <c r="G119" i="33" s="1"/>
  <c r="F120" i="33"/>
  <c r="G120" i="33" s="1"/>
  <c r="F121" i="33"/>
  <c r="G121" i="33" s="1"/>
  <c r="F122" i="33"/>
  <c r="G122" i="33" s="1"/>
  <c r="F123" i="33"/>
  <c r="G123" i="33" s="1"/>
  <c r="F124" i="33"/>
  <c r="G124" i="33" s="1"/>
  <c r="F125" i="33"/>
  <c r="G125" i="33" s="1"/>
  <c r="F126" i="33"/>
  <c r="G126" i="33" s="1"/>
  <c r="F127" i="33"/>
  <c r="G127" i="33" s="1"/>
  <c r="F128" i="33"/>
  <c r="G128" i="33" s="1"/>
  <c r="F129" i="33"/>
  <c r="G129" i="33" s="1"/>
  <c r="F130" i="33"/>
  <c r="G130" i="33" s="1"/>
  <c r="F131" i="33"/>
  <c r="G131" i="33" s="1"/>
  <c r="F132" i="33"/>
  <c r="G132" i="33" s="1"/>
  <c r="F134" i="33"/>
  <c r="G134" i="33" s="1"/>
  <c r="F135" i="33"/>
  <c r="G135" i="33" s="1"/>
  <c r="F136" i="33"/>
  <c r="G136" i="33" s="1"/>
  <c r="F137" i="33"/>
  <c r="G137" i="33" s="1"/>
  <c r="F138" i="33"/>
  <c r="G138" i="33" s="1"/>
  <c r="F139" i="33"/>
  <c r="G139" i="33" s="1"/>
  <c r="F140" i="33"/>
  <c r="G140" i="33" s="1"/>
  <c r="F141" i="33"/>
  <c r="G141" i="33" s="1"/>
  <c r="F142" i="33"/>
  <c r="G142" i="33" s="1"/>
  <c r="F143" i="33"/>
  <c r="G143" i="33" s="1"/>
  <c r="F144" i="33"/>
  <c r="G144" i="33" s="1"/>
  <c r="F145" i="33"/>
  <c r="G145" i="33" s="1"/>
  <c r="F146" i="33"/>
  <c r="G146" i="33" s="1"/>
  <c r="F147" i="33"/>
  <c r="G147" i="33" s="1"/>
  <c r="F148" i="33"/>
  <c r="G148" i="33" s="1"/>
  <c r="F149" i="33"/>
  <c r="G149" i="33" s="1"/>
  <c r="F150" i="33"/>
  <c r="G150" i="33" s="1"/>
  <c r="F151" i="33"/>
  <c r="G151" i="33" s="1"/>
  <c r="F152" i="33"/>
  <c r="G152" i="33" s="1"/>
  <c r="F153" i="33"/>
  <c r="G153" i="33" s="1"/>
  <c r="F154" i="33"/>
  <c r="G154" i="33" s="1"/>
  <c r="F155" i="33"/>
  <c r="G155" i="33" s="1"/>
  <c r="F156" i="33"/>
  <c r="G156" i="33" s="1"/>
  <c r="F157" i="33"/>
  <c r="G157" i="33" s="1"/>
  <c r="F158" i="33"/>
  <c r="G158" i="33" s="1"/>
  <c r="F105" i="32"/>
  <c r="G105" i="32" s="1"/>
  <c r="I18" i="32"/>
  <c r="J18" i="32" s="1"/>
  <c r="I19" i="32"/>
  <c r="I20" i="32"/>
  <c r="I21" i="32"/>
  <c r="I22" i="32"/>
  <c r="I23" i="32"/>
  <c r="I24" i="32"/>
  <c r="I25" i="32"/>
  <c r="J25" i="32" s="1"/>
  <c r="I26" i="32"/>
  <c r="I27" i="32"/>
  <c r="I28" i="32"/>
  <c r="I29" i="32"/>
  <c r="I30" i="32"/>
  <c r="I31" i="32"/>
  <c r="I32" i="32"/>
  <c r="I33" i="32"/>
  <c r="I34" i="32"/>
  <c r="I35" i="32"/>
  <c r="I36" i="32"/>
  <c r="I37" i="32"/>
  <c r="I38" i="32"/>
  <c r="I39" i="32"/>
  <c r="I40" i="32"/>
  <c r="I41" i="32"/>
  <c r="I42" i="32"/>
  <c r="I43" i="32"/>
  <c r="I44" i="32"/>
  <c r="I45" i="32"/>
  <c r="I46" i="32"/>
  <c r="I47" i="32"/>
  <c r="I48" i="32"/>
  <c r="I49" i="32"/>
  <c r="I50" i="32"/>
  <c r="I51" i="32"/>
  <c r="I52" i="32"/>
  <c r="I53" i="32"/>
  <c r="I54" i="32"/>
  <c r="J54" i="32"/>
  <c r="I55" i="32"/>
  <c r="I56" i="32"/>
  <c r="I57" i="32"/>
  <c r="I58" i="32"/>
  <c r="I59" i="32"/>
  <c r="I60" i="32"/>
  <c r="I61" i="32"/>
  <c r="I62" i="32"/>
  <c r="I63" i="32"/>
  <c r="I64" i="32"/>
  <c r="I65" i="32"/>
  <c r="I66" i="32"/>
  <c r="I67" i="32"/>
  <c r="I68" i="32"/>
  <c r="J68" i="32" s="1"/>
  <c r="I69" i="32"/>
  <c r="I70" i="32"/>
  <c r="I71" i="32"/>
  <c r="I72" i="32"/>
  <c r="I73" i="32"/>
  <c r="J73" i="32"/>
  <c r="I74" i="32"/>
  <c r="I75" i="32"/>
  <c r="J75" i="32" s="1"/>
  <c r="I76" i="32"/>
  <c r="I77" i="32"/>
  <c r="I78" i="32"/>
  <c r="I79" i="32"/>
  <c r="I80" i="32"/>
  <c r="I81" i="32"/>
  <c r="I82" i="32"/>
  <c r="I83" i="32"/>
  <c r="I84" i="32"/>
  <c r="J84" i="32" s="1"/>
  <c r="I85" i="32"/>
  <c r="J85" i="32" s="1"/>
  <c r="I86" i="32"/>
  <c r="I87" i="32"/>
  <c r="I88" i="32"/>
  <c r="J88" i="32" s="1"/>
  <c r="I89" i="32"/>
  <c r="I90" i="32"/>
  <c r="I91" i="32"/>
  <c r="J91" i="32" s="1"/>
  <c r="I92" i="32"/>
  <c r="I93" i="32"/>
  <c r="I94" i="32"/>
  <c r="I95" i="32"/>
  <c r="I96" i="32"/>
  <c r="I97" i="32"/>
  <c r="I98" i="32"/>
  <c r="I99" i="32"/>
  <c r="I100" i="32"/>
  <c r="I101" i="32"/>
  <c r="J101" i="32" s="1"/>
  <c r="I102" i="32"/>
  <c r="I103" i="32"/>
  <c r="I104" i="32"/>
  <c r="I105" i="32"/>
  <c r="I105" i="30" s="1"/>
  <c r="J105" i="30" s="1"/>
  <c r="I106" i="32"/>
  <c r="I107" i="32"/>
  <c r="J107" i="32" s="1"/>
  <c r="I108" i="32"/>
  <c r="I109" i="32"/>
  <c r="I110" i="32"/>
  <c r="I111" i="32"/>
  <c r="J111" i="32"/>
  <c r="I112" i="32"/>
  <c r="I113" i="32"/>
  <c r="I114" i="32"/>
  <c r="I115" i="32"/>
  <c r="I116" i="32"/>
  <c r="I117" i="32"/>
  <c r="I118" i="32"/>
  <c r="I119" i="32"/>
  <c r="I120" i="32"/>
  <c r="I121" i="32"/>
  <c r="I122" i="32"/>
  <c r="I123" i="32"/>
  <c r="I124" i="32"/>
  <c r="I125" i="32"/>
  <c r="J125" i="32" s="1"/>
  <c r="I126" i="32"/>
  <c r="I127" i="32"/>
  <c r="I128" i="32"/>
  <c r="I129" i="32"/>
  <c r="I130" i="32"/>
  <c r="I131" i="32"/>
  <c r="I132" i="32"/>
  <c r="I133" i="32"/>
  <c r="I134" i="32"/>
  <c r="I135" i="32"/>
  <c r="I136" i="32"/>
  <c r="I137" i="32"/>
  <c r="I138" i="32"/>
  <c r="I139" i="32"/>
  <c r="I140" i="32"/>
  <c r="I141" i="32"/>
  <c r="I142" i="32"/>
  <c r="I143" i="32"/>
  <c r="I144" i="32"/>
  <c r="I145" i="32"/>
  <c r="I146" i="32"/>
  <c r="I147" i="32"/>
  <c r="I148" i="32"/>
  <c r="I149" i="32"/>
  <c r="I150" i="32"/>
  <c r="I151" i="32"/>
  <c r="I152" i="32"/>
  <c r="I153" i="32"/>
  <c r="I154" i="32"/>
  <c r="I155" i="32"/>
  <c r="I156" i="32"/>
  <c r="I157" i="32"/>
  <c r="I158" i="32"/>
  <c r="F18" i="32"/>
  <c r="G18" i="32" s="1"/>
  <c r="F19" i="32"/>
  <c r="G19" i="32" s="1"/>
  <c r="F20" i="32"/>
  <c r="G20" i="32" s="1"/>
  <c r="F21" i="32"/>
  <c r="G21" i="32" s="1"/>
  <c r="F22" i="32"/>
  <c r="G22" i="32" s="1"/>
  <c r="F23" i="32"/>
  <c r="G23" i="32" s="1"/>
  <c r="F24" i="32"/>
  <c r="G24" i="32" s="1"/>
  <c r="F25" i="32"/>
  <c r="G25" i="32" s="1"/>
  <c r="F26" i="32"/>
  <c r="G26" i="32" s="1"/>
  <c r="F27" i="32"/>
  <c r="G27" i="32" s="1"/>
  <c r="F28" i="32"/>
  <c r="G28" i="32" s="1"/>
  <c r="F29" i="32"/>
  <c r="G29" i="32" s="1"/>
  <c r="F30" i="32"/>
  <c r="G30" i="32" s="1"/>
  <c r="F31" i="32"/>
  <c r="G31" i="32" s="1"/>
  <c r="F32" i="32"/>
  <c r="G32" i="32" s="1"/>
  <c r="F33" i="32"/>
  <c r="G33" i="32" s="1"/>
  <c r="F34" i="32"/>
  <c r="G34" i="32" s="1"/>
  <c r="F35" i="32"/>
  <c r="G35" i="32" s="1"/>
  <c r="F36" i="32"/>
  <c r="G36" i="32" s="1"/>
  <c r="F37" i="32"/>
  <c r="G37" i="32" s="1"/>
  <c r="F38" i="32"/>
  <c r="G38" i="32" s="1"/>
  <c r="F39" i="32"/>
  <c r="G39" i="32" s="1"/>
  <c r="F40" i="32"/>
  <c r="G40" i="32" s="1"/>
  <c r="F41" i="32"/>
  <c r="G41" i="32" s="1"/>
  <c r="F42" i="32"/>
  <c r="G42" i="32" s="1"/>
  <c r="F43" i="32"/>
  <c r="G43" i="32" s="1"/>
  <c r="F44" i="32"/>
  <c r="G44" i="32" s="1"/>
  <c r="F45" i="32"/>
  <c r="G45" i="32" s="1"/>
  <c r="F46" i="32"/>
  <c r="G46" i="32" s="1"/>
  <c r="F47" i="32"/>
  <c r="G47" i="32" s="1"/>
  <c r="F48" i="32"/>
  <c r="G48" i="32" s="1"/>
  <c r="F49" i="32"/>
  <c r="G49" i="32" s="1"/>
  <c r="F50" i="32"/>
  <c r="G50" i="32" s="1"/>
  <c r="F51" i="32"/>
  <c r="G51" i="32" s="1"/>
  <c r="F52" i="32"/>
  <c r="G52" i="32" s="1"/>
  <c r="F53" i="32"/>
  <c r="G53" i="32" s="1"/>
  <c r="F54" i="32"/>
  <c r="G54" i="32" s="1"/>
  <c r="F55" i="32"/>
  <c r="G55" i="32" s="1"/>
  <c r="F56" i="32"/>
  <c r="G56" i="32" s="1"/>
  <c r="F57" i="32"/>
  <c r="G57" i="32" s="1"/>
  <c r="F58" i="32"/>
  <c r="G58" i="32" s="1"/>
  <c r="F59" i="32"/>
  <c r="G59" i="32" s="1"/>
  <c r="F60" i="32"/>
  <c r="G60" i="32" s="1"/>
  <c r="F61" i="32"/>
  <c r="G61" i="32" s="1"/>
  <c r="F62" i="32"/>
  <c r="G62" i="32" s="1"/>
  <c r="F63" i="32"/>
  <c r="G63" i="32" s="1"/>
  <c r="F64" i="32"/>
  <c r="G64" i="32" s="1"/>
  <c r="F65" i="32"/>
  <c r="G65" i="32" s="1"/>
  <c r="F66" i="32"/>
  <c r="G66" i="32" s="1"/>
  <c r="F67" i="32"/>
  <c r="G67" i="32" s="1"/>
  <c r="F68" i="32"/>
  <c r="G68" i="32" s="1"/>
  <c r="F69" i="32"/>
  <c r="G69" i="32" s="1"/>
  <c r="F70" i="32"/>
  <c r="G70" i="32" s="1"/>
  <c r="F71" i="32"/>
  <c r="G71" i="32"/>
  <c r="F72" i="32"/>
  <c r="G72" i="32" s="1"/>
  <c r="F73" i="32"/>
  <c r="G73" i="32" s="1"/>
  <c r="F74" i="32"/>
  <c r="G74" i="32" s="1"/>
  <c r="F75" i="32"/>
  <c r="G75" i="32" s="1"/>
  <c r="F76" i="32"/>
  <c r="G76" i="32" s="1"/>
  <c r="F77" i="32"/>
  <c r="G77" i="32" s="1"/>
  <c r="F78" i="32"/>
  <c r="G78" i="32" s="1"/>
  <c r="F79" i="32"/>
  <c r="G79" i="32" s="1"/>
  <c r="F80" i="32"/>
  <c r="G80" i="32" s="1"/>
  <c r="F81" i="32"/>
  <c r="G81" i="32" s="1"/>
  <c r="F82" i="32"/>
  <c r="G82" i="32" s="1"/>
  <c r="F83" i="32"/>
  <c r="G83" i="32" s="1"/>
  <c r="F84" i="32"/>
  <c r="G84" i="32" s="1"/>
  <c r="F85" i="32"/>
  <c r="G85" i="32" s="1"/>
  <c r="F86" i="32"/>
  <c r="G86" i="32" s="1"/>
  <c r="F87" i="32"/>
  <c r="G87" i="32" s="1"/>
  <c r="F88" i="32"/>
  <c r="G88" i="32" s="1"/>
  <c r="F89" i="32"/>
  <c r="G89" i="32" s="1"/>
  <c r="F90" i="32"/>
  <c r="G90" i="32" s="1"/>
  <c r="F91" i="32"/>
  <c r="G91" i="32" s="1"/>
  <c r="F92" i="32"/>
  <c r="G92" i="32" s="1"/>
  <c r="F93" i="32"/>
  <c r="G93" i="32" s="1"/>
  <c r="F94" i="32"/>
  <c r="G94" i="32"/>
  <c r="F95" i="32"/>
  <c r="G95" i="32" s="1"/>
  <c r="F96" i="32"/>
  <c r="G96" i="32" s="1"/>
  <c r="F97" i="32"/>
  <c r="G97" i="32" s="1"/>
  <c r="F98" i="32"/>
  <c r="G98" i="32" s="1"/>
  <c r="F99" i="32"/>
  <c r="G99" i="32"/>
  <c r="F100" i="32"/>
  <c r="G100" i="32" s="1"/>
  <c r="F101" i="32"/>
  <c r="G101" i="32" s="1"/>
  <c r="F102" i="32"/>
  <c r="G102" i="32" s="1"/>
  <c r="F103" i="32"/>
  <c r="G103" i="32"/>
  <c r="F104" i="32"/>
  <c r="G104" i="32" s="1"/>
  <c r="F106" i="32"/>
  <c r="G106" i="32" s="1"/>
  <c r="F107" i="32"/>
  <c r="G107" i="32" s="1"/>
  <c r="F108" i="32"/>
  <c r="G108" i="32" s="1"/>
  <c r="F109" i="32"/>
  <c r="G109" i="32" s="1"/>
  <c r="F110" i="32"/>
  <c r="G110" i="32" s="1"/>
  <c r="F111" i="32"/>
  <c r="G111" i="32" s="1"/>
  <c r="F112" i="32"/>
  <c r="G112" i="32" s="1"/>
  <c r="F113" i="32"/>
  <c r="G113" i="32" s="1"/>
  <c r="F114" i="32"/>
  <c r="G114" i="32" s="1"/>
  <c r="F115" i="32"/>
  <c r="G115" i="32" s="1"/>
  <c r="F116" i="32"/>
  <c r="G116" i="32" s="1"/>
  <c r="F117" i="32"/>
  <c r="G117" i="32" s="1"/>
  <c r="F118" i="32"/>
  <c r="G118" i="32" s="1"/>
  <c r="F119" i="32"/>
  <c r="G119" i="32"/>
  <c r="F120" i="32"/>
  <c r="G120" i="32" s="1"/>
  <c r="F121" i="32"/>
  <c r="G121" i="32" s="1"/>
  <c r="F122" i="32"/>
  <c r="G122" i="32" s="1"/>
  <c r="F123" i="32"/>
  <c r="G123" i="32" s="1"/>
  <c r="F124" i="32"/>
  <c r="G124" i="32" s="1"/>
  <c r="F125" i="32"/>
  <c r="G125" i="32" s="1"/>
  <c r="F126" i="32"/>
  <c r="G126" i="32" s="1"/>
  <c r="F127" i="32"/>
  <c r="G127" i="32" s="1"/>
  <c r="F128" i="32"/>
  <c r="G128" i="32" s="1"/>
  <c r="F129" i="32"/>
  <c r="G129" i="32" s="1"/>
  <c r="F130" i="32"/>
  <c r="G130" i="32" s="1"/>
  <c r="F131" i="32"/>
  <c r="G131" i="32" s="1"/>
  <c r="F132" i="32"/>
  <c r="G132" i="32" s="1"/>
  <c r="F133" i="32"/>
  <c r="G133" i="32" s="1"/>
  <c r="F134" i="32"/>
  <c r="G134" i="32" s="1"/>
  <c r="F135" i="32"/>
  <c r="G135" i="32"/>
  <c r="F136" i="32"/>
  <c r="G136" i="32" s="1"/>
  <c r="F137" i="32"/>
  <c r="G137" i="32" s="1"/>
  <c r="F138" i="32"/>
  <c r="G138" i="32" s="1"/>
  <c r="F139" i="32"/>
  <c r="G139" i="32" s="1"/>
  <c r="F140" i="32"/>
  <c r="G140" i="32" s="1"/>
  <c r="F141" i="32"/>
  <c r="G141" i="32" s="1"/>
  <c r="F142" i="32"/>
  <c r="G142" i="32" s="1"/>
  <c r="F143" i="32"/>
  <c r="G143" i="32" s="1"/>
  <c r="F144" i="32"/>
  <c r="G144" i="32" s="1"/>
  <c r="F145" i="32"/>
  <c r="G145" i="32" s="1"/>
  <c r="F146" i="32"/>
  <c r="G146" i="32" s="1"/>
  <c r="F147" i="32"/>
  <c r="G147" i="32"/>
  <c r="F148" i="32"/>
  <c r="G148" i="32" s="1"/>
  <c r="F149" i="32"/>
  <c r="G149" i="32" s="1"/>
  <c r="F150" i="32"/>
  <c r="G150" i="32" s="1"/>
  <c r="F151" i="32"/>
  <c r="G151" i="32" s="1"/>
  <c r="F152" i="32"/>
  <c r="G152" i="32" s="1"/>
  <c r="F153" i="32"/>
  <c r="G153" i="32" s="1"/>
  <c r="F154" i="32"/>
  <c r="G154" i="32" s="1"/>
  <c r="G155" i="32"/>
  <c r="F156" i="32"/>
  <c r="G156" i="32" s="1"/>
  <c r="F157" i="32"/>
  <c r="G157" i="32" s="1"/>
  <c r="F158" i="32"/>
  <c r="G158" i="32" s="1"/>
  <c r="F16" i="32"/>
  <c r="G16" i="32" s="1"/>
  <c r="F131" i="30"/>
  <c r="G131" i="30" s="1"/>
  <c r="F124" i="30"/>
  <c r="G124" i="30" s="1"/>
  <c r="H2" i="26"/>
  <c r="D2" i="26"/>
  <c r="K2" i="26" s="1"/>
  <c r="H2" i="27"/>
  <c r="D2" i="27"/>
  <c r="K2" i="27" s="1"/>
  <c r="H2" i="28"/>
  <c r="K2" i="28"/>
  <c r="H2" i="31"/>
  <c r="D2" i="31"/>
  <c r="K2" i="31" s="1"/>
  <c r="I18" i="31"/>
  <c r="J18" i="31" s="1"/>
  <c r="I19" i="31"/>
  <c r="J19" i="31" s="1"/>
  <c r="I20" i="31"/>
  <c r="I21" i="31"/>
  <c r="J21" i="31" s="1"/>
  <c r="I22" i="31"/>
  <c r="J22" i="31" s="1"/>
  <c r="I23" i="31"/>
  <c r="J23" i="31" s="1"/>
  <c r="I24" i="31"/>
  <c r="I25" i="31"/>
  <c r="J25" i="31" s="1"/>
  <c r="I26" i="31"/>
  <c r="J26" i="31" s="1"/>
  <c r="I27" i="31"/>
  <c r="J27" i="31" s="1"/>
  <c r="I28" i="31"/>
  <c r="J28" i="31" s="1"/>
  <c r="I29" i="31"/>
  <c r="I30" i="31"/>
  <c r="J30" i="31" s="1"/>
  <c r="I31" i="31"/>
  <c r="J31" i="31" s="1"/>
  <c r="I32" i="31"/>
  <c r="J32" i="31" s="1"/>
  <c r="I33" i="31"/>
  <c r="I34" i="31"/>
  <c r="J34" i="31"/>
  <c r="I35" i="31"/>
  <c r="J35" i="31" s="1"/>
  <c r="I36" i="31"/>
  <c r="I37" i="31"/>
  <c r="J37" i="31" s="1"/>
  <c r="I38" i="31"/>
  <c r="J38" i="31" s="1"/>
  <c r="I39" i="31"/>
  <c r="I40" i="31"/>
  <c r="I41" i="31"/>
  <c r="I42" i="31"/>
  <c r="J42" i="31" s="1"/>
  <c r="I43" i="31"/>
  <c r="J43" i="31" s="1"/>
  <c r="I44" i="31"/>
  <c r="J44" i="31" s="1"/>
  <c r="I45" i="31"/>
  <c r="J45" i="31" s="1"/>
  <c r="I46" i="31"/>
  <c r="J46" i="31" s="1"/>
  <c r="I47" i="31"/>
  <c r="J47" i="31" s="1"/>
  <c r="I48" i="31"/>
  <c r="J48" i="31" s="1"/>
  <c r="I49" i="31"/>
  <c r="I50" i="31"/>
  <c r="J50" i="31" s="1"/>
  <c r="I51" i="31"/>
  <c r="J51" i="31" s="1"/>
  <c r="I52" i="31"/>
  <c r="J52" i="31" s="1"/>
  <c r="I53" i="31"/>
  <c r="I54" i="31"/>
  <c r="J54" i="31" s="1"/>
  <c r="I55" i="31"/>
  <c r="J55" i="31" s="1"/>
  <c r="I56" i="31"/>
  <c r="I57" i="31"/>
  <c r="J57" i="31" s="1"/>
  <c r="I58" i="31"/>
  <c r="J58" i="31" s="1"/>
  <c r="I59" i="31"/>
  <c r="J59" i="31" s="1"/>
  <c r="I60" i="31"/>
  <c r="J60" i="31" s="1"/>
  <c r="I61" i="31"/>
  <c r="J61" i="31" s="1"/>
  <c r="I62" i="31"/>
  <c r="J62" i="31" s="1"/>
  <c r="I63" i="31"/>
  <c r="J63" i="31" s="1"/>
  <c r="I64" i="31"/>
  <c r="J64" i="31" s="1"/>
  <c r="I65" i="31"/>
  <c r="I66" i="31"/>
  <c r="J66" i="31" s="1"/>
  <c r="I67" i="31"/>
  <c r="I68" i="31"/>
  <c r="J68" i="31" s="1"/>
  <c r="I69" i="31"/>
  <c r="J69" i="31" s="1"/>
  <c r="I70" i="31"/>
  <c r="J70" i="31" s="1"/>
  <c r="I71" i="31"/>
  <c r="J71" i="31" s="1"/>
  <c r="I72" i="31"/>
  <c r="J72" i="31" s="1"/>
  <c r="I73" i="31"/>
  <c r="J73" i="31" s="1"/>
  <c r="I74" i="31"/>
  <c r="J74" i="31" s="1"/>
  <c r="I75" i="31"/>
  <c r="J75" i="31" s="1"/>
  <c r="I76" i="31"/>
  <c r="J76" i="31"/>
  <c r="I77" i="31"/>
  <c r="J77" i="31" s="1"/>
  <c r="I78" i="31"/>
  <c r="J78" i="31" s="1"/>
  <c r="I79" i="31"/>
  <c r="J79" i="31" s="1"/>
  <c r="I80" i="31"/>
  <c r="J80" i="31" s="1"/>
  <c r="I81" i="31"/>
  <c r="I82" i="31"/>
  <c r="J82" i="31" s="1"/>
  <c r="I83" i="31"/>
  <c r="J83" i="31" s="1"/>
  <c r="I84" i="31"/>
  <c r="J84" i="31" s="1"/>
  <c r="I85" i="31"/>
  <c r="I86" i="31"/>
  <c r="J86" i="31" s="1"/>
  <c r="I87" i="31"/>
  <c r="J87" i="31" s="1"/>
  <c r="I88" i="31"/>
  <c r="J88" i="31" s="1"/>
  <c r="I89" i="31"/>
  <c r="I90" i="31"/>
  <c r="I91" i="31"/>
  <c r="J91" i="31" s="1"/>
  <c r="I92" i="31"/>
  <c r="J92" i="31" s="1"/>
  <c r="I93" i="31"/>
  <c r="J93" i="31" s="1"/>
  <c r="I94" i="31"/>
  <c r="J94" i="31" s="1"/>
  <c r="I95" i="31"/>
  <c r="J95" i="31"/>
  <c r="I96" i="31"/>
  <c r="J96" i="31" s="1"/>
  <c r="I97" i="31"/>
  <c r="I98" i="31"/>
  <c r="J98" i="31" s="1"/>
  <c r="I99" i="31"/>
  <c r="J99" i="31" s="1"/>
  <c r="I100" i="31"/>
  <c r="J100" i="31" s="1"/>
  <c r="I101" i="31"/>
  <c r="J101" i="31" s="1"/>
  <c r="I102" i="31"/>
  <c r="J102" i="31" s="1"/>
  <c r="I103" i="31"/>
  <c r="J103" i="31" s="1"/>
  <c r="I104" i="31"/>
  <c r="J104" i="31" s="1"/>
  <c r="I105" i="31"/>
  <c r="J105" i="31" s="1"/>
  <c r="I106" i="31"/>
  <c r="I107" i="31"/>
  <c r="J107" i="31" s="1"/>
  <c r="I108" i="31"/>
  <c r="J108" i="31" s="1"/>
  <c r="I109" i="31"/>
  <c r="J109" i="31" s="1"/>
  <c r="I110" i="31"/>
  <c r="I111" i="31"/>
  <c r="J111" i="31" s="1"/>
  <c r="I112" i="31"/>
  <c r="J112" i="31" s="1"/>
  <c r="I113" i="31"/>
  <c r="J113" i="31" s="1"/>
  <c r="I114" i="31"/>
  <c r="J114" i="31" s="1"/>
  <c r="I115" i="31"/>
  <c r="J115" i="31" s="1"/>
  <c r="I116" i="31"/>
  <c r="I117" i="31"/>
  <c r="J117" i="31"/>
  <c r="I118" i="31"/>
  <c r="J118" i="31" s="1"/>
  <c r="I119" i="31"/>
  <c r="J119" i="31" s="1"/>
  <c r="I120" i="31"/>
  <c r="J120" i="31" s="1"/>
  <c r="I121" i="31"/>
  <c r="J121" i="31" s="1"/>
  <c r="I122" i="31"/>
  <c r="J122" i="31" s="1"/>
  <c r="I123" i="31"/>
  <c r="J123" i="31" s="1"/>
  <c r="I124" i="31"/>
  <c r="J124" i="31" s="1"/>
  <c r="I125" i="31"/>
  <c r="J125" i="31" s="1"/>
  <c r="I126" i="31"/>
  <c r="J127" i="31"/>
  <c r="I128" i="31"/>
  <c r="J128" i="31" s="1"/>
  <c r="I129" i="31"/>
  <c r="J129" i="31" s="1"/>
  <c r="I130" i="31"/>
  <c r="J130" i="31" s="1"/>
  <c r="I131" i="31"/>
  <c r="J131" i="31"/>
  <c r="I132" i="31"/>
  <c r="J132" i="31" s="1"/>
  <c r="I133" i="31"/>
  <c r="J133" i="31" s="1"/>
  <c r="I134" i="31"/>
  <c r="I135" i="31"/>
  <c r="J135" i="31" s="1"/>
  <c r="I136" i="31"/>
  <c r="I137" i="31"/>
  <c r="I138" i="31"/>
  <c r="J138" i="31"/>
  <c r="I139" i="31"/>
  <c r="I140" i="31"/>
  <c r="J140" i="31" s="1"/>
  <c r="I141" i="31"/>
  <c r="J141" i="31" s="1"/>
  <c r="I142" i="31"/>
  <c r="I143" i="31"/>
  <c r="J143" i="31" s="1"/>
  <c r="I144" i="31"/>
  <c r="I145" i="31"/>
  <c r="J145" i="31" s="1"/>
  <c r="I146" i="31"/>
  <c r="J146" i="31" s="1"/>
  <c r="I147" i="31"/>
  <c r="J147" i="31" s="1"/>
  <c r="I148" i="31"/>
  <c r="J148" i="31" s="1"/>
  <c r="I149" i="31"/>
  <c r="J149" i="31" s="1"/>
  <c r="I150" i="31"/>
  <c r="J150" i="31" s="1"/>
  <c r="I151" i="31"/>
  <c r="J151" i="31" s="1"/>
  <c r="I152" i="31"/>
  <c r="J152" i="31" s="1"/>
  <c r="I153" i="31"/>
  <c r="J153" i="31" s="1"/>
  <c r="I154" i="31"/>
  <c r="J154" i="31" s="1"/>
  <c r="F18" i="31"/>
  <c r="G18" i="31" s="1"/>
  <c r="F19" i="31"/>
  <c r="G19" i="31" s="1"/>
  <c r="F20" i="31"/>
  <c r="G20" i="31" s="1"/>
  <c r="F21" i="31"/>
  <c r="G21" i="31" s="1"/>
  <c r="F22" i="31"/>
  <c r="G22" i="31" s="1"/>
  <c r="F23" i="31"/>
  <c r="G23" i="31"/>
  <c r="F24" i="31"/>
  <c r="G24" i="31" s="1"/>
  <c r="F25" i="31"/>
  <c r="G25" i="31" s="1"/>
  <c r="F26" i="31"/>
  <c r="G26" i="31" s="1"/>
  <c r="F27" i="31"/>
  <c r="G27" i="31" s="1"/>
  <c r="F28" i="31"/>
  <c r="G28" i="31" s="1"/>
  <c r="F29" i="31"/>
  <c r="G29" i="31" s="1"/>
  <c r="F30" i="31"/>
  <c r="G30" i="31" s="1"/>
  <c r="F31" i="31"/>
  <c r="G31" i="31" s="1"/>
  <c r="F32" i="31"/>
  <c r="G32" i="31" s="1"/>
  <c r="F33" i="31"/>
  <c r="G33" i="31" s="1"/>
  <c r="F34" i="31"/>
  <c r="G34" i="31" s="1"/>
  <c r="F35" i="31"/>
  <c r="G35" i="31" s="1"/>
  <c r="F36" i="31"/>
  <c r="G36" i="31" s="1"/>
  <c r="F37" i="31"/>
  <c r="G37" i="31" s="1"/>
  <c r="F38" i="31"/>
  <c r="G38" i="31" s="1"/>
  <c r="F39" i="31"/>
  <c r="G39" i="31" s="1"/>
  <c r="F40" i="31"/>
  <c r="G40" i="31" s="1"/>
  <c r="F41" i="31"/>
  <c r="G41" i="31" s="1"/>
  <c r="F42" i="31"/>
  <c r="G42" i="31" s="1"/>
  <c r="F43" i="31"/>
  <c r="G43" i="31" s="1"/>
  <c r="F44" i="31"/>
  <c r="G44" i="31" s="1"/>
  <c r="F45" i="31"/>
  <c r="G45" i="31" s="1"/>
  <c r="F46" i="31"/>
  <c r="G46" i="31" s="1"/>
  <c r="F47" i="31"/>
  <c r="G47" i="31" s="1"/>
  <c r="F48" i="31"/>
  <c r="G48" i="31" s="1"/>
  <c r="F49" i="31"/>
  <c r="G49" i="31" s="1"/>
  <c r="F50" i="31"/>
  <c r="G50" i="31" s="1"/>
  <c r="F51" i="31"/>
  <c r="G51" i="31"/>
  <c r="F52" i="31"/>
  <c r="G52" i="31" s="1"/>
  <c r="F53" i="31"/>
  <c r="G53" i="31"/>
  <c r="F54" i="31"/>
  <c r="G54" i="31" s="1"/>
  <c r="F55" i="31"/>
  <c r="G55" i="31" s="1"/>
  <c r="F56" i="31"/>
  <c r="G56" i="31" s="1"/>
  <c r="F57" i="31"/>
  <c r="G57" i="31"/>
  <c r="F58" i="31"/>
  <c r="G58" i="31" s="1"/>
  <c r="F59" i="31"/>
  <c r="G59" i="31" s="1"/>
  <c r="F60" i="31"/>
  <c r="G60" i="31" s="1"/>
  <c r="F61" i="31"/>
  <c r="G61" i="31" s="1"/>
  <c r="F62" i="31"/>
  <c r="G62" i="31" s="1"/>
  <c r="F63" i="31"/>
  <c r="G63" i="31" s="1"/>
  <c r="F64" i="31"/>
  <c r="G64" i="31"/>
  <c r="F65" i="31"/>
  <c r="G65" i="31"/>
  <c r="F66" i="31"/>
  <c r="G66" i="31" s="1"/>
  <c r="F67" i="31"/>
  <c r="G67" i="31" s="1"/>
  <c r="F68" i="31"/>
  <c r="G68" i="31" s="1"/>
  <c r="F69" i="31"/>
  <c r="G69" i="31" s="1"/>
  <c r="F70" i="31"/>
  <c r="G70" i="31" s="1"/>
  <c r="F71" i="31"/>
  <c r="G71" i="31" s="1"/>
  <c r="F72" i="31"/>
  <c r="G72" i="31" s="1"/>
  <c r="F73" i="31"/>
  <c r="G73" i="31" s="1"/>
  <c r="F74" i="31"/>
  <c r="G74" i="31" s="1"/>
  <c r="F75" i="31"/>
  <c r="G75" i="31" s="1"/>
  <c r="F76" i="31"/>
  <c r="G76" i="31" s="1"/>
  <c r="F77" i="31"/>
  <c r="G77" i="31"/>
  <c r="F78" i="31"/>
  <c r="G78" i="31" s="1"/>
  <c r="F79" i="31"/>
  <c r="G79" i="31" s="1"/>
  <c r="F80" i="31"/>
  <c r="G80" i="31" s="1"/>
  <c r="F81" i="31"/>
  <c r="G81" i="31" s="1"/>
  <c r="F82" i="31"/>
  <c r="G82" i="31" s="1"/>
  <c r="F83" i="31"/>
  <c r="G83" i="31" s="1"/>
  <c r="F84" i="31"/>
  <c r="G84" i="31" s="1"/>
  <c r="F85" i="31"/>
  <c r="G85" i="31" s="1"/>
  <c r="F86" i="31"/>
  <c r="G86" i="31" s="1"/>
  <c r="F87" i="31"/>
  <c r="G87" i="31" s="1"/>
  <c r="F88" i="31"/>
  <c r="G88" i="31" s="1"/>
  <c r="F89" i="31"/>
  <c r="G89" i="31" s="1"/>
  <c r="F90" i="31"/>
  <c r="G90" i="31" s="1"/>
  <c r="F91" i="31"/>
  <c r="G91" i="31" s="1"/>
  <c r="F92" i="31"/>
  <c r="G92" i="31" s="1"/>
  <c r="F93" i="31"/>
  <c r="G93" i="31"/>
  <c r="F94" i="31"/>
  <c r="G94" i="31" s="1"/>
  <c r="F95" i="31"/>
  <c r="G95" i="31" s="1"/>
  <c r="F96" i="31"/>
  <c r="G96" i="31" s="1"/>
  <c r="F97" i="31"/>
  <c r="G97" i="31" s="1"/>
  <c r="F98" i="31"/>
  <c r="G98" i="31" s="1"/>
  <c r="F99" i="31"/>
  <c r="G99" i="31" s="1"/>
  <c r="F100" i="31"/>
  <c r="G100" i="31" s="1"/>
  <c r="F101" i="31"/>
  <c r="G101" i="31" s="1"/>
  <c r="F102" i="31"/>
  <c r="G102" i="31" s="1"/>
  <c r="F103" i="31"/>
  <c r="G103" i="31" s="1"/>
  <c r="F104" i="31"/>
  <c r="G104" i="31" s="1"/>
  <c r="F105" i="31"/>
  <c r="G105" i="31" s="1"/>
  <c r="F106" i="31"/>
  <c r="G106" i="31" s="1"/>
  <c r="F107" i="31"/>
  <c r="G107" i="31" s="1"/>
  <c r="F108" i="31"/>
  <c r="G108" i="31" s="1"/>
  <c r="F109" i="31"/>
  <c r="G109" i="31" s="1"/>
  <c r="F110" i="31"/>
  <c r="G110" i="31" s="1"/>
  <c r="F111" i="31"/>
  <c r="G111" i="31" s="1"/>
  <c r="F112" i="31"/>
  <c r="G112" i="31" s="1"/>
  <c r="F113" i="31"/>
  <c r="G113" i="31" s="1"/>
  <c r="F114" i="31"/>
  <c r="G114" i="31" s="1"/>
  <c r="F115" i="31"/>
  <c r="G115" i="31" s="1"/>
  <c r="F116" i="31"/>
  <c r="G116" i="31" s="1"/>
  <c r="F117" i="31"/>
  <c r="G117" i="31" s="1"/>
  <c r="F118" i="31"/>
  <c r="G118" i="31" s="1"/>
  <c r="F119" i="31"/>
  <c r="G119" i="31" s="1"/>
  <c r="F120" i="31"/>
  <c r="G120" i="31" s="1"/>
  <c r="F121" i="31"/>
  <c r="G121" i="31" s="1"/>
  <c r="F122" i="31"/>
  <c r="G122" i="31" s="1"/>
  <c r="F123" i="31"/>
  <c r="G123" i="31" s="1"/>
  <c r="F124" i="31"/>
  <c r="G124" i="31" s="1"/>
  <c r="F125" i="31"/>
  <c r="G125" i="31" s="1"/>
  <c r="F126" i="31"/>
  <c r="G126" i="31" s="1"/>
  <c r="F127" i="31"/>
  <c r="G127" i="31" s="1"/>
  <c r="F128" i="31"/>
  <c r="G128" i="31" s="1"/>
  <c r="F129" i="31"/>
  <c r="G129" i="31" s="1"/>
  <c r="F130" i="31"/>
  <c r="G130" i="31" s="1"/>
  <c r="F131" i="31"/>
  <c r="G131" i="31" s="1"/>
  <c r="F132" i="31"/>
  <c r="G132" i="31" s="1"/>
  <c r="F133" i="31"/>
  <c r="G133" i="31"/>
  <c r="F134" i="31"/>
  <c r="G134" i="31" s="1"/>
  <c r="F135" i="31"/>
  <c r="G135" i="31" s="1"/>
  <c r="F136" i="31"/>
  <c r="G136" i="31" s="1"/>
  <c r="F137" i="31"/>
  <c r="G137" i="31" s="1"/>
  <c r="F138" i="31"/>
  <c r="G138" i="31" s="1"/>
  <c r="F139" i="31"/>
  <c r="G139" i="31" s="1"/>
  <c r="F140" i="31"/>
  <c r="G140" i="31" s="1"/>
  <c r="F141" i="31"/>
  <c r="G141" i="31" s="1"/>
  <c r="F142" i="31"/>
  <c r="G142" i="31" s="1"/>
  <c r="F143" i="31"/>
  <c r="G143" i="31"/>
  <c r="F144" i="31"/>
  <c r="G144" i="31" s="1"/>
  <c r="F145" i="31"/>
  <c r="G145" i="31" s="1"/>
  <c r="F146" i="31"/>
  <c r="G146" i="31" s="1"/>
  <c r="F147" i="31"/>
  <c r="G147" i="31" s="1"/>
  <c r="F148" i="31"/>
  <c r="G148" i="31" s="1"/>
  <c r="F149" i="31"/>
  <c r="G149" i="31" s="1"/>
  <c r="F150" i="31"/>
  <c r="G150" i="31" s="1"/>
  <c r="F151" i="31"/>
  <c r="G151" i="31" s="1"/>
  <c r="F152" i="31"/>
  <c r="G152" i="31" s="1"/>
  <c r="F153" i="31"/>
  <c r="G153" i="31" s="1"/>
  <c r="F154" i="31"/>
  <c r="G154" i="31" s="1"/>
  <c r="F155" i="31"/>
  <c r="G155" i="31"/>
  <c r="F156" i="31"/>
  <c r="G156" i="31" s="1"/>
  <c r="F157" i="31"/>
  <c r="G157" i="31"/>
  <c r="F158" i="31"/>
  <c r="G158" i="31" s="1"/>
  <c r="G136" i="28"/>
  <c r="I136" i="28"/>
  <c r="J136" i="28" s="1"/>
  <c r="F60" i="28"/>
  <c r="G60" i="28" s="1"/>
  <c r="I18" i="28"/>
  <c r="J18" i="28" s="1"/>
  <c r="I19" i="28"/>
  <c r="J19" i="28" s="1"/>
  <c r="I20" i="28"/>
  <c r="J20" i="28" s="1"/>
  <c r="I21" i="28"/>
  <c r="J21" i="28" s="1"/>
  <c r="I22" i="28"/>
  <c r="J22" i="28"/>
  <c r="I23" i="28"/>
  <c r="J23" i="28" s="1"/>
  <c r="I24" i="28"/>
  <c r="J24" i="28" s="1"/>
  <c r="I25" i="28"/>
  <c r="J25" i="28"/>
  <c r="I26" i="28"/>
  <c r="J26" i="28" s="1"/>
  <c r="I27" i="28"/>
  <c r="J27" i="28" s="1"/>
  <c r="I28" i="28"/>
  <c r="J28" i="28"/>
  <c r="I29" i="28"/>
  <c r="J29" i="28" s="1"/>
  <c r="I30" i="28"/>
  <c r="J30" i="28" s="1"/>
  <c r="I31" i="28"/>
  <c r="J31" i="28"/>
  <c r="I32" i="28"/>
  <c r="J32" i="28" s="1"/>
  <c r="I33" i="28"/>
  <c r="J33" i="28" s="1"/>
  <c r="I34" i="28"/>
  <c r="J34" i="28" s="1"/>
  <c r="I35" i="28"/>
  <c r="J35" i="28" s="1"/>
  <c r="I36" i="28"/>
  <c r="J36" i="28" s="1"/>
  <c r="I37" i="28"/>
  <c r="J37" i="28"/>
  <c r="I38" i="28"/>
  <c r="J38" i="28" s="1"/>
  <c r="I39" i="28"/>
  <c r="J39" i="28" s="1"/>
  <c r="I40" i="28"/>
  <c r="J40" i="28" s="1"/>
  <c r="I41" i="28"/>
  <c r="J41" i="28" s="1"/>
  <c r="I42" i="28"/>
  <c r="J42" i="28" s="1"/>
  <c r="I43" i="28"/>
  <c r="J43" i="28"/>
  <c r="I44" i="28"/>
  <c r="J44" i="28" s="1"/>
  <c r="I45" i="28"/>
  <c r="J45" i="28" s="1"/>
  <c r="I46" i="28"/>
  <c r="J46" i="28" s="1"/>
  <c r="I47" i="28"/>
  <c r="J47" i="28"/>
  <c r="I48" i="28"/>
  <c r="J48" i="28"/>
  <c r="I49" i="28"/>
  <c r="J49" i="28" s="1"/>
  <c r="I50" i="28"/>
  <c r="J50" i="28" s="1"/>
  <c r="I51" i="28"/>
  <c r="J51" i="28" s="1"/>
  <c r="I52" i="28"/>
  <c r="J52" i="28" s="1"/>
  <c r="I53" i="28"/>
  <c r="J53" i="28" s="1"/>
  <c r="I54" i="28"/>
  <c r="J54" i="28" s="1"/>
  <c r="I55" i="28"/>
  <c r="J55" i="28" s="1"/>
  <c r="I56" i="28"/>
  <c r="J56" i="28" s="1"/>
  <c r="I57" i="28"/>
  <c r="J57" i="28" s="1"/>
  <c r="I58" i="28"/>
  <c r="J58" i="28" s="1"/>
  <c r="I59" i="28"/>
  <c r="J59" i="28" s="1"/>
  <c r="I60" i="28"/>
  <c r="J60" i="28"/>
  <c r="I61" i="28"/>
  <c r="J61" i="28"/>
  <c r="I62" i="28"/>
  <c r="J62" i="28" s="1"/>
  <c r="I63" i="28"/>
  <c r="J63" i="28" s="1"/>
  <c r="I64" i="28"/>
  <c r="J64" i="28" s="1"/>
  <c r="I65" i="28"/>
  <c r="J65" i="28" s="1"/>
  <c r="I66" i="28"/>
  <c r="J66" i="28" s="1"/>
  <c r="I67" i="28"/>
  <c r="J67" i="28" s="1"/>
  <c r="I68" i="28"/>
  <c r="J68" i="28" s="1"/>
  <c r="I69" i="28"/>
  <c r="J69" i="28" s="1"/>
  <c r="I70" i="28"/>
  <c r="J70" i="28" s="1"/>
  <c r="I71" i="28"/>
  <c r="J71" i="28" s="1"/>
  <c r="I72" i="28"/>
  <c r="J72" i="28" s="1"/>
  <c r="I73" i="28"/>
  <c r="J73" i="28" s="1"/>
  <c r="I74" i="28"/>
  <c r="J74" i="28" s="1"/>
  <c r="I75" i="28"/>
  <c r="J75" i="28" s="1"/>
  <c r="I76" i="28"/>
  <c r="J76" i="28" s="1"/>
  <c r="I77" i="28"/>
  <c r="J77" i="28" s="1"/>
  <c r="I78" i="28"/>
  <c r="J78" i="28" s="1"/>
  <c r="I79" i="28"/>
  <c r="I80" i="28"/>
  <c r="J80" i="28" s="1"/>
  <c r="I81" i="28"/>
  <c r="J81" i="28" s="1"/>
  <c r="I82" i="28"/>
  <c r="J82" i="28" s="1"/>
  <c r="I83" i="28"/>
  <c r="J83" i="28" s="1"/>
  <c r="I84" i="28"/>
  <c r="J84" i="28" s="1"/>
  <c r="I85" i="28"/>
  <c r="J85" i="28" s="1"/>
  <c r="I86" i="28"/>
  <c r="J86" i="28" s="1"/>
  <c r="I87" i="28"/>
  <c r="J87" i="28" s="1"/>
  <c r="I88" i="28"/>
  <c r="J88" i="28" s="1"/>
  <c r="I89" i="28"/>
  <c r="J89" i="28" s="1"/>
  <c r="I90" i="28"/>
  <c r="J90" i="28"/>
  <c r="I91" i="28"/>
  <c r="J91" i="28" s="1"/>
  <c r="I92" i="28"/>
  <c r="J92" i="28" s="1"/>
  <c r="I93" i="28"/>
  <c r="J93" i="28" s="1"/>
  <c r="I94" i="28"/>
  <c r="J94" i="28" s="1"/>
  <c r="I95" i="28"/>
  <c r="J95" i="28" s="1"/>
  <c r="I96" i="28"/>
  <c r="J96" i="28" s="1"/>
  <c r="I97" i="28"/>
  <c r="J97" i="28" s="1"/>
  <c r="I98" i="28"/>
  <c r="J98" i="28" s="1"/>
  <c r="I99" i="28"/>
  <c r="J99" i="28" s="1"/>
  <c r="I100" i="28"/>
  <c r="J100" i="28" s="1"/>
  <c r="I101" i="28"/>
  <c r="J101" i="28" s="1"/>
  <c r="I102" i="28"/>
  <c r="J102" i="28" s="1"/>
  <c r="I103" i="28"/>
  <c r="J103" i="28" s="1"/>
  <c r="I104" i="28"/>
  <c r="J104" i="28" s="1"/>
  <c r="I105" i="28"/>
  <c r="J105" i="28" s="1"/>
  <c r="I106" i="28"/>
  <c r="J106" i="28" s="1"/>
  <c r="I107" i="28"/>
  <c r="J107" i="28" s="1"/>
  <c r="I108" i="28"/>
  <c r="J108" i="28" s="1"/>
  <c r="I109" i="28"/>
  <c r="J109" i="28" s="1"/>
  <c r="I110" i="28"/>
  <c r="J110" i="28"/>
  <c r="I111" i="28"/>
  <c r="J111" i="28" s="1"/>
  <c r="I112" i="28"/>
  <c r="J112" i="28" s="1"/>
  <c r="I113" i="28"/>
  <c r="J113" i="28" s="1"/>
  <c r="I114" i="28"/>
  <c r="J114" i="28" s="1"/>
  <c r="I115" i="28"/>
  <c r="J115" i="28" s="1"/>
  <c r="I116" i="28"/>
  <c r="J116" i="28" s="1"/>
  <c r="I117" i="28"/>
  <c r="J117" i="28" s="1"/>
  <c r="I118" i="28"/>
  <c r="J118" i="28" s="1"/>
  <c r="I119" i="28"/>
  <c r="J119" i="28"/>
  <c r="I120" i="28"/>
  <c r="J120" i="28" s="1"/>
  <c r="I121" i="28"/>
  <c r="J121" i="28" s="1"/>
  <c r="I122" i="28"/>
  <c r="J122" i="28" s="1"/>
  <c r="I123" i="28"/>
  <c r="J123" i="28" s="1"/>
  <c r="I124" i="28"/>
  <c r="J124" i="28" s="1"/>
  <c r="I125" i="28"/>
  <c r="J125" i="28"/>
  <c r="I126" i="28"/>
  <c r="J126" i="28" s="1"/>
  <c r="I127" i="28"/>
  <c r="J127" i="28" s="1"/>
  <c r="I128" i="28"/>
  <c r="J128" i="28" s="1"/>
  <c r="I129" i="28"/>
  <c r="J129" i="28"/>
  <c r="I130" i="28"/>
  <c r="J130" i="28"/>
  <c r="I131" i="28"/>
  <c r="J131" i="28" s="1"/>
  <c r="I132" i="28"/>
  <c r="J132" i="28" s="1"/>
  <c r="J133" i="28"/>
  <c r="I134" i="28"/>
  <c r="J134" i="28" s="1"/>
  <c r="I135" i="28"/>
  <c r="J135" i="28" s="1"/>
  <c r="I137" i="28"/>
  <c r="J137" i="28" s="1"/>
  <c r="I138" i="28"/>
  <c r="J138" i="28" s="1"/>
  <c r="I139" i="28"/>
  <c r="J139" i="28" s="1"/>
  <c r="I140" i="28"/>
  <c r="J140" i="28" s="1"/>
  <c r="I141" i="28"/>
  <c r="J141" i="28" s="1"/>
  <c r="I142" i="28"/>
  <c r="J142" i="28"/>
  <c r="I143" i="28"/>
  <c r="J143" i="28"/>
  <c r="J144" i="28"/>
  <c r="I145" i="28"/>
  <c r="J145" i="28" s="1"/>
  <c r="I146" i="28"/>
  <c r="J146" i="28" s="1"/>
  <c r="I147" i="28"/>
  <c r="J147" i="28" s="1"/>
  <c r="I148" i="28"/>
  <c r="J148" i="28" s="1"/>
  <c r="I149" i="28"/>
  <c r="J149" i="28" s="1"/>
  <c r="I150" i="28"/>
  <c r="J150" i="28" s="1"/>
  <c r="I151" i="28"/>
  <c r="J151" i="28" s="1"/>
  <c r="I152" i="28"/>
  <c r="J152" i="28" s="1"/>
  <c r="I153" i="28"/>
  <c r="J153" i="28" s="1"/>
  <c r="I154" i="28"/>
  <c r="J154" i="28" s="1"/>
  <c r="I155" i="28"/>
  <c r="J155" i="28"/>
  <c r="I156" i="28"/>
  <c r="J156" i="28" s="1"/>
  <c r="I157" i="28"/>
  <c r="J157" i="28" s="1"/>
  <c r="I158" i="28"/>
  <c r="J158" i="28" s="1"/>
  <c r="F18" i="28"/>
  <c r="G18" i="28"/>
  <c r="F19" i="28"/>
  <c r="G19" i="28"/>
  <c r="F20" i="28"/>
  <c r="G20" i="28" s="1"/>
  <c r="F21" i="28"/>
  <c r="G21" i="28" s="1"/>
  <c r="F22" i="28"/>
  <c r="G22" i="28"/>
  <c r="F23" i="28"/>
  <c r="G23" i="28" s="1"/>
  <c r="F24" i="28"/>
  <c r="G24" i="28" s="1"/>
  <c r="F25" i="28"/>
  <c r="G25" i="28"/>
  <c r="F26" i="28"/>
  <c r="G26" i="28" s="1"/>
  <c r="F27" i="28"/>
  <c r="G27" i="28" s="1"/>
  <c r="F28" i="28"/>
  <c r="G28" i="28" s="1"/>
  <c r="F29" i="28"/>
  <c r="G29" i="28"/>
  <c r="F30" i="28"/>
  <c r="G30" i="28" s="1"/>
  <c r="F31" i="28"/>
  <c r="G31" i="28" s="1"/>
  <c r="F32" i="28"/>
  <c r="G32" i="28"/>
  <c r="F33" i="28"/>
  <c r="G33" i="28" s="1"/>
  <c r="F34" i="28"/>
  <c r="G34" i="28" s="1"/>
  <c r="F35" i="28"/>
  <c r="G35" i="28" s="1"/>
  <c r="G36" i="28"/>
  <c r="F37" i="28"/>
  <c r="G37" i="28" s="1"/>
  <c r="F38" i="28"/>
  <c r="G38" i="28" s="1"/>
  <c r="F39" i="28"/>
  <c r="G39" i="28" s="1"/>
  <c r="F40" i="28"/>
  <c r="G40" i="28" s="1"/>
  <c r="F41" i="28"/>
  <c r="G41" i="28"/>
  <c r="F42" i="28"/>
  <c r="G42" i="28"/>
  <c r="F43" i="28"/>
  <c r="G43" i="28" s="1"/>
  <c r="F44" i="28"/>
  <c r="G44" i="28" s="1"/>
  <c r="F45" i="28"/>
  <c r="G45" i="28"/>
  <c r="F46" i="28"/>
  <c r="G46" i="28"/>
  <c r="F47" i="28"/>
  <c r="G47" i="28" s="1"/>
  <c r="F48" i="28"/>
  <c r="G48" i="28"/>
  <c r="F49" i="28"/>
  <c r="G49" i="28" s="1"/>
  <c r="F50" i="28"/>
  <c r="G50" i="28" s="1"/>
  <c r="F51" i="28"/>
  <c r="G51" i="28"/>
  <c r="F52" i="28"/>
  <c r="G52" i="28" s="1"/>
  <c r="F53" i="28"/>
  <c r="G53" i="28" s="1"/>
  <c r="F54" i="28"/>
  <c r="G54" i="28"/>
  <c r="F55" i="28"/>
  <c r="G55" i="28" s="1"/>
  <c r="F56" i="28"/>
  <c r="G56" i="28" s="1"/>
  <c r="F57" i="28"/>
  <c r="G57" i="28" s="1"/>
  <c r="F58" i="28"/>
  <c r="G58" i="28" s="1"/>
  <c r="F59" i="28"/>
  <c r="G59" i="28" s="1"/>
  <c r="F61" i="28"/>
  <c r="G61" i="28" s="1"/>
  <c r="F62" i="28"/>
  <c r="G62" i="28" s="1"/>
  <c r="F63" i="28"/>
  <c r="G63" i="28"/>
  <c r="F64" i="28"/>
  <c r="G64" i="28" s="1"/>
  <c r="F65" i="28"/>
  <c r="G65" i="28" s="1"/>
  <c r="F66" i="28"/>
  <c r="G66" i="28" s="1"/>
  <c r="F67" i="28"/>
  <c r="G67" i="28" s="1"/>
  <c r="F68" i="28"/>
  <c r="G68" i="28"/>
  <c r="F69" i="28"/>
  <c r="G69" i="28" s="1"/>
  <c r="F70" i="28"/>
  <c r="G70" i="28" s="1"/>
  <c r="F71" i="28"/>
  <c r="G71" i="28" s="1"/>
  <c r="F72" i="28"/>
  <c r="G72" i="28" s="1"/>
  <c r="F73" i="28"/>
  <c r="G73" i="28" s="1"/>
  <c r="F74" i="28"/>
  <c r="G74" i="28" s="1"/>
  <c r="F75" i="28"/>
  <c r="G75" i="28"/>
  <c r="F76" i="28"/>
  <c r="G76" i="28" s="1"/>
  <c r="F77" i="28"/>
  <c r="G77" i="28" s="1"/>
  <c r="F78" i="28"/>
  <c r="G78" i="28" s="1"/>
  <c r="F79" i="28"/>
  <c r="G79" i="28" s="1"/>
  <c r="F80" i="28"/>
  <c r="G80" i="28" s="1"/>
  <c r="F81" i="28"/>
  <c r="G81" i="28" s="1"/>
  <c r="F82" i="28"/>
  <c r="G82" i="28" s="1"/>
  <c r="F83" i="28"/>
  <c r="G83" i="28" s="1"/>
  <c r="F84" i="28"/>
  <c r="G84" i="28" s="1"/>
  <c r="F85" i="28"/>
  <c r="G85" i="28" s="1"/>
  <c r="F86" i="28"/>
  <c r="G86" i="28" s="1"/>
  <c r="F87" i="28"/>
  <c r="G87" i="28" s="1"/>
  <c r="F88" i="28"/>
  <c r="G88" i="28" s="1"/>
  <c r="F89" i="28"/>
  <c r="G89" i="28" s="1"/>
  <c r="G90" i="28"/>
  <c r="F91" i="28"/>
  <c r="G91" i="28" s="1"/>
  <c r="F92" i="28"/>
  <c r="G92" i="28" s="1"/>
  <c r="F93" i="28"/>
  <c r="G93" i="28"/>
  <c r="F94" i="28"/>
  <c r="G94" i="28" s="1"/>
  <c r="F95" i="28"/>
  <c r="G95" i="28" s="1"/>
  <c r="F96" i="28"/>
  <c r="G96" i="28" s="1"/>
  <c r="F97" i="28"/>
  <c r="G97" i="28" s="1"/>
  <c r="F98" i="28"/>
  <c r="G98" i="28" s="1"/>
  <c r="F99" i="28"/>
  <c r="G99" i="28" s="1"/>
  <c r="F100" i="28"/>
  <c r="G100" i="28" s="1"/>
  <c r="F101" i="28"/>
  <c r="G101" i="28" s="1"/>
  <c r="F102" i="28"/>
  <c r="G102" i="28" s="1"/>
  <c r="F103" i="28"/>
  <c r="G103" i="28" s="1"/>
  <c r="F104" i="28"/>
  <c r="G104" i="28" s="1"/>
  <c r="F105" i="28"/>
  <c r="G105" i="28"/>
  <c r="F106" i="28"/>
  <c r="G106" i="28"/>
  <c r="F107" i="28"/>
  <c r="G107" i="28" s="1"/>
  <c r="F108" i="28"/>
  <c r="G108" i="28"/>
  <c r="F109" i="28"/>
  <c r="G109" i="28" s="1"/>
  <c r="F110" i="28"/>
  <c r="G110" i="28" s="1"/>
  <c r="F111" i="28"/>
  <c r="G111" i="28" s="1"/>
  <c r="F112" i="28"/>
  <c r="G112" i="28" s="1"/>
  <c r="F113" i="28"/>
  <c r="G113" i="28" s="1"/>
  <c r="F114" i="28"/>
  <c r="G114" i="28" s="1"/>
  <c r="F115" i="28"/>
  <c r="G115" i="28" s="1"/>
  <c r="F116" i="28"/>
  <c r="G116" i="28" s="1"/>
  <c r="F117" i="28"/>
  <c r="G117" i="28" s="1"/>
  <c r="F118" i="28"/>
  <c r="G118" i="28" s="1"/>
  <c r="F119" i="28"/>
  <c r="G119" i="28" s="1"/>
  <c r="F120" i="28"/>
  <c r="G120" i="28"/>
  <c r="F121" i="28"/>
  <c r="G121" i="28" s="1"/>
  <c r="F122" i="28"/>
  <c r="G122" i="28" s="1"/>
  <c r="F123" i="28"/>
  <c r="G123" i="28"/>
  <c r="F124" i="28"/>
  <c r="G124" i="28" s="1"/>
  <c r="F125" i="28"/>
  <c r="G125" i="28" s="1"/>
  <c r="F126" i="28"/>
  <c r="G126" i="28" s="1"/>
  <c r="F127" i="28"/>
  <c r="G127" i="28"/>
  <c r="F128" i="28"/>
  <c r="G128" i="28" s="1"/>
  <c r="F129" i="28"/>
  <c r="G129" i="28" s="1"/>
  <c r="F130" i="28"/>
  <c r="G130" i="28" s="1"/>
  <c r="F131" i="28"/>
  <c r="G131" i="28"/>
  <c r="G132" i="28"/>
  <c r="G133" i="28"/>
  <c r="F134" i="28"/>
  <c r="G134" i="28" s="1"/>
  <c r="F135" i="28"/>
  <c r="G135" i="28" s="1"/>
  <c r="G137" i="28"/>
  <c r="G138" i="28"/>
  <c r="G139" i="28"/>
  <c r="F140" i="28"/>
  <c r="G140" i="28" s="1"/>
  <c r="F141" i="28"/>
  <c r="G141" i="28"/>
  <c r="F142" i="28"/>
  <c r="G142" i="28"/>
  <c r="F143" i="28"/>
  <c r="G143" i="28" s="1"/>
  <c r="F144" i="28"/>
  <c r="G144" i="28" s="1"/>
  <c r="F145" i="28"/>
  <c r="G145" i="28" s="1"/>
  <c r="F146" i="28"/>
  <c r="G146" i="28"/>
  <c r="G147" i="28"/>
  <c r="F148" i="28"/>
  <c r="G148" i="28" s="1"/>
  <c r="F149" i="28"/>
  <c r="G149" i="28" s="1"/>
  <c r="F150" i="28"/>
  <c r="G150" i="28" s="1"/>
  <c r="F151" i="28"/>
  <c r="G151" i="28" s="1"/>
  <c r="F152" i="28"/>
  <c r="G152" i="28" s="1"/>
  <c r="F153" i="28"/>
  <c r="G153" i="28" s="1"/>
  <c r="F154" i="28"/>
  <c r="G154" i="28" s="1"/>
  <c r="F155" i="28"/>
  <c r="G155" i="28"/>
  <c r="F156" i="28"/>
  <c r="G156" i="28" s="1"/>
  <c r="F157" i="28"/>
  <c r="G157" i="28" s="1"/>
  <c r="F158" i="28"/>
  <c r="G158" i="28" s="1"/>
  <c r="I18" i="27"/>
  <c r="J18" i="27" s="1"/>
  <c r="I19" i="27"/>
  <c r="I19" i="29" s="1"/>
  <c r="I20" i="27"/>
  <c r="I21" i="27"/>
  <c r="I22" i="27"/>
  <c r="I23" i="27"/>
  <c r="J23" i="27" s="1"/>
  <c r="I24" i="27"/>
  <c r="J24" i="27" s="1"/>
  <c r="I25" i="27"/>
  <c r="J25" i="27" s="1"/>
  <c r="I26" i="27"/>
  <c r="J26" i="27" s="1"/>
  <c r="I27" i="27"/>
  <c r="I28" i="27"/>
  <c r="J28" i="27" s="1"/>
  <c r="I29" i="27"/>
  <c r="I30" i="27"/>
  <c r="I31" i="27"/>
  <c r="I32" i="27"/>
  <c r="J32" i="27" s="1"/>
  <c r="I33" i="27"/>
  <c r="J33" i="27" s="1"/>
  <c r="I34" i="27"/>
  <c r="J34" i="27" s="1"/>
  <c r="I35" i="27"/>
  <c r="I36" i="27"/>
  <c r="I37" i="27"/>
  <c r="J37" i="27" s="1"/>
  <c r="I38" i="27"/>
  <c r="J38" i="27" s="1"/>
  <c r="I39" i="27"/>
  <c r="I40" i="27"/>
  <c r="J40" i="27" s="1"/>
  <c r="I41" i="27"/>
  <c r="J41" i="27" s="1"/>
  <c r="I42" i="27"/>
  <c r="J42" i="27" s="1"/>
  <c r="I43" i="27"/>
  <c r="I43" i="29" s="1"/>
  <c r="I44" i="27"/>
  <c r="I44" i="29" s="1"/>
  <c r="I45" i="27"/>
  <c r="I46" i="27"/>
  <c r="J46" i="27" s="1"/>
  <c r="I47" i="27"/>
  <c r="J47" i="27" s="1"/>
  <c r="I48" i="27"/>
  <c r="J48" i="27" s="1"/>
  <c r="I49" i="27"/>
  <c r="J49" i="27" s="1"/>
  <c r="I50" i="27"/>
  <c r="J50" i="27" s="1"/>
  <c r="I51" i="27"/>
  <c r="I52" i="27"/>
  <c r="I53" i="27"/>
  <c r="I54" i="27"/>
  <c r="I55" i="27"/>
  <c r="J55" i="27" s="1"/>
  <c r="I56" i="27"/>
  <c r="J56" i="27" s="1"/>
  <c r="I57" i="27"/>
  <c r="I58" i="27"/>
  <c r="I59" i="27"/>
  <c r="I60" i="27"/>
  <c r="I60" i="29" s="1"/>
  <c r="I61" i="27"/>
  <c r="I62" i="27"/>
  <c r="I63" i="27"/>
  <c r="I64" i="27"/>
  <c r="J64" i="27"/>
  <c r="I65" i="27"/>
  <c r="J65" i="27" s="1"/>
  <c r="I66" i="27"/>
  <c r="J66" i="27" s="1"/>
  <c r="I67" i="27"/>
  <c r="I67" i="29" s="1"/>
  <c r="I68" i="27"/>
  <c r="I68" i="29" s="1"/>
  <c r="I69" i="27"/>
  <c r="J69" i="27" s="1"/>
  <c r="I70" i="27"/>
  <c r="I71" i="27"/>
  <c r="I72" i="27"/>
  <c r="I73" i="27"/>
  <c r="J73" i="27" s="1"/>
  <c r="I74" i="27"/>
  <c r="J74" i="27" s="1"/>
  <c r="I75" i="27"/>
  <c r="I76" i="27"/>
  <c r="I77" i="27"/>
  <c r="I78" i="27"/>
  <c r="I79" i="27"/>
  <c r="I80" i="27"/>
  <c r="J80" i="27" s="1"/>
  <c r="I81" i="27"/>
  <c r="I82" i="27"/>
  <c r="J82" i="27" s="1"/>
  <c r="I83" i="27"/>
  <c r="J83" i="27" s="1"/>
  <c r="I84" i="27"/>
  <c r="I85" i="27"/>
  <c r="I86" i="27"/>
  <c r="I87" i="27"/>
  <c r="I88" i="27"/>
  <c r="J88" i="27" s="1"/>
  <c r="I89" i="27"/>
  <c r="J89" i="27" s="1"/>
  <c r="I90" i="27"/>
  <c r="J90" i="27" s="1"/>
  <c r="I91" i="27"/>
  <c r="J91" i="27" s="1"/>
  <c r="I92" i="27"/>
  <c r="J92" i="27"/>
  <c r="I93" i="27"/>
  <c r="J93" i="27" s="1"/>
  <c r="I94" i="27"/>
  <c r="I95" i="27"/>
  <c r="I95" i="29" s="1"/>
  <c r="I96" i="27"/>
  <c r="I97" i="27"/>
  <c r="I98" i="27"/>
  <c r="J98" i="27" s="1"/>
  <c r="I99" i="27"/>
  <c r="I100" i="27"/>
  <c r="I101" i="27"/>
  <c r="I102" i="27"/>
  <c r="J102" i="27" s="1"/>
  <c r="I103" i="27"/>
  <c r="J103" i="27" s="1"/>
  <c r="I104" i="27"/>
  <c r="I105" i="27"/>
  <c r="I105" i="29" s="1"/>
  <c r="I106" i="27"/>
  <c r="J106" i="27" s="1"/>
  <c r="I107" i="27"/>
  <c r="J107" i="27" s="1"/>
  <c r="I108" i="27"/>
  <c r="I109" i="27"/>
  <c r="I110" i="27"/>
  <c r="I111" i="27"/>
  <c r="J111" i="27" s="1"/>
  <c r="I112" i="27"/>
  <c r="I113" i="27"/>
  <c r="J113" i="27" s="1"/>
  <c r="I114" i="27"/>
  <c r="J114" i="27" s="1"/>
  <c r="I115" i="27"/>
  <c r="I116" i="27"/>
  <c r="I117" i="27"/>
  <c r="J117" i="27" s="1"/>
  <c r="I118" i="27"/>
  <c r="I119" i="27"/>
  <c r="J119" i="27" s="1"/>
  <c r="I120" i="27"/>
  <c r="I120" i="29" s="1"/>
  <c r="I121" i="27"/>
  <c r="I122" i="27"/>
  <c r="J122" i="27" s="1"/>
  <c r="I123" i="27"/>
  <c r="I123" i="29" s="1"/>
  <c r="I124" i="27"/>
  <c r="I125" i="27"/>
  <c r="J125" i="27" s="1"/>
  <c r="I126" i="27"/>
  <c r="J126" i="27" s="1"/>
  <c r="I127" i="27"/>
  <c r="J127" i="27" s="1"/>
  <c r="I128" i="27"/>
  <c r="I129" i="27"/>
  <c r="I129" i="29" s="1"/>
  <c r="I130" i="27"/>
  <c r="I131" i="27"/>
  <c r="J131" i="27" s="1"/>
  <c r="I132" i="27"/>
  <c r="I133" i="27"/>
  <c r="I134" i="27"/>
  <c r="I135" i="27"/>
  <c r="I136" i="27"/>
  <c r="J136" i="27" s="1"/>
  <c r="I137" i="27"/>
  <c r="J137" i="27" s="1"/>
  <c r="I138" i="27"/>
  <c r="J138" i="27" s="1"/>
  <c r="I139" i="27"/>
  <c r="I140" i="27"/>
  <c r="J140" i="27" s="1"/>
  <c r="I141" i="27"/>
  <c r="J141" i="27" s="1"/>
  <c r="I142" i="27"/>
  <c r="I143" i="27"/>
  <c r="I143" i="29" s="1"/>
  <c r="I144" i="27"/>
  <c r="J144" i="27" s="1"/>
  <c r="I145" i="27"/>
  <c r="I146" i="27"/>
  <c r="I147" i="27"/>
  <c r="I148" i="27"/>
  <c r="J148" i="27" s="1"/>
  <c r="I149" i="27"/>
  <c r="J149" i="27" s="1"/>
  <c r="I150" i="27"/>
  <c r="J150" i="27" s="1"/>
  <c r="I151" i="27"/>
  <c r="I152" i="27"/>
  <c r="I153" i="27"/>
  <c r="J153" i="27" s="1"/>
  <c r="I154" i="27"/>
  <c r="J154" i="27" s="1"/>
  <c r="I155" i="27"/>
  <c r="J155" i="27" s="1"/>
  <c r="I156" i="27"/>
  <c r="I156" i="29" s="1"/>
  <c r="I157" i="27"/>
  <c r="J157" i="27" s="1"/>
  <c r="F10" i="30"/>
  <c r="G10" i="30" s="1"/>
  <c r="F38" i="30"/>
  <c r="G38" i="30" s="1"/>
  <c r="F70" i="30"/>
  <c r="G70" i="30" s="1"/>
  <c r="F87" i="30"/>
  <c r="G87" i="30" s="1"/>
  <c r="F92" i="30"/>
  <c r="G92" i="30" s="1"/>
  <c r="F93" i="30"/>
  <c r="G93" i="30" s="1"/>
  <c r="F101" i="30"/>
  <c r="G101" i="30" s="1"/>
  <c r="C158" i="18"/>
  <c r="C157" i="18"/>
  <c r="C156" i="18"/>
  <c r="C155" i="18"/>
  <c r="C154" i="18"/>
  <c r="C153" i="18"/>
  <c r="C152" i="18"/>
  <c r="C151" i="18"/>
  <c r="C150" i="18"/>
  <c r="C149" i="18"/>
  <c r="C148" i="18"/>
  <c r="C147" i="18"/>
  <c r="C146" i="18"/>
  <c r="C145" i="18"/>
  <c r="C144" i="18"/>
  <c r="C143" i="18"/>
  <c r="C142" i="18"/>
  <c r="C141" i="18"/>
  <c r="C140" i="18"/>
  <c r="G67" i="26"/>
  <c r="G59" i="26"/>
  <c r="G60" i="26"/>
  <c r="G61" i="26"/>
  <c r="G62" i="26"/>
  <c r="G66" i="26"/>
  <c r="G58" i="26"/>
  <c r="F57" i="26"/>
  <c r="G57" i="26" s="1"/>
  <c r="G117" i="26"/>
  <c r="G93" i="26"/>
  <c r="F4" i="26"/>
  <c r="G4" i="26" s="1"/>
  <c r="F5" i="26"/>
  <c r="G5" i="26" s="1"/>
  <c r="F6" i="26"/>
  <c r="G6" i="26" s="1"/>
  <c r="F7" i="26"/>
  <c r="G7" i="26" s="1"/>
  <c r="F8" i="26"/>
  <c r="G8" i="26" s="1"/>
  <c r="F9" i="26"/>
  <c r="G9" i="26" s="1"/>
  <c r="F10" i="26"/>
  <c r="G10" i="26" s="1"/>
  <c r="F11" i="26"/>
  <c r="G11" i="26" s="1"/>
  <c r="F12" i="26"/>
  <c r="G12" i="26" s="1"/>
  <c r="F13" i="26"/>
  <c r="G13" i="26" s="1"/>
  <c r="F14" i="26"/>
  <c r="G14" i="26" s="1"/>
  <c r="F15" i="26"/>
  <c r="G15" i="26" s="1"/>
  <c r="F16" i="26"/>
  <c r="G16" i="26" s="1"/>
  <c r="F18" i="26"/>
  <c r="G18" i="26" s="1"/>
  <c r="F19" i="26"/>
  <c r="G19" i="26" s="1"/>
  <c r="F20" i="26"/>
  <c r="G20" i="26" s="1"/>
  <c r="F21" i="26"/>
  <c r="G21" i="26" s="1"/>
  <c r="F22" i="26"/>
  <c r="G22" i="26" s="1"/>
  <c r="F23" i="26"/>
  <c r="G23" i="26" s="1"/>
  <c r="F24" i="26"/>
  <c r="G24" i="26" s="1"/>
  <c r="F25" i="26"/>
  <c r="G25" i="26" s="1"/>
  <c r="F26" i="26"/>
  <c r="G26" i="26" s="1"/>
  <c r="F27" i="26"/>
  <c r="G27" i="26" s="1"/>
  <c r="F28" i="26"/>
  <c r="G28" i="26" s="1"/>
  <c r="F29" i="26"/>
  <c r="G29" i="26" s="1"/>
  <c r="F30" i="26"/>
  <c r="G30" i="26" s="1"/>
  <c r="F31" i="26"/>
  <c r="G31" i="26" s="1"/>
  <c r="F32" i="26"/>
  <c r="G32" i="26" s="1"/>
  <c r="F33" i="26"/>
  <c r="G33" i="26" s="1"/>
  <c r="F34" i="26"/>
  <c r="G34" i="26" s="1"/>
  <c r="F35" i="26"/>
  <c r="G35" i="26" s="1"/>
  <c r="F36" i="26"/>
  <c r="G36" i="26" s="1"/>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s="1"/>
  <c r="F50" i="26"/>
  <c r="G50" i="26" s="1"/>
  <c r="F51" i="26"/>
  <c r="G51" i="26" s="1"/>
  <c r="F52" i="26"/>
  <c r="G52" i="26"/>
  <c r="F53" i="26"/>
  <c r="G53" i="26" s="1"/>
  <c r="F54" i="26"/>
  <c r="G54" i="26" s="1"/>
  <c r="F55" i="26"/>
  <c r="G55" i="26" s="1"/>
  <c r="F56" i="26"/>
  <c r="G56" i="26" s="1"/>
  <c r="G68" i="26"/>
  <c r="G69" i="26"/>
  <c r="G70" i="26"/>
  <c r="G75" i="26"/>
  <c r="G76" i="26"/>
  <c r="G77" i="26"/>
  <c r="G78" i="26"/>
  <c r="G83" i="26"/>
  <c r="G84" i="26"/>
  <c r="G85" i="26"/>
  <c r="G86" i="26"/>
  <c r="G91" i="26"/>
  <c r="G92" i="26"/>
  <c r="G94" i="26"/>
  <c r="G99" i="26"/>
  <c r="G100" i="26"/>
  <c r="G101" i="26"/>
  <c r="G102" i="26"/>
  <c r="G106" i="26"/>
  <c r="G108" i="26"/>
  <c r="G109" i="26"/>
  <c r="G110" i="26"/>
  <c r="G111" i="26"/>
  <c r="G112" i="26"/>
  <c r="G114" i="26"/>
  <c r="G116" i="26"/>
  <c r="C97" i="30"/>
  <c r="C98" i="30"/>
  <c r="C99" i="30"/>
  <c r="C100" i="30"/>
  <c r="C101" i="30"/>
  <c r="C102" i="30"/>
  <c r="C103" i="30"/>
  <c r="C104" i="30"/>
  <c r="C105" i="30"/>
  <c r="C106" i="30"/>
  <c r="C107" i="30"/>
  <c r="C108" i="30"/>
  <c r="C109" i="30"/>
  <c r="C110" i="30"/>
  <c r="C111" i="30"/>
  <c r="C112" i="30"/>
  <c r="C113" i="30"/>
  <c r="C114" i="30"/>
  <c r="C115" i="30"/>
  <c r="C116" i="30"/>
  <c r="C117" i="30"/>
  <c r="C96" i="30"/>
  <c r="C140" i="1"/>
  <c r="C157" i="1"/>
  <c r="C156" i="1"/>
  <c r="C155" i="1"/>
  <c r="C153" i="1"/>
  <c r="C152" i="1"/>
  <c r="C151" i="1"/>
  <c r="C150" i="1"/>
  <c r="C149" i="1"/>
  <c r="C148" i="1"/>
  <c r="C147" i="1"/>
  <c r="C146" i="1"/>
  <c r="C145" i="1"/>
  <c r="C144" i="1"/>
  <c r="C143" i="1"/>
  <c r="C142" i="1"/>
  <c r="C141" i="1"/>
  <c r="F58" i="19"/>
  <c r="G58" i="19" s="1"/>
  <c r="H2" i="19"/>
  <c r="D2" i="19"/>
  <c r="I4" i="19"/>
  <c r="J4" i="19" s="1"/>
  <c r="I5" i="19"/>
  <c r="J5" i="19" s="1"/>
  <c r="I6" i="19"/>
  <c r="J6" i="19" s="1"/>
  <c r="I7" i="19"/>
  <c r="J7" i="19" s="1"/>
  <c r="I8" i="19"/>
  <c r="J8" i="19" s="1"/>
  <c r="I9" i="19"/>
  <c r="J9" i="19" s="1"/>
  <c r="I10" i="19"/>
  <c r="J10" i="19" s="1"/>
  <c r="I11" i="19"/>
  <c r="J11" i="19" s="1"/>
  <c r="I12" i="19"/>
  <c r="J12" i="19" s="1"/>
  <c r="I13" i="19"/>
  <c r="J13" i="19" s="1"/>
  <c r="I14" i="19"/>
  <c r="J14" i="19" s="1"/>
  <c r="I15" i="19"/>
  <c r="J15" i="19" s="1"/>
  <c r="I16" i="19"/>
  <c r="J16" i="19" s="1"/>
  <c r="I17" i="19"/>
  <c r="J17" i="19" s="1"/>
  <c r="I18" i="19"/>
  <c r="J18" i="19" s="1"/>
  <c r="I19" i="19"/>
  <c r="J19" i="19"/>
  <c r="I20" i="19"/>
  <c r="J20" i="19" s="1"/>
  <c r="I21" i="19"/>
  <c r="J21" i="19" s="1"/>
  <c r="I22" i="19"/>
  <c r="J22" i="19" s="1"/>
  <c r="I23" i="19"/>
  <c r="J23" i="19" s="1"/>
  <c r="I24" i="19"/>
  <c r="J24" i="19" s="1"/>
  <c r="I25" i="19"/>
  <c r="J25" i="19" s="1"/>
  <c r="I26" i="19"/>
  <c r="J26" i="19" s="1"/>
  <c r="I27" i="19"/>
  <c r="J27" i="19" s="1"/>
  <c r="I28" i="19"/>
  <c r="J28" i="19" s="1"/>
  <c r="I29" i="19"/>
  <c r="J29" i="19" s="1"/>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s="1"/>
  <c r="I46" i="19"/>
  <c r="J46" i="19" s="1"/>
  <c r="I47" i="19"/>
  <c r="J47" i="19" s="1"/>
  <c r="I48" i="19"/>
  <c r="I49" i="19"/>
  <c r="J49" i="19" s="1"/>
  <c r="I50" i="19"/>
  <c r="J50" i="19" s="1"/>
  <c r="I51" i="19"/>
  <c r="J51" i="19" s="1"/>
  <c r="I52" i="19"/>
  <c r="J52" i="19" s="1"/>
  <c r="I53" i="19"/>
  <c r="J53" i="19" s="1"/>
  <c r="I54" i="19"/>
  <c r="J54" i="19" s="1"/>
  <c r="I55" i="19"/>
  <c r="J55" i="19" s="1"/>
  <c r="I56" i="19"/>
  <c r="J56" i="19" s="1"/>
  <c r="I57" i="19"/>
  <c r="J57" i="19" s="1"/>
  <c r="I58" i="19"/>
  <c r="J58" i="19" s="1"/>
  <c r="I59" i="19"/>
  <c r="J59" i="19" s="1"/>
  <c r="I60" i="19"/>
  <c r="J60" i="19"/>
  <c r="I61" i="19"/>
  <c r="J61" i="19" s="1"/>
  <c r="I62" i="19"/>
  <c r="J62" i="19"/>
  <c r="I63" i="19"/>
  <c r="J63" i="19" s="1"/>
  <c r="I64" i="19"/>
  <c r="J64" i="19" s="1"/>
  <c r="I65" i="19"/>
  <c r="J65" i="19" s="1"/>
  <c r="I66" i="19"/>
  <c r="J66" i="19" s="1"/>
  <c r="I67" i="19"/>
  <c r="J67" i="19" s="1"/>
  <c r="I68" i="19"/>
  <c r="J68" i="19" s="1"/>
  <c r="I69" i="19"/>
  <c r="J69" i="19" s="1"/>
  <c r="I70" i="19"/>
  <c r="J70" i="19" s="1"/>
  <c r="I71" i="19"/>
  <c r="J71" i="19" s="1"/>
  <c r="I72" i="19"/>
  <c r="J72" i="19" s="1"/>
  <c r="I73" i="19"/>
  <c r="J73" i="19" s="1"/>
  <c r="I74" i="19"/>
  <c r="J74" i="19" s="1"/>
  <c r="I75" i="19"/>
  <c r="J75" i="19" s="1"/>
  <c r="I76" i="19"/>
  <c r="J76" i="19" s="1"/>
  <c r="I77" i="19"/>
  <c r="J77" i="19" s="1"/>
  <c r="I78" i="19"/>
  <c r="J78" i="19" s="1"/>
  <c r="I79" i="19"/>
  <c r="J79" i="19" s="1"/>
  <c r="I80" i="19"/>
  <c r="J80" i="19"/>
  <c r="I81" i="19"/>
  <c r="J81" i="19" s="1"/>
  <c r="I82" i="19"/>
  <c r="J82" i="19" s="1"/>
  <c r="I83" i="19"/>
  <c r="J83" i="19" s="1"/>
  <c r="I84" i="19"/>
  <c r="J84" i="19" s="1"/>
  <c r="I85" i="19"/>
  <c r="J85" i="19" s="1"/>
  <c r="I86" i="19"/>
  <c r="J86" i="19" s="1"/>
  <c r="I87" i="19"/>
  <c r="J87" i="19" s="1"/>
  <c r="I88" i="19"/>
  <c r="J88" i="19" s="1"/>
  <c r="I89" i="19"/>
  <c r="J89" i="19" s="1"/>
  <c r="I90" i="19"/>
  <c r="J90" i="19" s="1"/>
  <c r="I91" i="19"/>
  <c r="J91" i="19" s="1"/>
  <c r="I92" i="19"/>
  <c r="J92" i="19" s="1"/>
  <c r="I93" i="19"/>
  <c r="J93" i="19" s="1"/>
  <c r="I94" i="19"/>
  <c r="J94" i="19" s="1"/>
  <c r="I95" i="19"/>
  <c r="J95" i="19" s="1"/>
  <c r="I96" i="19"/>
  <c r="J96" i="19"/>
  <c r="I97" i="19"/>
  <c r="J97" i="19" s="1"/>
  <c r="I98" i="19"/>
  <c r="J98" i="19" s="1"/>
  <c r="I99" i="19"/>
  <c r="J99" i="19" s="1"/>
  <c r="I100" i="19"/>
  <c r="J100" i="19" s="1"/>
  <c r="I101" i="19"/>
  <c r="J101" i="19" s="1"/>
  <c r="I102" i="19"/>
  <c r="J102" i="19" s="1"/>
  <c r="I103" i="19"/>
  <c r="J103" i="19"/>
  <c r="I104" i="19"/>
  <c r="J104" i="19" s="1"/>
  <c r="I105" i="19"/>
  <c r="J105" i="19" s="1"/>
  <c r="I106" i="19"/>
  <c r="J106" i="19" s="1"/>
  <c r="I107" i="19"/>
  <c r="J107" i="19" s="1"/>
  <c r="I108" i="19"/>
  <c r="J108" i="19" s="1"/>
  <c r="I109" i="19"/>
  <c r="J109" i="19" s="1"/>
  <c r="I110" i="19"/>
  <c r="I111" i="19"/>
  <c r="J111" i="19" s="1"/>
  <c r="I112" i="19"/>
  <c r="J112" i="19" s="1"/>
  <c r="I113" i="19"/>
  <c r="J113" i="19" s="1"/>
  <c r="I114" i="19"/>
  <c r="J114" i="19" s="1"/>
  <c r="I115" i="19"/>
  <c r="J115" i="19" s="1"/>
  <c r="I116" i="19"/>
  <c r="J116" i="19" s="1"/>
  <c r="F4" i="19"/>
  <c r="G4" i="19" s="1"/>
  <c r="F5" i="19"/>
  <c r="G5" i="19" s="1"/>
  <c r="F6" i="19"/>
  <c r="G6" i="19" s="1"/>
  <c r="F7" i="19"/>
  <c r="G7" i="19" s="1"/>
  <c r="F8" i="19"/>
  <c r="G8" i="19" s="1"/>
  <c r="F9" i="19"/>
  <c r="G9" i="19" s="1"/>
  <c r="F10" i="19"/>
  <c r="G10" i="19" s="1"/>
  <c r="F11" i="19"/>
  <c r="G11" i="19" s="1"/>
  <c r="F12" i="19"/>
  <c r="G12" i="19" s="1"/>
  <c r="F13" i="19"/>
  <c r="G13" i="19" s="1"/>
  <c r="F14" i="19"/>
  <c r="G14" i="19" s="1"/>
  <c r="F15" i="19"/>
  <c r="G15" i="19" s="1"/>
  <c r="F16" i="19"/>
  <c r="G16" i="19"/>
  <c r="F17" i="19"/>
  <c r="G17" i="19" s="1"/>
  <c r="F18" i="19"/>
  <c r="G18" i="19" s="1"/>
  <c r="F19" i="19"/>
  <c r="G19" i="19" s="1"/>
  <c r="F20" i="19"/>
  <c r="G20" i="19" s="1"/>
  <c r="F21" i="19"/>
  <c r="G21" i="19" s="1"/>
  <c r="F22" i="19"/>
  <c r="G22" i="19" s="1"/>
  <c r="F23" i="19"/>
  <c r="G23" i="19" s="1"/>
  <c r="F24" i="19"/>
  <c r="G24" i="19" s="1"/>
  <c r="F25" i="19"/>
  <c r="G25" i="19" s="1"/>
  <c r="F26" i="19"/>
  <c r="G26" i="19" s="1"/>
  <c r="F27" i="19"/>
  <c r="G27" i="19" s="1"/>
  <c r="F28" i="19"/>
  <c r="G28" i="19" s="1"/>
  <c r="F29" i="19"/>
  <c r="G29" i="19" s="1"/>
  <c r="F30" i="19"/>
  <c r="G30" i="19" s="1"/>
  <c r="F31" i="19"/>
  <c r="G31" i="19" s="1"/>
  <c r="F32" i="19"/>
  <c r="G32" i="19" s="1"/>
  <c r="F33" i="19"/>
  <c r="G33" i="19" s="1"/>
  <c r="F34" i="19"/>
  <c r="G34" i="19" s="1"/>
  <c r="F35" i="19"/>
  <c r="G35" i="19" s="1"/>
  <c r="F36" i="19"/>
  <c r="G36" i="19" s="1"/>
  <c r="F37" i="19"/>
  <c r="G37" i="19" s="1"/>
  <c r="F38" i="19"/>
  <c r="G38" i="19" s="1"/>
  <c r="F39" i="19"/>
  <c r="G39" i="19" s="1"/>
  <c r="F40" i="19"/>
  <c r="G40" i="19" s="1"/>
  <c r="F41" i="19"/>
  <c r="G41" i="19" s="1"/>
  <c r="F42" i="19"/>
  <c r="G42" i="19" s="1"/>
  <c r="F43" i="19"/>
  <c r="G43" i="19" s="1"/>
  <c r="F44" i="19"/>
  <c r="G44" i="19" s="1"/>
  <c r="F45" i="19"/>
  <c r="G45" i="19" s="1"/>
  <c r="F46" i="19"/>
  <c r="G46" i="19" s="1"/>
  <c r="F47" i="19"/>
  <c r="G47" i="19" s="1"/>
  <c r="F48" i="19"/>
  <c r="G48" i="19"/>
  <c r="F49" i="19"/>
  <c r="G49" i="19" s="1"/>
  <c r="F50" i="19"/>
  <c r="G50" i="19" s="1"/>
  <c r="F51" i="19"/>
  <c r="G51" i="19" s="1"/>
  <c r="F52" i="19"/>
  <c r="G52" i="19" s="1"/>
  <c r="F53" i="19"/>
  <c r="G53" i="19"/>
  <c r="F54" i="19"/>
  <c r="G54" i="19" s="1"/>
  <c r="F55" i="19"/>
  <c r="G55" i="19" s="1"/>
  <c r="F56" i="19"/>
  <c r="G56" i="19" s="1"/>
  <c r="F57" i="19"/>
  <c r="G57" i="19" s="1"/>
  <c r="F59" i="19"/>
  <c r="G59" i="19" s="1"/>
  <c r="F60" i="19"/>
  <c r="G60" i="19"/>
  <c r="F61" i="19"/>
  <c r="G61" i="19" s="1"/>
  <c r="F62" i="19"/>
  <c r="G62" i="19" s="1"/>
  <c r="F63" i="19"/>
  <c r="G63" i="19" s="1"/>
  <c r="F64" i="19"/>
  <c r="G64" i="19" s="1"/>
  <c r="F65" i="19"/>
  <c r="G65" i="19" s="1"/>
  <c r="F66" i="19"/>
  <c r="G66" i="19" s="1"/>
  <c r="F67" i="19"/>
  <c r="G67" i="19" s="1"/>
  <c r="F68" i="19"/>
  <c r="G68" i="19" s="1"/>
  <c r="G72" i="19"/>
  <c r="G73" i="19"/>
  <c r="G88" i="19"/>
  <c r="G89" i="19"/>
  <c r="G90" i="19"/>
  <c r="I4" i="20"/>
  <c r="I5" i="20"/>
  <c r="I6" i="20"/>
  <c r="J7" i="20"/>
  <c r="I8" i="20"/>
  <c r="I9" i="20"/>
  <c r="I10" i="20"/>
  <c r="I11" i="20"/>
  <c r="I12" i="20"/>
  <c r="I13" i="20"/>
  <c r="I14" i="20"/>
  <c r="I15" i="20"/>
  <c r="I16" i="20"/>
  <c r="I17" i="20"/>
  <c r="I18" i="20"/>
  <c r="I19" i="20"/>
  <c r="I20" i="20"/>
  <c r="I21" i="20"/>
  <c r="I22" i="20"/>
  <c r="I23" i="20"/>
  <c r="I24" i="20"/>
  <c r="I25" i="20"/>
  <c r="I26" i="20"/>
  <c r="I27" i="20"/>
  <c r="I29" i="20"/>
  <c r="I30" i="20"/>
  <c r="I31" i="20"/>
  <c r="I32" i="20"/>
  <c r="I33" i="20"/>
  <c r="I34" i="20"/>
  <c r="I35" i="20"/>
  <c r="I36" i="20"/>
  <c r="I37" i="20"/>
  <c r="I38" i="20"/>
  <c r="I39" i="20"/>
  <c r="I40" i="20"/>
  <c r="I41" i="20"/>
  <c r="I42" i="20"/>
  <c r="I43" i="20"/>
  <c r="I44" i="20"/>
  <c r="I45" i="20"/>
  <c r="I46" i="20"/>
  <c r="I47" i="20"/>
  <c r="J47" i="20"/>
  <c r="I48" i="20"/>
  <c r="I49" i="20"/>
  <c r="J49" i="20"/>
  <c r="I50" i="20"/>
  <c r="J50" i="20" s="1"/>
  <c r="I51" i="20"/>
  <c r="I52" i="20"/>
  <c r="I53" i="20"/>
  <c r="I54" i="20"/>
  <c r="I55" i="20"/>
  <c r="I56" i="20"/>
  <c r="I57" i="20"/>
  <c r="I58" i="20"/>
  <c r="I59" i="20"/>
  <c r="I60" i="20"/>
  <c r="I61" i="20"/>
  <c r="I62" i="20"/>
  <c r="I63" i="20"/>
  <c r="I64" i="20"/>
  <c r="I65" i="20"/>
  <c r="I66" i="20"/>
  <c r="I67" i="20"/>
  <c r="I68" i="20"/>
  <c r="J68" i="20"/>
  <c r="I69" i="20"/>
  <c r="J69" i="20"/>
  <c r="I70" i="20"/>
  <c r="I71" i="20"/>
  <c r="I71" i="18" s="1"/>
  <c r="I72" i="20"/>
  <c r="I73" i="20"/>
  <c r="J73" i="20" s="1"/>
  <c r="I74" i="20"/>
  <c r="I75" i="20"/>
  <c r="I76" i="20"/>
  <c r="J76" i="20"/>
  <c r="I77" i="20"/>
  <c r="I77" i="18" s="1"/>
  <c r="J77" i="18" s="1"/>
  <c r="I78" i="20"/>
  <c r="J78" i="20" s="1"/>
  <c r="I79" i="20"/>
  <c r="J79" i="20" s="1"/>
  <c r="I80" i="20"/>
  <c r="I81" i="20"/>
  <c r="I82" i="20"/>
  <c r="I83" i="20"/>
  <c r="J83" i="20" s="1"/>
  <c r="I84" i="20"/>
  <c r="I85" i="20"/>
  <c r="I86" i="20"/>
  <c r="I87" i="20"/>
  <c r="I88" i="20"/>
  <c r="I89" i="20"/>
  <c r="J89" i="20" s="1"/>
  <c r="I90" i="20"/>
  <c r="I91" i="20"/>
  <c r="I92" i="20"/>
  <c r="J92" i="20" s="1"/>
  <c r="I93" i="20"/>
  <c r="I94" i="20"/>
  <c r="I95" i="20"/>
  <c r="I96" i="20"/>
  <c r="I97" i="20"/>
  <c r="I98" i="20"/>
  <c r="I98" i="18" s="1"/>
  <c r="J98" i="18" s="1"/>
  <c r="I99" i="20"/>
  <c r="I100" i="20"/>
  <c r="I101" i="20"/>
  <c r="I102" i="20"/>
  <c r="I103" i="20"/>
  <c r="I103" i="18" s="1"/>
  <c r="J103" i="20"/>
  <c r="I104" i="20"/>
  <c r="I104" i="18" s="1"/>
  <c r="J104" i="18" s="1"/>
  <c r="I105" i="20"/>
  <c r="J105" i="20"/>
  <c r="I106" i="20"/>
  <c r="I107" i="20"/>
  <c r="J107" i="20" s="1"/>
  <c r="I108" i="20"/>
  <c r="J108" i="20"/>
  <c r="I109" i="20"/>
  <c r="I110" i="20"/>
  <c r="J110" i="20"/>
  <c r="I111" i="20"/>
  <c r="J111" i="20"/>
  <c r="I112" i="20"/>
  <c r="I112" i="18" s="1"/>
  <c r="J112" i="18" s="1"/>
  <c r="I113" i="20"/>
  <c r="I113" i="18" s="1"/>
  <c r="J113" i="18" s="1"/>
  <c r="I114" i="20"/>
  <c r="I114" i="18" s="1"/>
  <c r="J114" i="18" s="1"/>
  <c r="I115" i="20"/>
  <c r="J115" i="20"/>
  <c r="I116" i="20"/>
  <c r="I117" i="20"/>
  <c r="I119" i="20"/>
  <c r="I119" i="18" s="1"/>
  <c r="J119" i="20"/>
  <c r="I120" i="20"/>
  <c r="I120" i="18" s="1"/>
  <c r="J120" i="18" s="1"/>
  <c r="I121" i="20"/>
  <c r="I121" i="18" s="1"/>
  <c r="J121" i="18" s="1"/>
  <c r="I122" i="20"/>
  <c r="J122" i="20" s="1"/>
  <c r="I123" i="20"/>
  <c r="I124" i="20"/>
  <c r="J124" i="20"/>
  <c r="I125" i="20"/>
  <c r="I126" i="20"/>
  <c r="I127" i="20"/>
  <c r="I128" i="20"/>
  <c r="I128" i="18" s="1"/>
  <c r="J128" i="18" s="1"/>
  <c r="I129" i="20"/>
  <c r="I130" i="20"/>
  <c r="J130" i="20"/>
  <c r="I131" i="20"/>
  <c r="I131" i="18" s="1"/>
  <c r="J131" i="18" s="1"/>
  <c r="I132" i="20"/>
  <c r="I133" i="20"/>
  <c r="I134" i="20"/>
  <c r="I135" i="20"/>
  <c r="I136" i="20"/>
  <c r="J138" i="20"/>
  <c r="J139" i="20"/>
  <c r="F4" i="20"/>
  <c r="G4" i="20" s="1"/>
  <c r="F5" i="20"/>
  <c r="G5" i="20" s="1"/>
  <c r="F6" i="20"/>
  <c r="G6" i="20" s="1"/>
  <c r="F7" i="20"/>
  <c r="G7" i="20" s="1"/>
  <c r="F8" i="20"/>
  <c r="G8" i="20" s="1"/>
  <c r="F9" i="20"/>
  <c r="G9" i="20" s="1"/>
  <c r="F10" i="20"/>
  <c r="G10" i="20" s="1"/>
  <c r="F11" i="20"/>
  <c r="G11" i="20" s="1"/>
  <c r="F12" i="20"/>
  <c r="G12" i="20" s="1"/>
  <c r="F13" i="20"/>
  <c r="G13" i="20" s="1"/>
  <c r="F14" i="20"/>
  <c r="G14" i="20" s="1"/>
  <c r="F15" i="20"/>
  <c r="G15" i="20" s="1"/>
  <c r="F16" i="20"/>
  <c r="G16" i="20" s="1"/>
  <c r="F17" i="20"/>
  <c r="G17" i="20" s="1"/>
  <c r="F18" i="20"/>
  <c r="G18" i="20" s="1"/>
  <c r="F19" i="20"/>
  <c r="G19" i="20" s="1"/>
  <c r="F20" i="20"/>
  <c r="G20" i="20" s="1"/>
  <c r="F21" i="20"/>
  <c r="G21" i="20" s="1"/>
  <c r="F22" i="20"/>
  <c r="G22" i="20" s="1"/>
  <c r="F23" i="20"/>
  <c r="G23" i="20" s="1"/>
  <c r="F24" i="20"/>
  <c r="G24" i="20" s="1"/>
  <c r="F25" i="20"/>
  <c r="G25" i="20" s="1"/>
  <c r="F26" i="20"/>
  <c r="G26" i="20" s="1"/>
  <c r="F27" i="20"/>
  <c r="G27" i="20" s="1"/>
  <c r="F28" i="20"/>
  <c r="G28" i="20" s="1"/>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c r="F49" i="20"/>
  <c r="G49" i="20" s="1"/>
  <c r="F50" i="20"/>
  <c r="G50" i="20" s="1"/>
  <c r="F51" i="20"/>
  <c r="G51" i="20"/>
  <c r="F52" i="20"/>
  <c r="G52" i="20"/>
  <c r="F53" i="20"/>
  <c r="G53" i="20" s="1"/>
  <c r="F54" i="20"/>
  <c r="G54" i="20" s="1"/>
  <c r="F55" i="20"/>
  <c r="G55" i="20" s="1"/>
  <c r="F56" i="20"/>
  <c r="G56" i="20" s="1"/>
  <c r="F57" i="20"/>
  <c r="G57" i="20" s="1"/>
  <c r="F58" i="20"/>
  <c r="G58" i="20"/>
  <c r="F59" i="20"/>
  <c r="G59" i="20" s="1"/>
  <c r="F60" i="20"/>
  <c r="G60" i="20"/>
  <c r="F61" i="20"/>
  <c r="G61" i="20"/>
  <c r="F62" i="20"/>
  <c r="G62" i="20" s="1"/>
  <c r="F63" i="20"/>
  <c r="G63" i="20"/>
  <c r="F64" i="20"/>
  <c r="G64" i="20" s="1"/>
  <c r="F65" i="20"/>
  <c r="G65" i="20" s="1"/>
  <c r="F66" i="20"/>
  <c r="G66" i="20"/>
  <c r="F67" i="20"/>
  <c r="G67" i="20" s="1"/>
  <c r="F68" i="20"/>
  <c r="G68" i="20" s="1"/>
  <c r="F69" i="20"/>
  <c r="G69" i="20" s="1"/>
  <c r="F70" i="20"/>
  <c r="G70" i="20" s="1"/>
  <c r="F71" i="20"/>
  <c r="G71" i="20" s="1"/>
  <c r="F72" i="20"/>
  <c r="G72" i="20"/>
  <c r="F73" i="20"/>
  <c r="G73" i="20"/>
  <c r="F74" i="20"/>
  <c r="G74" i="20" s="1"/>
  <c r="F75" i="20"/>
  <c r="G75" i="20" s="1"/>
  <c r="F76" i="20"/>
  <c r="G76" i="20" s="1"/>
  <c r="F77" i="20"/>
  <c r="G77" i="20" s="1"/>
  <c r="F78" i="20"/>
  <c r="G78" i="20" s="1"/>
  <c r="F79" i="20"/>
  <c r="G79" i="20" s="1"/>
  <c r="F80" i="20"/>
  <c r="G80" i="20"/>
  <c r="F81" i="20"/>
  <c r="G81" i="20"/>
  <c r="F82" i="20"/>
  <c r="G82" i="20"/>
  <c r="F83" i="20"/>
  <c r="G83" i="20" s="1"/>
  <c r="F84" i="20"/>
  <c r="G84" i="20"/>
  <c r="F85" i="20"/>
  <c r="G85" i="20" s="1"/>
  <c r="F86" i="20"/>
  <c r="G86" i="20" s="1"/>
  <c r="F87" i="20"/>
  <c r="G87" i="20" s="1"/>
  <c r="F88" i="20"/>
  <c r="G88" i="20" s="1"/>
  <c r="F89" i="20"/>
  <c r="G89" i="20" s="1"/>
  <c r="F90" i="20"/>
  <c r="G90" i="20" s="1"/>
  <c r="F91" i="20"/>
  <c r="G91" i="20"/>
  <c r="F92" i="20"/>
  <c r="G92" i="20" s="1"/>
  <c r="F93" i="20"/>
  <c r="G93" i="20" s="1"/>
  <c r="F94" i="20"/>
  <c r="G94" i="20" s="1"/>
  <c r="F95" i="20"/>
  <c r="G95" i="20" s="1"/>
  <c r="F96" i="20"/>
  <c r="G96" i="20" s="1"/>
  <c r="F97" i="20"/>
  <c r="G97" i="20" s="1"/>
  <c r="F98" i="20"/>
  <c r="G98" i="20" s="1"/>
  <c r="F99" i="20"/>
  <c r="G99" i="20"/>
  <c r="F100" i="20"/>
  <c r="G100" i="20"/>
  <c r="F101" i="20"/>
  <c r="G101" i="20" s="1"/>
  <c r="F102" i="20"/>
  <c r="G102" i="20"/>
  <c r="F103" i="20"/>
  <c r="G103" i="20"/>
  <c r="F104" i="20"/>
  <c r="G104" i="20"/>
  <c r="F105" i="20"/>
  <c r="G105" i="20" s="1"/>
  <c r="F106" i="20"/>
  <c r="G106" i="20" s="1"/>
  <c r="F107" i="20"/>
  <c r="G107" i="20" s="1"/>
  <c r="F108" i="20"/>
  <c r="G108" i="20" s="1"/>
  <c r="F109" i="20"/>
  <c r="G109" i="20"/>
  <c r="F110" i="20"/>
  <c r="G110" i="20"/>
  <c r="G111" i="20"/>
  <c r="G112" i="20"/>
  <c r="G113" i="20"/>
  <c r="G114" i="20"/>
  <c r="G115" i="20"/>
  <c r="G116" i="20"/>
  <c r="G117" i="20"/>
  <c r="G118" i="20"/>
  <c r="G119" i="20"/>
  <c r="G120" i="20"/>
  <c r="G121" i="20"/>
  <c r="G122" i="20"/>
  <c r="G123" i="20"/>
  <c r="G124" i="20"/>
  <c r="G125" i="20"/>
  <c r="G127" i="20"/>
  <c r="G128" i="20"/>
  <c r="G129" i="20"/>
  <c r="G130" i="20"/>
  <c r="G131" i="20"/>
  <c r="G132" i="20"/>
  <c r="G133" i="20"/>
  <c r="G134" i="20"/>
  <c r="G135" i="20"/>
  <c r="G136" i="20"/>
  <c r="G137" i="20"/>
  <c r="G138" i="20"/>
  <c r="G139" i="20"/>
  <c r="G140" i="20"/>
  <c r="G141" i="20"/>
  <c r="G142" i="20"/>
  <c r="G143" i="20"/>
  <c r="H2" i="21"/>
  <c r="E2" i="21"/>
  <c r="H2" i="20"/>
  <c r="E2" i="20"/>
  <c r="D2" i="20"/>
  <c r="K2" i="20" s="1"/>
  <c r="D2" i="21"/>
  <c r="K2" i="21" s="1"/>
  <c r="C98" i="3"/>
  <c r="C99" i="3"/>
  <c r="C100" i="3"/>
  <c r="C101" i="3"/>
  <c r="C102" i="3"/>
  <c r="C103" i="3"/>
  <c r="C104" i="3"/>
  <c r="C105" i="3"/>
  <c r="C106" i="3"/>
  <c r="C107" i="3"/>
  <c r="C108" i="3"/>
  <c r="C109" i="3"/>
  <c r="C110" i="3"/>
  <c r="C111" i="3"/>
  <c r="C112" i="3"/>
  <c r="C113" i="3"/>
  <c r="C114" i="3"/>
  <c r="C115" i="3"/>
  <c r="C116" i="3"/>
  <c r="C117" i="3"/>
  <c r="C98" i="72"/>
  <c r="C99" i="72"/>
  <c r="C100" i="72"/>
  <c r="C101" i="72"/>
  <c r="C102" i="72"/>
  <c r="C103" i="72"/>
  <c r="C104" i="72"/>
  <c r="C105" i="72"/>
  <c r="C106" i="72"/>
  <c r="C107" i="72"/>
  <c r="C108" i="72"/>
  <c r="C109" i="72"/>
  <c r="C110" i="72"/>
  <c r="C111" i="72"/>
  <c r="C112" i="72"/>
  <c r="C113" i="72"/>
  <c r="C114" i="72"/>
  <c r="C115" i="72"/>
  <c r="C116" i="72"/>
  <c r="C117" i="72"/>
  <c r="C118" i="72"/>
  <c r="I4" i="21"/>
  <c r="I5" i="21"/>
  <c r="J5" i="21" s="1"/>
  <c r="I6" i="21"/>
  <c r="J6" i="21" s="1"/>
  <c r="I7" i="21"/>
  <c r="I8" i="21"/>
  <c r="I9" i="21"/>
  <c r="J9" i="21" s="1"/>
  <c r="I10" i="21"/>
  <c r="J10" i="21" s="1"/>
  <c r="I11" i="21"/>
  <c r="J11" i="21" s="1"/>
  <c r="I12" i="21"/>
  <c r="I13" i="21"/>
  <c r="J13" i="21" s="1"/>
  <c r="I14" i="21"/>
  <c r="J14" i="21" s="1"/>
  <c r="I15" i="21"/>
  <c r="I16" i="21"/>
  <c r="I17" i="21"/>
  <c r="J17" i="21" s="1"/>
  <c r="I18" i="21"/>
  <c r="J18" i="21" s="1"/>
  <c r="I19" i="21"/>
  <c r="J19" i="21" s="1"/>
  <c r="I20" i="21"/>
  <c r="I21" i="21"/>
  <c r="J21" i="21" s="1"/>
  <c r="I22" i="21"/>
  <c r="J22" i="21" s="1"/>
  <c r="I23" i="21"/>
  <c r="I24" i="21"/>
  <c r="J24" i="21" s="1"/>
  <c r="I25" i="21"/>
  <c r="J25" i="21"/>
  <c r="I26" i="21"/>
  <c r="J26" i="21" s="1"/>
  <c r="I27" i="21"/>
  <c r="J27" i="21" s="1"/>
  <c r="I28" i="21"/>
  <c r="J28" i="21" s="1"/>
  <c r="I29" i="21"/>
  <c r="J29" i="21" s="1"/>
  <c r="I30" i="21"/>
  <c r="J30" i="21" s="1"/>
  <c r="I31" i="21"/>
  <c r="I32" i="21"/>
  <c r="J32" i="21" s="1"/>
  <c r="I33" i="21"/>
  <c r="J33" i="21" s="1"/>
  <c r="I34" i="21"/>
  <c r="I35" i="21"/>
  <c r="J35" i="21" s="1"/>
  <c r="I36" i="21"/>
  <c r="J36" i="21" s="1"/>
  <c r="I37" i="21"/>
  <c r="J37" i="21" s="1"/>
  <c r="I38" i="21"/>
  <c r="J38" i="21" s="1"/>
  <c r="I39" i="21"/>
  <c r="I40" i="21"/>
  <c r="I41" i="21"/>
  <c r="J41" i="21" s="1"/>
  <c r="I42" i="21"/>
  <c r="J42" i="21" s="1"/>
  <c r="I43" i="21"/>
  <c r="J43" i="21" s="1"/>
  <c r="I44" i="21"/>
  <c r="J44" i="21" s="1"/>
  <c r="I45" i="21"/>
  <c r="J45" i="21" s="1"/>
  <c r="I46" i="21"/>
  <c r="J46" i="21" s="1"/>
  <c r="I47" i="21"/>
  <c r="I48" i="21"/>
  <c r="J48" i="21" s="1"/>
  <c r="I49" i="21"/>
  <c r="I50" i="21"/>
  <c r="J50" i="21" s="1"/>
  <c r="I51" i="21"/>
  <c r="J51" i="21" s="1"/>
  <c r="I52" i="21"/>
  <c r="J52" i="21" s="1"/>
  <c r="I53" i="21"/>
  <c r="J53" i="21" s="1"/>
  <c r="I54" i="21"/>
  <c r="J54" i="21" s="1"/>
  <c r="I55" i="21"/>
  <c r="J55" i="21" s="1"/>
  <c r="I56" i="21"/>
  <c r="J56" i="21" s="1"/>
  <c r="I57" i="21"/>
  <c r="J57" i="21" s="1"/>
  <c r="I58" i="21"/>
  <c r="J58" i="21" s="1"/>
  <c r="I59" i="21"/>
  <c r="J59" i="21" s="1"/>
  <c r="I60" i="21"/>
  <c r="J60" i="21" s="1"/>
  <c r="I61" i="21"/>
  <c r="J61" i="21" s="1"/>
  <c r="I62" i="21"/>
  <c r="J62" i="21" s="1"/>
  <c r="I63" i="21"/>
  <c r="J63" i="21" s="1"/>
  <c r="I64" i="21"/>
  <c r="J64" i="21" s="1"/>
  <c r="I65" i="21"/>
  <c r="J65" i="21" s="1"/>
  <c r="I66" i="21"/>
  <c r="J66" i="21" s="1"/>
  <c r="I67" i="21"/>
  <c r="J67" i="21" s="1"/>
  <c r="I68" i="21"/>
  <c r="I69" i="21"/>
  <c r="J69" i="21" s="1"/>
  <c r="I70" i="21"/>
  <c r="J70" i="21" s="1"/>
  <c r="I71" i="21"/>
  <c r="J71" i="21" s="1"/>
  <c r="I72" i="21"/>
  <c r="J72" i="21" s="1"/>
  <c r="I73" i="21"/>
  <c r="I74" i="21"/>
  <c r="J74" i="21" s="1"/>
  <c r="I75" i="21"/>
  <c r="J75" i="21" s="1"/>
  <c r="I76" i="21"/>
  <c r="J76" i="21" s="1"/>
  <c r="I77" i="21"/>
  <c r="I78" i="21"/>
  <c r="J78" i="21" s="1"/>
  <c r="I79" i="21"/>
  <c r="J79" i="21" s="1"/>
  <c r="I80" i="21"/>
  <c r="J80" i="21" s="1"/>
  <c r="I81" i="21"/>
  <c r="J81" i="21" s="1"/>
  <c r="I82" i="21"/>
  <c r="J82" i="21" s="1"/>
  <c r="I83" i="21"/>
  <c r="J83" i="21" s="1"/>
  <c r="I84" i="21"/>
  <c r="J84" i="21" s="1"/>
  <c r="I85" i="21"/>
  <c r="J85" i="21" s="1"/>
  <c r="I86" i="21"/>
  <c r="J86" i="21"/>
  <c r="I87" i="21"/>
  <c r="J87" i="21" s="1"/>
  <c r="I88" i="21"/>
  <c r="J88" i="21" s="1"/>
  <c r="I89" i="21"/>
  <c r="J89" i="21" s="1"/>
  <c r="I90" i="21"/>
  <c r="J90" i="21" s="1"/>
  <c r="I91" i="21"/>
  <c r="J91" i="21" s="1"/>
  <c r="I92" i="21"/>
  <c r="J92" i="21" s="1"/>
  <c r="I93" i="21"/>
  <c r="J93" i="21" s="1"/>
  <c r="I94" i="21"/>
  <c r="J94" i="21" s="1"/>
  <c r="I95" i="21"/>
  <c r="J95" i="21" s="1"/>
  <c r="I96" i="21"/>
  <c r="J96" i="21" s="1"/>
  <c r="I97" i="21"/>
  <c r="J97" i="21" s="1"/>
  <c r="F4" i="21"/>
  <c r="G4" i="21" s="1"/>
  <c r="F5" i="21"/>
  <c r="G5" i="21" s="1"/>
  <c r="F6" i="21"/>
  <c r="G6" i="21" s="1"/>
  <c r="F7" i="21"/>
  <c r="G7" i="21" s="1"/>
  <c r="F8" i="21"/>
  <c r="G8" i="21" s="1"/>
  <c r="F9" i="21"/>
  <c r="G9" i="21" s="1"/>
  <c r="F10" i="21"/>
  <c r="G10" i="21" s="1"/>
  <c r="F11" i="21"/>
  <c r="G11" i="21" s="1"/>
  <c r="F12" i="21"/>
  <c r="G12" i="21" s="1"/>
  <c r="F13" i="21"/>
  <c r="G13" i="21" s="1"/>
  <c r="F14" i="21"/>
  <c r="G14" i="21" s="1"/>
  <c r="F15" i="21"/>
  <c r="G15" i="21" s="1"/>
  <c r="F16" i="21"/>
  <c r="G16" i="21" s="1"/>
  <c r="F17" i="21"/>
  <c r="G17" i="21" s="1"/>
  <c r="F18" i="21"/>
  <c r="G18" i="21" s="1"/>
  <c r="F19" i="21"/>
  <c r="G19" i="21" s="1"/>
  <c r="F20" i="21"/>
  <c r="G20" i="21" s="1"/>
  <c r="F21" i="21"/>
  <c r="G21" i="21" s="1"/>
  <c r="F22" i="21"/>
  <c r="G22" i="21" s="1"/>
  <c r="F23" i="21"/>
  <c r="G23" i="21" s="1"/>
  <c r="F24" i="21"/>
  <c r="G24" i="21" s="1"/>
  <c r="F25" i="21"/>
  <c r="G25" i="21" s="1"/>
  <c r="F26" i="21"/>
  <c r="G26" i="21" s="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G38" i="21" s="1"/>
  <c r="F39" i="21"/>
  <c r="G39" i="21" s="1"/>
  <c r="F40" i="21"/>
  <c r="G40" i="21" s="1"/>
  <c r="F41" i="21"/>
  <c r="G41" i="21" s="1"/>
  <c r="F42" i="21"/>
  <c r="G42" i="21" s="1"/>
  <c r="F43" i="21"/>
  <c r="G43" i="21" s="1"/>
  <c r="F44" i="21"/>
  <c r="G44" i="21" s="1"/>
  <c r="F45" i="21"/>
  <c r="G45" i="21" s="1"/>
  <c r="F46" i="21"/>
  <c r="G46" i="21" s="1"/>
  <c r="F47" i="21"/>
  <c r="G47" i="21" s="1"/>
  <c r="F48" i="21"/>
  <c r="G48" i="21" s="1"/>
  <c r="F49" i="21"/>
  <c r="G49" i="21"/>
  <c r="F50" i="21"/>
  <c r="G50" i="21" s="1"/>
  <c r="F51" i="21"/>
  <c r="G51" i="21" s="1"/>
  <c r="F52" i="21"/>
  <c r="G52" i="21" s="1"/>
  <c r="F53" i="21"/>
  <c r="G53" i="21" s="1"/>
  <c r="F54" i="21"/>
  <c r="G54" i="21" s="1"/>
  <c r="F55" i="21"/>
  <c r="G55" i="21" s="1"/>
  <c r="F56" i="21"/>
  <c r="G56" i="21" s="1"/>
  <c r="F57" i="21"/>
  <c r="G57" i="21" s="1"/>
  <c r="F58" i="21"/>
  <c r="G58" i="21" s="1"/>
  <c r="F59" i="21"/>
  <c r="G59" i="21" s="1"/>
  <c r="F60" i="21"/>
  <c r="G60" i="21" s="1"/>
  <c r="F61" i="21"/>
  <c r="G61" i="21" s="1"/>
  <c r="F62" i="21"/>
  <c r="G62" i="21" s="1"/>
  <c r="F63" i="21"/>
  <c r="G63" i="21" s="1"/>
  <c r="F64" i="21"/>
  <c r="G64" i="21" s="1"/>
  <c r="F65" i="21"/>
  <c r="G65" i="21" s="1"/>
  <c r="F66" i="21"/>
  <c r="G66" i="21" s="1"/>
  <c r="F67" i="21"/>
  <c r="G67" i="21" s="1"/>
  <c r="F68" i="21"/>
  <c r="G68" i="21" s="1"/>
  <c r="F69" i="21"/>
  <c r="G69" i="21"/>
  <c r="F70" i="21"/>
  <c r="G70" i="21" s="1"/>
  <c r="F71" i="21"/>
  <c r="G71" i="21" s="1"/>
  <c r="F72" i="21"/>
  <c r="G72" i="21" s="1"/>
  <c r="F73" i="21"/>
  <c r="G73" i="21" s="1"/>
  <c r="F74" i="21"/>
  <c r="G74" i="21" s="1"/>
  <c r="F75" i="21"/>
  <c r="G75" i="21" s="1"/>
  <c r="F76" i="21"/>
  <c r="G76" i="21" s="1"/>
  <c r="F77" i="21"/>
  <c r="G77" i="21" s="1"/>
  <c r="F78" i="21"/>
  <c r="G78" i="21" s="1"/>
  <c r="F79" i="21"/>
  <c r="G79" i="21" s="1"/>
  <c r="F80" i="21"/>
  <c r="G80" i="21" s="1"/>
  <c r="F81" i="21"/>
  <c r="G81" i="21" s="1"/>
  <c r="F82" i="21"/>
  <c r="G82" i="21" s="1"/>
  <c r="F83" i="21"/>
  <c r="G83" i="21" s="1"/>
  <c r="F84" i="21"/>
  <c r="G84" i="21" s="1"/>
  <c r="F85" i="21"/>
  <c r="G85" i="21" s="1"/>
  <c r="F86" i="21"/>
  <c r="G86" i="21"/>
  <c r="F87" i="21"/>
  <c r="G87" i="21" s="1"/>
  <c r="F88" i="21"/>
  <c r="G88" i="21" s="1"/>
  <c r="F89" i="21"/>
  <c r="G89" i="21" s="1"/>
  <c r="F90" i="21"/>
  <c r="G90" i="21"/>
  <c r="F91" i="21"/>
  <c r="G91" i="21" s="1"/>
  <c r="F92" i="21"/>
  <c r="G92" i="21" s="1"/>
  <c r="F93" i="21"/>
  <c r="G93" i="21" s="1"/>
  <c r="F94" i="21"/>
  <c r="G94" i="21" s="1"/>
  <c r="F95" i="21"/>
  <c r="G95" i="21" s="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5" i="28"/>
  <c r="C6" i="28"/>
  <c r="C7" i="28"/>
  <c r="C8" i="28"/>
  <c r="C9" i="28"/>
  <c r="C10" i="28"/>
  <c r="C11" i="28"/>
  <c r="C12" i="28"/>
  <c r="C13" i="28"/>
  <c r="C14" i="28"/>
  <c r="C15" i="28"/>
  <c r="C16" i="28"/>
  <c r="C17" i="28"/>
  <c r="C18" i="28"/>
  <c r="C19" i="28"/>
  <c r="C20" i="28"/>
  <c r="C21"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4" i="72"/>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6" i="72"/>
  <c r="C97" i="72"/>
  <c r="C4" i="27"/>
  <c r="C4" i="28"/>
  <c r="C4" i="31"/>
  <c r="C4" i="32"/>
  <c r="C4" i="33"/>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F96" i="4"/>
  <c r="G96" i="4"/>
  <c r="I96" i="4"/>
  <c r="J96" i="4" s="1"/>
  <c r="F97" i="4"/>
  <c r="G97" i="4" s="1"/>
  <c r="H2" i="4"/>
  <c r="E2" i="4"/>
  <c r="D2" i="4"/>
  <c r="F2" i="4" s="1"/>
  <c r="G2" i="4" s="1"/>
  <c r="K2" i="4"/>
  <c r="I4" i="4"/>
  <c r="J4" i="4" s="1"/>
  <c r="I5" i="4"/>
  <c r="J5" i="4" s="1"/>
  <c r="I6" i="4"/>
  <c r="J6" i="4" s="1"/>
  <c r="I7" i="4"/>
  <c r="J7" i="4" s="1"/>
  <c r="I8" i="4"/>
  <c r="J8" i="4" s="1"/>
  <c r="I9" i="4"/>
  <c r="J9" i="4"/>
  <c r="I10" i="4"/>
  <c r="J10" i="4"/>
  <c r="I11" i="4"/>
  <c r="J11" i="4" s="1"/>
  <c r="I12" i="4"/>
  <c r="J12" i="4"/>
  <c r="I13" i="4"/>
  <c r="J13" i="4" s="1"/>
  <c r="I14" i="4"/>
  <c r="J14" i="4" s="1"/>
  <c r="I15" i="4"/>
  <c r="J15" i="4" s="1"/>
  <c r="I16" i="4"/>
  <c r="J16" i="4" s="1"/>
  <c r="I17" i="4"/>
  <c r="J17" i="4" s="1"/>
  <c r="I18" i="4"/>
  <c r="J18" i="4"/>
  <c r="I19" i="4"/>
  <c r="J19" i="4" s="1"/>
  <c r="I20" i="4"/>
  <c r="J20" i="4" s="1"/>
  <c r="I21" i="4"/>
  <c r="J21" i="4" s="1"/>
  <c r="I22" i="4"/>
  <c r="J22" i="4"/>
  <c r="I23" i="4"/>
  <c r="J23" i="4" s="1"/>
  <c r="I24" i="4"/>
  <c r="J24" i="4" s="1"/>
  <c r="I25" i="4"/>
  <c r="J25" i="4" s="1"/>
  <c r="I26" i="4"/>
  <c r="J26" i="4" s="1"/>
  <c r="I27" i="4"/>
  <c r="J27" i="4" s="1"/>
  <c r="I28" i="4"/>
  <c r="J28" i="4" s="1"/>
  <c r="I29" i="4"/>
  <c r="J29" i="4"/>
  <c r="I30" i="4"/>
  <c r="J30" i="4" s="1"/>
  <c r="I31" i="4"/>
  <c r="J31" i="4"/>
  <c r="I32" i="4"/>
  <c r="J32" i="4" s="1"/>
  <c r="I33" i="4"/>
  <c r="J33" i="4" s="1"/>
  <c r="I34" i="4"/>
  <c r="J34" i="4" s="1"/>
  <c r="I35" i="4"/>
  <c r="J35" i="4" s="1"/>
  <c r="I36" i="4"/>
  <c r="J36" i="4" s="1"/>
  <c r="I37" i="4"/>
  <c r="J37" i="4"/>
  <c r="I38" i="4"/>
  <c r="J38" i="4" s="1"/>
  <c r="I39" i="4"/>
  <c r="J39" i="4" s="1"/>
  <c r="I40" i="4"/>
  <c r="J40" i="4" s="1"/>
  <c r="I41" i="4"/>
  <c r="J41" i="4"/>
  <c r="I42" i="4"/>
  <c r="J42" i="4" s="1"/>
  <c r="I43" i="4"/>
  <c r="J43" i="4" s="1"/>
  <c r="I44" i="4"/>
  <c r="J44" i="4" s="1"/>
  <c r="I45" i="4"/>
  <c r="J45" i="4" s="1"/>
  <c r="I46" i="4"/>
  <c r="J46" i="4" s="1"/>
  <c r="I47" i="4"/>
  <c r="J47" i="4"/>
  <c r="I48" i="4"/>
  <c r="J48" i="4" s="1"/>
  <c r="I49" i="4"/>
  <c r="J49" i="4"/>
  <c r="I50" i="4"/>
  <c r="J50" i="4" s="1"/>
  <c r="I51" i="4"/>
  <c r="J51" i="4" s="1"/>
  <c r="I52" i="4"/>
  <c r="J52" i="4"/>
  <c r="I53" i="4"/>
  <c r="J53" i="4" s="1"/>
  <c r="I54" i="4"/>
  <c r="J54" i="4"/>
  <c r="I55" i="4"/>
  <c r="J55" i="4" s="1"/>
  <c r="I56" i="4"/>
  <c r="J56" i="4" s="1"/>
  <c r="I57" i="4"/>
  <c r="J57" i="4"/>
  <c r="I58" i="4"/>
  <c r="J58" i="4" s="1"/>
  <c r="I59" i="4"/>
  <c r="J59" i="4" s="1"/>
  <c r="I60" i="4"/>
  <c r="J60" i="4" s="1"/>
  <c r="I61" i="4"/>
  <c r="J61" i="4"/>
  <c r="I62" i="4"/>
  <c r="J62" i="4" s="1"/>
  <c r="I63" i="4"/>
  <c r="J63" i="4" s="1"/>
  <c r="I64" i="4"/>
  <c r="J64" i="4" s="1"/>
  <c r="I65" i="4"/>
  <c r="J65" i="4"/>
  <c r="I66" i="4"/>
  <c r="J66" i="4" s="1"/>
  <c r="I67" i="4"/>
  <c r="J67" i="4" s="1"/>
  <c r="I68" i="4"/>
  <c r="J68" i="4" s="1"/>
  <c r="I69" i="4"/>
  <c r="J69" i="4" s="1"/>
  <c r="I70" i="4"/>
  <c r="J70" i="4" s="1"/>
  <c r="I71" i="4"/>
  <c r="J71" i="4" s="1"/>
  <c r="I72" i="4"/>
  <c r="J72" i="4" s="1"/>
  <c r="I73" i="4"/>
  <c r="J73" i="4" s="1"/>
  <c r="I74" i="4"/>
  <c r="J74" i="4" s="1"/>
  <c r="I75" i="4"/>
  <c r="J75" i="4" s="1"/>
  <c r="I76" i="4"/>
  <c r="J76" i="4" s="1"/>
  <c r="I77" i="4"/>
  <c r="J77" i="4"/>
  <c r="I78" i="4"/>
  <c r="J78" i="4" s="1"/>
  <c r="I79" i="4"/>
  <c r="J79" i="4"/>
  <c r="I80" i="4"/>
  <c r="J80" i="4" s="1"/>
  <c r="I81" i="4"/>
  <c r="J81" i="4" s="1"/>
  <c r="I82" i="4"/>
  <c r="J82" i="4" s="1"/>
  <c r="I83" i="4"/>
  <c r="J83" i="4" s="1"/>
  <c r="I84" i="4"/>
  <c r="J84" i="4" s="1"/>
  <c r="I85" i="4"/>
  <c r="J85" i="4" s="1"/>
  <c r="I86" i="4"/>
  <c r="J86" i="4" s="1"/>
  <c r="I87" i="4"/>
  <c r="J87" i="4" s="1"/>
  <c r="I88" i="4"/>
  <c r="J88" i="4" s="1"/>
  <c r="I89" i="4"/>
  <c r="J89" i="4" s="1"/>
  <c r="I90" i="4"/>
  <c r="J90" i="4"/>
  <c r="I91" i="4"/>
  <c r="J91" i="4" s="1"/>
  <c r="I92" i="4"/>
  <c r="J92" i="4" s="1"/>
  <c r="I93" i="4"/>
  <c r="J93" i="4" s="1"/>
  <c r="I94" i="4"/>
  <c r="J94" i="4" s="1"/>
  <c r="I95" i="4"/>
  <c r="J95" i="4" s="1"/>
  <c r="F4" i="4"/>
  <c r="G4" i="4" s="1"/>
  <c r="F5" i="4"/>
  <c r="G5" i="4" s="1"/>
  <c r="F6" i="4"/>
  <c r="G6" i="4" s="1"/>
  <c r="F7" i="4"/>
  <c r="G7" i="4" s="1"/>
  <c r="F8" i="4"/>
  <c r="G8" i="4"/>
  <c r="F9" i="4"/>
  <c r="G9" i="4" s="1"/>
  <c r="F10" i="4"/>
  <c r="G10" i="4"/>
  <c r="F11" i="4"/>
  <c r="G11" i="4" s="1"/>
  <c r="F12" i="4"/>
  <c r="G12" i="4" s="1"/>
  <c r="F13" i="4"/>
  <c r="G13" i="4"/>
  <c r="F14" i="4"/>
  <c r="G14" i="4" s="1"/>
  <c r="F15" i="4"/>
  <c r="G15" i="4" s="1"/>
  <c r="F16" i="4"/>
  <c r="G16" i="4" s="1"/>
  <c r="F17" i="4"/>
  <c r="G17" i="4" s="1"/>
  <c r="F18" i="4"/>
  <c r="G18" i="4"/>
  <c r="F19" i="4"/>
  <c r="G19" i="4" s="1"/>
  <c r="F20" i="4"/>
  <c r="G20" i="4" s="1"/>
  <c r="F21" i="4"/>
  <c r="G21" i="4" s="1"/>
  <c r="F22" i="4"/>
  <c r="G22" i="4" s="1"/>
  <c r="F23" i="4"/>
  <c r="G23" i="4" s="1"/>
  <c r="F24" i="4"/>
  <c r="G24" i="4" s="1"/>
  <c r="F25" i="4"/>
  <c r="G25" i="4" s="1"/>
  <c r="F26" i="4"/>
  <c r="G26" i="4"/>
  <c r="F27" i="4"/>
  <c r="G27" i="4" s="1"/>
  <c r="F28" i="4"/>
  <c r="G28" i="4" s="1"/>
  <c r="F29" i="4"/>
  <c r="G29" i="4"/>
  <c r="F30" i="4"/>
  <c r="G30" i="4"/>
  <c r="F31" i="4"/>
  <c r="G31" i="4" s="1"/>
  <c r="F32" i="4"/>
  <c r="G32" i="4"/>
  <c r="F33" i="4"/>
  <c r="G33" i="4" s="1"/>
  <c r="F34" i="4"/>
  <c r="G34" i="4" s="1"/>
  <c r="F35" i="4"/>
  <c r="G35" i="4"/>
  <c r="F36" i="4"/>
  <c r="G36" i="4" s="1"/>
  <c r="F37" i="4"/>
  <c r="G37" i="4"/>
  <c r="F38" i="4"/>
  <c r="G38" i="4" s="1"/>
  <c r="F39" i="4"/>
  <c r="G39" i="4" s="1"/>
  <c r="F40" i="4"/>
  <c r="G40" i="4"/>
  <c r="F41" i="4"/>
  <c r="G41" i="4" s="1"/>
  <c r="F42" i="4"/>
  <c r="G42" i="4" s="1"/>
  <c r="F43" i="4"/>
  <c r="G43" i="4" s="1"/>
  <c r="F44" i="4"/>
  <c r="G44" i="4" s="1"/>
  <c r="F45" i="4"/>
  <c r="G45" i="4"/>
  <c r="F46" i="4"/>
  <c r="G46" i="4"/>
  <c r="F47" i="4"/>
  <c r="G47" i="4" s="1"/>
  <c r="F48" i="4"/>
  <c r="G48" i="4"/>
  <c r="F49" i="4"/>
  <c r="G49" i="4" s="1"/>
  <c r="F50" i="4"/>
  <c r="G50" i="4"/>
  <c r="F51" i="4"/>
  <c r="G51" i="4" s="1"/>
  <c r="F52" i="4"/>
  <c r="G52" i="4" s="1"/>
  <c r="F53" i="4"/>
  <c r="G53" i="4" s="1"/>
  <c r="F54" i="4"/>
  <c r="G54" i="4" s="1"/>
  <c r="F55" i="4"/>
  <c r="G55" i="4" s="1"/>
  <c r="F56" i="4"/>
  <c r="G56" i="4"/>
  <c r="F57" i="4"/>
  <c r="G57" i="4" s="1"/>
  <c r="F58" i="4"/>
  <c r="G58" i="4"/>
  <c r="F59" i="4"/>
  <c r="G59" i="4" s="1"/>
  <c r="F60" i="4"/>
  <c r="G60" i="4" s="1"/>
  <c r="F61" i="4"/>
  <c r="G61" i="4"/>
  <c r="F64" i="4"/>
  <c r="G64" i="4" s="1"/>
  <c r="F65" i="4"/>
  <c r="G65" i="4" s="1"/>
  <c r="F66" i="4"/>
  <c r="G66" i="4" s="1"/>
  <c r="F67" i="4"/>
  <c r="G67" i="4" s="1"/>
  <c r="F68" i="4"/>
  <c r="G68" i="4"/>
  <c r="F69" i="4"/>
  <c r="G69" i="4" s="1"/>
  <c r="F70" i="4"/>
  <c r="G70" i="4" s="1"/>
  <c r="F71" i="4"/>
  <c r="G71" i="4" s="1"/>
  <c r="F72" i="4"/>
  <c r="G72" i="4"/>
  <c r="F73" i="4"/>
  <c r="G73" i="4" s="1"/>
  <c r="F74" i="4"/>
  <c r="G74" i="4" s="1"/>
  <c r="F75" i="4"/>
  <c r="G75" i="4" s="1"/>
  <c r="F76" i="4"/>
  <c r="G76" i="4" s="1"/>
  <c r="F77" i="4"/>
  <c r="G77" i="4"/>
  <c r="F78" i="4"/>
  <c r="G78" i="4" s="1"/>
  <c r="F79" i="4"/>
  <c r="G79" i="4" s="1"/>
  <c r="F80" i="4"/>
  <c r="G80" i="4"/>
  <c r="F81" i="4"/>
  <c r="G81" i="4" s="1"/>
  <c r="F82" i="4"/>
  <c r="G82" i="4" s="1"/>
  <c r="F83" i="4"/>
  <c r="G83" i="4"/>
  <c r="F84" i="4"/>
  <c r="G84" i="4" s="1"/>
  <c r="F85" i="4"/>
  <c r="G85" i="4"/>
  <c r="F86" i="4"/>
  <c r="G86" i="4" s="1"/>
  <c r="F87" i="4"/>
  <c r="G87" i="4" s="1"/>
  <c r="F88" i="4"/>
  <c r="G88" i="4"/>
  <c r="F89" i="4"/>
  <c r="G89" i="4" s="1"/>
  <c r="F90" i="4"/>
  <c r="G90" i="4" s="1"/>
  <c r="F91" i="4"/>
  <c r="G91" i="4" s="1"/>
  <c r="F92" i="4"/>
  <c r="G92" i="4" s="1"/>
  <c r="F93" i="4"/>
  <c r="G93" i="4" s="1"/>
  <c r="F94" i="4"/>
  <c r="G94" i="4" s="1"/>
  <c r="F95" i="4"/>
  <c r="G95" i="4"/>
  <c r="H2" i="3"/>
  <c r="E2" i="3"/>
  <c r="E2" i="72"/>
  <c r="H2" i="72"/>
  <c r="D2" i="3"/>
  <c r="D2" i="72"/>
  <c r="K2" i="72" s="1"/>
  <c r="J68" i="21"/>
  <c r="J40" i="31"/>
  <c r="J73" i="21"/>
  <c r="J49" i="21"/>
  <c r="J116" i="31"/>
  <c r="J40" i="21"/>
  <c r="J16" i="21"/>
  <c r="J8" i="21"/>
  <c r="J24" i="31"/>
  <c r="J34" i="21"/>
  <c r="J79" i="28"/>
  <c r="J137" i="31"/>
  <c r="J41" i="31"/>
  <c r="J33" i="31"/>
  <c r="F69" i="30"/>
  <c r="G69" i="30" s="1"/>
  <c r="F54" i="30"/>
  <c r="G54" i="30" s="1"/>
  <c r="J145" i="27"/>
  <c r="J58" i="27"/>
  <c r="E2" i="19"/>
  <c r="F59" i="3"/>
  <c r="G59" i="3" s="1"/>
  <c r="F4" i="3"/>
  <c r="G4" i="3" s="1"/>
  <c r="I4" i="3"/>
  <c r="J4" i="3" s="1"/>
  <c r="F5" i="3"/>
  <c r="G5" i="3" s="1"/>
  <c r="I5" i="3"/>
  <c r="I5" i="1" s="1"/>
  <c r="F6" i="3"/>
  <c r="G6" i="3"/>
  <c r="I6" i="3"/>
  <c r="J6" i="3" s="1"/>
  <c r="F7" i="3"/>
  <c r="G7" i="3" s="1"/>
  <c r="I7" i="3"/>
  <c r="J7" i="3" s="1"/>
  <c r="F8" i="3"/>
  <c r="G8" i="3" s="1"/>
  <c r="I8" i="3"/>
  <c r="J8" i="3" s="1"/>
  <c r="F9" i="3"/>
  <c r="G9" i="3" s="1"/>
  <c r="I9" i="3"/>
  <c r="J9" i="3" s="1"/>
  <c r="F10" i="3"/>
  <c r="G10" i="3"/>
  <c r="I10" i="3"/>
  <c r="J10" i="3" s="1"/>
  <c r="F11" i="3"/>
  <c r="G11" i="3"/>
  <c r="I11" i="3"/>
  <c r="J11" i="3" s="1"/>
  <c r="F12" i="3"/>
  <c r="G12" i="3"/>
  <c r="I12" i="3"/>
  <c r="J12" i="3" s="1"/>
  <c r="F13" i="3"/>
  <c r="G13" i="3"/>
  <c r="I13" i="3"/>
  <c r="J13" i="3" s="1"/>
  <c r="F14" i="3"/>
  <c r="G14" i="3" s="1"/>
  <c r="I14" i="3"/>
  <c r="J14" i="3" s="1"/>
  <c r="F15" i="3"/>
  <c r="G15" i="3"/>
  <c r="I15" i="3"/>
  <c r="J15" i="3" s="1"/>
  <c r="F16" i="3"/>
  <c r="G16" i="3"/>
  <c r="I16" i="3"/>
  <c r="J16" i="3" s="1"/>
  <c r="F17" i="3"/>
  <c r="G17" i="3" s="1"/>
  <c r="I17" i="3"/>
  <c r="J17" i="3" s="1"/>
  <c r="F18" i="3"/>
  <c r="G18" i="3" s="1"/>
  <c r="I18" i="3"/>
  <c r="J18" i="3" s="1"/>
  <c r="F19" i="3"/>
  <c r="G19" i="3"/>
  <c r="I19" i="3"/>
  <c r="J19" i="3" s="1"/>
  <c r="F20" i="3"/>
  <c r="G20" i="3"/>
  <c r="I20" i="3"/>
  <c r="J20" i="3" s="1"/>
  <c r="F21" i="3"/>
  <c r="G21" i="3" s="1"/>
  <c r="I21" i="3"/>
  <c r="J21" i="3" s="1"/>
  <c r="F22" i="3"/>
  <c r="G22" i="3" s="1"/>
  <c r="I22" i="3"/>
  <c r="J22" i="3" s="1"/>
  <c r="F23" i="3"/>
  <c r="G23" i="3" s="1"/>
  <c r="I23" i="3"/>
  <c r="J23" i="3" s="1"/>
  <c r="F24" i="3"/>
  <c r="G24" i="3"/>
  <c r="I24" i="3"/>
  <c r="J24" i="3" s="1"/>
  <c r="F25" i="3"/>
  <c r="G25" i="3"/>
  <c r="I25" i="3"/>
  <c r="J25" i="3" s="1"/>
  <c r="F26" i="3"/>
  <c r="G26" i="3" s="1"/>
  <c r="I26" i="3"/>
  <c r="J26" i="3" s="1"/>
  <c r="F27" i="3"/>
  <c r="G27" i="3" s="1"/>
  <c r="I27" i="3"/>
  <c r="J27" i="3" s="1"/>
  <c r="F28" i="3"/>
  <c r="G28" i="3" s="1"/>
  <c r="I28" i="3"/>
  <c r="J28" i="3" s="1"/>
  <c r="F29" i="3"/>
  <c r="G29" i="3" s="1"/>
  <c r="I29" i="3"/>
  <c r="J29" i="3" s="1"/>
  <c r="F30" i="3"/>
  <c r="G30" i="3"/>
  <c r="I30" i="3"/>
  <c r="J30" i="3" s="1"/>
  <c r="F31" i="3"/>
  <c r="G31" i="3" s="1"/>
  <c r="I31" i="3"/>
  <c r="J31" i="3" s="1"/>
  <c r="F32" i="3"/>
  <c r="G32" i="3"/>
  <c r="I32" i="3"/>
  <c r="J32" i="3" s="1"/>
  <c r="F33" i="3"/>
  <c r="G33" i="3" s="1"/>
  <c r="I33" i="3"/>
  <c r="J33" i="3" s="1"/>
  <c r="F34" i="3"/>
  <c r="G34" i="3" s="1"/>
  <c r="I34" i="3"/>
  <c r="J34" i="3" s="1"/>
  <c r="F35" i="3"/>
  <c r="G35" i="3" s="1"/>
  <c r="I35" i="3"/>
  <c r="J35" i="3"/>
  <c r="F36" i="3"/>
  <c r="G36" i="3" s="1"/>
  <c r="I36" i="3"/>
  <c r="J36" i="3" s="1"/>
  <c r="F37" i="3"/>
  <c r="G37" i="3" s="1"/>
  <c r="I37" i="3"/>
  <c r="J37" i="3" s="1"/>
  <c r="F38" i="3"/>
  <c r="G38" i="3" s="1"/>
  <c r="I38" i="3"/>
  <c r="J38" i="3" s="1"/>
  <c r="F39" i="3"/>
  <c r="G39" i="3" s="1"/>
  <c r="I39" i="3"/>
  <c r="J39" i="3" s="1"/>
  <c r="F40" i="3"/>
  <c r="G40" i="3" s="1"/>
  <c r="I40" i="3"/>
  <c r="J40" i="3" s="1"/>
  <c r="F41" i="3"/>
  <c r="G41" i="3"/>
  <c r="I41" i="3"/>
  <c r="J41" i="3" s="1"/>
  <c r="F42" i="3"/>
  <c r="G42" i="3" s="1"/>
  <c r="I42" i="3"/>
  <c r="J42" i="3" s="1"/>
  <c r="F43" i="3"/>
  <c r="G43" i="3" s="1"/>
  <c r="I43" i="3"/>
  <c r="J43" i="3" s="1"/>
  <c r="F44" i="3"/>
  <c r="G44" i="3"/>
  <c r="I44" i="3"/>
  <c r="J44" i="3" s="1"/>
  <c r="F45" i="3"/>
  <c r="G45" i="3" s="1"/>
  <c r="I45" i="3"/>
  <c r="J45" i="3" s="1"/>
  <c r="F46" i="3"/>
  <c r="G46" i="3" s="1"/>
  <c r="I46" i="3"/>
  <c r="J46" i="3" s="1"/>
  <c r="F47" i="3"/>
  <c r="G47" i="3"/>
  <c r="I47" i="3"/>
  <c r="J47" i="3" s="1"/>
  <c r="F48" i="3"/>
  <c r="G48" i="3"/>
  <c r="I48" i="3"/>
  <c r="J48" i="3" s="1"/>
  <c r="F49" i="3"/>
  <c r="G49" i="3" s="1"/>
  <c r="I49" i="3"/>
  <c r="J49" i="3" s="1"/>
  <c r="F50" i="3"/>
  <c r="G50" i="3" s="1"/>
  <c r="I50" i="3"/>
  <c r="J50" i="3" s="1"/>
  <c r="F51" i="3"/>
  <c r="G51" i="3" s="1"/>
  <c r="I51" i="3"/>
  <c r="J51" i="3" s="1"/>
  <c r="F52" i="3"/>
  <c r="G52" i="3"/>
  <c r="I52" i="3"/>
  <c r="J52" i="3" s="1"/>
  <c r="F53" i="3"/>
  <c r="G53" i="3"/>
  <c r="I53" i="3"/>
  <c r="J53" i="3" s="1"/>
  <c r="F54" i="3"/>
  <c r="G54" i="3" s="1"/>
  <c r="I54" i="3"/>
  <c r="J54" i="3" s="1"/>
  <c r="F55" i="3"/>
  <c r="G55" i="3" s="1"/>
  <c r="I55" i="3"/>
  <c r="J55" i="3"/>
  <c r="F56" i="3"/>
  <c r="G56" i="3" s="1"/>
  <c r="I56" i="3"/>
  <c r="J56" i="3" s="1"/>
  <c r="F57" i="3"/>
  <c r="G57" i="3" s="1"/>
  <c r="I57" i="3"/>
  <c r="J57" i="3" s="1"/>
  <c r="F58" i="3"/>
  <c r="G58" i="3" s="1"/>
  <c r="I58" i="3"/>
  <c r="J58" i="3" s="1"/>
  <c r="I59" i="3"/>
  <c r="J59" i="3" s="1"/>
  <c r="F60" i="3"/>
  <c r="G60" i="3" s="1"/>
  <c r="I60" i="3"/>
  <c r="J60" i="3" s="1"/>
  <c r="F61" i="3"/>
  <c r="G61" i="3" s="1"/>
  <c r="I61" i="3"/>
  <c r="J61" i="3" s="1"/>
  <c r="F62" i="3"/>
  <c r="G62" i="3" s="1"/>
  <c r="I62" i="3"/>
  <c r="J62" i="3" s="1"/>
  <c r="F63" i="3"/>
  <c r="G63" i="3"/>
  <c r="I63" i="3"/>
  <c r="J63" i="3" s="1"/>
  <c r="F64" i="3"/>
  <c r="G64" i="3" s="1"/>
  <c r="I64" i="3"/>
  <c r="J64" i="3" s="1"/>
  <c r="F65" i="3"/>
  <c r="G65" i="3" s="1"/>
  <c r="I65" i="3"/>
  <c r="J65" i="3" s="1"/>
  <c r="F66" i="3"/>
  <c r="G66" i="3" s="1"/>
  <c r="I66" i="3"/>
  <c r="J66" i="3" s="1"/>
  <c r="F67" i="3"/>
  <c r="G67" i="3" s="1"/>
  <c r="I67" i="3"/>
  <c r="J67" i="3" s="1"/>
  <c r="F68" i="3"/>
  <c r="G68" i="3" s="1"/>
  <c r="I68" i="3"/>
  <c r="J68" i="3" s="1"/>
  <c r="F69" i="3"/>
  <c r="G69" i="3"/>
  <c r="I69" i="3"/>
  <c r="J69" i="3" s="1"/>
  <c r="F70" i="3"/>
  <c r="G70" i="3"/>
  <c r="I70" i="3"/>
  <c r="J70" i="3" s="1"/>
  <c r="F71" i="3"/>
  <c r="G71" i="3"/>
  <c r="I71" i="3"/>
  <c r="J71" i="3" s="1"/>
  <c r="F72" i="3"/>
  <c r="G72" i="3" s="1"/>
  <c r="I72" i="3"/>
  <c r="J72" i="3" s="1"/>
  <c r="F73" i="3"/>
  <c r="G73" i="3"/>
  <c r="I73" i="3"/>
  <c r="J73" i="3" s="1"/>
  <c r="F74" i="3"/>
  <c r="G74" i="3" s="1"/>
  <c r="I74" i="3"/>
  <c r="J74" i="3" s="1"/>
  <c r="F75" i="3"/>
  <c r="G75" i="3"/>
  <c r="I75" i="3"/>
  <c r="J75" i="3" s="1"/>
  <c r="F76" i="3"/>
  <c r="G76" i="3" s="1"/>
  <c r="I76" i="3"/>
  <c r="J76" i="3" s="1"/>
  <c r="F77" i="3"/>
  <c r="G77" i="3"/>
  <c r="I77" i="3"/>
  <c r="J77" i="3" s="1"/>
  <c r="F78" i="3"/>
  <c r="G78" i="3" s="1"/>
  <c r="I78" i="3"/>
  <c r="J78" i="3" s="1"/>
  <c r="F79" i="3"/>
  <c r="G79" i="3"/>
  <c r="I79" i="3"/>
  <c r="J79" i="3" s="1"/>
  <c r="F80" i="3"/>
  <c r="G80" i="3" s="1"/>
  <c r="I80" i="3"/>
  <c r="J80" i="3" s="1"/>
  <c r="F81" i="3"/>
  <c r="G81" i="3" s="1"/>
  <c r="I81" i="3"/>
  <c r="J81" i="3" s="1"/>
  <c r="F82" i="3"/>
  <c r="G82" i="3"/>
  <c r="I82" i="3"/>
  <c r="J82" i="3" s="1"/>
  <c r="F83" i="3"/>
  <c r="G83" i="3" s="1"/>
  <c r="I83" i="3"/>
  <c r="J83" i="3" s="1"/>
  <c r="F84" i="3"/>
  <c r="G84" i="3" s="1"/>
  <c r="I84" i="3"/>
  <c r="J84" i="3" s="1"/>
  <c r="F85" i="3"/>
  <c r="G85" i="3" s="1"/>
  <c r="I85" i="3"/>
  <c r="J85" i="3" s="1"/>
  <c r="F86" i="3"/>
  <c r="G86" i="3"/>
  <c r="I86" i="3"/>
  <c r="J86" i="3" s="1"/>
  <c r="F87" i="3"/>
  <c r="G87" i="3"/>
  <c r="I87" i="3"/>
  <c r="J87" i="3" s="1"/>
  <c r="F88" i="3"/>
  <c r="G88" i="3"/>
  <c r="I88" i="3"/>
  <c r="J88" i="3" s="1"/>
  <c r="F89" i="3"/>
  <c r="G89" i="3" s="1"/>
  <c r="I89" i="3"/>
  <c r="J89" i="3" s="1"/>
  <c r="F90" i="3"/>
  <c r="G90" i="3" s="1"/>
  <c r="I90" i="3"/>
  <c r="J90" i="3" s="1"/>
  <c r="F91" i="3"/>
  <c r="G91" i="3"/>
  <c r="I91" i="3"/>
  <c r="J91" i="3" s="1"/>
  <c r="F92" i="3"/>
  <c r="G92" i="3" s="1"/>
  <c r="I92" i="3"/>
  <c r="J92" i="3" s="1"/>
  <c r="F93" i="3"/>
  <c r="G93" i="3"/>
  <c r="I93" i="3"/>
  <c r="J93" i="3" s="1"/>
  <c r="F94" i="3"/>
  <c r="G94" i="3"/>
  <c r="I94" i="3"/>
  <c r="J94" i="3" s="1"/>
  <c r="F95" i="3"/>
  <c r="G95" i="3" s="1"/>
  <c r="I95" i="3"/>
  <c r="J95" i="3" s="1"/>
  <c r="I6" i="72"/>
  <c r="I7" i="72"/>
  <c r="I8" i="72"/>
  <c r="J8" i="72" s="1"/>
  <c r="I9" i="72"/>
  <c r="I10" i="72"/>
  <c r="I11" i="72"/>
  <c r="I12" i="72"/>
  <c r="I13" i="72"/>
  <c r="I14" i="72"/>
  <c r="I15" i="72"/>
  <c r="I15" i="1" s="1"/>
  <c r="I16" i="72"/>
  <c r="I17" i="72"/>
  <c r="I18" i="72"/>
  <c r="I18" i="1" s="1"/>
  <c r="I19" i="72"/>
  <c r="I20" i="72"/>
  <c r="I21" i="72"/>
  <c r="I22" i="72"/>
  <c r="J22" i="72" s="1"/>
  <c r="I23" i="72"/>
  <c r="I24" i="72"/>
  <c r="J24" i="72" s="1"/>
  <c r="I25" i="72"/>
  <c r="I26" i="72"/>
  <c r="I27" i="72"/>
  <c r="I28" i="72"/>
  <c r="I29" i="72"/>
  <c r="I29" i="1" s="1"/>
  <c r="I30" i="72"/>
  <c r="I31" i="72"/>
  <c r="I32" i="72"/>
  <c r="J32" i="72" s="1"/>
  <c r="I33" i="72"/>
  <c r="I34" i="72"/>
  <c r="I34" i="1" s="1"/>
  <c r="I35" i="72"/>
  <c r="I35" i="1" s="1"/>
  <c r="I36" i="72"/>
  <c r="I37" i="72"/>
  <c r="J37" i="72" s="1"/>
  <c r="I38" i="72"/>
  <c r="I39" i="72"/>
  <c r="I40" i="72"/>
  <c r="I41" i="72"/>
  <c r="J41" i="72" s="1"/>
  <c r="I42" i="72"/>
  <c r="I43" i="72"/>
  <c r="I43" i="1" s="1"/>
  <c r="I44" i="72"/>
  <c r="I45" i="72"/>
  <c r="I46" i="72"/>
  <c r="I53" i="72"/>
  <c r="I54" i="72"/>
  <c r="I55" i="72"/>
  <c r="I56" i="72"/>
  <c r="J56" i="72" s="1"/>
  <c r="I57" i="72"/>
  <c r="I58" i="72"/>
  <c r="I59" i="72"/>
  <c r="I60" i="72"/>
  <c r="I61" i="72"/>
  <c r="I62" i="72"/>
  <c r="I63" i="72"/>
  <c r="I64" i="72"/>
  <c r="I64" i="1" s="1"/>
  <c r="I65" i="72"/>
  <c r="I66" i="72"/>
  <c r="I67" i="72"/>
  <c r="I68" i="72"/>
  <c r="I69" i="72"/>
  <c r="J69" i="72" s="1"/>
  <c r="I70" i="72"/>
  <c r="J70" i="72" s="1"/>
  <c r="I71" i="72"/>
  <c r="I72" i="72"/>
  <c r="J72" i="72" s="1"/>
  <c r="I73" i="72"/>
  <c r="I74" i="72"/>
  <c r="I75" i="72"/>
  <c r="I75" i="1" s="1"/>
  <c r="I76" i="72"/>
  <c r="I77" i="72"/>
  <c r="I78" i="72"/>
  <c r="I79" i="72"/>
  <c r="I80" i="72"/>
  <c r="J80" i="72" s="1"/>
  <c r="I81" i="72"/>
  <c r="I82" i="72"/>
  <c r="I83" i="72"/>
  <c r="I84" i="72"/>
  <c r="I85" i="72"/>
  <c r="I86" i="72"/>
  <c r="I87" i="72"/>
  <c r="I88" i="72"/>
  <c r="J88" i="72" s="1"/>
  <c r="I89" i="72"/>
  <c r="I90" i="72"/>
  <c r="I91" i="72"/>
  <c r="I92" i="72"/>
  <c r="F5" i="72"/>
  <c r="G5" i="72" s="1"/>
  <c r="F6" i="72"/>
  <c r="G6" i="72" s="1"/>
  <c r="F7" i="72"/>
  <c r="G7" i="72" s="1"/>
  <c r="F8" i="72"/>
  <c r="G8" i="72" s="1"/>
  <c r="F9" i="72"/>
  <c r="G9" i="72" s="1"/>
  <c r="F10" i="72"/>
  <c r="G10" i="72" s="1"/>
  <c r="F11" i="72"/>
  <c r="G11" i="72" s="1"/>
  <c r="F12" i="72"/>
  <c r="G12" i="72" s="1"/>
  <c r="F13" i="72"/>
  <c r="G13" i="72" s="1"/>
  <c r="F14" i="72"/>
  <c r="G14" i="72" s="1"/>
  <c r="F15" i="72"/>
  <c r="G15" i="72" s="1"/>
  <c r="F16" i="72"/>
  <c r="G16" i="72" s="1"/>
  <c r="F17" i="72"/>
  <c r="G17" i="72" s="1"/>
  <c r="F18" i="72"/>
  <c r="G18" i="72" s="1"/>
  <c r="F19" i="72"/>
  <c r="G19" i="72" s="1"/>
  <c r="F20" i="72"/>
  <c r="G20" i="72" s="1"/>
  <c r="F21" i="72"/>
  <c r="G21" i="72" s="1"/>
  <c r="F22" i="72"/>
  <c r="G22" i="72" s="1"/>
  <c r="F23" i="72"/>
  <c r="G23" i="72" s="1"/>
  <c r="F24" i="72"/>
  <c r="G24" i="72" s="1"/>
  <c r="F25" i="72"/>
  <c r="G25" i="72" s="1"/>
  <c r="F26" i="72"/>
  <c r="G26" i="72" s="1"/>
  <c r="F27" i="72"/>
  <c r="G27" i="72" s="1"/>
  <c r="F28" i="72"/>
  <c r="G28" i="72" s="1"/>
  <c r="F29" i="72"/>
  <c r="G29" i="72" s="1"/>
  <c r="F30" i="72"/>
  <c r="G30" i="72" s="1"/>
  <c r="F31" i="72"/>
  <c r="G31" i="72" s="1"/>
  <c r="F32" i="72"/>
  <c r="G32" i="72" s="1"/>
  <c r="F33" i="72"/>
  <c r="G33" i="72" s="1"/>
  <c r="F34" i="72"/>
  <c r="G34" i="72" s="1"/>
  <c r="F35" i="72"/>
  <c r="G35" i="72" s="1"/>
  <c r="F36" i="72"/>
  <c r="G36" i="72" s="1"/>
  <c r="F37" i="72"/>
  <c r="G37" i="72" s="1"/>
  <c r="F38" i="72"/>
  <c r="G38" i="72" s="1"/>
  <c r="F39" i="72"/>
  <c r="G39" i="72" s="1"/>
  <c r="F40" i="72"/>
  <c r="G40" i="72" s="1"/>
  <c r="F41" i="72"/>
  <c r="G41" i="72" s="1"/>
  <c r="F42" i="72"/>
  <c r="G42" i="72" s="1"/>
  <c r="F43" i="72"/>
  <c r="G43" i="72" s="1"/>
  <c r="F44" i="72"/>
  <c r="G44" i="72" s="1"/>
  <c r="F45" i="72"/>
  <c r="G45" i="72" s="1"/>
  <c r="F46" i="72"/>
  <c r="G46" i="72" s="1"/>
  <c r="F53" i="72"/>
  <c r="G53" i="72"/>
  <c r="F54" i="72"/>
  <c r="G54" i="72" s="1"/>
  <c r="F55" i="72"/>
  <c r="G55" i="72" s="1"/>
  <c r="F56" i="72"/>
  <c r="G56" i="72" s="1"/>
  <c r="F57" i="72"/>
  <c r="G57" i="72" s="1"/>
  <c r="F58" i="72"/>
  <c r="G58" i="72" s="1"/>
  <c r="F59" i="72"/>
  <c r="G59" i="72" s="1"/>
  <c r="F60" i="72"/>
  <c r="G60" i="72" s="1"/>
  <c r="F61" i="72"/>
  <c r="G61" i="72" s="1"/>
  <c r="F62" i="72"/>
  <c r="G62" i="72" s="1"/>
  <c r="F63" i="72"/>
  <c r="G63" i="72" s="1"/>
  <c r="F64" i="72"/>
  <c r="G64" i="72" s="1"/>
  <c r="F65" i="72"/>
  <c r="G65" i="72" s="1"/>
  <c r="F66" i="72"/>
  <c r="G66" i="72" s="1"/>
  <c r="F67" i="72"/>
  <c r="G67" i="72" s="1"/>
  <c r="F68" i="72"/>
  <c r="G68" i="72" s="1"/>
  <c r="F69" i="72"/>
  <c r="G69" i="72" s="1"/>
  <c r="F70" i="72"/>
  <c r="G70" i="72" s="1"/>
  <c r="F71" i="72"/>
  <c r="G71" i="72" s="1"/>
  <c r="F72" i="72"/>
  <c r="G72" i="72" s="1"/>
  <c r="F73" i="72"/>
  <c r="G73" i="72" s="1"/>
  <c r="F74" i="72"/>
  <c r="G74" i="72" s="1"/>
  <c r="F75" i="72"/>
  <c r="G75" i="72" s="1"/>
  <c r="F76" i="72"/>
  <c r="G76" i="72" s="1"/>
  <c r="F77" i="72"/>
  <c r="G77" i="72" s="1"/>
  <c r="F78" i="72"/>
  <c r="G78" i="72" s="1"/>
  <c r="F79" i="72"/>
  <c r="G79" i="72" s="1"/>
  <c r="F80" i="72"/>
  <c r="G80" i="72" s="1"/>
  <c r="F81" i="72"/>
  <c r="G81" i="72" s="1"/>
  <c r="F82" i="72"/>
  <c r="G82" i="72" s="1"/>
  <c r="F83" i="72"/>
  <c r="G83" i="72" s="1"/>
  <c r="F84" i="72"/>
  <c r="G84" i="72" s="1"/>
  <c r="F85" i="72"/>
  <c r="G85" i="72" s="1"/>
  <c r="F86" i="72"/>
  <c r="G86" i="72" s="1"/>
  <c r="F87" i="72"/>
  <c r="G87" i="72" s="1"/>
  <c r="F88" i="72"/>
  <c r="G88" i="72" s="1"/>
  <c r="F89" i="72"/>
  <c r="G89" i="72" s="1"/>
  <c r="F90" i="72"/>
  <c r="G90" i="72" s="1"/>
  <c r="F91" i="72"/>
  <c r="G91" i="72" s="1"/>
  <c r="F92" i="72"/>
  <c r="G92" i="72" s="1"/>
  <c r="F4" i="72"/>
  <c r="G4" i="72" s="1"/>
  <c r="J5" i="72"/>
  <c r="I17" i="33"/>
  <c r="J17" i="33" s="1"/>
  <c r="F17" i="33"/>
  <c r="G17" i="33" s="1"/>
  <c r="J16" i="33"/>
  <c r="F16" i="33"/>
  <c r="G16" i="33" s="1"/>
  <c r="I17" i="32"/>
  <c r="F17" i="32"/>
  <c r="G17" i="32" s="1"/>
  <c r="I16" i="32"/>
  <c r="I17" i="31"/>
  <c r="J17" i="31" s="1"/>
  <c r="F17" i="31"/>
  <c r="G17" i="31" s="1"/>
  <c r="I16" i="31"/>
  <c r="J16" i="31" s="1"/>
  <c r="F16" i="31"/>
  <c r="G16" i="31" s="1"/>
  <c r="I17" i="28"/>
  <c r="J17" i="28" s="1"/>
  <c r="F17" i="28"/>
  <c r="G17" i="28"/>
  <c r="I16" i="28"/>
  <c r="J16" i="28"/>
  <c r="F16" i="28"/>
  <c r="G16" i="28"/>
  <c r="I17" i="27"/>
  <c r="J17" i="27" s="1"/>
  <c r="I16" i="27"/>
  <c r="J16" i="27" s="1"/>
  <c r="B4" i="33" a="1"/>
  <c r="B4" i="33" s="1"/>
  <c r="A4" i="33" a="1"/>
  <c r="A4" i="33" s="1"/>
  <c r="B4" i="32" a="1"/>
  <c r="B4" i="32" s="1"/>
  <c r="A4" i="32" a="1"/>
  <c r="A4" i="32" s="1"/>
  <c r="B4" i="31" a="1"/>
  <c r="B4" i="31" s="1"/>
  <c r="A4" i="31" a="1"/>
  <c r="A4" i="31" s="1"/>
  <c r="B4" i="27" a="1"/>
  <c r="B4" i="27" s="1"/>
  <c r="A4" i="27" a="1"/>
  <c r="A4" i="27" s="1"/>
  <c r="A1" i="34" a="1"/>
  <c r="A1" i="34" s="1"/>
  <c r="A1" i="30" a="1"/>
  <c r="A1" i="30" s="1"/>
  <c r="A1" i="29" a="1"/>
  <c r="A1" i="29" s="1"/>
  <c r="B4" i="18" a="1"/>
  <c r="B4" i="18" s="1"/>
  <c r="A4" i="18" a="1"/>
  <c r="A4" i="18" s="1"/>
  <c r="A1" i="18" a="1"/>
  <c r="A1" i="18" s="1"/>
  <c r="B4" i="1" a="1"/>
  <c r="B4" i="1" s="1"/>
  <c r="A4" i="1" a="1"/>
  <c r="A4" i="1" s="1"/>
  <c r="A1" i="1" a="1"/>
  <c r="A1" i="1"/>
  <c r="I15" i="33"/>
  <c r="J15" i="33" s="1"/>
  <c r="F15" i="33"/>
  <c r="G15" i="33" s="1"/>
  <c r="I14" i="33"/>
  <c r="J14" i="33" s="1"/>
  <c r="F14" i="33"/>
  <c r="G14" i="33" s="1"/>
  <c r="I13" i="33"/>
  <c r="J13" i="33" s="1"/>
  <c r="F13" i="33"/>
  <c r="G13" i="33" s="1"/>
  <c r="I12" i="33"/>
  <c r="J12" i="33" s="1"/>
  <c r="F12" i="33"/>
  <c r="G12" i="33"/>
  <c r="I11" i="33"/>
  <c r="J11" i="33" s="1"/>
  <c r="F11" i="33"/>
  <c r="G11" i="33" s="1"/>
  <c r="I10" i="33"/>
  <c r="J10" i="33" s="1"/>
  <c r="F10" i="33"/>
  <c r="G10" i="33" s="1"/>
  <c r="I9" i="33"/>
  <c r="J9" i="33" s="1"/>
  <c r="F9" i="33"/>
  <c r="G9" i="33" s="1"/>
  <c r="I8" i="33"/>
  <c r="J8" i="33" s="1"/>
  <c r="F8" i="33"/>
  <c r="G8" i="33" s="1"/>
  <c r="I7" i="33"/>
  <c r="J7" i="33" s="1"/>
  <c r="F7" i="33"/>
  <c r="G7" i="33" s="1"/>
  <c r="I6" i="33"/>
  <c r="J6" i="33" s="1"/>
  <c r="F6" i="33"/>
  <c r="G6" i="33" s="1"/>
  <c r="I5" i="33"/>
  <c r="J5" i="33" s="1"/>
  <c r="F5" i="33"/>
  <c r="G5" i="33" s="1"/>
  <c r="I4" i="33"/>
  <c r="J4" i="33" s="1"/>
  <c r="F4" i="33"/>
  <c r="G4" i="33" s="1"/>
  <c r="K2" i="33"/>
  <c r="A1" i="33" a="1"/>
  <c r="A1" i="33" s="1"/>
  <c r="I15" i="32"/>
  <c r="J15" i="32"/>
  <c r="F15" i="32"/>
  <c r="G15" i="32" s="1"/>
  <c r="I14" i="32"/>
  <c r="F14" i="32"/>
  <c r="G14" i="32" s="1"/>
  <c r="I13" i="32"/>
  <c r="F13" i="32"/>
  <c r="G13" i="32"/>
  <c r="I12" i="32"/>
  <c r="F12" i="32"/>
  <c r="G12" i="32" s="1"/>
  <c r="I11" i="32"/>
  <c r="F11" i="32"/>
  <c r="G11" i="32" s="1"/>
  <c r="I10" i="32"/>
  <c r="F10" i="32"/>
  <c r="G10" i="32" s="1"/>
  <c r="I9" i="32"/>
  <c r="F9" i="32"/>
  <c r="G9" i="32" s="1"/>
  <c r="I8" i="32"/>
  <c r="F8" i="32"/>
  <c r="G8" i="32" s="1"/>
  <c r="I7" i="32"/>
  <c r="F7" i="32"/>
  <c r="G7" i="32" s="1"/>
  <c r="I6" i="32"/>
  <c r="F6" i="32"/>
  <c r="G6" i="32" s="1"/>
  <c r="I5" i="32"/>
  <c r="J5" i="32" s="1"/>
  <c r="F5" i="32"/>
  <c r="G5" i="32" s="1"/>
  <c r="I4" i="32"/>
  <c r="F4" i="32"/>
  <c r="G4" i="32" s="1"/>
  <c r="K2" i="32"/>
  <c r="A1" i="32" a="1"/>
  <c r="A1" i="32" s="1"/>
  <c r="I15" i="31"/>
  <c r="J15" i="31" s="1"/>
  <c r="F15" i="31"/>
  <c r="G15" i="31" s="1"/>
  <c r="I14" i="31"/>
  <c r="J14" i="31" s="1"/>
  <c r="F14" i="31"/>
  <c r="G14" i="31"/>
  <c r="I13" i="31"/>
  <c r="J13" i="31" s="1"/>
  <c r="F13" i="31"/>
  <c r="G13" i="31" s="1"/>
  <c r="I12" i="31"/>
  <c r="J12" i="31" s="1"/>
  <c r="F12" i="31"/>
  <c r="G12" i="31" s="1"/>
  <c r="I11" i="31"/>
  <c r="J11" i="31" s="1"/>
  <c r="F11" i="31"/>
  <c r="G11" i="31" s="1"/>
  <c r="I10" i="31"/>
  <c r="J10" i="31" s="1"/>
  <c r="F10" i="31"/>
  <c r="G10" i="31" s="1"/>
  <c r="I9" i="31"/>
  <c r="J9" i="31" s="1"/>
  <c r="F9" i="31"/>
  <c r="G9" i="31"/>
  <c r="I8" i="31"/>
  <c r="J8" i="31" s="1"/>
  <c r="F8" i="31"/>
  <c r="G8" i="31"/>
  <c r="I7" i="31"/>
  <c r="J7" i="31" s="1"/>
  <c r="F7" i="31"/>
  <c r="G7" i="31" s="1"/>
  <c r="I6" i="31"/>
  <c r="J6" i="31" s="1"/>
  <c r="F6" i="31"/>
  <c r="G6" i="31"/>
  <c r="I5" i="31"/>
  <c r="J5" i="31" s="1"/>
  <c r="F5" i="31"/>
  <c r="G5" i="31" s="1"/>
  <c r="I4" i="31"/>
  <c r="J4" i="31"/>
  <c r="F4" i="31"/>
  <c r="G4" i="31" s="1"/>
  <c r="E2" i="31"/>
  <c r="A1" i="31" a="1"/>
  <c r="A1" i="31" s="1"/>
  <c r="I15" i="28"/>
  <c r="J15" i="28" s="1"/>
  <c r="F15" i="28"/>
  <c r="G15" i="28"/>
  <c r="I14" i="28"/>
  <c r="J14" i="28" s="1"/>
  <c r="F14" i="28"/>
  <c r="G14" i="28"/>
  <c r="I13" i="28"/>
  <c r="J13" i="28" s="1"/>
  <c r="F13" i="28"/>
  <c r="G13" i="28"/>
  <c r="I12" i="28"/>
  <c r="J12" i="28" s="1"/>
  <c r="F12" i="28"/>
  <c r="G12" i="28"/>
  <c r="I11" i="28"/>
  <c r="J11" i="28" s="1"/>
  <c r="F11" i="28"/>
  <c r="G11" i="28"/>
  <c r="I10" i="28"/>
  <c r="J10" i="28"/>
  <c r="F10" i="28"/>
  <c r="G10" i="28"/>
  <c r="I9" i="28"/>
  <c r="J9" i="28" s="1"/>
  <c r="F9" i="28"/>
  <c r="G9" i="28"/>
  <c r="I8" i="28"/>
  <c r="J8" i="28" s="1"/>
  <c r="F8" i="28"/>
  <c r="G8" i="28"/>
  <c r="I7" i="28"/>
  <c r="J7" i="28"/>
  <c r="F7" i="28"/>
  <c r="G7" i="28"/>
  <c r="I6" i="28"/>
  <c r="J6" i="28" s="1"/>
  <c r="F6" i="28"/>
  <c r="G6" i="28"/>
  <c r="I5" i="28"/>
  <c r="J5" i="28" s="1"/>
  <c r="F5" i="28"/>
  <c r="G5" i="28" s="1"/>
  <c r="I4" i="28"/>
  <c r="I4" i="29" s="1"/>
  <c r="J4" i="28"/>
  <c r="F4" i="28"/>
  <c r="G4" i="28"/>
  <c r="B4" i="28" a="1"/>
  <c r="B4" i="28" s="1"/>
  <c r="A4" i="28" a="1"/>
  <c r="A4" i="28" s="1"/>
  <c r="A1" i="28" a="1"/>
  <c r="A1" i="28" s="1"/>
  <c r="I15" i="27"/>
  <c r="I14" i="27"/>
  <c r="I14" i="29" s="1"/>
  <c r="J14" i="27"/>
  <c r="I13" i="27"/>
  <c r="J13" i="27" s="1"/>
  <c r="I12" i="27"/>
  <c r="I11" i="27"/>
  <c r="I10" i="27"/>
  <c r="I9" i="27"/>
  <c r="J9" i="27" s="1"/>
  <c r="I8" i="27"/>
  <c r="J8" i="27" s="1"/>
  <c r="I7" i="27"/>
  <c r="I7" i="29" s="1"/>
  <c r="J7" i="27"/>
  <c r="I6" i="27"/>
  <c r="I5" i="27"/>
  <c r="J5" i="27" s="1"/>
  <c r="F5" i="27"/>
  <c r="G5" i="27" s="1"/>
  <c r="E2" i="27"/>
  <c r="A1" i="27" a="1"/>
  <c r="A1" i="27" s="1"/>
  <c r="E2" i="26"/>
  <c r="A1" i="26" a="1"/>
  <c r="A1" i="26" s="1"/>
  <c r="A1" i="19" a="1"/>
  <c r="A1" i="19" s="1"/>
  <c r="A1" i="20" a="1"/>
  <c r="A1" i="20"/>
  <c r="A1" i="21" a="1"/>
  <c r="A1" i="21" s="1"/>
  <c r="A1" i="4" a="1"/>
  <c r="A1" i="4" s="1"/>
  <c r="K2" i="3"/>
  <c r="A1" i="3" a="1"/>
  <c r="A1" i="3" s="1"/>
  <c r="A1" i="72" a="1"/>
  <c r="A1" i="72" s="1"/>
  <c r="I2" i="33"/>
  <c r="J2" i="33" s="1"/>
  <c r="J97" i="72" l="1"/>
  <c r="J101" i="72"/>
  <c r="F119" i="1"/>
  <c r="G119" i="1" s="1"/>
  <c r="F29" i="1"/>
  <c r="G29" i="1" s="1"/>
  <c r="F158" i="1"/>
  <c r="G158" i="1" s="1"/>
  <c r="J158" i="1"/>
  <c r="J64" i="72"/>
  <c r="J131" i="20"/>
  <c r="J114" i="20"/>
  <c r="J104" i="20"/>
  <c r="J98" i="20"/>
  <c r="J71" i="18"/>
  <c r="J143" i="27"/>
  <c r="J105" i="27"/>
  <c r="I84" i="29"/>
  <c r="I53" i="29"/>
  <c r="I45" i="29"/>
  <c r="J45" i="29" s="1"/>
  <c r="I21" i="29"/>
  <c r="I99" i="1"/>
  <c r="H2" i="18"/>
  <c r="I85" i="1"/>
  <c r="I54" i="1"/>
  <c r="J54" i="1" s="1"/>
  <c r="I40" i="1"/>
  <c r="J40" i="1" s="1"/>
  <c r="I16" i="1"/>
  <c r="I130" i="18"/>
  <c r="I124" i="18"/>
  <c r="J124" i="18" s="1"/>
  <c r="J119" i="18"/>
  <c r="J103" i="18"/>
  <c r="I134" i="29"/>
  <c r="I110" i="29"/>
  <c r="J110" i="29" s="1"/>
  <c r="I118" i="1"/>
  <c r="I110" i="1"/>
  <c r="I102" i="1"/>
  <c r="J102" i="1" s="1"/>
  <c r="I146" i="1"/>
  <c r="I55" i="1"/>
  <c r="J55" i="1" s="1"/>
  <c r="I103" i="1"/>
  <c r="I123" i="1"/>
  <c r="I84" i="1"/>
  <c r="I84" i="34" s="1"/>
  <c r="I53" i="1"/>
  <c r="I31" i="1"/>
  <c r="I23" i="1"/>
  <c r="I7" i="1"/>
  <c r="J7" i="1" s="1"/>
  <c r="I107" i="18"/>
  <c r="J107" i="18" s="1"/>
  <c r="I102" i="18"/>
  <c r="J102" i="18" s="1"/>
  <c r="I88" i="18"/>
  <c r="J88" i="18" s="1"/>
  <c r="I147" i="29"/>
  <c r="J147" i="29" s="1"/>
  <c r="I133" i="29"/>
  <c r="I94" i="29"/>
  <c r="H2" i="1"/>
  <c r="I108" i="18"/>
  <c r="J108" i="18" s="1"/>
  <c r="J43" i="72"/>
  <c r="I39" i="1"/>
  <c r="I83" i="1"/>
  <c r="I67" i="1"/>
  <c r="J67" i="1" s="1"/>
  <c r="I60" i="1"/>
  <c r="J128" i="20"/>
  <c r="I116" i="18"/>
  <c r="J116" i="18" s="1"/>
  <c r="I106" i="18"/>
  <c r="J106" i="18" s="1"/>
  <c r="I146" i="29"/>
  <c r="I116" i="29"/>
  <c r="I87" i="29"/>
  <c r="I156" i="30"/>
  <c r="J156" i="30" s="1"/>
  <c r="I116" i="1"/>
  <c r="I108" i="1"/>
  <c r="H2" i="29"/>
  <c r="I111" i="1"/>
  <c r="I59" i="1"/>
  <c r="I2" i="3"/>
  <c r="J2" i="3" s="1"/>
  <c r="I133" i="18"/>
  <c r="J133" i="18" s="1"/>
  <c r="I122" i="18"/>
  <c r="J122" i="18" s="1"/>
  <c r="I100" i="18"/>
  <c r="J100" i="18" s="1"/>
  <c r="I93" i="18"/>
  <c r="J93" i="18" s="1"/>
  <c r="I67" i="18"/>
  <c r="J67" i="18" s="1"/>
  <c r="I100" i="29"/>
  <c r="I86" i="29"/>
  <c r="I63" i="29"/>
  <c r="I31" i="29"/>
  <c r="I115" i="1"/>
  <c r="I107" i="1"/>
  <c r="I143" i="1"/>
  <c r="J143" i="1" s="1"/>
  <c r="I135" i="1"/>
  <c r="I127" i="1"/>
  <c r="I152" i="1"/>
  <c r="I139" i="1"/>
  <c r="I66" i="1"/>
  <c r="I12" i="29"/>
  <c r="J12" i="29" s="1"/>
  <c r="I81" i="1"/>
  <c r="I73" i="1"/>
  <c r="I65" i="1"/>
  <c r="I44" i="1"/>
  <c r="I132" i="18"/>
  <c r="J132" i="18" s="1"/>
  <c r="J121" i="20"/>
  <c r="I115" i="18"/>
  <c r="J115" i="18" s="1"/>
  <c r="I105" i="18"/>
  <c r="J105" i="18" s="1"/>
  <c r="I99" i="18"/>
  <c r="J99" i="18" s="1"/>
  <c r="J71" i="20"/>
  <c r="I85" i="29"/>
  <c r="I54" i="29"/>
  <c r="I30" i="29"/>
  <c r="I22" i="29"/>
  <c r="I114" i="1"/>
  <c r="I100" i="1"/>
  <c r="J100" i="1" s="1"/>
  <c r="I150" i="1"/>
  <c r="I142" i="1"/>
  <c r="I134" i="1"/>
  <c r="I126" i="1"/>
  <c r="I66" i="18"/>
  <c r="J66" i="18" s="1"/>
  <c r="J66" i="20"/>
  <c r="J61" i="72"/>
  <c r="I61" i="1"/>
  <c r="J61" i="1" s="1"/>
  <c r="I74" i="1"/>
  <c r="I96" i="1"/>
  <c r="I32" i="1"/>
  <c r="J32" i="1" s="1"/>
  <c r="I159" i="29"/>
  <c r="J159" i="29" s="1"/>
  <c r="J159" i="27"/>
  <c r="I15" i="29"/>
  <c r="J74" i="72"/>
  <c r="J89" i="72"/>
  <c r="I89" i="1"/>
  <c r="J89" i="1" s="1"/>
  <c r="J65" i="72"/>
  <c r="J59" i="72"/>
  <c r="J46" i="72"/>
  <c r="I46" i="1"/>
  <c r="J38" i="72"/>
  <c r="I38" i="1"/>
  <c r="J38" i="1" s="1"/>
  <c r="J30" i="72"/>
  <c r="I30" i="1"/>
  <c r="I22" i="1"/>
  <c r="J22" i="1" s="1"/>
  <c r="I14" i="1"/>
  <c r="J14" i="1" s="1"/>
  <c r="J6" i="72"/>
  <c r="I6" i="1"/>
  <c r="J6" i="1" s="1"/>
  <c r="J120" i="20"/>
  <c r="I111" i="18"/>
  <c r="J111" i="18" s="1"/>
  <c r="J106" i="20"/>
  <c r="J102" i="20"/>
  <c r="I92" i="18"/>
  <c r="J92" i="18" s="1"/>
  <c r="I76" i="18"/>
  <c r="J76" i="18" s="1"/>
  <c r="I70" i="18"/>
  <c r="J70" i="18" s="1"/>
  <c r="J70" i="20"/>
  <c r="I19" i="18"/>
  <c r="J19" i="18" s="1"/>
  <c r="I130" i="29"/>
  <c r="J130" i="29" s="1"/>
  <c r="I77" i="29"/>
  <c r="J77" i="27"/>
  <c r="I94" i="1"/>
  <c r="I88" i="1"/>
  <c r="J88" i="1" s="1"/>
  <c r="I24" i="1"/>
  <c r="I82" i="18"/>
  <c r="J82" i="18" s="1"/>
  <c r="I82" i="1"/>
  <c r="I80" i="1"/>
  <c r="J80" i="1" s="1"/>
  <c r="J87" i="72"/>
  <c r="I87" i="1"/>
  <c r="I79" i="1"/>
  <c r="J79" i="1" s="1"/>
  <c r="I71" i="1"/>
  <c r="J71" i="1" s="1"/>
  <c r="J58" i="72"/>
  <c r="I58" i="1"/>
  <c r="J58" i="1" s="1"/>
  <c r="I36" i="1"/>
  <c r="J28" i="72"/>
  <c r="I28" i="1"/>
  <c r="I20" i="1"/>
  <c r="J12" i="72"/>
  <c r="I12" i="1"/>
  <c r="J12" i="1" s="1"/>
  <c r="I110" i="18"/>
  <c r="J110" i="18" s="1"/>
  <c r="I96" i="18"/>
  <c r="J96" i="18" s="1"/>
  <c r="I84" i="18"/>
  <c r="J84" i="18" s="1"/>
  <c r="I79" i="18"/>
  <c r="J79" i="18" s="1"/>
  <c r="I74" i="18"/>
  <c r="J74" i="18" s="1"/>
  <c r="I69" i="18"/>
  <c r="J69" i="18" s="1"/>
  <c r="I55" i="18"/>
  <c r="J55" i="18" s="1"/>
  <c r="J55" i="20"/>
  <c r="I49" i="18"/>
  <c r="J49" i="18" s="1"/>
  <c r="I128" i="29"/>
  <c r="I148" i="1"/>
  <c r="I139" i="18"/>
  <c r="J139" i="18" s="1"/>
  <c r="I72" i="1"/>
  <c r="I8" i="1"/>
  <c r="J91" i="72"/>
  <c r="I91" i="1"/>
  <c r="J91" i="1" s="1"/>
  <c r="I59" i="18"/>
  <c r="J59" i="18" s="1"/>
  <c r="J59" i="20"/>
  <c r="I45" i="1"/>
  <c r="I10" i="29"/>
  <c r="J10" i="29" s="1"/>
  <c r="I11" i="29"/>
  <c r="J86" i="72"/>
  <c r="I86" i="1"/>
  <c r="J86" i="1" s="1"/>
  <c r="J78" i="72"/>
  <c r="I78" i="1"/>
  <c r="I70" i="1"/>
  <c r="I57" i="1"/>
  <c r="J57" i="1" s="1"/>
  <c r="J27" i="72"/>
  <c r="I27" i="1"/>
  <c r="J19" i="72"/>
  <c r="I19" i="1"/>
  <c r="J19" i="1" s="1"/>
  <c r="J11" i="72"/>
  <c r="I11" i="1"/>
  <c r="J133" i="20"/>
  <c r="J113" i="20"/>
  <c r="J100" i="20"/>
  <c r="I95" i="18"/>
  <c r="J95" i="18" s="1"/>
  <c r="I48" i="18"/>
  <c r="J48" i="18" s="1"/>
  <c r="J48" i="20"/>
  <c r="I147" i="1"/>
  <c r="J147" i="1" s="1"/>
  <c r="J147" i="72"/>
  <c r="J131" i="72"/>
  <c r="I131" i="1"/>
  <c r="I21" i="1"/>
  <c r="J77" i="72"/>
  <c r="I77" i="1"/>
  <c r="I69" i="1"/>
  <c r="J69" i="1" s="1"/>
  <c r="I63" i="1"/>
  <c r="J63" i="1" s="1"/>
  <c r="I42" i="1"/>
  <c r="J26" i="72"/>
  <c r="I26" i="1"/>
  <c r="J26" i="1" s="1"/>
  <c r="J10" i="72"/>
  <c r="I10" i="1"/>
  <c r="I94" i="18"/>
  <c r="J94" i="18" s="1"/>
  <c r="I89" i="18"/>
  <c r="J89" i="18" s="1"/>
  <c r="I83" i="18"/>
  <c r="J83" i="18" s="1"/>
  <c r="I78" i="18"/>
  <c r="J78" i="18" s="1"/>
  <c r="I73" i="18"/>
  <c r="J73" i="18" s="1"/>
  <c r="I68" i="18"/>
  <c r="J68" i="18" s="1"/>
  <c r="I53" i="18"/>
  <c r="J53" i="18" s="1"/>
  <c r="J53" i="20"/>
  <c r="I118" i="29"/>
  <c r="J118" i="29" s="1"/>
  <c r="J118" i="27"/>
  <c r="I58" i="29"/>
  <c r="I52" i="1"/>
  <c r="I56" i="1"/>
  <c r="J56" i="1" s="1"/>
  <c r="I90" i="1"/>
  <c r="J90" i="1" s="1"/>
  <c r="I37" i="1"/>
  <c r="J13" i="72"/>
  <c r="I13" i="1"/>
  <c r="I75" i="18"/>
  <c r="J75" i="18" s="1"/>
  <c r="J75" i="20"/>
  <c r="I61" i="29"/>
  <c r="J61" i="27"/>
  <c r="I6" i="29"/>
  <c r="J6" i="29" s="1"/>
  <c r="J21" i="72"/>
  <c r="I92" i="1"/>
  <c r="J92" i="1" s="1"/>
  <c r="J76" i="72"/>
  <c r="I76" i="1"/>
  <c r="J76" i="1" s="1"/>
  <c r="I68" i="1"/>
  <c r="I68" i="34" s="1"/>
  <c r="I62" i="1"/>
  <c r="I41" i="1"/>
  <c r="I33" i="1"/>
  <c r="J25" i="72"/>
  <c r="I25" i="1"/>
  <c r="J25" i="1" s="1"/>
  <c r="I17" i="1"/>
  <c r="J17" i="1" s="1"/>
  <c r="J9" i="72"/>
  <c r="I9" i="1"/>
  <c r="J132" i="20"/>
  <c r="J116" i="20"/>
  <c r="J112" i="20"/>
  <c r="J99" i="20"/>
  <c r="J93" i="20"/>
  <c r="J88" i="20"/>
  <c r="J82" i="20"/>
  <c r="J77" i="20"/>
  <c r="J67" i="20"/>
  <c r="I72" i="29"/>
  <c r="J72" i="27"/>
  <c r="J117" i="72"/>
  <c r="I117" i="1"/>
  <c r="J51" i="72"/>
  <c r="I51" i="1"/>
  <c r="J51" i="1" s="1"/>
  <c r="D2" i="29"/>
  <c r="I48" i="1"/>
  <c r="I47" i="18"/>
  <c r="J47" i="18" s="1"/>
  <c r="I121" i="29"/>
  <c r="J121" i="29" s="1"/>
  <c r="I92" i="29"/>
  <c r="I57" i="29"/>
  <c r="I151" i="30"/>
  <c r="J151" i="30" s="1"/>
  <c r="I106" i="30"/>
  <c r="J106" i="30" s="1"/>
  <c r="I99" i="30"/>
  <c r="J99" i="30" s="1"/>
  <c r="I79" i="30"/>
  <c r="J79" i="30" s="1"/>
  <c r="I73" i="30"/>
  <c r="J73" i="30" s="1"/>
  <c r="I35" i="30"/>
  <c r="J35" i="30" s="1"/>
  <c r="I153" i="1"/>
  <c r="I145" i="1"/>
  <c r="I105" i="1"/>
  <c r="I49" i="1"/>
  <c r="J49" i="1" s="1"/>
  <c r="E2" i="29"/>
  <c r="J160" i="27"/>
  <c r="I160" i="29"/>
  <c r="J160" i="29" s="1"/>
  <c r="I50" i="18"/>
  <c r="J50" i="18" s="1"/>
  <c r="J147" i="27"/>
  <c r="I135" i="29"/>
  <c r="J135" i="29" s="1"/>
  <c r="I112" i="29"/>
  <c r="J112" i="29" s="1"/>
  <c r="I76" i="29"/>
  <c r="I39" i="29"/>
  <c r="J156" i="32"/>
  <c r="I97" i="30"/>
  <c r="J97" i="30" s="1"/>
  <c r="I77" i="30"/>
  <c r="J77" i="30" s="1"/>
  <c r="I138" i="18"/>
  <c r="J138" i="18" s="1"/>
  <c r="I95" i="1"/>
  <c r="J95" i="1" s="1"/>
  <c r="I47" i="1"/>
  <c r="J47" i="1" s="1"/>
  <c r="J164" i="27"/>
  <c r="I154" i="29"/>
  <c r="I75" i="29"/>
  <c r="I132" i="30"/>
  <c r="J132" i="30" s="1"/>
  <c r="I117" i="30"/>
  <c r="J117" i="30" s="1"/>
  <c r="I89" i="30"/>
  <c r="J89" i="30" s="1"/>
  <c r="I84" i="30"/>
  <c r="J84" i="30" s="1"/>
  <c r="I76" i="30"/>
  <c r="J76" i="30" s="1"/>
  <c r="I48" i="30"/>
  <c r="J48" i="30" s="1"/>
  <c r="I25" i="30"/>
  <c r="J25" i="30" s="1"/>
  <c r="I18" i="30"/>
  <c r="J18" i="30" s="1"/>
  <c r="I95" i="30"/>
  <c r="J95" i="30" s="1"/>
  <c r="I47" i="30"/>
  <c r="J47" i="30" s="1"/>
  <c r="D2" i="18"/>
  <c r="I157" i="1"/>
  <c r="J157" i="1" s="1"/>
  <c r="I141" i="1"/>
  <c r="J141" i="1" s="1"/>
  <c r="I125" i="1"/>
  <c r="J125" i="1" s="1"/>
  <c r="I93" i="1"/>
  <c r="J164" i="1"/>
  <c r="I164" i="34"/>
  <c r="J164" i="34" s="1"/>
  <c r="J162" i="27"/>
  <c r="I17" i="18"/>
  <c r="J17" i="18" s="1"/>
  <c r="I124" i="29"/>
  <c r="J124" i="29" s="1"/>
  <c r="I109" i="29"/>
  <c r="J109" i="29" s="1"/>
  <c r="I52" i="29"/>
  <c r="I36" i="29"/>
  <c r="I20" i="29"/>
  <c r="I115" i="30"/>
  <c r="J115" i="30" s="1"/>
  <c r="I61" i="30"/>
  <c r="J61" i="30" s="1"/>
  <c r="I54" i="30"/>
  <c r="J54" i="30" s="1"/>
  <c r="I23" i="30"/>
  <c r="J23" i="30" s="1"/>
  <c r="I7" i="18"/>
  <c r="J7" i="18" s="1"/>
  <c r="I156" i="1"/>
  <c r="I140" i="1"/>
  <c r="I138" i="29"/>
  <c r="I108" i="29"/>
  <c r="I51" i="29"/>
  <c r="J51" i="29" s="1"/>
  <c r="I35" i="29"/>
  <c r="I27" i="29"/>
  <c r="J27" i="29" s="1"/>
  <c r="I153" i="30"/>
  <c r="J153" i="30" s="1"/>
  <c r="I145" i="30"/>
  <c r="J145" i="30" s="1"/>
  <c r="I129" i="30"/>
  <c r="J129" i="30" s="1"/>
  <c r="I87" i="30"/>
  <c r="J87" i="30" s="1"/>
  <c r="I74" i="30"/>
  <c r="J74" i="30" s="1"/>
  <c r="I53" i="30"/>
  <c r="J53" i="30" s="1"/>
  <c r="I29" i="30"/>
  <c r="J29" i="30" s="1"/>
  <c r="D2" i="1"/>
  <c r="I155" i="1"/>
  <c r="I128" i="30"/>
  <c r="J128" i="30" s="1"/>
  <c r="I52" i="30"/>
  <c r="J52" i="30" s="1"/>
  <c r="I36" i="30"/>
  <c r="J36" i="30" s="1"/>
  <c r="I28" i="30"/>
  <c r="J28" i="30" s="1"/>
  <c r="E2" i="1"/>
  <c r="E2" i="18"/>
  <c r="I154" i="1"/>
  <c r="I138" i="1"/>
  <c r="I130" i="1"/>
  <c r="I122" i="1"/>
  <c r="J122" i="1" s="1"/>
  <c r="I106" i="1"/>
  <c r="I50" i="1"/>
  <c r="J161" i="27"/>
  <c r="I161" i="29"/>
  <c r="J161" i="29" s="1"/>
  <c r="I51" i="30"/>
  <c r="J51" i="30" s="1"/>
  <c r="I123" i="30"/>
  <c r="J123" i="30" s="1"/>
  <c r="I26" i="30"/>
  <c r="J26" i="30" s="1"/>
  <c r="I155" i="30"/>
  <c r="J155" i="30" s="1"/>
  <c r="I130" i="30"/>
  <c r="J130" i="30" s="1"/>
  <c r="I78" i="30"/>
  <c r="J78" i="30" s="1"/>
  <c r="I107" i="30"/>
  <c r="J107" i="30" s="1"/>
  <c r="I96" i="30"/>
  <c r="J96" i="30" s="1"/>
  <c r="I55" i="30"/>
  <c r="J55" i="30" s="1"/>
  <c r="I138" i="30"/>
  <c r="J138" i="30" s="1"/>
  <c r="I85" i="30"/>
  <c r="J85" i="30" s="1"/>
  <c r="I16" i="30"/>
  <c r="J16" i="30" s="1"/>
  <c r="I114" i="30"/>
  <c r="J114" i="30" s="1"/>
  <c r="I93" i="30"/>
  <c r="J93" i="30" s="1"/>
  <c r="I136" i="30"/>
  <c r="J136" i="30" s="1"/>
  <c r="I103" i="30"/>
  <c r="J103" i="30" s="1"/>
  <c r="I40" i="30"/>
  <c r="J40" i="30" s="1"/>
  <c r="I147" i="30"/>
  <c r="J147" i="30" s="1"/>
  <c r="I124" i="30"/>
  <c r="J124" i="30" s="1"/>
  <c r="I102" i="30"/>
  <c r="J102" i="30" s="1"/>
  <c r="I157" i="30"/>
  <c r="J157" i="30" s="1"/>
  <c r="I50" i="30"/>
  <c r="J50" i="30" s="1"/>
  <c r="I81" i="30"/>
  <c r="J81" i="30" s="1"/>
  <c r="I71" i="30"/>
  <c r="J71" i="30" s="1"/>
  <c r="I60" i="30"/>
  <c r="J60" i="30" s="1"/>
  <c r="I17" i="30"/>
  <c r="J17" i="30" s="1"/>
  <c r="I91" i="30"/>
  <c r="J91" i="30" s="1"/>
  <c r="I49" i="30"/>
  <c r="J49" i="30" s="1"/>
  <c r="I80" i="30"/>
  <c r="J80" i="30" s="1"/>
  <c r="I109" i="30"/>
  <c r="J109" i="30" s="1"/>
  <c r="I69" i="30"/>
  <c r="J69" i="30" s="1"/>
  <c r="I58" i="30"/>
  <c r="J58" i="30" s="1"/>
  <c r="I152" i="30"/>
  <c r="J152" i="30" s="1"/>
  <c r="I30" i="30"/>
  <c r="J30" i="30" s="1"/>
  <c r="I90" i="30"/>
  <c r="J90" i="30" s="1"/>
  <c r="I88" i="30"/>
  <c r="J88" i="30" s="1"/>
  <c r="I113" i="30"/>
  <c r="J113" i="30" s="1"/>
  <c r="I112" i="30"/>
  <c r="J112" i="30" s="1"/>
  <c r="I66" i="30"/>
  <c r="J66" i="30" s="1"/>
  <c r="I65" i="30"/>
  <c r="J65" i="30" s="1"/>
  <c r="I83" i="30"/>
  <c r="J83" i="30" s="1"/>
  <c r="I82" i="30"/>
  <c r="J82" i="30" s="1"/>
  <c r="I75" i="30"/>
  <c r="J75" i="30" s="1"/>
  <c r="I111" i="30"/>
  <c r="J111" i="30" s="1"/>
  <c r="I98" i="30"/>
  <c r="J98" i="30" s="1"/>
  <c r="I101" i="30"/>
  <c r="J101" i="30" s="1"/>
  <c r="I92" i="30"/>
  <c r="J92" i="30" s="1"/>
  <c r="I70" i="30"/>
  <c r="J70" i="30" s="1"/>
  <c r="I149" i="30"/>
  <c r="J149" i="30" s="1"/>
  <c r="I116" i="30"/>
  <c r="J116" i="30" s="1"/>
  <c r="I62" i="30"/>
  <c r="J62" i="30" s="1"/>
  <c r="I68" i="30"/>
  <c r="J68" i="30" s="1"/>
  <c r="I108" i="30"/>
  <c r="J108" i="30" s="1"/>
  <c r="I125" i="30"/>
  <c r="J125" i="30" s="1"/>
  <c r="I122" i="30"/>
  <c r="J122" i="30" s="1"/>
  <c r="I46" i="30"/>
  <c r="J46" i="30" s="1"/>
  <c r="I154" i="30"/>
  <c r="J154" i="30" s="1"/>
  <c r="I57" i="30"/>
  <c r="J57" i="30" s="1"/>
  <c r="I141" i="30"/>
  <c r="J141" i="30" s="1"/>
  <c r="I45" i="30"/>
  <c r="J45" i="30" s="1"/>
  <c r="I140" i="30"/>
  <c r="J140" i="30" s="1"/>
  <c r="I39" i="30"/>
  <c r="J39" i="30" s="1"/>
  <c r="I38" i="30"/>
  <c r="J38" i="30" s="1"/>
  <c r="I139" i="30"/>
  <c r="J139" i="30" s="1"/>
  <c r="I137" i="30"/>
  <c r="J137" i="30" s="1"/>
  <c r="I32" i="30"/>
  <c r="J32" i="30" s="1"/>
  <c r="I135" i="30"/>
  <c r="I31" i="30"/>
  <c r="J31" i="30" s="1"/>
  <c r="I56" i="30"/>
  <c r="J56" i="30" s="1"/>
  <c r="I24" i="30"/>
  <c r="J24" i="30" s="1"/>
  <c r="I133" i="30"/>
  <c r="J133" i="30" s="1"/>
  <c r="I21" i="30"/>
  <c r="J21" i="30" s="1"/>
  <c r="I121" i="30"/>
  <c r="J121" i="30" s="1"/>
  <c r="I120" i="30"/>
  <c r="J120" i="30" s="1"/>
  <c r="I20" i="30"/>
  <c r="J20" i="30" s="1"/>
  <c r="I19" i="30"/>
  <c r="J19" i="30" s="1"/>
  <c r="I131" i="30"/>
  <c r="J131" i="30" s="1"/>
  <c r="I15" i="30"/>
  <c r="J15" i="30" s="1"/>
  <c r="I13" i="30"/>
  <c r="J13" i="30" s="1"/>
  <c r="I12" i="30"/>
  <c r="J12" i="30" s="1"/>
  <c r="I11" i="30"/>
  <c r="J11" i="30" s="1"/>
  <c r="I127" i="30"/>
  <c r="J127" i="30" s="1"/>
  <c r="I9" i="30"/>
  <c r="J9" i="30" s="1"/>
  <c r="I8" i="30"/>
  <c r="J8" i="30" s="1"/>
  <c r="I7" i="30"/>
  <c r="J7" i="30" s="1"/>
  <c r="I5" i="30"/>
  <c r="I4" i="30"/>
  <c r="J4" i="30" s="1"/>
  <c r="I148" i="30"/>
  <c r="J148" i="30" s="1"/>
  <c r="I100" i="30"/>
  <c r="J100" i="30" s="1"/>
  <c r="I143" i="30"/>
  <c r="J143" i="30" s="1"/>
  <c r="I119" i="30"/>
  <c r="J119" i="30" s="1"/>
  <c r="I146" i="30"/>
  <c r="J146" i="30" s="1"/>
  <c r="J115" i="32"/>
  <c r="J145" i="32"/>
  <c r="J144" i="32"/>
  <c r="I144" i="30"/>
  <c r="J144" i="30" s="1"/>
  <c r="J106" i="32"/>
  <c r="J105" i="32"/>
  <c r="J55" i="32"/>
  <c r="J53" i="32"/>
  <c r="J51" i="32"/>
  <c r="J50" i="32"/>
  <c r="J49" i="32"/>
  <c r="J48" i="32"/>
  <c r="J47" i="32"/>
  <c r="J79" i="32"/>
  <c r="J96" i="32"/>
  <c r="J93" i="32"/>
  <c r="J157" i="32"/>
  <c r="J155" i="32"/>
  <c r="J153" i="32"/>
  <c r="J152" i="32"/>
  <c r="J149" i="32"/>
  <c r="J103" i="32"/>
  <c r="J6" i="32"/>
  <c r="I6" i="30"/>
  <c r="J6" i="30" s="1"/>
  <c r="J90" i="32"/>
  <c r="J89" i="32"/>
  <c r="J113" i="32"/>
  <c r="J112" i="32"/>
  <c r="J67" i="32"/>
  <c r="I67" i="30"/>
  <c r="J67" i="30" s="1"/>
  <c r="J66" i="32"/>
  <c r="J65" i="32"/>
  <c r="J64" i="32"/>
  <c r="I64" i="30"/>
  <c r="J64" i="30" s="1"/>
  <c r="J63" i="32"/>
  <c r="I63" i="30"/>
  <c r="J63" i="30" s="1"/>
  <c r="J83" i="32"/>
  <c r="J82" i="32"/>
  <c r="J77" i="32"/>
  <c r="J76" i="32"/>
  <c r="J97" i="32"/>
  <c r="J61" i="32"/>
  <c r="J87" i="32"/>
  <c r="J86" i="32"/>
  <c r="I86" i="30"/>
  <c r="J86" i="30" s="1"/>
  <c r="J98" i="32"/>
  <c r="J60" i="32"/>
  <c r="J104" i="32"/>
  <c r="I104" i="30"/>
  <c r="J104" i="30" s="1"/>
  <c r="J59" i="32"/>
  <c r="I59" i="30"/>
  <c r="J59" i="30" s="1"/>
  <c r="J72" i="32"/>
  <c r="I72" i="30"/>
  <c r="J72" i="30" s="1"/>
  <c r="J81" i="32"/>
  <c r="J80" i="32"/>
  <c r="J99" i="32"/>
  <c r="J92" i="32"/>
  <c r="J110" i="32"/>
  <c r="I110" i="30"/>
  <c r="J110" i="30" s="1"/>
  <c r="J118" i="32"/>
  <c r="I118" i="30"/>
  <c r="J118" i="30" s="1"/>
  <c r="J71" i="32"/>
  <c r="J70" i="32"/>
  <c r="J116" i="32"/>
  <c r="J158" i="32"/>
  <c r="I158" i="30"/>
  <c r="J158" i="30" s="1"/>
  <c r="J69" i="32"/>
  <c r="J62" i="32"/>
  <c r="J114" i="32"/>
  <c r="J109" i="32"/>
  <c r="J58" i="32"/>
  <c r="J150" i="32"/>
  <c r="I150" i="30"/>
  <c r="J150" i="30" s="1"/>
  <c r="J108" i="32"/>
  <c r="J126" i="32"/>
  <c r="I126" i="30"/>
  <c r="J126" i="30" s="1"/>
  <c r="J124" i="32"/>
  <c r="J123" i="32"/>
  <c r="J122" i="32"/>
  <c r="J46" i="32"/>
  <c r="J147" i="32"/>
  <c r="J154" i="32"/>
  <c r="J57" i="32"/>
  <c r="J95" i="32"/>
  <c r="J94" i="32"/>
  <c r="I94" i="30"/>
  <c r="J94" i="30" s="1"/>
  <c r="J74" i="32"/>
  <c r="J142" i="32"/>
  <c r="I142" i="30"/>
  <c r="J142" i="30" s="1"/>
  <c r="J141" i="32"/>
  <c r="J44" i="32"/>
  <c r="I44" i="30"/>
  <c r="J44" i="30" s="1"/>
  <c r="J43" i="32"/>
  <c r="I43" i="30"/>
  <c r="J43" i="30" s="1"/>
  <c r="J42" i="32"/>
  <c r="I42" i="30"/>
  <c r="J42" i="30" s="1"/>
  <c r="J41" i="32"/>
  <c r="I41" i="30"/>
  <c r="J41" i="30" s="1"/>
  <c r="J40" i="32"/>
  <c r="J140" i="32"/>
  <c r="J39" i="32"/>
  <c r="J38" i="32"/>
  <c r="J138" i="32"/>
  <c r="J37" i="32"/>
  <c r="I37" i="30"/>
  <c r="J37" i="30" s="1"/>
  <c r="J139" i="32"/>
  <c r="J137" i="32"/>
  <c r="J36" i="32"/>
  <c r="J35" i="32"/>
  <c r="J34" i="32"/>
  <c r="I34" i="30"/>
  <c r="J34" i="30" s="1"/>
  <c r="J136" i="32"/>
  <c r="J33" i="32"/>
  <c r="I33" i="30"/>
  <c r="J33" i="30" s="1"/>
  <c r="J32" i="32"/>
  <c r="J135" i="32"/>
  <c r="J30" i="32"/>
  <c r="J29" i="32"/>
  <c r="J28" i="32"/>
  <c r="J56" i="32"/>
  <c r="J26" i="32"/>
  <c r="J24" i="32"/>
  <c r="J23" i="32"/>
  <c r="J22" i="32"/>
  <c r="I22" i="30"/>
  <c r="J22" i="30" s="1"/>
  <c r="J134" i="32"/>
  <c r="I134" i="30"/>
  <c r="J134" i="30" s="1"/>
  <c r="J133" i="32"/>
  <c r="J21" i="32"/>
  <c r="J117" i="32"/>
  <c r="J121" i="32"/>
  <c r="J120" i="32"/>
  <c r="J132" i="32"/>
  <c r="J20" i="32"/>
  <c r="J17" i="32"/>
  <c r="J131" i="32"/>
  <c r="J14" i="32"/>
  <c r="I14" i="30"/>
  <c r="J14" i="30" s="1"/>
  <c r="J13" i="32"/>
  <c r="J12" i="32"/>
  <c r="J130" i="32"/>
  <c r="J129" i="32"/>
  <c r="J11" i="32"/>
  <c r="J128" i="32"/>
  <c r="J127" i="32"/>
  <c r="J10" i="32"/>
  <c r="I10" i="30"/>
  <c r="J10" i="30" s="1"/>
  <c r="J9" i="32"/>
  <c r="J7" i="32"/>
  <c r="I2" i="32"/>
  <c r="J2" i="32" s="1"/>
  <c r="J4" i="32"/>
  <c r="J148" i="32"/>
  <c r="J27" i="32"/>
  <c r="I27" i="30"/>
  <c r="J27" i="30" s="1"/>
  <c r="F2" i="32"/>
  <c r="G2" i="32" s="1"/>
  <c r="J100" i="32"/>
  <c r="J151" i="32"/>
  <c r="J143" i="32"/>
  <c r="J119" i="32"/>
  <c r="J146" i="32"/>
  <c r="F48" i="30"/>
  <c r="G48" i="30" s="1"/>
  <c r="F21" i="30"/>
  <c r="G21" i="30" s="1"/>
  <c r="J67" i="31"/>
  <c r="F55" i="30"/>
  <c r="G55" i="30" s="1"/>
  <c r="D144" i="34"/>
  <c r="D136" i="34"/>
  <c r="J65" i="31"/>
  <c r="J90" i="31"/>
  <c r="J29" i="31"/>
  <c r="F65" i="30"/>
  <c r="G65" i="30" s="1"/>
  <c r="J85" i="31"/>
  <c r="J81" i="31"/>
  <c r="D120" i="34"/>
  <c r="D126" i="34"/>
  <c r="D125" i="34"/>
  <c r="J39" i="31"/>
  <c r="J56" i="31"/>
  <c r="F8" i="30"/>
  <c r="G8" i="30" s="1"/>
  <c r="D127" i="34"/>
  <c r="F73" i="30"/>
  <c r="G73" i="30" s="1"/>
  <c r="F66" i="30"/>
  <c r="G66" i="30" s="1"/>
  <c r="D105" i="34"/>
  <c r="D100" i="34"/>
  <c r="D158" i="34"/>
  <c r="I29" i="29"/>
  <c r="J29" i="29" s="1"/>
  <c r="I64" i="29"/>
  <c r="I151" i="29"/>
  <c r="I132" i="29"/>
  <c r="I132" i="34" s="1"/>
  <c r="I79" i="29"/>
  <c r="I137" i="29"/>
  <c r="I139" i="29"/>
  <c r="I142" i="29"/>
  <c r="J142" i="29" s="1"/>
  <c r="I145" i="29"/>
  <c r="J145" i="29" s="1"/>
  <c r="D146" i="34"/>
  <c r="I96" i="29"/>
  <c r="I115" i="29"/>
  <c r="I152" i="29"/>
  <c r="J156" i="29"/>
  <c r="D113" i="34"/>
  <c r="I78" i="29"/>
  <c r="F2" i="28"/>
  <c r="G2" i="28" s="1"/>
  <c r="I82" i="29"/>
  <c r="D107" i="34"/>
  <c r="I97" i="29"/>
  <c r="D111" i="34"/>
  <c r="I104" i="29"/>
  <c r="I59" i="29"/>
  <c r="J59" i="29" s="1"/>
  <c r="I81" i="29"/>
  <c r="J81" i="29" s="1"/>
  <c r="I101" i="29"/>
  <c r="D99" i="34"/>
  <c r="I99" i="29"/>
  <c r="I71" i="29"/>
  <c r="I70" i="29"/>
  <c r="I91" i="29"/>
  <c r="J91" i="29" s="1"/>
  <c r="I62" i="29"/>
  <c r="J62" i="29" s="1"/>
  <c r="I2" i="28"/>
  <c r="J2" i="28" s="1"/>
  <c r="F159" i="1"/>
  <c r="G159" i="1" s="1"/>
  <c r="F163" i="1"/>
  <c r="G163" i="1" s="1"/>
  <c r="J160" i="1"/>
  <c r="F160" i="34"/>
  <c r="G160" i="34" s="1"/>
  <c r="J159" i="1"/>
  <c r="D92" i="34"/>
  <c r="D84" i="34"/>
  <c r="D76" i="34"/>
  <c r="D68" i="34"/>
  <c r="D60" i="34"/>
  <c r="D52" i="34"/>
  <c r="D44" i="34"/>
  <c r="D36" i="34"/>
  <c r="D28" i="34"/>
  <c r="D20" i="34"/>
  <c r="D12" i="34"/>
  <c r="E5" i="34"/>
  <c r="E88" i="34"/>
  <c r="E80" i="34"/>
  <c r="E72" i="34"/>
  <c r="E64" i="34"/>
  <c r="E56" i="34"/>
  <c r="E48" i="34"/>
  <c r="E40" i="34"/>
  <c r="E32" i="34"/>
  <c r="E24" i="34"/>
  <c r="E16" i="34"/>
  <c r="E8" i="34"/>
  <c r="H92" i="34"/>
  <c r="H84" i="34"/>
  <c r="H76" i="34"/>
  <c r="H68" i="34"/>
  <c r="H60" i="34"/>
  <c r="H52" i="34"/>
  <c r="H44" i="34"/>
  <c r="H36" i="34"/>
  <c r="H28" i="34"/>
  <c r="H20" i="34"/>
  <c r="H12" i="34"/>
  <c r="F164" i="1"/>
  <c r="G164" i="1" s="1"/>
  <c r="J163" i="1"/>
  <c r="I82" i="34"/>
  <c r="D91" i="34"/>
  <c r="D83" i="34"/>
  <c r="D75" i="34"/>
  <c r="D67" i="34"/>
  <c r="D59" i="34"/>
  <c r="D51" i="34"/>
  <c r="D43" i="34"/>
  <c r="D35" i="34"/>
  <c r="D27" i="34"/>
  <c r="D19" i="34"/>
  <c r="D11" i="34"/>
  <c r="E95" i="34"/>
  <c r="E87" i="34"/>
  <c r="E79" i="34"/>
  <c r="E71" i="34"/>
  <c r="E63" i="34"/>
  <c r="E55" i="34"/>
  <c r="E47" i="34"/>
  <c r="E39" i="34"/>
  <c r="E31" i="34"/>
  <c r="E23" i="34"/>
  <c r="E15" i="34"/>
  <c r="E7" i="34"/>
  <c r="E96" i="34"/>
  <c r="E157" i="34"/>
  <c r="E155" i="34"/>
  <c r="E151" i="34"/>
  <c r="E149" i="34"/>
  <c r="E147" i="34"/>
  <c r="E143" i="34"/>
  <c r="E141" i="34"/>
  <c r="E139" i="34"/>
  <c r="E135" i="34"/>
  <c r="E133" i="34"/>
  <c r="E131" i="34"/>
  <c r="E127" i="34"/>
  <c r="E125" i="34"/>
  <c r="E123" i="34"/>
  <c r="H117" i="34"/>
  <c r="H113" i="34"/>
  <c r="H111" i="34"/>
  <c r="H109" i="34"/>
  <c r="H105" i="34"/>
  <c r="H103" i="34"/>
  <c r="H101" i="34"/>
  <c r="J163" i="34"/>
  <c r="J162" i="1"/>
  <c r="D157" i="34"/>
  <c r="D149" i="34"/>
  <c r="D147" i="34"/>
  <c r="D141" i="34"/>
  <c r="D139" i="34"/>
  <c r="D133" i="34"/>
  <c r="D131" i="34"/>
  <c r="D123" i="34"/>
  <c r="E119" i="34"/>
  <c r="E117" i="34"/>
  <c r="F117" i="34" s="1"/>
  <c r="G117" i="34" s="1"/>
  <c r="E115" i="34"/>
  <c r="E111" i="34"/>
  <c r="E109" i="34"/>
  <c r="E107" i="34"/>
  <c r="E103" i="34"/>
  <c r="E101" i="34"/>
  <c r="E99" i="34"/>
  <c r="D89" i="34"/>
  <c r="D81" i="34"/>
  <c r="D73" i="34"/>
  <c r="D65" i="34"/>
  <c r="D57" i="34"/>
  <c r="D49" i="34"/>
  <c r="D41" i="34"/>
  <c r="D33" i="34"/>
  <c r="D25" i="34"/>
  <c r="D17" i="34"/>
  <c r="D9" i="34"/>
  <c r="E93" i="34"/>
  <c r="E85" i="34"/>
  <c r="E77" i="34"/>
  <c r="E69" i="34"/>
  <c r="E61" i="34"/>
  <c r="E53" i="34"/>
  <c r="E45" i="34"/>
  <c r="E37" i="34"/>
  <c r="E29" i="34"/>
  <c r="E21" i="34"/>
  <c r="E13" i="34"/>
  <c r="H4" i="34"/>
  <c r="H89" i="34"/>
  <c r="H81" i="34"/>
  <c r="H73" i="34"/>
  <c r="H65" i="34"/>
  <c r="H57" i="34"/>
  <c r="H49" i="34"/>
  <c r="H41" i="34"/>
  <c r="H33" i="34"/>
  <c r="H25" i="34"/>
  <c r="H17" i="34"/>
  <c r="H9" i="34"/>
  <c r="F161" i="1"/>
  <c r="G161" i="1" s="1"/>
  <c r="H97" i="34"/>
  <c r="H158" i="34"/>
  <c r="H156" i="34"/>
  <c r="H150" i="34"/>
  <c r="H148" i="34"/>
  <c r="H142" i="34"/>
  <c r="H140" i="34"/>
  <c r="H134" i="34"/>
  <c r="H132" i="34"/>
  <c r="H126" i="34"/>
  <c r="H124" i="34"/>
  <c r="H91" i="34"/>
  <c r="H83" i="34"/>
  <c r="H75" i="34"/>
  <c r="H67" i="34"/>
  <c r="H59" i="34"/>
  <c r="H51" i="34"/>
  <c r="H43" i="34"/>
  <c r="H35" i="34"/>
  <c r="H27" i="34"/>
  <c r="H19" i="34"/>
  <c r="H11" i="34"/>
  <c r="D119" i="34"/>
  <c r="D151" i="34"/>
  <c r="D143" i="34"/>
  <c r="D135" i="34"/>
  <c r="E113" i="34"/>
  <c r="E105" i="34"/>
  <c r="I162" i="34"/>
  <c r="J162" i="34" s="1"/>
  <c r="D90" i="34"/>
  <c r="D82" i="34"/>
  <c r="D74" i="34"/>
  <c r="D66" i="34"/>
  <c r="D58" i="34"/>
  <c r="D50" i="34"/>
  <c r="D42" i="34"/>
  <c r="D34" i="34"/>
  <c r="D26" i="34"/>
  <c r="D18" i="34"/>
  <c r="D10" i="34"/>
  <c r="E94" i="34"/>
  <c r="E86" i="34"/>
  <c r="E78" i="34"/>
  <c r="E70" i="34"/>
  <c r="E62" i="34"/>
  <c r="E54" i="34"/>
  <c r="E46" i="34"/>
  <c r="E38" i="34"/>
  <c r="E30" i="34"/>
  <c r="E22" i="34"/>
  <c r="E14" i="34"/>
  <c r="E6" i="34"/>
  <c r="H90" i="34"/>
  <c r="H82" i="34"/>
  <c r="H74" i="34"/>
  <c r="H66" i="34"/>
  <c r="H58" i="34"/>
  <c r="H50" i="34"/>
  <c r="H42" i="34"/>
  <c r="H34" i="34"/>
  <c r="H26" i="34"/>
  <c r="H18" i="34"/>
  <c r="H10" i="34"/>
  <c r="D109" i="34"/>
  <c r="D101" i="34"/>
  <c r="E159" i="34"/>
  <c r="F159" i="34" s="1"/>
  <c r="G159" i="34" s="1"/>
  <c r="J161" i="1"/>
  <c r="H154" i="34"/>
  <c r="H152" i="34"/>
  <c r="H146" i="34"/>
  <c r="H144" i="34"/>
  <c r="H138" i="34"/>
  <c r="H136" i="34"/>
  <c r="H130" i="34"/>
  <c r="H128" i="34"/>
  <c r="H122" i="34"/>
  <c r="H120" i="34"/>
  <c r="F162" i="34"/>
  <c r="G162" i="34" s="1"/>
  <c r="E158" i="34"/>
  <c r="H107" i="34"/>
  <c r="D5" i="34"/>
  <c r="D88" i="34"/>
  <c r="D80" i="34"/>
  <c r="D72" i="34"/>
  <c r="D64" i="34"/>
  <c r="D56" i="34"/>
  <c r="D48" i="34"/>
  <c r="D40" i="34"/>
  <c r="D32" i="34"/>
  <c r="D24" i="34"/>
  <c r="D16" i="34"/>
  <c r="D8" i="34"/>
  <c r="E92" i="34"/>
  <c r="E84" i="34"/>
  <c r="E76" i="34"/>
  <c r="E68" i="34"/>
  <c r="E60" i="34"/>
  <c r="E52" i="34"/>
  <c r="E44" i="34"/>
  <c r="E36" i="34"/>
  <c r="E28" i="34"/>
  <c r="E20" i="34"/>
  <c r="E12" i="34"/>
  <c r="H5" i="34"/>
  <c r="H88" i="34"/>
  <c r="H80" i="34"/>
  <c r="H72" i="34"/>
  <c r="H64" i="34"/>
  <c r="H56" i="34"/>
  <c r="H48" i="34"/>
  <c r="H40" i="34"/>
  <c r="H32" i="34"/>
  <c r="H24" i="34"/>
  <c r="H16" i="34"/>
  <c r="H8" i="34"/>
  <c r="E97" i="34"/>
  <c r="E156" i="34"/>
  <c r="F156" i="34" s="1"/>
  <c r="G156" i="34" s="1"/>
  <c r="E154" i="34"/>
  <c r="E152" i="34"/>
  <c r="E150" i="34"/>
  <c r="E148" i="34"/>
  <c r="F148" i="34" s="1"/>
  <c r="G148" i="34" s="1"/>
  <c r="E146" i="34"/>
  <c r="E144" i="34"/>
  <c r="E142" i="34"/>
  <c r="E140" i="34"/>
  <c r="F140" i="34" s="1"/>
  <c r="G140" i="34" s="1"/>
  <c r="E138" i="34"/>
  <c r="E136" i="34"/>
  <c r="E134" i="34"/>
  <c r="E132" i="34"/>
  <c r="E130" i="34"/>
  <c r="E128" i="34"/>
  <c r="E126" i="34"/>
  <c r="E124" i="34"/>
  <c r="E122" i="34"/>
  <c r="F122" i="34" s="1"/>
  <c r="G122" i="34" s="1"/>
  <c r="E120" i="34"/>
  <c r="H116" i="34"/>
  <c r="H114" i="34"/>
  <c r="H112" i="34"/>
  <c r="H108" i="34"/>
  <c r="H106" i="34"/>
  <c r="H104" i="34"/>
  <c r="H100" i="34"/>
  <c r="H98" i="34"/>
  <c r="D95" i="34"/>
  <c r="D87" i="34"/>
  <c r="D79" i="34"/>
  <c r="D71" i="34"/>
  <c r="D63" i="34"/>
  <c r="D55" i="34"/>
  <c r="D47" i="34"/>
  <c r="D39" i="34"/>
  <c r="D31" i="34"/>
  <c r="D23" i="34"/>
  <c r="D15" i="34"/>
  <c r="D7" i="34"/>
  <c r="E91" i="34"/>
  <c r="E83" i="34"/>
  <c r="E75" i="34"/>
  <c r="E67" i="34"/>
  <c r="E59" i="34"/>
  <c r="E51" i="34"/>
  <c r="E43" i="34"/>
  <c r="E35" i="34"/>
  <c r="E27" i="34"/>
  <c r="E19" i="34"/>
  <c r="E11" i="34"/>
  <c r="H95" i="34"/>
  <c r="H87" i="34"/>
  <c r="H79" i="34"/>
  <c r="H71" i="34"/>
  <c r="H63" i="34"/>
  <c r="H55" i="34"/>
  <c r="H47" i="34"/>
  <c r="H39" i="34"/>
  <c r="H31" i="34"/>
  <c r="H23" i="34"/>
  <c r="H15" i="34"/>
  <c r="H7" i="34"/>
  <c r="D154" i="34"/>
  <c r="D152" i="34"/>
  <c r="D132" i="34"/>
  <c r="D128" i="34"/>
  <c r="E118" i="34"/>
  <c r="E116" i="34"/>
  <c r="E114" i="34"/>
  <c r="E112" i="34"/>
  <c r="E110" i="34"/>
  <c r="E108" i="34"/>
  <c r="E106" i="34"/>
  <c r="E104" i="34"/>
  <c r="E102" i="34"/>
  <c r="E98" i="34"/>
  <c r="F162" i="1"/>
  <c r="G162" i="1" s="1"/>
  <c r="D4" i="34"/>
  <c r="H115" i="34"/>
  <c r="D94" i="34"/>
  <c r="D86" i="34"/>
  <c r="D78" i="34"/>
  <c r="D70" i="34"/>
  <c r="D62" i="34"/>
  <c r="D54" i="34"/>
  <c r="D46" i="34"/>
  <c r="D38" i="34"/>
  <c r="D30" i="34"/>
  <c r="D22" i="34"/>
  <c r="D14" i="34"/>
  <c r="D6" i="34"/>
  <c r="E90" i="34"/>
  <c r="E82" i="34"/>
  <c r="E74" i="34"/>
  <c r="E66" i="34"/>
  <c r="E58" i="34"/>
  <c r="E50" i="34"/>
  <c r="E42" i="34"/>
  <c r="E34" i="34"/>
  <c r="E26" i="34"/>
  <c r="E18" i="34"/>
  <c r="E10" i="34"/>
  <c r="H94" i="34"/>
  <c r="H86" i="34"/>
  <c r="H78" i="34"/>
  <c r="H70" i="34"/>
  <c r="H62" i="34"/>
  <c r="H54" i="34"/>
  <c r="H46" i="34"/>
  <c r="H38" i="34"/>
  <c r="H30" i="34"/>
  <c r="H22" i="34"/>
  <c r="H14" i="34"/>
  <c r="H6" i="34"/>
  <c r="D118" i="34"/>
  <c r="D114" i="34"/>
  <c r="D110" i="34"/>
  <c r="D106" i="34"/>
  <c r="D104" i="34"/>
  <c r="D102" i="34"/>
  <c r="D98" i="34"/>
  <c r="E164" i="34"/>
  <c r="F164" i="34" s="1"/>
  <c r="G164" i="34" s="1"/>
  <c r="E153" i="34"/>
  <c r="E145" i="34"/>
  <c r="E137" i="34"/>
  <c r="E129" i="34"/>
  <c r="E121" i="34"/>
  <c r="F121" i="34" s="1"/>
  <c r="G121" i="34" s="1"/>
  <c r="H99" i="34"/>
  <c r="D93" i="34"/>
  <c r="D85" i="34"/>
  <c r="D77" i="34"/>
  <c r="D69" i="34"/>
  <c r="D61" i="34"/>
  <c r="D53" i="34"/>
  <c r="D45" i="34"/>
  <c r="D37" i="34"/>
  <c r="D29" i="34"/>
  <c r="D21" i="34"/>
  <c r="D13" i="34"/>
  <c r="E4" i="34"/>
  <c r="E89" i="34"/>
  <c r="E81" i="34"/>
  <c r="E73" i="34"/>
  <c r="E65" i="34"/>
  <c r="E57" i="34"/>
  <c r="E49" i="34"/>
  <c r="E41" i="34"/>
  <c r="E33" i="34"/>
  <c r="E25" i="34"/>
  <c r="E17" i="34"/>
  <c r="E9" i="34"/>
  <c r="H93" i="34"/>
  <c r="H85" i="34"/>
  <c r="H77" i="34"/>
  <c r="H69" i="34"/>
  <c r="H61" i="34"/>
  <c r="H53" i="34"/>
  <c r="H45" i="34"/>
  <c r="H37" i="34"/>
  <c r="H29" i="34"/>
  <c r="H21" i="34"/>
  <c r="H13" i="34"/>
  <c r="H96" i="34"/>
  <c r="H155" i="34"/>
  <c r="H153" i="34"/>
  <c r="H151" i="34"/>
  <c r="H149" i="34"/>
  <c r="H147" i="34"/>
  <c r="H145" i="34"/>
  <c r="H143" i="34"/>
  <c r="H141" i="34"/>
  <c r="H139" i="34"/>
  <c r="H137" i="34"/>
  <c r="H135" i="34"/>
  <c r="H133" i="34"/>
  <c r="H131" i="34"/>
  <c r="H129" i="34"/>
  <c r="H127" i="34"/>
  <c r="H125" i="34"/>
  <c r="H123" i="34"/>
  <c r="H121" i="34"/>
  <c r="H119" i="34"/>
  <c r="E163" i="34"/>
  <c r="F163" i="34" s="1"/>
  <c r="G163" i="34" s="1"/>
  <c r="F160" i="1"/>
  <c r="G160" i="1" s="1"/>
  <c r="H161" i="34"/>
  <c r="E161" i="34"/>
  <c r="F161" i="34" s="1"/>
  <c r="G161" i="34" s="1"/>
  <c r="H157" i="34"/>
  <c r="J115" i="27"/>
  <c r="J112" i="27"/>
  <c r="J63" i="27"/>
  <c r="J75" i="27"/>
  <c r="J81" i="27"/>
  <c r="I158" i="29"/>
  <c r="J158" i="29" s="1"/>
  <c r="J124" i="27"/>
  <c r="J123" i="27"/>
  <c r="J133" i="27"/>
  <c r="J132" i="27"/>
  <c r="J128" i="27"/>
  <c r="J100" i="27"/>
  <c r="F2" i="27"/>
  <c r="G2" i="27" s="1"/>
  <c r="F120" i="29"/>
  <c r="G120" i="29" s="1"/>
  <c r="F117" i="29"/>
  <c r="G117" i="29" s="1"/>
  <c r="F116" i="29"/>
  <c r="G116" i="29" s="1"/>
  <c r="F115" i="29"/>
  <c r="G115" i="29" s="1"/>
  <c r="F113" i="29"/>
  <c r="G113" i="29" s="1"/>
  <c r="F112" i="29"/>
  <c r="G112" i="29" s="1"/>
  <c r="F107" i="29"/>
  <c r="G107" i="29" s="1"/>
  <c r="J15" i="27"/>
  <c r="J152" i="27"/>
  <c r="J135" i="27"/>
  <c r="J130" i="27"/>
  <c r="J120" i="27"/>
  <c r="J109" i="27"/>
  <c r="J97" i="27"/>
  <c r="J86" i="27"/>
  <c r="J79" i="27"/>
  <c r="J59" i="27"/>
  <c r="D116" i="34"/>
  <c r="J10" i="27"/>
  <c r="J156" i="27"/>
  <c r="J151" i="27"/>
  <c r="J134" i="27"/>
  <c r="J129" i="27"/>
  <c r="J101" i="27"/>
  <c r="J96" i="27"/>
  <c r="J78" i="27"/>
  <c r="J68" i="27"/>
  <c r="F96" i="29"/>
  <c r="G96" i="29" s="1"/>
  <c r="F151" i="29"/>
  <c r="G151" i="29" s="1"/>
  <c r="F143" i="29"/>
  <c r="G143" i="29" s="1"/>
  <c r="F135" i="29"/>
  <c r="G135" i="29" s="1"/>
  <c r="D112" i="34"/>
  <c r="F103" i="29"/>
  <c r="G103" i="29" s="1"/>
  <c r="F101" i="29"/>
  <c r="G101" i="29" s="1"/>
  <c r="J57" i="27"/>
  <c r="I2" i="27"/>
  <c r="J2" i="27" s="1"/>
  <c r="J6" i="27"/>
  <c r="J142" i="27"/>
  <c r="J121" i="27"/>
  <c r="J110" i="27"/>
  <c r="J87" i="27"/>
  <c r="J70" i="27"/>
  <c r="J60" i="27"/>
  <c r="F156" i="29"/>
  <c r="G156" i="29" s="1"/>
  <c r="F104" i="29"/>
  <c r="G104" i="29" s="1"/>
  <c r="J115" i="29"/>
  <c r="J92" i="29"/>
  <c r="I120" i="34"/>
  <c r="J120" i="29"/>
  <c r="J19" i="29"/>
  <c r="J134" i="29"/>
  <c r="J129" i="29"/>
  <c r="J101" i="29"/>
  <c r="J84" i="29"/>
  <c r="J123" i="29"/>
  <c r="J133" i="29"/>
  <c r="I128" i="34"/>
  <c r="J128" i="29"/>
  <c r="J100" i="29"/>
  <c r="J11" i="29"/>
  <c r="J105" i="29"/>
  <c r="J99" i="29"/>
  <c r="J76" i="29"/>
  <c r="J104" i="29"/>
  <c r="I83" i="29"/>
  <c r="J83" i="29" s="1"/>
  <c r="I66" i="29"/>
  <c r="I50" i="29"/>
  <c r="J50" i="29" s="1"/>
  <c r="I42" i="29"/>
  <c r="I34" i="29"/>
  <c r="I26" i="29"/>
  <c r="I18" i="29"/>
  <c r="I150" i="29"/>
  <c r="J54" i="27"/>
  <c r="J45" i="27"/>
  <c r="J36" i="27"/>
  <c r="J31" i="27"/>
  <c r="J27" i="27"/>
  <c r="J22" i="27"/>
  <c r="I90" i="29"/>
  <c r="J90" i="29" s="1"/>
  <c r="I74" i="29"/>
  <c r="I65" i="29"/>
  <c r="I49" i="29"/>
  <c r="J49" i="29" s="1"/>
  <c r="I41" i="29"/>
  <c r="J41" i="29" s="1"/>
  <c r="I33" i="29"/>
  <c r="I25" i="29"/>
  <c r="I17" i="29"/>
  <c r="I9" i="29"/>
  <c r="D103" i="34"/>
  <c r="F97" i="29"/>
  <c r="G97" i="29" s="1"/>
  <c r="I153" i="29"/>
  <c r="F152" i="29"/>
  <c r="G152" i="29" s="1"/>
  <c r="F144" i="29"/>
  <c r="G144" i="29" s="1"/>
  <c r="F136" i="29"/>
  <c r="G136" i="29" s="1"/>
  <c r="F123" i="29"/>
  <c r="G123" i="29" s="1"/>
  <c r="I117" i="29"/>
  <c r="I113" i="29"/>
  <c r="F108" i="29"/>
  <c r="G108" i="29" s="1"/>
  <c r="J12" i="27"/>
  <c r="I89" i="29"/>
  <c r="I73" i="29"/>
  <c r="I73" i="34" s="1"/>
  <c r="I56" i="29"/>
  <c r="I48" i="29"/>
  <c r="I48" i="34" s="1"/>
  <c r="I40" i="29"/>
  <c r="I32" i="29"/>
  <c r="I24" i="29"/>
  <c r="I16" i="29"/>
  <c r="I8" i="29"/>
  <c r="I148" i="29"/>
  <c r="J148" i="29" s="1"/>
  <c r="I140" i="29"/>
  <c r="I125" i="29"/>
  <c r="F109" i="29"/>
  <c r="G109" i="29" s="1"/>
  <c r="I106" i="29"/>
  <c r="I102" i="29"/>
  <c r="J53" i="27"/>
  <c r="J44" i="27"/>
  <c r="J39" i="27"/>
  <c r="J35" i="27"/>
  <c r="J30" i="27"/>
  <c r="J21" i="27"/>
  <c r="I5" i="29"/>
  <c r="I5" i="34" s="1"/>
  <c r="I88" i="29"/>
  <c r="I80" i="29"/>
  <c r="I55" i="29"/>
  <c r="J55" i="29" s="1"/>
  <c r="I47" i="29"/>
  <c r="I23" i="29"/>
  <c r="F158" i="29"/>
  <c r="G158" i="29" s="1"/>
  <c r="F150" i="29"/>
  <c r="G150" i="29" s="1"/>
  <c r="F142" i="29"/>
  <c r="G142" i="29" s="1"/>
  <c r="F134" i="29"/>
  <c r="G134" i="29" s="1"/>
  <c r="F128" i="29"/>
  <c r="G128" i="29" s="1"/>
  <c r="F124" i="29"/>
  <c r="G124" i="29" s="1"/>
  <c r="I114" i="29"/>
  <c r="F105" i="29"/>
  <c r="G105" i="29" s="1"/>
  <c r="J146" i="27"/>
  <c r="J104" i="27"/>
  <c r="J76" i="27"/>
  <c r="J71" i="27"/>
  <c r="J67" i="27"/>
  <c r="J62" i="27"/>
  <c r="I46" i="29"/>
  <c r="I38" i="29"/>
  <c r="I126" i="29"/>
  <c r="I122" i="29"/>
  <c r="I107" i="29"/>
  <c r="I103" i="29"/>
  <c r="I98" i="29"/>
  <c r="J108" i="27"/>
  <c r="J99" i="27"/>
  <c r="J94" i="27"/>
  <c r="J85" i="27"/>
  <c r="J52" i="27"/>
  <c r="J43" i="27"/>
  <c r="J29" i="27"/>
  <c r="J20" i="27"/>
  <c r="I37" i="29"/>
  <c r="I13" i="29"/>
  <c r="I157" i="29"/>
  <c r="J157" i="29" s="1"/>
  <c r="I149" i="29"/>
  <c r="F148" i="29"/>
  <c r="G148" i="29" s="1"/>
  <c r="I141" i="29"/>
  <c r="F121" i="29"/>
  <c r="G121" i="29" s="1"/>
  <c r="I111" i="29"/>
  <c r="I93" i="29"/>
  <c r="I28" i="29"/>
  <c r="I144" i="29"/>
  <c r="J144" i="29" s="1"/>
  <c r="I136" i="29"/>
  <c r="I127" i="29"/>
  <c r="I119" i="29"/>
  <c r="J119" i="29" s="1"/>
  <c r="J11" i="27"/>
  <c r="J139" i="27"/>
  <c r="J116" i="27"/>
  <c r="J84" i="27"/>
  <c r="J51" i="27"/>
  <c r="J19" i="27"/>
  <c r="D115" i="34"/>
  <c r="D96" i="34"/>
  <c r="I155" i="29"/>
  <c r="J155" i="29" s="1"/>
  <c r="F154" i="29"/>
  <c r="G154" i="29" s="1"/>
  <c r="F146" i="29"/>
  <c r="G146" i="29" s="1"/>
  <c r="I131" i="29"/>
  <c r="I131" i="34" s="1"/>
  <c r="F126" i="29"/>
  <c r="G126" i="29" s="1"/>
  <c r="F111" i="29"/>
  <c r="G111" i="29" s="1"/>
  <c r="J108" i="29"/>
  <c r="F99" i="29"/>
  <c r="G99" i="29" s="1"/>
  <c r="J67" i="29"/>
  <c r="J43" i="29"/>
  <c r="J35" i="29"/>
  <c r="J96" i="29"/>
  <c r="J151" i="29"/>
  <c r="J143" i="29"/>
  <c r="J75" i="29"/>
  <c r="J58" i="29"/>
  <c r="J154" i="29"/>
  <c r="F153" i="29"/>
  <c r="G153" i="29" s="1"/>
  <c r="D153" i="34"/>
  <c r="J146" i="29"/>
  <c r="F145" i="29"/>
  <c r="G145" i="29" s="1"/>
  <c r="D145" i="34"/>
  <c r="J138" i="29"/>
  <c r="F137" i="29"/>
  <c r="G137" i="29" s="1"/>
  <c r="D137" i="34"/>
  <c r="F100" i="29"/>
  <c r="G100" i="29" s="1"/>
  <c r="E100" i="34"/>
  <c r="J82" i="29"/>
  <c r="J57" i="29"/>
  <c r="J9" i="29"/>
  <c r="D97" i="34"/>
  <c r="F140" i="29"/>
  <c r="G140" i="29" s="1"/>
  <c r="F132" i="29"/>
  <c r="G132" i="29" s="1"/>
  <c r="F129" i="29"/>
  <c r="G129" i="29" s="1"/>
  <c r="D129" i="34"/>
  <c r="F125" i="29"/>
  <c r="G125" i="29" s="1"/>
  <c r="H118" i="34"/>
  <c r="H110" i="34"/>
  <c r="H102" i="34"/>
  <c r="J64" i="29"/>
  <c r="J56" i="29"/>
  <c r="J40" i="29"/>
  <c r="J97" i="29"/>
  <c r="J152" i="29"/>
  <c r="F118" i="29"/>
  <c r="G118" i="29" s="1"/>
  <c r="F110" i="29"/>
  <c r="G110" i="29" s="1"/>
  <c r="F102" i="29"/>
  <c r="G102" i="29" s="1"/>
  <c r="J80" i="29"/>
  <c r="J72" i="29"/>
  <c r="J63" i="29"/>
  <c r="J39" i="29"/>
  <c r="J31" i="29"/>
  <c r="J15" i="29"/>
  <c r="J7" i="29"/>
  <c r="D134" i="34"/>
  <c r="D124" i="34"/>
  <c r="F138" i="29"/>
  <c r="G138" i="29" s="1"/>
  <c r="D138" i="34"/>
  <c r="F130" i="29"/>
  <c r="G130" i="29" s="1"/>
  <c r="D130" i="34"/>
  <c r="J95" i="29"/>
  <c r="J87" i="29"/>
  <c r="J79" i="29"/>
  <c r="J71" i="29"/>
  <c r="J54" i="29"/>
  <c r="J46" i="29"/>
  <c r="J30" i="29"/>
  <c r="J22" i="29"/>
  <c r="J14" i="29"/>
  <c r="F157" i="29"/>
  <c r="G157" i="29" s="1"/>
  <c r="F149" i="29"/>
  <c r="G149" i="29" s="1"/>
  <c r="F141" i="29"/>
  <c r="G141" i="29" s="1"/>
  <c r="F133" i="29"/>
  <c r="G133" i="29" s="1"/>
  <c r="J94" i="29"/>
  <c r="J86" i="29"/>
  <c r="J70" i="29"/>
  <c r="J61" i="29"/>
  <c r="J53" i="29"/>
  <c r="J21" i="29"/>
  <c r="D142" i="34"/>
  <c r="J153" i="29"/>
  <c r="F127" i="29"/>
  <c r="G127" i="29" s="1"/>
  <c r="J85" i="29"/>
  <c r="J77" i="29"/>
  <c r="J68" i="29"/>
  <c r="J60" i="29"/>
  <c r="J52" i="29"/>
  <c r="J44" i="29"/>
  <c r="J36" i="29"/>
  <c r="J20" i="29"/>
  <c r="D150" i="34"/>
  <c r="D108" i="34"/>
  <c r="F155" i="29"/>
  <c r="G155" i="29" s="1"/>
  <c r="F147" i="29"/>
  <c r="G147" i="29" s="1"/>
  <c r="J140" i="29"/>
  <c r="F139" i="29"/>
  <c r="G139" i="29" s="1"/>
  <c r="F131" i="29"/>
  <c r="G131" i="29" s="1"/>
  <c r="J137" i="29"/>
  <c r="J132" i="29"/>
  <c r="J116" i="29"/>
  <c r="F122" i="29"/>
  <c r="G122" i="29" s="1"/>
  <c r="F114" i="29"/>
  <c r="G114" i="29" s="1"/>
  <c r="F106" i="29"/>
  <c r="G106" i="29" s="1"/>
  <c r="F98" i="29"/>
  <c r="G98" i="29" s="1"/>
  <c r="J69" i="26"/>
  <c r="I69" i="29"/>
  <c r="J136" i="20"/>
  <c r="I136" i="18"/>
  <c r="J135" i="20"/>
  <c r="I135" i="18"/>
  <c r="J135" i="18" s="1"/>
  <c r="J134" i="20"/>
  <c r="I134" i="18"/>
  <c r="J130" i="18"/>
  <c r="J129" i="20"/>
  <c r="I129" i="18"/>
  <c r="J129" i="18" s="1"/>
  <c r="J127" i="20"/>
  <c r="I127" i="18"/>
  <c r="J127" i="18" s="1"/>
  <c r="J126" i="20"/>
  <c r="I126" i="18"/>
  <c r="J125" i="20"/>
  <c r="I125" i="18"/>
  <c r="J125" i="18" s="1"/>
  <c r="J123" i="20"/>
  <c r="I123" i="18"/>
  <c r="J123" i="18" s="1"/>
  <c r="J117" i="20"/>
  <c r="I117" i="18"/>
  <c r="J117" i="18" s="1"/>
  <c r="J109" i="20"/>
  <c r="I109" i="18"/>
  <c r="J109" i="18" s="1"/>
  <c r="J101" i="20"/>
  <c r="I101" i="18"/>
  <c r="J101" i="18" s="1"/>
  <c r="J97" i="20"/>
  <c r="I97" i="18"/>
  <c r="J97" i="18" s="1"/>
  <c r="J91" i="20"/>
  <c r="I91" i="18"/>
  <c r="J91" i="18" s="1"/>
  <c r="J90" i="20"/>
  <c r="I90" i="18"/>
  <c r="J90" i="18" s="1"/>
  <c r="J87" i="20"/>
  <c r="I87" i="18"/>
  <c r="J87" i="18" s="1"/>
  <c r="J86" i="20"/>
  <c r="I86" i="18"/>
  <c r="J86" i="18" s="1"/>
  <c r="J85" i="20"/>
  <c r="I85" i="18"/>
  <c r="J85" i="18" s="1"/>
  <c r="J81" i="20"/>
  <c r="I81" i="18"/>
  <c r="J81" i="18" s="1"/>
  <c r="J80" i="20"/>
  <c r="I80" i="18"/>
  <c r="J80" i="18" s="1"/>
  <c r="J72" i="20"/>
  <c r="I72" i="18"/>
  <c r="J72" i="18" s="1"/>
  <c r="J65" i="20"/>
  <c r="I65" i="18"/>
  <c r="J65" i="18" s="1"/>
  <c r="J64" i="20"/>
  <c r="I64" i="18"/>
  <c r="J64" i="18" s="1"/>
  <c r="J63" i="20"/>
  <c r="I63" i="18"/>
  <c r="J63" i="18" s="1"/>
  <c r="J62" i="20"/>
  <c r="I62" i="18"/>
  <c r="J62" i="18" s="1"/>
  <c r="J61" i="20"/>
  <c r="I61" i="18"/>
  <c r="J61" i="18" s="1"/>
  <c r="J60" i="20"/>
  <c r="I60" i="18"/>
  <c r="J60" i="18" s="1"/>
  <c r="J58" i="20"/>
  <c r="I58" i="18"/>
  <c r="J58" i="18" s="1"/>
  <c r="J57" i="20"/>
  <c r="I57" i="18"/>
  <c r="J57" i="18" s="1"/>
  <c r="J56" i="20"/>
  <c r="I56" i="18"/>
  <c r="J56" i="18" s="1"/>
  <c r="J54" i="20"/>
  <c r="I54" i="18"/>
  <c r="J54" i="18" s="1"/>
  <c r="J52" i="20"/>
  <c r="I52" i="18"/>
  <c r="J52" i="18" s="1"/>
  <c r="J51" i="20"/>
  <c r="I51" i="18"/>
  <c r="J51" i="18" s="1"/>
  <c r="J46" i="20"/>
  <c r="I46" i="18"/>
  <c r="J46" i="18" s="1"/>
  <c r="J45" i="20"/>
  <c r="I45" i="18"/>
  <c r="J45" i="18" s="1"/>
  <c r="J44" i="20"/>
  <c r="I44" i="18"/>
  <c r="J44" i="18" s="1"/>
  <c r="J43" i="20"/>
  <c r="I43" i="18"/>
  <c r="J43" i="18" s="1"/>
  <c r="J42" i="20"/>
  <c r="I42" i="18"/>
  <c r="J42" i="18" s="1"/>
  <c r="J41" i="20"/>
  <c r="I41" i="18"/>
  <c r="J41" i="18" s="1"/>
  <c r="J40" i="20"/>
  <c r="I40" i="18"/>
  <c r="J40" i="18" s="1"/>
  <c r="J39" i="20"/>
  <c r="I39" i="18"/>
  <c r="J39" i="18" s="1"/>
  <c r="J38" i="20"/>
  <c r="I38" i="18"/>
  <c r="J38" i="18" s="1"/>
  <c r="J37" i="20"/>
  <c r="I37" i="18"/>
  <c r="J37" i="18" s="1"/>
  <c r="J36" i="20"/>
  <c r="I36" i="18"/>
  <c r="J36" i="18" s="1"/>
  <c r="J35" i="20"/>
  <c r="I35" i="18"/>
  <c r="J35" i="18" s="1"/>
  <c r="J34" i="20"/>
  <c r="I34" i="18"/>
  <c r="J34" i="18" s="1"/>
  <c r="J33" i="20"/>
  <c r="I33" i="18"/>
  <c r="J33" i="18" s="1"/>
  <c r="J32" i="20"/>
  <c r="I32" i="18"/>
  <c r="J32" i="18" s="1"/>
  <c r="J31" i="20"/>
  <c r="I31" i="18"/>
  <c r="J31" i="18" s="1"/>
  <c r="J30" i="20"/>
  <c r="I30" i="18"/>
  <c r="J30" i="18" s="1"/>
  <c r="J29" i="20"/>
  <c r="I29" i="18"/>
  <c r="J29" i="18" s="1"/>
  <c r="J27" i="20"/>
  <c r="I27" i="18"/>
  <c r="J27" i="18" s="1"/>
  <c r="J26" i="20"/>
  <c r="I26" i="18"/>
  <c r="J26" i="18" s="1"/>
  <c r="J25" i="20"/>
  <c r="I25" i="18"/>
  <c r="J25" i="18" s="1"/>
  <c r="J24" i="20"/>
  <c r="I24" i="18"/>
  <c r="J24" i="18" s="1"/>
  <c r="J23" i="20"/>
  <c r="I23" i="18"/>
  <c r="J23" i="18" s="1"/>
  <c r="J22" i="20"/>
  <c r="I22" i="18"/>
  <c r="J22" i="18" s="1"/>
  <c r="J21" i="20"/>
  <c r="I21" i="18"/>
  <c r="J21" i="18" s="1"/>
  <c r="J20" i="20"/>
  <c r="I20" i="18"/>
  <c r="J20" i="18" s="1"/>
  <c r="J18" i="20"/>
  <c r="I18" i="18"/>
  <c r="J18" i="18" s="1"/>
  <c r="J16" i="20"/>
  <c r="I16" i="18"/>
  <c r="J16" i="18" s="1"/>
  <c r="J15" i="20"/>
  <c r="I15" i="18"/>
  <c r="J15" i="18" s="1"/>
  <c r="J14" i="20"/>
  <c r="I14" i="18"/>
  <c r="J14" i="18" s="1"/>
  <c r="J13" i="20"/>
  <c r="I13" i="18"/>
  <c r="J13" i="18" s="1"/>
  <c r="J12" i="20"/>
  <c r="I12" i="18"/>
  <c r="J12" i="18" s="1"/>
  <c r="J11" i="20"/>
  <c r="I11" i="18"/>
  <c r="J11" i="18" s="1"/>
  <c r="J10" i="20"/>
  <c r="I10" i="18"/>
  <c r="J10" i="18" s="1"/>
  <c r="J9" i="20"/>
  <c r="I9" i="18"/>
  <c r="J9" i="18" s="1"/>
  <c r="J8" i="20"/>
  <c r="I8" i="18"/>
  <c r="J8" i="18" s="1"/>
  <c r="J6" i="20"/>
  <c r="I6" i="18"/>
  <c r="J6" i="18" s="1"/>
  <c r="J5" i="20"/>
  <c r="I5" i="18"/>
  <c r="J4" i="20"/>
  <c r="I4" i="18"/>
  <c r="J4" i="18" s="1"/>
  <c r="I158" i="18"/>
  <c r="J158" i="18" s="1"/>
  <c r="I157" i="18"/>
  <c r="J157" i="18" s="1"/>
  <c r="I156" i="18"/>
  <c r="J156" i="18" s="1"/>
  <c r="I155" i="18"/>
  <c r="J155" i="18" s="1"/>
  <c r="I154" i="18"/>
  <c r="J154" i="18" s="1"/>
  <c r="I153" i="18"/>
  <c r="J153" i="18" s="1"/>
  <c r="I152" i="18"/>
  <c r="J152" i="18" s="1"/>
  <c r="J151" i="20"/>
  <c r="I151" i="18"/>
  <c r="J151" i="18" s="1"/>
  <c r="J150" i="20"/>
  <c r="I150" i="18"/>
  <c r="J150" i="18" s="1"/>
  <c r="J149" i="20"/>
  <c r="I149" i="18"/>
  <c r="J149" i="18" s="1"/>
  <c r="J148" i="20"/>
  <c r="I148" i="18"/>
  <c r="J148" i="18" s="1"/>
  <c r="J147" i="20"/>
  <c r="I147" i="18"/>
  <c r="J147" i="18" s="1"/>
  <c r="I146" i="18"/>
  <c r="J146" i="18" s="1"/>
  <c r="J146" i="20"/>
  <c r="I145" i="18"/>
  <c r="J145" i="18" s="1"/>
  <c r="J145" i="20"/>
  <c r="I144" i="18"/>
  <c r="J144" i="18" s="1"/>
  <c r="J144" i="20"/>
  <c r="I143" i="18"/>
  <c r="J143" i="18" s="1"/>
  <c r="J143" i="20"/>
  <c r="I142" i="18"/>
  <c r="J142" i="18" s="1"/>
  <c r="J142" i="20"/>
  <c r="I141" i="18"/>
  <c r="J141" i="18" s="1"/>
  <c r="J141" i="20"/>
  <c r="J140" i="20"/>
  <c r="I140" i="18"/>
  <c r="J140" i="18" s="1"/>
  <c r="J137" i="20"/>
  <c r="I137" i="18"/>
  <c r="J137" i="18" s="1"/>
  <c r="J118" i="20"/>
  <c r="I118" i="18"/>
  <c r="J118" i="18" s="1"/>
  <c r="J28" i="20"/>
  <c r="I28" i="18"/>
  <c r="J28" i="18" s="1"/>
  <c r="F95" i="29"/>
  <c r="G95" i="29" s="1"/>
  <c r="F94" i="29"/>
  <c r="G94" i="29" s="1"/>
  <c r="F93" i="29"/>
  <c r="G93" i="29" s="1"/>
  <c r="F92" i="29"/>
  <c r="G92" i="29" s="1"/>
  <c r="F91" i="29"/>
  <c r="G91" i="29" s="1"/>
  <c r="F90" i="29"/>
  <c r="G90" i="29" s="1"/>
  <c r="F89" i="29"/>
  <c r="G89" i="29" s="1"/>
  <c r="F88" i="29"/>
  <c r="G88" i="29" s="1"/>
  <c r="F87" i="29"/>
  <c r="G87" i="29" s="1"/>
  <c r="F86" i="29"/>
  <c r="G86" i="29" s="1"/>
  <c r="F85" i="29"/>
  <c r="G85" i="29" s="1"/>
  <c r="F84" i="29"/>
  <c r="G84" i="29" s="1"/>
  <c r="F83" i="29"/>
  <c r="G83" i="29" s="1"/>
  <c r="F82" i="29"/>
  <c r="G82" i="29" s="1"/>
  <c r="F81" i="29"/>
  <c r="G81" i="29" s="1"/>
  <c r="F80" i="29"/>
  <c r="G80" i="29" s="1"/>
  <c r="F79" i="29"/>
  <c r="G79" i="29" s="1"/>
  <c r="F78" i="29"/>
  <c r="G78" i="29" s="1"/>
  <c r="F77" i="29"/>
  <c r="G77" i="29" s="1"/>
  <c r="F76" i="29"/>
  <c r="G76" i="29" s="1"/>
  <c r="F75" i="29"/>
  <c r="F74" i="29"/>
  <c r="G74" i="29" s="1"/>
  <c r="F73" i="29"/>
  <c r="G73" i="29" s="1"/>
  <c r="F72" i="29"/>
  <c r="G72" i="29" s="1"/>
  <c r="F71" i="29"/>
  <c r="G71" i="29" s="1"/>
  <c r="F70" i="29"/>
  <c r="G70" i="29" s="1"/>
  <c r="F69" i="29"/>
  <c r="G69" i="29" s="1"/>
  <c r="F68" i="29"/>
  <c r="G68" i="29" s="1"/>
  <c r="F67" i="29"/>
  <c r="F66" i="29"/>
  <c r="G66" i="29" s="1"/>
  <c r="F65" i="29"/>
  <c r="G65" i="29" s="1"/>
  <c r="F64" i="29"/>
  <c r="G64" i="29" s="1"/>
  <c r="F63" i="29"/>
  <c r="G63" i="29" s="1"/>
  <c r="F62" i="29"/>
  <c r="G62" i="29" s="1"/>
  <c r="F61" i="29"/>
  <c r="G61" i="29" s="1"/>
  <c r="F60" i="29"/>
  <c r="F59" i="29"/>
  <c r="G59" i="29" s="1"/>
  <c r="F58" i="29"/>
  <c r="G58" i="29" s="1"/>
  <c r="F57" i="29"/>
  <c r="G57" i="29" s="1"/>
  <c r="F56" i="29"/>
  <c r="G56" i="29" s="1"/>
  <c r="F55" i="29"/>
  <c r="G55" i="29" s="1"/>
  <c r="F54" i="29"/>
  <c r="G54" i="29" s="1"/>
  <c r="F53" i="29"/>
  <c r="G53" i="29" s="1"/>
  <c r="F52" i="29"/>
  <c r="G52" i="29" s="1"/>
  <c r="F51" i="29"/>
  <c r="F50" i="29"/>
  <c r="G50" i="29" s="1"/>
  <c r="F49" i="29"/>
  <c r="F48" i="29"/>
  <c r="G48" i="29" s="1"/>
  <c r="F47" i="29"/>
  <c r="G47" i="29" s="1"/>
  <c r="F46" i="29"/>
  <c r="G46" i="29" s="1"/>
  <c r="F45" i="29"/>
  <c r="G45" i="29" s="1"/>
  <c r="F44" i="29"/>
  <c r="G44" i="29" s="1"/>
  <c r="F43" i="29"/>
  <c r="G43" i="29" s="1"/>
  <c r="F42" i="29"/>
  <c r="G42" i="29" s="1"/>
  <c r="F41" i="29"/>
  <c r="G41" i="29" s="1"/>
  <c r="F40" i="29"/>
  <c r="G40" i="29" s="1"/>
  <c r="F39" i="29"/>
  <c r="G39" i="29" s="1"/>
  <c r="F38" i="29"/>
  <c r="G38" i="29" s="1"/>
  <c r="F37" i="29"/>
  <c r="G37" i="29" s="1"/>
  <c r="F36" i="29"/>
  <c r="G36" i="29" s="1"/>
  <c r="F35" i="29"/>
  <c r="G35" i="29" s="1"/>
  <c r="F34" i="29"/>
  <c r="G34" i="29" s="1"/>
  <c r="F33" i="29"/>
  <c r="F32" i="29"/>
  <c r="G32" i="29" s="1"/>
  <c r="F31" i="29"/>
  <c r="G31" i="29" s="1"/>
  <c r="F30" i="29"/>
  <c r="G30" i="29" s="1"/>
  <c r="F29" i="29"/>
  <c r="G29" i="29" s="1"/>
  <c r="F28" i="29"/>
  <c r="G28" i="29" s="1"/>
  <c r="F27" i="29"/>
  <c r="G27" i="29" s="1"/>
  <c r="F26" i="29"/>
  <c r="G26" i="29" s="1"/>
  <c r="F25" i="29"/>
  <c r="G25" i="29" s="1"/>
  <c r="F24" i="29"/>
  <c r="G24" i="29" s="1"/>
  <c r="F23" i="29"/>
  <c r="G23" i="29" s="1"/>
  <c r="F22" i="29"/>
  <c r="G22" i="29" s="1"/>
  <c r="F21" i="29"/>
  <c r="G21" i="29" s="1"/>
  <c r="F20" i="29"/>
  <c r="F19" i="29"/>
  <c r="F18" i="29"/>
  <c r="G18" i="29" s="1"/>
  <c r="F17" i="29"/>
  <c r="G17" i="29" s="1"/>
  <c r="F16" i="29"/>
  <c r="G16" i="29" s="1"/>
  <c r="F15" i="29"/>
  <c r="G15" i="29" s="1"/>
  <c r="F14" i="29"/>
  <c r="G14" i="29" s="1"/>
  <c r="F13" i="29"/>
  <c r="G13" i="29" s="1"/>
  <c r="F12" i="29"/>
  <c r="G12" i="29" s="1"/>
  <c r="F11" i="29"/>
  <c r="F10" i="29"/>
  <c r="G10" i="29" s="1"/>
  <c r="F9" i="29"/>
  <c r="G9" i="29" s="1"/>
  <c r="F8" i="29"/>
  <c r="G8" i="29" s="1"/>
  <c r="F7" i="29"/>
  <c r="G7" i="29" s="1"/>
  <c r="F6" i="29"/>
  <c r="G6" i="29" s="1"/>
  <c r="F109" i="18"/>
  <c r="G109" i="18" s="1"/>
  <c r="J118" i="1"/>
  <c r="F147" i="30"/>
  <c r="G147" i="30" s="1"/>
  <c r="F49" i="30"/>
  <c r="G49" i="30" s="1"/>
  <c r="F14" i="30"/>
  <c r="G14" i="30" s="1"/>
  <c r="F146" i="30"/>
  <c r="G146" i="30" s="1"/>
  <c r="F128" i="30"/>
  <c r="G128" i="30" s="1"/>
  <c r="F105" i="30"/>
  <c r="G105" i="30" s="1"/>
  <c r="F67" i="30"/>
  <c r="G67" i="30" s="1"/>
  <c r="F82" i="30"/>
  <c r="G82" i="30" s="1"/>
  <c r="F74" i="30"/>
  <c r="G74" i="30" s="1"/>
  <c r="F127" i="30"/>
  <c r="G127" i="30" s="1"/>
  <c r="F107" i="30"/>
  <c r="G107" i="30" s="1"/>
  <c r="F20" i="30"/>
  <c r="G20" i="30" s="1"/>
  <c r="F41" i="30"/>
  <c r="G41" i="30" s="1"/>
  <c r="F85" i="30"/>
  <c r="G85" i="30" s="1"/>
  <c r="F61" i="30"/>
  <c r="G61" i="30" s="1"/>
  <c r="F7" i="30"/>
  <c r="G7" i="30" s="1"/>
  <c r="F155" i="30"/>
  <c r="G155" i="30" s="1"/>
  <c r="F150" i="30"/>
  <c r="G150" i="30" s="1"/>
  <c r="F154" i="30"/>
  <c r="G154" i="30" s="1"/>
  <c r="F108" i="30"/>
  <c r="G108" i="30" s="1"/>
  <c r="F45" i="30"/>
  <c r="G45" i="30" s="1"/>
  <c r="F37" i="30"/>
  <c r="G37" i="30" s="1"/>
  <c r="F143" i="30"/>
  <c r="G143" i="30" s="1"/>
  <c r="F99" i="30"/>
  <c r="G99" i="30" s="1"/>
  <c r="F135" i="30"/>
  <c r="G135" i="30" s="1"/>
  <c r="F72" i="30"/>
  <c r="G72" i="30" s="1"/>
  <c r="F119" i="30"/>
  <c r="G119" i="30" s="1"/>
  <c r="F141" i="30"/>
  <c r="G141" i="30" s="1"/>
  <c r="F134" i="30"/>
  <c r="G134" i="30" s="1"/>
  <c r="F120" i="30"/>
  <c r="G120" i="30" s="1"/>
  <c r="F47" i="30"/>
  <c r="G47" i="30" s="1"/>
  <c r="F139" i="30"/>
  <c r="G139" i="30" s="1"/>
  <c r="G51" i="29"/>
  <c r="F31" i="30"/>
  <c r="G31" i="30" s="1"/>
  <c r="J32" i="33"/>
  <c r="F126" i="30"/>
  <c r="G126" i="30" s="1"/>
  <c r="F106" i="30"/>
  <c r="G106" i="30" s="1"/>
  <c r="F43" i="30"/>
  <c r="G43" i="30" s="1"/>
  <c r="F94" i="30"/>
  <c r="G94" i="30" s="1"/>
  <c r="F79" i="30"/>
  <c r="G79" i="30" s="1"/>
  <c r="F140" i="30"/>
  <c r="G140" i="30" s="1"/>
  <c r="F86" i="30"/>
  <c r="G86" i="30" s="1"/>
  <c r="F111" i="30"/>
  <c r="G111" i="30" s="1"/>
  <c r="F24" i="30"/>
  <c r="G24" i="30" s="1"/>
  <c r="J43" i="33"/>
  <c r="F53" i="30"/>
  <c r="G53" i="30" s="1"/>
  <c r="F30" i="30"/>
  <c r="G30" i="30" s="1"/>
  <c r="F60" i="30"/>
  <c r="G60" i="30" s="1"/>
  <c r="F6" i="30"/>
  <c r="G6" i="30" s="1"/>
  <c r="J141" i="33"/>
  <c r="J59" i="33"/>
  <c r="F118" i="30"/>
  <c r="G118" i="30" s="1"/>
  <c r="F104" i="30"/>
  <c r="G104" i="30" s="1"/>
  <c r="F29" i="30"/>
  <c r="G29" i="30" s="1"/>
  <c r="F133" i="30"/>
  <c r="G133" i="30" s="1"/>
  <c r="F51" i="30"/>
  <c r="G51" i="30" s="1"/>
  <c r="F44" i="30"/>
  <c r="G44" i="30" s="1"/>
  <c r="F28" i="30"/>
  <c r="G28" i="30" s="1"/>
  <c r="J94" i="33"/>
  <c r="F102" i="30"/>
  <c r="G102" i="30" s="1"/>
  <c r="F34" i="30"/>
  <c r="G34" i="30" s="1"/>
  <c r="F13" i="30"/>
  <c r="G13" i="30" s="1"/>
  <c r="J145" i="33"/>
  <c r="F19" i="30"/>
  <c r="G19" i="30" s="1"/>
  <c r="F100" i="30"/>
  <c r="G100" i="30" s="1"/>
  <c r="F33" i="30"/>
  <c r="G33" i="30" s="1"/>
  <c r="F83" i="30"/>
  <c r="G83" i="30" s="1"/>
  <c r="F4" i="30"/>
  <c r="G4" i="30" s="1"/>
  <c r="I30" i="34"/>
  <c r="F116" i="30"/>
  <c r="G116" i="30" s="1"/>
  <c r="F78" i="30"/>
  <c r="G78" i="30" s="1"/>
  <c r="F50" i="30"/>
  <c r="G50" i="30" s="1"/>
  <c r="J5" i="30"/>
  <c r="F142" i="30"/>
  <c r="G142" i="30" s="1"/>
  <c r="F63" i="30"/>
  <c r="G63" i="30" s="1"/>
  <c r="F26" i="30"/>
  <c r="G26" i="30" s="1"/>
  <c r="F2" i="33"/>
  <c r="G2" i="33" s="1"/>
  <c r="F88" i="30"/>
  <c r="G88" i="30" s="1"/>
  <c r="F75" i="30"/>
  <c r="G75" i="30" s="1"/>
  <c r="F25" i="30"/>
  <c r="G25" i="30" s="1"/>
  <c r="F59" i="30"/>
  <c r="G59" i="30" s="1"/>
  <c r="J16" i="32"/>
  <c r="F96" i="30"/>
  <c r="G96" i="30" s="1"/>
  <c r="F109" i="30"/>
  <c r="G109" i="30" s="1"/>
  <c r="J8" i="32"/>
  <c r="F90" i="30"/>
  <c r="G90" i="30" s="1"/>
  <c r="F77" i="30"/>
  <c r="G77" i="30" s="1"/>
  <c r="F12" i="30"/>
  <c r="G12" i="30" s="1"/>
  <c r="J45" i="32"/>
  <c r="F32" i="30"/>
  <c r="G32" i="30" s="1"/>
  <c r="J19" i="32"/>
  <c r="F89" i="30"/>
  <c r="G89" i="30" s="1"/>
  <c r="F130" i="30"/>
  <c r="G130" i="30" s="1"/>
  <c r="F18" i="30"/>
  <c r="G18" i="30" s="1"/>
  <c r="F46" i="30"/>
  <c r="G46" i="30" s="1"/>
  <c r="F39" i="30"/>
  <c r="G39" i="30" s="1"/>
  <c r="F52" i="30"/>
  <c r="G52" i="30" s="1"/>
  <c r="F114" i="30"/>
  <c r="G114" i="30" s="1"/>
  <c r="F76" i="30"/>
  <c r="G76" i="30" s="1"/>
  <c r="J102" i="32"/>
  <c r="J78" i="32"/>
  <c r="F144" i="30"/>
  <c r="G144" i="30" s="1"/>
  <c r="F113" i="30"/>
  <c r="G113" i="30" s="1"/>
  <c r="F125" i="30"/>
  <c r="G125" i="30" s="1"/>
  <c r="F152" i="30"/>
  <c r="G152" i="30" s="1"/>
  <c r="F57" i="30"/>
  <c r="G57" i="30" s="1"/>
  <c r="F23" i="30"/>
  <c r="G23" i="30" s="1"/>
  <c r="F16" i="30"/>
  <c r="G16" i="30" s="1"/>
  <c r="F9" i="30"/>
  <c r="G9" i="30" s="1"/>
  <c r="J31" i="32"/>
  <c r="F132" i="30"/>
  <c r="G132" i="30" s="1"/>
  <c r="F151" i="30"/>
  <c r="G151" i="30" s="1"/>
  <c r="F5" i="30"/>
  <c r="G5" i="30" s="1"/>
  <c r="J52" i="32"/>
  <c r="F129" i="30"/>
  <c r="G129" i="30" s="1"/>
  <c r="F145" i="30"/>
  <c r="G145" i="30" s="1"/>
  <c r="F17" i="30"/>
  <c r="G17" i="30" s="1"/>
  <c r="F56" i="30"/>
  <c r="G56" i="30" s="1"/>
  <c r="F15" i="30"/>
  <c r="G15" i="30" s="1"/>
  <c r="F62" i="30"/>
  <c r="G62" i="30" s="1"/>
  <c r="F42" i="30"/>
  <c r="G42" i="30" s="1"/>
  <c r="F110" i="30"/>
  <c r="G110" i="30" s="1"/>
  <c r="F97" i="30"/>
  <c r="G97" i="30" s="1"/>
  <c r="F58" i="30"/>
  <c r="G58" i="30" s="1"/>
  <c r="F80" i="30"/>
  <c r="G80" i="30" s="1"/>
  <c r="F98" i="30"/>
  <c r="G98" i="30" s="1"/>
  <c r="F68" i="30"/>
  <c r="G68" i="30" s="1"/>
  <c r="J134" i="31"/>
  <c r="F11" i="30"/>
  <c r="G11" i="30" s="1"/>
  <c r="J142" i="31"/>
  <c r="J97" i="31"/>
  <c r="F117" i="30"/>
  <c r="G117" i="30" s="1"/>
  <c r="F112" i="30"/>
  <c r="G112" i="30" s="1"/>
  <c r="F84" i="30"/>
  <c r="G84" i="30" s="1"/>
  <c r="J36" i="31"/>
  <c r="F136" i="30"/>
  <c r="G136" i="30" s="1"/>
  <c r="F95" i="30"/>
  <c r="G95" i="30" s="1"/>
  <c r="J106" i="31"/>
  <c r="J53" i="31"/>
  <c r="F81" i="30"/>
  <c r="G81" i="30" s="1"/>
  <c r="F123" i="30"/>
  <c r="G123" i="30" s="1"/>
  <c r="F148" i="30"/>
  <c r="G148" i="30" s="1"/>
  <c r="F115" i="30"/>
  <c r="G115" i="30" s="1"/>
  <c r="F71" i="30"/>
  <c r="G71" i="30" s="1"/>
  <c r="F36" i="30"/>
  <c r="G36" i="30" s="1"/>
  <c r="J144" i="31"/>
  <c r="F35" i="30"/>
  <c r="G35" i="30" s="1"/>
  <c r="F22" i="30"/>
  <c r="G22" i="30" s="1"/>
  <c r="F103" i="30"/>
  <c r="G103" i="30" s="1"/>
  <c r="F149" i="30"/>
  <c r="G149" i="30" s="1"/>
  <c r="F2" i="31"/>
  <c r="G2" i="31" s="1"/>
  <c r="I2" i="31"/>
  <c r="J2" i="31" s="1"/>
  <c r="F27" i="30"/>
  <c r="G27" i="30" s="1"/>
  <c r="J110" i="31"/>
  <c r="J49" i="31"/>
  <c r="J20" i="31"/>
  <c r="F137" i="30"/>
  <c r="G137" i="30" s="1"/>
  <c r="J89" i="31"/>
  <c r="F91" i="30"/>
  <c r="G91" i="30" s="1"/>
  <c r="F64" i="30"/>
  <c r="G64" i="30" s="1"/>
  <c r="F40" i="30"/>
  <c r="G40" i="30" s="1"/>
  <c r="J136" i="31"/>
  <c r="J139" i="31"/>
  <c r="J126" i="31"/>
  <c r="J95" i="27"/>
  <c r="G60" i="29"/>
  <c r="G11" i="29"/>
  <c r="J121" i="19"/>
  <c r="J130" i="19"/>
  <c r="F87" i="18"/>
  <c r="G87" i="18" s="1"/>
  <c r="F121" i="18"/>
  <c r="G121" i="18" s="1"/>
  <c r="F105" i="18"/>
  <c r="G105" i="18" s="1"/>
  <c r="F120" i="18"/>
  <c r="G120" i="18" s="1"/>
  <c r="J47" i="21"/>
  <c r="F119" i="18"/>
  <c r="G119" i="18" s="1"/>
  <c r="F117" i="18"/>
  <c r="G117" i="18" s="1"/>
  <c r="F85" i="18"/>
  <c r="G85" i="18" s="1"/>
  <c r="J57" i="26"/>
  <c r="F4" i="29"/>
  <c r="G4" i="29" s="1"/>
  <c r="J9" i="26"/>
  <c r="J8" i="26"/>
  <c r="J10" i="26"/>
  <c r="J70" i="26"/>
  <c r="J7" i="26"/>
  <c r="G49" i="29"/>
  <c r="J145" i="26"/>
  <c r="J35" i="26"/>
  <c r="J96" i="26"/>
  <c r="F5" i="29"/>
  <c r="G5" i="29" s="1"/>
  <c r="J129" i="26"/>
  <c r="J109" i="26"/>
  <c r="J108" i="26"/>
  <c r="J144" i="26"/>
  <c r="J71" i="26"/>
  <c r="J25" i="26"/>
  <c r="J142" i="26"/>
  <c r="J122" i="26"/>
  <c r="J22" i="26"/>
  <c r="J27" i="26"/>
  <c r="J23" i="26"/>
  <c r="J100" i="26"/>
  <c r="J148" i="26"/>
  <c r="J147" i="26"/>
  <c r="J146" i="26"/>
  <c r="J66" i="26"/>
  <c r="J50" i="26"/>
  <c r="J65" i="26"/>
  <c r="J49" i="26"/>
  <c r="J33" i="26"/>
  <c r="J17" i="26"/>
  <c r="G20" i="29"/>
  <c r="I2" i="4"/>
  <c r="J2" i="4" s="1"/>
  <c r="F62" i="1"/>
  <c r="G62" i="1" s="1"/>
  <c r="J81" i="1"/>
  <c r="F121" i="1"/>
  <c r="G121" i="1" s="1"/>
  <c r="F105" i="1"/>
  <c r="G105" i="1" s="1"/>
  <c r="J39" i="1"/>
  <c r="F50" i="1"/>
  <c r="G50" i="1" s="1"/>
  <c r="J24" i="1"/>
  <c r="F108" i="1"/>
  <c r="G108" i="1" s="1"/>
  <c r="F44" i="1"/>
  <c r="G44" i="1" s="1"/>
  <c r="F10" i="1"/>
  <c r="G10" i="1" s="1"/>
  <c r="F39" i="1"/>
  <c r="G39" i="1" s="1"/>
  <c r="F2" i="3"/>
  <c r="G2" i="3" s="1"/>
  <c r="J87" i="1"/>
  <c r="J151" i="1"/>
  <c r="J5" i="3"/>
  <c r="F91" i="1"/>
  <c r="G91" i="1" s="1"/>
  <c r="F128" i="1"/>
  <c r="G128" i="1" s="1"/>
  <c r="J145" i="1"/>
  <c r="J99" i="1"/>
  <c r="J62" i="1"/>
  <c r="J53" i="1"/>
  <c r="J37" i="1"/>
  <c r="J111" i="1"/>
  <c r="F107" i="1"/>
  <c r="G107" i="1" s="1"/>
  <c r="F102" i="1"/>
  <c r="G102" i="1" s="1"/>
  <c r="F137" i="1"/>
  <c r="G137" i="1" s="1"/>
  <c r="F126" i="1"/>
  <c r="G126" i="1" s="1"/>
  <c r="J153" i="1"/>
  <c r="J48" i="1"/>
  <c r="F109" i="1"/>
  <c r="G109" i="1" s="1"/>
  <c r="F88" i="1"/>
  <c r="G88" i="1" s="1"/>
  <c r="F24" i="1"/>
  <c r="G24" i="1" s="1"/>
  <c r="F146" i="1"/>
  <c r="G146" i="1" s="1"/>
  <c r="F26" i="1"/>
  <c r="G26" i="1" s="1"/>
  <c r="J36" i="1"/>
  <c r="F133" i="1"/>
  <c r="G133" i="1" s="1"/>
  <c r="F79" i="1"/>
  <c r="G79" i="1" s="1"/>
  <c r="J94" i="72"/>
  <c r="J103" i="1"/>
  <c r="F103" i="1"/>
  <c r="G103" i="1" s="1"/>
  <c r="F84" i="1"/>
  <c r="G84" i="1" s="1"/>
  <c r="J75" i="72"/>
  <c r="J41" i="1"/>
  <c r="F135" i="1"/>
  <c r="G135" i="1" s="1"/>
  <c r="J135" i="1"/>
  <c r="F153" i="1"/>
  <c r="G153" i="1" s="1"/>
  <c r="J111" i="72"/>
  <c r="J98" i="72"/>
  <c r="F7" i="1"/>
  <c r="G7" i="1" s="1"/>
  <c r="J85" i="72"/>
  <c r="F116" i="1"/>
  <c r="G116" i="1" s="1"/>
  <c r="J142" i="72"/>
  <c r="F31" i="1"/>
  <c r="G31" i="1" s="1"/>
  <c r="J102" i="72"/>
  <c r="J127" i="72"/>
  <c r="J135" i="72"/>
  <c r="F104" i="1"/>
  <c r="G104" i="1" s="1"/>
  <c r="J136" i="1"/>
  <c r="J78" i="1"/>
  <c r="F139" i="1"/>
  <c r="G139" i="1" s="1"/>
  <c r="F30" i="1"/>
  <c r="G30" i="1" s="1"/>
  <c r="F35" i="1"/>
  <c r="G35" i="1" s="1"/>
  <c r="F12" i="1"/>
  <c r="G12" i="1" s="1"/>
  <c r="F134" i="1"/>
  <c r="G134" i="1" s="1"/>
  <c r="J107" i="72"/>
  <c r="J132" i="72"/>
  <c r="J66" i="1"/>
  <c r="F117" i="1"/>
  <c r="G117" i="1" s="1"/>
  <c r="F96" i="1"/>
  <c r="G96" i="1" s="1"/>
  <c r="F48" i="1"/>
  <c r="G48" i="1" s="1"/>
  <c r="F122" i="1"/>
  <c r="G122" i="1" s="1"/>
  <c r="F106" i="1"/>
  <c r="G106" i="1" s="1"/>
  <c r="F89" i="1"/>
  <c r="G89" i="1" s="1"/>
  <c r="F63" i="1"/>
  <c r="G63" i="1" s="1"/>
  <c r="J112" i="1"/>
  <c r="J45" i="72"/>
  <c r="J40" i="72"/>
  <c r="F150" i="1"/>
  <c r="G150" i="1" s="1"/>
  <c r="J104" i="1"/>
  <c r="J106" i="1"/>
  <c r="J7" i="72"/>
  <c r="F157" i="1"/>
  <c r="G157" i="1" s="1"/>
  <c r="F142" i="1"/>
  <c r="G142" i="1" s="1"/>
  <c r="F147" i="1"/>
  <c r="G147" i="1" s="1"/>
  <c r="J110" i="72"/>
  <c r="J139" i="72"/>
  <c r="F151" i="1"/>
  <c r="G151" i="1" s="1"/>
  <c r="F149" i="1"/>
  <c r="G149" i="1" s="1"/>
  <c r="J8" i="1"/>
  <c r="J113" i="1"/>
  <c r="J43" i="1"/>
  <c r="J64" i="1"/>
  <c r="J129" i="1"/>
  <c r="F54" i="1"/>
  <c r="G54" i="1" s="1"/>
  <c r="F156" i="1"/>
  <c r="G156" i="1" s="1"/>
  <c r="F141" i="1"/>
  <c r="G141" i="1" s="1"/>
  <c r="J99" i="72"/>
  <c r="J151" i="72"/>
  <c r="J123" i="1"/>
  <c r="J127" i="1"/>
  <c r="F120" i="1"/>
  <c r="G120" i="1" s="1"/>
  <c r="F99" i="1"/>
  <c r="G99" i="1" s="1"/>
  <c r="F45" i="1"/>
  <c r="G45" i="1" s="1"/>
  <c r="F15" i="1"/>
  <c r="G15" i="1" s="1"/>
  <c r="F34" i="1"/>
  <c r="G34" i="1" s="1"/>
  <c r="F143" i="1"/>
  <c r="G143" i="1" s="1"/>
  <c r="J83" i="72"/>
  <c r="F155" i="1"/>
  <c r="G155" i="1" s="1"/>
  <c r="J121" i="72"/>
  <c r="J109" i="72"/>
  <c r="J103" i="72"/>
  <c r="F136" i="1"/>
  <c r="G136" i="1" s="1"/>
  <c r="F115" i="1"/>
  <c r="G115" i="1" s="1"/>
  <c r="F57" i="1"/>
  <c r="G57" i="1" s="1"/>
  <c r="F52" i="1"/>
  <c r="G52" i="1" s="1"/>
  <c r="J129" i="72"/>
  <c r="J149" i="72"/>
  <c r="F18" i="1"/>
  <c r="G18" i="1" s="1"/>
  <c r="F2" i="72"/>
  <c r="G2" i="72" s="1"/>
  <c r="J116" i="72"/>
  <c r="F85" i="1"/>
  <c r="G85" i="1" s="1"/>
  <c r="J121" i="1"/>
  <c r="J143" i="72"/>
  <c r="F16" i="1"/>
  <c r="G16" i="1" s="1"/>
  <c r="J60" i="72"/>
  <c r="J77" i="1"/>
  <c r="J39" i="72"/>
  <c r="F20" i="1"/>
  <c r="G20" i="1" s="1"/>
  <c r="J5" i="1"/>
  <c r="J133" i="1"/>
  <c r="J73" i="72"/>
  <c r="J71" i="72"/>
  <c r="J48" i="72"/>
  <c r="J65" i="1"/>
  <c r="F33" i="1"/>
  <c r="G33" i="1" s="1"/>
  <c r="F53" i="1"/>
  <c r="G53" i="1" s="1"/>
  <c r="F132" i="1"/>
  <c r="G132" i="1" s="1"/>
  <c r="J144" i="72"/>
  <c r="J11" i="1"/>
  <c r="F87" i="1"/>
  <c r="G87" i="1" s="1"/>
  <c r="J117" i="1"/>
  <c r="F11" i="1"/>
  <c r="G11" i="1" s="1"/>
  <c r="F70" i="1"/>
  <c r="G70" i="1" s="1"/>
  <c r="J104" i="72"/>
  <c r="J134" i="72"/>
  <c r="J23" i="72"/>
  <c r="F9" i="1"/>
  <c r="G9" i="1" s="1"/>
  <c r="J130" i="1"/>
  <c r="J74" i="1"/>
  <c r="J57" i="72"/>
  <c r="J119" i="72"/>
  <c r="J124" i="72"/>
  <c r="F123" i="1"/>
  <c r="G123" i="1" s="1"/>
  <c r="F113" i="1"/>
  <c r="G113" i="1" s="1"/>
  <c r="F92" i="1"/>
  <c r="G92" i="1" s="1"/>
  <c r="F138" i="1"/>
  <c r="G138" i="1" s="1"/>
  <c r="J63" i="72"/>
  <c r="F82" i="1"/>
  <c r="G82" i="1" s="1"/>
  <c r="F71" i="1"/>
  <c r="G71" i="1" s="1"/>
  <c r="F152" i="1"/>
  <c r="G152" i="1" s="1"/>
  <c r="F8" i="1"/>
  <c r="G8" i="1" s="1"/>
  <c r="F86" i="1"/>
  <c r="G86" i="1" s="1"/>
  <c r="F76" i="1"/>
  <c r="G76" i="1" s="1"/>
  <c r="J30" i="1"/>
  <c r="F131" i="1"/>
  <c r="G131" i="1" s="1"/>
  <c r="F38" i="1"/>
  <c r="G38" i="1" s="1"/>
  <c r="F27" i="1"/>
  <c r="G27" i="1" s="1"/>
  <c r="F22" i="1"/>
  <c r="G22" i="1" s="1"/>
  <c r="I2" i="72"/>
  <c r="J2" i="72" s="1"/>
  <c r="F73" i="1"/>
  <c r="G73" i="1" s="1"/>
  <c r="J98" i="1"/>
  <c r="J33" i="1"/>
  <c r="F93" i="1"/>
  <c r="G93" i="1" s="1"/>
  <c r="J28" i="1"/>
  <c r="J16" i="1"/>
  <c r="J126" i="1"/>
  <c r="F98" i="1"/>
  <c r="G98" i="1" s="1"/>
  <c r="F83" i="1"/>
  <c r="G83" i="1" s="1"/>
  <c r="F67" i="1"/>
  <c r="G67" i="1" s="1"/>
  <c r="F56" i="1"/>
  <c r="G56" i="1" s="1"/>
  <c r="F46" i="1"/>
  <c r="G46" i="1" s="1"/>
  <c r="F36" i="1"/>
  <c r="G36" i="1" s="1"/>
  <c r="J20" i="1"/>
  <c r="F72" i="1"/>
  <c r="G72" i="1" s="1"/>
  <c r="F61" i="1"/>
  <c r="G61" i="1" s="1"/>
  <c r="F41" i="1"/>
  <c r="G41" i="1" s="1"/>
  <c r="J16" i="72"/>
  <c r="F118" i="1"/>
  <c r="G118" i="1" s="1"/>
  <c r="F77" i="1"/>
  <c r="G77" i="1" s="1"/>
  <c r="F55" i="1"/>
  <c r="G55" i="1" s="1"/>
  <c r="F148" i="1"/>
  <c r="G148" i="1" s="1"/>
  <c r="J9" i="1"/>
  <c r="J52" i="1"/>
  <c r="J35" i="72"/>
  <c r="J97" i="1"/>
  <c r="J67" i="72"/>
  <c r="J34" i="72"/>
  <c r="J35" i="1"/>
  <c r="J18" i="72"/>
  <c r="F112" i="1"/>
  <c r="G112" i="1" s="1"/>
  <c r="J20" i="72"/>
  <c r="J33" i="72"/>
  <c r="J107" i="1"/>
  <c r="J29" i="72"/>
  <c r="J46" i="1"/>
  <c r="F100" i="1"/>
  <c r="G100" i="1" s="1"/>
  <c r="J113" i="72"/>
  <c r="J148" i="72"/>
  <c r="J137" i="72"/>
  <c r="J128" i="72"/>
  <c r="F17" i="1"/>
  <c r="G17" i="1" s="1"/>
  <c r="J54" i="72"/>
  <c r="F127" i="1"/>
  <c r="G127" i="1" s="1"/>
  <c r="J36" i="72"/>
  <c r="J60" i="1"/>
  <c r="J73" i="1"/>
  <c r="F37" i="1"/>
  <c r="G37" i="1" s="1"/>
  <c r="F32" i="1"/>
  <c r="G32" i="1" s="1"/>
  <c r="J50" i="1"/>
  <c r="J10" i="1"/>
  <c r="J131" i="1"/>
  <c r="F47" i="1"/>
  <c r="G47" i="1" s="1"/>
  <c r="F42" i="1"/>
  <c r="G42" i="1" s="1"/>
  <c r="F21" i="1"/>
  <c r="G21" i="1" s="1"/>
  <c r="J52" i="72"/>
  <c r="J66" i="72"/>
  <c r="J83" i="1"/>
  <c r="J34" i="1"/>
  <c r="J17" i="72"/>
  <c r="F101" i="1"/>
  <c r="G101" i="1" s="1"/>
  <c r="F81" i="1"/>
  <c r="G81" i="1" s="1"/>
  <c r="F140" i="1"/>
  <c r="G140" i="1" s="1"/>
  <c r="F145" i="1"/>
  <c r="G145" i="1" s="1"/>
  <c r="F111" i="1"/>
  <c r="G111" i="1" s="1"/>
  <c r="J14" i="72"/>
  <c r="J31" i="1"/>
  <c r="J112" i="72"/>
  <c r="J120" i="72"/>
  <c r="F13" i="1"/>
  <c r="G13" i="1" s="1"/>
  <c r="F110" i="1"/>
  <c r="G110" i="1" s="1"/>
  <c r="F75" i="1"/>
  <c r="G75" i="1" s="1"/>
  <c r="F64" i="1"/>
  <c r="G64" i="1" s="1"/>
  <c r="F40" i="1"/>
  <c r="G40" i="1" s="1"/>
  <c r="F25" i="1"/>
  <c r="G25" i="1" s="1"/>
  <c r="J133" i="72"/>
  <c r="J123" i="72"/>
  <c r="F95" i="1"/>
  <c r="G95" i="1" s="1"/>
  <c r="F130" i="1"/>
  <c r="G130" i="1" s="1"/>
  <c r="J13" i="1"/>
  <c r="J93" i="1"/>
  <c r="J42" i="1"/>
  <c r="F124" i="1"/>
  <c r="G124" i="1" s="1"/>
  <c r="F114" i="1"/>
  <c r="G114" i="1" s="1"/>
  <c r="F58" i="1"/>
  <c r="G58" i="1" s="1"/>
  <c r="F49" i="1"/>
  <c r="G49" i="1" s="1"/>
  <c r="J18" i="1"/>
  <c r="J115" i="72"/>
  <c r="F144" i="1"/>
  <c r="G144" i="1" s="1"/>
  <c r="F90" i="1"/>
  <c r="G90" i="1" s="1"/>
  <c r="F14" i="1"/>
  <c r="G14" i="1" s="1"/>
  <c r="J27" i="1"/>
  <c r="J124" i="1"/>
  <c r="F94" i="1"/>
  <c r="G94" i="1" s="1"/>
  <c r="F74" i="1"/>
  <c r="G74" i="1" s="1"/>
  <c r="J15" i="1"/>
  <c r="F5" i="1"/>
  <c r="G5" i="1" s="1"/>
  <c r="F68" i="1"/>
  <c r="G68" i="1" s="1"/>
  <c r="J150" i="72"/>
  <c r="J128" i="1"/>
  <c r="F6" i="1"/>
  <c r="G6" i="1" s="1"/>
  <c r="F78" i="1"/>
  <c r="G78" i="1" s="1"/>
  <c r="J156" i="1"/>
  <c r="F80" i="1"/>
  <c r="G80" i="1" s="1"/>
  <c r="J45" i="1"/>
  <c r="F154" i="1"/>
  <c r="G154" i="1" s="1"/>
  <c r="J90" i="72"/>
  <c r="J81" i="72"/>
  <c r="J134" i="1"/>
  <c r="J55" i="72"/>
  <c r="J72" i="1"/>
  <c r="F66" i="1"/>
  <c r="G66" i="1" s="1"/>
  <c r="F43" i="1"/>
  <c r="G43" i="1" s="1"/>
  <c r="F28" i="1"/>
  <c r="G28" i="1" s="1"/>
  <c r="F23" i="1"/>
  <c r="G23" i="1" s="1"/>
  <c r="J119" i="1"/>
  <c r="J79" i="72"/>
  <c r="J96" i="1"/>
  <c r="J114" i="72"/>
  <c r="J31" i="72"/>
  <c r="F4" i="1"/>
  <c r="G4" i="1" s="1"/>
  <c r="J62" i="72"/>
  <c r="F59" i="1"/>
  <c r="G59" i="1" s="1"/>
  <c r="J94" i="1"/>
  <c r="J42" i="72"/>
  <c r="J59" i="1"/>
  <c r="J15" i="72"/>
  <c r="F60" i="1"/>
  <c r="G60" i="1" s="1"/>
  <c r="F129" i="1"/>
  <c r="G129" i="1" s="1"/>
  <c r="J108" i="1"/>
  <c r="J29" i="1"/>
  <c r="J44" i="72"/>
  <c r="J44" i="1"/>
  <c r="F69" i="1"/>
  <c r="G69" i="1" s="1"/>
  <c r="J144" i="1"/>
  <c r="J53" i="72"/>
  <c r="J70" i="1"/>
  <c r="F51" i="1"/>
  <c r="G51" i="1" s="1"/>
  <c r="J84" i="72"/>
  <c r="J101" i="1"/>
  <c r="F65" i="1"/>
  <c r="G65" i="1" s="1"/>
  <c r="F125" i="1"/>
  <c r="G125" i="1" s="1"/>
  <c r="J92" i="72"/>
  <c r="J109" i="1"/>
  <c r="J82" i="72"/>
  <c r="J68" i="72"/>
  <c r="J85" i="1"/>
  <c r="F97" i="1"/>
  <c r="G97" i="1" s="1"/>
  <c r="J108" i="72"/>
  <c r="J136" i="72"/>
  <c r="J126" i="72"/>
  <c r="J146" i="72"/>
  <c r="J93" i="26"/>
  <c r="J153" i="26"/>
  <c r="G75" i="29"/>
  <c r="G67" i="29"/>
  <c r="G33" i="29"/>
  <c r="G19" i="29"/>
  <c r="J4" i="29"/>
  <c r="F2" i="26"/>
  <c r="G2" i="26" s="1"/>
  <c r="I2" i="26"/>
  <c r="J2" i="26" s="1"/>
  <c r="J110" i="19"/>
  <c r="F154" i="18"/>
  <c r="G154" i="18" s="1"/>
  <c r="F148" i="18"/>
  <c r="G148" i="18" s="1"/>
  <c r="F123" i="18"/>
  <c r="G123" i="18" s="1"/>
  <c r="F101" i="18"/>
  <c r="G101" i="18" s="1"/>
  <c r="F98" i="18"/>
  <c r="G98" i="18" s="1"/>
  <c r="F97" i="18"/>
  <c r="G97" i="18" s="1"/>
  <c r="J48" i="19"/>
  <c r="J117" i="19"/>
  <c r="F2" i="19"/>
  <c r="G2" i="19" s="1"/>
  <c r="I2" i="19"/>
  <c r="J2" i="19" s="1"/>
  <c r="J84" i="20"/>
  <c r="F114" i="18"/>
  <c r="G114" i="18" s="1"/>
  <c r="J95" i="20"/>
  <c r="F91" i="18"/>
  <c r="G91" i="18" s="1"/>
  <c r="J96" i="20"/>
  <c r="J74" i="20"/>
  <c r="I2" i="20"/>
  <c r="J2" i="20" s="1"/>
  <c r="F2" i="20"/>
  <c r="G2" i="20" s="1"/>
  <c r="J94" i="20"/>
  <c r="J19" i="20"/>
  <c r="J17" i="20"/>
  <c r="F33" i="18"/>
  <c r="G33" i="18" s="1"/>
  <c r="F113" i="18"/>
  <c r="G113" i="18" s="1"/>
  <c r="F57" i="18"/>
  <c r="G57" i="18" s="1"/>
  <c r="J31" i="21"/>
  <c r="F73" i="18"/>
  <c r="G73" i="18" s="1"/>
  <c r="J23" i="21"/>
  <c r="J20" i="21"/>
  <c r="J15" i="21"/>
  <c r="J12" i="21"/>
  <c r="F25" i="18"/>
  <c r="G25" i="18" s="1"/>
  <c r="J4" i="21"/>
  <c r="F81" i="18"/>
  <c r="G81" i="18" s="1"/>
  <c r="J77" i="21"/>
  <c r="F140" i="18"/>
  <c r="G140" i="18" s="1"/>
  <c r="F89" i="18"/>
  <c r="G89" i="18" s="1"/>
  <c r="F79" i="18"/>
  <c r="G79" i="18" s="1"/>
  <c r="F156" i="18"/>
  <c r="G156" i="18" s="1"/>
  <c r="F2" i="21"/>
  <c r="G2" i="21" s="1"/>
  <c r="I2" i="21"/>
  <c r="J2" i="21" s="1"/>
  <c r="F137" i="18"/>
  <c r="G137" i="18" s="1"/>
  <c r="F146" i="18"/>
  <c r="G146" i="18" s="1"/>
  <c r="F14" i="18"/>
  <c r="G14" i="18" s="1"/>
  <c r="F17" i="18"/>
  <c r="G17" i="18" s="1"/>
  <c r="F41" i="18"/>
  <c r="G41" i="18" s="1"/>
  <c r="F72" i="18"/>
  <c r="G72" i="18" s="1"/>
  <c r="F49" i="18"/>
  <c r="G49" i="18" s="1"/>
  <c r="F56" i="18"/>
  <c r="G56" i="18" s="1"/>
  <c r="F143" i="18"/>
  <c r="G143" i="18" s="1"/>
  <c r="F40" i="18"/>
  <c r="G40" i="18" s="1"/>
  <c r="F32" i="18"/>
  <c r="G32" i="18" s="1"/>
  <c r="F65" i="18"/>
  <c r="G65" i="18" s="1"/>
  <c r="F64" i="18"/>
  <c r="G64" i="18" s="1"/>
  <c r="F24" i="18"/>
  <c r="G24" i="18" s="1"/>
  <c r="F141" i="18"/>
  <c r="G141" i="18" s="1"/>
  <c r="F149" i="18"/>
  <c r="G149" i="18" s="1"/>
  <c r="F43" i="18"/>
  <c r="G43" i="18" s="1"/>
  <c r="F157" i="18"/>
  <c r="G157" i="18" s="1"/>
  <c r="F133" i="18"/>
  <c r="G133" i="18" s="1"/>
  <c r="F125" i="18"/>
  <c r="G125" i="18" s="1"/>
  <c r="J39" i="21"/>
  <c r="F144" i="18"/>
  <c r="G144" i="18" s="1"/>
  <c r="F158" i="18"/>
  <c r="G158" i="18" s="1"/>
  <c r="F75" i="18"/>
  <c r="G75" i="18" s="1"/>
  <c r="F155" i="18"/>
  <c r="G155" i="18" s="1"/>
  <c r="F11" i="18"/>
  <c r="G11" i="18" s="1"/>
  <c r="F6" i="18"/>
  <c r="G6" i="18" s="1"/>
  <c r="F8" i="18"/>
  <c r="G8" i="18" s="1"/>
  <c r="F77" i="18"/>
  <c r="G77" i="18" s="1"/>
  <c r="F93" i="18"/>
  <c r="G93" i="18" s="1"/>
  <c r="F36" i="18"/>
  <c r="G36" i="18" s="1"/>
  <c r="F151" i="18"/>
  <c r="G151" i="18" s="1"/>
  <c r="F44" i="18"/>
  <c r="G44" i="18" s="1"/>
  <c r="F10" i="18"/>
  <c r="G10" i="18" s="1"/>
  <c r="F12" i="18"/>
  <c r="G12" i="18" s="1"/>
  <c r="F83" i="18"/>
  <c r="G83" i="18" s="1"/>
  <c r="F76" i="18"/>
  <c r="G76" i="18" s="1"/>
  <c r="F107" i="18"/>
  <c r="G107" i="18" s="1"/>
  <c r="F35" i="18"/>
  <c r="G35" i="18" s="1"/>
  <c r="F92" i="18"/>
  <c r="G92" i="18" s="1"/>
  <c r="F59" i="18"/>
  <c r="G59" i="18" s="1"/>
  <c r="F15" i="18"/>
  <c r="G15" i="18" s="1"/>
  <c r="F142" i="18"/>
  <c r="G142" i="18" s="1"/>
  <c r="F131" i="18"/>
  <c r="G131" i="18" s="1"/>
  <c r="F108" i="18"/>
  <c r="G108" i="18" s="1"/>
  <c r="F51" i="18"/>
  <c r="G51" i="18" s="1"/>
  <c r="F115" i="18"/>
  <c r="G115" i="18" s="1"/>
  <c r="F99" i="18"/>
  <c r="G99" i="18" s="1"/>
  <c r="F27" i="18"/>
  <c r="G27" i="18" s="1"/>
  <c r="F16" i="18"/>
  <c r="G16" i="18" s="1"/>
  <c r="F95" i="18"/>
  <c r="G95" i="18" s="1"/>
  <c r="F135" i="18"/>
  <c r="G135" i="18" s="1"/>
  <c r="F127" i="18"/>
  <c r="G127" i="18" s="1"/>
  <c r="F111" i="18"/>
  <c r="G111" i="18" s="1"/>
  <c r="F145" i="18"/>
  <c r="G145" i="18" s="1"/>
  <c r="F9" i="18"/>
  <c r="G9" i="18" s="1"/>
  <c r="F116" i="18"/>
  <c r="G116" i="18" s="1"/>
  <c r="F84" i="18"/>
  <c r="G84" i="18" s="1"/>
  <c r="F67" i="18"/>
  <c r="G67" i="18" s="1"/>
  <c r="F150" i="18"/>
  <c r="G150" i="18" s="1"/>
  <c r="F19" i="18"/>
  <c r="G19" i="18" s="1"/>
  <c r="F100" i="18"/>
  <c r="G100" i="18" s="1"/>
  <c r="F30" i="18"/>
  <c r="G30" i="18" s="1"/>
  <c r="F70" i="18"/>
  <c r="G70" i="18" s="1"/>
  <c r="F62" i="18"/>
  <c r="G62" i="18" s="1"/>
  <c r="F7" i="18"/>
  <c r="G7" i="18" s="1"/>
  <c r="F152" i="18"/>
  <c r="G152" i="18" s="1"/>
  <c r="F132" i="18"/>
  <c r="G132" i="18" s="1"/>
  <c r="F124" i="18"/>
  <c r="G124" i="18" s="1"/>
  <c r="F37" i="18"/>
  <c r="G37" i="18" s="1"/>
  <c r="F38" i="18"/>
  <c r="G38" i="18" s="1"/>
  <c r="F129" i="18"/>
  <c r="G129" i="18" s="1"/>
  <c r="F122" i="18"/>
  <c r="G122" i="18" s="1"/>
  <c r="F66" i="18"/>
  <c r="G66" i="18" s="1"/>
  <c r="F50" i="18"/>
  <c r="G50" i="18" s="1"/>
  <c r="F42" i="18"/>
  <c r="G42" i="18" s="1"/>
  <c r="F34" i="18"/>
  <c r="G34" i="18" s="1"/>
  <c r="F18" i="18"/>
  <c r="G18" i="18" s="1"/>
  <c r="F5" i="18"/>
  <c r="G5" i="18" s="1"/>
  <c r="F13" i="18"/>
  <c r="G13" i="18" s="1"/>
  <c r="F103" i="18"/>
  <c r="G103" i="18" s="1"/>
  <c r="F136" i="18"/>
  <c r="G136" i="18" s="1"/>
  <c r="F134" i="18"/>
  <c r="G134" i="18" s="1"/>
  <c r="F128" i="18"/>
  <c r="G128" i="18" s="1"/>
  <c r="F126" i="18"/>
  <c r="G126" i="18" s="1"/>
  <c r="F71" i="18"/>
  <c r="G71" i="18" s="1"/>
  <c r="F63" i="18"/>
  <c r="G63" i="18" s="1"/>
  <c r="J7" i="21"/>
  <c r="F130" i="18"/>
  <c r="G130" i="18" s="1"/>
  <c r="F104" i="18"/>
  <c r="G104" i="18" s="1"/>
  <c r="F90" i="18"/>
  <c r="G90" i="18" s="1"/>
  <c r="F58" i="18"/>
  <c r="G58" i="18" s="1"/>
  <c r="F26" i="18"/>
  <c r="G26" i="18" s="1"/>
  <c r="F106" i="18"/>
  <c r="G106" i="18" s="1"/>
  <c r="F4" i="18"/>
  <c r="G4" i="18" s="1"/>
  <c r="F110" i="18"/>
  <c r="G110" i="18" s="1"/>
  <c r="F102" i="18"/>
  <c r="G102" i="18" s="1"/>
  <c r="F94" i="18"/>
  <c r="G94" i="18" s="1"/>
  <c r="F86" i="18"/>
  <c r="G86" i="18" s="1"/>
  <c r="F74" i="18"/>
  <c r="G74" i="18" s="1"/>
  <c r="F28" i="18"/>
  <c r="G28" i="18" s="1"/>
  <c r="F88" i="18"/>
  <c r="G88" i="18" s="1"/>
  <c r="F80" i="18"/>
  <c r="G80" i="18" s="1"/>
  <c r="F20" i="18"/>
  <c r="G20" i="18" s="1"/>
  <c r="F112" i="18"/>
  <c r="G112" i="18" s="1"/>
  <c r="F147" i="18"/>
  <c r="G147" i="18" s="1"/>
  <c r="F139" i="18"/>
  <c r="G139" i="18" s="1"/>
  <c r="F48" i="18"/>
  <c r="G48" i="18" s="1"/>
  <c r="F153" i="18"/>
  <c r="G153" i="18" s="1"/>
  <c r="F138" i="18"/>
  <c r="G138" i="18" s="1"/>
  <c r="F54" i="18"/>
  <c r="G54" i="18" s="1"/>
  <c r="F46" i="18"/>
  <c r="G46" i="18" s="1"/>
  <c r="F55" i="18"/>
  <c r="G55" i="18" s="1"/>
  <c r="F47" i="18"/>
  <c r="G47" i="18" s="1"/>
  <c r="F39" i="18"/>
  <c r="G39" i="18" s="1"/>
  <c r="F31" i="18"/>
  <c r="G31" i="18" s="1"/>
  <c r="F23" i="18"/>
  <c r="G23" i="18" s="1"/>
  <c r="F68" i="18"/>
  <c r="G68" i="18" s="1"/>
  <c r="F60" i="18"/>
  <c r="G60" i="18" s="1"/>
  <c r="F96" i="18"/>
  <c r="G96" i="18" s="1"/>
  <c r="F82" i="18"/>
  <c r="G82" i="18" s="1"/>
  <c r="F52" i="18"/>
  <c r="G52" i="18" s="1"/>
  <c r="F22" i="18"/>
  <c r="G22" i="18" s="1"/>
  <c r="F118" i="18"/>
  <c r="G118" i="18" s="1"/>
  <c r="F78" i="18"/>
  <c r="G78" i="18" s="1"/>
  <c r="F69" i="18"/>
  <c r="G69" i="18" s="1"/>
  <c r="F61" i="18"/>
  <c r="G61" i="18" s="1"/>
  <c r="F53" i="18"/>
  <c r="G53" i="18" s="1"/>
  <c r="F45" i="18"/>
  <c r="G45" i="18" s="1"/>
  <c r="F29" i="18"/>
  <c r="G29" i="18" s="1"/>
  <c r="F21" i="18"/>
  <c r="G21" i="18" s="1"/>
  <c r="I78" i="34" l="1"/>
  <c r="J68" i="1"/>
  <c r="I147" i="34"/>
  <c r="I35" i="34"/>
  <c r="I65" i="34"/>
  <c r="I139" i="34"/>
  <c r="J139" i="34" s="1"/>
  <c r="I159" i="34"/>
  <c r="J159" i="34" s="1"/>
  <c r="I151" i="34"/>
  <c r="J151" i="34" s="1"/>
  <c r="I105" i="34"/>
  <c r="J84" i="1"/>
  <c r="I109" i="34"/>
  <c r="J109" i="34" s="1"/>
  <c r="I101" i="34"/>
  <c r="J101" i="34" s="1"/>
  <c r="I137" i="34"/>
  <c r="J137" i="34" s="1"/>
  <c r="I136" i="34"/>
  <c r="J136" i="34" s="1"/>
  <c r="I15" i="34"/>
  <c r="I161" i="34"/>
  <c r="J161" i="34" s="1"/>
  <c r="I38" i="34"/>
  <c r="J38" i="34" s="1"/>
  <c r="I23" i="34"/>
  <c r="J23" i="34" s="1"/>
  <c r="I76" i="34"/>
  <c r="J76" i="34" s="1"/>
  <c r="I29" i="34"/>
  <c r="I39" i="34"/>
  <c r="J105" i="1"/>
  <c r="I145" i="34"/>
  <c r="J145" i="34" s="1"/>
  <c r="J139" i="29"/>
  <c r="I129" i="34"/>
  <c r="J129" i="34" s="1"/>
  <c r="J78" i="29"/>
  <c r="F131" i="34"/>
  <c r="G131" i="34" s="1"/>
  <c r="I160" i="34"/>
  <c r="J160" i="34" s="1"/>
  <c r="I143" i="34"/>
  <c r="J143" i="34" s="1"/>
  <c r="I49" i="34"/>
  <c r="J49" i="34" s="1"/>
  <c r="I123" i="34"/>
  <c r="J123" i="34" s="1"/>
  <c r="I50" i="34"/>
  <c r="I138" i="34"/>
  <c r="J138" i="34" s="1"/>
  <c r="I56" i="34"/>
  <c r="J56" i="34" s="1"/>
  <c r="I133" i="34"/>
  <c r="J133" i="34" s="1"/>
  <c r="I58" i="34"/>
  <c r="J58" i="34" s="1"/>
  <c r="I57" i="34"/>
  <c r="I111" i="34"/>
  <c r="I141" i="34"/>
  <c r="I124" i="34"/>
  <c r="J124" i="34" s="1"/>
  <c r="I75" i="34"/>
  <c r="J75" i="34" s="1"/>
  <c r="I90" i="34"/>
  <c r="J90" i="34" s="1"/>
  <c r="I81" i="34"/>
  <c r="J81" i="34" s="1"/>
  <c r="I146" i="34"/>
  <c r="I92" i="34"/>
  <c r="J92" i="34" s="1"/>
  <c r="I96" i="34"/>
  <c r="J96" i="34" s="1"/>
  <c r="I64" i="34"/>
  <c r="J64" i="34" s="1"/>
  <c r="I91" i="34"/>
  <c r="J91" i="34" s="1"/>
  <c r="I130" i="34"/>
  <c r="J130" i="34" s="1"/>
  <c r="J128" i="34"/>
  <c r="I59" i="34"/>
  <c r="I149" i="34"/>
  <c r="J149" i="34" s="1"/>
  <c r="I121" i="34"/>
  <c r="J121" i="34" s="1"/>
  <c r="I88" i="34"/>
  <c r="J88" i="34" s="1"/>
  <c r="I140" i="34"/>
  <c r="J140" i="34" s="1"/>
  <c r="I7" i="34"/>
  <c r="J7" i="34" s="1"/>
  <c r="I12" i="34"/>
  <c r="J12" i="34" s="1"/>
  <c r="I45" i="34"/>
  <c r="J45" i="34" s="1"/>
  <c r="I94" i="34"/>
  <c r="J94" i="34" s="1"/>
  <c r="J135" i="30"/>
  <c r="I135" i="34"/>
  <c r="J135" i="34" s="1"/>
  <c r="I134" i="34"/>
  <c r="J134" i="34" s="1"/>
  <c r="I14" i="34"/>
  <c r="J14" i="34" s="1"/>
  <c r="F146" i="34"/>
  <c r="G146" i="34" s="1"/>
  <c r="E2" i="34"/>
  <c r="I63" i="34"/>
  <c r="J63" i="34" s="1"/>
  <c r="D2" i="34"/>
  <c r="F115" i="34"/>
  <c r="G115" i="34" s="1"/>
  <c r="F142" i="34"/>
  <c r="G142" i="34" s="1"/>
  <c r="I22" i="34"/>
  <c r="J22" i="34" s="1"/>
  <c r="I118" i="34"/>
  <c r="J118" i="34" s="1"/>
  <c r="H2" i="34"/>
  <c r="I142" i="34"/>
  <c r="J142" i="34" s="1"/>
  <c r="I6" i="34"/>
  <c r="J6" i="34" s="1"/>
  <c r="F119" i="34"/>
  <c r="G119" i="34" s="1"/>
  <c r="F110" i="34"/>
  <c r="G110" i="34" s="1"/>
  <c r="I150" i="34"/>
  <c r="J150" i="34" s="1"/>
  <c r="F147" i="34"/>
  <c r="G147" i="34" s="1"/>
  <c r="J132" i="34"/>
  <c r="F123" i="34"/>
  <c r="G123" i="34" s="1"/>
  <c r="F98" i="34"/>
  <c r="G98" i="34" s="1"/>
  <c r="F145" i="34"/>
  <c r="G145" i="34" s="1"/>
  <c r="F107" i="34"/>
  <c r="G107" i="34" s="1"/>
  <c r="F120" i="34"/>
  <c r="G120" i="34" s="1"/>
  <c r="F136" i="34"/>
  <c r="G136" i="34" s="1"/>
  <c r="F106" i="34"/>
  <c r="G106" i="34" s="1"/>
  <c r="F141" i="34"/>
  <c r="G141" i="34" s="1"/>
  <c r="F154" i="34"/>
  <c r="G154" i="34" s="1"/>
  <c r="F158" i="34"/>
  <c r="G158" i="34" s="1"/>
  <c r="J147" i="34"/>
  <c r="F124" i="34"/>
  <c r="G124" i="34" s="1"/>
  <c r="F126" i="34"/>
  <c r="G126" i="34" s="1"/>
  <c r="F125" i="34"/>
  <c r="G125" i="34" s="1"/>
  <c r="I8" i="34"/>
  <c r="J8" i="34" s="1"/>
  <c r="F144" i="34"/>
  <c r="G144" i="34" s="1"/>
  <c r="F111" i="34"/>
  <c r="G111" i="34" s="1"/>
  <c r="F127" i="34"/>
  <c r="G127" i="34" s="1"/>
  <c r="I31" i="34"/>
  <c r="J31" i="34" s="1"/>
  <c r="F157" i="34"/>
  <c r="G157" i="34" s="1"/>
  <c r="I83" i="34"/>
  <c r="J83" i="34" s="1"/>
  <c r="I33" i="34"/>
  <c r="J33" i="34" s="1"/>
  <c r="F152" i="34"/>
  <c r="G152" i="34" s="1"/>
  <c r="I74" i="34"/>
  <c r="J74" i="34" s="1"/>
  <c r="I42" i="34"/>
  <c r="J42" i="34" s="1"/>
  <c r="I67" i="34"/>
  <c r="J67" i="34" s="1"/>
  <c r="F105" i="34"/>
  <c r="G105" i="34" s="1"/>
  <c r="I103" i="34"/>
  <c r="J103" i="34" s="1"/>
  <c r="I40" i="34"/>
  <c r="J40" i="34" s="1"/>
  <c r="I99" i="34"/>
  <c r="J99" i="34" s="1"/>
  <c r="F99" i="34"/>
  <c r="G99" i="34" s="1"/>
  <c r="I26" i="34"/>
  <c r="J26" i="34" s="1"/>
  <c r="I25" i="34"/>
  <c r="J25" i="34" s="1"/>
  <c r="F97" i="34"/>
  <c r="G97" i="34" s="1"/>
  <c r="I17" i="34"/>
  <c r="J17" i="34" s="1"/>
  <c r="I112" i="34"/>
  <c r="J112" i="34" s="1"/>
  <c r="I97" i="34"/>
  <c r="J97" i="34" s="1"/>
  <c r="I27" i="34"/>
  <c r="J27" i="34" s="1"/>
  <c r="I86" i="34"/>
  <c r="J86" i="34" s="1"/>
  <c r="I20" i="34"/>
  <c r="J20" i="34" s="1"/>
  <c r="I95" i="34"/>
  <c r="J95" i="34" s="1"/>
  <c r="I54" i="34"/>
  <c r="J54" i="34" s="1"/>
  <c r="I19" i="34"/>
  <c r="J19" i="34" s="1"/>
  <c r="I108" i="34"/>
  <c r="J108" i="34" s="1"/>
  <c r="I11" i="34"/>
  <c r="J11" i="34" s="1"/>
  <c r="I43" i="34"/>
  <c r="J43" i="34" s="1"/>
  <c r="I51" i="34"/>
  <c r="J51" i="34" s="1"/>
  <c r="I79" i="34"/>
  <c r="J79" i="34" s="1"/>
  <c r="I53" i="34"/>
  <c r="J53" i="34" s="1"/>
  <c r="I116" i="34"/>
  <c r="J116" i="34" s="1"/>
  <c r="I110" i="34"/>
  <c r="J110" i="34" s="1"/>
  <c r="I36" i="34"/>
  <c r="J36" i="34" s="1"/>
  <c r="I10" i="34"/>
  <c r="J10" i="34" s="1"/>
  <c r="I87" i="34"/>
  <c r="J87" i="34" s="1"/>
  <c r="I52" i="34"/>
  <c r="J52" i="34" s="1"/>
  <c r="I61" i="34"/>
  <c r="J61" i="34" s="1"/>
  <c r="I72" i="34"/>
  <c r="J72" i="34" s="1"/>
  <c r="I85" i="34"/>
  <c r="J85" i="34" s="1"/>
  <c r="I104" i="34"/>
  <c r="J104" i="34" s="1"/>
  <c r="I60" i="34"/>
  <c r="J60" i="34" s="1"/>
  <c r="I21" i="34"/>
  <c r="J21" i="34" s="1"/>
  <c r="I44" i="34"/>
  <c r="J44" i="34" s="1"/>
  <c r="I71" i="34"/>
  <c r="J71" i="34" s="1"/>
  <c r="I115" i="34"/>
  <c r="J115" i="34" s="1"/>
  <c r="I77" i="34"/>
  <c r="J77" i="34" s="1"/>
  <c r="I100" i="34"/>
  <c r="J100" i="34" s="1"/>
  <c r="I28" i="34"/>
  <c r="J28" i="34" s="1"/>
  <c r="I93" i="34"/>
  <c r="J93" i="34" s="1"/>
  <c r="I13" i="34"/>
  <c r="J13" i="34" s="1"/>
  <c r="I37" i="34"/>
  <c r="J37" i="34" s="1"/>
  <c r="I46" i="34"/>
  <c r="J46" i="34" s="1"/>
  <c r="I55" i="34"/>
  <c r="J55" i="34" s="1"/>
  <c r="I80" i="34"/>
  <c r="J80" i="34" s="1"/>
  <c r="I102" i="34"/>
  <c r="J102" i="34" s="1"/>
  <c r="I16" i="34"/>
  <c r="J16" i="34" s="1"/>
  <c r="I24" i="34"/>
  <c r="J24" i="34" s="1"/>
  <c r="I32" i="34"/>
  <c r="J32" i="34" s="1"/>
  <c r="I89" i="34"/>
  <c r="J89" i="34" s="1"/>
  <c r="I9" i="34"/>
  <c r="J9" i="34" s="1"/>
  <c r="I41" i="34"/>
  <c r="J41" i="34" s="1"/>
  <c r="I18" i="34"/>
  <c r="J18" i="34" s="1"/>
  <c r="I34" i="34"/>
  <c r="J34" i="34" s="1"/>
  <c r="I66" i="34"/>
  <c r="J66" i="34" s="1"/>
  <c r="F112" i="34"/>
  <c r="G112" i="34" s="1"/>
  <c r="F143" i="34"/>
  <c r="G143" i="34" s="1"/>
  <c r="F149" i="34"/>
  <c r="G149" i="34" s="1"/>
  <c r="I62" i="34"/>
  <c r="J62" i="34" s="1"/>
  <c r="I70" i="34"/>
  <c r="J70" i="34" s="1"/>
  <c r="F118" i="34"/>
  <c r="G118" i="34" s="1"/>
  <c r="F133" i="34"/>
  <c r="G133" i="34" s="1"/>
  <c r="F113" i="34"/>
  <c r="G113" i="34" s="1"/>
  <c r="F137" i="34"/>
  <c r="G137" i="34" s="1"/>
  <c r="F138" i="34"/>
  <c r="G138" i="34" s="1"/>
  <c r="F139" i="34"/>
  <c r="G139" i="34" s="1"/>
  <c r="J141" i="29"/>
  <c r="F104" i="34"/>
  <c r="G104" i="34" s="1"/>
  <c r="F103" i="34"/>
  <c r="G103" i="34" s="1"/>
  <c r="F116" i="34"/>
  <c r="G116" i="34" s="1"/>
  <c r="F109" i="34"/>
  <c r="G109" i="34" s="1"/>
  <c r="J66" i="29"/>
  <c r="J65" i="29"/>
  <c r="J102" i="29"/>
  <c r="F114" i="34"/>
  <c r="G114" i="34" s="1"/>
  <c r="F128" i="34"/>
  <c r="G128" i="34" s="1"/>
  <c r="J120" i="34"/>
  <c r="F135" i="34"/>
  <c r="G135" i="34" s="1"/>
  <c r="F151" i="34"/>
  <c r="G151" i="34" s="1"/>
  <c r="F155" i="34"/>
  <c r="G155" i="34" s="1"/>
  <c r="I154" i="34"/>
  <c r="J154" i="34" s="1"/>
  <c r="I158" i="34"/>
  <c r="J158" i="34" s="1"/>
  <c r="I155" i="34"/>
  <c r="J155" i="34" s="1"/>
  <c r="I156" i="34"/>
  <c r="J156" i="34" s="1"/>
  <c r="I153" i="34"/>
  <c r="J153" i="34" s="1"/>
  <c r="I152" i="34"/>
  <c r="J152" i="34" s="1"/>
  <c r="I2" i="1"/>
  <c r="J2" i="1" s="1"/>
  <c r="F102" i="34"/>
  <c r="G102" i="34" s="1"/>
  <c r="J111" i="34"/>
  <c r="F132" i="34"/>
  <c r="G132" i="34" s="1"/>
  <c r="F130" i="34"/>
  <c r="G130" i="34" s="1"/>
  <c r="J105" i="34"/>
  <c r="J146" i="34"/>
  <c r="F101" i="34"/>
  <c r="G101" i="34" s="1"/>
  <c r="F134" i="34"/>
  <c r="G134" i="34" s="1"/>
  <c r="J141" i="34"/>
  <c r="J131" i="34"/>
  <c r="F129" i="34"/>
  <c r="G129" i="34" s="1"/>
  <c r="F153" i="34"/>
  <c r="G153" i="34" s="1"/>
  <c r="F150" i="34"/>
  <c r="G150" i="34" s="1"/>
  <c r="I157" i="34"/>
  <c r="J157" i="34" s="1"/>
  <c r="J103" i="29"/>
  <c r="J89" i="29"/>
  <c r="J88" i="29"/>
  <c r="J73" i="29"/>
  <c r="J150" i="29"/>
  <c r="I144" i="34"/>
  <c r="J144" i="34" s="1"/>
  <c r="J42" i="29"/>
  <c r="J37" i="29"/>
  <c r="J34" i="29"/>
  <c r="J32" i="29"/>
  <c r="J18" i="29"/>
  <c r="J131" i="29"/>
  <c r="J16" i="29"/>
  <c r="J8" i="29"/>
  <c r="I148" i="34"/>
  <c r="J148" i="34" s="1"/>
  <c r="I119" i="34"/>
  <c r="J119" i="34" s="1"/>
  <c r="J149" i="29"/>
  <c r="J111" i="29"/>
  <c r="J13" i="29"/>
  <c r="J25" i="29"/>
  <c r="J28" i="29"/>
  <c r="J26" i="29"/>
  <c r="J23" i="29"/>
  <c r="J24" i="29"/>
  <c r="F100" i="34"/>
  <c r="G100" i="34" s="1"/>
  <c r="F108" i="34"/>
  <c r="G108" i="34" s="1"/>
  <c r="J74" i="29"/>
  <c r="J136" i="29"/>
  <c r="J93" i="29"/>
  <c r="J38" i="29"/>
  <c r="J48" i="29"/>
  <c r="J17" i="29"/>
  <c r="J5" i="29"/>
  <c r="J33" i="29"/>
  <c r="I113" i="34"/>
  <c r="J113" i="34" s="1"/>
  <c r="J113" i="29"/>
  <c r="I125" i="34"/>
  <c r="J125" i="34" s="1"/>
  <c r="J125" i="29"/>
  <c r="J117" i="29"/>
  <c r="I117" i="34"/>
  <c r="J117" i="34" s="1"/>
  <c r="I98" i="34"/>
  <c r="J98" i="34" s="1"/>
  <c r="J98" i="29"/>
  <c r="I114" i="34"/>
  <c r="J114" i="34" s="1"/>
  <c r="J114" i="29"/>
  <c r="J47" i="29"/>
  <c r="I47" i="34"/>
  <c r="J47" i="34" s="1"/>
  <c r="I107" i="34"/>
  <c r="J107" i="34" s="1"/>
  <c r="J107" i="29"/>
  <c r="I127" i="34"/>
  <c r="J127" i="34" s="1"/>
  <c r="J127" i="29"/>
  <c r="I122" i="34"/>
  <c r="J122" i="34" s="1"/>
  <c r="J122" i="29"/>
  <c r="I126" i="34"/>
  <c r="J126" i="34" s="1"/>
  <c r="J126" i="29"/>
  <c r="I106" i="34"/>
  <c r="J106" i="34" s="1"/>
  <c r="J106" i="29"/>
  <c r="I69" i="34"/>
  <c r="J69" i="34" s="1"/>
  <c r="J69" i="29"/>
  <c r="J126" i="18"/>
  <c r="J134" i="18"/>
  <c r="J136" i="18"/>
  <c r="J120" i="1"/>
  <c r="J132" i="1"/>
  <c r="J114" i="1"/>
  <c r="J154" i="1"/>
  <c r="J146" i="1"/>
  <c r="J116" i="1"/>
  <c r="J148" i="1"/>
  <c r="J152" i="1"/>
  <c r="J140" i="1"/>
  <c r="J142" i="1"/>
  <c r="J5" i="34"/>
  <c r="I2" i="30"/>
  <c r="J2" i="30" s="1"/>
  <c r="F2" i="30"/>
  <c r="G2" i="30" s="1"/>
  <c r="J65" i="34"/>
  <c r="F10" i="34"/>
  <c r="G10" i="34" s="1"/>
  <c r="F96" i="34"/>
  <c r="G96" i="34" s="1"/>
  <c r="F61" i="34"/>
  <c r="G61" i="34" s="1"/>
  <c r="F89" i="34"/>
  <c r="G89" i="34" s="1"/>
  <c r="F40" i="34"/>
  <c r="G40" i="34" s="1"/>
  <c r="J155" i="1"/>
  <c r="J138" i="1"/>
  <c r="F65" i="34"/>
  <c r="G65" i="34" s="1"/>
  <c r="F9" i="34"/>
  <c r="G9" i="34" s="1"/>
  <c r="F73" i="34"/>
  <c r="G73" i="34" s="1"/>
  <c r="F24" i="34"/>
  <c r="G24" i="34" s="1"/>
  <c r="J139" i="1"/>
  <c r="J150" i="1"/>
  <c r="J75" i="1"/>
  <c r="J149" i="1"/>
  <c r="J110" i="1"/>
  <c r="F66" i="34"/>
  <c r="G66" i="34" s="1"/>
  <c r="J59" i="34"/>
  <c r="J73" i="34"/>
  <c r="F79" i="34"/>
  <c r="G79" i="34" s="1"/>
  <c r="F77" i="34"/>
  <c r="G77" i="34" s="1"/>
  <c r="F69" i="34"/>
  <c r="G69" i="34" s="1"/>
  <c r="F57" i="34"/>
  <c r="G57" i="34" s="1"/>
  <c r="J82" i="34"/>
  <c r="J82" i="1"/>
  <c r="F59" i="34"/>
  <c r="G59" i="34" s="1"/>
  <c r="F32" i="34"/>
  <c r="G32" i="34" s="1"/>
  <c r="J78" i="34"/>
  <c r="J23" i="1"/>
  <c r="F39" i="34"/>
  <c r="G39" i="34" s="1"/>
  <c r="J57" i="34"/>
  <c r="F26" i="34"/>
  <c r="G26" i="34" s="1"/>
  <c r="F31" i="34"/>
  <c r="G31" i="34" s="1"/>
  <c r="F20" i="34"/>
  <c r="G20" i="34" s="1"/>
  <c r="F85" i="34"/>
  <c r="G85" i="34" s="1"/>
  <c r="F78" i="34"/>
  <c r="G78" i="34" s="1"/>
  <c r="F48" i="34"/>
  <c r="G48" i="34" s="1"/>
  <c r="F44" i="34"/>
  <c r="G44" i="34" s="1"/>
  <c r="J50" i="34"/>
  <c r="F30" i="34"/>
  <c r="G30" i="34" s="1"/>
  <c r="F33" i="34"/>
  <c r="G33" i="34" s="1"/>
  <c r="J115" i="1"/>
  <c r="F71" i="34"/>
  <c r="G71" i="34" s="1"/>
  <c r="F87" i="34"/>
  <c r="G87" i="34" s="1"/>
  <c r="F5" i="34"/>
  <c r="G5" i="34" s="1"/>
  <c r="J29" i="34"/>
  <c r="F28" i="34"/>
  <c r="G28" i="34" s="1"/>
  <c r="F13" i="34"/>
  <c r="G13" i="34" s="1"/>
  <c r="F74" i="34"/>
  <c r="G74" i="34" s="1"/>
  <c r="F8" i="34"/>
  <c r="G8" i="34" s="1"/>
  <c r="F56" i="34"/>
  <c r="G56" i="34" s="1"/>
  <c r="F80" i="34"/>
  <c r="G80" i="34" s="1"/>
  <c r="F72" i="34"/>
  <c r="G72" i="34" s="1"/>
  <c r="F7" i="34"/>
  <c r="G7" i="34" s="1"/>
  <c r="F83" i="34"/>
  <c r="G83" i="34" s="1"/>
  <c r="F21" i="34"/>
  <c r="G21" i="34" s="1"/>
  <c r="F2" i="1"/>
  <c r="G2" i="1" s="1"/>
  <c r="F91" i="34"/>
  <c r="G91" i="34" s="1"/>
  <c r="F63" i="34"/>
  <c r="G63" i="34" s="1"/>
  <c r="F18" i="34"/>
  <c r="G18" i="34" s="1"/>
  <c r="F82" i="34"/>
  <c r="G82" i="34" s="1"/>
  <c r="J35" i="34"/>
  <c r="F47" i="34"/>
  <c r="G47" i="34" s="1"/>
  <c r="F86" i="34"/>
  <c r="G86" i="34" s="1"/>
  <c r="F23" i="34"/>
  <c r="G23" i="34" s="1"/>
  <c r="F64" i="34"/>
  <c r="G64" i="34" s="1"/>
  <c r="F95" i="34"/>
  <c r="G95" i="34" s="1"/>
  <c r="F60" i="34"/>
  <c r="G60" i="34" s="1"/>
  <c r="J137" i="1"/>
  <c r="F76" i="34"/>
  <c r="G76" i="34" s="1"/>
  <c r="F17" i="34"/>
  <c r="G17" i="34" s="1"/>
  <c r="J48" i="34"/>
  <c r="F46" i="34"/>
  <c r="G46" i="34" s="1"/>
  <c r="F55" i="34"/>
  <c r="G55" i="34" s="1"/>
  <c r="F4" i="34"/>
  <c r="G4" i="34" s="1"/>
  <c r="F35" i="34"/>
  <c r="G35" i="34" s="1"/>
  <c r="F19" i="34"/>
  <c r="G19" i="34" s="1"/>
  <c r="F15" i="34"/>
  <c r="G15" i="34" s="1"/>
  <c r="F70" i="34"/>
  <c r="G70" i="34" s="1"/>
  <c r="F52" i="34"/>
  <c r="G52" i="34" s="1"/>
  <c r="F16" i="34"/>
  <c r="G16" i="34" s="1"/>
  <c r="F6" i="34"/>
  <c r="G6" i="34" s="1"/>
  <c r="F43" i="34"/>
  <c r="G43" i="34" s="1"/>
  <c r="F68" i="34"/>
  <c r="G68" i="34" s="1"/>
  <c r="F50" i="34"/>
  <c r="G50" i="34" s="1"/>
  <c r="F42" i="34"/>
  <c r="G42" i="34" s="1"/>
  <c r="F93" i="34"/>
  <c r="G93" i="34" s="1"/>
  <c r="F49" i="34"/>
  <c r="G49" i="34" s="1"/>
  <c r="F45" i="34"/>
  <c r="G45" i="34" s="1"/>
  <c r="F94" i="34"/>
  <c r="G94" i="34" s="1"/>
  <c r="F14" i="34"/>
  <c r="G14" i="34" s="1"/>
  <c r="F54" i="34"/>
  <c r="G54" i="34" s="1"/>
  <c r="F38" i="34"/>
  <c r="G38" i="34" s="1"/>
  <c r="F36" i="34"/>
  <c r="G36" i="34" s="1"/>
  <c r="F29" i="34"/>
  <c r="G29" i="34" s="1"/>
  <c r="J68" i="34"/>
  <c r="F92" i="34"/>
  <c r="G92" i="34" s="1"/>
  <c r="F41" i="34"/>
  <c r="G41" i="34" s="1"/>
  <c r="F75" i="34"/>
  <c r="G75" i="34" s="1"/>
  <c r="F58" i="34"/>
  <c r="G58" i="34" s="1"/>
  <c r="F53" i="34"/>
  <c r="G53" i="34" s="1"/>
  <c r="F25" i="34"/>
  <c r="G25" i="34" s="1"/>
  <c r="F11" i="34"/>
  <c r="G11" i="34" s="1"/>
  <c r="F88" i="34"/>
  <c r="G88" i="34" s="1"/>
  <c r="F81" i="34"/>
  <c r="G81" i="34" s="1"/>
  <c r="F22" i="34"/>
  <c r="G22" i="34" s="1"/>
  <c r="F12" i="34"/>
  <c r="G12" i="34" s="1"/>
  <c r="F27" i="34"/>
  <c r="G27" i="34" s="1"/>
  <c r="F37" i="34"/>
  <c r="G37" i="34" s="1"/>
  <c r="F34" i="34"/>
  <c r="G34" i="34" s="1"/>
  <c r="F84" i="34"/>
  <c r="G84" i="34" s="1"/>
  <c r="F62" i="34"/>
  <c r="G62" i="34" s="1"/>
  <c r="F90" i="34"/>
  <c r="G90" i="34" s="1"/>
  <c r="F67" i="34"/>
  <c r="G67" i="34" s="1"/>
  <c r="F51" i="34"/>
  <c r="G51" i="34" s="1"/>
  <c r="I2" i="29"/>
  <c r="J2" i="29" s="1"/>
  <c r="F2" i="29"/>
  <c r="G2" i="29" s="1"/>
  <c r="J84" i="34"/>
  <c r="J39" i="34"/>
  <c r="J30" i="34"/>
  <c r="J15" i="34"/>
  <c r="J5" i="18"/>
  <c r="F2" i="18"/>
  <c r="G2" i="18" s="1"/>
  <c r="I2" i="18"/>
  <c r="J2" i="18" s="1"/>
  <c r="I2" i="34" l="1"/>
  <c r="J2" i="34" s="1"/>
  <c r="F2" i="34"/>
  <c r="G2" i="34" s="1"/>
  <c r="J21" i="1"/>
  <c r="J4" i="72"/>
  <c r="I4" i="1"/>
  <c r="I4" i="34" s="1"/>
  <c r="J4" i="34" s="1"/>
  <c r="J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tc={FA21CFFC-9B61-47DB-8F62-30500FD79B73}</author>
  </authors>
  <commentList>
    <comment ref="D89" authorId="0" shapeId="0" xr:uid="{FA21CFFC-9B61-47DB-8F62-30500FD79B73}">
      <text>
        <t>[Threaded comment]
Your version of Excel allows you to read this threaded comment; however, any edits to it will get removed if the file is opened in a newer version of Excel. Learn more: https://go.microsoft.com/fwlink/?linkid=870924
Comment:
    Since meter is reporting 0 we have taken total inverter energy as actual energy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tc={E6B7AAB6-C794-452D-BBAB-5088AF8E9386}</author>
  </authors>
  <commentList>
    <comment ref="D89" authorId="0" shapeId="0" xr:uid="{E6B7AAB6-C794-452D-BBAB-5088AF8E9386}">
      <text>
        <t>[Threaded comment]
Your version of Excel allows you to read this threaded comment; however, any edits to it will get removed if the file is opened in a newer version of Excel. Learn more: https://go.microsoft.com/fwlink/?linkid=870924
Comment:
    Since meter is reporting 0 we have taken total inverter energy as actual energy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<sst xmlns="http://schemas.openxmlformats.org/spreadsheetml/2006/main" count="1633" uniqueCount="794">
  <si>
    <t>Year to Date Actual v. Expected</t>
  </si>
  <si>
    <t>Year to Date Actual v. Forecasted</t>
  </si>
  <si>
    <t>Total</t>
  </si>
  <si>
    <t>Site</t>
  </si>
  <si>
    <t>State</t>
  </si>
  <si>
    <t>SOL#</t>
  </si>
  <si>
    <t>Actual</t>
  </si>
  <si>
    <t>Expected</t>
  </si>
  <si>
    <t>Delta</t>
  </si>
  <si>
    <t>%</t>
  </si>
  <si>
    <t>Forecasted</t>
  </si>
  <si>
    <t>SOL-11176</t>
  </si>
  <si>
    <t>SOL-11173</t>
  </si>
  <si>
    <t>SOL-11084</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</si>
  <si>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</si>
  <si>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</si>
  <si>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</si>
  <si>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</si>
  <si>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</si>
  <si>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</si>
  <si>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</si>
  <si>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</si>
  <si>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</si>
  <si>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</si>
  <si>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</si>
  <si>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</si>
  <si>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Status</t>
  </si>
  <si>
    <t>1. Meter B phase currents dropped to Zero whole month. Need to replace CT's.On 12/30 CT's were removed
2. Site production was low from 01/25 due to snow.</t>
  </si>
  <si>
    <t>1. SR107464, SR113666</t>
  </si>
  <si>
    <t>1. Pending</t>
  </si>
  <si>
    <t>SR113666</t>
  </si>
  <si>
    <t>1. Site production was low from 01/25 due to snow.
2. Inverter 2 has afternoon shading.</t>
  </si>
  <si>
    <t>1. Estimated values are low in AE we have also verified the file which was given by GC
2. Site production was low from 01/25 due to snow.</t>
  </si>
  <si>
    <t>1. Site production was low on 01/17, 01/18 and from 01/25 due to snow.</t>
  </si>
  <si>
    <t>1. Site production was low from 01/25 due to snow.</t>
  </si>
  <si>
    <t>1. 1 Optimizer was offline.
2. Site production was low from 01/25 due to snow.</t>
  </si>
  <si>
    <t>1.SR110236</t>
  </si>
  <si>
    <t>1. pending</t>
  </si>
  <si>
    <t>1. 3 optimizers are offline: 2.0.160, 3.0.17, 3.0.33 
2. Site production was low from 01/25 due to snow.</t>
  </si>
  <si>
    <t>1.SR095666</t>
  </si>
  <si>
    <t>1. Site production was low on 01/25 and 01/26 due to snow.</t>
  </si>
  <si>
    <t>1. Weather station stopped communicating on 11/22 at 07:00. replacement POA.
2. Site production was low on 01/25 and 01/26 due to snow.</t>
  </si>
  <si>
    <t>1. SR093633, SR110369</t>
  </si>
  <si>
    <t>1. Denied</t>
  </si>
  <si>
    <t>SR110369</t>
  </si>
  <si>
    <t>1. Inverter 1, Unit 3 (7e97f366) went offline on 01/07 due to a reported "DC isolation fault". A technician later identified and repaired squirrel damage, and the unit was back online on 01/14.
2. Site was offline from 01/25 due to snow.
3. Inverters producing as expected and expected value and forecasted energy values difference.</t>
  </si>
  <si>
    <t>1. SR114232</t>
  </si>
  <si>
    <t>1. Closed</t>
  </si>
  <si>
    <t>1. 26 optimizers are down for roof repair.
2. Weather station stopped communicating since 06/14/24.
3. Site production was low on 01/17, 01/18 and from 01/25 due to snow.</t>
  </si>
  <si>
    <t xml:space="preserve">1.SR093924
2. SR086842
</t>
  </si>
  <si>
    <t>1. Pending 
2. Closed</t>
  </si>
  <si>
    <t>SR086842</t>
  </si>
  <si>
    <t>1. Inverter 1 has minor shading issue.
2. Site production was low on 01/17, 01/18 and from 01/25 due to snow.</t>
  </si>
  <si>
    <t>1. Site production was low on 01/17, 01/18, 01/25 and 01/26 due to snow.</t>
  </si>
  <si>
    <t>1. Inverter 4 was offline on 12/09 and reporting "critical temperature on AC terminal" and back online at 11:00 on 01/16.
2. Site production was low from 01/25 due to snow.</t>
  </si>
  <si>
    <t xml:space="preserve">1. SR112416
</t>
  </si>
  <si>
    <t>1. Site production was low on 01/17, 01/18 and from 01/25 due to snow.
2. Inverter 2 has afternoon shading.</t>
  </si>
  <si>
    <t>1. Site production was low on 01/10,01/14,01/17,01/18 and from 01/25 due to now.</t>
  </si>
  <si>
    <t>1.Module 1.0.90 (21772020-D8) No communication. 1.0.29 - 217E44D3-B6 - offline.</t>
  </si>
  <si>
    <t>1. SR093236</t>
  </si>
  <si>
    <t>1. Actual vs Forcasted delta is showing 21% due to Forcasted energy recording high possibly due to data glitch (similar event observe last 2 years).
2.Site production was low on 01/10,01/14,01/17,01/18,01/25/01/26 due to nsow</t>
  </si>
  <si>
    <t xml:space="preserve">1. Home run Solar shut off the site at 08:30am on 09/22 to perform roof repairs. </t>
  </si>
  <si>
    <t>1. SR102529</t>
  </si>
  <si>
    <t>1. Inverter 2 went offline at 07:00 on 01/07 and back online at 08:00 on 01/09. The inverter went offline again at 07:00 on 01/11 and was back online at 07:00 on 01/12. It tripped offline once again at 07:00 on 01/13. A technician found squirrel damage and replaced replaced, and the inverter was back online at 09:15 on 01/15.
2. Some optimizers with production issues 1264FFBB-30 - Half production  12639DA9-BB - Half production on 01/15. After technician replaced two optimizers, and an RMA replacement is pending.</t>
  </si>
  <si>
    <t>1. SR114229
2. SR088282</t>
  </si>
  <si>
    <t>1. Closed
2. Pending</t>
  </si>
  <si>
    <t>SR088282</t>
  </si>
  <si>
    <t>1. Site is underperforming by 11KW due to snow accumulation over panels</t>
  </si>
  <si>
    <t>1. SR114558</t>
  </si>
  <si>
    <t>1. Inverter 3, Unit 3.1 tripped offline at 12:00 on 11/17. After a technician replaced a faulty optimizer and the inverter powerhead unit, the inverter and unit was back online at 13:30 on 01/08.</t>
  </si>
  <si>
    <t>1. SR112392</t>
  </si>
  <si>
    <t xml:space="preserve">1. 8 optimizers are offline.  GenC confirms that Amrc will handle, to be combined with PM.
</t>
  </si>
  <si>
    <t>1. SR088813</t>
  </si>
  <si>
    <t>1. Site production was low on 01/17, 01/18 and from 01/25 due to snow.
2. Inverter 1 has shading issue.</t>
  </si>
  <si>
    <t>1. 4 Inverter modules are offline Module 1.0.64 Module 4.0.39 3.0.20 1.0.64</t>
  </si>
  <si>
    <t>1. SR093324, SR110370</t>
  </si>
  <si>
    <t>SR110370</t>
  </si>
  <si>
    <t>1. Weather station has morning shading due to that expected values are low.</t>
  </si>
  <si>
    <t>N/A</t>
  </si>
  <si>
    <t>1. Optimizers Module 1.2.4  , Module 2.2.18 , Module 2.3.11 , Module 3.1.16 ,  Module 6.1.5 ,  Module 7.1.4 , Module 7.3.17 ,  Module 9.1.16 ,Module 10.3.3 , 8.0.27 are offline. Pending troubleshooting.</t>
  </si>
  <si>
    <t xml:space="preserve">1. SR093326, SR110229
</t>
  </si>
  <si>
    <t>SR110229</t>
  </si>
  <si>
    <t>1.Inverter modules 3.0.144 and 5.0.100 are offline 4.0.66 - 30513B3F-FB - half 
production because split between 4 modules</t>
  </si>
  <si>
    <t>1. SR093327</t>
  </si>
  <si>
    <t>1. Inverter 2 started late for the production on 01/01/26 and having heavy shading isuue in mid day hours
2. Inverter 2 unit 2  (7e9ee253) is offline from 01/07 and reporting a DC isolation fault and back online on 01/13.</t>
  </si>
  <si>
    <t>1. SR112764
2. SR114236</t>
  </si>
  <si>
    <t>1. Closed 
2. Closed</t>
  </si>
  <si>
    <t>SR114236</t>
  </si>
  <si>
    <t>1. Optimizer 1.0.124 is offline. Will investigate combinely with other modules.</t>
  </si>
  <si>
    <t>1. SR109950</t>
  </si>
  <si>
    <t>1. Actual vs Forcasted delta is showing 34% due to Forcasted energy recording high possibly due to data glitch (similar event observe last 2 years).</t>
  </si>
  <si>
    <t>1. Inverter 1 having morning shading issue.</t>
  </si>
  <si>
    <t xml:space="preserve">1. Inverter 1 unit 1.2 having evening shading issue </t>
  </si>
  <si>
    <t>1. 6 modules are offline: Module 1.2.1 Module 1.2.13 Module 1.2.14 Module 1.11.5 Module 2.1.12 Module 2.1.16
2. One of the inverters has been offline since 11/26/25 and remained offline for the rest of the month.</t>
  </si>
  <si>
    <t>1. SR098241
2. SR111775</t>
  </si>
  <si>
    <t>1. Pending
2. Pending</t>
  </si>
  <si>
    <t>SR111775</t>
  </si>
  <si>
    <t>1.Inverter 1 unit 1.3 having morning shading issue and inverter 2 having evening shading issues</t>
  </si>
  <si>
    <t>1. Inverter 2 has afternoon shading.</t>
  </si>
  <si>
    <t>1. Inverter 1 has tripped offline at 12:00 on 01/14 and later back online at 12:00 on 01/20.
2. Inverter E was derating at approximately 860 kW on 01/14. After a remote reset, the inverter has been producing as expected since 01/26.</t>
  </si>
  <si>
    <t>1. SR114086
2. SR114571</t>
  </si>
  <si>
    <t>1. pending
2. Closed</t>
  </si>
  <si>
    <t>SR114571</t>
  </si>
  <si>
    <t>1. Inverter 2 was derating at approximately 850 kW during peak irradiance on 01/15. After a technician adjusted the thermostart settings, the inverter is now producing as expected since 01/22.
2. Inverter 2 was derating at approximately 400 kW during high irradiance on 01/26. After a remote reset, the inverter has been producing as expected since 01/26.</t>
  </si>
  <si>
    <t>1. SR114637
2. SR115340</t>
  </si>
  <si>
    <t xml:space="preserve">1. Closed
2. Completed </t>
  </si>
  <si>
    <t>SR115340</t>
  </si>
  <si>
    <t>1. Site production was low on 01/07, 01/15 &amp; 01/26 to 01/28 due to snow
2. Weather station stopped communicating Since 01/15</t>
  </si>
  <si>
    <t>2. SR115465</t>
  </si>
  <si>
    <t>2. New</t>
  </si>
  <si>
    <t>1. Site Production was low on 01/17 to 01/19 &amp; 01/25  due to snow
Site production was low most of the days due to snow due to that forcasted (theoretical) values appear higher 
2. Inverter 25 didn't started production on 01/22
3. Inverter 32 is underproducing by 5kW since 01/26 due to snow</t>
  </si>
  <si>
    <t xml:space="preserve">1. Site production was low on 01/17, 01/18 &amp; 01/25 to 01/28 due to snow
Site production was low most of the days due to snow due to that forcasted (theoretical) values appear higher </t>
  </si>
  <si>
    <t xml:space="preserve">1. Inverter 1 offline from 01/01 and back online at 14:40  on 01/03.
2. Inverter 1 again offline on 01/20 and back online on 01/21
3. Site production was low on 01/17 to 01/19  &amp;  01/25 due to snow
</t>
  </si>
  <si>
    <t>1. SR114057
2. SR114807</t>
  </si>
  <si>
    <t>1. Closed
2. Closed</t>
  </si>
  <si>
    <t>SR114807</t>
  </si>
  <si>
    <t xml:space="preserve">1. Site production was low on 01/04, 01/05  &amp; 01/25 due to snow
2. Site tripped offline at 16:10 on 01/09 and back online at 13:10 on 01/10
</t>
  </si>
  <si>
    <t>1. Site production was low on 01/17 to 01/19 &amp; 01/25 due to snow.</t>
  </si>
  <si>
    <t>1. Site production was low on 01/17 to 01/19  &amp; 01/25 due to snow</t>
  </si>
  <si>
    <t>1. Inverter 2 tripped offline at 09:50 on 01/17 and back online on 01/18.</t>
  </si>
  <si>
    <t>1. SR114704</t>
  </si>
  <si>
    <t>1. Site was from 10:30 on 12/24 and remained offline throughout the month due to oil leak in transformer.</t>
  </si>
  <si>
    <t>1.SR105816 ,SR113584 &amp; SR114827</t>
  </si>
  <si>
    <t>1. Closed, Pending, Pending</t>
  </si>
  <si>
    <t>SR113584</t>
  </si>
  <si>
    <t>SR114827</t>
  </si>
  <si>
    <t>1. Site production was low on 01/03, 01/04 &amp; 01/25 de to snow.</t>
  </si>
  <si>
    <t>1. Inverter 3 tripped offline from 11:40 to 13:00 on 01/02, again at 11:35 AM on 01/04 before coming back online on 01/05, and once more from 09:25 AM to 11:25 AM on 01/06.
2. Weather station is not communicating through out the month.</t>
  </si>
  <si>
    <t>2. SR111378</t>
  </si>
  <si>
    <t>2. Closed</t>
  </si>
  <si>
    <t>1. Inverters 3 &amp; 4 tripped offline from 10:10 on 12/31 and back online at 14:20 on 01/07</t>
  </si>
  <si>
    <t>1. SR113456</t>
  </si>
  <si>
    <t>1. Trackers: Group A tracker 1, 5, 6, 7, &amp; 10
          Group F tracker 22, 27, &amp; 33
          Group G tracker 13 &amp; 14 are stuck</t>
  </si>
  <si>
    <t>1. SR113372</t>
  </si>
  <si>
    <t>1.  Inverter 1 offline on 01/02 and Inverter 1 &amp; 2  back online at 14:30 on 01/03.
2. Gateway 5 missing 3 trackers 6, 14 and 15 were strucked since 08/20.Gc to hold untill 2026
3. 8 trackers are stuck, previously requested to hold until 2026: T01.A.30; B.24; D.17; E.06, 13, 14, &amp; 18; F.13</t>
  </si>
  <si>
    <t>1. SR114045
2. SR106622
3. SR114038</t>
  </si>
  <si>
    <t>1. Closed
2. Closed
3. Pending</t>
  </si>
  <si>
    <t>SR106622</t>
  </si>
  <si>
    <t>SR114038</t>
  </si>
  <si>
    <t>1. Site tripped offline at 18:00 on 01/09 and back online at 15:25 on 01/13.
2. 5 trackers stuck since 01/16: T01.A.18, T01.D.35, T02.C.10, T02.C.11, T02.E.02.
3. Inverter 2 started late on 01/27 &amp; 01/28</t>
  </si>
  <si>
    <t>1. SR114370
2. SR114654</t>
  </si>
  <si>
    <t>SR114654</t>
  </si>
  <si>
    <t>1. Inverter 18 derating at 50KW on 01/20, 01/21 &amp; 01/24.
2. Weather station lost communication at 17:15  01/24 and regained communication at 12:30 on 01/27.</t>
  </si>
  <si>
    <t xml:space="preserve">1. POA Pyranometer up is reporting zero from 12/30/25 and back to normal on 01/07 and again reporting zero from 01/08
2. 10 trackers are stuck:
          T01.C.44, 45, 46, 48, &amp; 50
          T01.D.48 &amp; 49
          T01.E.37 &amp; 43
Remaining trackers offline:
C.44 - R280
C.45 - R240
C.46 - R263
C.48 - R257
C.50 - R241
D.49 - R243
</t>
  </si>
  <si>
    <t>1. SR114201, SR114202
2. SR114181</t>
  </si>
  <si>
    <t>SR114202</t>
  </si>
  <si>
    <t>SR114181</t>
  </si>
  <si>
    <t>1.Site stopped communicating to GPM DAS From 02:00 on 12/17 and remained rest of the month but site is online and producing in Ingecon portal</t>
  </si>
  <si>
    <t>1. SR112948, SR114957</t>
  </si>
  <si>
    <t>1. Denied, Work In Progress</t>
  </si>
  <si>
    <t>SR114957</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</si>
  <si>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On 07/02  technician was after pulling event files from the SEL for analysis. The site remains offline.</t>
  </si>
  <si>
    <t xml:space="preserve">1. SR101820	</t>
  </si>
  <si>
    <t>1. Site was taken offline at 14:10 to 15:05 on 01/08 due to technician was onsite for PM work at the site.</t>
  </si>
  <si>
    <t>1. PM 11837 &amp; PM11906</t>
  </si>
  <si>
    <t>1. POA Pyranometer UP stopped communicating from 11/16 and reporting normally from 01/08 and POA Pyranometer DOWN stopped communicating since past years
2. Meter 1 is not capuring inverters data since  11/16 and resumed capturing data on 01/08.
3. Inverter 1,2 &amp;3 experienced multiple trippings on 01/01 to 01/4.
4. Inverter is offline since 01/05 and back online at 12:10 on 01/08 
5. Inverter 3 tripped offline  from 11:50 to 12:55 on 01/28 
6. Site production low on 01/25 due to snow</t>
  </si>
  <si>
    <t>1. SR112202
2. SR113983
3. SR114059
4. SR114167
5. SR115416</t>
  </si>
  <si>
    <t>1. Pending 
2. Pending
3. Closed
4. Closed</t>
  </si>
  <si>
    <t>SR113983</t>
  </si>
  <si>
    <t>SR114059</t>
  </si>
  <si>
    <t>SR114167</t>
  </si>
  <si>
    <t>SR115416</t>
  </si>
  <si>
    <t>1. Site production low from 01/25 due to snow</t>
  </si>
  <si>
    <t>1. SR114994</t>
  </si>
  <si>
    <t>1. Work in progress</t>
  </si>
  <si>
    <t>1. POA Pyranometer UP irradiance reporting 0W/m2 since 08/18. Due to this expected energy values in monthly reports has been affected.
2. Site production low on 01/14 due to snow</t>
  </si>
  <si>
    <t>1.SR105649</t>
  </si>
  <si>
    <t>1. Deined</t>
  </si>
  <si>
    <t>1. Inverter 2 tripped offline at 08:05AM on 01/08 and back online on 01/09.
2. Site tripped offline from 12:10 to 13:00 on 01/10</t>
  </si>
  <si>
    <t>1. Inverter 1, Module 1.2 tripped offline at 12:55 on 01/10 and back online on 01/11.</t>
  </si>
  <si>
    <t>1. SR114382</t>
  </si>
  <si>
    <t>1. Site tripped offline at 10:15AM on 01/05 and back online at 13:50 on 01/23</t>
  </si>
  <si>
    <t>1. SR114092, SR115258</t>
  </si>
  <si>
    <t>SR115258</t>
  </si>
  <si>
    <t>1. site was offline at 13:00 on 12/29 and back online at 15:05 on 01/07.
2. 15 trackers are stuck from 11/11
     Tracker 01 devices 11, 38, 44, 75, 92, 106, 119
     Tracker 02 devices 21, 27, 36, 43, 52, 66, 88, 124</t>
  </si>
  <si>
    <t>1. SR113860, SR113861
2. SR111019</t>
  </si>
  <si>
    <t xml:space="preserve">1. Closed
2. Pending
</t>
  </si>
  <si>
    <t>SR113861</t>
  </si>
  <si>
    <t>SR111019</t>
  </si>
  <si>
    <t>1. The site was offline at 14:00 on 01/08 and came back online at 02:05 on 01/09. It went offline again at 12:05 on 01/09 and was back at 13:00 on 01/10.</t>
  </si>
  <si>
    <t>1. Inverter 1 went offline at 07:50 on 01/07, reporting ‘STOP,’ and came back online at 13:40 on 01/08.</t>
  </si>
  <si>
    <t>1. SR114240</t>
  </si>
  <si>
    <t>1. Modules startting late for the production most of the days during the month.</t>
  </si>
  <si>
    <t>1. Modules startting late for the production most of the days during the month
2. Meter is intermittently lossing communication since 09/04, production can be verified at inverter level.
3. Weather station stopped communicating at 13:55 on 04/03/25.</t>
  </si>
  <si>
    <t>2. SR107450, SR107667</t>
  </si>
  <si>
    <t>SR107667</t>
  </si>
  <si>
    <t>1. Site tripped offline at 00:30 on 12/30, After the technician closed the relay, the site came back online at 10:25 on 01/01.
2. Weather station is not communicating for whole month.</t>
  </si>
  <si>
    <t>1. SR113809
2. SR106739</t>
  </si>
  <si>
    <t>3. Closed
4. Denied</t>
  </si>
  <si>
    <t>SR106739</t>
  </si>
  <si>
    <t>1. Site tripped offline at 09:00 on 01/22 and back online at 13:00 on 01/22.</t>
  </si>
  <si>
    <t>1. SR114896</t>
  </si>
  <si>
    <t>1. Meter 2 stopped communication at at 18:45 on 01/08.</t>
  </si>
  <si>
    <t>1. SR115453</t>
  </si>
  <si>
    <t>1. New</t>
  </si>
  <si>
    <t xml:space="preserve">1.Site production was low most of the days due to snow due to that forcasted (theoretical) values appear higher </t>
  </si>
  <si>
    <t>1.Site production was low most of the days due to snow due to that forcasted (theoretical) values appear higher.</t>
  </si>
  <si>
    <t>1. Tracker 30 is strucked since 01/20.</t>
  </si>
  <si>
    <t>1. SR114769</t>
  </si>
  <si>
    <t>1. 4 trackers are stuck: #116 ,147, 169, &amp; 170 have been stuck since 01/06; 2 trackers back online on 01/08, while the remaining two require further troubleshooting.</t>
  </si>
  <si>
    <t>1. SR114186</t>
  </si>
  <si>
    <t>1. Site was taken offline at 08:55 to 10:55 on 01/06 due to inspection at the site.</t>
  </si>
  <si>
    <t>1. SR113106</t>
  </si>
  <si>
    <t>1. Site production was low on 01/04,01/08,01/09,01/12 &amp; 01/27 due to snow.</t>
  </si>
  <si>
    <t>1. Inverter 1 was offline at 16:20 on 12/31, After a remote reset, the inverter came back online at 07:15 on 01/02.
2. Inverter 1 went offline at 07:00 on 01/08 and came back online at 09:15 01/08 after a remote reset, then went offline again at 07:00 on 01/10 and was back online at 09:15 on 01/10 after  remote reset.
3.  Inverter 1 was offline at 07:00 on 01/13 due to "battery fault", After a remote reset, the inverter came back online at 09:15 on 01/13.</t>
  </si>
  <si>
    <t>1. SR113924
2. SR114283
3. SR114502</t>
  </si>
  <si>
    <t>1. Closed
2. Closed
3. Closed</t>
  </si>
  <si>
    <t>SR114283</t>
  </si>
  <si>
    <t>SR114502</t>
  </si>
  <si>
    <t xml:space="preserve">1. Site tripped offline at 10:30 on 12/18, After the technician closed the relay, the site came back online at 11:05 on 01/17.
2. NCU 1 trackers 21 &amp; 53 are strucked since 12/03. </t>
  </si>
  <si>
    <t xml:space="preserve">1. SR113201
2. SR112035, SR113433 </t>
  </si>
  <si>
    <t>SR112035</t>
  </si>
  <si>
    <t>SR113433</t>
  </si>
  <si>
    <t>1. CB 1.11 strings 14, 15, 5, and 6 were isolated due to ground faults; later, the technician installed jumpers and all strings were back online on 01/09.</t>
  </si>
  <si>
    <t>1.SR112199, SR105387</t>
  </si>
  <si>
    <t>SR105387</t>
  </si>
  <si>
    <t>1. Site production was low on 01/17,01/18,01/25 &amp; 01/26 due to snow.</t>
  </si>
  <si>
    <t>1. Site production was low on 01/03 to 01/05, 01/07,01/12,01/14,01/15 &amp; 01/22 due to snow</t>
  </si>
  <si>
    <t xml:space="preserve">1. All trackers are currently stucked since 01/27, appears to be snow-related. </t>
  </si>
  <si>
    <t>1. SR114834</t>
  </si>
  <si>
    <t>1. The site stopped communicating through the DAS at 16:25 on 01/10 and issue remained for the rest of the month.</t>
  </si>
  <si>
    <t>1. SR114380</t>
  </si>
  <si>
    <t xml:space="preserve">1. Site tripped offline at 07:30 on 12/29 and back online at 12:30 on 01/01.
2. The meter is missing phase A throughout the month, resulting in incomplete production data for both inverters. GC will review in 2026
3. NCU 1 is missing communications and tracker angles cannot be confirmed, NCU 4 SPC 1015 is stuck. Pending replacement slew drive needed.
</t>
  </si>
  <si>
    <t xml:space="preserve">1. SR113716
2. SR108248
3. SR108120
</t>
  </si>
  <si>
    <t xml:space="preserve">1. Closed
2. Closed
3. Pending
</t>
  </si>
  <si>
    <t>SR108248</t>
  </si>
  <si>
    <t>SR108120</t>
  </si>
  <si>
    <t>1. The weather station dropped to 0 W/m² at 12:30 on 01/21.</t>
  </si>
  <si>
    <t>1. SR115466</t>
  </si>
  <si>
    <t>1. Site production was low on 01/17,01/18 &amp; 01/25 due to snow.</t>
  </si>
  <si>
    <t>1. NCU 02 trackers SPC 151 and SPC 349 were stuck from 01/06 to 01/12 until a bent pin was fixed, after which all trackers came back online; later SPC 123 was stuck from 01/15 to 01/22, and SPC 151 has been stuck again since 01/22.</t>
  </si>
  <si>
    <t>1. SR114176, SR114605</t>
  </si>
  <si>
    <t>SR114605</t>
  </si>
  <si>
    <t>1.25 trackers are currently stuck:
          NCU 1 SPC 101, 106, 111, 112, 116, 118, 201, 204, 301, 302, 305, 307, 309, 310
          NCU 2 SPC 125, 126, 136, 141, 223, 234, 242, 324, 327, 338, 341</t>
  </si>
  <si>
    <t>1. SR110135, SR113865</t>
  </si>
  <si>
    <t>SR113865</t>
  </si>
  <si>
    <t>1. 15 trackers are stuck: NCU 1 SPC 101, 206, 218, &amp; 314 NCU 2 SPC 118, 128, 230, 234, 321, 323, 333, 334, 336, 337, &amp; 343
2. POA pyranometer stopped communicating from 14:05 on 11/07. Additionally, POA pyranometer is not communicating since past years</t>
  </si>
  <si>
    <t>1. SR098860, SR099264, SR113864
2. SR112216</t>
  </si>
  <si>
    <t xml:space="preserve">1. Pending
2. Pending
</t>
  </si>
  <si>
    <t>SR099264</t>
  </si>
  <si>
    <t>SR113864</t>
  </si>
  <si>
    <t>SR112216</t>
  </si>
  <si>
    <t>1. The site went offline at 12:55 on 12/29, After the technician closed the relay, the site came back online at 10:45 on 01/02.
2. Site west offline at 18:45 on 01/09,  After the technician closed the relay, the site came back online at 16:10 on 01/12. 
7 trackers 119,216,220,329, 338, 143, and 240 have seized slew drives</t>
  </si>
  <si>
    <t>1. SR113815
2. SR114375
3. SR109998</t>
  </si>
  <si>
    <t>SR114375</t>
  </si>
  <si>
    <t>SR109998</t>
  </si>
  <si>
    <t>1. Weather station is not communicating through out the month.</t>
  </si>
  <si>
    <t>1. SR109079, SR110746</t>
  </si>
  <si>
    <t>SR110746</t>
  </si>
  <si>
    <t>1. Site tripped offline at 06:50 on 12/30,  After the technician closed the relay, the site came back online at 10:49 on 01/02.
2. Site tripped offline at 07:40 on 01/14,  After the technician closed the relay, the site came back online at 15:35 on 01/15.</t>
  </si>
  <si>
    <t>1. SR113817
2. SR114585</t>
  </si>
  <si>
    <t>SR114585</t>
  </si>
  <si>
    <t>1.Site production was low on 01/10,01/14,01/17,01/18 &amp; 01/25 due to snow</t>
  </si>
  <si>
    <t>1. Inverters and weather station stopped communicating at 03:00 on 12/29.</t>
  </si>
  <si>
    <t>1. SR113818, SR115462</t>
  </si>
  <si>
    <t>SR115462</t>
  </si>
  <si>
    <t>SOL-11085</t>
  </si>
  <si>
    <t>1.Site production was low on 01/16,01/17,01/25 -01/28 due to snow</t>
  </si>
  <si>
    <t>1.Inverter S1 was back online at 09:00 on 01/02
1.Site production was low on 01/01, 01/17,01/25 -01/28 due to snow</t>
  </si>
  <si>
    <t>1.Site production was low on 01/01,01/16,01/17,01/25 -01/28 due to snow
2.Inverters 1,2 are having morning shading issue</t>
  </si>
  <si>
    <t>1.Site production was low on 01/01,01/16,01/17,01/25 -01/28 due to snow</t>
  </si>
  <si>
    <t>1.Site production was low on 01/17-01/21,01/25 -01/28 due to snow</t>
  </si>
  <si>
    <t>1.Site production was low on 01/10,01/17 - 01/21,01/25 - 01/27 due to snow</t>
  </si>
  <si>
    <t>1.Site production was low on 01/10,01/17 - 01/21,01/25 - 01/28 due to snow
2. Inverters 3 and 4 had heavy shading in morning.</t>
  </si>
  <si>
    <t>1.Site production was low on 01/01,01/17,01/25 -01/28 due to snow</t>
  </si>
  <si>
    <t>1.Site production was low on 01/17-01/21,01/25 -01/28 due to snow
2. Inverter 2 experiencing minor shading issue</t>
  </si>
  <si>
    <t>1. Inverter 3 unit 3.1 was offline on 12/08</t>
  </si>
  <si>
    <t>1.SR114464</t>
  </si>
  <si>
    <t>1.pending</t>
  </si>
  <si>
    <t>1.Site was offline at 07:30 on 12/19 and later back online at 08:15 on 01/17</t>
  </si>
  <si>
    <t>1.SR113237</t>
  </si>
  <si>
    <t>1.Completed</t>
  </si>
  <si>
    <t>1. Inverter 1 unit 1.2 has heavy shading in the afternoon.
2.Site production was low on 01/01,01/17,01/25 -01/28 due to snow</t>
  </si>
  <si>
    <t>1. Inverter 3 has heavy shading in morning and evening.
2.Site production was low on 01/17-01/21,01/25 -01/28 due to snow</t>
  </si>
  <si>
    <t>1.  Inverter 1 unit 1.2 was offline on 09/29 at 14:30 and back online at 01/05</t>
  </si>
  <si>
    <t>1.SR112357</t>
  </si>
  <si>
    <t>1.Closed</t>
  </si>
  <si>
    <t>1.Site tripped offline at 04:00 on 12/31 and is back online at 14:15 on 01/02
2.Site was offline from 07:30 to 17:30 on 01/07</t>
  </si>
  <si>
    <t>1.SR113901
2.SR114216</t>
  </si>
  <si>
    <t>1.Closed
2.Closed</t>
  </si>
  <si>
    <t>SR114216</t>
  </si>
  <si>
    <t>1.Site was offline from 07:15 to 17:15 on 01/07
2.Multiple trackers are stuck</t>
  </si>
  <si>
    <t>1.SR114216 
2.SR109332</t>
  </si>
  <si>
    <t>1.Closed
2.Pending</t>
  </si>
  <si>
    <t>SR109332</t>
  </si>
  <si>
    <t>1. Weather station stopped communicating  from  06:15AM on 12/28/2025
2. Inverter 11 started late for production on 01/24 &amp; 01/25.</t>
  </si>
  <si>
    <t>1. SR113926
2. SR115301</t>
  </si>
  <si>
    <t>1. Pending
2. Closed</t>
  </si>
  <si>
    <t>SR115301</t>
  </si>
  <si>
    <t>1.Inverter 3 having heavy shading issue in morning hours
2. Site production was low on 01/18 &amp;  01/25 to 01/28.</t>
  </si>
  <si>
    <t>1. Site tripped offline from 07:30AM to 09:30AM on 01/03.
2. Site tripped offline from 03:30AM  to 04:15AM  on 01/13
3. Site again tripped offline at 22:30 on 01/15 and remained offline throughout the month.</t>
  </si>
  <si>
    <t>1. SR114051
2. SR114488
3. SR114640</t>
  </si>
  <si>
    <t>SR114488</t>
  </si>
  <si>
    <t>SR114640</t>
  </si>
  <si>
    <t>1. One broken Module for inverter 1 need to be replaced.</t>
  </si>
  <si>
    <t>1. SR113247</t>
  </si>
  <si>
    <t>1. Site tripped offline at 02:00PM on 01/23 and it came back online at 14:20 on 01/24
2. Inverter experienced multiple offline events between 01/02 and 01/21, with recovery after each trip.
3. Site tripped offline at 13:05 on 01/26 and has remained offline throughout the month.
4. Trackers 75 &amp; 108 are stuck on 01/01 and back to normal from 01/16.</t>
  </si>
  <si>
    <t>1. SR115287
2. SR113692, SR114790
3. SR115363
4. SR114177</t>
  </si>
  <si>
    <t>1. Closed
2. Pending
3.  New
4. Closed</t>
  </si>
  <si>
    <t>SR113692</t>
  </si>
  <si>
    <t>SR114790</t>
  </si>
  <si>
    <t>SR115363</t>
  </si>
  <si>
    <t>SR114177</t>
  </si>
  <si>
    <t>1.Site production was low on 01/21 to 01/29 due to snow</t>
  </si>
  <si>
    <t>1. The site has been offline since 03/07. The site will likely remain de-energized until late this year.</t>
  </si>
  <si>
    <t>1. SR098278, SR098670</t>
  </si>
  <si>
    <t>SR098670</t>
  </si>
  <si>
    <t>1. Site is offline from 01/26 and remained offlline throught the month.
2. All trackers were stuck on 01/15, with residual snowfall of about a quarter inch reported nearby. On 01/16, all trackers except T02.D.21 resumed normal operation after earlier communication and angle issues.</t>
  </si>
  <si>
    <t>1.	SR115348
2.	SR112774</t>
  </si>
  <si>
    <t>SR112774</t>
  </si>
  <si>
    <t>1. Site tripped offline at 10:45AM on 01/16 and back online at 12:25PM on same day.
2. 8 Trackers are stuck on 01/06: #005, 012, 014, 035, 040, 041, &amp; 050 and all trackers are back to normal on 01/08 expect tracker 40 and again all trackers are stuck on 01/21 and back to operating normal on 01/23</t>
  </si>
  <si>
    <t>1. NO SR
2. SR114817 &amp; SR114179</t>
  </si>
  <si>
    <t>1.
2. Pending</t>
  </si>
  <si>
    <t>SR114179</t>
  </si>
  <si>
    <t xml:space="preserve">1.The meter is missing comms but the inverters are communicating from 11/30
2. Inverter 2 is offline on 12/31 and came back online on 01/01 after self-resolving. Both inverters went offline again on 01/02 and were brought back online at 10:45 the same day after the technician power-cycled them.
3. Site offline on 01/03 was re-energized by the technician, coming back online at 11:40 AM on 01/04
4. Site offline on 01/05 and back online at 11:30AM on 01/06, It tripped offline again at 12:35 PM the same day and self-resolved, came back online at 08:10 AM on 01/07.
5. Inverters experienced multiple offline events between 01/17 and 01/25, caused by a single-phase voltage unbalance exceeding 3% of nominal voltage.
</t>
  </si>
  <si>
    <t>1.SR111863
2.SR113917
3. SR114056
4. SR114169
5. SR114193</t>
  </si>
  <si>
    <t>1.Closed
2.closed
3.Closed
4. Closed
5. Pending</t>
  </si>
  <si>
    <t>SR113917</t>
  </si>
  <si>
    <t>SR114056</t>
  </si>
  <si>
    <t>SR114169</t>
  </si>
  <si>
    <t>SR114193</t>
  </si>
  <si>
    <t>1. Site tripped offline at 15:40 on 01/04. After the EV technician replaced the faulty equipment, it was energized and brought back online at 12:10 on 01/17.
2. 20 trackers are stuck since 01/22: #7-9, 10, 12, 18-19, 21-23, 27-29, 33-34, 39, 41-42, 48-49 - . These trackers showed a low battery auto-stow warning, and several were charging, which may have been related to the recent snowfall. The issue self-resolved on 01/23, but one tracker became stuck again on 01/26</t>
  </si>
  <si>
    <t>1. SR114084
2. SR114889</t>
  </si>
  <si>
    <t>1. Completed
2. Pending</t>
  </si>
  <si>
    <t>SR114889</t>
  </si>
  <si>
    <t>1. Site production was low from 01/25 due to snow.
2. The site is performing as expected, but the expected and forecasted values are high. A similar event was observed over the past two years.</t>
  </si>
  <si>
    <t>1. Inverter 2 was offline since 07:00 on 10/11. denied by customer
2. The meter has been communicating intermittently throughout the month.</t>
  </si>
  <si>
    <t>1. SR109524 &amp; SR114651
2. SR100771 &amp; SR114651</t>
  </si>
  <si>
    <t>SR114651</t>
  </si>
  <si>
    <t>SR100771</t>
  </si>
  <si>
    <t>1. Site was offline for whole month due to major fault onsite.</t>
  </si>
  <si>
    <t>1. SR114034, SR110863 &amp; SR114857</t>
  </si>
  <si>
    <t>SR110863</t>
  </si>
  <si>
    <t>SR114857</t>
  </si>
  <si>
    <t xml:space="preserve">1. All trackers on site were not tracking properly for whole month.
2. Inverters 2.04 &amp; 2.15 were derating at 47kw on 01/23 &amp; 01/26 </t>
  </si>
  <si>
    <t>1. SR113569
2. SR112384</t>
  </si>
  <si>
    <t>SR112384</t>
  </si>
  <si>
    <t>1. Weather station was not communicated for whole month.</t>
  </si>
  <si>
    <t>1. SR108392</t>
  </si>
  <si>
    <t xml:space="preserve">Pending
</t>
  </si>
  <si>
    <t>1. Inverter 2 was underproducing by 500kW from 12/01/2025  and back to normal production from 01/06/2026
2. Inverter 2 was offline from 01/12 to 11:00 on 01/13, again tripped offline at 12:00 on 01/16. After the technician replaced the hardware and updated the firmware, it was brought back online on 01/21. 
3. POA and BPO have stopped communicating from 12/23 but later communicating intermittently and resolved on 01/29.
4. site was taken offline from 12:00 to 16:00 on 01/20 for troubleshooting on Inverter 2.</t>
  </si>
  <si>
    <t>1. SR113003, 
2. SR111163, SR114420
3. SR113452
4. SR114420</t>
  </si>
  <si>
    <t>Pending
Pending
Pending
Pending</t>
  </si>
  <si>
    <t>SR111163</t>
  </si>
  <si>
    <t>SR114420</t>
  </si>
  <si>
    <t>SR113452</t>
  </si>
  <si>
    <t>1.  Inverter 2 was offline from 10:00 on 12/22 due to faulty breaker and remained offline to date.</t>
  </si>
  <si>
    <t>1. SR113455, SR113185</t>
  </si>
  <si>
    <t>Pending</t>
  </si>
  <si>
    <t>SR113185</t>
  </si>
  <si>
    <t>1. Site production was low on 01/07 to 01/11 due to snow.</t>
  </si>
  <si>
    <t>1. Site production was low on 01/17,01/18 &amp; 01/25  to 01/31 due to snow.</t>
  </si>
  <si>
    <t>1. Site was offline from 07:00 on 12/29  due to a faulty surge arrester and back online at 17:30 on 01/28</t>
  </si>
  <si>
    <t>1. SR114035, SR113743</t>
  </si>
  <si>
    <t>SR113743</t>
  </si>
  <si>
    <t>1. Inverter 23 was offline  since 07:00 on 12/05 and back online at 13:17 on 01/02 after chint remote reset.</t>
  </si>
  <si>
    <t>1	SR112320</t>
  </si>
  <si>
    <t>Closed</t>
  </si>
  <si>
    <t>1. Site tripped offline at 19:00 on 01/08 and came back online at 20:15 on 01/10 after a brief utility outage.
2.   Inverters 1.06 is constantly derating at 76kw on 01/26 due to External fan fault and self resolved on 01/27.</t>
  </si>
  <si>
    <t>1.	SR114325
2. SR115342</t>
  </si>
  <si>
    <t>Closed
Closed</t>
  </si>
  <si>
    <t>SR115342</t>
  </si>
  <si>
    <t>1. Site tripped offline at 03:00 AM on 01/07. After the technician closed the Breaker, the site came back online at 10:00 on 01/09.
2. Site tripped offline at 10:00 AM on 01/21 due to a blown fuse in the transformer. It requires further troubleshooting and has remained offline throughout the month.</t>
  </si>
  <si>
    <t>1. 	SR114209, SR112908
2. SR114820, SR114849</t>
  </si>
  <si>
    <t>Closed
Pending</t>
  </si>
  <si>
    <t>SR112908</t>
  </si>
  <si>
    <t>SR114820</t>
  </si>
  <si>
    <t>SR114849</t>
  </si>
  <si>
    <t>1.Site tripped offline at 02:45 on 01/07 and back online at 11:15 on 01/08
2.Site was offline from 05:15 to 11:00 on 01/08
3.Inverters 1 and 2 have tripped offline at 08:30 to 15:00 on 01/16
4.Site tripped offline at 07:30 on 01/20 and back online at 10:45 on 01/21</t>
  </si>
  <si>
    <t>3.SR114686
4.SR114541</t>
  </si>
  <si>
    <t>SR114541</t>
  </si>
  <si>
    <t xml:space="preserve">	197,342</t>
  </si>
  <si>
    <t>February Actual v. Expected</t>
  </si>
  <si>
    <t>February Actual v. Forecasted</t>
  </si>
  <si>
    <t>March Actual v. Expected</t>
  </si>
  <si>
    <t>March Actual v. Forecasted</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</si>
  <si>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</si>
  <si>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</si>
  <si>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</si>
  <si>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</si>
  <si>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</si>
  <si>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</si>
  <si>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</si>
  <si>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</si>
  <si>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</si>
  <si>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</si>
  <si>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 xml:space="preserve"> </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</si>
  <si>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</si>
  <si>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</si>
  <si>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</si>
  <si>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</si>
  <si>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</si>
  <si>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</si>
  <si>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</si>
  <si>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</si>
  <si>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</si>
  <si>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Generate Capital</t>
  </si>
  <si>
    <t>Site DAS Name</t>
  </si>
  <si>
    <t>Update</t>
  </si>
  <si>
    <t>DAS</t>
  </si>
  <si>
    <t>K026</t>
  </si>
  <si>
    <t>NY</t>
  </si>
  <si>
    <t>PowerTrack</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</si>
  <si>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</si>
  <si>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</si>
  <si>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</si>
  <si>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</si>
  <si>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</si>
  <si>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</si>
  <si>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</si>
  <si>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</si>
  <si>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</si>
  <si>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</si>
  <si>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</si>
  <si>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</si>
  <si>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</si>
  <si>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</si>
  <si>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</si>
  <si>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</si>
  <si>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</si>
  <si>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</si>
  <si>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</si>
  <si>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</si>
  <si>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</si>
  <si>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</si>
  <si>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</si>
  <si>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</si>
  <si>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</si>
  <si>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</si>
  <si>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</si>
  <si>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</si>
  <si>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</si>
  <si>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</si>
  <si>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</si>
  <si>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</si>
  <si>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</si>
  <si>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</si>
  <si>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</si>
  <si>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</si>
  <si>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</si>
  <si>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</si>
  <si>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</si>
  <si>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</si>
  <si>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</si>
  <si>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</si>
  <si>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</si>
  <si>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</si>
  <si>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</si>
  <si>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</si>
  <si>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</si>
  <si>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</si>
  <si>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</si>
  <si>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</si>
  <si>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</si>
  <si>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</si>
  <si>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</si>
  <si>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</si>
  <si>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</si>
  <si>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</si>
  <si>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</si>
  <si>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</si>
  <si>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</si>
  <si>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</si>
  <si>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</si>
  <si>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</si>
  <si>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</si>
  <si>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</si>
  <si>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</si>
  <si>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</si>
  <si>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</si>
  <si>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</si>
  <si>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</si>
  <si>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</si>
  <si>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</si>
  <si>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</si>
  <si>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</si>
  <si>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</si>
  <si>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</si>
  <si>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</si>
  <si>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</si>
  <si>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</si>
  <si>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</si>
  <si>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</si>
  <si>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</si>
  <si>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</si>
  <si>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</si>
  <si>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</si>
  <si>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</si>
  <si>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</si>
  <si>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</si>
  <si>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</si>
  <si>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</si>
  <si>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</si>
  <si>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</si>
  <si>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</si>
  <si>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</si>
  <si>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</si>
  <si>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</si>
  <si>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</si>
  <si>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</si>
  <si>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</si>
  <si>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</si>
  <si>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</si>
  <si>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</si>
  <si>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</si>
  <si>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</si>
  <si>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</si>
  <si>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</si>
  <si>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</si>
  <si>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</si>
  <si>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</si>
  <si>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</si>
  <si>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</si>
  <si>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</si>
  <si>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</si>
  <si>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</si>
  <si>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</si>
  <si>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</si>
  <si>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FA</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</si>
  <si>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</si>
  <si>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</si>
  <si>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</si>
  <si>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</si>
  <si>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</si>
  <si>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</si>
  <si>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</si>
  <si>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</si>
  <si>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</si>
  <si>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</si>
  <si>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</si>
  <si>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</si>
  <si>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</si>
  <si>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</si>
  <si>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</si>
  <si>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</si>
  <si>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</si>
  <si>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</si>
  <si>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</si>
  <si>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</si>
  <si>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</si>
  <si>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</si>
  <si>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</si>
  <si>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SOL-10966</t>
  </si>
  <si>
    <t>Canoga</t>
  </si>
  <si>
    <t>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</si>
  <si>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</si>
  <si>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</si>
  <si>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</si>
  <si>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</si>
  <si>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</si>
  <si>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</si>
  <si>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</si>
  <si>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</si>
  <si>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</si>
  <si>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</si>
  <si>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</si>
  <si>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</si>
  <si>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</si>
  <si>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</si>
  <si>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</si>
  <si>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</si>
  <si>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</si>
  <si>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</si>
  <si>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</si>
  <si>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</si>
  <si>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</si>
  <si>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</si>
  <si>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</si>
  <si>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</si>
  <si>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</si>
  <si>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</si>
  <si>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</si>
  <si>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</si>
  <si>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</si>
  <si>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</si>
  <si>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</si>
  <si>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</si>
  <si>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</si>
  <si>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</si>
  <si>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</si>
  <si>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</si>
  <si>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</si>
  <si>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</si>
  <si>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</si>
  <si>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</si>
  <si>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</si>
  <si>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</si>
  <si>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</si>
  <si>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</si>
  <si>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</si>
  <si>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</si>
  <si>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</si>
  <si>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</si>
  <si>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</si>
  <si>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</si>
  <si>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</si>
  <si>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</si>
  <si>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</si>
  <si>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</si>
  <si>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</si>
  <si>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</si>
  <si>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</si>
  <si>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</si>
  <si>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</si>
  <si>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</si>
  <si>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</si>
  <si>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</si>
  <si>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</si>
  <si>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</si>
  <si>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</si>
  <si>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</si>
  <si>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</si>
  <si>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</si>
  <si>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</si>
  <si>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</si>
  <si>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</si>
  <si>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</si>
  <si>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</si>
  <si>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</si>
  <si>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</si>
  <si>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</si>
  <si>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</si>
  <si>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</si>
  <si>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Bullitt Farm Solar, LLC</t>
  </si>
  <si>
    <t>SOL-10998</t>
  </si>
  <si>
    <t>Brodhead Solar</t>
  </si>
  <si>
    <t>Brodhead Solar, LLC</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</si>
  <si>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</si>
  <si>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</si>
  <si>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</si>
  <si>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</si>
  <si>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</si>
  <si>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</si>
  <si>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</si>
  <si>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</si>
  <si>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F</t>
  </si>
  <si>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</si>
  <si>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</si>
  <si>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</si>
  <si>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</si>
  <si>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</si>
  <si>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</si>
  <si>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</si>
  <si>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</si>
  <si>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</si>
  <si>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</si>
  <si>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</si>
  <si>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</si>
  <si>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</si>
  <si>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</si>
  <si>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</si>
  <si>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</si>
  <si>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</si>
  <si>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</si>
  <si>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</si>
  <si>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SOL-11086</t>
  </si>
  <si>
    <t>Krumkill South</t>
  </si>
  <si>
    <t>SOL-11087</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</si>
  <si>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</si>
  <si>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</si>
  <si>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</si>
  <si>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</si>
  <si>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</si>
  <si>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</si>
  <si>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</si>
  <si>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</si>
  <si>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</si>
  <si>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</si>
  <si>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</si>
  <si>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</si>
  <si>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</si>
  <si>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</si>
  <si>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</si>
  <si>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</si>
  <si>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</si>
  <si>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</si>
  <si>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</si>
  <si>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</si>
  <si>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</si>
  <si>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</si>
  <si>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</si>
  <si>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</si>
  <si>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</si>
  <si>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</si>
  <si>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</si>
  <si>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</si>
  <si>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</si>
  <si>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</si>
  <si>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</si>
  <si>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</si>
  <si>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</si>
  <si>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</si>
  <si>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</si>
  <si>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</si>
  <si>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</si>
  <si>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</si>
  <si>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</si>
  <si>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</si>
  <si>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</si>
  <si>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</si>
  <si>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</si>
  <si>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SOL-11093</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</si>
  <si>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</si>
  <si>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</si>
  <si>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</si>
  <si>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</si>
  <si>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</si>
  <si>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</si>
  <si>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</si>
  <si>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</si>
  <si>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</si>
  <si>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</si>
  <si>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</si>
  <si>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</si>
  <si>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</si>
  <si>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SOL-10898</t>
  </si>
  <si>
    <t>County Route 11B</t>
  </si>
  <si>
    <t>SOL-10983</t>
  </si>
  <si>
    <t>Barone</t>
  </si>
  <si>
    <t>SOL-11034</t>
  </si>
  <si>
    <t>Cedarville</t>
  </si>
  <si>
    <t>SOL-11069</t>
  </si>
  <si>
    <t xml:space="preserve"> O'Brien Hill #1</t>
  </si>
  <si>
    <t>SOL-11098</t>
  </si>
  <si>
    <t xml:space="preserve"> O'Brien Hill #2</t>
  </si>
  <si>
    <t>SOL-11099</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</si>
  <si>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</si>
  <si>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</si>
  <si>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</si>
  <si>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</si>
  <si>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</si>
  <si>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</si>
  <si>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</si>
  <si>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</si>
  <si>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</si>
  <si>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</si>
  <si>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</si>
  <si>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</si>
  <si>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</si>
  <si>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</si>
  <si>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</si>
  <si>
    <t>The Essex - DC</t>
  </si>
  <si>
    <t>DC: Washington - Essex Condominium</t>
  </si>
  <si>
    <t>DC</t>
  </si>
  <si>
    <t>SOL-10036</t>
  </si>
  <si>
    <t>Leoku</t>
  </si>
  <si>
    <t>HI: Waipahu - 94-246 Leoku St - E.F.G.</t>
  </si>
  <si>
    <t>HI</t>
  </si>
  <si>
    <t>SOL-10071</t>
  </si>
  <si>
    <t>Waipahu</t>
  </si>
  <si>
    <t>HI: Waipahu - 94-099 Waipahu St - PV</t>
  </si>
  <si>
    <t>SOL-10068</t>
  </si>
  <si>
    <t>Yager Road Whiteside Solar 1, LLC</t>
  </si>
  <si>
    <t>IL: Prophetstown - 5170 Yager Road (PW)</t>
  </si>
  <si>
    <t>SOL-11149</t>
  </si>
  <si>
    <t xml:space="preserve">Goldenrod Solar Project, LLC  </t>
  </si>
  <si>
    <t>IL: Viola - Goldenrod - (PW)</t>
  </si>
  <si>
    <t>SOL-11132</t>
  </si>
  <si>
    <t xml:space="preserve">Grant Highway Solar 1, LLC </t>
  </si>
  <si>
    <t>IL: Marengo - Grant - (PW)</t>
  </si>
  <si>
    <t>SOL-11147</t>
  </si>
  <si>
    <t>Cambridge - Cambridge (PW)</t>
  </si>
  <si>
    <t>NY: Cambridge - Cambridge (PW)</t>
  </si>
  <si>
    <t>SOL-11126</t>
  </si>
  <si>
    <t xml:space="preserve"> Whitesville - Independence North</t>
  </si>
  <si>
    <t>NY: Whitesville - Independence North</t>
  </si>
  <si>
    <t>SOL-11186</t>
  </si>
  <si>
    <t>S Cottage Grove Ave - North</t>
  </si>
  <si>
    <t>IL: Beecher - Cottage Grove North (PW)</t>
  </si>
  <si>
    <t>SOL-11114</t>
  </si>
  <si>
    <t>S Cottage Grove Ave - South</t>
  </si>
  <si>
    <t>IL: Beecher - Cottage Grove South (PW)</t>
  </si>
  <si>
    <t>SOL-11115</t>
  </si>
  <si>
    <t>9521 US 14 - McHenry</t>
  </si>
  <si>
    <t>IL: Harvard - 9618 US HWY 14 (PW)</t>
  </si>
  <si>
    <t>SOL-11110</t>
  </si>
  <si>
    <t>Goodenow West</t>
  </si>
  <si>
    <t>IL: Beecher - 701 E Goodenow Rd (PW)</t>
  </si>
  <si>
    <t>SOL-11112</t>
  </si>
  <si>
    <t>NY: Stormville - Green Haven - (IRA)</t>
  </si>
  <si>
    <t>Power factors</t>
  </si>
  <si>
    <t>SOL-11151</t>
  </si>
  <si>
    <t>Anacott Solar, LLC</t>
  </si>
  <si>
    <t>IL: Hillsboro - Anacott (PW)</t>
  </si>
  <si>
    <t>SOL-11134</t>
  </si>
  <si>
    <t>Gougar Road Solar 1, LLC</t>
  </si>
  <si>
    <t>IL: Manhattan - Gougar (PW)</t>
  </si>
  <si>
    <t>SOL-11148</t>
  </si>
  <si>
    <t>SAWYER ROAD</t>
  </si>
  <si>
    <t>IL: Morrison - Sawyer (PW)</t>
  </si>
  <si>
    <t>JEFFERY ROAD</t>
  </si>
  <si>
    <t>IL: Kankakee - Jeffery (PW)</t>
  </si>
  <si>
    <t>Freeport</t>
  </si>
  <si>
    <t>IL: Freeport - 2240 South 18th Ave (PW)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</si>
</sst>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3">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rgb="FF000000"/>
      <name val="Calibri"/>
      <family val="2"/>
      <scheme val="minor"/>
    </font>
    <font>
      <sz val="10"/>
      <color rgb="FF000000"/>
      <name val="Arial"/>
      <family val="2"/>
    </font>
    <font>
      <sz val="11"/>
      <color rgb="FF000000"/>
      <name val="Calibri"/>
      <scheme val="minor"/>
    </font>
    <font>
      <sz val="11"/>
      <name val="Calibri"/>
      <scheme val="minor"/>
    </font>
    <font>
      <sz val="11"/>
      <color rgb="FF000000"/>
      <name val="Calibri"/>
      <charset val="1"/>
    </font>
    <font>
      <sz val="10"/>
      <color theme="1"/>
      <name val="Arial"/>
    </font>
  </fonts>
  <fills count="53">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
      <patternFill patternType="solid">
        <fgColor rgb="FFFFFF00"/>
        <bgColor indexed="64"/>
      </patternFill>
    </fill>
    <fill>
      <patternFill patternType="solid">
        <fgColor rgb="FFFFF2CC"/>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rgb="FF8EA9DB"/>
      </right>
      <top style="thin">
        <color rgb="FF8EA9DB"/>
      </top>
      <bottom style="thin">
        <color rgb="FF8EA9DB"/>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98">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3" fontId="31" fillId="46" borderId="0" xfId="0" applyNumberFormat="1" applyFont="1" applyFill="1" applyAlignment="1">
      <alignment horizontal="right" vertical="center"/>
    </xf>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31" fillId="38"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0" fontId="33" fillId="0" borderId="0" xfId="0" applyFont="1" applyAlignment="1">
      <alignment horizontal="left" vertical="top"/>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top" wrapTex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Alignment="1">
      <alignment vertical="top" wrapText="1"/>
    </xf>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164" fontId="29" fillId="44" borderId="0" xfId="1" applyNumberFormat="1" applyFont="1" applyFill="1" applyAlignment="1">
      <alignment horizontal="center" vertical="center" wrapText="1"/>
    </xf>
    <xf numFmtId="4" fontId="24" fillId="0" borderId="0" xfId="0" applyNumberFormat="1" applyFont="1" applyAlignment="1">
      <alignment vertical="center"/>
    </xf>
    <xf numFmtId="0" fontId="46" fillId="0" borderId="0" xfId="46" applyAlignment="1">
      <alignment vertical="top" wrapText="1"/>
    </xf>
    <xf numFmtId="0" fontId="47" fillId="0" borderId="0" xfId="0" applyFont="1" applyAlignment="1">
      <alignment wrapText="1"/>
    </xf>
    <xf numFmtId="3" fontId="31" fillId="4" borderId="0" xfId="1" applyNumberFormat="1" applyFont="1" applyFill="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horizontal="right" vertical="center"/>
    </xf>
    <xf numFmtId="3" fontId="31" fillId="4" borderId="0" xfId="1" applyNumberFormat="1" applyFont="1" applyFill="1" applyAlignment="1">
      <alignment horizontal="right"/>
    </xf>
    <xf numFmtId="0" fontId="46" fillId="0" borderId="0" xfId="46" applyAlignment="1">
      <alignment vertical="center" wrapText="1"/>
    </xf>
    <xf numFmtId="0" fontId="46" fillId="47" borderId="0" xfId="46" applyFill="1" applyAlignment="1">
      <alignment vertical="top" wrapText="1"/>
    </xf>
    <xf numFmtId="0" fontId="24" fillId="0" borderId="0" xfId="0" applyFont="1" applyAlignment="1">
      <alignment horizontal="left" vertical="top"/>
    </xf>
    <xf numFmtId="0" fontId="38" fillId="0" borderId="0" xfId="0" applyFont="1" applyAlignment="1">
      <alignment vertical="top" wrapText="1"/>
    </xf>
    <xf numFmtId="0" fontId="24" fillId="50" borderId="0" xfId="0" applyFont="1" applyFill="1" applyAlignment="1">
      <alignment vertical="top" wrapText="1"/>
    </xf>
    <xf numFmtId="3" fontId="31" fillId="4" borderId="0" xfId="1" applyNumberFormat="1" applyFont="1" applyFill="1" applyBorder="1" applyAlignment="1">
      <alignment horizontal="right" vertical="center"/>
    </xf>
    <xf numFmtId="3" fontId="31" fillId="0" borderId="0" xfId="1" applyNumberFormat="1" applyFont="1" applyFill="1" applyBorder="1" applyAlignment="1">
      <alignment horizontal="right" vertical="center"/>
    </xf>
    <xf numFmtId="49" fontId="46" fillId="38" borderId="0" xfId="46" applyNumberFormat="1" applyFill="1" applyBorder="1" applyAlignment="1">
      <alignment horizontal="left" vertical="center" wrapText="1"/>
    </xf>
    <xf numFmtId="0" fontId="31" fillId="47" borderId="0" xfId="0" applyFont="1" applyFill="1" applyAlignment="1">
      <alignment wrapText="1"/>
    </xf>
    <xf numFmtId="0" fontId="46" fillId="47" borderId="0" xfId="46" applyFill="1" applyBorder="1" applyAlignment="1">
      <alignment wrapText="1"/>
    </xf>
    <xf numFmtId="0" fontId="46" fillId="0" borderId="0" xfId="46" applyBorder="1" applyAlignment="1">
      <alignment wrapText="1"/>
    </xf>
    <xf numFmtId="0" fontId="46" fillId="0" borderId="0" xfId="46" applyBorder="1" applyAlignment="1"/>
    <xf numFmtId="0" fontId="48" fillId="0" borderId="12" xfId="0" applyFont="1" applyBorder="1"/>
    <xf numFmtId="3" fontId="24" fillId="0" borderId="0" xfId="0" applyNumberFormat="1" applyFont="1" applyAlignment="1">
      <alignment horizontal="center"/>
    </xf>
    <xf numFmtId="3" fontId="31" fillId="49" borderId="0" xfId="0" applyNumberFormat="1" applyFont="1" applyFill="1" applyAlignment="1">
      <alignment horizontal="right" vertical="center"/>
    </xf>
    <xf numFmtId="3" fontId="24" fillId="48" borderId="0" xfId="0" applyNumberFormat="1" applyFont="1" applyFill="1" applyAlignment="1">
      <alignment horizontal="right" vertical="center"/>
    </xf>
    <xf numFmtId="3" fontId="24" fillId="0" borderId="0" xfId="0" applyNumberFormat="1" applyFont="1" applyAlignment="1">
      <alignment horizontal="right" vertical="center"/>
    </xf>
    <xf numFmtId="3" fontId="24" fillId="0" borderId="0" xfId="0" applyNumberFormat="1" applyFont="1" applyAlignment="1">
      <alignment horizontal="center" vertical="center"/>
    </xf>
    <xf numFmtId="3" fontId="31" fillId="49" borderId="0" xfId="0" applyNumberFormat="1" applyFont="1" applyFill="1" applyAlignment="1">
      <alignment horizontal="right"/>
    </xf>
    <xf numFmtId="3" fontId="31" fillId="4" borderId="0" xfId="1" applyNumberFormat="1" applyFont="1" applyFill="1" applyAlignment="1">
      <alignment horizontal="right" vertical="center"/>
    </xf>
    <xf numFmtId="9" fontId="31" fillId="46" borderId="0" xfId="2" applyFont="1" applyFill="1" applyBorder="1" applyAlignment="1">
      <alignment horizontal="center" vertical="center"/>
    </xf>
    <xf numFmtId="0" fontId="0" fillId="46" borderId="0" xfId="0" applyFill="1"/>
    <xf numFmtId="0" fontId="28" fillId="46" borderId="0" xfId="0" applyFont="1" applyFill="1" applyAlignment="1">
      <alignment horizontal="center" vertical="center"/>
    </xf>
    <xf numFmtId="0" fontId="29" fillId="46" borderId="0" xfId="0" applyFont="1" applyFill="1" applyAlignment="1">
      <alignment horizontal="center" vertical="center"/>
    </xf>
    <xf numFmtId="3" fontId="24" fillId="46" borderId="0" xfId="0" applyNumberFormat="1" applyFont="1" applyFill="1" applyAlignment="1">
      <alignment horizontal="center"/>
    </xf>
    <xf numFmtId="49" fontId="29" fillId="46" borderId="0" xfId="0" applyNumberFormat="1" applyFont="1" applyFill="1" applyAlignment="1">
      <alignment horizontal="left" vertical="top" wrapText="1"/>
    </xf>
    <xf numFmtId="3" fontId="24" fillId="0" borderId="0" xfId="0" applyNumberFormat="1" applyFont="1" applyAlignment="1">
      <alignment horizontal="right"/>
    </xf>
    <xf numFmtId="3" fontId="24" fillId="48" borderId="0" xfId="0" applyNumberFormat="1" applyFont="1" applyFill="1" applyAlignment="1">
      <alignment horizontal="right"/>
    </xf>
    <xf numFmtId="3" fontId="24" fillId="46" borderId="0" xfId="0" applyNumberFormat="1" applyFont="1" applyFill="1" applyAlignment="1">
      <alignment horizontal="right" vertical="center"/>
    </xf>
    <xf numFmtId="3" fontId="31" fillId="46" borderId="0" xfId="1" applyNumberFormat="1" applyFont="1" applyFill="1" applyAlignment="1">
      <alignment horizontal="right" vertical="center"/>
    </xf>
    <xf numFmtId="3" fontId="31" fillId="46" borderId="0" xfId="1" applyNumberFormat="1" applyFont="1" applyFill="1" applyBorder="1" applyAlignment="1">
      <alignment horizontal="right" vertical="center"/>
    </xf>
    <xf numFmtId="9" fontId="26" fillId="36" borderId="1" xfId="0" applyNumberFormat="1" applyFont="1" applyFill="1" applyBorder="1" applyAlignment="1">
      <alignment vertical="center"/>
    </xf>
    <xf numFmtId="9" fontId="25" fillId="41" borderId="1" xfId="2" applyFont="1" applyFill="1" applyBorder="1" applyAlignment="1">
      <alignment vertical="center" wrapText="1"/>
    </xf>
    <xf numFmtId="9" fontId="32" fillId="0" borderId="0" xfId="2" applyFont="1" applyAlignment="1">
      <alignment vertical="center"/>
    </xf>
    <xf numFmtId="9" fontId="5" fillId="0" borderId="0" xfId="2" applyFont="1" applyAlignment="1">
      <alignment vertical="center"/>
    </xf>
    <xf numFmtId="0" fontId="46" fillId="47" borderId="0" xfId="46" applyFill="1" applyAlignment="1">
      <alignment wrapText="1"/>
    </xf>
    <xf numFmtId="0" fontId="28" fillId="0" borderId="0" xfId="0" applyFont="1" applyAlignment="1">
      <alignment horizontal="left" vertical="top"/>
    </xf>
    <xf numFmtId="0" fontId="0" fillId="51" borderId="0" xfId="0" applyFill="1"/>
    <xf numFmtId="164" fontId="29" fillId="44" borderId="0" xfId="1" applyNumberFormat="1" applyFont="1" applyFill="1" applyAlignment="1">
      <alignment horizontal="right" vertical="center"/>
    </xf>
    <xf numFmtId="3" fontId="31" fillId="0" borderId="0" xfId="1" applyNumberFormat="1" applyFont="1" applyAlignment="1">
      <alignment horizontal="right"/>
    </xf>
    <xf numFmtId="3" fontId="31" fillId="4" borderId="0" xfId="1" applyNumberFormat="1" applyFont="1" applyFill="1" applyBorder="1" applyAlignment="1">
      <alignment horizontal="right"/>
    </xf>
    <xf numFmtId="0" fontId="6" fillId="0" borderId="0" xfId="0" applyFont="1" applyAlignment="1">
      <alignment horizontal="left" vertical="top"/>
    </xf>
    <xf numFmtId="0" fontId="34" fillId="0" borderId="0" xfId="0" applyFont="1" applyAlignment="1">
      <alignment horizontal="left" vertical="top"/>
    </xf>
    <xf numFmtId="0" fontId="6" fillId="45" borderId="1" xfId="0" applyFont="1" applyFill="1" applyBorder="1" applyAlignment="1">
      <alignment horizontal="left" vertical="top"/>
    </xf>
    <xf numFmtId="0" fontId="49" fillId="0" borderId="0" xfId="0" applyFont="1" applyAlignment="1">
      <alignment horizontal="left" vertical="top" wrapText="1"/>
    </xf>
    <xf numFmtId="0" fontId="50" fillId="0" borderId="0" xfId="0" applyFont="1" applyAlignment="1">
      <alignment horizontal="left" vertical="top" wrapText="1"/>
    </xf>
    <xf numFmtId="0" fontId="49" fillId="0" borderId="0" xfId="0" applyFont="1" applyAlignment="1">
      <alignment horizontal="left" wrapText="1"/>
    </xf>
    <xf numFmtId="3" fontId="31" fillId="0" borderId="0" xfId="1" applyNumberFormat="1" applyFont="1" applyFill="1" applyBorder="1" applyAlignment="1">
      <alignment horizontal="right"/>
    </xf>
    <xf numFmtId="0" fontId="44" fillId="0" borderId="0" xfId="0" applyFont="1" applyAlignment="1">
      <alignment vertical="top" wrapText="1"/>
    </xf>
    <xf numFmtId="0" fontId="0" fillId="0" borderId="0" xfId="0" applyAlignment="1">
      <alignment wrapText="1"/>
    </xf>
    <xf numFmtId="0" fontId="51" fillId="0" borderId="0" xfId="0" applyFont="1" applyAlignment="1">
      <alignment wrapText="1"/>
    </xf>
    <xf numFmtId="0" fontId="52" fillId="40" borderId="13" xfId="0" applyFont="1" applyFill="1" applyBorder="1"/>
    <xf numFmtId="0" fontId="52" fillId="40" borderId="14" xfId="0" applyFont="1" applyFill="1" applyBorder="1"/>
    <xf numFmtId="0" fontId="0" fillId="0" borderId="0" xfId="0" applyAlignment="1">
      <alignment vertical="top"/>
    </xf>
    <xf numFmtId="0" fontId="6" fillId="45" borderId="1" xfId="0" applyFont="1" applyFill="1" applyBorder="1" applyAlignment="1">
      <alignment horizontal="center" vertical="top"/>
    </xf>
    <xf numFmtId="0" fontId="6" fillId="0" borderId="0" xfId="0" applyFont="1" applyAlignment="1">
      <alignment vertical="top"/>
    </xf>
    <xf numFmtId="0" fontId="31" fillId="0" borderId="0" xfId="0" applyFont="1" applyAlignment="1">
      <alignment vertical="top"/>
    </xf>
    <xf numFmtId="0" fontId="34" fillId="0" borderId="0" xfId="0" applyFont="1" applyAlignment="1">
      <alignment vertical="top"/>
    </xf>
    <xf numFmtId="49" fontId="1" fillId="0" borderId="0" xfId="0" applyNumberFormat="1" applyFont="1" applyAlignment="1">
      <alignment vertical="top" wrapText="1"/>
    </xf>
    <xf numFmtId="49" fontId="1" fillId="0" borderId="0" xfId="0" applyNumberFormat="1" applyFont="1" applyAlignment="1">
      <alignment horizontal="left" vertical="top" wrapText="1"/>
    </xf>
    <xf numFmtId="49" fontId="1" fillId="0" borderId="0" xfId="0" applyNumberFormat="1" applyFont="1" applyAlignment="1">
      <alignment vertical="center" wrapText="1"/>
    </xf>
    <xf numFmtId="49" fontId="1" fillId="46" borderId="0" xfId="0" applyNumberFormat="1" applyFont="1" applyFill="1" applyAlignment="1">
      <alignment vertical="top" wrapText="1"/>
    </xf>
    <xf numFmtId="0" fontId="51" fillId="0" borderId="0" xfId="0" applyFont="1" applyAlignment="1">
      <alignment horizontal="left" wrapText="1"/>
    </xf>
    <xf numFmtId="0" fontId="35" fillId="40" borderId="0" xfId="0" applyFont="1" applyFill="1" applyAlignment="1">
      <alignment horizontal="center" vertical="center"/>
    </xf>
    <xf numFmtId="0" fontId="51" fillId="52" borderId="0" xfId="0" applyFont="1" applyFill="1" applyAlignment="1">
      <alignment wrapText="1"/>
    </xf>
    <xf numFmtId="0" fontId="51" fillId="0" borderId="0" xfId="0" applyFont="1"/>
    <xf numFmtId="0" fontId="46" fillId="52" borderId="0" xfId="46" applyFill="1" applyAlignment="1">
      <alignment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 displayName="Jayasri  Garapati [AGS]" id="{7B7AAA1F-CD92-4734-9C81-8EF5709C53DE}" userId="S::JayasriGarapati@amgsol.com::282c909e-c88d-461e-8dcb-55676bfed37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176" totalsRowShown="0">
  <autoFilter ref="A3:F176" xr:uid="{C9C95D9E-67ED-41E0-9F41-9C3DA4ACF4CD}"/>
  <sortState xmlns:xlrd2="http://schemas.microsoft.com/office/spreadsheetml/2017/richdata2" ref="A3:D4">
    <sortCondition ref="C3"/>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89" dT="2025-12-03T06:55:49.21" personId="{AF97A668-C846-42C6-9CD9-D5A754369886}" id="{FA21CFFC-9B61-47DB-8F62-30500FD79B73}">
    <text>Since meter is reporting 0 we have taken total inverter energy as actual energy</text>
  </threadedComment>
</ThreadedComments>
</file>

<file path=xl/threadedComments/threadedComment2.xml><?xml version="1.0" encoding="utf-8"?>
<ThreadedComments xmlns="http://schemas.microsoft.com/office/spreadsheetml/2018/threadedcomments" xmlns:x="http://schemas.openxmlformats.org/spreadsheetml/2006/main">
  <threadedComment ref="D89" dT="2026-01-06T06:01:13.15" personId="{7B7AAA1F-CD92-4734-9C81-8EF5709C53DE}" id="{E6B7AAB6-C794-452D-BBAB-5088AF8E9386}">
    <text>Since meter is reporting 0 we have taken total inverter energy as actual energy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17" Type="http://schemas.openxmlformats.org/officeDocument/2006/relationships/hyperlink" Target="https://us3.assetplanner.com/service_request?ID=114051" TargetMode="External"/><Relationship Id="rId21" Type="http://schemas.openxmlformats.org/officeDocument/2006/relationships/hyperlink" Target="https://us3.assetplanner.com/service_request?ID=093326" TargetMode="External"/><Relationship Id="rId42" Type="http://schemas.openxmlformats.org/officeDocument/2006/relationships/hyperlink" Target="https://us3.assetplanner.com/service_request?ID=113372" TargetMode="External"/><Relationship Id="rId63" Type="http://schemas.openxmlformats.org/officeDocument/2006/relationships/hyperlink" Target="https://us3.assetplanner.com/service_request?ID=115258" TargetMode="External"/><Relationship Id="rId84" Type="http://schemas.openxmlformats.org/officeDocument/2006/relationships/hyperlink" Target="https://us3.assetplanner.com/service_request?ID=105387" TargetMode="External"/><Relationship Id="rId138" Type="http://schemas.openxmlformats.org/officeDocument/2006/relationships/hyperlink" Target="https://us3.assetplanner.com/service_request?ID=114651" TargetMode="External"/><Relationship Id="rId159" Type="http://schemas.openxmlformats.org/officeDocument/2006/relationships/hyperlink" Target="https://us3.assetplanner.com/service_request?ID=114209" TargetMode="External"/><Relationship Id="rId107" Type="http://schemas.openxmlformats.org/officeDocument/2006/relationships/hyperlink" Target="https://us3.assetplanner.com/service_request?ID=115462" TargetMode="External"/><Relationship Id="rId11" Type="http://schemas.openxmlformats.org/officeDocument/2006/relationships/hyperlink" Target="https://us3.assetplanner.com/service_request?ID=112416" TargetMode="External"/><Relationship Id="rId32" Type="http://schemas.openxmlformats.org/officeDocument/2006/relationships/hyperlink" Target="https://us3.assetplanner.com/service_request?ID=115340" TargetMode="External"/><Relationship Id="rId53" Type="http://schemas.openxmlformats.org/officeDocument/2006/relationships/hyperlink" Target="https://us3.assetplanner.com/service_request?ID=101820" TargetMode="External"/><Relationship Id="rId74" Type="http://schemas.openxmlformats.org/officeDocument/2006/relationships/hyperlink" Target="https://us3.assetplanner.com/service_request?ID=114769" TargetMode="External"/><Relationship Id="rId128" Type="http://schemas.openxmlformats.org/officeDocument/2006/relationships/hyperlink" Target="https://us3.assetplanner.com/service_request?ID=112774" TargetMode="External"/><Relationship Id="rId149" Type="http://schemas.openxmlformats.org/officeDocument/2006/relationships/hyperlink" Target="https://us3.assetplanner.com/service_request?ID=114420" TargetMode="External"/><Relationship Id="rId5" Type="http://schemas.openxmlformats.org/officeDocument/2006/relationships/hyperlink" Target="https://us3.assetplanner.com/service_request?ID=095666" TargetMode="External"/><Relationship Id="rId95" Type="http://schemas.openxmlformats.org/officeDocument/2006/relationships/hyperlink" Target="https://us3.assetplanner.com/service_request?ID=098860" TargetMode="External"/><Relationship Id="rId160" Type="http://schemas.openxmlformats.org/officeDocument/2006/relationships/hyperlink" Target="https://us3.assetplanner.com/service_request?ID=112908" TargetMode="External"/><Relationship Id="rId22" Type="http://schemas.openxmlformats.org/officeDocument/2006/relationships/hyperlink" Target="https://us3.assetplanner.com/service_request?ID=110229" TargetMode="External"/><Relationship Id="rId43" Type="http://schemas.openxmlformats.org/officeDocument/2006/relationships/hyperlink" Target="https://us3.assetplanner.com/service_request?ID=114045" TargetMode="External"/><Relationship Id="rId64" Type="http://schemas.openxmlformats.org/officeDocument/2006/relationships/hyperlink" Target="https://us3.assetplanner.com/service_request?ID=113860" TargetMode="External"/><Relationship Id="rId118" Type="http://schemas.openxmlformats.org/officeDocument/2006/relationships/hyperlink" Target="https://us3.assetplanner.com/service_request?ID=114488" TargetMode="External"/><Relationship Id="rId139" Type="http://schemas.openxmlformats.org/officeDocument/2006/relationships/hyperlink" Target="https://us3.assetplanner.com/service_request?ID=100771" TargetMode="External"/><Relationship Id="rId85" Type="http://schemas.openxmlformats.org/officeDocument/2006/relationships/hyperlink" Target="https://us3.assetplanner.com/service_request?ID=114834" TargetMode="External"/><Relationship Id="rId150" Type="http://schemas.openxmlformats.org/officeDocument/2006/relationships/hyperlink" Target="https://us3.assetplanner.com/service_request?ID=113452" TargetMode="External"/><Relationship Id="rId12" Type="http://schemas.openxmlformats.org/officeDocument/2006/relationships/hyperlink" Target="https://us3.assetplanner.com/service_request?ID=093236" TargetMode="External"/><Relationship Id="rId17" Type="http://schemas.openxmlformats.org/officeDocument/2006/relationships/hyperlink" Target="https://us3.assetplanner.com/service_request?ID=112392" TargetMode="External"/><Relationship Id="rId33" Type="http://schemas.openxmlformats.org/officeDocument/2006/relationships/hyperlink" Target="https://us3.assetplanner.com/service_request?ID=115465" TargetMode="External"/><Relationship Id="rId38" Type="http://schemas.openxmlformats.org/officeDocument/2006/relationships/hyperlink" Target="https://us3.assetplanner.com/service_request?ID=113584" TargetMode="External"/><Relationship Id="rId59" Type="http://schemas.openxmlformats.org/officeDocument/2006/relationships/hyperlink" Target="https://us3.assetplanner.com/service_request?ID=114994" TargetMode="External"/><Relationship Id="rId103" Type="http://schemas.openxmlformats.org/officeDocument/2006/relationships/hyperlink" Target="https://us3.assetplanner.com/service_request?ID=110746" TargetMode="External"/><Relationship Id="rId108" Type="http://schemas.openxmlformats.org/officeDocument/2006/relationships/hyperlink" Target="https://us3.assetplanner.com/service_request?ID=114464" TargetMode="External"/><Relationship Id="rId124" Type="http://schemas.openxmlformats.org/officeDocument/2006/relationships/hyperlink" Target="https://us3.assetplanner.com/service_request?ID=115363" TargetMode="External"/><Relationship Id="rId129" Type="http://schemas.openxmlformats.org/officeDocument/2006/relationships/hyperlink" Target="https://us3.assetplanner.com/service_request?ID=114179" TargetMode="External"/><Relationship Id="rId54" Type="http://schemas.openxmlformats.org/officeDocument/2006/relationships/hyperlink" Target="https://us3.assetplanner.com/service_request?ID=112202" TargetMode="External"/><Relationship Id="rId70" Type="http://schemas.openxmlformats.org/officeDocument/2006/relationships/hyperlink" Target="https://us3.assetplanner.com/service_request?ID=113809" TargetMode="External"/><Relationship Id="rId75" Type="http://schemas.openxmlformats.org/officeDocument/2006/relationships/hyperlink" Target="https://us3.assetplanner.com/service_request?ID=114186" TargetMode="External"/><Relationship Id="rId91" Type="http://schemas.openxmlformats.org/officeDocument/2006/relationships/hyperlink" Target="https://us3.assetplanner.com/service_request?ID=114176" TargetMode="External"/><Relationship Id="rId96" Type="http://schemas.openxmlformats.org/officeDocument/2006/relationships/hyperlink" Target="https://us3.assetplanner.com/service_request?ID=099264" TargetMode="External"/><Relationship Id="rId140" Type="http://schemas.openxmlformats.org/officeDocument/2006/relationships/hyperlink" Target="https://us3.assetplanner.com/service_request?ID=114651" TargetMode="External"/><Relationship Id="rId145" Type="http://schemas.openxmlformats.org/officeDocument/2006/relationships/hyperlink" Target="https://us3.assetplanner.com/service_request?ID=112384" TargetMode="External"/><Relationship Id="rId161" Type="http://schemas.openxmlformats.org/officeDocument/2006/relationships/hyperlink" Target="https://us3.assetplanner.com/service_request?ID=114820" TargetMode="External"/><Relationship Id="rId1" Type="http://schemas.openxmlformats.org/officeDocument/2006/relationships/hyperlink" Target="https://us3.assetplanner.com/service_request?ID=115348" TargetMode="External"/><Relationship Id="rId6" Type="http://schemas.openxmlformats.org/officeDocument/2006/relationships/hyperlink" Target="https://us3.assetplanner.com/service_request?ID=093633" TargetMode="External"/><Relationship Id="rId23" Type="http://schemas.openxmlformats.org/officeDocument/2006/relationships/hyperlink" Target="https://us3.assetplanner.com/service_request?ID=093327" TargetMode="External"/><Relationship Id="rId28" Type="http://schemas.openxmlformats.org/officeDocument/2006/relationships/hyperlink" Target="https://us3.assetplanner.com/service_request?ID=111775" TargetMode="External"/><Relationship Id="rId49" Type="http://schemas.openxmlformats.org/officeDocument/2006/relationships/hyperlink" Target="https://us3.assetplanner.com/service_request?ID=114202" TargetMode="External"/><Relationship Id="rId114" Type="http://schemas.openxmlformats.org/officeDocument/2006/relationships/hyperlink" Target="https://us3.assetplanner.com/service_request?ID=109332" TargetMode="External"/><Relationship Id="rId119" Type="http://schemas.openxmlformats.org/officeDocument/2006/relationships/hyperlink" Target="https://us3.assetplanner.com/service_request?ID=114640" TargetMode="External"/><Relationship Id="rId44" Type="http://schemas.openxmlformats.org/officeDocument/2006/relationships/hyperlink" Target="https://us3.assetplanner.com/service_request?ID=106622" TargetMode="External"/><Relationship Id="rId60" Type="http://schemas.openxmlformats.org/officeDocument/2006/relationships/hyperlink" Target="https://us3.assetplanner.com/service_request?ID=105649" TargetMode="External"/><Relationship Id="rId65" Type="http://schemas.openxmlformats.org/officeDocument/2006/relationships/hyperlink" Target="https://us3.assetplanner.com/service_request?ID=113861" TargetMode="External"/><Relationship Id="rId81" Type="http://schemas.openxmlformats.org/officeDocument/2006/relationships/hyperlink" Target="https://us3.assetplanner.com/service_request?ID=112035" TargetMode="External"/><Relationship Id="rId86" Type="http://schemas.openxmlformats.org/officeDocument/2006/relationships/hyperlink" Target="https://us3.assetplanner.com/service_request?ID=114380" TargetMode="External"/><Relationship Id="rId130" Type="http://schemas.openxmlformats.org/officeDocument/2006/relationships/hyperlink" Target="https://us3.assetplanner.com/service_request?ID=111863" TargetMode="External"/><Relationship Id="rId135" Type="http://schemas.openxmlformats.org/officeDocument/2006/relationships/hyperlink" Target="https://us3.assetplanner.com/service_request?ID=114084" TargetMode="External"/><Relationship Id="rId151" Type="http://schemas.openxmlformats.org/officeDocument/2006/relationships/hyperlink" Target="https://us3.assetplanner.com/service_request?ID=114420" TargetMode="External"/><Relationship Id="rId156" Type="http://schemas.openxmlformats.org/officeDocument/2006/relationships/hyperlink" Target="https://us3.assetplanner.com/service_request?ID=112320" TargetMode="External"/><Relationship Id="rId13" Type="http://schemas.openxmlformats.org/officeDocument/2006/relationships/hyperlink" Target="https://us3.assetplanner.com/service_request?ID=102529" TargetMode="External"/><Relationship Id="rId18" Type="http://schemas.openxmlformats.org/officeDocument/2006/relationships/hyperlink" Target="https://us3.assetplanner.com/service_request?ID=088813" TargetMode="External"/><Relationship Id="rId39" Type="http://schemas.openxmlformats.org/officeDocument/2006/relationships/hyperlink" Target="https://us3.assetplanner.com/service_request?ID=114827" TargetMode="External"/><Relationship Id="rId109" Type="http://schemas.openxmlformats.org/officeDocument/2006/relationships/hyperlink" Target="https://us3.assetplanner.com/service_request?ID=113237" TargetMode="External"/><Relationship Id="rId34" Type="http://schemas.openxmlformats.org/officeDocument/2006/relationships/hyperlink" Target="https://us3.assetplanner.com/service_request?ID=114057" TargetMode="External"/><Relationship Id="rId50" Type="http://schemas.openxmlformats.org/officeDocument/2006/relationships/hyperlink" Target="https://us3.assetplanner.com/service_request?ID=114181" TargetMode="External"/><Relationship Id="rId55" Type="http://schemas.openxmlformats.org/officeDocument/2006/relationships/hyperlink" Target="https://us3.assetplanner.com/service_request?ID=113983" TargetMode="External"/><Relationship Id="rId76" Type="http://schemas.openxmlformats.org/officeDocument/2006/relationships/hyperlink" Target="https://us3.assetplanner.com/service_request?ID=113106" TargetMode="External"/><Relationship Id="rId97" Type="http://schemas.openxmlformats.org/officeDocument/2006/relationships/hyperlink" Target="https://us3.assetplanner.com/service_request?ID=113864" TargetMode="External"/><Relationship Id="rId104" Type="http://schemas.openxmlformats.org/officeDocument/2006/relationships/hyperlink" Target="https://us3.assetplanner.com/service_request?ID=113817" TargetMode="External"/><Relationship Id="rId120" Type="http://schemas.openxmlformats.org/officeDocument/2006/relationships/hyperlink" Target="https://us3.assetplanner.com/service_request?ID=113247" TargetMode="External"/><Relationship Id="rId125" Type="http://schemas.openxmlformats.org/officeDocument/2006/relationships/hyperlink" Target="https://us3.assetplanner.com/service_request?ID=114177" TargetMode="External"/><Relationship Id="rId141" Type="http://schemas.openxmlformats.org/officeDocument/2006/relationships/hyperlink" Target="https://us3.assetplanner.com/service_request?ID=114034" TargetMode="External"/><Relationship Id="rId146" Type="http://schemas.openxmlformats.org/officeDocument/2006/relationships/hyperlink" Target="https://us3.assetplanner.com/service_request?ID=108392" TargetMode="External"/><Relationship Id="rId7" Type="http://schemas.openxmlformats.org/officeDocument/2006/relationships/hyperlink" Target="https://us3.assetplanner.com/service_request?ID=110369" TargetMode="External"/><Relationship Id="rId71" Type="http://schemas.openxmlformats.org/officeDocument/2006/relationships/hyperlink" Target="https://us3.assetplanner.com/service_request?ID=106739" TargetMode="External"/><Relationship Id="rId92" Type="http://schemas.openxmlformats.org/officeDocument/2006/relationships/hyperlink" Target="https://us3.assetplanner.com/service_request?ID=114605" TargetMode="External"/><Relationship Id="rId162" Type="http://schemas.openxmlformats.org/officeDocument/2006/relationships/hyperlink" Target="https://us3.assetplanner.com/service_request?ID=114849" TargetMode="External"/><Relationship Id="rId2" Type="http://schemas.openxmlformats.org/officeDocument/2006/relationships/hyperlink" Target="https://us3.assetplanner.com/service_request?ID=107464" TargetMode="External"/><Relationship Id="rId29" Type="http://schemas.openxmlformats.org/officeDocument/2006/relationships/hyperlink" Target="https://us3.assetplanner.com/service_request?ID=114086" TargetMode="External"/><Relationship Id="rId24" Type="http://schemas.openxmlformats.org/officeDocument/2006/relationships/hyperlink" Target="https://us3.assetplanner.com/service_request?ID=112764" TargetMode="External"/><Relationship Id="rId40" Type="http://schemas.openxmlformats.org/officeDocument/2006/relationships/hyperlink" Target="https://us3.assetplanner.com/service_request?ID=111378" TargetMode="External"/><Relationship Id="rId45" Type="http://schemas.openxmlformats.org/officeDocument/2006/relationships/hyperlink" Target="https://us3.assetplanner.com/service_request?ID=114038" TargetMode="External"/><Relationship Id="rId66" Type="http://schemas.openxmlformats.org/officeDocument/2006/relationships/hyperlink" Target="https://us3.assetplanner.com/service_request?ID=111019" TargetMode="External"/><Relationship Id="rId87" Type="http://schemas.openxmlformats.org/officeDocument/2006/relationships/hyperlink" Target="https://us3.assetplanner.com/service_request?ID=113716" TargetMode="External"/><Relationship Id="rId110" Type="http://schemas.openxmlformats.org/officeDocument/2006/relationships/hyperlink" Target="https://us3.assetplanner.com/service_request?ID=112357" TargetMode="External"/><Relationship Id="rId115" Type="http://schemas.openxmlformats.org/officeDocument/2006/relationships/hyperlink" Target="https://us3.assetplanner.com/service_request?ID=113926" TargetMode="External"/><Relationship Id="rId131" Type="http://schemas.openxmlformats.org/officeDocument/2006/relationships/hyperlink" Target="https://us3.assetplanner.com/service_request?ID=113917" TargetMode="External"/><Relationship Id="rId136" Type="http://schemas.openxmlformats.org/officeDocument/2006/relationships/hyperlink" Target="https://us3.assetplanner.com/service_request?ID=114889" TargetMode="External"/><Relationship Id="rId157" Type="http://schemas.openxmlformats.org/officeDocument/2006/relationships/hyperlink" Target="https://us3.assetplanner.com/service_request?ID=114325" TargetMode="External"/><Relationship Id="rId61" Type="http://schemas.openxmlformats.org/officeDocument/2006/relationships/hyperlink" Target="https://us3.assetplanner.com/service_request?ID=114382" TargetMode="External"/><Relationship Id="rId82" Type="http://schemas.openxmlformats.org/officeDocument/2006/relationships/hyperlink" Target="https://us3.assetplanner.com/service_request?ID=113433" TargetMode="External"/><Relationship Id="rId152" Type="http://schemas.openxmlformats.org/officeDocument/2006/relationships/hyperlink" Target="https://us3.assetplanner.com/service_request?ID=113455" TargetMode="External"/><Relationship Id="rId19" Type="http://schemas.openxmlformats.org/officeDocument/2006/relationships/hyperlink" Target="https://us3.assetplanner.com/service_request?ID=093324" TargetMode="External"/><Relationship Id="rId14" Type="http://schemas.openxmlformats.org/officeDocument/2006/relationships/hyperlink" Target="https://us3.assetplanner.com/service_request?ID=114229" TargetMode="External"/><Relationship Id="rId30" Type="http://schemas.openxmlformats.org/officeDocument/2006/relationships/hyperlink" Target="https://us3.assetplanner.com/service_request?ID=114571" TargetMode="External"/><Relationship Id="rId35" Type="http://schemas.openxmlformats.org/officeDocument/2006/relationships/hyperlink" Target="https://us3.assetplanner.com/service_request?ID=114807" TargetMode="External"/><Relationship Id="rId56" Type="http://schemas.openxmlformats.org/officeDocument/2006/relationships/hyperlink" Target="https://us3.assetplanner.com/service_request?ID=114059" TargetMode="External"/><Relationship Id="rId77" Type="http://schemas.openxmlformats.org/officeDocument/2006/relationships/hyperlink" Target="https://us3.assetplanner.com/service_request?ID=113924" TargetMode="External"/><Relationship Id="rId100" Type="http://schemas.openxmlformats.org/officeDocument/2006/relationships/hyperlink" Target="https://us3.assetplanner.com/service_request?ID=114375" TargetMode="External"/><Relationship Id="rId105" Type="http://schemas.openxmlformats.org/officeDocument/2006/relationships/hyperlink" Target="https://us3.assetplanner.com/service_request?ID=114585" TargetMode="External"/><Relationship Id="rId126" Type="http://schemas.openxmlformats.org/officeDocument/2006/relationships/hyperlink" Target="https://us3.assetplanner.com/service_request?ID=098278" TargetMode="External"/><Relationship Id="rId147" Type="http://schemas.openxmlformats.org/officeDocument/2006/relationships/hyperlink" Target="https://us3.assetplanner.com/service_request?ID=113003" TargetMode="External"/><Relationship Id="rId8" Type="http://schemas.openxmlformats.org/officeDocument/2006/relationships/hyperlink" Target="https://us3.assetplanner.com/service_request?ID=114232" TargetMode="External"/><Relationship Id="rId51" Type="http://schemas.openxmlformats.org/officeDocument/2006/relationships/hyperlink" Target="https://us3.assetplanner.com/service_request?ID=112948" TargetMode="External"/><Relationship Id="rId72" Type="http://schemas.openxmlformats.org/officeDocument/2006/relationships/hyperlink" Target="https://us3.assetplanner.com/service_request?ID=114896" TargetMode="External"/><Relationship Id="rId93" Type="http://schemas.openxmlformats.org/officeDocument/2006/relationships/hyperlink" Target="https://us3.assetplanner.com/service_request?ID=110135" TargetMode="External"/><Relationship Id="rId98" Type="http://schemas.openxmlformats.org/officeDocument/2006/relationships/hyperlink" Target="https://us3.assetplanner.com/service_request?ID=112216" TargetMode="External"/><Relationship Id="rId121" Type="http://schemas.openxmlformats.org/officeDocument/2006/relationships/hyperlink" Target="https://us3.assetplanner.com/service_request?ID=115287" TargetMode="External"/><Relationship Id="rId142" Type="http://schemas.openxmlformats.org/officeDocument/2006/relationships/hyperlink" Target="https://us3.assetplanner.com/service_request?ID=110863" TargetMode="External"/><Relationship Id="rId163" Type="http://schemas.openxmlformats.org/officeDocument/2006/relationships/hyperlink" Target="https://us3.assetplanner.com/service_request?ID=114686" TargetMode="External"/><Relationship Id="rId3" Type="http://schemas.openxmlformats.org/officeDocument/2006/relationships/hyperlink" Target="https://us3.assetplanner.com/service_request?ID=113666" TargetMode="External"/><Relationship Id="rId25" Type="http://schemas.openxmlformats.org/officeDocument/2006/relationships/hyperlink" Target="https://us3.assetplanner.com/service_request?ID=114236" TargetMode="External"/><Relationship Id="rId46" Type="http://schemas.openxmlformats.org/officeDocument/2006/relationships/hyperlink" Target="https://us3.assetplanner.com/service_request?ID=114370" TargetMode="External"/><Relationship Id="rId67" Type="http://schemas.openxmlformats.org/officeDocument/2006/relationships/hyperlink" Target="https://us3.assetplanner.com/service_request?ID=114240" TargetMode="External"/><Relationship Id="rId116" Type="http://schemas.openxmlformats.org/officeDocument/2006/relationships/hyperlink" Target="https://us3.assetplanner.com/service_request?ID=115301" TargetMode="External"/><Relationship Id="rId137" Type="http://schemas.openxmlformats.org/officeDocument/2006/relationships/hyperlink" Target="https://us3.assetplanner.com/service_request?ID=109524" TargetMode="External"/><Relationship Id="rId158" Type="http://schemas.openxmlformats.org/officeDocument/2006/relationships/hyperlink" Target="https://us3.assetplanner.com/service_request?ID=115342" TargetMode="External"/><Relationship Id="rId20" Type="http://schemas.openxmlformats.org/officeDocument/2006/relationships/hyperlink" Target="https://us3.assetplanner.com/service_request?ID=110370" TargetMode="External"/><Relationship Id="rId41" Type="http://schemas.openxmlformats.org/officeDocument/2006/relationships/hyperlink" Target="https://us3.assetplanner.com/service_request?ID=113456" TargetMode="External"/><Relationship Id="rId62" Type="http://schemas.openxmlformats.org/officeDocument/2006/relationships/hyperlink" Target="https://us3.assetplanner.com/service_request?ID=114092" TargetMode="External"/><Relationship Id="rId83" Type="http://schemas.openxmlformats.org/officeDocument/2006/relationships/hyperlink" Target="https://us3.assetplanner.com/service_request?ID=112199" TargetMode="External"/><Relationship Id="rId88" Type="http://schemas.openxmlformats.org/officeDocument/2006/relationships/hyperlink" Target="https://us3.assetplanner.com/service_request?ID=108248" TargetMode="External"/><Relationship Id="rId111" Type="http://schemas.openxmlformats.org/officeDocument/2006/relationships/hyperlink" Target="https://us3.assetplanner.com/service_request?ID=113901" TargetMode="External"/><Relationship Id="rId132" Type="http://schemas.openxmlformats.org/officeDocument/2006/relationships/hyperlink" Target="https://us3.assetplanner.com/service_request?ID=114056" TargetMode="External"/><Relationship Id="rId153" Type="http://schemas.openxmlformats.org/officeDocument/2006/relationships/hyperlink" Target="https://us3.assetplanner.com/service_request?ID=113185" TargetMode="External"/><Relationship Id="rId15" Type="http://schemas.openxmlformats.org/officeDocument/2006/relationships/hyperlink" Target="https://us3.assetplanner.com/service_request?ID=088282" TargetMode="External"/><Relationship Id="rId36" Type="http://schemas.openxmlformats.org/officeDocument/2006/relationships/hyperlink" Target="https://us3.assetplanner.com/service_request?ID=114704" TargetMode="External"/><Relationship Id="rId57" Type="http://schemas.openxmlformats.org/officeDocument/2006/relationships/hyperlink" Target="https://us3.assetplanner.com/service_request?ID=114167" TargetMode="External"/><Relationship Id="rId106" Type="http://schemas.openxmlformats.org/officeDocument/2006/relationships/hyperlink" Target="https://us3.assetplanner.com/service_request?ID=113818" TargetMode="External"/><Relationship Id="rId127" Type="http://schemas.openxmlformats.org/officeDocument/2006/relationships/hyperlink" Target="https://us3.assetplanner.com/service_request?ID=098670" TargetMode="External"/><Relationship Id="rId10" Type="http://schemas.openxmlformats.org/officeDocument/2006/relationships/hyperlink" Target="https://us3.assetplanner.com/service_request?ID=086842" TargetMode="External"/><Relationship Id="rId31" Type="http://schemas.openxmlformats.org/officeDocument/2006/relationships/hyperlink" Target="https://us3.assetplanner.com/service_request?ID=114637" TargetMode="External"/><Relationship Id="rId52" Type="http://schemas.openxmlformats.org/officeDocument/2006/relationships/hyperlink" Target="https://us3.assetplanner.com/service_request?ID=114957" TargetMode="External"/><Relationship Id="rId73" Type="http://schemas.openxmlformats.org/officeDocument/2006/relationships/hyperlink" Target="https://us3.assetplanner.com/service_request?ID=115453" TargetMode="External"/><Relationship Id="rId78" Type="http://schemas.openxmlformats.org/officeDocument/2006/relationships/hyperlink" Target="https://us3.assetplanner.com/service_request?ID=114283" TargetMode="External"/><Relationship Id="rId94" Type="http://schemas.openxmlformats.org/officeDocument/2006/relationships/hyperlink" Target="https://us3.assetplanner.com/service_request?ID=113865" TargetMode="External"/><Relationship Id="rId99" Type="http://schemas.openxmlformats.org/officeDocument/2006/relationships/hyperlink" Target="https://us3.assetplanner.com/service_request?ID=113815" TargetMode="External"/><Relationship Id="rId101" Type="http://schemas.openxmlformats.org/officeDocument/2006/relationships/hyperlink" Target="https://us3.assetplanner.com/service_request?ID=109998" TargetMode="External"/><Relationship Id="rId122" Type="http://schemas.openxmlformats.org/officeDocument/2006/relationships/hyperlink" Target="https://us3.assetplanner.com/service_request?ID=113692" TargetMode="External"/><Relationship Id="rId143" Type="http://schemas.openxmlformats.org/officeDocument/2006/relationships/hyperlink" Target="https://us3.assetplanner.com/service_request?ID=114857" TargetMode="External"/><Relationship Id="rId148" Type="http://schemas.openxmlformats.org/officeDocument/2006/relationships/hyperlink" Target="https://us3.assetplanner.com/service_request?ID=111163" TargetMode="External"/><Relationship Id="rId164" Type="http://schemas.openxmlformats.org/officeDocument/2006/relationships/hyperlink" Target="https://us3.assetplanner.com/service_request?ID=114541" TargetMode="External"/><Relationship Id="rId4" Type="http://schemas.openxmlformats.org/officeDocument/2006/relationships/hyperlink" Target="https://us3.assetplanner.com/service_request?ID=110236" TargetMode="External"/><Relationship Id="rId9" Type="http://schemas.openxmlformats.org/officeDocument/2006/relationships/hyperlink" Target="https://us3.assetplanner.com/service_request?ID=093924" TargetMode="External"/><Relationship Id="rId26" Type="http://schemas.openxmlformats.org/officeDocument/2006/relationships/hyperlink" Target="https://us3.assetplanner.com/service_request?ID=109950" TargetMode="External"/><Relationship Id="rId47" Type="http://schemas.openxmlformats.org/officeDocument/2006/relationships/hyperlink" Target="https://us3.assetplanner.com/service_request?ID=114654" TargetMode="External"/><Relationship Id="rId68" Type="http://schemas.openxmlformats.org/officeDocument/2006/relationships/hyperlink" Target="https://us3.assetplanner.com/service_request?ID=107450" TargetMode="External"/><Relationship Id="rId89" Type="http://schemas.openxmlformats.org/officeDocument/2006/relationships/hyperlink" Target="https://us3.assetplanner.com/service_request?ID=108120" TargetMode="External"/><Relationship Id="rId112" Type="http://schemas.openxmlformats.org/officeDocument/2006/relationships/hyperlink" Target="https://us3.assetplanner.com/service_request?ID=114216" TargetMode="External"/><Relationship Id="rId133" Type="http://schemas.openxmlformats.org/officeDocument/2006/relationships/hyperlink" Target="https://us3.assetplanner.com/service_request?ID=114169" TargetMode="External"/><Relationship Id="rId154" Type="http://schemas.openxmlformats.org/officeDocument/2006/relationships/hyperlink" Target="https://us3.assetplanner.com/service_request?ID=114035" TargetMode="External"/><Relationship Id="rId16" Type="http://schemas.openxmlformats.org/officeDocument/2006/relationships/hyperlink" Target="https://us3.assetplanner.com/service_request?ID=114558" TargetMode="External"/><Relationship Id="rId37" Type="http://schemas.openxmlformats.org/officeDocument/2006/relationships/hyperlink" Target="https://us3.assetplanner.com/service_request?ID=105816" TargetMode="External"/><Relationship Id="rId58" Type="http://schemas.openxmlformats.org/officeDocument/2006/relationships/hyperlink" Target="https://us3.assetplanner.com/service_request?ID=115416" TargetMode="External"/><Relationship Id="rId79" Type="http://schemas.openxmlformats.org/officeDocument/2006/relationships/hyperlink" Target="https://us3.assetplanner.com/service_request?ID=114502" TargetMode="External"/><Relationship Id="rId102" Type="http://schemas.openxmlformats.org/officeDocument/2006/relationships/hyperlink" Target="https://us3.assetplanner.com/service_request?ID=109079" TargetMode="External"/><Relationship Id="rId123" Type="http://schemas.openxmlformats.org/officeDocument/2006/relationships/hyperlink" Target="https://us3.assetplanner.com/service_request?ID=114790" TargetMode="External"/><Relationship Id="rId144" Type="http://schemas.openxmlformats.org/officeDocument/2006/relationships/hyperlink" Target="https://us3.assetplanner.com/service_request?ID=113569" TargetMode="External"/><Relationship Id="rId90" Type="http://schemas.openxmlformats.org/officeDocument/2006/relationships/hyperlink" Target="https://us3.assetplanner.com/service_request?ID=115466" TargetMode="External"/><Relationship Id="rId165" Type="http://schemas.openxmlformats.org/officeDocument/2006/relationships/printerSettings" Target="../printerSettings/printerSettings3.bin"/><Relationship Id="rId27" Type="http://schemas.openxmlformats.org/officeDocument/2006/relationships/hyperlink" Target="https://us3.assetplanner.com/service_request?ID=098241" TargetMode="External"/><Relationship Id="rId48" Type="http://schemas.openxmlformats.org/officeDocument/2006/relationships/hyperlink" Target="https://us3.assetplanner.com/service_request?ID=114201" TargetMode="External"/><Relationship Id="rId69" Type="http://schemas.openxmlformats.org/officeDocument/2006/relationships/hyperlink" Target="https://us3.assetplanner.com/service_request?ID=107667" TargetMode="External"/><Relationship Id="rId113" Type="http://schemas.openxmlformats.org/officeDocument/2006/relationships/hyperlink" Target="https://us3.assetplanner.com/service_request?ID=114216" TargetMode="External"/><Relationship Id="rId134" Type="http://schemas.openxmlformats.org/officeDocument/2006/relationships/hyperlink" Target="https://us3.assetplanner.com/service_request?ID=114193" TargetMode="External"/><Relationship Id="rId80" Type="http://schemas.openxmlformats.org/officeDocument/2006/relationships/hyperlink" Target="https://us3.assetplanner.com/service_request?ID=113201" TargetMode="External"/><Relationship Id="rId155" Type="http://schemas.openxmlformats.org/officeDocument/2006/relationships/hyperlink" Target="https://us3.assetplanner.com/service_request?ID=113743"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176"/>
  <sheetViews>
    <sheetView zoomScale="90" zoomScaleNormal="90" workbookViewId="0">
      <pane xSplit="2" ySplit="3" topLeftCell="C142" activePane="bottomRight" state="frozen"/>
      <selection pane="bottomRight" activeCell="F181" sqref="F181"/>
      <selection pane="bottomLeft"/>
      <selection pane="topRight"/>
    </sheetView>
  </sheetViews>
  <sheetFormatPr defaultRowHeight="13.15"/>
  <cols>
    <col min="1" max="1" width="35.85546875" bestFit="1" customWidth="1"/>
    <col min="2" max="2" width="8.42578125" customWidth="1"/>
    <col min="3" max="3" width="9.28515625" bestFit="1" customWidth="1"/>
    <col min="4" max="4" width="15.140625" customWidth="1"/>
    <col min="5" max="6" width="13.28515625" customWidth="1"/>
    <col min="7" max="7" width="13.28515625" style="1" customWidth="1"/>
    <col min="8" max="9" width="13.28515625" customWidth="1"/>
    <col min="10" max="10" width="13.28515625" style="1" customWidth="1"/>
  </cols>
  <sheetData>
    <row r="1" spans="1:10" ht="19.5" customHeight="1">
      <c r="A1" s="195" t="str" cm="1">
        <f t="array" ref="A1">portfolio</f>
        <v>Generate Capital</v>
      </c>
      <c r="B1" s="195"/>
      <c r="C1" s="195"/>
      <c r="D1" s="195"/>
      <c r="E1" s="196" t="s">
        <v>0</v>
      </c>
      <c r="F1" s="196"/>
      <c r="G1" s="196"/>
      <c r="H1" s="194" t="s">
        <v>1</v>
      </c>
      <c r="I1" s="194"/>
      <c r="J1" s="194"/>
    </row>
    <row r="2" spans="1:10" ht="19.5" customHeight="1">
      <c r="A2" s="197" t="s">
        <v>2</v>
      </c>
      <c r="B2" s="197"/>
      <c r="C2" s="57"/>
      <c r="D2" s="5">
        <f>SUM(D4:D260)</f>
        <v>15338370.72318</v>
      </c>
      <c r="E2" s="5">
        <f>SUM(E4:E260)</f>
        <v>12898958.884999998</v>
      </c>
      <c r="F2" s="5">
        <f>D2-E2</f>
        <v>2439411.8381800018</v>
      </c>
      <c r="G2" s="6">
        <f>IFERROR(F2/E2, 0)</f>
        <v>0.18911695586662863</v>
      </c>
      <c r="H2" s="5">
        <f>SUM(H4:H260)</f>
        <v>21017476.313132226</v>
      </c>
      <c r="I2" s="7">
        <f>D2-H2</f>
        <v>-5679105.5899522267</v>
      </c>
      <c r="J2" s="6">
        <f>IFERROR(I2/H2, 0)</f>
        <v>-0.27020873036044696</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6">Sites[Site]</f>
        <v>K026</v>
      </c>
      <c r="B4" s="27" t="str" cm="1">
        <f t="array" ref="B4:B176">Sites[State]</f>
        <v>NY</v>
      </c>
      <c r="C4" s="27" t="str">
        <f>Sites[[#This Row],[SOL'#]]</f>
        <v>SOL-10356</v>
      </c>
      <c r="D4" s="9">
        <f>SUM('1st Qtr'!D4,'2nd Qtr'!D4,'3rd Qtr'!D4,'4th Qtr'!D4)</f>
        <v>8328.1080000000002</v>
      </c>
      <c r="E4" s="14">
        <f>SUM('1st Qtr'!E4, '2nd Qtr'!E4, '3rd Qtr'!E4, '4th Qtr'!E4)</f>
        <v>12159.88</v>
      </c>
      <c r="F4" s="14">
        <f t="shared" ref="F4:F64" si="0">IF(AND(ISNUMBER(D4),ISNUMBER(E4)), D4-E4, "")</f>
        <v>-3831.771999999999</v>
      </c>
      <c r="G4" s="15">
        <f t="shared" ref="G4:G64" si="1">IFERROR(F4/E4, "")</f>
        <v>-0.31511593864413129</v>
      </c>
      <c r="H4" s="16">
        <f>SUM('1st Qtr'!H4,'2nd Qtr'!H4,'3rd Qtr'!H4,'4th Qtr'!H4)</f>
        <v>11055.95</v>
      </c>
      <c r="I4" s="16">
        <f>SUM('1st Qtr'!I4, '2nd Qtr'!I4, '3rd Qtr'!I4, '4th Qtr'!I4)</f>
        <v>-2727.8420000000006</v>
      </c>
      <c r="J4" s="15">
        <f t="shared" ref="J4:J64" si="2">IFERROR(I4/H4, "")</f>
        <v>-0.24673067443322377</v>
      </c>
    </row>
    <row r="5" spans="1:10" ht="15.6">
      <c r="A5" s="24" t="str">
        <v>K041</v>
      </c>
      <c r="B5" s="25" t="str">
        <v>NY</v>
      </c>
      <c r="C5" s="25" t="str">
        <f>Sites[[#This Row],[SOL'#]]</f>
        <v>SOL-10357</v>
      </c>
      <c r="D5" s="20">
        <f>SUM('1st Qtr'!D5,'2nd Qtr'!D5,'3rd Qtr'!D5,'4th Qtr'!D5)</f>
        <v>5871.53125</v>
      </c>
      <c r="E5" s="10">
        <f>SUM('1st Qtr'!E5, '2nd Qtr'!E5, '3rd Qtr'!E5, '4th Qtr'!E5)</f>
        <v>9407.4670000000006</v>
      </c>
      <c r="F5" s="10">
        <f t="shared" si="0"/>
        <v>-3535.9357500000006</v>
      </c>
      <c r="G5" s="11">
        <f t="shared" si="1"/>
        <v>-0.37586480505326253</v>
      </c>
      <c r="H5" s="12">
        <f>SUM('1st Qtr'!H5,'2nd Qtr'!H5,'3rd Qtr'!H5,'4th Qtr'!H5)</f>
        <v>9924</v>
      </c>
      <c r="I5" s="12">
        <f>SUM('1st Qtr'!I5, '2nd Qtr'!I5, '3rd Qtr'!I5, '4th Qtr'!I5)</f>
        <v>-4052.46875</v>
      </c>
      <c r="J5" s="13">
        <f t="shared" si="2"/>
        <v>-0.40835033756549777</v>
      </c>
    </row>
    <row r="6" spans="1:10" ht="15.6">
      <c r="A6" s="26" t="str">
        <v>K043</v>
      </c>
      <c r="B6" s="27" t="str">
        <v>NY</v>
      </c>
      <c r="C6" s="27" t="str">
        <f>Sites[[#This Row],[SOL'#]]</f>
        <v>SOL-10358</v>
      </c>
      <c r="D6" s="9">
        <f>SUM('1st Qtr'!D6,'2nd Qtr'!D6,'3rd Qtr'!D6,'4th Qtr'!D6)</f>
        <v>7527.0625</v>
      </c>
      <c r="E6" s="14">
        <f>SUM('1st Qtr'!E6, '2nd Qtr'!E6, '3rd Qtr'!E6, '4th Qtr'!E6)</f>
        <v>10861.06</v>
      </c>
      <c r="F6" s="14">
        <f t="shared" si="0"/>
        <v>-3333.9974999999995</v>
      </c>
      <c r="G6" s="15">
        <f t="shared" si="1"/>
        <v>-0.30696796629426593</v>
      </c>
      <c r="H6" s="16">
        <f>SUM('1st Qtr'!H6,'2nd Qtr'!H6,'3rd Qtr'!H6,'4th Qtr'!H6)</f>
        <v>2303</v>
      </c>
      <c r="I6" s="16">
        <f>SUM('1st Qtr'!I6, '2nd Qtr'!I6, '3rd Qtr'!I6, '4th Qtr'!I6)</f>
        <v>5224.0625</v>
      </c>
      <c r="J6" s="15">
        <f t="shared" si="2"/>
        <v>2.2683727746417714</v>
      </c>
    </row>
    <row r="7" spans="1:10" ht="15.6">
      <c r="A7" s="24" t="str">
        <v>K058</v>
      </c>
      <c r="B7" s="25" t="str">
        <v>NY</v>
      </c>
      <c r="C7" s="25" t="str">
        <f>Sites[[#This Row],[SOL'#]]</f>
        <v>SOL-10360</v>
      </c>
      <c r="D7" s="20">
        <f>SUM('1st Qtr'!D7,'2nd Qtr'!D7,'3rd Qtr'!D7,'4th Qtr'!D7)</f>
        <v>5490.6875</v>
      </c>
      <c r="E7" s="10">
        <f>SUM('1st Qtr'!E7, '2nd Qtr'!E7, '3rd Qtr'!E7, '4th Qtr'!E7)</f>
        <v>8437.1679999999997</v>
      </c>
      <c r="F7" s="10">
        <f t="shared" si="0"/>
        <v>-2946.4804999999997</v>
      </c>
      <c r="G7" s="11">
        <f t="shared" si="1"/>
        <v>-0.34922624510973349</v>
      </c>
      <c r="H7" s="12">
        <f>SUM('1st Qtr'!H7,'2nd Qtr'!H7,'3rd Qtr'!H7,'4th Qtr'!H7)</f>
        <v>9101.3259999999991</v>
      </c>
      <c r="I7" s="12">
        <f>SUM('1st Qtr'!I7, '2nd Qtr'!I7, '3rd Qtr'!I7, '4th Qtr'!I7)</f>
        <v>-3610.6384999999991</v>
      </c>
      <c r="J7" s="13">
        <f t="shared" si="2"/>
        <v>-0.39671565440024886</v>
      </c>
    </row>
    <row r="8" spans="1:10" ht="15.6">
      <c r="A8" s="26" t="str">
        <v>K115</v>
      </c>
      <c r="B8" s="27" t="str">
        <v>NY</v>
      </c>
      <c r="C8" s="27" t="str">
        <f>Sites[[#This Row],[SOL'#]]</f>
        <v>SOL-10361</v>
      </c>
      <c r="D8" s="9">
        <f>SUM('1st Qtr'!D8,'2nd Qtr'!D8,'3rd Qtr'!D8,'4th Qtr'!D8)</f>
        <v>3483.875</v>
      </c>
      <c r="E8" s="14">
        <f>SUM('1st Qtr'!E8, '2nd Qtr'!E8, '3rd Qtr'!E8, '4th Qtr'!E8)</f>
        <v>7300.8069999999998</v>
      </c>
      <c r="F8" s="14">
        <f t="shared" si="0"/>
        <v>-3816.9319999999998</v>
      </c>
      <c r="G8" s="15">
        <f t="shared" si="1"/>
        <v>-0.52280960173306867</v>
      </c>
      <c r="H8" s="16">
        <f>SUM('1st Qtr'!H8,'2nd Qtr'!H8,'3rd Qtr'!H8,'4th Qtr'!H8)</f>
        <v>5565.8819999999996</v>
      </c>
      <c r="I8" s="16">
        <f>SUM('1st Qtr'!I8, '2nd Qtr'!I8, '3rd Qtr'!I8, '4th Qtr'!I8)</f>
        <v>-2082.0069999999996</v>
      </c>
      <c r="J8" s="15">
        <f t="shared" si="2"/>
        <v>-0.37406596115404528</v>
      </c>
    </row>
    <row r="9" spans="1:10" ht="15.6">
      <c r="A9" s="24" t="str">
        <v>K152</v>
      </c>
      <c r="B9" s="25" t="str">
        <v>NY</v>
      </c>
      <c r="C9" s="25" t="str">
        <f>Sites[[#This Row],[SOL'#]]</f>
        <v>SOL-10362</v>
      </c>
      <c r="D9" s="20">
        <f>SUM('1st Qtr'!D9,'2nd Qtr'!D9,'3rd Qtr'!D9,'4th Qtr'!D9)</f>
        <v>2067.4375</v>
      </c>
      <c r="E9" s="10">
        <f>SUM('1st Qtr'!E9, '2nd Qtr'!E9, '3rd Qtr'!E9, '4th Qtr'!E9)</f>
        <v>4344.8900000000003</v>
      </c>
      <c r="F9" s="10">
        <f t="shared" si="0"/>
        <v>-2277.4525000000003</v>
      </c>
      <c r="G9" s="11">
        <f t="shared" si="1"/>
        <v>-0.52416804568124853</v>
      </c>
      <c r="H9" s="12">
        <f>SUM('1st Qtr'!H9,'2nd Qtr'!H9,'3rd Qtr'!H9,'4th Qtr'!H9)</f>
        <v>3567</v>
      </c>
      <c r="I9" s="12">
        <f>SUM('1st Qtr'!I9, '2nd Qtr'!I9, '3rd Qtr'!I9, '4th Qtr'!I9)</f>
        <v>-1499.5625</v>
      </c>
      <c r="J9" s="13">
        <f t="shared" si="2"/>
        <v>-0.42039879450518641</v>
      </c>
    </row>
    <row r="10" spans="1:10" ht="15.6">
      <c r="A10" s="26" t="str">
        <v>K166</v>
      </c>
      <c r="B10" s="27" t="str">
        <v>NY</v>
      </c>
      <c r="C10" s="27" t="str">
        <f>Sites[[#This Row],[SOL'#]]</f>
        <v>SOL-10363</v>
      </c>
      <c r="D10" s="9">
        <f>SUM('1st Qtr'!D10,'2nd Qtr'!D10,'3rd Qtr'!D10,'4th Qtr'!D10)</f>
        <v>7527.75</v>
      </c>
      <c r="E10" s="14">
        <f>SUM('1st Qtr'!E10, '2nd Qtr'!E10, '3rd Qtr'!E10, '4th Qtr'!E10)</f>
        <v>16102.59</v>
      </c>
      <c r="F10" s="14">
        <f t="shared" si="0"/>
        <v>-8574.84</v>
      </c>
      <c r="G10" s="15">
        <f t="shared" si="1"/>
        <v>-0.53251309261429369</v>
      </c>
      <c r="H10" s="16">
        <f>SUM('1st Qtr'!H10,'2nd Qtr'!H10,'3rd Qtr'!H10,'4th Qtr'!H10)</f>
        <v>12064.56</v>
      </c>
      <c r="I10" s="16">
        <f>SUM('1st Qtr'!I10, '2nd Qtr'!I10, '3rd Qtr'!I10, '4th Qtr'!I10)</f>
        <v>-4536.8099999999995</v>
      </c>
      <c r="J10" s="15">
        <f t="shared" si="2"/>
        <v>-0.37604438122898803</v>
      </c>
    </row>
    <row r="11" spans="1:10" ht="15.6">
      <c r="A11" s="24" t="str">
        <v>K206</v>
      </c>
      <c r="B11" s="25" t="str">
        <v>NY</v>
      </c>
      <c r="C11" s="25" t="str">
        <f>Sites[[#This Row],[SOL'#]]</f>
        <v>SOL-10927</v>
      </c>
      <c r="D11" s="20">
        <f>SUM('1st Qtr'!D11,'2nd Qtr'!D11,'3rd Qtr'!D11,'4th Qtr'!D11)</f>
        <v>5243.875</v>
      </c>
      <c r="E11" s="10">
        <f>SUM('1st Qtr'!E11, '2nd Qtr'!E11, '3rd Qtr'!E11, '4th Qtr'!E11)</f>
        <v>5255.2420000000002</v>
      </c>
      <c r="F11" s="10">
        <f t="shared" si="0"/>
        <v>-11.367000000000189</v>
      </c>
      <c r="G11" s="11">
        <f t="shared" si="1"/>
        <v>-2.1629831699473E-3</v>
      </c>
      <c r="H11" s="12">
        <f>SUM('1st Qtr'!H11,'2nd Qtr'!H11,'3rd Qtr'!H11,'4th Qtr'!H11)</f>
        <v>6894</v>
      </c>
      <c r="I11" s="12">
        <f>SUM('1st Qtr'!I11, '2nd Qtr'!I11, '3rd Qtr'!I11, '4th Qtr'!I11)</f>
        <v>-1650.125</v>
      </c>
      <c r="J11" s="13">
        <f t="shared" si="2"/>
        <v>-0.23935668697418044</v>
      </c>
    </row>
    <row r="12" spans="1:10" ht="15.6">
      <c r="A12" s="26" t="str">
        <v>K251</v>
      </c>
      <c r="B12" s="27" t="str">
        <v>NY</v>
      </c>
      <c r="C12" s="27" t="str">
        <f>Sites[[#This Row],[SOL'#]]</f>
        <v>SOL-10365</v>
      </c>
      <c r="D12" s="9">
        <f>SUM('1st Qtr'!D12,'2nd Qtr'!D12,'3rd Qtr'!D12,'4th Qtr'!D12)</f>
        <v>5285.5625</v>
      </c>
      <c r="E12" s="14">
        <f>SUM('1st Qtr'!E12, '2nd Qtr'!E12, '3rd Qtr'!E12, '4th Qtr'!E12)</f>
        <v>0</v>
      </c>
      <c r="F12" s="14">
        <f t="shared" si="0"/>
        <v>5285.5625</v>
      </c>
      <c r="G12" s="15" t="str">
        <f t="shared" si="1"/>
        <v/>
      </c>
      <c r="H12" s="16">
        <f>SUM('1st Qtr'!H12,'2nd Qtr'!H12,'3rd Qtr'!H12,'4th Qtr'!H12)</f>
        <v>8483.0939999999991</v>
      </c>
      <c r="I12" s="16">
        <f>SUM('1st Qtr'!I12, '2nd Qtr'!I12, '3rd Qtr'!I12, '4th Qtr'!I12)</f>
        <v>-3197.5314999999991</v>
      </c>
      <c r="J12" s="15">
        <f t="shared" si="2"/>
        <v>-0.37692986780530774</v>
      </c>
    </row>
    <row r="13" spans="1:10" ht="15.6">
      <c r="A13" s="24" t="str">
        <v>K269</v>
      </c>
      <c r="B13" s="25" t="str">
        <v>NY</v>
      </c>
      <c r="C13" s="25" t="str">
        <f>Sites[[#This Row],[SOL'#]]</f>
        <v>SOL-10366</v>
      </c>
      <c r="D13" s="20">
        <f>SUM('1st Qtr'!D13,'2nd Qtr'!D13,'3rd Qtr'!D13,'4th Qtr'!D13)</f>
        <v>4482.4375</v>
      </c>
      <c r="E13" s="10">
        <f>SUM('1st Qtr'!E13, '2nd Qtr'!E13, '3rd Qtr'!E13, '4th Qtr'!E13)</f>
        <v>7734.4859999999999</v>
      </c>
      <c r="F13" s="10">
        <f t="shared" si="0"/>
        <v>-3252.0484999999999</v>
      </c>
      <c r="G13" s="11">
        <f t="shared" si="1"/>
        <v>-0.42046084251752475</v>
      </c>
      <c r="H13" s="12">
        <f>SUM('1st Qtr'!H13,'2nd Qtr'!H13,'3rd Qtr'!H13,'4th Qtr'!H13)</f>
        <v>7723.1490000000003</v>
      </c>
      <c r="I13" s="12">
        <f>SUM('1st Qtr'!I13, '2nd Qtr'!I13, '3rd Qtr'!I13, '4th Qtr'!I13)</f>
        <v>-3240.7115000000003</v>
      </c>
      <c r="J13" s="13">
        <f t="shared" si="2"/>
        <v>-0.41961012276210136</v>
      </c>
    </row>
    <row r="14" spans="1:10" ht="15.6">
      <c r="A14" s="26" t="str">
        <v>K273</v>
      </c>
      <c r="B14" s="27" t="str">
        <v>NY</v>
      </c>
      <c r="C14" s="27" t="str">
        <f>Sites[[#This Row],[SOL'#]]</f>
        <v>SOL-10367</v>
      </c>
      <c r="D14" s="9">
        <f>SUM('1st Qtr'!D14,'2nd Qtr'!D14,'3rd Qtr'!D14,'4th Qtr'!D14)</f>
        <v>4816.2672739999998</v>
      </c>
      <c r="E14" s="14">
        <f>SUM('1st Qtr'!E14, '2nd Qtr'!E14, '3rd Qtr'!E14, '4th Qtr'!E14)</f>
        <v>0</v>
      </c>
      <c r="F14" s="14">
        <f t="shared" si="0"/>
        <v>4816.2672739999998</v>
      </c>
      <c r="G14" s="15" t="str">
        <f t="shared" si="1"/>
        <v/>
      </c>
      <c r="H14" s="16">
        <f>SUM('1st Qtr'!H14,'2nd Qtr'!H14,'3rd Qtr'!H14,'4th Qtr'!H14)</f>
        <v>9546</v>
      </c>
      <c r="I14" s="16">
        <f>SUM('1st Qtr'!I14, '2nd Qtr'!I14, '3rd Qtr'!I14, '4th Qtr'!I14)</f>
        <v>-4729.7327260000002</v>
      </c>
      <c r="J14" s="15">
        <f t="shared" si="2"/>
        <v>-0.49546749696207837</v>
      </c>
    </row>
    <row r="15" spans="1:10" ht="15.6">
      <c r="A15" s="24" t="str">
        <v>K287</v>
      </c>
      <c r="B15" s="25" t="str">
        <v>NY</v>
      </c>
      <c r="C15" s="25" t="str">
        <f>Sites[[#This Row],[SOL'#]]</f>
        <v>SOL-10919</v>
      </c>
      <c r="D15" s="20">
        <f>SUM('1st Qtr'!D15,'2nd Qtr'!D15,'3rd Qtr'!D15,'4th Qtr'!D15)</f>
        <v>4113.1875</v>
      </c>
      <c r="E15" s="10">
        <f>SUM('1st Qtr'!E15, '2nd Qtr'!E15, '3rd Qtr'!E15, '4th Qtr'!E15)</f>
        <v>5386.8280000000004</v>
      </c>
      <c r="F15" s="10">
        <f t="shared" si="0"/>
        <v>-1273.6405000000004</v>
      </c>
      <c r="G15" s="11">
        <f t="shared" si="1"/>
        <v>-0.23643608075104688</v>
      </c>
      <c r="H15" s="12">
        <f>SUM('1st Qtr'!H15,'2nd Qtr'!H15,'3rd Qtr'!H15,'4th Qtr'!H15)</f>
        <v>7303</v>
      </c>
      <c r="I15" s="12">
        <f>SUM('1st Qtr'!I15, '2nd Qtr'!I15, '3rd Qtr'!I15, '4th Qtr'!I15)</f>
        <v>-3189.8125</v>
      </c>
      <c r="J15" s="13">
        <f t="shared" si="2"/>
        <v>-0.43678111734903463</v>
      </c>
    </row>
    <row r="16" spans="1:10" ht="15.6">
      <c r="A16" s="26" t="str">
        <v>K298</v>
      </c>
      <c r="B16" s="27" t="str">
        <v>NY</v>
      </c>
      <c r="C16" s="27" t="str">
        <f>Sites[[#This Row],[SOL'#]]</f>
        <v>SOL-10368</v>
      </c>
      <c r="D16" s="9">
        <f>SUM('1st Qtr'!D16,'2nd Qtr'!D16,'3rd Qtr'!D16,'4th Qtr'!D16)</f>
        <v>3551.375</v>
      </c>
      <c r="E16" s="14">
        <f>SUM('1st Qtr'!E16, '2nd Qtr'!E16, '3rd Qtr'!E16, '4th Qtr'!E16)</f>
        <v>6917.152</v>
      </c>
      <c r="F16" s="14">
        <f t="shared" si="0"/>
        <v>-3365.777</v>
      </c>
      <c r="G16" s="15">
        <f t="shared" si="1"/>
        <v>-0.48658421847604333</v>
      </c>
      <c r="H16" s="16">
        <f>SUM('1st Qtr'!H16,'2nd Qtr'!H16,'3rd Qtr'!H16,'4th Qtr'!H16)</f>
        <v>6119</v>
      </c>
      <c r="I16" s="16">
        <f>SUM('1st Qtr'!I16, '2nd Qtr'!I16, '3rd Qtr'!I16, '4th Qtr'!I16)</f>
        <v>-2567.625</v>
      </c>
      <c r="J16" s="15">
        <f t="shared" si="2"/>
        <v>-0.41961513319169796</v>
      </c>
    </row>
    <row r="17" spans="1:10" ht="15.6">
      <c r="A17" s="24" t="str">
        <v>K335</v>
      </c>
      <c r="B17" s="25" t="str">
        <v>NY</v>
      </c>
      <c r="C17" s="25" t="str">
        <f>Sites[[#This Row],[SOL'#]]</f>
        <v>SOL-10370</v>
      </c>
      <c r="D17" s="20">
        <f>SUM('1st Qtr'!D17,'2nd Qtr'!D17,'3rd Qtr'!D17,'4th Qtr'!D17)</f>
        <v>4369.8125</v>
      </c>
      <c r="E17" s="10">
        <f>SUM('1st Qtr'!E17, '2nd Qtr'!E17, '3rd Qtr'!E17, '4th Qtr'!E17)</f>
        <v>7302.4170000000004</v>
      </c>
      <c r="F17" s="10">
        <f t="shared" si="0"/>
        <v>-2932.6045000000004</v>
      </c>
      <c r="G17" s="11">
        <f t="shared" si="1"/>
        <v>-0.40159367781927546</v>
      </c>
      <c r="H17" s="12">
        <f>SUM('1st Qtr'!H17,'2nd Qtr'!H17,'3rd Qtr'!H17,'4th Qtr'!H17)</f>
        <v>8179</v>
      </c>
      <c r="I17" s="12">
        <f>SUM('1st Qtr'!I17, '2nd Qtr'!I17, '3rd Qtr'!I17, '4th Qtr'!I17)</f>
        <v>-3809.1875</v>
      </c>
      <c r="J17" s="13">
        <f t="shared" si="2"/>
        <v>-0.46572777845702407</v>
      </c>
    </row>
    <row r="18" spans="1:10" ht="15.6">
      <c r="A18" s="26" t="str">
        <v>K345</v>
      </c>
      <c r="B18" s="27" t="str">
        <v>NY</v>
      </c>
      <c r="C18" s="27" t="str">
        <f>Sites[[#This Row],[SOL'#]]</f>
        <v>SOL-10920</v>
      </c>
      <c r="D18" s="9">
        <f>SUM('1st Qtr'!D18,'2nd Qtr'!D18,'3rd Qtr'!D18,'4th Qtr'!D18)</f>
        <v>5288.71875</v>
      </c>
      <c r="E18" s="14">
        <f>SUM('1st Qtr'!E18, '2nd Qtr'!E18, '3rd Qtr'!E18, '4th Qtr'!E18)</f>
        <v>5418.4340000000002</v>
      </c>
      <c r="F18" s="14">
        <f t="shared" si="0"/>
        <v>-129.7152500000002</v>
      </c>
      <c r="G18" s="15">
        <f t="shared" si="1"/>
        <v>-2.3939619823735086E-2</v>
      </c>
      <c r="H18" s="16">
        <f>SUM('1st Qtr'!H18,'2nd Qtr'!H18,'3rd Qtr'!H18,'4th Qtr'!H18)</f>
        <v>6910</v>
      </c>
      <c r="I18" s="16">
        <f>SUM('1st Qtr'!I18, '2nd Qtr'!I18, '3rd Qtr'!I18, '4th Qtr'!I18)</f>
        <v>-1621.28125</v>
      </c>
      <c r="J18" s="15">
        <f t="shared" si="2"/>
        <v>-0.2346282561505065</v>
      </c>
    </row>
    <row r="19" spans="1:10" ht="15.6">
      <c r="A19" s="24" t="str">
        <v>K445</v>
      </c>
      <c r="B19" s="25" t="str">
        <v>NY</v>
      </c>
      <c r="C19" s="25" t="str">
        <f>Sites[[#This Row],[SOL'#]]</f>
        <v>SOL-10373</v>
      </c>
      <c r="D19" s="20">
        <f>SUM('1st Qtr'!D19,'2nd Qtr'!D19,'3rd Qtr'!D19,'4th Qtr'!D19)</f>
        <v>4901</v>
      </c>
      <c r="E19" s="10">
        <f>SUM('1st Qtr'!E19, '2nd Qtr'!E19, '3rd Qtr'!E19, '4th Qtr'!E19)</f>
        <v>7406.31</v>
      </c>
      <c r="F19" s="10">
        <f t="shared" si="0"/>
        <v>-2505.3100000000004</v>
      </c>
      <c r="G19" s="11">
        <f t="shared" si="1"/>
        <v>-0.33826696425075381</v>
      </c>
      <c r="H19" s="12">
        <f>SUM('1st Qtr'!H19,'2nd Qtr'!H19,'3rd Qtr'!H19,'4th Qtr'!H19)</f>
        <v>6782.6149999999998</v>
      </c>
      <c r="I19" s="12">
        <f>SUM('1st Qtr'!I19, '2nd Qtr'!I19, '3rd Qtr'!I19, '4th Qtr'!I19)</f>
        <v>-1881.6149999999998</v>
      </c>
      <c r="J19" s="13">
        <f t="shared" si="2"/>
        <v>-0.27741733829798682</v>
      </c>
    </row>
    <row r="20" spans="1:10" ht="15.6">
      <c r="A20" s="26" t="str">
        <v>K495</v>
      </c>
      <c r="B20" s="27" t="str">
        <v>NY</v>
      </c>
      <c r="C20" s="27" t="str">
        <f>Sites[[#This Row],[SOL'#]]</f>
        <v>SOL-10374</v>
      </c>
      <c r="D20" s="9">
        <f>SUM('1st Qtr'!D20,'2nd Qtr'!D20,'3rd Qtr'!D20,'4th Qtr'!D20)</f>
        <v>20126.75</v>
      </c>
      <c r="E20" s="14">
        <f>SUM('1st Qtr'!E20, '2nd Qtr'!E20, '3rd Qtr'!E20, '4th Qtr'!E20)</f>
        <v>28959.78</v>
      </c>
      <c r="F20" s="14">
        <f t="shared" si="0"/>
        <v>-8833.0299999999988</v>
      </c>
      <c r="G20" s="15">
        <f t="shared" si="1"/>
        <v>-0.30501025905583534</v>
      </c>
      <c r="H20" s="16">
        <f>SUM('1st Qtr'!H20,'2nd Qtr'!H20,'3rd Qtr'!H20,'4th Qtr'!H20)</f>
        <v>49040.59</v>
      </c>
      <c r="I20" s="16">
        <f>SUM('1st Qtr'!I20, '2nd Qtr'!I20, '3rd Qtr'!I20, '4th Qtr'!I20)</f>
        <v>-28913.839999999997</v>
      </c>
      <c r="J20" s="15">
        <f t="shared" si="2"/>
        <v>-0.58958997026748661</v>
      </c>
    </row>
    <row r="21" spans="1:10" ht="15.6">
      <c r="A21" s="24" t="str">
        <v>M020</v>
      </c>
      <c r="B21" s="25" t="str">
        <v>NY</v>
      </c>
      <c r="C21" s="25" t="str">
        <f>Sites[[#This Row],[SOL'#]]</f>
        <v>SOL-10380</v>
      </c>
      <c r="D21" s="20">
        <f>SUM('1st Qtr'!D21,'2nd Qtr'!D21,'3rd Qtr'!D21,'4th Qtr'!D21)</f>
        <v>5231.96875</v>
      </c>
      <c r="E21" s="10">
        <f>SUM('1st Qtr'!E21, '2nd Qtr'!E21, '3rd Qtr'!E21, '4th Qtr'!E21)</f>
        <v>7045.7389999999996</v>
      </c>
      <c r="F21" s="10">
        <f t="shared" si="0"/>
        <v>-1813.7702499999996</v>
      </c>
      <c r="G21" s="11">
        <f t="shared" si="1"/>
        <v>-0.25742796461804784</v>
      </c>
      <c r="H21" s="12">
        <f>SUM('1st Qtr'!H21,'2nd Qtr'!H21,'3rd Qtr'!H21,'4th Qtr'!H21)</f>
        <v>9125</v>
      </c>
      <c r="I21" s="12">
        <f>SUM('1st Qtr'!I21, '2nd Qtr'!I21, '3rd Qtr'!I21, '4th Qtr'!I21)</f>
        <v>-3893.03125</v>
      </c>
      <c r="J21" s="13">
        <f t="shared" si="2"/>
        <v>-0.42663356164383559</v>
      </c>
    </row>
    <row r="22" spans="1:10" ht="15.6">
      <c r="A22" s="26" t="str">
        <v>M092</v>
      </c>
      <c r="B22" s="27" t="str">
        <v>NY</v>
      </c>
      <c r="C22" s="27" t="str">
        <f>Sites[[#This Row],[SOL'#]]</f>
        <v>SOL-10383</v>
      </c>
      <c r="D22" s="9">
        <f>SUM('1st Qtr'!D22,'2nd Qtr'!D22,'3rd Qtr'!D22,'4th Qtr'!D22)</f>
        <v>4773.3125</v>
      </c>
      <c r="E22" s="14">
        <f>SUM('1st Qtr'!E22, '2nd Qtr'!E22, '3rd Qtr'!E22, '4th Qtr'!E22)</f>
        <v>7344.2849999999999</v>
      </c>
      <c r="F22" s="14">
        <f t="shared" si="0"/>
        <v>-2570.9724999999999</v>
      </c>
      <c r="G22" s="15">
        <f t="shared" si="1"/>
        <v>-0.35006436977867822</v>
      </c>
      <c r="H22" s="16">
        <f>SUM('1st Qtr'!H22,'2nd Qtr'!H22,'3rd Qtr'!H22,'4th Qtr'!H22)</f>
        <v>8137.5959999999995</v>
      </c>
      <c r="I22" s="16">
        <f>SUM('1st Qtr'!I22, '2nd Qtr'!I22, '3rd Qtr'!I22, '4th Qtr'!I22)</f>
        <v>-3364.2834999999995</v>
      </c>
      <c r="J22" s="15">
        <f t="shared" si="2"/>
        <v>-0.41342473870661556</v>
      </c>
    </row>
    <row r="23" spans="1:10" ht="15.6">
      <c r="A23" s="24" t="str">
        <v>M143</v>
      </c>
      <c r="B23" s="25" t="str">
        <v>NY</v>
      </c>
      <c r="C23" s="25" t="str">
        <f>Sites[[#This Row],[SOL'#]]</f>
        <v>SOL-10384</v>
      </c>
      <c r="D23" s="20">
        <f>SUM('1st Qtr'!D23,'2nd Qtr'!D23,'3rd Qtr'!D23,'4th Qtr'!D23)</f>
        <v>4837.8125</v>
      </c>
      <c r="E23" s="10">
        <f>SUM('1st Qtr'!E23, '2nd Qtr'!E23, '3rd Qtr'!E23, '4th Qtr'!E23)</f>
        <v>7607.8310000000001</v>
      </c>
      <c r="F23" s="10">
        <f t="shared" si="0"/>
        <v>-2770.0185000000001</v>
      </c>
      <c r="G23" s="11">
        <f t="shared" si="1"/>
        <v>-0.36410095071775384</v>
      </c>
      <c r="H23" s="12">
        <f>SUM('1st Qtr'!H23,'2nd Qtr'!H23,'3rd Qtr'!H23,'4th Qtr'!H23)</f>
        <v>8659.26</v>
      </c>
      <c r="I23" s="12">
        <f>SUM('1st Qtr'!I23, '2nd Qtr'!I23, '3rd Qtr'!I23, '4th Qtr'!I23)</f>
        <v>-3821.4475000000002</v>
      </c>
      <c r="J23" s="13">
        <f t="shared" si="2"/>
        <v>-0.44131340322383206</v>
      </c>
    </row>
    <row r="24" spans="1:10" ht="15.6">
      <c r="A24" s="26" t="str">
        <v>M144</v>
      </c>
      <c r="B24" s="27" t="str">
        <v>NY</v>
      </c>
      <c r="C24" s="27" t="str">
        <f>Sites[[#This Row],[SOL'#]]</f>
        <v>SOL-10385</v>
      </c>
      <c r="D24" s="9">
        <f>SUM('1st Qtr'!D24,'2nd Qtr'!D24,'3rd Qtr'!D24,'4th Qtr'!D24)</f>
        <v>7799.625</v>
      </c>
      <c r="E24" s="14">
        <f>SUM('1st Qtr'!E24, '2nd Qtr'!E24, '3rd Qtr'!E24, '4th Qtr'!E24)</f>
        <v>13319.92</v>
      </c>
      <c r="F24" s="14">
        <f t="shared" si="0"/>
        <v>-5520.2950000000001</v>
      </c>
      <c r="G24" s="15">
        <f t="shared" si="1"/>
        <v>-0.4144390506849891</v>
      </c>
      <c r="H24" s="16">
        <f>SUM('1st Qtr'!H24,'2nd Qtr'!H24,'3rd Qtr'!H24,'4th Qtr'!H24)</f>
        <v>23584.05</v>
      </c>
      <c r="I24" s="16">
        <f>SUM('1st Qtr'!I24, '2nd Qtr'!I24, '3rd Qtr'!I24, '4th Qtr'!I24)</f>
        <v>-15784.424999999999</v>
      </c>
      <c r="J24" s="15">
        <f t="shared" si="2"/>
        <v>-0.66928390161995077</v>
      </c>
    </row>
    <row r="25" spans="1:10" ht="15.6">
      <c r="A25" s="24" t="str">
        <v>M167</v>
      </c>
      <c r="B25" s="25" t="str">
        <v>NY</v>
      </c>
      <c r="C25" s="25" t="str">
        <f>Sites[[#This Row],[SOL'#]]</f>
        <v>SOL-10386</v>
      </c>
      <c r="D25" s="20">
        <f>SUM('1st Qtr'!D25,'2nd Qtr'!D25,'3rd Qtr'!D25,'4th Qtr'!D25)</f>
        <v>4931.21875</v>
      </c>
      <c r="E25" s="10">
        <f>SUM('1st Qtr'!E25, '2nd Qtr'!E25, '3rd Qtr'!E25, '4th Qtr'!E25)</f>
        <v>5726.7839999999997</v>
      </c>
      <c r="F25" s="10">
        <f t="shared" si="0"/>
        <v>-795.56524999999965</v>
      </c>
      <c r="G25" s="11">
        <f t="shared" si="1"/>
        <v>-0.13892007276684432</v>
      </c>
      <c r="H25" s="12">
        <f>SUM('1st Qtr'!H25,'2nd Qtr'!H25,'3rd Qtr'!H25,'4th Qtr'!H25)</f>
        <v>8065.7079999999996</v>
      </c>
      <c r="I25" s="12">
        <f>SUM('1st Qtr'!I25, '2nd Qtr'!I25, '3rd Qtr'!I25, '4th Qtr'!I25)</f>
        <v>-3134.4892499999996</v>
      </c>
      <c r="J25" s="13">
        <f t="shared" si="2"/>
        <v>-0.38861923218643668</v>
      </c>
    </row>
    <row r="26" spans="1:10" ht="15.6">
      <c r="A26" s="26" t="str">
        <v>M188</v>
      </c>
      <c r="B26" s="27" t="str">
        <v>NY</v>
      </c>
      <c r="C26" s="27" t="str">
        <f>Sites[[#This Row],[SOL'#]]</f>
        <v>SOL-10387</v>
      </c>
      <c r="D26" s="9">
        <f>SUM('1st Qtr'!D26,'2nd Qtr'!D26,'3rd Qtr'!D26,'4th Qtr'!D26)</f>
        <v>4259.361406</v>
      </c>
      <c r="E26" s="14">
        <f>SUM('1st Qtr'!E26, '2nd Qtr'!E26, '3rd Qtr'!E26, '4th Qtr'!E26)</f>
        <v>6602.9440000000004</v>
      </c>
      <c r="F26" s="14">
        <f t="shared" si="0"/>
        <v>-2343.5825940000004</v>
      </c>
      <c r="G26" s="15">
        <f t="shared" si="1"/>
        <v>-0.3549299515488849</v>
      </c>
      <c r="H26" s="16">
        <f>SUM('1st Qtr'!H26,'2nd Qtr'!H26,'3rd Qtr'!H26,'4th Qtr'!H26)</f>
        <v>12343.55</v>
      </c>
      <c r="I26" s="16">
        <f>SUM('1st Qtr'!I26, '2nd Qtr'!I26, '3rd Qtr'!I26, '4th Qtr'!I26)</f>
        <v>-8084.1885939999993</v>
      </c>
      <c r="J26" s="15">
        <f t="shared" si="2"/>
        <v>-0.65493221917519673</v>
      </c>
    </row>
    <row r="27" spans="1:10" ht="15.6">
      <c r="A27" s="24" t="str">
        <v>EMHC</v>
      </c>
      <c r="B27" s="25" t="str">
        <v>NY</v>
      </c>
      <c r="C27" s="25" t="str">
        <f>Sites[[#This Row],[SOL'#]]</f>
        <v>SOL-10351</v>
      </c>
      <c r="D27" s="20">
        <f>SUM('1st Qtr'!D27,'2nd Qtr'!D27,'3rd Qtr'!D27,'4th Qtr'!D27)</f>
        <v>1375.359375</v>
      </c>
      <c r="E27" s="10">
        <f>SUM('1st Qtr'!E27, '2nd Qtr'!E27, '3rd Qtr'!E27, '4th Qtr'!E27)</f>
        <v>1501.0419999999999</v>
      </c>
      <c r="F27" s="10">
        <f t="shared" si="0"/>
        <v>-125.68262499999992</v>
      </c>
      <c r="G27" s="11">
        <f t="shared" si="1"/>
        <v>-8.3730252051574791E-2</v>
      </c>
      <c r="H27" s="12">
        <f>SUM('1st Qtr'!H27,'2nd Qtr'!H27,'3rd Qtr'!H27,'4th Qtr'!H27)</f>
        <v>2307.806</v>
      </c>
      <c r="I27" s="12">
        <f>SUM('1st Qtr'!I27, '2nd Qtr'!I27, '3rd Qtr'!I27, '4th Qtr'!I27)</f>
        <v>-932.44662500000004</v>
      </c>
      <c r="J27" s="13">
        <f t="shared" si="2"/>
        <v>-0.40404029844796313</v>
      </c>
    </row>
    <row r="28" spans="1:10" ht="15.6">
      <c r="A28" s="26" t="str">
        <v>Q008</v>
      </c>
      <c r="B28" s="27" t="str">
        <v>NY</v>
      </c>
      <c r="C28" s="27" t="str">
        <f>Sites[[#This Row],[SOL'#]]</f>
        <v>SOL-10397</v>
      </c>
      <c r="D28" s="9">
        <f>SUM('1st Qtr'!D28,'2nd Qtr'!D28,'3rd Qtr'!D28,'4th Qtr'!D28)</f>
        <v>7064.75</v>
      </c>
      <c r="E28" s="14">
        <f>SUM('1st Qtr'!E28, '2nd Qtr'!E28, '3rd Qtr'!E28, '4th Qtr'!E28)</f>
        <v>10490.4</v>
      </c>
      <c r="F28" s="14">
        <f t="shared" si="0"/>
        <v>-3425.6499999999996</v>
      </c>
      <c r="G28" s="15">
        <f t="shared" si="1"/>
        <v>-0.32655094181346755</v>
      </c>
      <c r="H28" s="16">
        <f>SUM('1st Qtr'!H28,'2nd Qtr'!H28,'3rd Qtr'!H28,'4th Qtr'!H28)</f>
        <v>10992</v>
      </c>
      <c r="I28" s="16">
        <f>SUM('1st Qtr'!I28, '2nd Qtr'!I28, '3rd Qtr'!I28, '4th Qtr'!I28)</f>
        <v>-3927.25</v>
      </c>
      <c r="J28" s="15">
        <f t="shared" si="2"/>
        <v>-0.35728256914119361</v>
      </c>
    </row>
    <row r="29" spans="1:10" ht="15.6">
      <c r="A29" s="24" t="str">
        <v>Q018</v>
      </c>
      <c r="B29" s="25" t="str">
        <v>NY</v>
      </c>
      <c r="C29" s="25" t="str">
        <f>Sites[[#This Row],[SOL'#]]</f>
        <v>SOL-10398</v>
      </c>
      <c r="D29" s="20">
        <f>SUM('1st Qtr'!D29,'2nd Qtr'!D29,'3rd Qtr'!D29,'4th Qtr'!D29)</f>
        <v>4452.3125</v>
      </c>
      <c r="E29" s="10">
        <f>SUM('1st Qtr'!E29, '2nd Qtr'!E29, '3rd Qtr'!E29, '4th Qtr'!E29)</f>
        <v>6553.9470000000001</v>
      </c>
      <c r="F29" s="10">
        <f t="shared" si="0"/>
        <v>-2101.6345000000001</v>
      </c>
      <c r="G29" s="11">
        <f t="shared" si="1"/>
        <v>-0.32066699654421987</v>
      </c>
      <c r="H29" s="12">
        <f>SUM('1st Qtr'!H29,'2nd Qtr'!H29,'3rd Qtr'!H29,'4th Qtr'!H29)</f>
        <v>6648.9219999999996</v>
      </c>
      <c r="I29" s="12">
        <f>SUM('1st Qtr'!I29, '2nd Qtr'!I29, '3rd Qtr'!I29, '4th Qtr'!I29)</f>
        <v>-2196.6094999999996</v>
      </c>
      <c r="J29" s="13">
        <f t="shared" si="2"/>
        <v>-0.33037077288619116</v>
      </c>
    </row>
    <row r="30" spans="1:10" ht="15.6">
      <c r="A30" s="26" t="str">
        <v>Q021</v>
      </c>
      <c r="B30" s="27" t="str">
        <v>NY</v>
      </c>
      <c r="C30" s="27" t="str">
        <f>Sites[[#This Row],[SOL'#]]</f>
        <v>SOL-10399</v>
      </c>
      <c r="D30" s="9">
        <f>SUM('1st Qtr'!D30,'2nd Qtr'!D30,'3rd Qtr'!D30,'4th Qtr'!D30)</f>
        <v>3531.9375</v>
      </c>
      <c r="E30" s="14">
        <f>SUM('1st Qtr'!E30, '2nd Qtr'!E30, '3rd Qtr'!E30, '4th Qtr'!E30)</f>
        <v>8384.7279999999992</v>
      </c>
      <c r="F30" s="14">
        <f t="shared" si="0"/>
        <v>-4852.7904999999992</v>
      </c>
      <c r="G30" s="15">
        <f t="shared" si="1"/>
        <v>-0.57876540538941745</v>
      </c>
      <c r="H30" s="16">
        <f>SUM('1st Qtr'!H30,'2nd Qtr'!H30,'3rd Qtr'!H30,'4th Qtr'!H30)</f>
        <v>5197.5469999999996</v>
      </c>
      <c r="I30" s="16">
        <f>SUM('1st Qtr'!I30, '2nd Qtr'!I30, '3rd Qtr'!I30, '4th Qtr'!I30)</f>
        <v>-1665.6094999999996</v>
      </c>
      <c r="J30" s="15">
        <f t="shared" si="2"/>
        <v>-0.32046069039875918</v>
      </c>
    </row>
    <row r="31" spans="1:10" ht="15.6">
      <c r="A31" s="24" t="str">
        <v>Q025</v>
      </c>
      <c r="B31" s="25" t="str">
        <v>NY</v>
      </c>
      <c r="C31" s="25" t="str">
        <f>Sites[[#This Row],[SOL'#]]</f>
        <v>SOL-10400</v>
      </c>
      <c r="D31" s="20">
        <f>SUM('1st Qtr'!D31,'2nd Qtr'!D31,'3rd Qtr'!D31,'4th Qtr'!D31)</f>
        <v>6147.875</v>
      </c>
      <c r="E31" s="10">
        <f>SUM('1st Qtr'!E31, '2nd Qtr'!E31, '3rd Qtr'!E31, '4th Qtr'!E31)</f>
        <v>8484.7350000000006</v>
      </c>
      <c r="F31" s="10">
        <f t="shared" si="0"/>
        <v>-2336.8600000000006</v>
      </c>
      <c r="G31" s="11">
        <f t="shared" si="1"/>
        <v>-0.27541932659063606</v>
      </c>
      <c r="H31" s="12">
        <f>SUM('1st Qtr'!H31,'2nd Qtr'!H31,'3rd Qtr'!H31,'4th Qtr'!H31)</f>
        <v>7767</v>
      </c>
      <c r="I31" s="12">
        <f>SUM('1st Qtr'!I31, '2nd Qtr'!I31, '3rd Qtr'!I31, '4th Qtr'!I31)</f>
        <v>-1619.125</v>
      </c>
      <c r="J31" s="13">
        <f t="shared" si="2"/>
        <v>-0.20846208317239603</v>
      </c>
    </row>
    <row r="32" spans="1:10" ht="15.6">
      <c r="A32" s="26" t="str">
        <v>Q074</v>
      </c>
      <c r="B32" s="27" t="str">
        <v>NY</v>
      </c>
      <c r="C32" s="27" t="str">
        <f>Sites[[#This Row],[SOL'#]]</f>
        <v>SOL-10402</v>
      </c>
      <c r="D32" s="9">
        <f>SUM('1st Qtr'!D32,'2nd Qtr'!D32,'3rd Qtr'!D32,'4th Qtr'!D32)</f>
        <v>0</v>
      </c>
      <c r="E32" s="14">
        <f>SUM('1st Qtr'!E32, '2nd Qtr'!E32, '3rd Qtr'!E32, '4th Qtr'!E32)</f>
        <v>0</v>
      </c>
      <c r="F32" s="14">
        <f t="shared" si="0"/>
        <v>0</v>
      </c>
      <c r="G32" s="15" t="str">
        <f t="shared" si="1"/>
        <v/>
      </c>
      <c r="H32" s="16">
        <f>SUM('1st Qtr'!H32,'2nd Qtr'!H32,'3rd Qtr'!H32,'4th Qtr'!H32)</f>
        <v>0</v>
      </c>
      <c r="I32" s="16">
        <f>SUM('1st Qtr'!I32, '2nd Qtr'!I32, '3rd Qtr'!I32, '4th Qtr'!I32)</f>
        <v>0</v>
      </c>
      <c r="J32" s="15" t="str">
        <f t="shared" si="2"/>
        <v/>
      </c>
    </row>
    <row r="33" spans="1:10" ht="15.6">
      <c r="A33" s="24" t="str">
        <v>Q115</v>
      </c>
      <c r="B33" s="25" t="str">
        <v>NY</v>
      </c>
      <c r="C33" s="25" t="str">
        <f>Sites[[#This Row],[SOL'#]]</f>
        <v>SOL-10872</v>
      </c>
      <c r="D33" s="20">
        <f>SUM('1st Qtr'!D33,'2nd Qtr'!D33,'3rd Qtr'!D33,'4th Qtr'!D33)</f>
        <v>4946.6875</v>
      </c>
      <c r="E33" s="10">
        <f>SUM('1st Qtr'!E33, '2nd Qtr'!E33, '3rd Qtr'!E33, '4th Qtr'!E33)</f>
        <v>7759.4960000000001</v>
      </c>
      <c r="F33" s="10">
        <f t="shared" si="0"/>
        <v>-2812.8085000000001</v>
      </c>
      <c r="G33" s="11">
        <f t="shared" si="1"/>
        <v>-0.36249886590572378</v>
      </c>
      <c r="H33" s="12">
        <f>SUM('1st Qtr'!H33,'2nd Qtr'!H33,'3rd Qtr'!H33,'4th Qtr'!H33)</f>
        <v>8113.7629999999999</v>
      </c>
      <c r="I33" s="12">
        <f>SUM('1st Qtr'!I33, '2nd Qtr'!I33, '3rd Qtr'!I33, '4th Qtr'!I33)</f>
        <v>-3167.0754999999999</v>
      </c>
      <c r="J33" s="13">
        <f t="shared" si="2"/>
        <v>-0.3903337452671467</v>
      </c>
    </row>
    <row r="34" spans="1:10" ht="15.6">
      <c r="A34" s="26" t="str">
        <v>Q139</v>
      </c>
      <c r="B34" s="27" t="str">
        <v>NY</v>
      </c>
      <c r="C34" s="27" t="str">
        <f>Sites[[#This Row],[SOL'#]]</f>
        <v>SOL-10403</v>
      </c>
      <c r="D34" s="9">
        <f>SUM('1st Qtr'!D34,'2nd Qtr'!D34,'3rd Qtr'!D34,'4th Qtr'!D34)</f>
        <v>2738.25</v>
      </c>
      <c r="E34" s="14">
        <f>SUM('1st Qtr'!E34, '2nd Qtr'!E34, '3rd Qtr'!E34, '4th Qtr'!E34)</f>
        <v>5967.6580000000004</v>
      </c>
      <c r="F34" s="14">
        <f t="shared" si="0"/>
        <v>-3229.4080000000004</v>
      </c>
      <c r="G34" s="15">
        <f t="shared" si="1"/>
        <v>-0.54115165446813474</v>
      </c>
      <c r="H34" s="16">
        <f>SUM('1st Qtr'!H34,'2nd Qtr'!H34,'3rd Qtr'!H34,'4th Qtr'!H34)</f>
        <v>5168</v>
      </c>
      <c r="I34" s="16">
        <f>SUM('1st Qtr'!I34, '2nd Qtr'!I34, '3rd Qtr'!I34, '4th Qtr'!I34)</f>
        <v>-2429.75</v>
      </c>
      <c r="J34" s="15">
        <f t="shared" si="2"/>
        <v>-0.47015286377708976</v>
      </c>
    </row>
    <row r="35" spans="1:10" ht="15.6">
      <c r="A35" s="24" t="str">
        <v>Q157</v>
      </c>
      <c r="B35" s="25" t="str">
        <v>NY</v>
      </c>
      <c r="C35" s="25" t="str">
        <f>Sites[[#This Row],[SOL'#]]</f>
        <v>SOL-10404</v>
      </c>
      <c r="D35" s="20">
        <f>SUM('1st Qtr'!D35,'2nd Qtr'!D35,'3rd Qtr'!D35,'4th Qtr'!D35)</f>
        <v>5387.076521</v>
      </c>
      <c r="E35" s="10">
        <f>SUM('1st Qtr'!E35, '2nd Qtr'!E35, '3rd Qtr'!E35, '4th Qtr'!E35)</f>
        <v>13435.68</v>
      </c>
      <c r="F35" s="10">
        <f t="shared" si="0"/>
        <v>-8048.6034790000003</v>
      </c>
      <c r="G35" s="11">
        <f t="shared" si="1"/>
        <v>-0.5990469763346552</v>
      </c>
      <c r="H35" s="12">
        <f>SUM('1st Qtr'!H35,'2nd Qtr'!H35,'3rd Qtr'!H35,'4th Qtr'!H35)</f>
        <v>9154.3019999999997</v>
      </c>
      <c r="I35" s="12">
        <f>SUM('1st Qtr'!I35, '2nd Qtr'!I35, '3rd Qtr'!I35, '4th Qtr'!I35)</f>
        <v>-3767.2254789999997</v>
      </c>
      <c r="J35" s="13">
        <f t="shared" si="2"/>
        <v>-0.41152514730232842</v>
      </c>
    </row>
    <row r="36" spans="1:10" ht="15.6">
      <c r="A36" s="26" t="str">
        <v>Q192</v>
      </c>
      <c r="B36" s="27" t="str">
        <v>NY</v>
      </c>
      <c r="C36" s="27" t="str">
        <f>Sites[[#This Row],[SOL'#]]</f>
        <v>SOL-10406</v>
      </c>
      <c r="D36" s="9">
        <f>SUM('1st Qtr'!D36,'2nd Qtr'!D36,'3rd Qtr'!D36,'4th Qtr'!D36)</f>
        <v>8066.875</v>
      </c>
      <c r="E36" s="14">
        <f>SUM('1st Qtr'!E36, '2nd Qtr'!E36, '3rd Qtr'!E36, '4th Qtr'!E36)</f>
        <v>13154.35</v>
      </c>
      <c r="F36" s="14">
        <f t="shared" si="0"/>
        <v>-5087.4750000000004</v>
      </c>
      <c r="G36" s="15">
        <f t="shared" si="1"/>
        <v>-0.38675229106721354</v>
      </c>
      <c r="H36" s="16">
        <f>SUM('1st Qtr'!H36,'2nd Qtr'!H36,'3rd Qtr'!H36,'4th Qtr'!H36)</f>
        <v>13840.9</v>
      </c>
      <c r="I36" s="16">
        <f>SUM('1st Qtr'!I36, '2nd Qtr'!I36, '3rd Qtr'!I36, '4th Qtr'!I36)</f>
        <v>-5774.0249999999996</v>
      </c>
      <c r="J36" s="15">
        <f t="shared" si="2"/>
        <v>-0.41717120996466989</v>
      </c>
    </row>
    <row r="37" spans="1:10" ht="15.6">
      <c r="A37" s="24" t="str">
        <v>Q210</v>
      </c>
      <c r="B37" s="25" t="str">
        <v>NY</v>
      </c>
      <c r="C37" s="25" t="str">
        <f>Sites[[#This Row],[SOL'#]]</f>
        <v>SOL-10407</v>
      </c>
      <c r="D37" s="20">
        <f>SUM('1st Qtr'!D37,'2nd Qtr'!D37,'3rd Qtr'!D37,'4th Qtr'!D37)</f>
        <v>7166</v>
      </c>
      <c r="E37" s="10">
        <f>SUM('1st Qtr'!E37, '2nd Qtr'!E37, '3rd Qtr'!E37, '4th Qtr'!E37)</f>
        <v>9278.7729999999992</v>
      </c>
      <c r="F37" s="10">
        <f t="shared" si="0"/>
        <v>-2112.7729999999992</v>
      </c>
      <c r="G37" s="11">
        <f t="shared" si="1"/>
        <v>-0.22769961071361478</v>
      </c>
      <c r="H37" s="12">
        <f>SUM('1st Qtr'!H37,'2nd Qtr'!H37,'3rd Qtr'!H37,'4th Qtr'!H37)</f>
        <v>11622</v>
      </c>
      <c r="I37" s="12">
        <f>SUM('1st Qtr'!I37, '2nd Qtr'!I37, '3rd Qtr'!I37, '4th Qtr'!I37)</f>
        <v>-4456</v>
      </c>
      <c r="J37" s="13">
        <f t="shared" si="2"/>
        <v>-0.38341077267251766</v>
      </c>
    </row>
    <row r="38" spans="1:10" ht="15.6">
      <c r="A38" s="26" t="str">
        <v>Q229</v>
      </c>
      <c r="B38" s="27" t="str">
        <v>NY</v>
      </c>
      <c r="C38" s="27" t="str">
        <f>Sites[[#This Row],[SOL'#]]</f>
        <v>SOL-10408</v>
      </c>
      <c r="D38" s="9">
        <f>SUM('1st Qtr'!D38,'2nd Qtr'!D38,'3rd Qtr'!D38,'4th Qtr'!D38)</f>
        <v>2652.625</v>
      </c>
      <c r="E38" s="14">
        <f>SUM('1st Qtr'!E38, '2nd Qtr'!E38, '3rd Qtr'!E38, '4th Qtr'!E38)</f>
        <v>6651.4849999999997</v>
      </c>
      <c r="F38" s="14">
        <f t="shared" si="0"/>
        <v>-3998.8599999999997</v>
      </c>
      <c r="G38" s="15">
        <f t="shared" si="1"/>
        <v>-0.60119807832386296</v>
      </c>
      <c r="H38" s="16">
        <f>SUM('1st Qtr'!H38,'2nd Qtr'!H38,'3rd Qtr'!H38,'4th Qtr'!H38)</f>
        <v>3668.6909999999998</v>
      </c>
      <c r="I38" s="16">
        <f>SUM('1st Qtr'!I38, '2nd Qtr'!I38, '3rd Qtr'!I38, '4th Qtr'!I38)</f>
        <v>-1016.0659999999998</v>
      </c>
      <c r="J38" s="15">
        <f t="shared" si="2"/>
        <v>-0.27695600419877275</v>
      </c>
    </row>
    <row r="39" spans="1:10" ht="15.6">
      <c r="A39" s="24" t="str">
        <v>Q231</v>
      </c>
      <c r="B39" s="25" t="str">
        <v>NY</v>
      </c>
      <c r="C39" s="25" t="str">
        <f>Sites[[#This Row],[SOL'#]]</f>
        <v>SOL-10870</v>
      </c>
      <c r="D39" s="20">
        <f>SUM('1st Qtr'!D39,'2nd Qtr'!D39,'3rd Qtr'!D39,'4th Qtr'!D39)</f>
        <v>11856.375</v>
      </c>
      <c r="E39" s="10">
        <f>SUM('1st Qtr'!E39, '2nd Qtr'!E39, '3rd Qtr'!E39, '4th Qtr'!E39)</f>
        <v>20736.96</v>
      </c>
      <c r="F39" s="10">
        <f t="shared" si="0"/>
        <v>-8880.5849999999991</v>
      </c>
      <c r="G39" s="11">
        <f t="shared" si="1"/>
        <v>-0.42824912619786121</v>
      </c>
      <c r="H39" s="12">
        <f>SUM('1st Qtr'!H39,'2nd Qtr'!H39,'3rd Qtr'!H39,'4th Qtr'!H39)</f>
        <v>16899</v>
      </c>
      <c r="I39" s="12">
        <f>SUM('1st Qtr'!I39, '2nd Qtr'!I39, '3rd Qtr'!I39, '4th Qtr'!I39)</f>
        <v>-5042.625</v>
      </c>
      <c r="J39" s="13">
        <f t="shared" si="2"/>
        <v>-0.29839783419137228</v>
      </c>
    </row>
    <row r="40" spans="1:10" ht="15.6">
      <c r="A40" s="26" t="str">
        <v>Q405</v>
      </c>
      <c r="B40" s="27" t="str">
        <v>NY</v>
      </c>
      <c r="C40" s="27" t="str">
        <f>Sites[[#This Row],[SOL'#]]</f>
        <v>SOL-10409</v>
      </c>
      <c r="D40" s="9">
        <f>SUM('1st Qtr'!D40,'2nd Qtr'!D40,'3rd Qtr'!D40,'4th Qtr'!D40)</f>
        <v>13574</v>
      </c>
      <c r="E40" s="14">
        <f>SUM('1st Qtr'!E40, '2nd Qtr'!E40, '3rd Qtr'!E40, '4th Qtr'!E40)</f>
        <v>20233.849999999999</v>
      </c>
      <c r="F40" s="14">
        <f t="shared" si="0"/>
        <v>-6659.8499999999985</v>
      </c>
      <c r="G40" s="15">
        <f t="shared" si="1"/>
        <v>-0.32914398396746042</v>
      </c>
      <c r="H40" s="16">
        <f>SUM('1st Qtr'!H40,'2nd Qtr'!H40,'3rd Qtr'!H40,'4th Qtr'!H40)</f>
        <v>20674.02</v>
      </c>
      <c r="I40" s="16">
        <f>SUM('1st Qtr'!I40, '2nd Qtr'!I40, '3rd Qtr'!I40, '4th Qtr'!I40)</f>
        <v>-7100.02</v>
      </c>
      <c r="J40" s="15">
        <f t="shared" si="2"/>
        <v>-0.34342716123908174</v>
      </c>
    </row>
    <row r="41" spans="1:10" ht="15.6">
      <c r="A41" s="24" t="str">
        <v>Q435</v>
      </c>
      <c r="B41" s="25" t="str">
        <v>NY</v>
      </c>
      <c r="C41" s="25" t="str">
        <f>Sites[[#This Row],[SOL'#]]</f>
        <v>SOL-10923</v>
      </c>
      <c r="D41" s="20">
        <f>SUM('1st Qtr'!D41,'2nd Qtr'!D41,'3rd Qtr'!D41,'4th Qtr'!D41)</f>
        <v>17258.625</v>
      </c>
      <c r="E41" s="10">
        <f>SUM('1st Qtr'!E41, '2nd Qtr'!E41, '3rd Qtr'!E41, '4th Qtr'!E41)</f>
        <v>15813.72</v>
      </c>
      <c r="F41" s="10">
        <f t="shared" si="0"/>
        <v>1444.9050000000007</v>
      </c>
      <c r="G41" s="11">
        <f t="shared" si="1"/>
        <v>9.1370341703280483E-2</v>
      </c>
      <c r="H41" s="12">
        <f>SUM('1st Qtr'!H41,'2nd Qtr'!H41,'3rd Qtr'!H41,'4th Qtr'!H41)</f>
        <v>25692</v>
      </c>
      <c r="I41" s="12">
        <f>SUM('1st Qtr'!I41, '2nd Qtr'!I41, '3rd Qtr'!I41, '4th Qtr'!I41)</f>
        <v>-8433.375</v>
      </c>
      <c r="J41" s="13">
        <f t="shared" si="2"/>
        <v>-0.32824906585707614</v>
      </c>
    </row>
    <row r="42" spans="1:10" ht="15.6">
      <c r="A42" s="26" t="str">
        <v>Q485</v>
      </c>
      <c r="B42" s="27" t="str">
        <v>NY</v>
      </c>
      <c r="C42" s="27" t="str">
        <f>Sites[[#This Row],[SOL'#]]</f>
        <v>SOL-10869</v>
      </c>
      <c r="D42" s="9">
        <f>SUM('1st Qtr'!D42,'2nd Qtr'!D42,'3rd Qtr'!D42,'4th Qtr'!D42)</f>
        <v>14504.25</v>
      </c>
      <c r="E42" s="14">
        <f>SUM('1st Qtr'!E42, '2nd Qtr'!E42, '3rd Qtr'!E42, '4th Qtr'!E42)</f>
        <v>17360.88</v>
      </c>
      <c r="F42" s="14">
        <f t="shared" si="0"/>
        <v>-2856.630000000001</v>
      </c>
      <c r="G42" s="15">
        <f t="shared" si="1"/>
        <v>-0.16454407841077184</v>
      </c>
      <c r="H42" s="16">
        <f>SUM('1st Qtr'!H42,'2nd Qtr'!H42,'3rd Qtr'!H42,'4th Qtr'!H42)</f>
        <v>23708.84</v>
      </c>
      <c r="I42" s="16">
        <f>SUM('1st Qtr'!I42, '2nd Qtr'!I42, '3rd Qtr'!I42, '4th Qtr'!I42)</f>
        <v>-9204.59</v>
      </c>
      <c r="J42" s="15">
        <f t="shared" si="2"/>
        <v>-0.38823451505851825</v>
      </c>
    </row>
    <row r="43" spans="1:10" ht="15.6">
      <c r="A43" s="24" t="str">
        <v>Q490</v>
      </c>
      <c r="B43" s="25" t="str">
        <v>NY</v>
      </c>
      <c r="C43" s="25" t="str">
        <f>Sites[[#This Row],[SOL'#]]</f>
        <v>SOL-10411</v>
      </c>
      <c r="D43" s="20">
        <f>SUM('1st Qtr'!D43,'2nd Qtr'!D43,'3rd Qtr'!D43,'4th Qtr'!D43)</f>
        <v>10624.25</v>
      </c>
      <c r="E43" s="10">
        <f>SUM('1st Qtr'!E43, '2nd Qtr'!E43, '3rd Qtr'!E43, '4th Qtr'!E43)</f>
        <v>0</v>
      </c>
      <c r="F43" s="10">
        <f t="shared" si="0"/>
        <v>10624.25</v>
      </c>
      <c r="G43" s="11" t="str">
        <f t="shared" si="1"/>
        <v/>
      </c>
      <c r="H43" s="12">
        <f>SUM('1st Qtr'!H43,'2nd Qtr'!H43,'3rd Qtr'!H43,'4th Qtr'!H43)</f>
        <v>16762.39</v>
      </c>
      <c r="I43" s="12">
        <f>SUM('1st Qtr'!I43, '2nd Qtr'!I43, '3rd Qtr'!I43, '4th Qtr'!I43)</f>
        <v>-6138.1399999999994</v>
      </c>
      <c r="J43" s="13">
        <f t="shared" si="2"/>
        <v>-0.36618525162581228</v>
      </c>
    </row>
    <row r="44" spans="1:10" ht="15.6">
      <c r="A44" s="26" t="str">
        <v>Q620</v>
      </c>
      <c r="B44" s="27" t="str">
        <v>NY</v>
      </c>
      <c r="C44" s="27" t="str">
        <f>Sites[[#This Row],[SOL'#]]</f>
        <v>SOL-10867</v>
      </c>
      <c r="D44" s="9">
        <f>SUM('1st Qtr'!D44,'2nd Qtr'!D44,'3rd Qtr'!D44,'4th Qtr'!D44)</f>
        <v>16495</v>
      </c>
      <c r="E44" s="14">
        <f>SUM('1st Qtr'!E44, '2nd Qtr'!E44, '3rd Qtr'!E44, '4th Qtr'!E44)</f>
        <v>22544.46</v>
      </c>
      <c r="F44" s="14">
        <f t="shared" si="0"/>
        <v>-6049.4599999999991</v>
      </c>
      <c r="G44" s="15">
        <f t="shared" si="1"/>
        <v>-0.26833465960151626</v>
      </c>
      <c r="H44" s="16">
        <f>SUM('1st Qtr'!H44,'2nd Qtr'!H44,'3rd Qtr'!H44,'4th Qtr'!H44)</f>
        <v>27145.16</v>
      </c>
      <c r="I44" s="16">
        <f>SUM('1st Qtr'!I44, '2nd Qtr'!I44, '3rd Qtr'!I44, '4th Qtr'!I44)</f>
        <v>-10650.16</v>
      </c>
      <c r="J44" s="15">
        <f t="shared" si="2"/>
        <v>-0.39234102875061339</v>
      </c>
    </row>
    <row r="45" spans="1:10" ht="15.6">
      <c r="A45" s="24" t="str">
        <v>QMOA</v>
      </c>
      <c r="B45" s="25" t="str">
        <v>NY</v>
      </c>
      <c r="C45" s="25" t="str">
        <f>Sites[[#This Row],[SOL'#]]</f>
        <v>SOL-10415</v>
      </c>
      <c r="D45" s="20">
        <f>SUM('1st Qtr'!D45,'2nd Qtr'!D45,'3rd Qtr'!D45,'4th Qtr'!D45)</f>
        <v>1603.1</v>
      </c>
      <c r="E45" s="10">
        <f>SUM('1st Qtr'!E45, '2nd Qtr'!E45, '3rd Qtr'!E45, '4th Qtr'!E45)</f>
        <v>0</v>
      </c>
      <c r="F45" s="10">
        <f t="shared" si="0"/>
        <v>1603.1</v>
      </c>
      <c r="G45" s="11" t="str">
        <f t="shared" si="1"/>
        <v/>
      </c>
      <c r="H45" s="12">
        <f>SUM('1st Qtr'!H45,'2nd Qtr'!H45,'3rd Qtr'!H45,'4th Qtr'!H45)</f>
        <v>2917.413</v>
      </c>
      <c r="I45" s="12">
        <f>SUM('1st Qtr'!I45, '2nd Qtr'!I45, '3rd Qtr'!I45, '4th Qtr'!I45)</f>
        <v>-1314.3130000000001</v>
      </c>
      <c r="J45" s="13">
        <f t="shared" si="2"/>
        <v>-0.45050632186803857</v>
      </c>
    </row>
    <row r="46" spans="1:10" ht="15.6">
      <c r="A46" s="26" t="str">
        <v>X024</v>
      </c>
      <c r="B46" s="27" t="str">
        <v>NY</v>
      </c>
      <c r="C46" s="27" t="str">
        <f>Sites[[#This Row],[SOL'#]]</f>
        <v>SOL-10419</v>
      </c>
      <c r="D46" s="9">
        <f>SUM('1st Qtr'!D46,'2nd Qtr'!D46,'3rd Qtr'!D46,'4th Qtr'!D46)</f>
        <v>4890.84375</v>
      </c>
      <c r="E46" s="14">
        <f>SUM('1st Qtr'!E46, '2nd Qtr'!E46, '3rd Qtr'!E46, '4th Qtr'!E46)</f>
        <v>8802.6849999999995</v>
      </c>
      <c r="F46" s="14">
        <f t="shared" si="0"/>
        <v>-3911.8412499999995</v>
      </c>
      <c r="G46" s="15">
        <f t="shared" si="1"/>
        <v>-0.44439182476710226</v>
      </c>
      <c r="H46" s="16">
        <f>SUM('1st Qtr'!H46,'2nd Qtr'!H46,'3rd Qtr'!H46,'4th Qtr'!H46)</f>
        <v>8671</v>
      </c>
      <c r="I46" s="16">
        <f>SUM('1st Qtr'!I46, '2nd Qtr'!I46, '3rd Qtr'!I46, '4th Qtr'!I46)</f>
        <v>-3780.15625</v>
      </c>
      <c r="J46" s="15">
        <f t="shared" si="2"/>
        <v>-0.43595389805097451</v>
      </c>
    </row>
    <row r="47" spans="1:10" ht="15.6">
      <c r="A47" s="24" t="str">
        <v>X026</v>
      </c>
      <c r="B47" s="25" t="str">
        <v>NY</v>
      </c>
      <c r="C47" s="25" t="str">
        <f>Sites[[#This Row],[SOL'#]]</f>
        <v>SOL-10420</v>
      </c>
      <c r="D47" s="20">
        <f>SUM('1st Qtr'!D47,'2nd Qtr'!D47,'3rd Qtr'!D47,'4th Qtr'!D47)</f>
        <v>4731.6000000000004</v>
      </c>
      <c r="E47" s="10">
        <f>SUM('1st Qtr'!E47, '2nd Qtr'!E47, '3rd Qtr'!E47, '4th Qtr'!E47)</f>
        <v>10554.32</v>
      </c>
      <c r="F47" s="10">
        <f t="shared" si="0"/>
        <v>-5822.7199999999993</v>
      </c>
      <c r="G47" s="11">
        <f t="shared" si="1"/>
        <v>-0.55169068210931638</v>
      </c>
      <c r="H47" s="12">
        <f>SUM('1st Qtr'!H47,'2nd Qtr'!H47,'3rd Qtr'!H47,'4th Qtr'!H47)</f>
        <v>11071.89</v>
      </c>
      <c r="I47" s="12">
        <f>SUM('1st Qtr'!I47, '2nd Qtr'!I47, '3rd Qtr'!I47, '4th Qtr'!I47)</f>
        <v>-6340.2899999999991</v>
      </c>
      <c r="J47" s="13">
        <f t="shared" si="2"/>
        <v>-0.57264748836919432</v>
      </c>
    </row>
    <row r="48" spans="1:10" ht="15.6">
      <c r="A48" s="26" t="str">
        <v>X090</v>
      </c>
      <c r="B48" s="27" t="str">
        <v>NY</v>
      </c>
      <c r="C48" s="27" t="str">
        <f>Sites[[#This Row],[SOL'#]]</f>
        <v>SOL-10925</v>
      </c>
      <c r="D48" s="9">
        <f>SUM('1st Qtr'!D48,'2nd Qtr'!D48,'3rd Qtr'!D48,'4th Qtr'!D48)</f>
        <v>4833.5625</v>
      </c>
      <c r="E48" s="14">
        <f>SUM('1st Qtr'!E48, '2nd Qtr'!E48, '3rd Qtr'!E48, '4th Qtr'!E48)</f>
        <v>4545.3639999999996</v>
      </c>
      <c r="F48" s="14">
        <f t="shared" si="0"/>
        <v>288.19850000000042</v>
      </c>
      <c r="G48" s="15">
        <f t="shared" si="1"/>
        <v>6.3404933026265986E-2</v>
      </c>
      <c r="H48" s="16">
        <f>SUM('1st Qtr'!H48,'2nd Qtr'!H48,'3rd Qtr'!H48,'4th Qtr'!H48)</f>
        <v>7353</v>
      </c>
      <c r="I48" s="16">
        <f>SUM('1st Qtr'!I48, '2nd Qtr'!I48, '3rd Qtr'!I48, '4th Qtr'!I48)</f>
        <v>-2519.4375</v>
      </c>
      <c r="J48" s="15">
        <f t="shared" si="2"/>
        <v>-0.34264075887392903</v>
      </c>
    </row>
    <row r="49" spans="1:10" ht="15.6">
      <c r="A49" s="24" t="str">
        <v>X117</v>
      </c>
      <c r="B49" s="25" t="str">
        <v>NY</v>
      </c>
      <c r="C49" s="25" t="str">
        <f>Sites[[#This Row],[SOL'#]]</f>
        <v>SOL-10422</v>
      </c>
      <c r="D49" s="20">
        <f>SUM('1st Qtr'!D49,'2nd Qtr'!D49,'3rd Qtr'!D49,'4th Qtr'!D49)</f>
        <v>3511.7</v>
      </c>
      <c r="E49" s="10">
        <f>SUM('1st Qtr'!E49, '2nd Qtr'!E49, '3rd Qtr'!E49, '4th Qtr'!E49)</f>
        <v>8875.3150000000005</v>
      </c>
      <c r="F49" s="10">
        <f t="shared" si="0"/>
        <v>-5363.6150000000007</v>
      </c>
      <c r="G49" s="11">
        <f t="shared" si="1"/>
        <v>-0.60432953647278997</v>
      </c>
      <c r="H49" s="12">
        <f>SUM('1st Qtr'!H49,'2nd Qtr'!H49,'3rd Qtr'!H49,'4th Qtr'!H49)</f>
        <v>6501.3770000000004</v>
      </c>
      <c r="I49" s="12">
        <f>SUM('1st Qtr'!I49, '2nd Qtr'!I49, '3rd Qtr'!I49, '4th Qtr'!I49)</f>
        <v>-2989.6770000000006</v>
      </c>
      <c r="J49" s="13">
        <f t="shared" si="2"/>
        <v>-0.45985288962630538</v>
      </c>
    </row>
    <row r="50" spans="1:10" ht="15.6">
      <c r="A50" s="26" t="str">
        <v>X125</v>
      </c>
      <c r="B50" s="27" t="str">
        <v>NY</v>
      </c>
      <c r="C50" s="27" t="str">
        <f>Sites[[#This Row],[SOL'#]]</f>
        <v>SOL-10423</v>
      </c>
      <c r="D50" s="9">
        <f>SUM('1st Qtr'!D50,'2nd Qtr'!D50,'3rd Qtr'!D50,'4th Qtr'!D50)</f>
        <v>7310.875</v>
      </c>
      <c r="E50" s="14">
        <f>SUM('1st Qtr'!E50, '2nd Qtr'!E50, '3rd Qtr'!E50, '4th Qtr'!E50)</f>
        <v>11094.59</v>
      </c>
      <c r="F50" s="14">
        <f t="shared" si="0"/>
        <v>-3783.7150000000001</v>
      </c>
      <c r="G50" s="15">
        <f t="shared" si="1"/>
        <v>-0.34104144452386254</v>
      </c>
      <c r="H50" s="16">
        <f>SUM('1st Qtr'!H50,'2nd Qtr'!H50,'3rd Qtr'!H50,'4th Qtr'!H50)</f>
        <v>11925.9</v>
      </c>
      <c r="I50" s="16">
        <f>SUM('1st Qtr'!I50, '2nd Qtr'!I50, '3rd Qtr'!I50, '4th Qtr'!I50)</f>
        <v>-4615.0249999999996</v>
      </c>
      <c r="J50" s="15">
        <f t="shared" si="2"/>
        <v>-0.38697498721270512</v>
      </c>
    </row>
    <row r="51" spans="1:10" ht="15.6">
      <c r="A51" s="24" t="str">
        <v>X134</v>
      </c>
      <c r="B51" s="25" t="str">
        <v>NY</v>
      </c>
      <c r="C51" s="25" t="str">
        <f>Sites[[#This Row],[SOL'#]]</f>
        <v>SOL-10424</v>
      </c>
      <c r="D51" s="20">
        <f>SUM('1st Qtr'!D51,'2nd Qtr'!D51,'3rd Qtr'!D51,'4th Qtr'!D51)</f>
        <v>3410.9613690000001</v>
      </c>
      <c r="E51" s="10">
        <f>SUM('1st Qtr'!E51, '2nd Qtr'!E51, '3rd Qtr'!E51, '4th Qtr'!E51)</f>
        <v>11836.37</v>
      </c>
      <c r="F51" s="10">
        <f t="shared" si="0"/>
        <v>-8425.4086310000002</v>
      </c>
      <c r="G51" s="11">
        <f t="shared" si="1"/>
        <v>-0.71182369518695343</v>
      </c>
      <c r="H51" s="12">
        <f>SUM('1st Qtr'!H51,'2nd Qtr'!H51,'3rd Qtr'!H51,'4th Qtr'!H51)</f>
        <v>10182</v>
      </c>
      <c r="I51" s="12">
        <f>SUM('1st Qtr'!I51, '2nd Qtr'!I51, '3rd Qtr'!I51, '4th Qtr'!I51)</f>
        <v>-6771.0386309999994</v>
      </c>
      <c r="J51" s="13">
        <f t="shared" si="2"/>
        <v>-0.66500084767236289</v>
      </c>
    </row>
    <row r="52" spans="1:10" ht="15.6">
      <c r="A52" s="26" t="str">
        <v>X135</v>
      </c>
      <c r="B52" s="27" t="str">
        <v>NY</v>
      </c>
      <c r="C52" s="27" t="str">
        <f>Sites[[#This Row],[SOL'#]]</f>
        <v>SOL-10425</v>
      </c>
      <c r="D52" s="9">
        <f>SUM('1st Qtr'!D52,'2nd Qtr'!D52,'3rd Qtr'!D52,'4th Qtr'!D52)</f>
        <v>5787.375</v>
      </c>
      <c r="E52" s="14">
        <f>SUM('1st Qtr'!E52, '2nd Qtr'!E52, '3rd Qtr'!E52, '4th Qtr'!E52)</f>
        <v>10788.78</v>
      </c>
      <c r="F52" s="14">
        <f t="shared" si="0"/>
        <v>-5001.4050000000007</v>
      </c>
      <c r="G52" s="15">
        <f t="shared" si="1"/>
        <v>-0.46357465811704385</v>
      </c>
      <c r="H52" s="16">
        <f>SUM('1st Qtr'!H52,'2nd Qtr'!H52,'3rd Qtr'!H52,'4th Qtr'!H52)</f>
        <v>9790</v>
      </c>
      <c r="I52" s="16">
        <f>SUM('1st Qtr'!I52, '2nd Qtr'!I52, '3rd Qtr'!I52, '4th Qtr'!I52)</f>
        <v>-4002.625</v>
      </c>
      <c r="J52" s="15">
        <f t="shared" si="2"/>
        <v>-0.40884831460674159</v>
      </c>
    </row>
    <row r="53" spans="1:10" ht="15.6">
      <c r="A53" s="24" t="str">
        <v>X139 JHS 222</v>
      </c>
      <c r="B53" s="25" t="str">
        <v>NY</v>
      </c>
      <c r="C53" s="25" t="str">
        <f>Sites[[#This Row],[SOL'#]]</f>
        <v>SOL-10426</v>
      </c>
      <c r="D53" s="20">
        <f>SUM('1st Qtr'!D53,'2nd Qtr'!D53,'3rd Qtr'!D53,'4th Qtr'!D53)</f>
        <v>8569.5006890000004</v>
      </c>
      <c r="E53" s="10">
        <f>SUM('1st Qtr'!E53, '2nd Qtr'!E53, '3rd Qtr'!E53, '4th Qtr'!E53)</f>
        <v>11357.54</v>
      </c>
      <c r="F53" s="10">
        <f t="shared" si="0"/>
        <v>-2788.0393110000005</v>
      </c>
      <c r="G53" s="11">
        <f t="shared" si="1"/>
        <v>-0.24547915402455112</v>
      </c>
      <c r="H53" s="12">
        <f>SUM('1st Qtr'!H53,'2nd Qtr'!H53,'3rd Qtr'!H53,'4th Qtr'!H53)</f>
        <v>12346</v>
      </c>
      <c r="I53" s="12">
        <f>SUM('1st Qtr'!I53, '2nd Qtr'!I53, '3rd Qtr'!I53, '4th Qtr'!I53)</f>
        <v>-3776.4993109999996</v>
      </c>
      <c r="J53" s="13">
        <f t="shared" si="2"/>
        <v>-0.30588849109023164</v>
      </c>
    </row>
    <row r="54" spans="1:10" ht="15.6">
      <c r="A54" s="26" t="str">
        <v>X140</v>
      </c>
      <c r="B54" s="27" t="str">
        <v>NY</v>
      </c>
      <c r="C54" s="27" t="str">
        <f>Sites[[#This Row],[SOL'#]]</f>
        <v>SOL-10926</v>
      </c>
      <c r="D54" s="9">
        <f>SUM('1st Qtr'!D54,'2nd Qtr'!D54,'3rd Qtr'!D54,'4th Qtr'!D54)</f>
        <v>5337.15625</v>
      </c>
      <c r="E54" s="14">
        <f>SUM('1st Qtr'!E54, '2nd Qtr'!E54, '3rd Qtr'!E54, '4th Qtr'!E54)</f>
        <v>8083.3050000000003</v>
      </c>
      <c r="F54" s="14">
        <f t="shared" si="0"/>
        <v>-2746.1487500000003</v>
      </c>
      <c r="G54" s="15">
        <f t="shared" si="1"/>
        <v>-0.33973093307749741</v>
      </c>
      <c r="H54" s="16">
        <f>SUM('1st Qtr'!H54,'2nd Qtr'!H54,'3rd Qtr'!H54,'4th Qtr'!H54)</f>
        <v>8234</v>
      </c>
      <c r="I54" s="16">
        <f>SUM('1st Qtr'!I54, '2nd Qtr'!I54, '3rd Qtr'!I54, '4th Qtr'!I54)</f>
        <v>-2896.84375</v>
      </c>
      <c r="J54" s="15">
        <f t="shared" si="2"/>
        <v>-0.35181488341025019</v>
      </c>
    </row>
    <row r="55" spans="1:10" ht="15.6">
      <c r="A55" s="24" t="str">
        <v>X166</v>
      </c>
      <c r="B55" s="25" t="str">
        <v>NY</v>
      </c>
      <c r="C55" s="25" t="str">
        <f>Sites[[#This Row],[SOL'#]]</f>
        <v>SOL-10427</v>
      </c>
      <c r="D55" s="20">
        <f>SUM('1st Qtr'!D55,'2nd Qtr'!D55,'3rd Qtr'!D55,'4th Qtr'!D55)</f>
        <v>5113.3</v>
      </c>
      <c r="E55" s="10">
        <f>SUM('1st Qtr'!E55, '2nd Qtr'!E55, '3rd Qtr'!E55, '4th Qtr'!E55)</f>
        <v>8835.4339999999993</v>
      </c>
      <c r="F55" s="10">
        <f t="shared" si="0"/>
        <v>-3722.1339999999991</v>
      </c>
      <c r="G55" s="11">
        <f t="shared" si="1"/>
        <v>-0.42127347677544752</v>
      </c>
      <c r="H55" s="12">
        <f>SUM('1st Qtr'!H55,'2nd Qtr'!H55,'3rd Qtr'!H55,'4th Qtr'!H55)</f>
        <v>7246</v>
      </c>
      <c r="I55" s="12">
        <f>SUM('1st Qtr'!I55, '2nd Qtr'!I55, '3rd Qtr'!I55, '4th Qtr'!I55)</f>
        <v>-2132.6999999999998</v>
      </c>
      <c r="J55" s="13">
        <f t="shared" si="2"/>
        <v>-0.29432790505106265</v>
      </c>
    </row>
    <row r="56" spans="1:10" ht="15.6">
      <c r="A56" s="26" t="str">
        <v>Murphy</v>
      </c>
      <c r="B56" s="27" t="str">
        <v>MN</v>
      </c>
      <c r="C56" s="27" t="str">
        <f>Sites[[#This Row],[SOL'#]]</f>
        <v>SOL-10094</v>
      </c>
      <c r="D56" s="9">
        <f>SUM('1st Qtr'!D56,'2nd Qtr'!D56,'3rd Qtr'!D56,'4th Qtr'!D56)</f>
        <v>513600</v>
      </c>
      <c r="E56" s="14">
        <f>SUM('1st Qtr'!E56, '2nd Qtr'!E56, '3rd Qtr'!E56, '4th Qtr'!E56)</f>
        <v>606225.69999999995</v>
      </c>
      <c r="F56" s="14">
        <f t="shared" si="0"/>
        <v>-92625.699999999953</v>
      </c>
      <c r="G56" s="15">
        <f t="shared" si="1"/>
        <v>-0.15279078402647719</v>
      </c>
      <c r="H56" s="16">
        <f>SUM('1st Qtr'!H56,'2nd Qtr'!H56,'3rd Qtr'!H56,'4th Qtr'!H56)</f>
        <v>512282.9</v>
      </c>
      <c r="I56" s="16">
        <f>SUM('1st Qtr'!I56, '2nd Qtr'!I56, '3rd Qtr'!I56, '4th Qtr'!I56)</f>
        <v>1317.0999999999767</v>
      </c>
      <c r="J56" s="15">
        <f t="shared" si="2"/>
        <v>2.5710403372823428E-3</v>
      </c>
    </row>
    <row r="57" spans="1:10" ht="15.6">
      <c r="A57" s="24" t="str">
        <v>Terning</v>
      </c>
      <c r="B57" s="25" t="str">
        <v>MN</v>
      </c>
      <c r="C57" s="25" t="str">
        <f>Sites[[#This Row],[SOL'#]]</f>
        <v>SOL-10093</v>
      </c>
      <c r="D57" s="20">
        <f>SUM('1st Qtr'!D57,'2nd Qtr'!D57,'3rd Qtr'!D57,'4th Qtr'!D57)</f>
        <v>496936.065</v>
      </c>
      <c r="E57" s="10">
        <f>SUM('1st Qtr'!E57, '2nd Qtr'!E57, '3rd Qtr'!E57, '4th Qtr'!E57)</f>
        <v>602550.69999999995</v>
      </c>
      <c r="F57" s="10">
        <f t="shared" si="0"/>
        <v>-105614.63499999995</v>
      </c>
      <c r="G57" s="11">
        <f t="shared" si="1"/>
        <v>-0.17527925036017708</v>
      </c>
      <c r="H57" s="12">
        <f>SUM('1st Qtr'!H57,'2nd Qtr'!H57,'3rd Qtr'!H57,'4th Qtr'!H57)</f>
        <v>464176.1</v>
      </c>
      <c r="I57" s="12">
        <f>SUM('1st Qtr'!I57, '2nd Qtr'!I57, '3rd Qtr'!I57, '4th Qtr'!I57)</f>
        <v>32759.965000000026</v>
      </c>
      <c r="J57" s="13">
        <f t="shared" si="2"/>
        <v>7.0576587204726884E-2</v>
      </c>
    </row>
    <row r="58" spans="1:10" ht="15.6">
      <c r="A58" s="26" t="str">
        <v>Boas Road 04</v>
      </c>
      <c r="B58" s="27" t="str">
        <v>NY</v>
      </c>
      <c r="C58" s="27" t="str">
        <f>Sites[[#This Row],[SOL'#]]</f>
        <v>SOL-10908</v>
      </c>
      <c r="D58" s="9">
        <f>SUM('1st Qtr'!D58,'2nd Qtr'!D58,'3rd Qtr'!D58,'4th Qtr'!D58)</f>
        <v>72330</v>
      </c>
      <c r="E58" s="14">
        <f>SUM('1st Qtr'!E58, '2nd Qtr'!E58, '3rd Qtr'!E58, '4th Qtr'!E58)</f>
        <v>31962</v>
      </c>
      <c r="F58" s="14">
        <f t="shared" si="0"/>
        <v>40368</v>
      </c>
      <c r="G58" s="15">
        <f t="shared" si="1"/>
        <v>1.2629998122770791</v>
      </c>
      <c r="H58" s="16">
        <f>SUM('1st Qtr'!H58,'2nd Qtr'!H58,'3rd Qtr'!H58,'4th Qtr'!H58)</f>
        <v>152897</v>
      </c>
      <c r="I58" s="16">
        <f>SUM('1st Qtr'!I58, '2nd Qtr'!I58, '3rd Qtr'!I58, '4th Qtr'!I58)</f>
        <v>-80567</v>
      </c>
      <c r="J58" s="15">
        <f t="shared" si="2"/>
        <v>-0.52693643433160886</v>
      </c>
    </row>
    <row r="59" spans="1:10" ht="15.6">
      <c r="A59" s="24" t="str">
        <v>Kelly Bridge Farm</v>
      </c>
      <c r="B59" s="25" t="str">
        <v>NY</v>
      </c>
      <c r="C59" s="25" t="str">
        <f>Sites[[#This Row],[SOL'#]]</f>
        <v>SOL-10911</v>
      </c>
      <c r="D59" s="20">
        <f>SUM('1st Qtr'!D59,'2nd Qtr'!D59,'3rd Qtr'!D59,'4th Qtr'!D59)</f>
        <v>77050</v>
      </c>
      <c r="E59" s="10">
        <f>SUM('1st Qtr'!E59, '2nd Qtr'!E59, '3rd Qtr'!E59, '4th Qtr'!E59)</f>
        <v>0</v>
      </c>
      <c r="F59" s="10">
        <f t="shared" si="0"/>
        <v>77050</v>
      </c>
      <c r="G59" s="11" t="str">
        <f t="shared" si="1"/>
        <v/>
      </c>
      <c r="H59" s="12">
        <f>SUM('1st Qtr'!H59,'2nd Qtr'!H59,'3rd Qtr'!H59,'4th Qtr'!H59)</f>
        <v>143468.69</v>
      </c>
      <c r="I59" s="12">
        <f>SUM('1st Qtr'!I59, '2nd Qtr'!I59, '3rd Qtr'!I59, '4th Qtr'!I59)</f>
        <v>-66418.69</v>
      </c>
      <c r="J59" s="13">
        <f t="shared" si="2"/>
        <v>-0.46294902392989024</v>
      </c>
    </row>
    <row r="60" spans="1:10" ht="15.6">
      <c r="A60" s="26" t="str">
        <v>Pool Brook Road</v>
      </c>
      <c r="B60" s="27" t="str">
        <v>NY</v>
      </c>
      <c r="C60" s="27" t="str">
        <f>Sites[[#This Row],[SOL'#]]</f>
        <v>SOL-10909</v>
      </c>
      <c r="D60" s="9">
        <f>SUM('1st Qtr'!D60,'2nd Qtr'!D60,'3rd Qtr'!D60,'4th Qtr'!D60)</f>
        <v>59326</v>
      </c>
      <c r="E60" s="14">
        <f>SUM('1st Qtr'!E60, '2nd Qtr'!E60, '3rd Qtr'!E60, '4th Qtr'!E60)</f>
        <v>59325</v>
      </c>
      <c r="F60" s="14">
        <f t="shared" si="0"/>
        <v>1</v>
      </c>
      <c r="G60" s="15">
        <f t="shared" si="1"/>
        <v>1.685630004214075E-5</v>
      </c>
      <c r="H60" s="16">
        <f>SUM('1st Qtr'!H60,'2nd Qtr'!H60,'3rd Qtr'!H60,'4th Qtr'!H60)</f>
        <v>140415.70000000001</v>
      </c>
      <c r="I60" s="16">
        <f>SUM('1st Qtr'!I60, '2nd Qtr'!I60, '3rd Qtr'!I60, '4th Qtr'!I60)</f>
        <v>-81089.700000000012</v>
      </c>
      <c r="J60" s="15">
        <f t="shared" si="2"/>
        <v>-0.57749738811258289</v>
      </c>
    </row>
    <row r="61" spans="1:10" ht="15.6">
      <c r="A61" s="24" t="str">
        <v>Sackett Lake</v>
      </c>
      <c r="B61" s="25" t="str">
        <v>NY</v>
      </c>
      <c r="C61" s="25" t="str">
        <f>Sites[[#This Row],[SOL'#]]</f>
        <v>SOL-10910</v>
      </c>
      <c r="D61" s="20">
        <f>SUM('1st Qtr'!D61,'2nd Qtr'!D61,'3rd Qtr'!D61,'4th Qtr'!D61)</f>
        <v>132767</v>
      </c>
      <c r="E61" s="10">
        <f>SUM('1st Qtr'!E61, '2nd Qtr'!E61, '3rd Qtr'!E61, '4th Qtr'!E61)</f>
        <v>0</v>
      </c>
      <c r="F61" s="10">
        <f t="shared" si="0"/>
        <v>132767</v>
      </c>
      <c r="G61" s="11" t="str">
        <f t="shared" si="1"/>
        <v/>
      </c>
      <c r="H61" s="12">
        <f>SUM('1st Qtr'!H61,'2nd Qtr'!H61,'3rd Qtr'!H61,'4th Qtr'!H61)</f>
        <v>165948.84</v>
      </c>
      <c r="I61" s="12">
        <f>SUM('1st Qtr'!I61, '2nd Qtr'!I61, '3rd Qtr'!I61, '4th Qtr'!I61)</f>
        <v>-33181.839999999997</v>
      </c>
      <c r="J61" s="13">
        <f t="shared" si="2"/>
        <v>-0.19995222624032802</v>
      </c>
    </row>
    <row r="62" spans="1:10" ht="15.6">
      <c r="A62" s="26" t="str">
        <v>Burritt Road</v>
      </c>
      <c r="B62" s="27" t="str">
        <v>NY</v>
      </c>
      <c r="C62" s="27" t="str">
        <f>Sites[[#This Row],[SOL'#]]</f>
        <v>SOL-10913</v>
      </c>
      <c r="D62" s="9">
        <f>SUM('1st Qtr'!D62,'2nd Qtr'!D62,'3rd Qtr'!D62,'4th Qtr'!D62)</f>
        <v>58980</v>
      </c>
      <c r="E62" s="14">
        <f>SUM('1st Qtr'!E62, '2nd Qtr'!E62, '3rd Qtr'!E62, '4th Qtr'!E62)</f>
        <v>0</v>
      </c>
      <c r="F62" s="14">
        <f t="shared" si="0"/>
        <v>58980</v>
      </c>
      <c r="G62" s="15" t="str">
        <f t="shared" si="1"/>
        <v/>
      </c>
      <c r="H62" s="16">
        <f>SUM('1st Qtr'!H62,'2nd Qtr'!H62,'3rd Qtr'!H62,'4th Qtr'!H62)</f>
        <v>110519.08</v>
      </c>
      <c r="I62" s="16">
        <f>SUM('1st Qtr'!I62, '2nd Qtr'!I62, '3rd Qtr'!I62, '4th Qtr'!I62)</f>
        <v>-51539.08</v>
      </c>
      <c r="J62" s="15">
        <f t="shared" si="2"/>
        <v>-0.4663364914003989</v>
      </c>
    </row>
    <row r="63" spans="1:10" ht="15.6">
      <c r="A63" s="24" t="str">
        <v>Villa Roma 1</v>
      </c>
      <c r="B63" s="25" t="str">
        <v>NY</v>
      </c>
      <c r="C63" s="25" t="str">
        <f>Sites[[#This Row],[SOL'#]]</f>
        <v>SOL-10914</v>
      </c>
      <c r="D63" s="20">
        <f>SUM('1st Qtr'!D63,'2nd Qtr'!D63,'3rd Qtr'!D63,'4th Qtr'!D63)</f>
        <v>93005</v>
      </c>
      <c r="E63" s="10">
        <f>SUM('1st Qtr'!E63, '2nd Qtr'!E63, '3rd Qtr'!E63, '4th Qtr'!E63)</f>
        <v>0</v>
      </c>
      <c r="F63" s="10">
        <f t="shared" si="0"/>
        <v>93005</v>
      </c>
      <c r="G63" s="11" t="str">
        <f t="shared" si="1"/>
        <v/>
      </c>
      <c r="H63" s="12">
        <f>SUM('1st Qtr'!H63,'2nd Qtr'!H63,'3rd Qtr'!H63,'4th Qtr'!H63)</f>
        <v>117697.64</v>
      </c>
      <c r="I63" s="12">
        <f>SUM('1st Qtr'!I63, '2nd Qtr'!I63, '3rd Qtr'!I63, '4th Qtr'!I63)</f>
        <v>-24692.639999999999</v>
      </c>
      <c r="J63" s="13">
        <f t="shared" si="2"/>
        <v>-0.20979723977473125</v>
      </c>
    </row>
    <row r="64" spans="1:10" ht="15.6">
      <c r="A64" s="26" t="str">
        <v>Villa Roma 2</v>
      </c>
      <c r="B64" s="27" t="str">
        <v>NY</v>
      </c>
      <c r="C64" s="27" t="str">
        <f>Sites[[#This Row],[SOL'#]]</f>
        <v>SOL-10915</v>
      </c>
      <c r="D64" s="9">
        <f>SUM('1st Qtr'!D64,'2nd Qtr'!D64,'3rd Qtr'!D64,'4th Qtr'!D64)</f>
        <v>77763</v>
      </c>
      <c r="E64" s="14">
        <f>SUM('1st Qtr'!E64, '2nd Qtr'!E64, '3rd Qtr'!E64, '4th Qtr'!E64)</f>
        <v>0</v>
      </c>
      <c r="F64" s="14">
        <f t="shared" si="0"/>
        <v>77763</v>
      </c>
      <c r="G64" s="15" t="str">
        <f t="shared" si="1"/>
        <v/>
      </c>
      <c r="H64" s="16">
        <f>SUM('1st Qtr'!H64,'2nd Qtr'!H64,'3rd Qtr'!H64,'4th Qtr'!H64)</f>
        <v>114722.46</v>
      </c>
      <c r="I64" s="16">
        <f>SUM('1st Qtr'!I64, '2nd Qtr'!I64, '3rd Qtr'!I64, '4th Qtr'!I64)</f>
        <v>-36959.460000000006</v>
      </c>
      <c r="J64" s="15">
        <f t="shared" si="2"/>
        <v>-0.32216411677364665</v>
      </c>
    </row>
    <row r="65" spans="1:10" ht="15.6">
      <c r="A65" s="24" t="str">
        <v>Washington 1</v>
      </c>
      <c r="B65" s="25" t="str">
        <v>NY</v>
      </c>
      <c r="C65" s="25" t="str">
        <f>Sites[[#This Row],[SOL'#]]</f>
        <v>SOL-10912</v>
      </c>
      <c r="D65" s="20">
        <f>SUM('1st Qtr'!D65,'2nd Qtr'!D65,'3rd Qtr'!D65,'4th Qtr'!D65)</f>
        <v>82840</v>
      </c>
      <c r="E65" s="10">
        <f>SUM('1st Qtr'!E65, '2nd Qtr'!E65, '3rd Qtr'!E65, '4th Qtr'!E65)</f>
        <v>0</v>
      </c>
      <c r="F65" s="10">
        <f t="shared" ref="F65:F96" si="3">IF(AND(ISNUMBER(D65),ISNUMBER(E65)), D65-E65, "")</f>
        <v>82840</v>
      </c>
      <c r="G65" s="11" t="str">
        <f t="shared" ref="G65:G96" si="4">IFERROR(F65/E65, "")</f>
        <v/>
      </c>
      <c r="H65" s="12">
        <f>SUM('1st Qtr'!H65,'2nd Qtr'!H65,'3rd Qtr'!H65,'4th Qtr'!H65)</f>
        <v>106348.65</v>
      </c>
      <c r="I65" s="12">
        <f>SUM('1st Qtr'!I65, '2nd Qtr'!I65, '3rd Qtr'!I65, '4th Qtr'!I65)</f>
        <v>-23508.649999999994</v>
      </c>
      <c r="J65" s="13">
        <f t="shared" ref="J65:J96" si="5">IFERROR(I65/H65, "")</f>
        <v>-0.22105264147687814</v>
      </c>
    </row>
    <row r="66" spans="1:10" ht="15.6">
      <c r="A66" s="26" t="str">
        <v>Washington 3</v>
      </c>
      <c r="B66" s="27" t="str">
        <v>NY</v>
      </c>
      <c r="C66" s="27" t="str">
        <f>Sites[[#This Row],[SOL'#]]</f>
        <v>SOL-10828</v>
      </c>
      <c r="D66" s="9">
        <f>SUM('1st Qtr'!D66,'2nd Qtr'!D66,'3rd Qtr'!D66,'4th Qtr'!D66)</f>
        <v>0</v>
      </c>
      <c r="E66" s="14">
        <f>SUM('1st Qtr'!E66, '2nd Qtr'!E66, '3rd Qtr'!E66, '4th Qtr'!E66)</f>
        <v>0</v>
      </c>
      <c r="F66" s="14">
        <f t="shared" si="3"/>
        <v>0</v>
      </c>
      <c r="G66" s="15" t="str">
        <f t="shared" si="4"/>
        <v/>
      </c>
      <c r="H66" s="16">
        <f>SUM('1st Qtr'!H66,'2nd Qtr'!H66,'3rd Qtr'!H66,'4th Qtr'!H66)</f>
        <v>129625.05</v>
      </c>
      <c r="I66" s="16">
        <f>SUM('1st Qtr'!I66, '2nd Qtr'!I66, '3rd Qtr'!I66, '4th Qtr'!I66)</f>
        <v>-129625.05</v>
      </c>
      <c r="J66" s="15">
        <f t="shared" si="5"/>
        <v>-1</v>
      </c>
    </row>
    <row r="67" spans="1:10" ht="15.6">
      <c r="A67" s="24" t="str">
        <v>Washington 4</v>
      </c>
      <c r="B67" s="25" t="str">
        <v>NY</v>
      </c>
      <c r="C67" s="25" t="str">
        <f>Sites[[#This Row],[SOL'#]]</f>
        <v>SOL-10829</v>
      </c>
      <c r="D67" s="20">
        <f>SUM('1st Qtr'!D67,'2nd Qtr'!D67,'3rd Qtr'!D67,'4th Qtr'!D67)</f>
        <v>129117</v>
      </c>
      <c r="E67" s="10">
        <f>SUM('1st Qtr'!E67, '2nd Qtr'!E67, '3rd Qtr'!E67, '4th Qtr'!E67)</f>
        <v>0</v>
      </c>
      <c r="F67" s="10">
        <f t="shared" si="3"/>
        <v>129117</v>
      </c>
      <c r="G67" s="11" t="str">
        <f t="shared" si="4"/>
        <v/>
      </c>
      <c r="H67" s="12">
        <f>SUM('1st Qtr'!H67,'2nd Qtr'!H67,'3rd Qtr'!H67,'4th Qtr'!H67)</f>
        <v>130089.75</v>
      </c>
      <c r="I67" s="12">
        <f>SUM('1st Qtr'!I67, '2nd Qtr'!I67, '3rd Qtr'!I67, '4th Qtr'!I67)</f>
        <v>-972.75</v>
      </c>
      <c r="J67" s="13">
        <f t="shared" si="5"/>
        <v>-7.4775299360633719E-3</v>
      </c>
    </row>
    <row r="68" spans="1:10" ht="15.6">
      <c r="A68" s="26" t="str">
        <v>Big Tree</v>
      </c>
      <c r="B68" s="27" t="str">
        <v>NY</v>
      </c>
      <c r="C68" s="27" t="str">
        <f>Sites[[#This Row],[SOL'#]]</f>
        <v>SOL-10966</v>
      </c>
      <c r="D68" s="9">
        <f>SUM('1st Qtr'!D68,'2nd Qtr'!D68,'3rd Qtr'!D68,'4th Qtr'!D68)</f>
        <v>34020</v>
      </c>
      <c r="E68" s="14">
        <f>SUM('1st Qtr'!E68, '2nd Qtr'!E68, '3rd Qtr'!E68, '4th Qtr'!E68)</f>
        <v>34070</v>
      </c>
      <c r="F68" s="14">
        <f t="shared" si="3"/>
        <v>-50</v>
      </c>
      <c r="G68" s="15">
        <f t="shared" si="4"/>
        <v>-1.4675667742882301E-3</v>
      </c>
      <c r="H68" s="16">
        <f>SUM('1st Qtr'!H68,'2nd Qtr'!H68,'3rd Qtr'!H68,'4th Qtr'!H68)</f>
        <v>116825.90007449406</v>
      </c>
      <c r="I68" s="16">
        <f>SUM('1st Qtr'!I68, '2nd Qtr'!I68, '3rd Qtr'!I68, '4th Qtr'!I68)</f>
        <v>-82805.900074494057</v>
      </c>
      <c r="J68" s="15">
        <f t="shared" si="5"/>
        <v>-0.70879745006623407</v>
      </c>
    </row>
    <row r="69" spans="1:10" ht="15.6">
      <c r="A69" s="24" t="str">
        <v>Canoga</v>
      </c>
      <c r="B69" s="25" t="str">
        <v>NY</v>
      </c>
      <c r="C69" s="25" t="str">
        <f>Sites[[#This Row],[SOL'#]]</f>
        <v>SOL-10965</v>
      </c>
      <c r="D69" s="20">
        <f>SUM('1st Qtr'!D69,'2nd Qtr'!D69,'3rd Qtr'!D69,'4th Qtr'!D69)</f>
        <v>271610</v>
      </c>
      <c r="E69" s="10">
        <f>SUM('1st Qtr'!E69, '2nd Qtr'!E69, '3rd Qtr'!E69, '4th Qtr'!E69)</f>
        <v>0</v>
      </c>
      <c r="F69" s="10">
        <f t="shared" si="3"/>
        <v>271610</v>
      </c>
      <c r="G69" s="11" t="str">
        <f t="shared" si="4"/>
        <v/>
      </c>
      <c r="H69" s="12">
        <f>SUM('1st Qtr'!H69,'2nd Qtr'!H69,'3rd Qtr'!H69,'4th Qtr'!H69)</f>
        <v>381970.76</v>
      </c>
      <c r="I69" s="12">
        <f>SUM('1st Qtr'!I69, '2nd Qtr'!I69, '3rd Qtr'!I69, '4th Qtr'!I69)</f>
        <v>-110360.76000000001</v>
      </c>
      <c r="J69" s="13">
        <f t="shared" si="5"/>
        <v>-0.28892462868100166</v>
      </c>
    </row>
    <row r="70" spans="1:10" ht="15.6">
      <c r="A70" s="26" t="str">
        <v>County Route 84</v>
      </c>
      <c r="B70" s="27" t="str">
        <v>NY</v>
      </c>
      <c r="C70" s="27" t="str">
        <f>Sites[[#This Row],[SOL'#]]</f>
        <v>SOL-10967</v>
      </c>
      <c r="D70" s="9">
        <f>SUM('1st Qtr'!D70,'2nd Qtr'!D70,'3rd Qtr'!D70,'4th Qtr'!D70)</f>
        <v>372470</v>
      </c>
      <c r="E70" s="14">
        <f>SUM('1st Qtr'!E70, '2nd Qtr'!E70, '3rd Qtr'!E70, '4th Qtr'!E70)</f>
        <v>370150</v>
      </c>
      <c r="F70" s="14">
        <f t="shared" si="3"/>
        <v>2320</v>
      </c>
      <c r="G70" s="15">
        <f t="shared" si="4"/>
        <v>6.2677292989328651E-3</v>
      </c>
      <c r="H70" s="16">
        <f>SUM('1st Qtr'!H70,'2nd Qtr'!H70,'3rd Qtr'!H70,'4th Qtr'!H70)</f>
        <v>472285.7</v>
      </c>
      <c r="I70" s="16">
        <f>SUM('1st Qtr'!I70, '2nd Qtr'!I70, '3rd Qtr'!I70, '4th Qtr'!I70)</f>
        <v>-99815.700000000012</v>
      </c>
      <c r="J70" s="15">
        <f t="shared" si="5"/>
        <v>-0.21134601365232952</v>
      </c>
    </row>
    <row r="71" spans="1:10" ht="15.6">
      <c r="A71" s="24" t="str">
        <v>Donati</v>
      </c>
      <c r="B71" s="25" t="str">
        <v>NY</v>
      </c>
      <c r="C71" s="25" t="str">
        <f>Sites[[#This Row],[SOL'#]]</f>
        <v>SOL-10968</v>
      </c>
      <c r="D71" s="20">
        <f>SUM('1st Qtr'!D71,'2nd Qtr'!D71,'3rd Qtr'!D71,'4th Qtr'!D71)</f>
        <v>89520</v>
      </c>
      <c r="E71" s="10">
        <f>SUM('1st Qtr'!E71, '2nd Qtr'!E71, '3rd Qtr'!E71, '4th Qtr'!E71)</f>
        <v>87440</v>
      </c>
      <c r="F71" s="10">
        <f t="shared" si="3"/>
        <v>2080</v>
      </c>
      <c r="G71" s="11">
        <f t="shared" si="4"/>
        <v>2.3787740164684355E-2</v>
      </c>
      <c r="H71" s="12">
        <f>SUM('1st Qtr'!H71,'2nd Qtr'!H71,'3rd Qtr'!H71,'4th Qtr'!H71)</f>
        <v>156570.4</v>
      </c>
      <c r="I71" s="12">
        <f>SUM('1st Qtr'!I71, '2nd Qtr'!I71, '3rd Qtr'!I71, '4th Qtr'!I71)</f>
        <v>-67050.399999999994</v>
      </c>
      <c r="J71" s="13">
        <f t="shared" si="5"/>
        <v>-0.42824441912392125</v>
      </c>
    </row>
    <row r="72" spans="1:10" ht="15.6">
      <c r="A72" s="26" t="str">
        <v>Henrietta</v>
      </c>
      <c r="B72" s="27" t="str">
        <v>NY</v>
      </c>
      <c r="C72" s="27" t="str">
        <f>Sites[[#This Row],[SOL'#]]</f>
        <v>SOL-10972</v>
      </c>
      <c r="D72" s="9">
        <f>SUM('1st Qtr'!D72,'2nd Qtr'!D72,'3rd Qtr'!D72,'4th Qtr'!D72)</f>
        <v>136180</v>
      </c>
      <c r="E72" s="14">
        <f>SUM('1st Qtr'!E72, '2nd Qtr'!E72, '3rd Qtr'!E72, '4th Qtr'!E72)</f>
        <v>133860</v>
      </c>
      <c r="F72" s="14">
        <f t="shared" si="3"/>
        <v>2320</v>
      </c>
      <c r="G72" s="15">
        <f t="shared" si="4"/>
        <v>1.733154041535933E-2</v>
      </c>
      <c r="H72" s="16">
        <f>SUM('1st Qtr'!H72,'2nd Qtr'!H72,'3rd Qtr'!H72,'4th Qtr'!H72)</f>
        <v>268925.40000000002</v>
      </c>
      <c r="I72" s="16">
        <f>SUM('1st Qtr'!I72, '2nd Qtr'!I72, '3rd Qtr'!I72, '4th Qtr'!I72)</f>
        <v>-132745.40000000002</v>
      </c>
      <c r="J72" s="15">
        <f t="shared" si="5"/>
        <v>-0.49361421420215423</v>
      </c>
    </row>
    <row r="73" spans="1:10" ht="15.6">
      <c r="A73" s="24" t="str">
        <v>NY 70</v>
      </c>
      <c r="B73" s="25" t="str">
        <v>NY</v>
      </c>
      <c r="C73" s="25" t="str">
        <f>Sites[[#This Row],[SOL'#]]</f>
        <v>SOL-10970</v>
      </c>
      <c r="D73" s="20">
        <f>SUM('1st Qtr'!D73,'2nd Qtr'!D73,'3rd Qtr'!D73,'4th Qtr'!D73)</f>
        <v>176660</v>
      </c>
      <c r="E73" s="10">
        <f>SUM('1st Qtr'!E73, '2nd Qtr'!E73, '3rd Qtr'!E73, '4th Qtr'!E73)</f>
        <v>174120</v>
      </c>
      <c r="F73" s="10">
        <f t="shared" si="3"/>
        <v>2540</v>
      </c>
      <c r="G73" s="11">
        <f t="shared" si="4"/>
        <v>1.4587640707558006E-2</v>
      </c>
      <c r="H73" s="12">
        <f>SUM('1st Qtr'!H73,'2nd Qtr'!H73,'3rd Qtr'!H73,'4th Qtr'!H73)</f>
        <v>386450</v>
      </c>
      <c r="I73" s="12">
        <f>SUM('1st Qtr'!I73, '2nd Qtr'!I73, '3rd Qtr'!I73, '4th Qtr'!I73)</f>
        <v>-209790</v>
      </c>
      <c r="J73" s="13">
        <f t="shared" si="5"/>
        <v>-0.54286453616250485</v>
      </c>
    </row>
    <row r="74" spans="1:10" ht="15.6">
      <c r="A74" s="26" t="str">
        <v>Reid</v>
      </c>
      <c r="B74" s="27" t="str">
        <v>NY</v>
      </c>
      <c r="C74" s="27" t="str">
        <f>Sites[[#This Row],[SOL'#]]</f>
        <v>SOL-10991</v>
      </c>
      <c r="D74" s="9">
        <f>SUM('1st Qtr'!D74,'2nd Qtr'!D74,'3rd Qtr'!D74,'4th Qtr'!D74)</f>
        <v>137656.92480000001</v>
      </c>
      <c r="E74" s="14">
        <f>SUM('1st Qtr'!E74, '2nd Qtr'!E74, '3rd Qtr'!E74, '4th Qtr'!E74)</f>
        <v>284559.7</v>
      </c>
      <c r="F74" s="14">
        <f t="shared" si="3"/>
        <v>-146902.7752</v>
      </c>
      <c r="G74" s="15">
        <f t="shared" si="4"/>
        <v>-0.51624588864832233</v>
      </c>
      <c r="H74" s="16">
        <f>SUM('1st Qtr'!H74,'2nd Qtr'!H74,'3rd Qtr'!H74,'4th Qtr'!H74)</f>
        <v>265223</v>
      </c>
      <c r="I74" s="16">
        <f>SUM('1st Qtr'!I74, '2nd Qtr'!I74, '3rd Qtr'!I74, '4th Qtr'!I74)</f>
        <v>-127566.07519999999</v>
      </c>
      <c r="J74" s="15">
        <f t="shared" si="5"/>
        <v>-0.48097666944420353</v>
      </c>
    </row>
    <row r="75" spans="1:10" ht="15.6">
      <c r="A75" s="24" t="str">
        <v>Sangolqui</v>
      </c>
      <c r="B75" s="25" t="str">
        <v>NY</v>
      </c>
      <c r="C75" s="25" t="str">
        <f>Sites[[#This Row],[SOL'#]]</f>
        <v>SOL-10975</v>
      </c>
      <c r="D75" s="20">
        <f>SUM('1st Qtr'!D75,'2nd Qtr'!D75,'3rd Qtr'!D75,'4th Qtr'!D75)</f>
        <v>93160</v>
      </c>
      <c r="E75" s="10">
        <f>SUM('1st Qtr'!E75, '2nd Qtr'!E75, '3rd Qtr'!E75, '4th Qtr'!E75)</f>
        <v>66700</v>
      </c>
      <c r="F75" s="10">
        <f t="shared" si="3"/>
        <v>26460</v>
      </c>
      <c r="G75" s="11">
        <f t="shared" si="4"/>
        <v>0.39670164917541229</v>
      </c>
      <c r="H75" s="12">
        <f>SUM('1st Qtr'!H75,'2nd Qtr'!H75,'3rd Qtr'!H75,'4th Qtr'!H75)</f>
        <v>151974.9</v>
      </c>
      <c r="I75" s="12">
        <f>SUM('1st Qtr'!I75, '2nd Qtr'!I75, '3rd Qtr'!I75, '4th Qtr'!I75)</f>
        <v>-58814.899999999994</v>
      </c>
      <c r="J75" s="13">
        <f t="shared" si="5"/>
        <v>-0.38700403816682882</v>
      </c>
    </row>
    <row r="76" spans="1:10" ht="15.6">
      <c r="A76" s="26" t="str">
        <v>State Highway 17B</v>
      </c>
      <c r="B76" s="27" t="str">
        <v>NY</v>
      </c>
      <c r="C76" s="27" t="str">
        <f>Sites[[#This Row],[SOL'#]]</f>
        <v>SOL-10988</v>
      </c>
      <c r="D76" s="9">
        <f>SUM('1st Qtr'!D76,'2nd Qtr'!D76,'3rd Qtr'!D76,'4th Qtr'!D76)</f>
        <v>0</v>
      </c>
      <c r="E76" s="14">
        <f>SUM('1st Qtr'!E76, '2nd Qtr'!E76, '3rd Qtr'!E76, '4th Qtr'!E76)</f>
        <v>0</v>
      </c>
      <c r="F76" s="14">
        <f t="shared" si="3"/>
        <v>0</v>
      </c>
      <c r="G76" s="15" t="str">
        <f t="shared" si="4"/>
        <v/>
      </c>
      <c r="H76" s="16">
        <f>SUM('1st Qtr'!H76,'2nd Qtr'!H76,'3rd Qtr'!H76,'4th Qtr'!H76)</f>
        <v>384984</v>
      </c>
      <c r="I76" s="16">
        <f>SUM('1st Qtr'!I76, '2nd Qtr'!I76, '3rd Qtr'!I76, '4th Qtr'!I76)</f>
        <v>-384984</v>
      </c>
      <c r="J76" s="15">
        <f t="shared" si="5"/>
        <v>-1</v>
      </c>
    </row>
    <row r="77" spans="1:10" ht="15.6">
      <c r="A77" s="24" t="str">
        <v>State Route 14A</v>
      </c>
      <c r="B77" s="25" t="str">
        <v>NY</v>
      </c>
      <c r="C77" s="25" t="str">
        <f>Sites[[#This Row],[SOL'#]]</f>
        <v>SOL-10997</v>
      </c>
      <c r="D77" s="20">
        <f>SUM('1st Qtr'!D77,'2nd Qtr'!D77,'3rd Qtr'!D77,'4th Qtr'!D77)</f>
        <v>0</v>
      </c>
      <c r="E77" s="10">
        <f>SUM('1st Qtr'!E77, '2nd Qtr'!E77, '3rd Qtr'!E77, '4th Qtr'!E77)</f>
        <v>0</v>
      </c>
      <c r="F77" s="10">
        <f t="shared" si="3"/>
        <v>0</v>
      </c>
      <c r="G77" s="11" t="str">
        <f t="shared" si="4"/>
        <v/>
      </c>
      <c r="H77" s="12">
        <f>SUM('1st Qtr'!H77,'2nd Qtr'!H77,'3rd Qtr'!H77,'4th Qtr'!H77)</f>
        <v>427147.4</v>
      </c>
      <c r="I77" s="12">
        <f>SUM('1st Qtr'!I77, '2nd Qtr'!I77, '3rd Qtr'!I77, '4th Qtr'!I77)</f>
        <v>-427147.4</v>
      </c>
      <c r="J77" s="13">
        <f t="shared" si="5"/>
        <v>-1</v>
      </c>
    </row>
    <row r="78" spans="1:10" ht="15.6">
      <c r="A78" s="26" t="str">
        <v>West Creek</v>
      </c>
      <c r="B78" s="27" t="str">
        <v>NY</v>
      </c>
      <c r="C78" s="27" t="str">
        <f>Sites[[#This Row],[SOL'#]]</f>
        <v>SOL-10995</v>
      </c>
      <c r="D78" s="9">
        <f>SUM('1st Qtr'!D78,'2nd Qtr'!D78,'3rd Qtr'!D78,'4th Qtr'!D78)</f>
        <v>265730</v>
      </c>
      <c r="E78" s="14">
        <f>SUM('1st Qtr'!E78, '2nd Qtr'!E78, '3rd Qtr'!E78, '4th Qtr'!E78)</f>
        <v>230210</v>
      </c>
      <c r="F78" s="14">
        <f t="shared" si="3"/>
        <v>35520</v>
      </c>
      <c r="G78" s="15">
        <f t="shared" si="4"/>
        <v>0.15429390556448461</v>
      </c>
      <c r="H78" s="16">
        <f>SUM('1st Qtr'!H78,'2nd Qtr'!H78,'3rd Qtr'!H78,'4th Qtr'!H78)</f>
        <v>397925.5</v>
      </c>
      <c r="I78" s="16">
        <f>SUM('1st Qtr'!I78, '2nd Qtr'!I78, '3rd Qtr'!I78, '4th Qtr'!I78)</f>
        <v>-132195.5</v>
      </c>
      <c r="J78" s="15">
        <f t="shared" si="5"/>
        <v>-0.33221168284012964</v>
      </c>
    </row>
    <row r="79" spans="1:10" ht="15.6">
      <c r="A79" s="24" t="str">
        <v>Wildflower</v>
      </c>
      <c r="B79" s="25" t="str">
        <v>NY</v>
      </c>
      <c r="C79" s="25" t="str">
        <f>Sites[[#This Row],[SOL'#]]</f>
        <v>SOL-10982</v>
      </c>
      <c r="D79" s="20">
        <f>SUM('1st Qtr'!D79,'2nd Qtr'!D79,'3rd Qtr'!D79,'4th Qtr'!D79)</f>
        <v>246984</v>
      </c>
      <c r="E79" s="10">
        <f>SUM('1st Qtr'!E79, '2nd Qtr'!E79, '3rd Qtr'!E79, '4th Qtr'!E79)</f>
        <v>188692</v>
      </c>
      <c r="F79" s="10">
        <f t="shared" si="3"/>
        <v>58292</v>
      </c>
      <c r="G79" s="11">
        <f t="shared" si="4"/>
        <v>0.30892671655396098</v>
      </c>
      <c r="H79" s="12">
        <f>SUM('1st Qtr'!H79,'2nd Qtr'!H79,'3rd Qtr'!H79,'4th Qtr'!H79)</f>
        <v>433603.2</v>
      </c>
      <c r="I79" s="12">
        <f>SUM('1st Qtr'!I79, '2nd Qtr'!I79, '3rd Qtr'!I79, '4th Qtr'!I79)</f>
        <v>-186619.2</v>
      </c>
      <c r="J79" s="13">
        <f t="shared" si="5"/>
        <v>-0.43039165762614301</v>
      </c>
    </row>
    <row r="80" spans="1:10" ht="15.6">
      <c r="A80" s="26" t="str">
        <v>Glen Mary 1</v>
      </c>
      <c r="B80" s="27" t="str">
        <v>NY</v>
      </c>
      <c r="C80" s="27" t="str">
        <f>Sites[[#This Row],[SOL'#]]</f>
        <v>SOL-10993</v>
      </c>
      <c r="D80" s="9">
        <f>SUM('1st Qtr'!D80,'2nd Qtr'!D80,'3rd Qtr'!D80,'4th Qtr'!D80)</f>
        <v>164340</v>
      </c>
      <c r="E80" s="14">
        <f>SUM('1st Qtr'!E80, '2nd Qtr'!E80, '3rd Qtr'!E80, '4th Qtr'!E80)</f>
        <v>146450</v>
      </c>
      <c r="F80" s="14">
        <f t="shared" si="3"/>
        <v>17890</v>
      </c>
      <c r="G80" s="15">
        <f t="shared" si="4"/>
        <v>0.12215773301468077</v>
      </c>
      <c r="H80" s="16">
        <f>SUM('1st Qtr'!H80,'2nd Qtr'!H80,'3rd Qtr'!H80,'4th Qtr'!H80)</f>
        <v>420494.8</v>
      </c>
      <c r="I80" s="16">
        <f>SUM('1st Qtr'!I80, '2nd Qtr'!I80, '3rd Qtr'!I80, '4th Qtr'!I80)</f>
        <v>-256154.8</v>
      </c>
      <c r="J80" s="15">
        <f t="shared" si="5"/>
        <v>-0.60917471512132848</v>
      </c>
    </row>
    <row r="81" spans="1:10" ht="15.6">
      <c r="A81" s="24" t="str">
        <v>Glen Mary 2</v>
      </c>
      <c r="B81" s="25" t="str">
        <v>NY</v>
      </c>
      <c r="C81" s="25" t="str">
        <f>Sites[[#This Row],[SOL'#]]</f>
        <v>SOL-10994</v>
      </c>
      <c r="D81" s="20">
        <f>SUM('1st Qtr'!D81,'2nd Qtr'!D81,'3rd Qtr'!D81,'4th Qtr'!D81)</f>
        <v>138160</v>
      </c>
      <c r="E81" s="10">
        <f>SUM('1st Qtr'!E81, '2nd Qtr'!E81, '3rd Qtr'!E81, '4th Qtr'!E81)</f>
        <v>0</v>
      </c>
      <c r="F81" s="10">
        <f t="shared" si="3"/>
        <v>138160</v>
      </c>
      <c r="G81" s="11" t="str">
        <f t="shared" si="4"/>
        <v/>
      </c>
      <c r="H81" s="12">
        <f>SUM('1st Qtr'!H81,'2nd Qtr'!H81,'3rd Qtr'!H81,'4th Qtr'!H81)</f>
        <v>171573.9</v>
      </c>
      <c r="I81" s="12">
        <f>SUM('1st Qtr'!I81, '2nd Qtr'!I81, '3rd Qtr'!I81, '4th Qtr'!I81)</f>
        <v>-33413.899999999994</v>
      </c>
      <c r="J81" s="13">
        <f t="shared" si="5"/>
        <v>-0.19474931793238945</v>
      </c>
    </row>
    <row r="82" spans="1:10" ht="15.6">
      <c r="A82" s="26" t="str">
        <v>Telegraph 1</v>
      </c>
      <c r="B82" s="27" t="str">
        <v>NY</v>
      </c>
      <c r="C82" s="27" t="str">
        <f>Sites[[#This Row],[SOL'#]]</f>
        <v>SOL-11003</v>
      </c>
      <c r="D82" s="9">
        <f>SUM('1st Qtr'!D82,'2nd Qtr'!D82,'3rd Qtr'!D82,'4th Qtr'!D82)</f>
        <v>153680</v>
      </c>
      <c r="E82" s="14">
        <f>SUM('1st Qtr'!E82, '2nd Qtr'!E82, '3rd Qtr'!E82, '4th Qtr'!E82)</f>
        <v>0</v>
      </c>
      <c r="F82" s="14">
        <f t="shared" si="3"/>
        <v>153680</v>
      </c>
      <c r="G82" s="15" t="str">
        <f t="shared" si="4"/>
        <v/>
      </c>
      <c r="H82" s="16">
        <f>SUM('1st Qtr'!H82,'2nd Qtr'!H82,'3rd Qtr'!H82,'4th Qtr'!H82)</f>
        <v>286022.2</v>
      </c>
      <c r="I82" s="16">
        <f>SUM('1st Qtr'!I82, '2nd Qtr'!I82, '3rd Qtr'!I82, '4th Qtr'!I82)</f>
        <v>-132342.20000000001</v>
      </c>
      <c r="J82" s="15">
        <f t="shared" si="5"/>
        <v>-0.46269904923463984</v>
      </c>
    </row>
    <row r="83" spans="1:10" ht="15.6">
      <c r="A83" s="24" t="str">
        <v>Telegraph 2</v>
      </c>
      <c r="B83" s="25" t="str">
        <v>NY</v>
      </c>
      <c r="C83" s="25" t="str">
        <f>Sites[[#This Row],[SOL'#]]</f>
        <v>SOL-11004</v>
      </c>
      <c r="D83" s="20">
        <f>SUM('1st Qtr'!D83,'2nd Qtr'!D83,'3rd Qtr'!D83,'4th Qtr'!D83)</f>
        <v>97060</v>
      </c>
      <c r="E83" s="10">
        <f>SUM('1st Qtr'!E83, '2nd Qtr'!E83, '3rd Qtr'!E83, '4th Qtr'!E83)</f>
        <v>0</v>
      </c>
      <c r="F83" s="10">
        <f t="shared" si="3"/>
        <v>97060</v>
      </c>
      <c r="G83" s="11" t="str">
        <f t="shared" si="4"/>
        <v/>
      </c>
      <c r="H83" s="12">
        <f>SUM('1st Qtr'!H83,'2nd Qtr'!H83,'3rd Qtr'!H83,'4th Qtr'!H83)</f>
        <v>146627.1</v>
      </c>
      <c r="I83" s="12">
        <f>SUM('1st Qtr'!I83, '2nd Qtr'!I83, '3rd Qtr'!I83, '4th Qtr'!I83)</f>
        <v>-49567.100000000006</v>
      </c>
      <c r="J83" s="13">
        <f t="shared" si="5"/>
        <v>-0.33804869631875695</v>
      </c>
    </row>
    <row r="84" spans="1:10" ht="15.6">
      <c r="A84" s="26" t="str">
        <v>Cafferty Hill</v>
      </c>
      <c r="B84" s="27" t="str">
        <v>NY</v>
      </c>
      <c r="C84" s="27" t="str">
        <f>Sites[[#This Row],[SOL'#]]</f>
        <v>SOL-10996</v>
      </c>
      <c r="D84" s="9">
        <f>SUM('1st Qtr'!D84,'2nd Qtr'!D84,'3rd Qtr'!D84,'4th Qtr'!D84)</f>
        <v>82990</v>
      </c>
      <c r="E84" s="14">
        <f>SUM('1st Qtr'!E84, '2nd Qtr'!E84, '3rd Qtr'!E84, '4th Qtr'!E84)</f>
        <v>85880</v>
      </c>
      <c r="F84" s="14">
        <f t="shared" si="3"/>
        <v>-2890</v>
      </c>
      <c r="G84" s="15">
        <f t="shared" si="4"/>
        <v>-3.3651606893339542E-2</v>
      </c>
      <c r="H84" s="16">
        <f>SUM('1st Qtr'!H84,'2nd Qtr'!H84,'3rd Qtr'!H84,'4th Qtr'!H84)</f>
        <v>373143.4</v>
      </c>
      <c r="I84" s="16">
        <f>SUM('1st Qtr'!I84, '2nd Qtr'!I84, '3rd Qtr'!I84, '4th Qtr'!I84)</f>
        <v>-290153.40000000002</v>
      </c>
      <c r="J84" s="15">
        <f t="shared" si="5"/>
        <v>-0.77759220717825905</v>
      </c>
    </row>
    <row r="85" spans="1:10" ht="15.6">
      <c r="A85" s="24" t="str">
        <v>Dunkleman</v>
      </c>
      <c r="B85" s="25" t="str">
        <v>NY</v>
      </c>
      <c r="C85" s="25" t="str">
        <f>Sites[[#This Row],[SOL'#]]</f>
        <v>SOL-11008</v>
      </c>
      <c r="D85" s="20">
        <f>SUM('1st Qtr'!D85,'2nd Qtr'!D85,'3rd Qtr'!D85,'4th Qtr'!D85)</f>
        <v>191990</v>
      </c>
      <c r="E85" s="10">
        <f>SUM('1st Qtr'!E85, '2nd Qtr'!E85, '3rd Qtr'!E85, '4th Qtr'!E85)</f>
        <v>157970</v>
      </c>
      <c r="F85" s="10">
        <f t="shared" si="3"/>
        <v>34020</v>
      </c>
      <c r="G85" s="11">
        <f t="shared" si="4"/>
        <v>0.21535734633158193</v>
      </c>
      <c r="H85" s="12">
        <f>SUM('1st Qtr'!H85,'2nd Qtr'!H85,'3rd Qtr'!H85,'4th Qtr'!H85)</f>
        <v>369715.73</v>
      </c>
      <c r="I85" s="12">
        <f>SUM('1st Qtr'!I85, '2nd Qtr'!I85, '3rd Qtr'!I85, '4th Qtr'!I85)</f>
        <v>-177725.72999999998</v>
      </c>
      <c r="J85" s="13">
        <f t="shared" si="5"/>
        <v>-0.4807091383425855</v>
      </c>
    </row>
    <row r="86" spans="1:10" ht="15.6">
      <c r="A86" s="26" t="str">
        <v>Route 19 1</v>
      </c>
      <c r="B86" s="27" t="str">
        <v>NY</v>
      </c>
      <c r="C86" s="27" t="str">
        <f>Sites[[#This Row],[SOL'#]]</f>
        <v>SOL-11001</v>
      </c>
      <c r="D86" s="9">
        <f>SUM('1st Qtr'!D86,'2nd Qtr'!D86,'3rd Qtr'!D86,'4th Qtr'!D86)</f>
        <v>96365</v>
      </c>
      <c r="E86" s="14">
        <f>SUM('1st Qtr'!E86, '2nd Qtr'!E86, '3rd Qtr'!E86, '4th Qtr'!E86)</f>
        <v>81568.2</v>
      </c>
      <c r="F86" s="14">
        <f t="shared" si="3"/>
        <v>14796.800000000003</v>
      </c>
      <c r="G86" s="15">
        <f t="shared" si="4"/>
        <v>0.18140402754995211</v>
      </c>
      <c r="H86" s="16">
        <f>SUM('1st Qtr'!H86,'2nd Qtr'!H86,'3rd Qtr'!H86,'4th Qtr'!H86)</f>
        <v>154567.79999999999</v>
      </c>
      <c r="I86" s="16">
        <f>SUM('1st Qtr'!I86, '2nd Qtr'!I86, '3rd Qtr'!I86, '4th Qtr'!I86)</f>
        <v>-58202.799999999988</v>
      </c>
      <c r="J86" s="15">
        <f t="shared" si="5"/>
        <v>-0.37655190796530708</v>
      </c>
    </row>
    <row r="87" spans="1:10" ht="15.6">
      <c r="A87" s="24" t="str">
        <v>Route 19 2</v>
      </c>
      <c r="B87" s="25" t="str">
        <v>NY</v>
      </c>
      <c r="C87" s="25" t="str">
        <f>Sites[[#This Row],[SOL'#]]</f>
        <v>SOL-11002</v>
      </c>
      <c r="D87" s="20">
        <f>SUM('1st Qtr'!D87,'2nd Qtr'!D87,'3rd Qtr'!D87,'4th Qtr'!D87)</f>
        <v>249670</v>
      </c>
      <c r="E87" s="10">
        <f>SUM('1st Qtr'!E87, '2nd Qtr'!E87, '3rd Qtr'!E87, '4th Qtr'!E87)</f>
        <v>246010</v>
      </c>
      <c r="F87" s="10">
        <f t="shared" si="3"/>
        <v>3660</v>
      </c>
      <c r="G87" s="11">
        <f t="shared" si="4"/>
        <v>1.4877444006341205E-2</v>
      </c>
      <c r="H87" s="12">
        <f>SUM('1st Qtr'!H87,'2nd Qtr'!H87,'3rd Qtr'!H87,'4th Qtr'!H87)</f>
        <v>409574.6</v>
      </c>
      <c r="I87" s="12">
        <f>SUM('1st Qtr'!I87, '2nd Qtr'!I87, '3rd Qtr'!I87, '4th Qtr'!I87)</f>
        <v>-159904.59999999998</v>
      </c>
      <c r="J87" s="13">
        <f t="shared" si="5"/>
        <v>-0.3904163002295552</v>
      </c>
    </row>
    <row r="88" spans="1:10" ht="15.6">
      <c r="A88" s="26" t="str">
        <v>Yellow Mills 1</v>
      </c>
      <c r="B88" s="27" t="str">
        <v>NY</v>
      </c>
      <c r="C88" s="27" t="str">
        <f>Sites[[#This Row],[SOL'#]]</f>
        <v>SOL-11006</v>
      </c>
      <c r="D88" s="9">
        <f>SUM('1st Qtr'!D88,'2nd Qtr'!D88,'3rd Qtr'!D88,'4th Qtr'!D88)</f>
        <v>107464</v>
      </c>
      <c r="E88" s="14">
        <f>SUM('1st Qtr'!E88, '2nd Qtr'!E88, '3rd Qtr'!E88, '4th Qtr'!E88)</f>
        <v>105508</v>
      </c>
      <c r="F88" s="14">
        <f t="shared" si="3"/>
        <v>1956</v>
      </c>
      <c r="G88" s="15">
        <f t="shared" si="4"/>
        <v>1.8538878568449785E-2</v>
      </c>
      <c r="H88" s="16">
        <f>SUM('1st Qtr'!H88,'2nd Qtr'!H88,'3rd Qtr'!H88,'4th Qtr'!H88)</f>
        <v>123508.6</v>
      </c>
      <c r="I88" s="16">
        <f>SUM('1st Qtr'!I88, '2nd Qtr'!I88, '3rd Qtr'!I88, '4th Qtr'!I88)</f>
        <v>-16044.600000000006</v>
      </c>
      <c r="J88" s="15">
        <f t="shared" si="5"/>
        <v>-0.12990674333609162</v>
      </c>
    </row>
    <row r="89" spans="1:10" ht="15.6">
      <c r="A89" s="24" t="str">
        <v>Yellow Mills 2</v>
      </c>
      <c r="B89" s="25" t="str">
        <v>NY</v>
      </c>
      <c r="C89" s="25" t="str">
        <f>Sites[[#This Row],[SOL'#]]</f>
        <v>SOL-11005</v>
      </c>
      <c r="D89" s="20">
        <f>SUM('1st Qtr'!D89,'2nd Qtr'!D89,'3rd Qtr'!D89,'4th Qtr'!D89)</f>
        <v>196674</v>
      </c>
      <c r="E89" s="10">
        <f>SUM('1st Qtr'!E89, '2nd Qtr'!E89, '3rd Qtr'!E89, '4th Qtr'!E89)</f>
        <v>0</v>
      </c>
      <c r="F89" s="10">
        <f t="shared" si="3"/>
        <v>196674</v>
      </c>
      <c r="G89" s="11" t="str">
        <f t="shared" si="4"/>
        <v/>
      </c>
      <c r="H89" s="12">
        <f>SUM('1st Qtr'!H89,'2nd Qtr'!H89,'3rd Qtr'!H89,'4th Qtr'!H89)</f>
        <v>126216.1</v>
      </c>
      <c r="I89" s="12">
        <f>SUM('1st Qtr'!I89, '2nd Qtr'!I89, '3rd Qtr'!I89, '4th Qtr'!I89)</f>
        <v>70457.899999999994</v>
      </c>
      <c r="J89" s="13">
        <f t="shared" si="5"/>
        <v>0.55823226989266816</v>
      </c>
    </row>
    <row r="90" spans="1:10" ht="15.6">
      <c r="A90" s="26" t="str">
        <v>Yellow Mills 3</v>
      </c>
      <c r="B90" s="27" t="str">
        <v>NY</v>
      </c>
      <c r="C90" s="27" t="str">
        <f>Sites[[#This Row],[SOL'#]]</f>
        <v>SOL-11007</v>
      </c>
      <c r="D90" s="9">
        <f>SUM('1st Qtr'!D90,'2nd Qtr'!D90,'3rd Qtr'!D90,'4th Qtr'!D90)</f>
        <v>95437</v>
      </c>
      <c r="E90" s="14">
        <f>SUM('1st Qtr'!E90, '2nd Qtr'!E90, '3rd Qtr'!E90, '4th Qtr'!E90)</f>
        <v>93389</v>
      </c>
      <c r="F90" s="14">
        <f t="shared" si="3"/>
        <v>2048</v>
      </c>
      <c r="G90" s="15">
        <f t="shared" si="4"/>
        <v>2.1929777596933257E-2</v>
      </c>
      <c r="H90" s="16">
        <f>SUM('1st Qtr'!H90,'2nd Qtr'!H90,'3rd Qtr'!H90,'4th Qtr'!H90)</f>
        <v>111400.8</v>
      </c>
      <c r="I90" s="16">
        <f>SUM('1st Qtr'!I90, '2nd Qtr'!I90, '3rd Qtr'!I90, '4th Qtr'!I90)</f>
        <v>-15963.800000000003</v>
      </c>
      <c r="J90" s="15">
        <f t="shared" si="5"/>
        <v>-0.14330058671032886</v>
      </c>
    </row>
    <row r="91" spans="1:10" ht="15.6">
      <c r="A91" s="24" t="str">
        <v>Catskill</v>
      </c>
      <c r="B91" s="25" t="str">
        <v>NY</v>
      </c>
      <c r="C91" s="25" t="str">
        <f>Sites[[#This Row],[SOL'#]]</f>
        <v>SOL-11021</v>
      </c>
      <c r="D91" s="20">
        <f>SUM('1st Qtr'!D91,'2nd Qtr'!D91,'3rd Qtr'!D91,'4th Qtr'!D91)</f>
        <v>207977</v>
      </c>
      <c r="E91" s="10">
        <f>SUM('1st Qtr'!E91, '2nd Qtr'!E91, '3rd Qtr'!E91, '4th Qtr'!E91)</f>
        <v>0</v>
      </c>
      <c r="F91" s="10">
        <f t="shared" si="3"/>
        <v>207977</v>
      </c>
      <c r="G91" s="11" t="str">
        <f t="shared" si="4"/>
        <v/>
      </c>
      <c r="H91" s="12">
        <f>SUM('1st Qtr'!H91,'2nd Qtr'!H91,'3rd Qtr'!H91,'4th Qtr'!H91)</f>
        <v>295119.31</v>
      </c>
      <c r="I91" s="12">
        <f>SUM('1st Qtr'!I91, '2nd Qtr'!I91, '3rd Qtr'!I91, '4th Qtr'!I91)</f>
        <v>-87142.31</v>
      </c>
      <c r="J91" s="13">
        <f t="shared" si="5"/>
        <v>-0.29527823848598722</v>
      </c>
    </row>
    <row r="92" spans="1:10" ht="15.6">
      <c r="A92" s="26" t="str">
        <v>Eddy Ridge</v>
      </c>
      <c r="B92" s="27" t="str">
        <v>NY</v>
      </c>
      <c r="C92" s="27" t="str">
        <f>Sites[[#This Row],[SOL'#]]</f>
        <v>SOL-11054</v>
      </c>
      <c r="D92" s="9">
        <f>SUM('1st Qtr'!D92,'2nd Qtr'!D92,'3rd Qtr'!D92,'4th Qtr'!D92)</f>
        <v>89230</v>
      </c>
      <c r="E92" s="14">
        <f>SUM('1st Qtr'!E92, '2nd Qtr'!E92, '3rd Qtr'!E92, '4th Qtr'!E92)</f>
        <v>87456</v>
      </c>
      <c r="F92" s="14">
        <f t="shared" si="3"/>
        <v>1774</v>
      </c>
      <c r="G92" s="15">
        <f t="shared" si="4"/>
        <v>2.0284485912916209E-2</v>
      </c>
      <c r="H92" s="16">
        <f>SUM('1st Qtr'!H92,'2nd Qtr'!H92,'3rd Qtr'!H92,'4th Qtr'!H92)</f>
        <v>176115</v>
      </c>
      <c r="I92" s="16">
        <f>SUM('1st Qtr'!I92, '2nd Qtr'!I92, '3rd Qtr'!I92, '4th Qtr'!I92)</f>
        <v>-86885</v>
      </c>
      <c r="J92" s="15">
        <f t="shared" si="5"/>
        <v>-0.49334241830622039</v>
      </c>
    </row>
    <row r="93" spans="1:10" ht="15.6">
      <c r="A93" s="24" t="str">
        <v>Ridgeway #1</v>
      </c>
      <c r="B93" s="25" t="str">
        <v>NY</v>
      </c>
      <c r="C93" s="25" t="str">
        <f>Sites[[#This Row],[SOL'#]]</f>
        <v>SOL-11018</v>
      </c>
      <c r="D93" s="20">
        <f>SUM('1st Qtr'!D93,'2nd Qtr'!D93,'3rd Qtr'!D93,'4th Qtr'!D93)</f>
        <v>244376</v>
      </c>
      <c r="E93" s="10">
        <f>SUM('1st Qtr'!E93, '2nd Qtr'!E93, '3rd Qtr'!E93, '4th Qtr'!E93)</f>
        <v>148377</v>
      </c>
      <c r="F93" s="10">
        <f t="shared" si="3"/>
        <v>95999</v>
      </c>
      <c r="G93" s="11">
        <f t="shared" si="4"/>
        <v>0.64699380631769077</v>
      </c>
      <c r="H93" s="12">
        <f>SUM('1st Qtr'!H93,'2nd Qtr'!H93,'3rd Qtr'!H93,'4th Qtr'!H93)</f>
        <v>426059</v>
      </c>
      <c r="I93" s="12">
        <f>SUM('1st Qtr'!I93, '2nd Qtr'!I93, '3rd Qtr'!I93, '4th Qtr'!I93)</f>
        <v>-181683</v>
      </c>
      <c r="J93" s="13">
        <f t="shared" si="5"/>
        <v>-0.4264268563743519</v>
      </c>
    </row>
    <row r="94" spans="1:10" ht="15.6">
      <c r="A94" s="26" t="str">
        <v>Rivard 1</v>
      </c>
      <c r="B94" s="27" t="str">
        <v>NY</v>
      </c>
      <c r="C94" s="27" t="str">
        <f>Sites[[#This Row],[SOL'#]]</f>
        <v>SOL-11011</v>
      </c>
      <c r="D94" s="9">
        <f>SUM('1st Qtr'!D94,'2nd Qtr'!D94,'3rd Qtr'!D94,'4th Qtr'!D94)</f>
        <v>148338.33009999999</v>
      </c>
      <c r="E94" s="14">
        <f>SUM('1st Qtr'!E94, '2nd Qtr'!E94, '3rd Qtr'!E94, '4th Qtr'!E94)</f>
        <v>270906.90000000002</v>
      </c>
      <c r="F94" s="14">
        <f t="shared" si="3"/>
        <v>-122568.56990000003</v>
      </c>
      <c r="G94" s="15">
        <f t="shared" si="4"/>
        <v>-0.45243797740109248</v>
      </c>
      <c r="H94" s="16">
        <f>SUM('1st Qtr'!H94,'2nd Qtr'!H94,'3rd Qtr'!H94,'4th Qtr'!H94)</f>
        <v>257064.8</v>
      </c>
      <c r="I94" s="16">
        <f>SUM('1st Qtr'!I94, '2nd Qtr'!I94, '3rd Qtr'!I94, '4th Qtr'!I94)</f>
        <v>-108726.4699</v>
      </c>
      <c r="J94" s="15">
        <f t="shared" si="5"/>
        <v>-0.42295355062225554</v>
      </c>
    </row>
    <row r="95" spans="1:10" ht="15.6">
      <c r="A95" s="24" t="str">
        <v>Rivard 2</v>
      </c>
      <c r="B95" s="25" t="str">
        <v>NY</v>
      </c>
      <c r="C95" s="25" t="str">
        <f>Sites[[#This Row],[SOL'#]]</f>
        <v>SOL-11012</v>
      </c>
      <c r="D95" s="20">
        <f>SUM('1st Qtr'!D95,'2nd Qtr'!D95,'3rd Qtr'!D95,'4th Qtr'!D95)</f>
        <v>142942</v>
      </c>
      <c r="E95" s="10">
        <f>SUM('1st Qtr'!E95, '2nd Qtr'!E95, '3rd Qtr'!E95, '4th Qtr'!E95)</f>
        <v>205053</v>
      </c>
      <c r="F95" s="10">
        <f t="shared" si="3"/>
        <v>-62111</v>
      </c>
      <c r="G95" s="11">
        <f t="shared" si="4"/>
        <v>-0.30290217651046314</v>
      </c>
      <c r="H95" s="12">
        <f>SUM('1st Qtr'!H95,'2nd Qtr'!H95,'3rd Qtr'!H95,'4th Qtr'!H95)</f>
        <v>245245.8</v>
      </c>
      <c r="I95" s="12">
        <f>SUM('1st Qtr'!I95, '2nd Qtr'!I95, '3rd Qtr'!I95, '4th Qtr'!I95)</f>
        <v>-102303.79999999999</v>
      </c>
      <c r="J95" s="13">
        <f t="shared" si="5"/>
        <v>-0.41714802047578387</v>
      </c>
    </row>
    <row r="96" spans="1:10" ht="15.6">
      <c r="A96" s="26" t="str">
        <v>Ridgeway #2</v>
      </c>
      <c r="B96" s="27" t="str">
        <v>NY</v>
      </c>
      <c r="C96" s="27" t="str">
        <f>Sites[[#This Row],[SOL'#]]</f>
        <v>SOL-11027</v>
      </c>
      <c r="D96" s="9">
        <f>SUM('1st Qtr'!D96,'2nd Qtr'!D96,'3rd Qtr'!D96,'4th Qtr'!D96)</f>
        <v>124718</v>
      </c>
      <c r="E96" s="14">
        <f>SUM('1st Qtr'!E96, '2nd Qtr'!E96, '3rd Qtr'!E96, '4th Qtr'!E96)</f>
        <v>121762</v>
      </c>
      <c r="F96" s="14">
        <f t="shared" si="3"/>
        <v>2956</v>
      </c>
      <c r="G96" s="15">
        <f t="shared" si="4"/>
        <v>2.4276867988370757E-2</v>
      </c>
      <c r="H96" s="16">
        <f>SUM('1st Qtr'!H96,'2nd Qtr'!H96,'3rd Qtr'!H96,'4th Qtr'!H96)</f>
        <v>219945.25</v>
      </c>
      <c r="I96" s="16">
        <f>SUM('1st Qtr'!I96, '2nd Qtr'!I96, '3rd Qtr'!I96, '4th Qtr'!I96)</f>
        <v>-95227.25</v>
      </c>
      <c r="J96" s="15">
        <f t="shared" si="5"/>
        <v>-0.43295888408592592</v>
      </c>
    </row>
    <row r="97" spans="1:10" ht="15.6">
      <c r="A97" s="24" t="str">
        <v>Spencer</v>
      </c>
      <c r="B97" s="25" t="str">
        <v>NY</v>
      </c>
      <c r="C97" s="25" t="str">
        <f>Sites[[#This Row],[SOL'#]]</f>
        <v>SOL-11017</v>
      </c>
      <c r="D97" s="20">
        <f>SUM('1st Qtr'!D97,'2nd Qtr'!D97,'3rd Qtr'!D97,'4th Qtr'!D97)</f>
        <v>366895.2</v>
      </c>
      <c r="E97" s="10">
        <f>SUM('1st Qtr'!E97, '2nd Qtr'!E97, '3rd Qtr'!E97, '4th Qtr'!E97)</f>
        <v>362740</v>
      </c>
      <c r="F97" s="10">
        <f t="shared" ref="F97:F157" si="6">IF(AND(ISNUMBER(D97),ISNUMBER(E97)), D97-E97, "")</f>
        <v>4155.2000000000116</v>
      </c>
      <c r="G97" s="11">
        <f t="shared" ref="G97:G157" si="7">IFERROR(F97/E97, "")</f>
        <v>1.1455036665380194E-2</v>
      </c>
      <c r="H97" s="12">
        <f>SUM('1st Qtr'!H97,'2nd Qtr'!H97,'3rd Qtr'!H97,'4th Qtr'!H97)</f>
        <v>306010.64</v>
      </c>
      <c r="I97" s="12">
        <f>SUM('1st Qtr'!I97, '2nd Qtr'!I97, '3rd Qtr'!I97, '4th Qtr'!I97)</f>
        <v>60884.56</v>
      </c>
      <c r="J97" s="13">
        <f t="shared" ref="J97:J157" si="8">IFERROR(I97/H97, "")</f>
        <v>0.19896223216290779</v>
      </c>
    </row>
    <row r="98" spans="1:10" ht="15.6">
      <c r="A98" s="26" t="str">
        <v>Reisender</v>
      </c>
      <c r="B98" s="27" t="str">
        <v>NY</v>
      </c>
      <c r="C98" s="27" t="str">
        <f>Sites[[#This Row],[SOL'#]]</f>
        <v>SOL-10886</v>
      </c>
      <c r="D98" s="9">
        <f>SUM('1st Qtr'!D98,'2nd Qtr'!D98,'3rd Qtr'!D98,'4th Qtr'!D98)</f>
        <v>55170</v>
      </c>
      <c r="E98" s="14">
        <f>SUM('1st Qtr'!E98, '2nd Qtr'!E98, '3rd Qtr'!E98, '4th Qtr'!E98)</f>
        <v>54780</v>
      </c>
      <c r="F98" s="14">
        <f t="shared" si="6"/>
        <v>390</v>
      </c>
      <c r="G98" s="15">
        <f t="shared" si="7"/>
        <v>7.1193866374589269E-3</v>
      </c>
      <c r="H98" s="16">
        <f>SUM('1st Qtr'!H98,'2nd Qtr'!H98,'3rd Qtr'!H98,'4th Qtr'!H98)</f>
        <v>139255.92000000001</v>
      </c>
      <c r="I98" s="16">
        <f>SUM('1st Qtr'!I98, '2nd Qtr'!I98, '3rd Qtr'!I98, '4th Qtr'!I98)</f>
        <v>-84085.920000000013</v>
      </c>
      <c r="J98" s="15">
        <f t="shared" si="8"/>
        <v>-0.60382294698853745</v>
      </c>
    </row>
    <row r="99" spans="1:10" ht="15.6">
      <c r="A99" s="24" t="str">
        <v>Finney</v>
      </c>
      <c r="B99" s="25" t="str">
        <v>NY</v>
      </c>
      <c r="C99" s="25" t="str">
        <f>Sites[[#This Row],[SOL'#]]</f>
        <v>SOL-10999</v>
      </c>
      <c r="D99" s="20">
        <f>SUM('1st Qtr'!D99,'2nd Qtr'!D99,'3rd Qtr'!D99,'4th Qtr'!D99)</f>
        <v>423780</v>
      </c>
      <c r="E99" s="10">
        <f>SUM('1st Qtr'!E99, '2nd Qtr'!E99, '3rd Qtr'!E99, '4th Qtr'!E99)</f>
        <v>421430</v>
      </c>
      <c r="F99" s="10">
        <f t="shared" si="6"/>
        <v>2350</v>
      </c>
      <c r="G99" s="11">
        <f t="shared" si="7"/>
        <v>5.5762522838905633E-3</v>
      </c>
      <c r="H99" s="12">
        <f>SUM('1st Qtr'!H99,'2nd Qtr'!H99,'3rd Qtr'!H99,'4th Qtr'!H99)</f>
        <v>423916.47</v>
      </c>
      <c r="I99" s="12">
        <f>SUM('1st Qtr'!I99, '2nd Qtr'!I99, '3rd Qtr'!I99, '4th Qtr'!I99)</f>
        <v>-136.46999999997206</v>
      </c>
      <c r="J99" s="13">
        <f t="shared" si="8"/>
        <v>-3.2192662861146225E-4</v>
      </c>
    </row>
    <row r="100" spans="1:10" ht="15.6">
      <c r="A100" s="26" t="str">
        <v>Davis Solar</v>
      </c>
      <c r="B100" s="27" t="str">
        <v>NY</v>
      </c>
      <c r="C100" s="27" t="str">
        <f>Sites[[#This Row],[SOL'#]]</f>
        <v>SOL-10958</v>
      </c>
      <c r="D100" s="9">
        <f>SUM('1st Qtr'!D100,'2nd Qtr'!D100,'3rd Qtr'!D100,'4th Qtr'!D100)</f>
        <v>98174</v>
      </c>
      <c r="E100" s="14">
        <f>SUM('1st Qtr'!E100, '2nd Qtr'!E100, '3rd Qtr'!E100, '4th Qtr'!E100)</f>
        <v>222749.1</v>
      </c>
      <c r="F100" s="14">
        <f t="shared" si="6"/>
        <v>-124575.1</v>
      </c>
      <c r="G100" s="15">
        <f t="shared" si="7"/>
        <v>-0.55926196783735604</v>
      </c>
      <c r="H100" s="16">
        <f>SUM('1st Qtr'!H100,'2nd Qtr'!H100,'3rd Qtr'!H100,'4th Qtr'!H100)</f>
        <v>182746</v>
      </c>
      <c r="I100" s="16">
        <f>SUM('1st Qtr'!I100, '2nd Qtr'!I100, '3rd Qtr'!I100, '4th Qtr'!I100)</f>
        <v>-84572</v>
      </c>
      <c r="J100" s="15">
        <f t="shared" si="8"/>
        <v>-0.46278441114990204</v>
      </c>
    </row>
    <row r="101" spans="1:10" ht="15.6">
      <c r="A101" s="24" t="str">
        <v>Genesee</v>
      </c>
      <c r="B101" s="25" t="str">
        <v>NY</v>
      </c>
      <c r="C101" s="25" t="str">
        <f>Sites[[#This Row],[SOL'#]]</f>
        <v>SOL-10951</v>
      </c>
      <c r="D101" s="20">
        <f>SUM('1st Qtr'!D101,'2nd Qtr'!D101,'3rd Qtr'!D101,'4th Qtr'!D101)</f>
        <v>71876</v>
      </c>
      <c r="E101" s="10">
        <f>SUM('1st Qtr'!E101, '2nd Qtr'!E101, '3rd Qtr'!E101, '4th Qtr'!E101)</f>
        <v>71030.2</v>
      </c>
      <c r="F101" s="10">
        <f t="shared" si="6"/>
        <v>845.80000000000291</v>
      </c>
      <c r="G101" s="11">
        <f t="shared" si="7"/>
        <v>1.1907611128787516E-2</v>
      </c>
      <c r="H101" s="12">
        <f>SUM('1st Qtr'!H101,'2nd Qtr'!H101,'3rd Qtr'!H101,'4th Qtr'!H101)</f>
        <v>223003.43</v>
      </c>
      <c r="I101" s="12">
        <f>SUM('1st Qtr'!I101, '2nd Qtr'!I101, '3rd Qtr'!I101, '4th Qtr'!I101)</f>
        <v>-151127.43</v>
      </c>
      <c r="J101" s="13">
        <f t="shared" si="8"/>
        <v>-0.67769105614205127</v>
      </c>
    </row>
    <row r="102" spans="1:10" ht="15.6">
      <c r="A102" s="26" t="str">
        <v>Landau I</v>
      </c>
      <c r="B102" s="27" t="str">
        <v>NY</v>
      </c>
      <c r="C102" s="27" t="str">
        <f>Sites[[#This Row],[SOL'#]]</f>
        <v>SOL-10891</v>
      </c>
      <c r="D102" s="9">
        <f>SUM('1st Qtr'!D102,'2nd Qtr'!D102,'3rd Qtr'!D102,'4th Qtr'!D102)</f>
        <v>76220</v>
      </c>
      <c r="E102" s="14">
        <f>SUM('1st Qtr'!E102, '2nd Qtr'!E102, '3rd Qtr'!E102, '4th Qtr'!E102)</f>
        <v>0</v>
      </c>
      <c r="F102" s="14">
        <f t="shared" si="6"/>
        <v>76220</v>
      </c>
      <c r="G102" s="15" t="str">
        <f t="shared" si="7"/>
        <v/>
      </c>
      <c r="H102" s="16">
        <f>SUM('1st Qtr'!H102,'2nd Qtr'!H102,'3rd Qtr'!H102,'4th Qtr'!H102)</f>
        <v>183280</v>
      </c>
      <c r="I102" s="16">
        <f>SUM('1st Qtr'!I102, '2nd Qtr'!I102, '3rd Qtr'!I102, '4th Qtr'!I102)</f>
        <v>-107060</v>
      </c>
      <c r="J102" s="15">
        <f t="shared" si="8"/>
        <v>-0.58413356612832823</v>
      </c>
    </row>
    <row r="103" spans="1:10" ht="15.6">
      <c r="A103" s="24" t="str">
        <v>Landau II</v>
      </c>
      <c r="B103" s="25" t="str">
        <v>NY</v>
      </c>
      <c r="C103" s="25" t="str">
        <f>Sites[[#This Row],[SOL'#]]</f>
        <v>SOL-10895</v>
      </c>
      <c r="D103" s="20">
        <f>SUM('1st Qtr'!D103,'2nd Qtr'!D103,'3rd Qtr'!D103,'4th Qtr'!D103)</f>
        <v>0</v>
      </c>
      <c r="E103" s="10">
        <f>SUM('1st Qtr'!E103, '2nd Qtr'!E103, '3rd Qtr'!E103, '4th Qtr'!E103)</f>
        <v>0</v>
      </c>
      <c r="F103" s="10">
        <f t="shared" si="6"/>
        <v>0</v>
      </c>
      <c r="G103" s="11" t="str">
        <f t="shared" si="7"/>
        <v/>
      </c>
      <c r="H103" s="12">
        <f>SUM('1st Qtr'!H103,'2nd Qtr'!H103,'3rd Qtr'!H103,'4th Qtr'!H103)</f>
        <v>345100.3</v>
      </c>
      <c r="I103" s="12">
        <f>SUM('1st Qtr'!I103, '2nd Qtr'!I103, '3rd Qtr'!I103, '4th Qtr'!I103)</f>
        <v>0</v>
      </c>
      <c r="J103" s="13">
        <f t="shared" si="8"/>
        <v>0</v>
      </c>
    </row>
    <row r="104" spans="1:10" ht="15.6">
      <c r="A104" s="26" t="str">
        <v>New Beginnings</v>
      </c>
      <c r="B104" s="27" t="str">
        <v>NY</v>
      </c>
      <c r="C104" s="27" t="str">
        <f>Sites[[#This Row],[SOL'#]]</f>
        <v>SOL-10890</v>
      </c>
      <c r="D104" s="9">
        <f>SUM('1st Qtr'!D104,'2nd Qtr'!D104,'3rd Qtr'!D104,'4th Qtr'!D104)</f>
        <v>92270</v>
      </c>
      <c r="E104" s="14">
        <f>SUM('1st Qtr'!E104, '2nd Qtr'!E104, '3rd Qtr'!E104, '4th Qtr'!E104)</f>
        <v>92270</v>
      </c>
      <c r="F104" s="14">
        <f t="shared" si="6"/>
        <v>0</v>
      </c>
      <c r="G104" s="15">
        <f t="shared" si="7"/>
        <v>0</v>
      </c>
      <c r="H104" s="16">
        <f>SUM('1st Qtr'!H104,'2nd Qtr'!H104,'3rd Qtr'!H104,'4th Qtr'!H104)</f>
        <v>179886.74</v>
      </c>
      <c r="I104" s="16">
        <f>SUM('1st Qtr'!I104, '2nd Qtr'!I104, '3rd Qtr'!I104, '4th Qtr'!I104)</f>
        <v>-87616.739999999991</v>
      </c>
      <c r="J104" s="15">
        <f t="shared" si="8"/>
        <v>-0.48706613950533539</v>
      </c>
    </row>
    <row r="105" spans="1:10" ht="15.6">
      <c r="A105" s="24" t="str">
        <v>Bullitt Farm Solar, LLC</v>
      </c>
      <c r="B105" s="25" t="str">
        <v>NY</v>
      </c>
      <c r="C105" s="25" t="str">
        <f>Sites[[#This Row],[SOL'#]]</f>
        <v>SOL-10998</v>
      </c>
      <c r="D105" s="20">
        <f>SUM('1st Qtr'!D105,'2nd Qtr'!D105,'3rd Qtr'!D105,'4th Qtr'!D105)</f>
        <v>58980</v>
      </c>
      <c r="E105" s="10">
        <f>SUM('1st Qtr'!E105, '2nd Qtr'!E105, '3rd Qtr'!E105, '4th Qtr'!E105)</f>
        <v>0</v>
      </c>
      <c r="F105" s="10">
        <f t="shared" si="6"/>
        <v>58980</v>
      </c>
      <c r="G105" s="11" t="str">
        <f t="shared" si="7"/>
        <v/>
      </c>
      <c r="H105" s="12">
        <f>SUM('1st Qtr'!H105,'2nd Qtr'!H105,'3rd Qtr'!H105,'4th Qtr'!H105)</f>
        <v>110519.08</v>
      </c>
      <c r="I105" s="12">
        <f>SUM('1st Qtr'!I105, '2nd Qtr'!I105, '3rd Qtr'!I105, '4th Qtr'!I105)</f>
        <v>-51539.08</v>
      </c>
      <c r="J105" s="13">
        <f t="shared" si="8"/>
        <v>-0.4663364914003989</v>
      </c>
    </row>
    <row r="106" spans="1:10" ht="15.6">
      <c r="A106" s="26" t="str">
        <v>Brodhead Solar, LLC</v>
      </c>
      <c r="B106" s="27" t="str">
        <v>NY</v>
      </c>
      <c r="C106" s="27" t="str">
        <f>Sites[[#This Row],[SOL'#]]</f>
        <v>SOL-10899</v>
      </c>
      <c r="D106" s="9">
        <f>SUM('1st Qtr'!D106,'2nd Qtr'!D106,'3rd Qtr'!D106,'4th Qtr'!D106)</f>
        <v>177618</v>
      </c>
      <c r="E106" s="14">
        <f>SUM('1st Qtr'!E106, '2nd Qtr'!E106, '3rd Qtr'!E106, '4th Qtr'!E106)</f>
        <v>190253</v>
      </c>
      <c r="F106" s="14">
        <f t="shared" si="6"/>
        <v>-12635</v>
      </c>
      <c r="G106" s="15">
        <f t="shared" si="7"/>
        <v>-6.6411567754516357E-2</v>
      </c>
      <c r="H106" s="16">
        <f>SUM('1st Qtr'!H106,'2nd Qtr'!H106,'3rd Qtr'!H106,'4th Qtr'!H106)</f>
        <v>215650.8</v>
      </c>
      <c r="I106" s="16">
        <f>SUM('1st Qtr'!I106, '2nd Qtr'!I106, '3rd Qtr'!I106, '4th Qtr'!I106)</f>
        <v>-38032.799999999988</v>
      </c>
      <c r="J106" s="15">
        <f t="shared" si="8"/>
        <v>-0.17636289779588107</v>
      </c>
    </row>
    <row r="107" spans="1:10" ht="15.6">
      <c r="A107" s="24" t="str">
        <v>Svenski</v>
      </c>
      <c r="B107" s="25" t="str">
        <v>NY</v>
      </c>
      <c r="C107" s="25" t="str">
        <f>Sites[[#This Row],[SOL'#]]</f>
        <v>SOL-10894</v>
      </c>
      <c r="D107" s="20">
        <f>SUM('1st Qtr'!D107,'2nd Qtr'!D107,'3rd Qtr'!D107,'4th Qtr'!D107)</f>
        <v>30220</v>
      </c>
      <c r="E107" s="10">
        <f>SUM('1st Qtr'!E107, '2nd Qtr'!E107, '3rd Qtr'!E107, '4th Qtr'!E107)</f>
        <v>0</v>
      </c>
      <c r="F107" s="10">
        <f t="shared" si="6"/>
        <v>30220</v>
      </c>
      <c r="G107" s="11" t="str">
        <f t="shared" si="7"/>
        <v/>
      </c>
      <c r="H107" s="12">
        <f>SUM('1st Qtr'!H107,'2nd Qtr'!H107,'3rd Qtr'!H107,'4th Qtr'!H107)</f>
        <v>143761.47</v>
      </c>
      <c r="I107" s="12">
        <f>SUM('1st Qtr'!I107, '2nd Qtr'!I107, '3rd Qtr'!I107, '4th Qtr'!I107)</f>
        <v>-113541.47</v>
      </c>
      <c r="J107" s="13">
        <f t="shared" si="8"/>
        <v>-0.78979068591883483</v>
      </c>
    </row>
    <row r="108" spans="1:10" ht="15.6">
      <c r="A108" s="26" t="str">
        <v>Bantam</v>
      </c>
      <c r="B108" s="27" t="str">
        <v>NY</v>
      </c>
      <c r="C108" s="27" t="str">
        <f>Sites[[#This Row],[SOL'#]]</f>
        <v>SOL-10986</v>
      </c>
      <c r="D108" s="9">
        <f>SUM('1st Qtr'!D108,'2nd Qtr'!D108,'3rd Qtr'!D108,'4th Qtr'!D108)</f>
        <v>159790</v>
      </c>
      <c r="E108" s="14">
        <f>SUM('1st Qtr'!E108, '2nd Qtr'!E108, '3rd Qtr'!E108, '4th Qtr'!E108)</f>
        <v>190990</v>
      </c>
      <c r="F108" s="14">
        <f t="shared" si="6"/>
        <v>-31200</v>
      </c>
      <c r="G108" s="15">
        <f t="shared" si="7"/>
        <v>-0.16335933818524531</v>
      </c>
      <c r="H108" s="16">
        <f>SUM('1st Qtr'!H108,'2nd Qtr'!H108,'3rd Qtr'!H108,'4th Qtr'!H108)</f>
        <v>384649.18246464652</v>
      </c>
      <c r="I108" s="16">
        <f>SUM('1st Qtr'!I108, '2nd Qtr'!I108, '3rd Qtr'!I108, '4th Qtr'!I108)</f>
        <v>-224859.18246464652</v>
      </c>
      <c r="J108" s="15">
        <f t="shared" si="8"/>
        <v>-0.58458250456651772</v>
      </c>
    </row>
    <row r="109" spans="1:10" ht="15.6">
      <c r="A109" s="24" t="str">
        <v>Bogart</v>
      </c>
      <c r="B109" s="25" t="str">
        <v>NY</v>
      </c>
      <c r="C109" s="25" t="str">
        <f>Sites[[#This Row],[SOL'#]]</f>
        <v>SOL-10887</v>
      </c>
      <c r="D109" s="20">
        <f>SUM('1st Qtr'!D109,'2nd Qtr'!D109,'3rd Qtr'!D109,'4th Qtr'!D109)</f>
        <v>99550</v>
      </c>
      <c r="E109" s="10">
        <f>SUM('1st Qtr'!E109, '2nd Qtr'!E109, '3rd Qtr'!E109, '4th Qtr'!E109)</f>
        <v>70660</v>
      </c>
      <c r="F109" s="10">
        <f t="shared" si="6"/>
        <v>28890</v>
      </c>
      <c r="G109" s="11">
        <f t="shared" si="7"/>
        <v>0.4088593263515426</v>
      </c>
      <c r="H109" s="12">
        <f>SUM('1st Qtr'!H109,'2nd Qtr'!H109,'3rd Qtr'!H109,'4th Qtr'!H109)</f>
        <v>164078.57</v>
      </c>
      <c r="I109" s="12">
        <f>SUM('1st Qtr'!I109, '2nd Qtr'!I109, '3rd Qtr'!I109, '4th Qtr'!I109)</f>
        <v>-64528.570000000007</v>
      </c>
      <c r="J109" s="13">
        <f t="shared" si="8"/>
        <v>-0.39327847628121093</v>
      </c>
    </row>
    <row r="110" spans="1:10" ht="15.6">
      <c r="A110" s="26" t="str">
        <v>Dubois</v>
      </c>
      <c r="B110" s="27" t="str">
        <v>NY</v>
      </c>
      <c r="C110" s="27" t="str">
        <f>Sites[[#This Row],[SOL'#]]</f>
        <v>SOL-10892</v>
      </c>
      <c r="D110" s="9">
        <f>SUM('1st Qtr'!D110,'2nd Qtr'!D110,'3rd Qtr'!D110,'4th Qtr'!D110)</f>
        <v>90300</v>
      </c>
      <c r="E110" s="14">
        <f>SUM('1st Qtr'!E110, '2nd Qtr'!E110, '3rd Qtr'!E110, '4th Qtr'!E110)</f>
        <v>90343</v>
      </c>
      <c r="F110" s="14">
        <f t="shared" si="6"/>
        <v>-43</v>
      </c>
      <c r="G110" s="15">
        <f t="shared" si="7"/>
        <v>-4.7596382674916705E-4</v>
      </c>
      <c r="H110" s="16">
        <f>SUM('1st Qtr'!H110,'2nd Qtr'!H110,'3rd Qtr'!H110,'4th Qtr'!H110)</f>
        <v>0</v>
      </c>
      <c r="I110" s="16">
        <f>SUM('1st Qtr'!I110, '2nd Qtr'!I110, '3rd Qtr'!I110, '4th Qtr'!I110)</f>
        <v>0</v>
      </c>
      <c r="J110" s="15" t="str">
        <f t="shared" si="8"/>
        <v/>
      </c>
    </row>
    <row r="111" spans="1:10" ht="15.6">
      <c r="A111" s="24" t="str">
        <v>Salt Point</v>
      </c>
      <c r="B111" s="25" t="str">
        <v>NY</v>
      </c>
      <c r="C111" s="25" t="str">
        <f>Sites[[#This Row],[SOL'#]]</f>
        <v>SOL-10888</v>
      </c>
      <c r="D111" s="20">
        <f>SUM('1st Qtr'!D111,'2nd Qtr'!D111,'3rd Qtr'!D111,'4th Qtr'!D111)</f>
        <v>124160</v>
      </c>
      <c r="E111" s="10">
        <f>SUM('1st Qtr'!E111, '2nd Qtr'!E111, '3rd Qtr'!E111, '4th Qtr'!E111)</f>
        <v>124160</v>
      </c>
      <c r="F111" s="10">
        <f t="shared" si="6"/>
        <v>0</v>
      </c>
      <c r="G111" s="11">
        <f t="shared" si="7"/>
        <v>0</v>
      </c>
      <c r="H111" s="12">
        <f>SUM('1st Qtr'!H111,'2nd Qtr'!H111,'3rd Qtr'!H111,'4th Qtr'!H111)</f>
        <v>135218.23000000001</v>
      </c>
      <c r="I111" s="12">
        <f>SUM('1st Qtr'!I111, '2nd Qtr'!I111, '3rd Qtr'!I111, '4th Qtr'!I111)</f>
        <v>-11058.23000000001</v>
      </c>
      <c r="J111" s="13">
        <f t="shared" si="8"/>
        <v>-8.17806149363145E-2</v>
      </c>
    </row>
    <row r="112" spans="1:10" ht="15.6">
      <c r="A112" s="26" t="str">
        <v>Wheatland 2A</v>
      </c>
      <c r="B112" s="27" t="str">
        <v>NY</v>
      </c>
      <c r="C112" s="27" t="str">
        <f>Sites[[#This Row],[SOL'#]]</f>
        <v>SOL-10971</v>
      </c>
      <c r="D112" s="9">
        <f>SUM('1st Qtr'!D112,'2nd Qtr'!D112,'3rd Qtr'!D112,'4th Qtr'!D112)</f>
        <v>160740</v>
      </c>
      <c r="E112" s="14">
        <f>SUM('1st Qtr'!E112, '2nd Qtr'!E112, '3rd Qtr'!E112, '4th Qtr'!E112)</f>
        <v>159600</v>
      </c>
      <c r="F112" s="14">
        <f t="shared" si="6"/>
        <v>1140</v>
      </c>
      <c r="G112" s="15">
        <f t="shared" si="7"/>
        <v>7.1428571428571426E-3</v>
      </c>
      <c r="H112" s="16">
        <f>SUM('1st Qtr'!H112,'2nd Qtr'!H112,'3rd Qtr'!H112,'4th Qtr'!H112)</f>
        <v>282852.59999999998</v>
      </c>
      <c r="I112" s="16">
        <f>SUM('1st Qtr'!I112, '2nd Qtr'!I112, '3rd Qtr'!I112, '4th Qtr'!I112)</f>
        <v>-122112.59999999998</v>
      </c>
      <c r="J112" s="15">
        <f t="shared" si="8"/>
        <v>-0.43171814577628059</v>
      </c>
    </row>
    <row r="113" spans="1:10" ht="15.6">
      <c r="A113" s="24" t="str">
        <v>Wheatland 2B</v>
      </c>
      <c r="B113" s="25" t="str">
        <v>NY</v>
      </c>
      <c r="C113" s="25" t="str">
        <f>Sites[[#This Row],[SOL'#]]</f>
        <v>SOL-10961</v>
      </c>
      <c r="D113" s="20">
        <f>SUM('1st Qtr'!D113,'2nd Qtr'!D113,'3rd Qtr'!D113,'4th Qtr'!D113)</f>
        <v>164520</v>
      </c>
      <c r="E113" s="10">
        <f>SUM('1st Qtr'!E113, '2nd Qtr'!E113, '3rd Qtr'!E113, '4th Qtr'!E113)</f>
        <v>0</v>
      </c>
      <c r="F113" s="10">
        <f t="shared" si="6"/>
        <v>164520</v>
      </c>
      <c r="G113" s="11" t="str">
        <f t="shared" si="7"/>
        <v/>
      </c>
      <c r="H113" s="12">
        <f>SUM('1st Qtr'!H113,'2nd Qtr'!H113,'3rd Qtr'!H113,'4th Qtr'!H113)</f>
        <v>279044.7</v>
      </c>
      <c r="I113" s="12">
        <f>SUM('1st Qtr'!I113, '2nd Qtr'!I113, '3rd Qtr'!I113, '4th Qtr'!I113)</f>
        <v>-114524.70000000001</v>
      </c>
      <c r="J113" s="13">
        <f t="shared" si="8"/>
        <v>-0.41041704071068186</v>
      </c>
    </row>
    <row r="114" spans="1:10" ht="15.6">
      <c r="A114" s="26" t="str">
        <v>Brickchurch</v>
      </c>
      <c r="B114" s="27" t="str">
        <v>NY</v>
      </c>
      <c r="C114" s="27" t="str">
        <f>Sites[[#This Row],[SOL'#]]</f>
        <v>SOL-10889</v>
      </c>
      <c r="D114" s="9">
        <f>SUM('1st Qtr'!D114,'2nd Qtr'!D114,'3rd Qtr'!D114,'4th Qtr'!D114)</f>
        <v>51400</v>
      </c>
      <c r="E114" s="14">
        <f>SUM('1st Qtr'!E114, '2nd Qtr'!E114, '3rd Qtr'!E114, '4th Qtr'!E114)</f>
        <v>52570</v>
      </c>
      <c r="F114" s="14">
        <f t="shared" si="6"/>
        <v>-1170</v>
      </c>
      <c r="G114" s="15">
        <f t="shared" si="7"/>
        <v>-2.2256039566292563E-2</v>
      </c>
      <c r="H114" s="16">
        <f>SUM('1st Qtr'!H114,'2nd Qtr'!H114,'3rd Qtr'!H114,'4th Qtr'!H114)</f>
        <v>77601.11</v>
      </c>
      <c r="I114" s="16">
        <f>SUM('1st Qtr'!I114, '2nd Qtr'!I114, '3rd Qtr'!I114, '4th Qtr'!I114)</f>
        <v>-26201.11</v>
      </c>
      <c r="J114" s="15">
        <f t="shared" si="8"/>
        <v>-0.33763834048250085</v>
      </c>
    </row>
    <row r="115" spans="1:10" ht="15.6">
      <c r="A115" s="24" t="str">
        <v>McCarthy Solar</v>
      </c>
      <c r="B115" s="25" t="str">
        <v>NY</v>
      </c>
      <c r="C115" s="25" t="str">
        <f>Sites[[#This Row],[SOL'#]]</f>
        <v>SOL-10992</v>
      </c>
      <c r="D115" s="20">
        <f>SUM('1st Qtr'!D115,'2nd Qtr'!D115,'3rd Qtr'!D115,'4th Qtr'!D115)</f>
        <v>132470</v>
      </c>
      <c r="E115" s="10">
        <f>SUM('1st Qtr'!E115, '2nd Qtr'!E115, '3rd Qtr'!E115, '4th Qtr'!E115)</f>
        <v>0</v>
      </c>
      <c r="F115" s="10">
        <f t="shared" si="6"/>
        <v>132470</v>
      </c>
      <c r="G115" s="11" t="str">
        <f t="shared" si="7"/>
        <v/>
      </c>
      <c r="H115" s="12">
        <f>SUM('1st Qtr'!H115,'2nd Qtr'!H115,'3rd Qtr'!H115,'4th Qtr'!H115)</f>
        <v>199506.06</v>
      </c>
      <c r="I115" s="12">
        <f>SUM('1st Qtr'!I115, '2nd Qtr'!I115, '3rd Qtr'!I115, '4th Qtr'!I115)</f>
        <v>-67036.06</v>
      </c>
      <c r="J115" s="13">
        <f t="shared" si="8"/>
        <v>-0.33601014425326226</v>
      </c>
    </row>
    <row r="116" spans="1:10" ht="15.6">
      <c r="A116" s="26" t="str">
        <v>Costanza</v>
      </c>
      <c r="B116" s="27" t="str">
        <v>NY</v>
      </c>
      <c r="C116" s="27" t="str">
        <f>Sites[[#This Row],[SOL'#]]</f>
        <v>SOL-10907</v>
      </c>
      <c r="D116" s="9">
        <f>SUM('1st Qtr'!D116,'2nd Qtr'!D116,'3rd Qtr'!D116,'4th Qtr'!D116)</f>
        <v>80480</v>
      </c>
      <c r="E116" s="14">
        <f>SUM('1st Qtr'!E116, '2nd Qtr'!E116, '3rd Qtr'!E116, '4th Qtr'!E116)</f>
        <v>80582.429999999993</v>
      </c>
      <c r="F116" s="14">
        <f t="shared" si="6"/>
        <v>-102.42999999999302</v>
      </c>
      <c r="G116" s="15">
        <f t="shared" si="7"/>
        <v>-1.2711207641664941E-3</v>
      </c>
      <c r="H116" s="16">
        <f>SUM('1st Qtr'!H116,'2nd Qtr'!H116,'3rd Qtr'!H116,'4th Qtr'!H116)</f>
        <v>161660.63</v>
      </c>
      <c r="I116" s="16">
        <f>SUM('1st Qtr'!I116, '2nd Qtr'!I116, '3rd Qtr'!I116, '4th Qtr'!I116)</f>
        <v>-81180.63</v>
      </c>
      <c r="J116" s="15">
        <f t="shared" si="8"/>
        <v>-0.50216697782261521</v>
      </c>
    </row>
    <row r="117" spans="1:10" ht="15.6">
      <c r="A117" s="24" t="str">
        <v>Lockenhurst Pond</v>
      </c>
      <c r="B117" s="25" t="str">
        <v>NY</v>
      </c>
      <c r="C117" s="25" t="str">
        <f>Sites[[#This Row],[SOL'#]]</f>
        <v>SOL-11000</v>
      </c>
      <c r="D117" s="20">
        <f>SUM('1st Qtr'!D117,'2nd Qtr'!D117,'3rd Qtr'!D117,'4th Qtr'!D117)</f>
        <v>175704</v>
      </c>
      <c r="E117" s="10">
        <f>SUM('1st Qtr'!E117, '2nd Qtr'!E117, '3rd Qtr'!E117, '4th Qtr'!E117)</f>
        <v>203514.2</v>
      </c>
      <c r="F117" s="10">
        <f t="shared" si="6"/>
        <v>-27810.200000000012</v>
      </c>
      <c r="G117" s="11">
        <f t="shared" si="7"/>
        <v>-0.13664992418219471</v>
      </c>
      <c r="H117" s="12">
        <f>SUM('1st Qtr'!H117,'2nd Qtr'!H117,'3rd Qtr'!H117,'4th Qtr'!H117)</f>
        <v>160367</v>
      </c>
      <c r="I117" s="12">
        <f>SUM('1st Qtr'!I117, '2nd Qtr'!I117, '3rd Qtr'!I117, '4th Qtr'!I117)</f>
        <v>15337</v>
      </c>
      <c r="J117" s="13">
        <f t="shared" si="8"/>
        <v>9.5636882899848466E-2</v>
      </c>
    </row>
    <row r="118" spans="1:10" ht="15.6">
      <c r="A118" s="26" t="str">
        <v>Drinkwater</v>
      </c>
      <c r="B118" s="27" t="str">
        <v>NY</v>
      </c>
      <c r="C118" s="27" t="str">
        <f>Sites[[#This Row],[SOL'#]]</f>
        <v>SOL-10896</v>
      </c>
      <c r="D118" s="9">
        <f>SUM('1st Qtr'!D118,'2nd Qtr'!D118,'3rd Qtr'!D118,'4th Qtr'!D118)</f>
        <v>92100</v>
      </c>
      <c r="E118" s="14">
        <f>SUM('1st Qtr'!E118, '2nd Qtr'!E118, '3rd Qtr'!E118, '4th Qtr'!E118)</f>
        <v>0</v>
      </c>
      <c r="F118" s="14">
        <f t="shared" si="6"/>
        <v>92100</v>
      </c>
      <c r="G118" s="15" t="str">
        <f t="shared" si="7"/>
        <v/>
      </c>
      <c r="H118" s="16">
        <f>SUM('1st Qtr'!H118,'2nd Qtr'!H118,'3rd Qtr'!H118,'4th Qtr'!H118)</f>
        <v>167148.09</v>
      </c>
      <c r="I118" s="16">
        <f>SUM('1st Qtr'!I118, '2nd Qtr'!I118, '3rd Qtr'!I118, '4th Qtr'!I118)</f>
        <v>-75048.09</v>
      </c>
      <c r="J118" s="15">
        <f t="shared" si="8"/>
        <v>-0.44899160977549907</v>
      </c>
    </row>
    <row r="119" spans="1:10" ht="15.6">
      <c r="A119" s="24" t="str">
        <v>Altamont</v>
      </c>
      <c r="B119" s="25" t="str">
        <v>NY</v>
      </c>
      <c r="C119" s="25" t="str">
        <f>Sites[[#This Row],[SOL'#]]</f>
        <v>SOL-11085</v>
      </c>
      <c r="D119" s="20">
        <f>SUM('1st Qtr'!D119,'2nd Qtr'!D119,'3rd Qtr'!D119,'4th Qtr'!D119)</f>
        <v>214086</v>
      </c>
      <c r="E119" s="10">
        <f>SUM('1st Qtr'!E119, '2nd Qtr'!E119, '3rd Qtr'!E119, '4th Qtr'!E119)</f>
        <v>414723.4</v>
      </c>
      <c r="F119" s="10">
        <f t="shared" si="6"/>
        <v>-200637.40000000002</v>
      </c>
      <c r="G119" s="11">
        <f t="shared" si="7"/>
        <v>-0.48378606078171621</v>
      </c>
      <c r="H119" s="12">
        <f>SUM('1st Qtr'!H119,'2nd Qtr'!H119,'3rd Qtr'!H119,'4th Qtr'!H119)</f>
        <v>346402.7</v>
      </c>
      <c r="I119" s="12">
        <f>SUM('1st Qtr'!I119, '2nd Qtr'!I119, '3rd Qtr'!I119, '4th Qtr'!I119)</f>
        <v>-132316.70000000001</v>
      </c>
      <c r="J119" s="13">
        <f t="shared" si="8"/>
        <v>-0.38197363935096351</v>
      </c>
    </row>
    <row r="120" spans="1:10" ht="15.6">
      <c r="A120" s="26" t="str">
        <v>Krumkill North</v>
      </c>
      <c r="B120" s="27" t="str">
        <v>NY</v>
      </c>
      <c r="C120" s="27" t="str">
        <f>Sites[[#This Row],[SOL'#]]</f>
        <v>SOL-11086</v>
      </c>
      <c r="D120" s="9">
        <f>SUM('1st Qtr'!D120,'2nd Qtr'!D120,'3rd Qtr'!D120,'4th Qtr'!D120)</f>
        <v>178706</v>
      </c>
      <c r="E120" s="14">
        <f>SUM('1st Qtr'!E120, '2nd Qtr'!E120, '3rd Qtr'!E120, '4th Qtr'!E120)</f>
        <v>333810.59999999998</v>
      </c>
      <c r="F120" s="14">
        <f t="shared" si="6"/>
        <v>-155104.59999999998</v>
      </c>
      <c r="G120" s="15">
        <f t="shared" si="7"/>
        <v>-0.46464851625442688</v>
      </c>
      <c r="H120" s="16">
        <f>SUM('1st Qtr'!H120,'2nd Qtr'!H120,'3rd Qtr'!H120,'4th Qtr'!H120)</f>
        <v>463900.5</v>
      </c>
      <c r="I120" s="16">
        <f>SUM('1st Qtr'!I120, '2nd Qtr'!I120, '3rd Qtr'!I120, '4th Qtr'!I120)</f>
        <v>-285194.5</v>
      </c>
      <c r="J120" s="15">
        <f t="shared" si="8"/>
        <v>-0.61477515113693559</v>
      </c>
    </row>
    <row r="121" spans="1:10" ht="15.6">
      <c r="A121" s="24" t="str">
        <v>Krumkill South</v>
      </c>
      <c r="B121" s="25" t="str">
        <v>NY</v>
      </c>
      <c r="C121" s="25" t="str">
        <f>Sites[[#This Row],[SOL'#]]</f>
        <v>SOL-11087</v>
      </c>
      <c r="D121" s="20">
        <f>SUM('1st Qtr'!D121,'2nd Qtr'!D121,'3rd Qtr'!D121,'4th Qtr'!D121)</f>
        <v>174363</v>
      </c>
      <c r="E121" s="10">
        <f>SUM('1st Qtr'!E121, '2nd Qtr'!E121, '3rd Qtr'!E121, '4th Qtr'!E121)</f>
        <v>315721.3</v>
      </c>
      <c r="F121" s="10">
        <f t="shared" si="6"/>
        <v>-141358.29999999999</v>
      </c>
      <c r="G121" s="11">
        <f t="shared" si="7"/>
        <v>-0.4477312743866188</v>
      </c>
      <c r="H121" s="12">
        <f>SUM('1st Qtr'!H121,'2nd Qtr'!H121,'3rd Qtr'!H121,'4th Qtr'!H121)</f>
        <v>363684</v>
      </c>
      <c r="I121" s="12">
        <f>SUM('1st Qtr'!I121, '2nd Qtr'!I121, '3rd Qtr'!I121, '4th Qtr'!I121)</f>
        <v>-189321</v>
      </c>
      <c r="J121" s="13">
        <f t="shared" si="8"/>
        <v>-0.52056455604315832</v>
      </c>
    </row>
    <row r="122" spans="1:10" ht="15.6">
      <c r="A122" s="26" t="str">
        <v>X092</v>
      </c>
      <c r="B122" s="27" t="str">
        <v>NY</v>
      </c>
      <c r="C122" s="27" t="str">
        <f>Sites[[#This Row],[SOL'#]]</f>
        <v>SOL-11189</v>
      </c>
      <c r="D122" s="9">
        <f>SUM('1st Qtr'!D122,'2nd Qtr'!D122,'3rd Qtr'!D122,'4th Qtr'!D122)</f>
        <v>4003.3</v>
      </c>
      <c r="E122" s="14">
        <f>SUM('1st Qtr'!E122, '2nd Qtr'!E122, '3rd Qtr'!E122, '4th Qtr'!E122)</f>
        <v>6290.3819999999996</v>
      </c>
      <c r="F122" s="14">
        <f t="shared" si="6"/>
        <v>-2287.0819999999994</v>
      </c>
      <c r="G122" s="15">
        <f t="shared" si="7"/>
        <v>-0.36358396040176888</v>
      </c>
      <c r="H122" s="16">
        <f>SUM('1st Qtr'!H122,'2nd Qtr'!H122,'3rd Qtr'!H122,'4th Qtr'!H122)</f>
        <v>8237</v>
      </c>
      <c r="I122" s="16">
        <f>SUM('1st Qtr'!I122, '2nd Qtr'!I122, '3rd Qtr'!I122, '4th Qtr'!I122)</f>
        <v>-4233.7</v>
      </c>
      <c r="J122" s="15">
        <f t="shared" si="8"/>
        <v>-0.51398567439601794</v>
      </c>
    </row>
    <row r="123" spans="1:10" ht="15.6">
      <c r="A123" s="24" t="str">
        <v>X093</v>
      </c>
      <c r="B123" s="25" t="str">
        <v>NY</v>
      </c>
      <c r="C123" s="25" t="str">
        <f>Sites[[#This Row],[SOL'#]]</f>
        <v>SOL-10932</v>
      </c>
      <c r="D123" s="20">
        <f>SUM('1st Qtr'!D123,'2nd Qtr'!D123,'3rd Qtr'!D123,'4th Qtr'!D123)</f>
        <v>2882.4081740000001</v>
      </c>
      <c r="E123" s="10">
        <f>SUM('1st Qtr'!E123, '2nd Qtr'!E123, '3rd Qtr'!E123, '4th Qtr'!E123)</f>
        <v>4009.5050000000001</v>
      </c>
      <c r="F123" s="10">
        <f t="shared" si="6"/>
        <v>-1127.096826</v>
      </c>
      <c r="G123" s="11">
        <f t="shared" si="7"/>
        <v>-0.28110622782612815</v>
      </c>
      <c r="H123" s="12">
        <f>SUM('1st Qtr'!H123,'2nd Qtr'!H123,'3rd Qtr'!H123,'4th Qtr'!H123)</f>
        <v>4845</v>
      </c>
      <c r="I123" s="12">
        <f>SUM('1st Qtr'!I123, '2nd Qtr'!I123, '3rd Qtr'!I123, '4th Qtr'!I123)</f>
        <v>-1962.5918259999999</v>
      </c>
      <c r="J123" s="13">
        <f t="shared" si="8"/>
        <v>-0.40507571228070172</v>
      </c>
    </row>
    <row r="124" spans="1:10" ht="15.6">
      <c r="A124" s="26" t="str">
        <v>X095</v>
      </c>
      <c r="B124" s="27" t="str">
        <v>NY</v>
      </c>
      <c r="C124" s="27" t="str">
        <f>Sites[[#This Row],[SOL'#]]</f>
        <v>SOL-10929</v>
      </c>
      <c r="D124" s="9">
        <f>SUM('1st Qtr'!D124,'2nd Qtr'!D124,'3rd Qtr'!D124,'4th Qtr'!D124)</f>
        <v>3943.578125</v>
      </c>
      <c r="E124" s="14">
        <f>SUM('1st Qtr'!E124, '2nd Qtr'!E124, '3rd Qtr'!E124, '4th Qtr'!E124)</f>
        <v>7896.8329999999996</v>
      </c>
      <c r="F124" s="14">
        <f t="shared" si="6"/>
        <v>-3953.2548749999996</v>
      </c>
      <c r="G124" s="15">
        <f t="shared" si="7"/>
        <v>-0.50061269815380416</v>
      </c>
      <c r="H124" s="16">
        <f>SUM('1st Qtr'!H124,'2nd Qtr'!H124,'3rd Qtr'!H124,'4th Qtr'!H124)</f>
        <v>6901</v>
      </c>
      <c r="I124" s="16">
        <f>SUM('1st Qtr'!I124, '2nd Qtr'!I124, '3rd Qtr'!I124, '4th Qtr'!I124)</f>
        <v>-2957.421875</v>
      </c>
      <c r="J124" s="15">
        <f t="shared" si="8"/>
        <v>-0.42854975728155342</v>
      </c>
    </row>
    <row r="125" spans="1:10" ht="15.6">
      <c r="A125" s="24" t="str">
        <v>X181</v>
      </c>
      <c r="B125" s="25" t="str">
        <v>NY</v>
      </c>
      <c r="C125" s="25" t="str">
        <f>Sites[[#This Row],[SOL'#]]</f>
        <v>SOL-10428</v>
      </c>
      <c r="D125" s="20">
        <f>SUM('1st Qtr'!D125,'2nd Qtr'!D125,'3rd Qtr'!D125,'4th Qtr'!D125)</f>
        <v>7292.90625</v>
      </c>
      <c r="E125" s="10">
        <f>SUM('1st Qtr'!E125, '2nd Qtr'!E125, '3rd Qtr'!E125, '4th Qtr'!E125)</f>
        <v>14591.35</v>
      </c>
      <c r="F125" s="10">
        <f t="shared" si="6"/>
        <v>-7298.4437500000004</v>
      </c>
      <c r="G125" s="11">
        <f t="shared" si="7"/>
        <v>-0.50018975283301415</v>
      </c>
      <c r="H125" s="12">
        <f>SUM('1st Qtr'!H125,'2nd Qtr'!H125,'3rd Qtr'!H125,'4th Qtr'!H125)</f>
        <v>11497</v>
      </c>
      <c r="I125" s="12">
        <f>SUM('1st Qtr'!I125, '2nd Qtr'!I125, '3rd Qtr'!I125, '4th Qtr'!I125)</f>
        <v>-4204.09375</v>
      </c>
      <c r="J125" s="13">
        <f t="shared" si="8"/>
        <v>-0.36566876141602156</v>
      </c>
    </row>
    <row r="126" spans="1:10" ht="15.6">
      <c r="A126" s="26" t="str">
        <v>X415</v>
      </c>
      <c r="B126" s="27" t="str">
        <v>NY</v>
      </c>
      <c r="C126" s="27" t="str">
        <f>Sites[[#This Row],[SOL'#]]</f>
        <v>SOL-10429</v>
      </c>
      <c r="D126" s="9">
        <f>SUM('1st Qtr'!D126,'2nd Qtr'!D126,'3rd Qtr'!D126,'4th Qtr'!D126)</f>
        <v>4703.953125</v>
      </c>
      <c r="E126" s="14">
        <f>SUM('1st Qtr'!E126, '2nd Qtr'!E126, '3rd Qtr'!E126, '4th Qtr'!E126)</f>
        <v>7354.1880000000001</v>
      </c>
      <c r="F126" s="14">
        <f t="shared" si="6"/>
        <v>-2650.2348750000001</v>
      </c>
      <c r="G126" s="15">
        <f t="shared" si="7"/>
        <v>-0.36037083563814254</v>
      </c>
      <c r="H126" s="16">
        <f>SUM('1st Qtr'!H126,'2nd Qtr'!H126,'3rd Qtr'!H126,'4th Qtr'!H126)</f>
        <v>6299</v>
      </c>
      <c r="I126" s="16">
        <f>SUM('1st Qtr'!I126, '2nd Qtr'!I126, '3rd Qtr'!I126, '4th Qtr'!I126)</f>
        <v>-1595.046875</v>
      </c>
      <c r="J126" s="15">
        <f t="shared" si="8"/>
        <v>-0.25322223765677093</v>
      </c>
    </row>
    <row r="127" spans="1:10" ht="15.6">
      <c r="A127" s="24" t="str">
        <v>K198</v>
      </c>
      <c r="B127" s="25" t="str">
        <v>NY</v>
      </c>
      <c r="C127" s="25" t="str">
        <f>Sites[[#This Row],[SOL'#]]</f>
        <v>SOL-10930</v>
      </c>
      <c r="D127" s="20">
        <f>SUM('1st Qtr'!D127,'2nd Qtr'!D127,'3rd Qtr'!D127,'4th Qtr'!D127)</f>
        <v>3744.796875</v>
      </c>
      <c r="E127" s="10">
        <f>SUM('1st Qtr'!E127, '2nd Qtr'!E127, '3rd Qtr'!E127, '4th Qtr'!E127)</f>
        <v>5314.616</v>
      </c>
      <c r="F127" s="10">
        <f t="shared" si="6"/>
        <v>-1569.819125</v>
      </c>
      <c r="G127" s="11">
        <f t="shared" si="7"/>
        <v>-0.29537771402487029</v>
      </c>
      <c r="H127" s="12">
        <f>SUM('1st Qtr'!H127,'2nd Qtr'!H127,'3rd Qtr'!H127,'4th Qtr'!H127)</f>
        <v>5807</v>
      </c>
      <c r="I127" s="12">
        <f>SUM('1st Qtr'!I127, '2nd Qtr'!I127, '3rd Qtr'!I127, '4th Qtr'!I127)</f>
        <v>-2062.203125</v>
      </c>
      <c r="J127" s="13">
        <f t="shared" si="8"/>
        <v>-0.35512366540382295</v>
      </c>
    </row>
    <row r="128" spans="1:10" ht="15.6">
      <c r="A128" s="26" t="str">
        <v>K203</v>
      </c>
      <c r="B128" s="27" t="str">
        <v>NY</v>
      </c>
      <c r="C128" s="27" t="str">
        <f>Sites[[#This Row],[SOL'#]]</f>
        <v>SOL-11190</v>
      </c>
      <c r="D128" s="9">
        <f>SUM('1st Qtr'!D128,'2nd Qtr'!D128,'3rd Qtr'!D128,'4th Qtr'!D128)</f>
        <v>5244.2</v>
      </c>
      <c r="E128" s="14">
        <f>SUM('1st Qtr'!E128, '2nd Qtr'!E128, '3rd Qtr'!E128, '4th Qtr'!E128)</f>
        <v>7024.09</v>
      </c>
      <c r="F128" s="14">
        <f t="shared" si="6"/>
        <v>-1779.8900000000003</v>
      </c>
      <c r="G128" s="15">
        <f t="shared" si="7"/>
        <v>-0.25339794905816987</v>
      </c>
      <c r="H128" s="16">
        <f>SUM('1st Qtr'!H128,'2nd Qtr'!H128,'3rd Qtr'!H128,'4th Qtr'!H128)</f>
        <v>9142</v>
      </c>
      <c r="I128" s="16">
        <f>SUM('1st Qtr'!I128, '2nd Qtr'!I128, '3rd Qtr'!I128, '4th Qtr'!I128)</f>
        <v>-3897.8</v>
      </c>
      <c r="J128" s="15">
        <f t="shared" si="8"/>
        <v>-0.42636184642310221</v>
      </c>
    </row>
    <row r="129" spans="1:10" ht="15.6">
      <c r="A129" s="24" t="str">
        <v>K213</v>
      </c>
      <c r="B129" s="25" t="str">
        <v>NY</v>
      </c>
      <c r="C129" s="25" t="str">
        <f>Sites[[#This Row],[SOL'#]]</f>
        <v>SOL-11191</v>
      </c>
      <c r="D129" s="20">
        <f>SUM('1st Qtr'!D129,'2nd Qtr'!D129,'3rd Qtr'!D129,'4th Qtr'!D129)</f>
        <v>5406.9</v>
      </c>
      <c r="E129" s="10">
        <f>SUM('1st Qtr'!E129, '2nd Qtr'!E129, '3rd Qtr'!E129, '4th Qtr'!E129)</f>
        <v>7582.6570000000002</v>
      </c>
      <c r="F129" s="10">
        <f t="shared" si="6"/>
        <v>-2175.7570000000005</v>
      </c>
      <c r="G129" s="11">
        <f t="shared" si="7"/>
        <v>-0.28693860212851519</v>
      </c>
      <c r="H129" s="12">
        <f>SUM('1st Qtr'!H129,'2nd Qtr'!H129,'3rd Qtr'!H129,'4th Qtr'!H129)</f>
        <v>9570</v>
      </c>
      <c r="I129" s="12">
        <f>SUM('1st Qtr'!I129, '2nd Qtr'!I129, '3rd Qtr'!I129, '4th Qtr'!I129)</f>
        <v>-4163.1000000000004</v>
      </c>
      <c r="J129" s="13">
        <f t="shared" si="8"/>
        <v>-0.43501567398119129</v>
      </c>
    </row>
    <row r="130" spans="1:10" ht="15.6">
      <c r="A130" s="26" t="str">
        <v>K217</v>
      </c>
      <c r="B130" s="27" t="str">
        <v>NY</v>
      </c>
      <c r="C130" s="27" t="str">
        <f>Sites[[#This Row],[SOL'#]]</f>
        <v>SOL-10933</v>
      </c>
      <c r="D130" s="9">
        <f>SUM('1st Qtr'!D130,'2nd Qtr'!D130,'3rd Qtr'!D130,'4th Qtr'!D130)</f>
        <v>2473.8203130000002</v>
      </c>
      <c r="E130" s="14">
        <f>SUM('1st Qtr'!E130, '2nd Qtr'!E130, '3rd Qtr'!E130, '4th Qtr'!E130)</f>
        <v>4075.625</v>
      </c>
      <c r="F130" s="14">
        <f t="shared" si="6"/>
        <v>-1601.8046869999998</v>
      </c>
      <c r="G130" s="15">
        <f t="shared" si="7"/>
        <v>-0.39302062554822875</v>
      </c>
      <c r="H130" s="16">
        <f>SUM('1st Qtr'!H130,'2nd Qtr'!H130,'3rd Qtr'!H130,'4th Qtr'!H130)</f>
        <v>3879</v>
      </c>
      <c r="I130" s="16">
        <f>SUM('1st Qtr'!I130, '2nd Qtr'!I130, '3rd Qtr'!I130, '4th Qtr'!I130)</f>
        <v>-1405.1796869999998</v>
      </c>
      <c r="J130" s="15">
        <f t="shared" si="8"/>
        <v>-0.36225307733952045</v>
      </c>
    </row>
    <row r="131" spans="1:10" ht="15.6">
      <c r="A131" s="24" t="str">
        <v>K307</v>
      </c>
      <c r="B131" s="25" t="str">
        <v>NY</v>
      </c>
      <c r="C131" s="25" t="str">
        <f>Sites[[#This Row],[SOL'#]]</f>
        <v>SOL-10876</v>
      </c>
      <c r="D131" s="20">
        <f>SUM('1st Qtr'!D131,'2nd Qtr'!D131,'3rd Qtr'!D131,'4th Qtr'!D131)</f>
        <v>5876.796875</v>
      </c>
      <c r="E131" s="10">
        <f>SUM('1st Qtr'!E131, '2nd Qtr'!E131, '3rd Qtr'!E131, '4th Qtr'!E131)</f>
        <v>13060.53</v>
      </c>
      <c r="F131" s="10">
        <f t="shared" si="6"/>
        <v>-7183.7331250000007</v>
      </c>
      <c r="G131" s="11">
        <f t="shared" si="7"/>
        <v>-0.550033813712001</v>
      </c>
      <c r="H131" s="12">
        <f>SUM('1st Qtr'!H131,'2nd Qtr'!H131,'3rd Qtr'!H131,'4th Qtr'!H131)</f>
        <v>7468</v>
      </c>
      <c r="I131" s="12">
        <f>SUM('1st Qtr'!I131, '2nd Qtr'!I131, '3rd Qtr'!I131, '4th Qtr'!I131)</f>
        <v>-1591.203125</v>
      </c>
      <c r="J131" s="13">
        <f t="shared" si="8"/>
        <v>-0.21306951325656132</v>
      </c>
    </row>
    <row r="132" spans="1:10" ht="15.6">
      <c r="A132" s="26" t="str">
        <v>K610</v>
      </c>
      <c r="B132" s="27" t="str">
        <v>NY</v>
      </c>
      <c r="C132" s="27" t="str">
        <f>Sites[[#This Row],[SOL'#]]</f>
        <v>SOL-11158</v>
      </c>
      <c r="D132" s="9">
        <f>SUM('1st Qtr'!D132,'2nd Qtr'!D132,'3rd Qtr'!D132,'4th Qtr'!D132)</f>
        <v>7256.1</v>
      </c>
      <c r="E132" s="14">
        <f>SUM('1st Qtr'!E132, '2nd Qtr'!E132, '3rd Qtr'!E132, '4th Qtr'!E132)</f>
        <v>9685.5640000000003</v>
      </c>
      <c r="F132" s="14">
        <f t="shared" si="6"/>
        <v>-2429.4639999999999</v>
      </c>
      <c r="G132" s="15">
        <f t="shared" si="7"/>
        <v>-0.25083350850812608</v>
      </c>
      <c r="H132" s="16">
        <f>SUM('1st Qtr'!H132,'2nd Qtr'!H132,'3rd Qtr'!H132,'4th Qtr'!H132)</f>
        <v>12467</v>
      </c>
      <c r="I132" s="16">
        <f>SUM('1st Qtr'!I132, '2nd Qtr'!I132, '3rd Qtr'!I132, '4th Qtr'!I132)</f>
        <v>-5210.8999999999996</v>
      </c>
      <c r="J132" s="15">
        <f t="shared" si="8"/>
        <v>-0.41797545520173257</v>
      </c>
    </row>
    <row r="133" spans="1:10" ht="15.6">
      <c r="A133" s="24" t="str">
        <v>M025</v>
      </c>
      <c r="B133" s="25" t="str">
        <v>NY</v>
      </c>
      <c r="C133" s="25" t="str">
        <f>Sites[[#This Row],[SOL'#]]</f>
        <v>SOL-10392</v>
      </c>
      <c r="D133" s="20">
        <f>SUM('1st Qtr'!D133,'2nd Qtr'!D133,'3rd Qtr'!D133,'4th Qtr'!D133)</f>
        <v>4989.125</v>
      </c>
      <c r="E133" s="10">
        <f>SUM('1st Qtr'!E133, '2nd Qtr'!E133, '3rd Qtr'!E133, '4th Qtr'!E133)</f>
        <v>14236.48</v>
      </c>
      <c r="F133" s="10">
        <f t="shared" si="6"/>
        <v>-9247.3549999999996</v>
      </c>
      <c r="G133" s="11">
        <f t="shared" si="7"/>
        <v>-0.64955347108273953</v>
      </c>
      <c r="H133" s="12">
        <f>SUM('1st Qtr'!H133,'2nd Qtr'!H133,'3rd Qtr'!H133,'4th Qtr'!H133)</f>
        <v>9891</v>
      </c>
      <c r="I133" s="12">
        <f>SUM('1st Qtr'!I133, '2nd Qtr'!I133, '3rd Qtr'!I133, '4th Qtr'!I133)</f>
        <v>-4901.875</v>
      </c>
      <c r="J133" s="13">
        <f t="shared" si="8"/>
        <v>-0.49558942472955214</v>
      </c>
    </row>
    <row r="134" spans="1:10" ht="15.6">
      <c r="A134" s="26" t="str">
        <v>M028</v>
      </c>
      <c r="B134" s="27" t="str">
        <v>NY</v>
      </c>
      <c r="C134" s="27" t="str">
        <f>Sites[[#This Row],[SOL'#]]</f>
        <v>SOL-10381</v>
      </c>
      <c r="D134" s="9">
        <f>SUM('1st Qtr'!D134,'2nd Qtr'!D134,'3rd Qtr'!D134,'4th Qtr'!D134)</f>
        <v>4642.046875</v>
      </c>
      <c r="E134" s="14">
        <f>SUM('1st Qtr'!E134, '2nd Qtr'!E134, '3rd Qtr'!E134, '4th Qtr'!E134)</f>
        <v>6572.8249999999998</v>
      </c>
      <c r="F134" s="14">
        <f t="shared" si="6"/>
        <v>-1930.7781249999998</v>
      </c>
      <c r="G134" s="15">
        <f t="shared" si="7"/>
        <v>-0.29375164027644124</v>
      </c>
      <c r="H134" s="16">
        <f>SUM('1st Qtr'!H134,'2nd Qtr'!H134,'3rd Qtr'!H134,'4th Qtr'!H134)</f>
        <v>6540</v>
      </c>
      <c r="I134" s="16">
        <f>SUM('1st Qtr'!I134, '2nd Qtr'!I134, '3rd Qtr'!I134, '4th Qtr'!I134)</f>
        <v>-1897.953125</v>
      </c>
      <c r="J134" s="15">
        <f t="shared" si="8"/>
        <v>-0.2902068998470948</v>
      </c>
    </row>
    <row r="135" spans="1:10" ht="15.6">
      <c r="A135" s="24" t="str">
        <v>Q030</v>
      </c>
      <c r="B135" s="25" t="str">
        <v>NY</v>
      </c>
      <c r="C135" s="25" t="str">
        <f>Sites[[#This Row],[SOL'#]]</f>
        <v>SOL-10878</v>
      </c>
      <c r="D135" s="20">
        <f>SUM('1st Qtr'!D135,'2nd Qtr'!D135,'3rd Qtr'!D135,'4th Qtr'!D135)</f>
        <v>1390.234375</v>
      </c>
      <c r="E135" s="10">
        <f>SUM('1st Qtr'!E135, '2nd Qtr'!E135, '3rd Qtr'!E135, '4th Qtr'!E135)</f>
        <v>3019.2640000000001</v>
      </c>
      <c r="F135" s="10">
        <f t="shared" si="6"/>
        <v>-1629.0296250000001</v>
      </c>
      <c r="G135" s="11">
        <f t="shared" si="7"/>
        <v>-0.53954527494117777</v>
      </c>
      <c r="H135" s="12">
        <f>SUM('1st Qtr'!H135,'2nd Qtr'!H135,'3rd Qtr'!H135,'4th Qtr'!H135)</f>
        <v>8785</v>
      </c>
      <c r="I135" s="12">
        <f>SUM('1st Qtr'!I135, '2nd Qtr'!I135, '3rd Qtr'!I135, '4th Qtr'!I135)</f>
        <v>-7394.765625</v>
      </c>
      <c r="J135" s="13">
        <f t="shared" si="8"/>
        <v>-0.84174907512805919</v>
      </c>
    </row>
    <row r="136" spans="1:10" ht="15.6">
      <c r="A136" s="26" t="str">
        <v>Q130</v>
      </c>
      <c r="B136" s="27" t="str">
        <v>NY</v>
      </c>
      <c r="C136" s="27" t="str">
        <f>Sites[[#This Row],[SOL'#]]</f>
        <v>SOL-10877</v>
      </c>
      <c r="D136" s="9">
        <f>SUM('1st Qtr'!D136,'2nd Qtr'!D136,'3rd Qtr'!D136,'4th Qtr'!D136)</f>
        <v>2955.9609380000002</v>
      </c>
      <c r="E136" s="14">
        <f>SUM('1st Qtr'!E136, '2nd Qtr'!E136, '3rd Qtr'!E136, '4th Qtr'!E136)</f>
        <v>6868.7219999999998</v>
      </c>
      <c r="F136" s="14">
        <f t="shared" si="6"/>
        <v>-3912.7610619999996</v>
      </c>
      <c r="G136" s="15">
        <f t="shared" si="7"/>
        <v>-0.56964906455669628</v>
      </c>
      <c r="H136" s="16">
        <f>SUM('1st Qtr'!H136,'2nd Qtr'!H136,'3rd Qtr'!H136,'4th Qtr'!H136)</f>
        <v>4243.4309999999996</v>
      </c>
      <c r="I136" s="16">
        <f>SUM('1st Qtr'!I136, '2nd Qtr'!I136, '3rd Qtr'!I136, '4th Qtr'!I136)</f>
        <v>-1287.4700619999994</v>
      </c>
      <c r="J136" s="15">
        <f t="shared" si="8"/>
        <v>-0.30340308632330759</v>
      </c>
    </row>
    <row r="137" spans="1:10" ht="15.6">
      <c r="A137" s="24" t="str">
        <v>Q196</v>
      </c>
      <c r="B137" s="25" t="str">
        <v>NY</v>
      </c>
      <c r="C137" s="25" t="str">
        <f>Sites[[#This Row],[SOL'#]]</f>
        <v>SOL-10879</v>
      </c>
      <c r="D137" s="20">
        <f>SUM('1st Qtr'!D137,'2nd Qtr'!D137,'3rd Qtr'!D137,'4th Qtr'!D137)</f>
        <v>3733.796875</v>
      </c>
      <c r="E137" s="10">
        <f>SUM('1st Qtr'!E137, '2nd Qtr'!E137, '3rd Qtr'!E137, '4th Qtr'!E137)</f>
        <v>7942.1859999999997</v>
      </c>
      <c r="F137" s="10">
        <f t="shared" si="6"/>
        <v>-4208.3891249999997</v>
      </c>
      <c r="G137" s="11">
        <f t="shared" si="7"/>
        <v>-0.52987793599898059</v>
      </c>
      <c r="H137" s="12">
        <f>SUM('1st Qtr'!H137,'2nd Qtr'!H137,'3rd Qtr'!H137,'4th Qtr'!H137)</f>
        <v>5931</v>
      </c>
      <c r="I137" s="12">
        <f>SUM('1st Qtr'!I137, '2nd Qtr'!I137, '3rd Qtr'!I137, '4th Qtr'!I137)</f>
        <v>-2197.203125</v>
      </c>
      <c r="J137" s="13">
        <f t="shared" si="8"/>
        <v>-0.37046082026639687</v>
      </c>
    </row>
    <row r="138" spans="1:10" ht="15.6">
      <c r="A138" s="26" t="str">
        <v>Q220</v>
      </c>
      <c r="B138" s="27" t="str">
        <v>NY</v>
      </c>
      <c r="C138" s="27" t="str">
        <f>Sites[[#This Row],[SOL'#]]</f>
        <v>SOL-10873</v>
      </c>
      <c r="D138" s="9">
        <f>SUM('1st Qtr'!D138,'2nd Qtr'!D138,'3rd Qtr'!D138,'4th Qtr'!D138)</f>
        <v>4377.875</v>
      </c>
      <c r="E138" s="14">
        <f>SUM('1st Qtr'!E138, '2nd Qtr'!E138, '3rd Qtr'!E138, '4th Qtr'!E138)</f>
        <v>10716.8</v>
      </c>
      <c r="F138" s="14">
        <f t="shared" si="6"/>
        <v>-6338.9249999999993</v>
      </c>
      <c r="G138" s="15">
        <f t="shared" si="7"/>
        <v>-0.59149419602866526</v>
      </c>
      <c r="H138" s="16">
        <f>SUM('1st Qtr'!H138,'2nd Qtr'!H138,'3rd Qtr'!H138,'4th Qtr'!H138)</f>
        <v>5740</v>
      </c>
      <c r="I138" s="16">
        <f>SUM('1st Qtr'!I138, '2nd Qtr'!I138, '3rd Qtr'!I138, '4th Qtr'!I138)</f>
        <v>-1362.125</v>
      </c>
      <c r="J138" s="15">
        <f t="shared" si="8"/>
        <v>-0.23730400696864112</v>
      </c>
    </row>
    <row r="139" spans="1:10" ht="15.6">
      <c r="A139" s="24" t="str">
        <v>Q205</v>
      </c>
      <c r="B139" s="25" t="str">
        <v>NY</v>
      </c>
      <c r="C139" s="25" t="str">
        <f>Sites[[#This Row],[SOL'#]]</f>
        <v>SOL-10922</v>
      </c>
      <c r="D139" s="20">
        <f>SUM('1st Qtr'!D139,'2nd Qtr'!D139,'3rd Qtr'!D139,'4th Qtr'!D139)</f>
        <v>5970.640625</v>
      </c>
      <c r="E139" s="10">
        <f>SUM('1st Qtr'!E139, '2nd Qtr'!E139, '3rd Qtr'!E139, '4th Qtr'!E139)</f>
        <v>13482.7</v>
      </c>
      <c r="F139" s="10">
        <f t="shared" si="6"/>
        <v>-7512.0593750000007</v>
      </c>
      <c r="G139" s="11">
        <f t="shared" si="7"/>
        <v>-0.55716283644967257</v>
      </c>
      <c r="H139" s="12">
        <f>SUM('1st Qtr'!H139,'2nd Qtr'!H139,'3rd Qtr'!H139,'4th Qtr'!H139)</f>
        <v>8522</v>
      </c>
      <c r="I139" s="12">
        <f>SUM('1st Qtr'!I139, '2nd Qtr'!I139, '3rd Qtr'!I139, '4th Qtr'!I139)</f>
        <v>-2551.359375</v>
      </c>
      <c r="J139" s="13">
        <f t="shared" si="8"/>
        <v>-0.29938504752405537</v>
      </c>
    </row>
    <row r="140" spans="1:10" ht="15.6">
      <c r="A140" s="26" t="str">
        <v>Q400</v>
      </c>
      <c r="B140" s="27" t="str">
        <v>NY</v>
      </c>
      <c r="C140" s="27" t="str">
        <f>Sites[[#This Row],[SOL'#]]</f>
        <v>SOL-10871</v>
      </c>
      <c r="D140" s="9">
        <f>SUM('1st Qtr'!D140,'2nd Qtr'!D140,'3rd Qtr'!D140,'4th Qtr'!D140)</f>
        <v>8726.2524709999998</v>
      </c>
      <c r="E140" s="14">
        <f>SUM('1st Qtr'!E140, '2nd Qtr'!E140, '3rd Qtr'!E140, '4th Qtr'!E140)</f>
        <v>0</v>
      </c>
      <c r="F140" s="14">
        <f t="shared" si="6"/>
        <v>8726.2524709999998</v>
      </c>
      <c r="G140" s="15" t="str">
        <f t="shared" si="7"/>
        <v/>
      </c>
      <c r="H140" s="16">
        <f>SUM('1st Qtr'!H140,'2nd Qtr'!H140,'3rd Qtr'!H140,'4th Qtr'!H140)</f>
        <v>12985</v>
      </c>
      <c r="I140" s="16">
        <f>SUM('1st Qtr'!I140, '2nd Qtr'!I140, '3rd Qtr'!I140, '4th Qtr'!I140)</f>
        <v>-4258.7475290000002</v>
      </c>
      <c r="J140" s="15">
        <f t="shared" si="8"/>
        <v>-0.32797439576434351</v>
      </c>
    </row>
    <row r="141" spans="1:10" ht="15.6">
      <c r="A141" s="24" t="str">
        <v>R003</v>
      </c>
      <c r="B141" s="25" t="str">
        <v>NY</v>
      </c>
      <c r="C141" s="25" t="str">
        <f>Sites[[#This Row],[SOL'#]]</f>
        <v>SOL-10416</v>
      </c>
      <c r="D141" s="20">
        <f>SUM('1st Qtr'!D141,'2nd Qtr'!D141,'3rd Qtr'!D141,'4th Qtr'!D141)</f>
        <v>8987.25</v>
      </c>
      <c r="E141" s="10">
        <f>SUM('1st Qtr'!E141, '2nd Qtr'!E141, '3rd Qtr'!E141, '4th Qtr'!E141)</f>
        <v>11551.87</v>
      </c>
      <c r="F141" s="10">
        <f t="shared" si="6"/>
        <v>-2564.6200000000008</v>
      </c>
      <c r="G141" s="11">
        <f t="shared" si="7"/>
        <v>-0.22200907731821778</v>
      </c>
      <c r="H141" s="12">
        <f>SUM('1st Qtr'!H141,'2nd Qtr'!H141,'3rd Qtr'!H141,'4th Qtr'!H141)</f>
        <v>13336</v>
      </c>
      <c r="I141" s="12">
        <f>SUM('1st Qtr'!I141, '2nd Qtr'!I141, '3rd Qtr'!I141, '4th Qtr'!I141)</f>
        <v>-4348.75</v>
      </c>
      <c r="J141" s="13">
        <f t="shared" si="8"/>
        <v>-0.32609103179364129</v>
      </c>
    </row>
    <row r="142" spans="1:10" ht="15.6">
      <c r="A142" s="26" t="str">
        <v>R007</v>
      </c>
      <c r="B142" s="27" t="str">
        <v>NY</v>
      </c>
      <c r="C142" s="27" t="str">
        <f>Sites[[#This Row],[SOL'#]]</f>
        <v>SOL-10417</v>
      </c>
      <c r="D142" s="9">
        <f>SUM('1st Qtr'!D142,'2nd Qtr'!D142,'3rd Qtr'!D142,'4th Qtr'!D142)</f>
        <v>9489.96875</v>
      </c>
      <c r="E142" s="14">
        <f>SUM('1st Qtr'!E142, '2nd Qtr'!E142, '3rd Qtr'!E142, '4th Qtr'!E142)</f>
        <v>13976.96</v>
      </c>
      <c r="F142" s="14">
        <f t="shared" si="6"/>
        <v>-4486.9912499999991</v>
      </c>
      <c r="G142" s="15">
        <f t="shared" si="7"/>
        <v>-0.32102769486354682</v>
      </c>
      <c r="H142" s="16">
        <f>SUM('1st Qtr'!H142,'2nd Qtr'!H142,'3rd Qtr'!H142,'4th Qtr'!H142)</f>
        <v>22783.34</v>
      </c>
      <c r="I142" s="16">
        <f>SUM('1st Qtr'!I142, '2nd Qtr'!I142, '3rd Qtr'!I142, '4th Qtr'!I142)</f>
        <v>-13293.37125</v>
      </c>
      <c r="J142" s="15">
        <f t="shared" si="8"/>
        <v>-0.58346894046263631</v>
      </c>
    </row>
    <row r="143" spans="1:10" ht="15.6">
      <c r="A143" s="24" t="str">
        <v>BK16</v>
      </c>
      <c r="B143" s="25" t="str">
        <v>NY</v>
      </c>
      <c r="C143" s="25" t="str">
        <f>Sites[[#This Row],[SOL'#]]</f>
        <v>SOL-11093</v>
      </c>
      <c r="D143" s="20">
        <f>SUM('1st Qtr'!D143,'2nd Qtr'!D143,'3rd Qtr'!D143,'4th Qtr'!D143)</f>
        <v>9596</v>
      </c>
      <c r="E143" s="10">
        <f>SUM('1st Qtr'!E143, '2nd Qtr'!E143, '3rd Qtr'!E143, '4th Qtr'!E143)</f>
        <v>12915.56</v>
      </c>
      <c r="F143" s="10">
        <f t="shared" si="6"/>
        <v>-3319.5599999999995</v>
      </c>
      <c r="G143" s="11">
        <f t="shared" si="7"/>
        <v>-0.25702021437707695</v>
      </c>
      <c r="H143" s="12">
        <f>SUM('1st Qtr'!H143,'2nd Qtr'!H143,'3rd Qtr'!H143,'4th Qtr'!H143)</f>
        <v>13947</v>
      </c>
      <c r="I143" s="12">
        <f>SUM('1st Qtr'!I143, '2nd Qtr'!I143, '3rd Qtr'!I143, '4th Qtr'!I143)</f>
        <v>-4351</v>
      </c>
      <c r="J143" s="13">
        <f t="shared" si="8"/>
        <v>-0.31196673119667312</v>
      </c>
    </row>
    <row r="144" spans="1:10" ht="15.6">
      <c r="A144" s="26" t="str">
        <v>Trenton - Trenton East</v>
      </c>
      <c r="B144" s="27" t="str">
        <v>IL</v>
      </c>
      <c r="C144" s="27" t="str">
        <f>Sites[[#This Row],[SOL'#]]</f>
        <v>SOL-11060</v>
      </c>
      <c r="D144" s="9">
        <f>SUM('1st Qtr'!D144,'2nd Qtr'!D144,'3rd Qtr'!D144,'4th Qtr'!D144)</f>
        <v>268098</v>
      </c>
      <c r="E144" s="14">
        <f>SUM('1st Qtr'!E144, '2nd Qtr'!E144, '3rd Qtr'!E144, '4th Qtr'!E144)</f>
        <v>277362.40000000002</v>
      </c>
      <c r="F144" s="14">
        <f t="shared" si="6"/>
        <v>-9264.4000000000233</v>
      </c>
      <c r="G144" s="15">
        <f t="shared" si="7"/>
        <v>-3.3401787697251044E-2</v>
      </c>
      <c r="H144" s="16">
        <f>SUM('1st Qtr'!H144,'2nd Qtr'!H144,'3rd Qtr'!H144,'4th Qtr'!H144)</f>
        <v>211713</v>
      </c>
      <c r="I144" s="16">
        <f>SUM('1st Qtr'!I144, '2nd Qtr'!I144, '3rd Qtr'!I144, '4th Qtr'!I144)</f>
        <v>56385</v>
      </c>
      <c r="J144" s="15">
        <f t="shared" si="8"/>
        <v>0.26632752830482775</v>
      </c>
    </row>
    <row r="145" spans="1:10" ht="15.6">
      <c r="A145" s="24" t="str">
        <v>Trenton - Trenton West</v>
      </c>
      <c r="B145" s="25" t="str">
        <v>IL</v>
      </c>
      <c r="C145" s="25" t="str">
        <f>Sites[[#This Row],[SOL'#]]</f>
        <v>SOL-11061</v>
      </c>
      <c r="D145" s="20">
        <f>SUM('1st Qtr'!D145,'2nd Qtr'!D145,'3rd Qtr'!D145,'4th Qtr'!D145)</f>
        <v>268153</v>
      </c>
      <c r="E145" s="10">
        <f>SUM('1st Qtr'!E145, '2nd Qtr'!E145, '3rd Qtr'!E145, '4th Qtr'!E145)</f>
        <v>240078.6</v>
      </c>
      <c r="F145" s="10">
        <f t="shared" si="6"/>
        <v>28074.399999999994</v>
      </c>
      <c r="G145" s="11">
        <f t="shared" si="7"/>
        <v>0.11693836935070429</v>
      </c>
      <c r="H145" s="12">
        <f>SUM('1st Qtr'!H145,'2nd Qtr'!H145,'3rd Qtr'!H145,'4th Qtr'!H145)</f>
        <v>215152</v>
      </c>
      <c r="I145" s="12">
        <f>SUM('1st Qtr'!I145, '2nd Qtr'!I145, '3rd Qtr'!I145, '4th Qtr'!I145)</f>
        <v>53001</v>
      </c>
      <c r="J145" s="13">
        <f t="shared" si="8"/>
        <v>0.24634212091916413</v>
      </c>
    </row>
    <row r="146" spans="1:10" ht="15.6">
      <c r="A146" s="26" t="str">
        <v>Dakota - Dakota Solar 1</v>
      </c>
      <c r="B146" s="27" t="str">
        <v>IL</v>
      </c>
      <c r="C146" s="27" t="str">
        <f>Sites[[#This Row],[SOL'#]]</f>
        <v>SOL-11113</v>
      </c>
      <c r="D146" s="9">
        <f>SUM('1st Qtr'!D146,'2nd Qtr'!D146,'3rd Qtr'!D146,'4th Qtr'!D146)</f>
        <v>214508</v>
      </c>
      <c r="E146" s="14">
        <f>SUM('1st Qtr'!E146, '2nd Qtr'!E146, '3rd Qtr'!E146, '4th Qtr'!E146)</f>
        <v>0</v>
      </c>
      <c r="F146" s="14">
        <f t="shared" si="6"/>
        <v>214508</v>
      </c>
      <c r="G146" s="15" t="str">
        <f t="shared" si="7"/>
        <v/>
      </c>
      <c r="H146" s="16">
        <f>SUM('1st Qtr'!H146,'2nd Qtr'!H146,'3rd Qtr'!H146,'4th Qtr'!H146)</f>
        <v>220248</v>
      </c>
      <c r="I146" s="16">
        <f>SUM('1st Qtr'!I146, '2nd Qtr'!I146, '3rd Qtr'!I146, '4th Qtr'!I146)</f>
        <v>-5740</v>
      </c>
      <c r="J146" s="15">
        <f t="shared" si="8"/>
        <v>-2.6061530638189678E-2</v>
      </c>
    </row>
    <row r="147" spans="1:10" ht="15.6">
      <c r="A147" s="24" t="str">
        <v>X018</v>
      </c>
      <c r="B147" s="25" t="str">
        <v>NY</v>
      </c>
      <c r="C147" s="25" t="str">
        <f>Sites[[#This Row],[SOL'#]]</f>
        <v>SOL-10418</v>
      </c>
      <c r="D147" s="20">
        <f>SUM('1st Qtr'!D147,'2nd Qtr'!D147,'3rd Qtr'!D147,'4th Qtr'!D147)</f>
        <v>4430.75</v>
      </c>
      <c r="E147" s="10">
        <f>SUM('1st Qtr'!E147, '2nd Qtr'!E147, '3rd Qtr'!E147, '4th Qtr'!E147)</f>
        <v>5815.83</v>
      </c>
      <c r="F147" s="10">
        <f t="shared" si="6"/>
        <v>-1385.08</v>
      </c>
      <c r="G147" s="11">
        <f t="shared" si="7"/>
        <v>-0.23815689248138269</v>
      </c>
      <c r="H147" s="12">
        <f>SUM('1st Qtr'!H147,'2nd Qtr'!H147,'3rd Qtr'!H147,'4th Qtr'!H147)</f>
        <v>7520</v>
      </c>
      <c r="I147" s="12">
        <f>SUM('1st Qtr'!I147, '2nd Qtr'!I147, '3rd Qtr'!I147, '4th Qtr'!I147)</f>
        <v>-3089.25</v>
      </c>
      <c r="J147" s="13">
        <f t="shared" si="8"/>
        <v>-0.41080452127659572</v>
      </c>
    </row>
    <row r="148" spans="1:10" ht="15.6">
      <c r="A148" s="26" t="str">
        <v>Janiak Solar</v>
      </c>
      <c r="B148" s="27" t="str">
        <v>NY</v>
      </c>
      <c r="C148" s="27" t="str">
        <f>Sites[[#This Row],[SOL'#]]</f>
        <v>SOL-10898</v>
      </c>
      <c r="D148" s="9">
        <f>SUM('1st Qtr'!D148,'2nd Qtr'!D148,'3rd Qtr'!D148,'4th Qtr'!D148)</f>
        <v>105163</v>
      </c>
      <c r="E148" s="14">
        <f>SUM('1st Qtr'!E148, '2nd Qtr'!E148, '3rd Qtr'!E148, '4th Qtr'!E148)</f>
        <v>129742.5</v>
      </c>
      <c r="F148" s="14">
        <f t="shared" si="6"/>
        <v>-24579.5</v>
      </c>
      <c r="G148" s="15">
        <f t="shared" si="7"/>
        <v>-0.18944833034664818</v>
      </c>
      <c r="H148" s="16">
        <f>SUM('1st Qtr'!H148,'2nd Qtr'!H148,'3rd Qtr'!H148,'4th Qtr'!H148)</f>
        <v>203943</v>
      </c>
      <c r="I148" s="16">
        <f>SUM('1st Qtr'!I148, '2nd Qtr'!I148, '3rd Qtr'!I148, '4th Qtr'!I148)</f>
        <v>-98780</v>
      </c>
      <c r="J148" s="15">
        <f t="shared" si="8"/>
        <v>-0.48435101964764665</v>
      </c>
    </row>
    <row r="149" spans="1:10" ht="15.6">
      <c r="A149" s="24" t="str">
        <v>County Route 11B</v>
      </c>
      <c r="B149" s="25" t="str">
        <v>NY</v>
      </c>
      <c r="C149" s="25" t="str">
        <f>Sites[[#This Row],[SOL'#]]</f>
        <v>SOL-10983</v>
      </c>
      <c r="D149" s="20">
        <f>SUM('1st Qtr'!D149,'2nd Qtr'!D149,'3rd Qtr'!D149,'4th Qtr'!D149)</f>
        <v>259418.8</v>
      </c>
      <c r="E149" s="10">
        <f>SUM('1st Qtr'!E149, '2nd Qtr'!E149, '3rd Qtr'!E149, '4th Qtr'!E149)</f>
        <v>254569.60000000001</v>
      </c>
      <c r="F149" s="10">
        <f t="shared" si="6"/>
        <v>4849.1999999999825</v>
      </c>
      <c r="G149" s="11">
        <f t="shared" si="7"/>
        <v>1.9048621673601177E-2</v>
      </c>
      <c r="H149" s="12">
        <f>SUM('1st Qtr'!H149,'2nd Qtr'!H149,'3rd Qtr'!H149,'4th Qtr'!H149)</f>
        <v>0</v>
      </c>
      <c r="I149" s="12">
        <f>SUM('1st Qtr'!I149, '2nd Qtr'!I149, '3rd Qtr'!I149, '4th Qtr'!I149)</f>
        <v>0</v>
      </c>
      <c r="J149" s="13" t="str">
        <f t="shared" si="8"/>
        <v/>
      </c>
    </row>
    <row r="150" spans="1:10" ht="15.6">
      <c r="A150" s="26" t="str">
        <v>Barone</v>
      </c>
      <c r="B150" s="27" t="str">
        <v>NY</v>
      </c>
      <c r="C150" s="27" t="str">
        <f>Sites[[#This Row],[SOL'#]]</f>
        <v>SOL-11034</v>
      </c>
      <c r="D150" s="9">
        <f>SUM('1st Qtr'!D150,'2nd Qtr'!D150,'3rd Qtr'!D150,'4th Qtr'!D150)</f>
        <v>162889</v>
      </c>
      <c r="E150" s="14">
        <f>SUM('1st Qtr'!E150, '2nd Qtr'!E150, '3rd Qtr'!E150, '4th Qtr'!E150)</f>
        <v>160342</v>
      </c>
      <c r="F150" s="14">
        <f t="shared" si="6"/>
        <v>2547</v>
      </c>
      <c r="G150" s="15">
        <f t="shared" si="7"/>
        <v>1.5884796248019858E-2</v>
      </c>
      <c r="H150" s="16">
        <f>SUM('1st Qtr'!H150,'2nd Qtr'!H150,'3rd Qtr'!H150,'4th Qtr'!H150)</f>
        <v>210690.02059307948</v>
      </c>
      <c r="I150" s="16">
        <f>SUM('1st Qtr'!I150, '2nd Qtr'!I150, '3rd Qtr'!I150, '4th Qtr'!I150)</f>
        <v>-47801.020593079476</v>
      </c>
      <c r="J150" s="15">
        <f t="shared" si="8"/>
        <v>-0.22687842764703586</v>
      </c>
    </row>
    <row r="151" spans="1:10" ht="15.6">
      <c r="A151" s="24" t="str">
        <v>Cedarville</v>
      </c>
      <c r="B151" s="25" t="str">
        <v>IL</v>
      </c>
      <c r="C151" s="25" t="str">
        <f>Sites[[#This Row],[SOL'#]]</f>
        <v>SOL-11069</v>
      </c>
      <c r="D151" s="20">
        <f>SUM('1st Qtr'!D151,'2nd Qtr'!D151,'3rd Qtr'!D151,'4th Qtr'!D151)</f>
        <v>156820</v>
      </c>
      <c r="E151" s="10">
        <f>SUM('1st Qtr'!E151, '2nd Qtr'!E151, '3rd Qtr'!E151, '4th Qtr'!E151)</f>
        <v>203303</v>
      </c>
      <c r="F151" s="10">
        <f t="shared" si="6"/>
        <v>-46483</v>
      </c>
      <c r="G151" s="11">
        <f t="shared" si="7"/>
        <v>-0.22863902647772044</v>
      </c>
      <c r="H151" s="12">
        <f>SUM('1st Qtr'!H151,'2nd Qtr'!H151,'3rd Qtr'!H151,'4th Qtr'!H151)</f>
        <v>185269.1</v>
      </c>
      <c r="I151" s="12">
        <f>SUM('1st Qtr'!I151, '2nd Qtr'!I151, '3rd Qtr'!I151, '4th Qtr'!I151)</f>
        <v>-28449.100000000006</v>
      </c>
      <c r="J151" s="13">
        <f t="shared" si="8"/>
        <v>-0.1535555578345229</v>
      </c>
    </row>
    <row r="152" spans="1:10" ht="15.6">
      <c r="A152" s="26" t="str">
        <v xml:space="preserve"> O'Brien Hill #1</v>
      </c>
      <c r="B152" s="27" t="str">
        <v>NY</v>
      </c>
      <c r="C152" s="27" t="str">
        <f>Sites[[#This Row],[SOL'#]]</f>
        <v>SOL-11098</v>
      </c>
      <c r="D152" s="9">
        <f>SUM('1st Qtr'!D152,'2nd Qtr'!D152,'3rd Qtr'!D152,'4th Qtr'!D152)</f>
        <v>0</v>
      </c>
      <c r="E152" s="14">
        <f>SUM('1st Qtr'!E152, '2nd Qtr'!E152, '3rd Qtr'!E152, '4th Qtr'!E152)</f>
        <v>0</v>
      </c>
      <c r="F152" s="14">
        <f t="shared" si="6"/>
        <v>0</v>
      </c>
      <c r="G152" s="15" t="str">
        <f t="shared" si="7"/>
        <v/>
      </c>
      <c r="H152" s="16">
        <f>SUM('1st Qtr'!H152,'2nd Qtr'!H152,'3rd Qtr'!H152,'4th Qtr'!H152)</f>
        <v>0</v>
      </c>
      <c r="I152" s="16">
        <f>SUM('1st Qtr'!I152, '2nd Qtr'!I152, '3rd Qtr'!I152, '4th Qtr'!I152)</f>
        <v>0</v>
      </c>
      <c r="J152" s="15" t="str">
        <f t="shared" si="8"/>
        <v/>
      </c>
    </row>
    <row r="153" spans="1:10" ht="15.6">
      <c r="A153" s="24" t="str">
        <v xml:space="preserve"> O'Brien Hill #2</v>
      </c>
      <c r="B153" s="25" t="str">
        <v>NY</v>
      </c>
      <c r="C153" s="25" t="str">
        <f>Sites[[#This Row],[SOL'#]]</f>
        <v>SOL-11099</v>
      </c>
      <c r="D153" s="20">
        <f>SUM('1st Qtr'!D153,'2nd Qtr'!D153,'3rd Qtr'!D153,'4th Qtr'!D153)</f>
        <v>230537</v>
      </c>
      <c r="E153" s="10">
        <f>SUM('1st Qtr'!E153, '2nd Qtr'!E153, '3rd Qtr'!E153, '4th Qtr'!E153)</f>
        <v>230436</v>
      </c>
      <c r="F153" s="10">
        <f t="shared" si="6"/>
        <v>101</v>
      </c>
      <c r="G153" s="11">
        <f t="shared" si="7"/>
        <v>4.3829957124754814E-4</v>
      </c>
      <c r="H153" s="12">
        <f>SUM('1st Qtr'!H153,'2nd Qtr'!H153,'3rd Qtr'!H153,'4th Qtr'!H153)</f>
        <v>0</v>
      </c>
      <c r="I153" s="12">
        <f>SUM('1st Qtr'!I153, '2nd Qtr'!I153, '3rd Qtr'!I153, '4th Qtr'!I153)</f>
        <v>0</v>
      </c>
      <c r="J153" s="13" t="str">
        <f t="shared" si="8"/>
        <v/>
      </c>
    </row>
    <row r="154" spans="1:10" ht="15.6">
      <c r="A154" s="26" t="str">
        <v>Trinity - Freeport</v>
      </c>
      <c r="B154" s="27" t="str">
        <v>IL</v>
      </c>
      <c r="C154" s="27" t="str">
        <f>Sites[[#This Row],[SOL'#]]</f>
        <v>SOL-11057</v>
      </c>
      <c r="D154" s="9">
        <f>SUM('1st Qtr'!D154,'2nd Qtr'!D154,'3rd Qtr'!D154,'4th Qtr'!D154)</f>
        <v>197770</v>
      </c>
      <c r="E154" s="14">
        <f>SUM('1st Qtr'!E154, '2nd Qtr'!E154, '3rd Qtr'!E154, '4th Qtr'!E154)</f>
        <v>191173.8</v>
      </c>
      <c r="F154" s="14">
        <f t="shared" si="6"/>
        <v>6596.2000000000116</v>
      </c>
      <c r="G154" s="15">
        <f t="shared" si="7"/>
        <v>3.4503681989896166E-2</v>
      </c>
      <c r="H154" s="16">
        <f>SUM('1st Qtr'!H154,'2nd Qtr'!H154,'3rd Qtr'!H154,'4th Qtr'!H154)</f>
        <v>182784</v>
      </c>
      <c r="I154" s="16">
        <f>SUM('1st Qtr'!I154, '2nd Qtr'!I154, '3rd Qtr'!I154, '4th Qtr'!I154)</f>
        <v>14986</v>
      </c>
      <c r="J154" s="15">
        <f t="shared" si="8"/>
        <v>8.1987482492997199E-2</v>
      </c>
    </row>
    <row r="155" spans="1:10" ht="15.6">
      <c r="A155" s="24" t="str">
        <v>Ransom</v>
      </c>
      <c r="B155" s="25" t="str">
        <v>NY</v>
      </c>
      <c r="C155" s="25" t="str">
        <f>Sites[[#This Row],[SOL'#]]</f>
        <v>SOL-11157</v>
      </c>
      <c r="D155" s="20">
        <f>SUM('1st Qtr'!D155,'2nd Qtr'!D155,'3rd Qtr'!D155,'4th Qtr'!D155)</f>
        <v>262100</v>
      </c>
      <c r="E155" s="10">
        <f>SUM('1st Qtr'!E155, '2nd Qtr'!E155, '3rd Qtr'!E155, '4th Qtr'!E155)</f>
        <v>257255</v>
      </c>
      <c r="F155" s="10">
        <f t="shared" si="6"/>
        <v>4845</v>
      </c>
      <c r="G155" s="11">
        <f t="shared" si="7"/>
        <v>1.8833453188470583E-2</v>
      </c>
      <c r="H155" s="12">
        <f>SUM('1st Qtr'!H155,'2nd Qtr'!H155,'3rd Qtr'!H155,'4th Qtr'!H155)</f>
        <v>0</v>
      </c>
      <c r="I155" s="12">
        <f>SUM('1st Qtr'!I155, '2nd Qtr'!I155, '3rd Qtr'!I155, '4th Qtr'!I155)</f>
        <v>0</v>
      </c>
      <c r="J155" s="13" t="str">
        <f t="shared" si="8"/>
        <v/>
      </c>
    </row>
    <row r="156" spans="1:10" ht="15.6">
      <c r="A156" s="26" t="str">
        <v>Horseheads - Wedge</v>
      </c>
      <c r="B156" s="27" t="str">
        <v>NY</v>
      </c>
      <c r="C156" s="27" t="str">
        <f>Sites[[#This Row],[SOL'#]]</f>
        <v>SOL-11160</v>
      </c>
      <c r="D156" s="9">
        <f>SUM('1st Qtr'!D156,'2nd Qtr'!D156,'3rd Qtr'!D156,'4th Qtr'!D156)</f>
        <v>153909</v>
      </c>
      <c r="E156" s="14">
        <f>SUM('1st Qtr'!E156, '2nd Qtr'!E156, '3rd Qtr'!E156, '4th Qtr'!E156)</f>
        <v>151921</v>
      </c>
      <c r="F156" s="14">
        <f t="shared" si="6"/>
        <v>1988</v>
      </c>
      <c r="G156" s="15">
        <f t="shared" si="7"/>
        <v>1.3085748514030318E-2</v>
      </c>
      <c r="H156" s="16">
        <f>SUM('1st Qtr'!H156,'2nd Qtr'!H156,'3rd Qtr'!H156,'4th Qtr'!H156)</f>
        <v>0</v>
      </c>
      <c r="I156" s="16">
        <f>SUM('1st Qtr'!I156, '2nd Qtr'!I156, '3rd Qtr'!I156, '4th Qtr'!I156)</f>
        <v>0</v>
      </c>
      <c r="J156" s="15" t="str">
        <f t="shared" si="8"/>
        <v/>
      </c>
    </row>
    <row r="157" spans="1:10" ht="15.6">
      <c r="A157" s="24" t="str">
        <v>Otisville - Shoddy Hollow</v>
      </c>
      <c r="B157" s="25" t="str">
        <v>NY</v>
      </c>
      <c r="C157" s="25" t="str">
        <f>Sites[[#This Row],[SOL'#]]</f>
        <v>SOL-11185</v>
      </c>
      <c r="D157" s="20">
        <f>SUM('1st Qtr'!D157,'2nd Qtr'!D157,'3rd Qtr'!D157,'4th Qtr'!D157)</f>
        <v>228031</v>
      </c>
      <c r="E157" s="10">
        <f>SUM('1st Qtr'!E157, '2nd Qtr'!E157, '3rd Qtr'!E157, '4th Qtr'!E157)</f>
        <v>224988</v>
      </c>
      <c r="F157" s="10">
        <f t="shared" si="6"/>
        <v>3043</v>
      </c>
      <c r="G157" s="11">
        <f t="shared" si="7"/>
        <v>1.3525165786619732E-2</v>
      </c>
      <c r="H157" s="12">
        <f>SUM('1st Qtr'!H157,'2nd Qtr'!H157,'3rd Qtr'!H157,'4th Qtr'!H157)</f>
        <v>0</v>
      </c>
      <c r="I157" s="12">
        <f>SUM('1st Qtr'!I157, '2nd Qtr'!I157, '3rd Qtr'!I157, '4th Qtr'!I157)</f>
        <v>0</v>
      </c>
      <c r="J157" s="13" t="str">
        <f t="shared" si="8"/>
        <v/>
      </c>
    </row>
    <row r="158" spans="1:10" ht="15.6">
      <c r="A158" s="26" t="str">
        <v>Wellsville - Chenunda Creek</v>
      </c>
      <c r="B158" s="27" t="str">
        <v>NY</v>
      </c>
      <c r="C158" s="27" t="str">
        <f>Sites[[#This Row],[SOL'#]]</f>
        <v>SOL-11187</v>
      </c>
      <c r="D158" s="9">
        <f>SUM('1st Qtr'!D158,'2nd Qtr'!D158,'3rd Qtr'!D158,'4th Qtr'!D158)</f>
        <v>112266</v>
      </c>
      <c r="E158" s="14">
        <f>SUM('1st Qtr'!E158, '2nd Qtr'!E158, '3rd Qtr'!E158, '4th Qtr'!E158)</f>
        <v>111257</v>
      </c>
      <c r="F158" s="14">
        <f t="shared" ref="F158:F172" si="9">IF(AND(ISNUMBER(D158),ISNUMBER(E158)), D158-E158, "")</f>
        <v>1009</v>
      </c>
      <c r="G158" s="15">
        <f t="shared" ref="G158:G172" si="10">IFERROR(F158/E158, "")</f>
        <v>9.0690922818339528E-3</v>
      </c>
      <c r="H158" s="16">
        <f>SUM('1st Qtr'!H158,'2nd Qtr'!H158,'3rd Qtr'!H158,'4th Qtr'!H158)</f>
        <v>0</v>
      </c>
      <c r="I158" s="16">
        <f>SUM('1st Qtr'!I158, '2nd Qtr'!I158, '3rd Qtr'!I158, '4th Qtr'!I158)</f>
        <v>0</v>
      </c>
      <c r="J158" s="15" t="str">
        <f t="shared" ref="J158:J164" si="11">IFERROR(I158/H158, "")</f>
        <v/>
      </c>
    </row>
    <row r="159" spans="1:10" ht="15.6">
      <c r="A159" s="24" t="str">
        <v>DC: Washington - Essex Condominium</v>
      </c>
      <c r="B159" s="25" t="str">
        <v>DC</v>
      </c>
      <c r="C159" s="25" t="str">
        <f>Sites[[#This Row],[SOL'#]]</f>
        <v>SOL-10036</v>
      </c>
      <c r="D159" s="54">
        <f>SUM('1st Qtr'!D159,'2nd Qtr'!D159,'3rd Qtr'!D159,'4th Qtr'!D159)</f>
        <v>1208</v>
      </c>
      <c r="E159" s="10">
        <f>SUM('1st Qtr'!E159, '2nd Qtr'!E159, '3rd Qtr'!E159, '4th Qtr'!E159)</f>
        <v>1601.9770000000001</v>
      </c>
      <c r="F159" s="10">
        <f t="shared" si="9"/>
        <v>-393.97700000000009</v>
      </c>
      <c r="G159" s="55">
        <f t="shared" si="10"/>
        <v>-0.24593174558685929</v>
      </c>
      <c r="H159" s="67">
        <f>SUM('1st Qtr'!H159,'2nd Qtr'!H159,'3rd Qtr'!H159,'4th Qtr'!H159)</f>
        <v>2142.3989999999999</v>
      </c>
      <c r="I159" s="67">
        <f>SUM('1st Qtr'!I159, '2nd Qtr'!I159, '3rd Qtr'!I159, '4th Qtr'!I159)</f>
        <v>-934.39899999999989</v>
      </c>
      <c r="J159" s="64">
        <f t="shared" si="11"/>
        <v>-0.4361461147059908</v>
      </c>
    </row>
    <row r="160" spans="1:10" ht="15.6">
      <c r="A160" s="26" t="str">
        <v>HI: Waipahu - 94-246 Leoku St - E.F.G.</v>
      </c>
      <c r="B160" s="27" t="str">
        <v>HI</v>
      </c>
      <c r="C160" s="27" t="str">
        <f>Sites[[#This Row],[SOL'#]]</f>
        <v>SOL-10071</v>
      </c>
      <c r="D160" s="66">
        <f>SUM('1st Qtr'!D160,'2nd Qtr'!D160,'3rd Qtr'!D160,'4th Qtr'!D160)</f>
        <v>7951.027</v>
      </c>
      <c r="E160" s="14">
        <f>SUM('1st Qtr'!E160, '2nd Qtr'!E160, '3rd Qtr'!E160, '4th Qtr'!E160)</f>
        <v>8242.1200000000008</v>
      </c>
      <c r="F160" s="14">
        <f t="shared" si="9"/>
        <v>-291.09300000000076</v>
      </c>
      <c r="G160" s="68">
        <f t="shared" si="10"/>
        <v>-3.53177337869384E-2</v>
      </c>
      <c r="H160" s="69">
        <f>SUM('1st Qtr'!H160,'2nd Qtr'!H160,'3rd Qtr'!H160,'4th Qtr'!H160)</f>
        <v>9757.33</v>
      </c>
      <c r="I160" s="69">
        <f>SUM('1st Qtr'!I160, '2nd Qtr'!I160, '3rd Qtr'!I160, '4th Qtr'!I160)</f>
        <v>-1806.3029999999999</v>
      </c>
      <c r="J160" s="68">
        <f t="shared" si="11"/>
        <v>-0.18512267187847495</v>
      </c>
    </row>
    <row r="161" spans="1:10" ht="15.6">
      <c r="A161" s="24" t="str">
        <v>HI: Waipahu - 94-099 Waipahu St - PV</v>
      </c>
      <c r="B161" s="25" t="str">
        <v>HI</v>
      </c>
      <c r="C161" s="25" t="str">
        <f>Sites[[#This Row],[SOL'#]]</f>
        <v>SOL-10068</v>
      </c>
      <c r="D161" s="54">
        <f>SUM('1st Qtr'!D161,'2nd Qtr'!D161,'3rd Qtr'!D161,'4th Qtr'!D161)</f>
        <v>9375</v>
      </c>
      <c r="E161" s="10">
        <f>SUM('1st Qtr'!E161, '2nd Qtr'!E161, '3rd Qtr'!E161, '4th Qtr'!E161)</f>
        <v>7407.4750000000004</v>
      </c>
      <c r="F161" s="10">
        <f t="shared" si="9"/>
        <v>1967.5249999999996</v>
      </c>
      <c r="G161" s="55">
        <f t="shared" si="10"/>
        <v>0.26561345127725705</v>
      </c>
      <c r="H161" s="67">
        <f>SUM('1st Qtr'!H161,'2nd Qtr'!H161,'3rd Qtr'!H161,'4th Qtr'!H161)</f>
        <v>9752.1090000000004</v>
      </c>
      <c r="I161" s="67">
        <f>SUM('1st Qtr'!I161, '2nd Qtr'!I161, '3rd Qtr'!I161, '4th Qtr'!I161)</f>
        <v>-377.10900000000038</v>
      </c>
      <c r="J161" s="64">
        <f t="shared" si="11"/>
        <v>-3.8669481647508282E-2</v>
      </c>
    </row>
    <row r="162" spans="1:10" ht="15.6">
      <c r="A162" s="26" t="str">
        <v>IL: Prophetstown - 5170 Yager Road (PW)</v>
      </c>
      <c r="B162" s="27" t="str">
        <v>IL</v>
      </c>
      <c r="C162" s="27" t="str">
        <f>Sites[[#This Row],[SOL'#]]</f>
        <v>SOL-11149</v>
      </c>
      <c r="D162" s="66">
        <f>SUM('1st Qtr'!D162,'2nd Qtr'!D162,'3rd Qtr'!D162,'4th Qtr'!D162)</f>
        <v>0</v>
      </c>
      <c r="E162" s="14">
        <f>SUM('1st Qtr'!E162, '2nd Qtr'!E162, '3rd Qtr'!E162, '4th Qtr'!E162)</f>
        <v>0</v>
      </c>
      <c r="F162" s="14">
        <f t="shared" si="9"/>
        <v>0</v>
      </c>
      <c r="G162" s="68" t="str">
        <f t="shared" si="10"/>
        <v/>
      </c>
      <c r="H162" s="69">
        <f>SUM('1st Qtr'!H162,'2nd Qtr'!H162,'3rd Qtr'!H162,'4th Qtr'!H162)</f>
        <v>0</v>
      </c>
      <c r="I162" s="69">
        <f>SUM('1st Qtr'!I162, '2nd Qtr'!I162, '3rd Qtr'!I162, '4th Qtr'!I162)</f>
        <v>0</v>
      </c>
      <c r="J162" s="68" t="str">
        <f t="shared" si="11"/>
        <v/>
      </c>
    </row>
    <row r="163" spans="1:10" ht="15.6">
      <c r="A163" s="24" t="str">
        <v>IL: Viola - Goldenrod - (PW)</v>
      </c>
      <c r="B163" s="25" t="str">
        <v>IL</v>
      </c>
      <c r="C163" s="25" t="str">
        <f>Sites[[#This Row],[SOL'#]]</f>
        <v>SOL-11132</v>
      </c>
      <c r="D163" s="54">
        <f>SUM('1st Qtr'!D163,'2nd Qtr'!D163,'3rd Qtr'!D163,'4th Qtr'!D163)</f>
        <v>574985</v>
      </c>
      <c r="E163" s="10">
        <f>SUM('1st Qtr'!E163, '2nd Qtr'!E163, '3rd Qtr'!E163, '4th Qtr'!E163)</f>
        <v>508651.7</v>
      </c>
      <c r="F163" s="10">
        <f t="shared" si="9"/>
        <v>66333.299999999988</v>
      </c>
      <c r="G163" s="55">
        <f t="shared" si="10"/>
        <v>0.1304100625241201</v>
      </c>
      <c r="H163" s="67">
        <f>SUM('1st Qtr'!H163,'2nd Qtr'!H163,'3rd Qtr'!H163,'4th Qtr'!H163)</f>
        <v>518040</v>
      </c>
      <c r="I163" s="67">
        <f>SUM('1st Qtr'!I163, '2nd Qtr'!I163, '3rd Qtr'!I163, '4th Qtr'!I163)</f>
        <v>56945</v>
      </c>
      <c r="J163" s="64">
        <f t="shared" si="11"/>
        <v>0.10992394409698093</v>
      </c>
    </row>
    <row r="164" spans="1:10" ht="15.6">
      <c r="A164" s="26" t="str">
        <v>IL: Marengo - Grant - (PW)</v>
      </c>
      <c r="B164" s="27" t="str">
        <v>IL</v>
      </c>
      <c r="C164" s="27" t="str">
        <f>Sites[[#This Row],[SOL'#]]</f>
        <v>SOL-11147</v>
      </c>
      <c r="D164" s="66">
        <f>SUM('1st Qtr'!D164,'2nd Qtr'!D164,'3rd Qtr'!D164,'4th Qtr'!D164)</f>
        <v>224264</v>
      </c>
      <c r="E164" s="14">
        <f>SUM('1st Qtr'!E164, '2nd Qtr'!E164, '3rd Qtr'!E164, '4th Qtr'!E164)</f>
        <v>0</v>
      </c>
      <c r="F164" s="14">
        <f t="shared" si="9"/>
        <v>224264</v>
      </c>
      <c r="G164" s="68" t="str">
        <f t="shared" si="10"/>
        <v/>
      </c>
      <c r="H164" s="69">
        <f>SUM('1st Qtr'!H164,'2nd Qtr'!H164,'3rd Qtr'!H164,'4th Qtr'!H164)</f>
        <v>193523.20000000001</v>
      </c>
      <c r="I164" s="69">
        <f>SUM('1st Qtr'!I164, '2nd Qtr'!I164, '3rd Qtr'!I164, '4th Qtr'!I164)</f>
        <v>30740.799999999988</v>
      </c>
      <c r="J164" s="68">
        <f t="shared" si="11"/>
        <v>0.1588481381043719</v>
      </c>
    </row>
    <row r="165" spans="1:10" ht="15.6">
      <c r="A165" s="24" t="str">
        <v>NY: Cambridge - Cambridge (PW)</v>
      </c>
      <c r="B165" s="25" t="str">
        <v>NY</v>
      </c>
      <c r="C165" s="25" t="str">
        <f>Sites[[#This Row],[SOL'#]]</f>
        <v>SOL-11126</v>
      </c>
      <c r="D165" s="54">
        <f>SUM('1st Qtr'!D165,'2nd Qtr'!D165,'3rd Qtr'!D165,'4th Qtr'!D165)</f>
        <v>112395.156</v>
      </c>
      <c r="E165" s="10">
        <f>SUM('1st Qtr'!E165, '2nd Qtr'!E165, '3rd Qtr'!E165, '4th Qtr'!E165)</f>
        <v>100094.105</v>
      </c>
      <c r="F165" s="10">
        <f t="shared" ref="F165:F173" si="12">IF(AND(ISNUMBER(D165),ISNUMBER(E165)), D165-E165, "")</f>
        <v>12301.051000000007</v>
      </c>
      <c r="G165" s="55">
        <f t="shared" ref="G165:G173" si="13">IFERROR(F165/E165, "")</f>
        <v>0.12289485979219263</v>
      </c>
      <c r="H165" s="67">
        <f>SUM('1st Qtr'!H165,'2nd Qtr'!H165,'3rd Qtr'!H165,'4th Qtr'!H165)</f>
        <v>537994</v>
      </c>
      <c r="I165" s="67">
        <f>SUM('1st Qtr'!I165, '2nd Qtr'!I165, '3rd Qtr'!I165, '4th Qtr'!I165)</f>
        <v>-425598.84399999998</v>
      </c>
      <c r="J165" s="64">
        <f t="shared" ref="J165:J166" si="14">IFERROR(I165/H165, "")</f>
        <v>-0.7910847407220154</v>
      </c>
    </row>
    <row r="166" spans="1:10" ht="15.6">
      <c r="A166" s="26" t="str">
        <v>NY: Whitesville - Independence North</v>
      </c>
      <c r="B166" s="27" t="str">
        <v>NY</v>
      </c>
      <c r="C166" s="27" t="str">
        <f>Sites[[#This Row],[SOL'#]]</f>
        <v>SOL-11186</v>
      </c>
      <c r="D166" s="66">
        <f>SUM('1st Qtr'!D166,'2nd Qtr'!D166,'3rd Qtr'!D166,'4th Qtr'!D166)</f>
        <v>276854</v>
      </c>
      <c r="E166" s="14">
        <f>SUM('1st Qtr'!E166, '2nd Qtr'!E166, '3rd Qtr'!E166, '4th Qtr'!E166)</f>
        <v>0</v>
      </c>
      <c r="F166" s="14">
        <f t="shared" si="9"/>
        <v>276854</v>
      </c>
      <c r="G166" s="68" t="str">
        <f t="shared" si="10"/>
        <v/>
      </c>
      <c r="H166" s="69">
        <f>SUM('1st Qtr'!H166,'2nd Qtr'!H166,'3rd Qtr'!H166,'4th Qtr'!H166)</f>
        <v>0</v>
      </c>
      <c r="I166" s="69">
        <f>SUM('1st Qtr'!I166, '2nd Qtr'!I166, '3rd Qtr'!I166, '4th Qtr'!I166)</f>
        <v>0</v>
      </c>
      <c r="J166" s="68" t="str">
        <f t="shared" si="14"/>
        <v/>
      </c>
    </row>
    <row r="167" spans="1:10" ht="15.6">
      <c r="A167" s="24" t="str">
        <v>IL: Beecher - Cottage Grove North (PW)</v>
      </c>
      <c r="B167" s="25" t="str">
        <v>IL</v>
      </c>
      <c r="C167" s="25" t="str">
        <f>Sites[[#This Row],[SOL'#]]</f>
        <v>SOL-11114</v>
      </c>
      <c r="D167" s="54">
        <f>SUM('1st Qtr'!D167,'2nd Qtr'!D167,'3rd Qtr'!D167,'4th Qtr'!D167)</f>
        <v>213014</v>
      </c>
      <c r="E167" s="10">
        <f>SUM('1st Qtr'!E167, '2nd Qtr'!E167, '3rd Qtr'!E167, '4th Qtr'!E167)</f>
        <v>231407.5</v>
      </c>
      <c r="F167" s="10">
        <f t="shared" si="12"/>
        <v>-18393.5</v>
      </c>
      <c r="G167" s="55">
        <f t="shared" si="13"/>
        <v>-7.9485323509393607E-2</v>
      </c>
      <c r="H167" s="67">
        <f>SUM('1st Qtr'!H167,'2nd Qtr'!H167,'3rd Qtr'!H167,'4th Qtr'!H167)</f>
        <v>186272</v>
      </c>
      <c r="I167" s="67">
        <f>SUM('1st Qtr'!I167, '2nd Qtr'!I167, '3rd Qtr'!I167, '4th Qtr'!I167)</f>
        <v>26742</v>
      </c>
      <c r="J167" s="64">
        <f t="shared" ref="J167:J173" si="15">IFERROR(I167/H167, "")</f>
        <v>0.14356425012884383</v>
      </c>
    </row>
    <row r="168" spans="1:10" ht="15.6">
      <c r="A168" s="26" t="str">
        <v>IL: Beecher - Cottage Grove South (PW)</v>
      </c>
      <c r="B168" s="27" t="str">
        <v>IL</v>
      </c>
      <c r="C168" s="27" t="str">
        <f>Sites[[#This Row],[SOL'#]]</f>
        <v>SOL-11115</v>
      </c>
      <c r="D168" s="66">
        <f>SUM('1st Qtr'!D168,'2nd Qtr'!D168,'3rd Qtr'!D168,'4th Qtr'!D168)</f>
        <v>225299</v>
      </c>
      <c r="E168" s="14">
        <f>SUM('1st Qtr'!E168, '2nd Qtr'!E168, '3rd Qtr'!E168, '4th Qtr'!E168)</f>
        <v>297560.09999999998</v>
      </c>
      <c r="F168" s="14">
        <f t="shared" si="9"/>
        <v>-72261.099999999977</v>
      </c>
      <c r="G168" s="68">
        <f t="shared" si="10"/>
        <v>-0.24284539493030141</v>
      </c>
      <c r="H168" s="69">
        <f>SUM('1st Qtr'!H168,'2nd Qtr'!H168,'3rd Qtr'!H168,'4th Qtr'!H168)</f>
        <v>174687</v>
      </c>
      <c r="I168" s="69">
        <f>SUM('1st Qtr'!I168, '2nd Qtr'!I168, '3rd Qtr'!I168, '4th Qtr'!I168)</f>
        <v>50612</v>
      </c>
      <c r="J168" s="68">
        <f t="shared" si="15"/>
        <v>0.28972963071092867</v>
      </c>
    </row>
    <row r="169" spans="1:10" ht="15.6">
      <c r="A169" s="24" t="str">
        <v>IL: Harvard - 9618 US HWY 14 (PW)</v>
      </c>
      <c r="B169" s="25" t="str">
        <v>IL</v>
      </c>
      <c r="C169" s="25" t="str">
        <f>Sites[[#This Row],[SOL'#]]</f>
        <v>SOL-11110</v>
      </c>
      <c r="D169" s="54">
        <f>SUM('1st Qtr'!D169,'2nd Qtr'!D169,'3rd Qtr'!D169,'4th Qtr'!D169)</f>
        <v>182768</v>
      </c>
      <c r="E169" s="10">
        <f>SUM('1st Qtr'!E169, '2nd Qtr'!E169, '3rd Qtr'!E169, '4th Qtr'!E169)</f>
        <v>396799.6</v>
      </c>
      <c r="F169" s="10">
        <f t="shared" si="12"/>
        <v>-214031.59999999998</v>
      </c>
      <c r="G169" s="55">
        <f t="shared" si="13"/>
        <v>-0.53939469697046061</v>
      </c>
      <c r="H169" s="67">
        <f>SUM('1st Qtr'!H169,'2nd Qtr'!H169,'3rd Qtr'!H169,'4th Qtr'!H169)</f>
        <v>172612</v>
      </c>
      <c r="I169" s="67">
        <f>SUM('1st Qtr'!I169, '2nd Qtr'!I169, '3rd Qtr'!I169, '4th Qtr'!I169)</f>
        <v>10156</v>
      </c>
      <c r="J169" s="64">
        <f t="shared" si="15"/>
        <v>5.8837160799944381E-2</v>
      </c>
    </row>
    <row r="170" spans="1:10" ht="15.6">
      <c r="A170" s="26" t="str">
        <v>IL: Beecher - 701 E Goodenow Rd (PW)</v>
      </c>
      <c r="B170" s="27" t="str">
        <v>IL</v>
      </c>
      <c r="C170" s="27" t="str">
        <f>Sites[[#This Row],[SOL'#]]</f>
        <v>SOL-11112</v>
      </c>
      <c r="D170" s="66">
        <f>SUM('1st Qtr'!D170,'2nd Qtr'!D170,'3rd Qtr'!D170,'4th Qtr'!D170)</f>
        <v>26786</v>
      </c>
      <c r="E170" s="14">
        <f>SUM('1st Qtr'!E170, '2nd Qtr'!E170, '3rd Qtr'!E170, '4th Qtr'!E170)</f>
        <v>28958.46</v>
      </c>
      <c r="F170" s="14">
        <f t="shared" si="9"/>
        <v>-2172.4599999999991</v>
      </c>
      <c r="G170" s="68">
        <f t="shared" si="10"/>
        <v>-7.5019873294367143E-2</v>
      </c>
      <c r="H170" s="69">
        <f>SUM('1st Qtr'!H170,'2nd Qtr'!H170,'3rd Qtr'!H170,'4th Qtr'!H170)</f>
        <v>178720</v>
      </c>
      <c r="I170" s="69">
        <f>SUM('1st Qtr'!I170, '2nd Qtr'!I170, '3rd Qtr'!I170, '4th Qtr'!I170)</f>
        <v>-151934</v>
      </c>
      <c r="J170" s="68">
        <f t="shared" si="15"/>
        <v>-0.85012309758281113</v>
      </c>
    </row>
    <row r="171" spans="1:10" ht="15.6">
      <c r="A171" s="24" t="str">
        <v>NY: Stormville - Green Haven - (IRA)</v>
      </c>
      <c r="B171" s="25" t="str">
        <v>NY</v>
      </c>
      <c r="C171" s="25" t="str">
        <f>Sites[[#This Row],[SOL'#]]</f>
        <v>SOL-11151</v>
      </c>
      <c r="D171" s="54">
        <f>SUM('1st Qtr'!D171,'2nd Qtr'!D171,'3rd Qtr'!D171,'4th Qtr'!D171)</f>
        <v>160195.6</v>
      </c>
      <c r="E171" s="10">
        <f>SUM('1st Qtr'!E171, '2nd Qtr'!E171, '3rd Qtr'!E171, '4th Qtr'!E171)</f>
        <v>0</v>
      </c>
      <c r="F171" s="10">
        <f t="shared" si="12"/>
        <v>160195.6</v>
      </c>
      <c r="G171" s="55" t="str">
        <f t="shared" si="13"/>
        <v/>
      </c>
      <c r="H171" s="67">
        <f>SUM('1st Qtr'!H171,'2nd Qtr'!H171,'3rd Qtr'!H171,'4th Qtr'!H171)</f>
        <v>0</v>
      </c>
      <c r="I171" s="67">
        <f>SUM('1st Qtr'!I171, '2nd Qtr'!I171, '3rd Qtr'!I171, '4th Qtr'!I171)</f>
        <v>0</v>
      </c>
      <c r="J171" s="64" t="str">
        <f t="shared" si="15"/>
        <v/>
      </c>
    </row>
    <row r="172" spans="1:10" ht="15.6">
      <c r="A172" s="26" t="str">
        <v>IL: Hillsboro - Anacott (PW)</v>
      </c>
      <c r="B172" s="27" t="str">
        <v>IL</v>
      </c>
      <c r="C172" s="27" t="str">
        <f>Sites[[#This Row],[SOL'#]]</f>
        <v>SOL-11134</v>
      </c>
      <c r="D172" s="66">
        <f>SUM('1st Qtr'!D172,'2nd Qtr'!D172,'3rd Qtr'!D172,'4th Qtr'!D172)</f>
        <v>634429</v>
      </c>
      <c r="E172" s="14">
        <f>SUM('1st Qtr'!E172, '2nd Qtr'!E172, '3rd Qtr'!E172, '4th Qtr'!E172)</f>
        <v>0</v>
      </c>
      <c r="F172" s="14">
        <f t="shared" si="9"/>
        <v>634429</v>
      </c>
      <c r="G172" s="68" t="str">
        <f t="shared" si="10"/>
        <v/>
      </c>
      <c r="H172" s="69">
        <f>SUM('1st Qtr'!H172,'2nd Qtr'!H172,'3rd Qtr'!H172,'4th Qtr'!H172)</f>
        <v>553720</v>
      </c>
      <c r="I172" s="69">
        <f>SUM('1st Qtr'!I172, '2nd Qtr'!I172, '3rd Qtr'!I172, '4th Qtr'!I172)</f>
        <v>80709</v>
      </c>
      <c r="J172" s="68">
        <f t="shared" si="15"/>
        <v>0.14575778371740231</v>
      </c>
    </row>
    <row r="173" spans="1:10" ht="15.6">
      <c r="A173" s="24" t="str">
        <v>IL: Manhattan - Gougar (PW)</v>
      </c>
      <c r="B173" s="25" t="str">
        <v>IL</v>
      </c>
      <c r="C173" s="25" t="str">
        <f>Sites[[#This Row],[SOL'#]]</f>
        <v>SOL-11148</v>
      </c>
      <c r="D173" s="54">
        <f>SUM('1st Qtr'!D173,'2nd Qtr'!D173,'3rd Qtr'!D173,'4th Qtr'!D173)</f>
        <v>121126</v>
      </c>
      <c r="E173" s="10">
        <f>SUM('1st Qtr'!E173, '2nd Qtr'!E173, '3rd Qtr'!E173, '4th Qtr'!E173)</f>
        <v>145932.1</v>
      </c>
      <c r="F173" s="10">
        <f t="shared" si="12"/>
        <v>-24806.100000000006</v>
      </c>
      <c r="G173" s="55">
        <f t="shared" si="13"/>
        <v>-0.16998384865290095</v>
      </c>
      <c r="H173" s="67">
        <f>SUM('1st Qtr'!H173,'2nd Qtr'!H173,'3rd Qtr'!H173,'4th Qtr'!H173)</f>
        <v>208326.7</v>
      </c>
      <c r="I173" s="67">
        <f>SUM('1st Qtr'!I173, '2nd Qtr'!I173, '3rd Qtr'!I173, '4th Qtr'!I173)</f>
        <v>-87200.700000000012</v>
      </c>
      <c r="J173" s="64">
        <f t="shared" si="15"/>
        <v>-0.41857668748172944</v>
      </c>
    </row>
    <row r="174" spans="1:10" ht="15.75">
      <c r="A174" s="26" t="str">
        <v>IL: Morrison - Sawyer (PW)</v>
      </c>
      <c r="B174" s="26" t="str">
        <v>IL</v>
      </c>
      <c r="C174" s="26" t="s">
        <v>11</v>
      </c>
      <c r="D174" s="26"/>
      <c r="E174" s="26"/>
      <c r="F174" s="26"/>
      <c r="G174" s="26"/>
      <c r="H174" s="26"/>
      <c r="I174" s="26"/>
      <c r="J174" s="26"/>
    </row>
    <row r="175" spans="1:10" ht="15.75">
      <c r="A175" s="24" t="str">
        <v>IL: Kankakee - Jeffery (PW)</v>
      </c>
      <c r="B175" s="24" t="str">
        <v>IL</v>
      </c>
      <c r="C175" s="24" t="s">
        <v>12</v>
      </c>
      <c r="D175" s="24"/>
      <c r="E175" s="24"/>
      <c r="F175" s="24"/>
      <c r="G175" s="24"/>
      <c r="H175" s="24"/>
      <c r="I175" s="24"/>
      <c r="J175" s="24"/>
    </row>
    <row r="176" spans="1:10" ht="15.75">
      <c r="A176" s="26" t="str">
        <v>IL: Freeport - 2240 South 18th Ave (PW)</v>
      </c>
      <c r="B176" s="26" t="str">
        <v>IL</v>
      </c>
      <c r="C176" s="26" t="s">
        <v>13</v>
      </c>
      <c r="D176" s="26"/>
      <c r="E176" s="26"/>
      <c r="F176" s="26"/>
      <c r="G176" s="26"/>
      <c r="H176" s="26"/>
      <c r="I176" s="26"/>
      <c r="J176" s="26"/>
    </row>
  </sheetData>
  <mergeCells count="4">
    <mergeCell ref="H1:J1"/>
    <mergeCell ref="A1:D1"/>
    <mergeCell ref="E1:G1"/>
    <mergeCell ref="A2:B2"/>
  </mergeCells>
  <conditionalFormatting sqref="G2 J2 G4:G173 J4:J173">
    <cfRule type="cellIs" dxfId="56" priority="55" stopIfTrue="1" operator="lessThanOrEqual">
      <formula>-0.1</formula>
    </cfRule>
    <cfRule type="expression" dxfId="55" priority="56">
      <formula>AND(ISNUMBER(G2), G2&gt;=0.1)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176"/>
  <sheetViews>
    <sheetView zoomScale="90" zoomScaleNormal="90" workbookViewId="0">
      <pane xSplit="2" ySplit="3" topLeftCell="C162" activePane="bottomRight" state="frozen"/>
      <selection pane="bottomRight" activeCell="C181" sqref="C181"/>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95" t="str" cm="1">
        <f t="array" ref="A1">portfolio</f>
        <v>Generate Capital</v>
      </c>
      <c r="B1" s="195"/>
      <c r="C1" s="195"/>
      <c r="D1" s="195"/>
      <c r="E1" s="196" t="s">
        <v>14</v>
      </c>
      <c r="F1" s="196"/>
      <c r="G1" s="196"/>
      <c r="H1" s="194" t="s">
        <v>15</v>
      </c>
      <c r="I1" s="194"/>
      <c r="J1" s="194"/>
    </row>
    <row r="2" spans="1:10" ht="19.5" customHeight="1">
      <c r="A2" s="197" t="s">
        <v>2</v>
      </c>
      <c r="B2" s="197"/>
      <c r="C2" s="57"/>
      <c r="D2" s="5">
        <f>SUM(D4:D260)</f>
        <v>15338370.72318</v>
      </c>
      <c r="E2" s="5">
        <f>SUM(E4:E260)</f>
        <v>12898958.884999998</v>
      </c>
      <c r="F2" s="5">
        <f>D2-E2</f>
        <v>2439411.8381800018</v>
      </c>
      <c r="G2" s="6">
        <f>IFERROR(F2/E2, 0)</f>
        <v>0.18911695586662863</v>
      </c>
      <c r="H2" s="5">
        <f>SUM(H4:H296)</f>
        <v>21017476.313132226</v>
      </c>
      <c r="I2" s="7">
        <f>D2-H2</f>
        <v>-5679105.5899522267</v>
      </c>
      <c r="J2" s="6">
        <f>IFERROR(I2/H2, 0)</f>
        <v>-0.27020873036044696</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76">Sites[Site]</f>
        <v>K026</v>
      </c>
      <c r="B4" s="25" t="str" cm="1">
        <f t="array" ref="B4:B176">Sites[State]</f>
        <v>NY</v>
      </c>
      <c r="C4" s="25" t="str">
        <f>Sites[[#This Row],[SOL'#]]</f>
        <v>SOL-10356</v>
      </c>
      <c r="D4" s="20">
        <f>SUM(Jan!D4,Feb!D4,Mar!D4)</f>
        <v>8328.1080000000002</v>
      </c>
      <c r="E4" s="10">
        <f>SUM(Jan!E4,Feb!E4,Mar!E4)</f>
        <v>12159.88</v>
      </c>
      <c r="F4" s="10">
        <f>IF(AND(ISNUMBER(D4),ISNUMBER(E4)), D4-E4, "")</f>
        <v>-3831.771999999999</v>
      </c>
      <c r="G4" s="11">
        <f>IFERROR(F4/E4, "")</f>
        <v>-0.31511593864413129</v>
      </c>
      <c r="H4" s="12">
        <f>SUM(Jan!H4,Feb!H4,Mar!H4)</f>
        <v>11055.95</v>
      </c>
      <c r="I4" s="12">
        <f>SUM(Jan!I4,Feb!I4,Mar!I4)</f>
        <v>-2727.8420000000006</v>
      </c>
      <c r="J4" s="13">
        <f>IFERROR(I4/H4, "")</f>
        <v>-0.24673067443322377</v>
      </c>
    </row>
    <row r="5" spans="1:10" ht="15.6">
      <c r="A5" s="26" t="str">
        <v>K041</v>
      </c>
      <c r="B5" s="27" t="str">
        <v>NY</v>
      </c>
      <c r="C5" s="27" t="str">
        <f>Sites[[#This Row],[SOL'#]]</f>
        <v>SOL-10357</v>
      </c>
      <c r="D5" s="16">
        <f>SUM(Jan!D5,Feb!D5,Mar!D5)</f>
        <v>5871.53125</v>
      </c>
      <c r="E5" s="16">
        <f>SUM(Jan!E5,Feb!E5,Mar!E5)</f>
        <v>9407.4670000000006</v>
      </c>
      <c r="F5" s="14">
        <f t="shared" ref="F5:F15" si="0">IF(AND(ISNUMBER(D5),ISNUMBER(E5)), D5-E5, "")</f>
        <v>-3535.9357500000006</v>
      </c>
      <c r="G5" s="15">
        <f>IFERROR(F5/E5, "")</f>
        <v>-0.37586480505326253</v>
      </c>
      <c r="H5" s="16">
        <f>SUM(Jan!H5,Feb!H5,Mar!H5)</f>
        <v>9924</v>
      </c>
      <c r="I5" s="16">
        <f>SUM(Jan!I5,Feb!I5,Mar!I5)</f>
        <v>-4052.46875</v>
      </c>
      <c r="J5" s="15">
        <f>IFERROR(I5/H5, "")</f>
        <v>-0.40835033756549777</v>
      </c>
    </row>
    <row r="6" spans="1:10" ht="15.6">
      <c r="A6" s="24" t="str">
        <v>K043</v>
      </c>
      <c r="B6" s="25" t="str">
        <v>NY</v>
      </c>
      <c r="C6" s="25" t="str">
        <f>Sites[[#This Row],[SOL'#]]</f>
        <v>SOL-10358</v>
      </c>
      <c r="D6" s="20">
        <f>SUM(Jan!D6,Feb!D6,Mar!D6)</f>
        <v>7527.0625</v>
      </c>
      <c r="E6" s="10">
        <f>SUM(Jan!E6,Feb!E6,Mar!E6)</f>
        <v>10861.06</v>
      </c>
      <c r="F6" s="10">
        <f t="shared" si="0"/>
        <v>-3333.9974999999995</v>
      </c>
      <c r="G6" s="11">
        <f t="shared" ref="G6:G15" si="1">IFERROR(F6/E6, "")</f>
        <v>-0.30696796629426593</v>
      </c>
      <c r="H6" s="12">
        <f>SUM(Jan!H6,Feb!H6,Mar!H6)</f>
        <v>2303</v>
      </c>
      <c r="I6" s="12">
        <f>SUM(Jan!I6,Feb!I6,Mar!I6)</f>
        <v>5224.0625</v>
      </c>
      <c r="J6" s="13">
        <f t="shared" ref="J6:J15" si="2">IFERROR(I6/H6, "")</f>
        <v>2.2683727746417714</v>
      </c>
    </row>
    <row r="7" spans="1:10" ht="15.6">
      <c r="A7" s="26" t="str">
        <v>K058</v>
      </c>
      <c r="B7" s="27" t="str">
        <v>NY</v>
      </c>
      <c r="C7" s="27" t="str">
        <f>Sites[[#This Row],[SOL'#]]</f>
        <v>SOL-10360</v>
      </c>
      <c r="D7" s="16">
        <f>SUM(Jan!D7,Feb!D7,Mar!D7)</f>
        <v>5490.6875</v>
      </c>
      <c r="E7" s="16">
        <f>SUM(Jan!E7,Feb!E7,Mar!E7)</f>
        <v>8437.1679999999997</v>
      </c>
      <c r="F7" s="14">
        <f t="shared" si="0"/>
        <v>-2946.4804999999997</v>
      </c>
      <c r="G7" s="15">
        <f t="shared" si="1"/>
        <v>-0.34922624510973349</v>
      </c>
      <c r="H7" s="16">
        <f>SUM(Jan!H7,Feb!H7,Mar!H7)</f>
        <v>9101.3259999999991</v>
      </c>
      <c r="I7" s="16">
        <f>SUM(Jan!I7,Feb!I7,Mar!I7)</f>
        <v>-3610.6384999999991</v>
      </c>
      <c r="J7" s="15">
        <f t="shared" si="2"/>
        <v>-0.39671565440024886</v>
      </c>
    </row>
    <row r="8" spans="1:10" ht="15.6">
      <c r="A8" s="24" t="str">
        <v>K115</v>
      </c>
      <c r="B8" s="25" t="str">
        <v>NY</v>
      </c>
      <c r="C8" s="25" t="str">
        <f>Sites[[#This Row],[SOL'#]]</f>
        <v>SOL-10361</v>
      </c>
      <c r="D8" s="20">
        <f>SUM(Jan!D8,Feb!D8,Mar!D8)</f>
        <v>3483.875</v>
      </c>
      <c r="E8" s="10">
        <f>SUM(Jan!E8,Feb!E8,Mar!E8)</f>
        <v>7300.8069999999998</v>
      </c>
      <c r="F8" s="10">
        <f t="shared" si="0"/>
        <v>-3816.9319999999998</v>
      </c>
      <c r="G8" s="11">
        <f t="shared" si="1"/>
        <v>-0.52280960173306867</v>
      </c>
      <c r="H8" s="12">
        <f>SUM(Jan!H8,Feb!H8,Mar!H8)</f>
        <v>5565.8819999999996</v>
      </c>
      <c r="I8" s="12">
        <f>SUM(Jan!I8,Feb!I8,Mar!I8)</f>
        <v>-2082.0069999999996</v>
      </c>
      <c r="J8" s="13">
        <f t="shared" si="2"/>
        <v>-0.37406596115404528</v>
      </c>
    </row>
    <row r="9" spans="1:10" ht="15.6">
      <c r="A9" s="26" t="str">
        <v>K152</v>
      </c>
      <c r="B9" s="27" t="str">
        <v>NY</v>
      </c>
      <c r="C9" s="27" t="str">
        <f>Sites[[#This Row],[SOL'#]]</f>
        <v>SOL-10362</v>
      </c>
      <c r="D9" s="16">
        <f>SUM(Jan!D9,Feb!D9,Mar!D9)</f>
        <v>2067.4375</v>
      </c>
      <c r="E9" s="16">
        <f>SUM(Jan!E9,Feb!E9,Mar!E9)</f>
        <v>4344.8900000000003</v>
      </c>
      <c r="F9" s="14">
        <f t="shared" si="0"/>
        <v>-2277.4525000000003</v>
      </c>
      <c r="G9" s="15">
        <f t="shared" si="1"/>
        <v>-0.52416804568124853</v>
      </c>
      <c r="H9" s="16">
        <f>SUM(Jan!H9,Feb!H9,Mar!H9)</f>
        <v>3567</v>
      </c>
      <c r="I9" s="16">
        <f>SUM(Jan!I9,Feb!I9,Mar!I9)</f>
        <v>-1499.5625</v>
      </c>
      <c r="J9" s="15">
        <f t="shared" si="2"/>
        <v>-0.42039879450518641</v>
      </c>
    </row>
    <row r="10" spans="1:10" ht="15.6">
      <c r="A10" s="24" t="str">
        <v>K166</v>
      </c>
      <c r="B10" s="25" t="str">
        <v>NY</v>
      </c>
      <c r="C10" s="25" t="str">
        <f>Sites[[#This Row],[SOL'#]]</f>
        <v>SOL-10363</v>
      </c>
      <c r="D10" s="20">
        <f>SUM(Jan!D10,Feb!D10,Mar!D10)</f>
        <v>7527.75</v>
      </c>
      <c r="E10" s="10">
        <f>SUM(Jan!E10,Feb!E10,Mar!E10)</f>
        <v>16102.59</v>
      </c>
      <c r="F10" s="10">
        <f t="shared" si="0"/>
        <v>-8574.84</v>
      </c>
      <c r="G10" s="11">
        <f t="shared" si="1"/>
        <v>-0.53251309261429369</v>
      </c>
      <c r="H10" s="12">
        <f>SUM(Jan!H10,Feb!H10,Mar!H10)</f>
        <v>12064.56</v>
      </c>
      <c r="I10" s="12">
        <f>SUM(Jan!I10,Feb!I10,Mar!I10)</f>
        <v>-4536.8099999999995</v>
      </c>
      <c r="J10" s="13">
        <f t="shared" si="2"/>
        <v>-0.37604438122898803</v>
      </c>
    </row>
    <row r="11" spans="1:10" ht="15.6">
      <c r="A11" s="26" t="str">
        <v>K206</v>
      </c>
      <c r="B11" s="27" t="str">
        <v>NY</v>
      </c>
      <c r="C11" s="27" t="str">
        <f>Sites[[#This Row],[SOL'#]]</f>
        <v>SOL-10927</v>
      </c>
      <c r="D11" s="16">
        <f>SUM(Jan!D11,Feb!D11,Mar!D11)</f>
        <v>5243.875</v>
      </c>
      <c r="E11" s="16">
        <f>SUM(Jan!E11,Feb!E11,Mar!E11)</f>
        <v>5255.2420000000002</v>
      </c>
      <c r="F11" s="14">
        <f t="shared" si="0"/>
        <v>-11.367000000000189</v>
      </c>
      <c r="G11" s="15">
        <f t="shared" si="1"/>
        <v>-2.1629831699473E-3</v>
      </c>
      <c r="H11" s="16">
        <f>SUM(Jan!H11,Feb!H11,Mar!H11)</f>
        <v>6894</v>
      </c>
      <c r="I11" s="16">
        <f>SUM(Jan!I11,Feb!I11,Mar!I11)</f>
        <v>-1650.125</v>
      </c>
      <c r="J11" s="15">
        <f t="shared" si="2"/>
        <v>-0.23935668697418044</v>
      </c>
    </row>
    <row r="12" spans="1:10" ht="15.6">
      <c r="A12" s="24" t="str">
        <v>K251</v>
      </c>
      <c r="B12" s="25" t="str">
        <v>NY</v>
      </c>
      <c r="C12" s="25" t="str">
        <f>Sites[[#This Row],[SOL'#]]</f>
        <v>SOL-10365</v>
      </c>
      <c r="D12" s="20">
        <f>SUM(Jan!D12,Feb!D12,Mar!D12)</f>
        <v>5285.5625</v>
      </c>
      <c r="E12" s="10">
        <f>SUM(Jan!E12,Feb!E12,Mar!E12)</f>
        <v>0</v>
      </c>
      <c r="F12" s="10">
        <f t="shared" si="0"/>
        <v>5285.5625</v>
      </c>
      <c r="G12" s="11" t="str">
        <f t="shared" si="1"/>
        <v/>
      </c>
      <c r="H12" s="12">
        <f>SUM(Jan!H12,Feb!H12,Mar!H12)</f>
        <v>8483.0939999999991</v>
      </c>
      <c r="I12" s="12">
        <f>SUM(Jan!I12,Feb!I12,Mar!I12)</f>
        <v>-3197.5314999999991</v>
      </c>
      <c r="J12" s="13">
        <f t="shared" si="2"/>
        <v>-0.37692986780530774</v>
      </c>
    </row>
    <row r="13" spans="1:10" ht="15.6">
      <c r="A13" s="26" t="str">
        <v>K269</v>
      </c>
      <c r="B13" s="27" t="str">
        <v>NY</v>
      </c>
      <c r="C13" s="27" t="str">
        <f>Sites[[#This Row],[SOL'#]]</f>
        <v>SOL-10366</v>
      </c>
      <c r="D13" s="16">
        <f>SUM(Jan!D13,Feb!D13,Mar!D13)</f>
        <v>4482.4375</v>
      </c>
      <c r="E13" s="16">
        <f>SUM(Jan!E13,Feb!E13,Mar!E13)</f>
        <v>7734.4859999999999</v>
      </c>
      <c r="F13" s="14">
        <f t="shared" si="0"/>
        <v>-3252.0484999999999</v>
      </c>
      <c r="G13" s="15">
        <f t="shared" si="1"/>
        <v>-0.42046084251752475</v>
      </c>
      <c r="H13" s="16">
        <f>SUM(Jan!H13,Feb!H13,Mar!H13)</f>
        <v>7723.1490000000003</v>
      </c>
      <c r="I13" s="16">
        <f>SUM(Jan!I13,Feb!I13,Mar!I13)</f>
        <v>-3240.7115000000003</v>
      </c>
      <c r="J13" s="15">
        <f t="shared" si="2"/>
        <v>-0.41961012276210136</v>
      </c>
    </row>
    <row r="14" spans="1:10" ht="15.6">
      <c r="A14" s="24" t="str">
        <v>K273</v>
      </c>
      <c r="B14" s="25" t="str">
        <v>NY</v>
      </c>
      <c r="C14" s="25" t="str">
        <f>Sites[[#This Row],[SOL'#]]</f>
        <v>SOL-10367</v>
      </c>
      <c r="D14" s="20">
        <f>SUM(Jan!D14,Feb!D14,Mar!D14)</f>
        <v>4816.2672739999998</v>
      </c>
      <c r="E14" s="10">
        <f>SUM(Jan!E14,Feb!E14,Mar!E14)</f>
        <v>0</v>
      </c>
      <c r="F14" s="10">
        <f t="shared" si="0"/>
        <v>4816.2672739999998</v>
      </c>
      <c r="G14" s="11" t="str">
        <f t="shared" si="1"/>
        <v/>
      </c>
      <c r="H14" s="12">
        <f>SUM(Jan!H14,Feb!H14,Mar!H14)</f>
        <v>9546</v>
      </c>
      <c r="I14" s="12">
        <f>SUM(Jan!I14,Feb!I14,Mar!I14)</f>
        <v>-4729.7327260000002</v>
      </c>
      <c r="J14" s="13">
        <f t="shared" si="2"/>
        <v>-0.49546749696207837</v>
      </c>
    </row>
    <row r="15" spans="1:10" ht="15.6">
      <c r="A15" s="26" t="str">
        <v>K287</v>
      </c>
      <c r="B15" s="27" t="str">
        <v>NY</v>
      </c>
      <c r="C15" s="27" t="str">
        <f>Sites[[#This Row],[SOL'#]]</f>
        <v>SOL-10919</v>
      </c>
      <c r="D15" s="16">
        <f>SUM(Jan!D15,Feb!D15,Mar!D15)</f>
        <v>4113.1875</v>
      </c>
      <c r="E15" s="16">
        <f>SUM(Jan!E15,Feb!E15,Mar!E15)</f>
        <v>5386.8280000000004</v>
      </c>
      <c r="F15" s="14">
        <f t="shared" si="0"/>
        <v>-1273.6405000000004</v>
      </c>
      <c r="G15" s="15">
        <f t="shared" si="1"/>
        <v>-0.23643608075104688</v>
      </c>
      <c r="H15" s="16">
        <f>SUM(Jan!H15,Feb!H15,Mar!H15)</f>
        <v>7303</v>
      </c>
      <c r="I15" s="16">
        <f>SUM(Jan!I15,Feb!I15,Mar!I15)</f>
        <v>-3189.8125</v>
      </c>
      <c r="J15" s="15">
        <f t="shared" si="2"/>
        <v>-0.43678111734903463</v>
      </c>
    </row>
    <row r="16" spans="1:10" ht="15.6">
      <c r="A16" s="24" t="str">
        <v>K298</v>
      </c>
      <c r="B16" s="25" t="str">
        <v>NY</v>
      </c>
      <c r="C16" s="25" t="str">
        <f>Sites[[#This Row],[SOL'#]]</f>
        <v>SOL-10368</v>
      </c>
      <c r="D16" s="20">
        <f>SUM(Jan!D16,Feb!D16,Mar!D16)</f>
        <v>3551.375</v>
      </c>
      <c r="E16" s="10">
        <f>SUM(Jan!E16,Feb!E16,Mar!E16)</f>
        <v>6917.152</v>
      </c>
      <c r="F16" s="10">
        <f t="shared" ref="F16:F17" si="3">IF(AND(ISNUMBER(D16),ISNUMBER(E16)), D16-E16, "")</f>
        <v>-3365.777</v>
      </c>
      <c r="G16" s="11">
        <f t="shared" ref="G16:G17" si="4">IFERROR(F16/E16, "")</f>
        <v>-0.48658421847604333</v>
      </c>
      <c r="H16" s="12">
        <f>SUM(Jan!H16,Feb!H16,Mar!H16)</f>
        <v>6119</v>
      </c>
      <c r="I16" s="12">
        <f>SUM(Jan!I16,Feb!I16,Mar!I16)</f>
        <v>-2567.625</v>
      </c>
      <c r="J16" s="13">
        <f t="shared" ref="J16:J17" si="5">IFERROR(I16/H16, "")</f>
        <v>-0.41961513319169796</v>
      </c>
    </row>
    <row r="17" spans="1:10" ht="15.6">
      <c r="A17" s="26" t="str">
        <v>K335</v>
      </c>
      <c r="B17" s="27" t="str">
        <v>NY</v>
      </c>
      <c r="C17" s="27" t="str">
        <f>Sites[[#This Row],[SOL'#]]</f>
        <v>SOL-10370</v>
      </c>
      <c r="D17" s="16">
        <f>SUM(Jan!D17,Feb!D17,Mar!D17)</f>
        <v>4369.8125</v>
      </c>
      <c r="E17" s="16">
        <f>SUM(Jan!E17,Feb!E17,Mar!E17)</f>
        <v>7302.4170000000004</v>
      </c>
      <c r="F17" s="14">
        <f t="shared" si="3"/>
        <v>-2932.6045000000004</v>
      </c>
      <c r="G17" s="15">
        <f t="shared" si="4"/>
        <v>-0.40159367781927546</v>
      </c>
      <c r="H17" s="16">
        <f>SUM(Jan!H17,Feb!H17,Mar!H17)</f>
        <v>8179</v>
      </c>
      <c r="I17" s="16">
        <f>SUM(Jan!I17,Feb!I17,Mar!I17)</f>
        <v>-3809.1875</v>
      </c>
      <c r="J17" s="15">
        <f t="shared" si="5"/>
        <v>-0.46572777845702407</v>
      </c>
    </row>
    <row r="18" spans="1:10" ht="12.75" customHeight="1">
      <c r="A18" s="24" t="str">
        <v>K345</v>
      </c>
      <c r="B18" s="25" t="str">
        <v>NY</v>
      </c>
      <c r="C18" s="25" t="str">
        <f>Sites[[#This Row],[SOL'#]]</f>
        <v>SOL-10920</v>
      </c>
      <c r="D18" s="20">
        <f>SUM(Jan!D18,Feb!D18,Mar!D18)</f>
        <v>5288.71875</v>
      </c>
      <c r="E18" s="10">
        <f>SUM(Jan!E18,Feb!E18,Mar!E18)</f>
        <v>5418.4340000000002</v>
      </c>
      <c r="F18" s="10">
        <f t="shared" ref="F18:F81" si="6">IF(AND(ISNUMBER(D18),ISNUMBER(E18)), D18-E18, "")</f>
        <v>-129.7152500000002</v>
      </c>
      <c r="G18" s="11">
        <f t="shared" ref="G18:G81" si="7">IFERROR(F18/E18, "")</f>
        <v>-2.3939619823735086E-2</v>
      </c>
      <c r="H18" s="12">
        <f>SUM(Jan!H18,Feb!H18,Mar!H18)</f>
        <v>6910</v>
      </c>
      <c r="I18" s="12">
        <f>SUM(Jan!I18,Feb!I18,Mar!I18)</f>
        <v>-1621.28125</v>
      </c>
      <c r="J18" s="13">
        <f t="shared" ref="J18:J81" si="8">IFERROR(I18/H18, "")</f>
        <v>-0.2346282561505065</v>
      </c>
    </row>
    <row r="19" spans="1:10" ht="15.6">
      <c r="A19" s="26" t="str">
        <v>K445</v>
      </c>
      <c r="B19" s="27" t="str">
        <v>NY</v>
      </c>
      <c r="C19" s="27" t="str">
        <f>Sites[[#This Row],[SOL'#]]</f>
        <v>SOL-10373</v>
      </c>
      <c r="D19" s="16">
        <f>SUM(Jan!D19,Feb!D19,Mar!D19)</f>
        <v>4901</v>
      </c>
      <c r="E19" s="16">
        <f>SUM(Jan!E19,Feb!E19,Mar!E19)</f>
        <v>7406.31</v>
      </c>
      <c r="F19" s="14">
        <f t="shared" si="6"/>
        <v>-2505.3100000000004</v>
      </c>
      <c r="G19" s="15">
        <f t="shared" si="7"/>
        <v>-0.33826696425075381</v>
      </c>
      <c r="H19" s="16">
        <f>SUM(Jan!H19,Feb!H19,Mar!H19)</f>
        <v>6782.6149999999998</v>
      </c>
      <c r="I19" s="16">
        <f>SUM(Jan!I19,Feb!I19,Mar!I19)</f>
        <v>-1881.6149999999998</v>
      </c>
      <c r="J19" s="15">
        <f t="shared" si="8"/>
        <v>-0.27741733829798682</v>
      </c>
    </row>
    <row r="20" spans="1:10" ht="15.6">
      <c r="A20" s="24" t="str">
        <v>K495</v>
      </c>
      <c r="B20" s="25" t="str">
        <v>NY</v>
      </c>
      <c r="C20" s="25" t="str">
        <f>Sites[[#This Row],[SOL'#]]</f>
        <v>SOL-10374</v>
      </c>
      <c r="D20" s="20">
        <f>SUM(Jan!D20,Feb!D20,Mar!D20)</f>
        <v>20126.75</v>
      </c>
      <c r="E20" s="10">
        <f>SUM(Jan!E20,Feb!E20,Mar!E20)</f>
        <v>28959.78</v>
      </c>
      <c r="F20" s="10">
        <f t="shared" si="6"/>
        <v>-8833.0299999999988</v>
      </c>
      <c r="G20" s="11">
        <f t="shared" si="7"/>
        <v>-0.30501025905583534</v>
      </c>
      <c r="H20" s="12">
        <f>SUM(Jan!H20,Feb!H20,Mar!H20)</f>
        <v>49040.59</v>
      </c>
      <c r="I20" s="12">
        <f>SUM(Jan!I20,Feb!I20,Mar!I20)</f>
        <v>-28913.839999999997</v>
      </c>
      <c r="J20" s="13">
        <f t="shared" si="8"/>
        <v>-0.58958997026748661</v>
      </c>
    </row>
    <row r="21" spans="1:10" ht="15.6">
      <c r="A21" s="26" t="str">
        <v>M020</v>
      </c>
      <c r="B21" s="27" t="str">
        <v>NY</v>
      </c>
      <c r="C21" s="27" t="str">
        <f>Sites[[#This Row],[SOL'#]]</f>
        <v>SOL-10380</v>
      </c>
      <c r="D21" s="16">
        <f>SUM(Jan!D21,Feb!D21,Mar!D21)</f>
        <v>5231.96875</v>
      </c>
      <c r="E21" s="16">
        <f>SUM(Jan!E21,Feb!E21,Mar!E21)</f>
        <v>7045.7389999999996</v>
      </c>
      <c r="F21" s="14">
        <f t="shared" si="6"/>
        <v>-1813.7702499999996</v>
      </c>
      <c r="G21" s="15">
        <f t="shared" si="7"/>
        <v>-0.25742796461804784</v>
      </c>
      <c r="H21" s="16">
        <f>SUM(Jan!H21,Feb!H21,Mar!H21)</f>
        <v>9125</v>
      </c>
      <c r="I21" s="16">
        <f>SUM(Jan!I21,Feb!I21,Mar!I21)</f>
        <v>-3893.03125</v>
      </c>
      <c r="J21" s="15">
        <f t="shared" si="8"/>
        <v>-0.42663356164383559</v>
      </c>
    </row>
    <row r="22" spans="1:10" ht="15.6">
      <c r="A22" s="24" t="str">
        <v>M092</v>
      </c>
      <c r="B22" s="25" t="str">
        <v>NY</v>
      </c>
      <c r="C22" s="25" t="str">
        <f>Sites[[#This Row],[SOL'#]]</f>
        <v>SOL-10383</v>
      </c>
      <c r="D22" s="20">
        <f>SUM(Jan!D22,Feb!D22,Mar!D22)</f>
        <v>4773.3125</v>
      </c>
      <c r="E22" s="10">
        <f>SUM(Jan!E22,Feb!E22,Mar!E22)</f>
        <v>7344.2849999999999</v>
      </c>
      <c r="F22" s="10">
        <f t="shared" si="6"/>
        <v>-2570.9724999999999</v>
      </c>
      <c r="G22" s="11">
        <f t="shared" si="7"/>
        <v>-0.35006436977867822</v>
      </c>
      <c r="H22" s="12">
        <f>SUM(Jan!H22,Feb!H22,Mar!H22)</f>
        <v>8137.5959999999995</v>
      </c>
      <c r="I22" s="12">
        <f>SUM(Jan!I22,Feb!I22,Mar!I22)</f>
        <v>-3364.2834999999995</v>
      </c>
      <c r="J22" s="13">
        <f t="shared" si="8"/>
        <v>-0.41342473870661556</v>
      </c>
    </row>
    <row r="23" spans="1:10" ht="15.6">
      <c r="A23" s="26" t="str">
        <v>M143</v>
      </c>
      <c r="B23" s="27" t="str">
        <v>NY</v>
      </c>
      <c r="C23" s="27" t="str">
        <f>Sites[[#This Row],[SOL'#]]</f>
        <v>SOL-10384</v>
      </c>
      <c r="D23" s="16">
        <f>SUM(Jan!D23,Feb!D23,Mar!D23)</f>
        <v>4837.8125</v>
      </c>
      <c r="E23" s="16">
        <f>SUM(Jan!E23,Feb!E23,Mar!E23)</f>
        <v>7607.8310000000001</v>
      </c>
      <c r="F23" s="14">
        <f t="shared" si="6"/>
        <v>-2770.0185000000001</v>
      </c>
      <c r="G23" s="15">
        <f t="shared" si="7"/>
        <v>-0.36410095071775384</v>
      </c>
      <c r="H23" s="16">
        <f>SUM(Jan!H23,Feb!H23,Mar!H23)</f>
        <v>8659.26</v>
      </c>
      <c r="I23" s="16">
        <f>SUM(Jan!I23,Feb!I23,Mar!I23)</f>
        <v>-3821.4475000000002</v>
      </c>
      <c r="J23" s="15">
        <f t="shared" si="8"/>
        <v>-0.44131340322383206</v>
      </c>
    </row>
    <row r="24" spans="1:10" ht="15.6">
      <c r="A24" s="24" t="str">
        <v>M144</v>
      </c>
      <c r="B24" s="25" t="str">
        <v>NY</v>
      </c>
      <c r="C24" s="25" t="str">
        <f>Sites[[#This Row],[SOL'#]]</f>
        <v>SOL-10385</v>
      </c>
      <c r="D24" s="20">
        <f>SUM(Jan!D24,Feb!D24,Mar!D24)</f>
        <v>7799.625</v>
      </c>
      <c r="E24" s="10">
        <f>SUM(Jan!E24,Feb!E24,Mar!E24)</f>
        <v>13319.92</v>
      </c>
      <c r="F24" s="10">
        <f t="shared" si="6"/>
        <v>-5520.2950000000001</v>
      </c>
      <c r="G24" s="11">
        <f t="shared" si="7"/>
        <v>-0.4144390506849891</v>
      </c>
      <c r="H24" s="12">
        <f>SUM(Jan!H24,Feb!H24,Mar!H24)</f>
        <v>23584.05</v>
      </c>
      <c r="I24" s="12">
        <f>SUM(Jan!I24,Feb!I24,Mar!I24)</f>
        <v>-15784.424999999999</v>
      </c>
      <c r="J24" s="13">
        <f t="shared" si="8"/>
        <v>-0.66928390161995077</v>
      </c>
    </row>
    <row r="25" spans="1:10" ht="15.6">
      <c r="A25" s="26" t="str">
        <v>M167</v>
      </c>
      <c r="B25" s="27" t="str">
        <v>NY</v>
      </c>
      <c r="C25" s="27" t="str">
        <f>Sites[[#This Row],[SOL'#]]</f>
        <v>SOL-10386</v>
      </c>
      <c r="D25" s="16">
        <f>SUM(Jan!D25,Feb!D25,Mar!D25)</f>
        <v>4931.21875</v>
      </c>
      <c r="E25" s="16">
        <f>SUM(Jan!E25,Feb!E25,Mar!E25)</f>
        <v>5726.7839999999997</v>
      </c>
      <c r="F25" s="14">
        <f t="shared" si="6"/>
        <v>-795.56524999999965</v>
      </c>
      <c r="G25" s="15">
        <f t="shared" si="7"/>
        <v>-0.13892007276684432</v>
      </c>
      <c r="H25" s="16">
        <f>SUM(Jan!H25,Feb!H25,Mar!H25)</f>
        <v>8065.7079999999996</v>
      </c>
      <c r="I25" s="16">
        <f>SUM(Jan!I25,Feb!I25,Mar!I25)</f>
        <v>-3134.4892499999996</v>
      </c>
      <c r="J25" s="15">
        <f t="shared" si="8"/>
        <v>-0.38861923218643668</v>
      </c>
    </row>
    <row r="26" spans="1:10" ht="15.6">
      <c r="A26" s="24" t="str">
        <v>M188</v>
      </c>
      <c r="B26" s="25" t="str">
        <v>NY</v>
      </c>
      <c r="C26" s="25" t="str">
        <f>Sites[[#This Row],[SOL'#]]</f>
        <v>SOL-10387</v>
      </c>
      <c r="D26" s="20">
        <f>SUM(Jan!D26,Feb!D26,Mar!D26)</f>
        <v>4259.361406</v>
      </c>
      <c r="E26" s="10">
        <f>SUM(Jan!E26,Feb!E26,Mar!E26)</f>
        <v>6602.9440000000004</v>
      </c>
      <c r="F26" s="10">
        <f t="shared" si="6"/>
        <v>-2343.5825940000004</v>
      </c>
      <c r="G26" s="11">
        <f t="shared" si="7"/>
        <v>-0.3549299515488849</v>
      </c>
      <c r="H26" s="12">
        <f>SUM(Jan!H26,Feb!H26,Mar!H26)</f>
        <v>12343.55</v>
      </c>
      <c r="I26" s="12">
        <f>SUM(Jan!I26,Feb!I26,Mar!I26)</f>
        <v>-8084.1885939999993</v>
      </c>
      <c r="J26" s="13">
        <f t="shared" si="8"/>
        <v>-0.65493221917519673</v>
      </c>
    </row>
    <row r="27" spans="1:10" ht="15.6">
      <c r="A27" s="26" t="str">
        <v>EMHC</v>
      </c>
      <c r="B27" s="27" t="str">
        <v>NY</v>
      </c>
      <c r="C27" s="27" t="str">
        <f>Sites[[#This Row],[SOL'#]]</f>
        <v>SOL-10351</v>
      </c>
      <c r="D27" s="16">
        <f>SUM(Jan!D27,Feb!D27,Mar!D27)</f>
        <v>1375.359375</v>
      </c>
      <c r="E27" s="16">
        <f>SUM(Jan!E27,Feb!E27,Mar!E27)</f>
        <v>1501.0419999999999</v>
      </c>
      <c r="F27" s="14">
        <f t="shared" si="6"/>
        <v>-125.68262499999992</v>
      </c>
      <c r="G27" s="15">
        <f t="shared" si="7"/>
        <v>-8.3730252051574791E-2</v>
      </c>
      <c r="H27" s="16">
        <f>SUM(Jan!H27,Feb!H27,Mar!H27)</f>
        <v>2307.806</v>
      </c>
      <c r="I27" s="16">
        <f>SUM(Jan!I27,Feb!I27,Mar!I27)</f>
        <v>-932.44662500000004</v>
      </c>
      <c r="J27" s="15">
        <f t="shared" si="8"/>
        <v>-0.40404029844796313</v>
      </c>
    </row>
    <row r="28" spans="1:10" ht="15.6">
      <c r="A28" s="24" t="str">
        <v>Q008</v>
      </c>
      <c r="B28" s="25" t="str">
        <v>NY</v>
      </c>
      <c r="C28" s="25" t="str">
        <f>Sites[[#This Row],[SOL'#]]</f>
        <v>SOL-10397</v>
      </c>
      <c r="D28" s="20">
        <f>SUM(Jan!D28,Feb!D28,Mar!D28)</f>
        <v>7064.75</v>
      </c>
      <c r="E28" s="10">
        <f>SUM(Jan!E28,Feb!E28,Mar!E28)</f>
        <v>10490.4</v>
      </c>
      <c r="F28" s="10">
        <f t="shared" si="6"/>
        <v>-3425.6499999999996</v>
      </c>
      <c r="G28" s="11">
        <f t="shared" si="7"/>
        <v>-0.32655094181346755</v>
      </c>
      <c r="H28" s="12">
        <f>SUM(Jan!H28,Feb!H28,Mar!H28)</f>
        <v>10992</v>
      </c>
      <c r="I28" s="12">
        <f>SUM(Jan!I28,Feb!I28,Mar!I28)</f>
        <v>-3927.25</v>
      </c>
      <c r="J28" s="13">
        <f t="shared" si="8"/>
        <v>-0.35728256914119361</v>
      </c>
    </row>
    <row r="29" spans="1:10" ht="15.6">
      <c r="A29" s="26" t="str">
        <v>Q018</v>
      </c>
      <c r="B29" s="27" t="str">
        <v>NY</v>
      </c>
      <c r="C29" s="27" t="str">
        <f>Sites[[#This Row],[SOL'#]]</f>
        <v>SOL-10398</v>
      </c>
      <c r="D29" s="16">
        <f>SUM(Jan!D29,Feb!D29,Mar!D29)</f>
        <v>4452.3125</v>
      </c>
      <c r="E29" s="16">
        <f>SUM(Jan!E29,Feb!E29,Mar!E29)</f>
        <v>6553.9470000000001</v>
      </c>
      <c r="F29" s="14">
        <f t="shared" si="6"/>
        <v>-2101.6345000000001</v>
      </c>
      <c r="G29" s="15">
        <f t="shared" si="7"/>
        <v>-0.32066699654421987</v>
      </c>
      <c r="H29" s="16">
        <f>SUM(Jan!H29,Feb!H29,Mar!H29)</f>
        <v>6648.9219999999996</v>
      </c>
      <c r="I29" s="16">
        <f>SUM(Jan!I29,Feb!I29,Mar!I29)</f>
        <v>-2196.6094999999996</v>
      </c>
      <c r="J29" s="15">
        <f t="shared" si="8"/>
        <v>-0.33037077288619116</v>
      </c>
    </row>
    <row r="30" spans="1:10" ht="15.6">
      <c r="A30" s="24" t="str">
        <v>Q021</v>
      </c>
      <c r="B30" s="25" t="str">
        <v>NY</v>
      </c>
      <c r="C30" s="25" t="str">
        <f>Sites[[#This Row],[SOL'#]]</f>
        <v>SOL-10399</v>
      </c>
      <c r="D30" s="20">
        <f>SUM(Jan!D30,Feb!D30,Mar!D30)</f>
        <v>3531.9375</v>
      </c>
      <c r="E30" s="10">
        <f>SUM(Jan!E30,Feb!E30,Mar!E30)</f>
        <v>8384.7279999999992</v>
      </c>
      <c r="F30" s="10">
        <f t="shared" si="6"/>
        <v>-4852.7904999999992</v>
      </c>
      <c r="G30" s="11">
        <f t="shared" si="7"/>
        <v>-0.57876540538941745</v>
      </c>
      <c r="H30" s="12">
        <f>SUM(Jan!H30,Feb!H30,Mar!H30)</f>
        <v>5197.5469999999996</v>
      </c>
      <c r="I30" s="12">
        <f>SUM(Jan!I30,Feb!I30,Mar!I30)</f>
        <v>-1665.6094999999996</v>
      </c>
      <c r="J30" s="13">
        <f t="shared" si="8"/>
        <v>-0.32046069039875918</v>
      </c>
    </row>
    <row r="31" spans="1:10" ht="15.6">
      <c r="A31" s="26" t="str">
        <v>Q025</v>
      </c>
      <c r="B31" s="27" t="str">
        <v>NY</v>
      </c>
      <c r="C31" s="27" t="str">
        <f>Sites[[#This Row],[SOL'#]]</f>
        <v>SOL-10400</v>
      </c>
      <c r="D31" s="16">
        <f>SUM(Jan!D31,Feb!D31,Mar!D31)</f>
        <v>6147.875</v>
      </c>
      <c r="E31" s="16">
        <f>SUM(Jan!E31,Feb!E31,Mar!E31)</f>
        <v>8484.7350000000006</v>
      </c>
      <c r="F31" s="14">
        <f t="shared" si="6"/>
        <v>-2336.8600000000006</v>
      </c>
      <c r="G31" s="15">
        <f t="shared" si="7"/>
        <v>-0.27541932659063606</v>
      </c>
      <c r="H31" s="16">
        <f>SUM(Jan!H31,Feb!H31,Mar!H31)</f>
        <v>7767</v>
      </c>
      <c r="I31" s="16">
        <f>SUM(Jan!I31,Feb!I31,Mar!I31)</f>
        <v>-1619.125</v>
      </c>
      <c r="J31" s="15">
        <f t="shared" si="8"/>
        <v>-0.20846208317239603</v>
      </c>
    </row>
    <row r="32" spans="1:10" ht="15.6">
      <c r="A32" s="24" t="str">
        <v>Q074</v>
      </c>
      <c r="B32" s="25" t="str">
        <v>NY</v>
      </c>
      <c r="C32" s="25" t="str">
        <f>Sites[[#This Row],[SOL'#]]</f>
        <v>SOL-10402</v>
      </c>
      <c r="D32" s="20">
        <f>SUM(Jan!D32,Feb!D32,Mar!D32)</f>
        <v>0</v>
      </c>
      <c r="E32" s="10">
        <f>SUM(Jan!E32,Feb!E32,Mar!E32)</f>
        <v>0</v>
      </c>
      <c r="F32" s="10">
        <f t="shared" si="6"/>
        <v>0</v>
      </c>
      <c r="G32" s="11" t="str">
        <f t="shared" si="7"/>
        <v/>
      </c>
      <c r="H32" s="12">
        <f>SUM(Jan!H32,Feb!H32,Mar!H32)</f>
        <v>0</v>
      </c>
      <c r="I32" s="12">
        <f>SUM(Jan!I32,Feb!I32,Mar!I32)</f>
        <v>0</v>
      </c>
      <c r="J32" s="13" t="str">
        <f t="shared" si="8"/>
        <v/>
      </c>
    </row>
    <row r="33" spans="1:10" ht="15.6">
      <c r="A33" s="26" t="str">
        <v>Q115</v>
      </c>
      <c r="B33" s="27" t="str">
        <v>NY</v>
      </c>
      <c r="C33" s="27" t="str">
        <f>Sites[[#This Row],[SOL'#]]</f>
        <v>SOL-10872</v>
      </c>
      <c r="D33" s="16">
        <f>SUM(Jan!D33,Feb!D33,Mar!D33)</f>
        <v>4946.6875</v>
      </c>
      <c r="E33" s="16">
        <f>SUM(Jan!E33,Feb!E33,Mar!E33)</f>
        <v>7759.4960000000001</v>
      </c>
      <c r="F33" s="14">
        <f t="shared" si="6"/>
        <v>-2812.8085000000001</v>
      </c>
      <c r="G33" s="15">
        <f t="shared" si="7"/>
        <v>-0.36249886590572378</v>
      </c>
      <c r="H33" s="16">
        <f>SUM(Jan!H33,Feb!H33,Mar!H33)</f>
        <v>8113.7629999999999</v>
      </c>
      <c r="I33" s="16">
        <f>SUM(Jan!I33,Feb!I33,Mar!I33)</f>
        <v>-3167.0754999999999</v>
      </c>
      <c r="J33" s="15">
        <f t="shared" si="8"/>
        <v>-0.3903337452671467</v>
      </c>
    </row>
    <row r="34" spans="1:10" ht="15.6">
      <c r="A34" s="24" t="str">
        <v>Q139</v>
      </c>
      <c r="B34" s="25" t="str">
        <v>NY</v>
      </c>
      <c r="C34" s="25" t="str">
        <f>Sites[[#This Row],[SOL'#]]</f>
        <v>SOL-10403</v>
      </c>
      <c r="D34" s="20">
        <f>SUM(Jan!D34,Feb!D34,Mar!D34)</f>
        <v>2738.25</v>
      </c>
      <c r="E34" s="10">
        <f>SUM(Jan!E34,Feb!E34,Mar!E34)</f>
        <v>5967.6580000000004</v>
      </c>
      <c r="F34" s="10">
        <f t="shared" si="6"/>
        <v>-3229.4080000000004</v>
      </c>
      <c r="G34" s="11">
        <f t="shared" si="7"/>
        <v>-0.54115165446813474</v>
      </c>
      <c r="H34" s="12">
        <f>SUM(Jan!H34,Feb!H34,Mar!H34)</f>
        <v>5168</v>
      </c>
      <c r="I34" s="12">
        <f>SUM(Jan!I34,Feb!I34,Mar!I34)</f>
        <v>-2429.75</v>
      </c>
      <c r="J34" s="13">
        <f t="shared" si="8"/>
        <v>-0.47015286377708976</v>
      </c>
    </row>
    <row r="35" spans="1:10" ht="15.6">
      <c r="A35" s="26" t="str">
        <v>Q157</v>
      </c>
      <c r="B35" s="27" t="str">
        <v>NY</v>
      </c>
      <c r="C35" s="27" t="str">
        <f>Sites[[#This Row],[SOL'#]]</f>
        <v>SOL-10404</v>
      </c>
      <c r="D35" s="16">
        <f>SUM(Jan!D35,Feb!D35,Mar!D35)</f>
        <v>5387.076521</v>
      </c>
      <c r="E35" s="16">
        <f>SUM(Jan!E35,Feb!E35,Mar!E35)</f>
        <v>13435.68</v>
      </c>
      <c r="F35" s="14">
        <f t="shared" si="6"/>
        <v>-8048.6034790000003</v>
      </c>
      <c r="G35" s="15">
        <f t="shared" si="7"/>
        <v>-0.5990469763346552</v>
      </c>
      <c r="H35" s="16">
        <f>SUM(Jan!H35,Feb!H35,Mar!H35)</f>
        <v>9154.3019999999997</v>
      </c>
      <c r="I35" s="16">
        <f>SUM(Jan!I35,Feb!I35,Mar!I35)</f>
        <v>-3767.2254789999997</v>
      </c>
      <c r="J35" s="15">
        <f t="shared" si="8"/>
        <v>-0.41152514730232842</v>
      </c>
    </row>
    <row r="36" spans="1:10" ht="15.6">
      <c r="A36" s="24" t="str">
        <v>Q192</v>
      </c>
      <c r="B36" s="25" t="str">
        <v>NY</v>
      </c>
      <c r="C36" s="25" t="str">
        <f>Sites[[#This Row],[SOL'#]]</f>
        <v>SOL-10406</v>
      </c>
      <c r="D36" s="20">
        <f>SUM(Jan!D36,Feb!D36,Mar!D36)</f>
        <v>8066.875</v>
      </c>
      <c r="E36" s="10">
        <f>SUM(Jan!E36,Feb!E36,Mar!E36)</f>
        <v>13154.35</v>
      </c>
      <c r="F36" s="10">
        <f t="shared" si="6"/>
        <v>-5087.4750000000004</v>
      </c>
      <c r="G36" s="11">
        <f t="shared" si="7"/>
        <v>-0.38675229106721354</v>
      </c>
      <c r="H36" s="12">
        <f>SUM(Jan!H36,Feb!H36,Mar!H36)</f>
        <v>13840.9</v>
      </c>
      <c r="I36" s="12">
        <f>SUM(Jan!I36,Feb!I36,Mar!I36)</f>
        <v>-5774.0249999999996</v>
      </c>
      <c r="J36" s="13">
        <f t="shared" si="8"/>
        <v>-0.41717120996466989</v>
      </c>
    </row>
    <row r="37" spans="1:10" ht="15.6">
      <c r="A37" s="26" t="str">
        <v>Q210</v>
      </c>
      <c r="B37" s="27" t="str">
        <v>NY</v>
      </c>
      <c r="C37" s="27" t="str">
        <f>Sites[[#This Row],[SOL'#]]</f>
        <v>SOL-10407</v>
      </c>
      <c r="D37" s="16">
        <f>SUM(Jan!D37,Feb!D37,Mar!D37)</f>
        <v>7166</v>
      </c>
      <c r="E37" s="16">
        <f>SUM(Jan!E37,Feb!E37,Mar!E37)</f>
        <v>9278.7729999999992</v>
      </c>
      <c r="F37" s="14">
        <f t="shared" si="6"/>
        <v>-2112.7729999999992</v>
      </c>
      <c r="G37" s="15">
        <f t="shared" si="7"/>
        <v>-0.22769961071361478</v>
      </c>
      <c r="H37" s="16">
        <f>SUM(Jan!H37,Feb!H37,Mar!H37)</f>
        <v>11622</v>
      </c>
      <c r="I37" s="16">
        <f>SUM(Jan!I37,Feb!I37,Mar!I37)</f>
        <v>-4456</v>
      </c>
      <c r="J37" s="15">
        <f t="shared" si="8"/>
        <v>-0.38341077267251766</v>
      </c>
    </row>
    <row r="38" spans="1:10" ht="15.6">
      <c r="A38" s="24" t="str">
        <v>Q229</v>
      </c>
      <c r="B38" s="25" t="str">
        <v>NY</v>
      </c>
      <c r="C38" s="25" t="str">
        <f>Sites[[#This Row],[SOL'#]]</f>
        <v>SOL-10408</v>
      </c>
      <c r="D38" s="20">
        <f>SUM(Jan!D38,Feb!D38,Mar!D38)</f>
        <v>2652.625</v>
      </c>
      <c r="E38" s="10">
        <f>SUM(Jan!E38,Feb!E38,Mar!E38)</f>
        <v>6651.4849999999997</v>
      </c>
      <c r="F38" s="10">
        <f t="shared" si="6"/>
        <v>-3998.8599999999997</v>
      </c>
      <c r="G38" s="11">
        <f t="shared" si="7"/>
        <v>-0.60119807832386296</v>
      </c>
      <c r="H38" s="12">
        <f>SUM(Jan!H38,Feb!H38,Mar!H38)</f>
        <v>3668.6909999999998</v>
      </c>
      <c r="I38" s="12">
        <f>SUM(Jan!I38,Feb!I38,Mar!I38)</f>
        <v>-1016.0659999999998</v>
      </c>
      <c r="J38" s="13">
        <f t="shared" si="8"/>
        <v>-0.27695600419877275</v>
      </c>
    </row>
    <row r="39" spans="1:10" ht="15.6">
      <c r="A39" s="26" t="str">
        <v>Q231</v>
      </c>
      <c r="B39" s="27" t="str">
        <v>NY</v>
      </c>
      <c r="C39" s="27" t="str">
        <f>Sites[[#This Row],[SOL'#]]</f>
        <v>SOL-10870</v>
      </c>
      <c r="D39" s="16">
        <f>SUM(Jan!D39,Feb!D39,Mar!D39)</f>
        <v>11856.375</v>
      </c>
      <c r="E39" s="16">
        <f>SUM(Jan!E39,Feb!E39,Mar!E39)</f>
        <v>20736.96</v>
      </c>
      <c r="F39" s="14">
        <f t="shared" si="6"/>
        <v>-8880.5849999999991</v>
      </c>
      <c r="G39" s="15">
        <f t="shared" si="7"/>
        <v>-0.42824912619786121</v>
      </c>
      <c r="H39" s="16">
        <f>SUM(Jan!H39,Feb!H39,Mar!H39)</f>
        <v>16899</v>
      </c>
      <c r="I39" s="16">
        <f>SUM(Jan!I39,Feb!I39,Mar!I39)</f>
        <v>-5042.625</v>
      </c>
      <c r="J39" s="15">
        <f t="shared" si="8"/>
        <v>-0.29839783419137228</v>
      </c>
    </row>
    <row r="40" spans="1:10" ht="15.6">
      <c r="A40" s="24" t="str">
        <v>Q405</v>
      </c>
      <c r="B40" s="25" t="str">
        <v>NY</v>
      </c>
      <c r="C40" s="25" t="str">
        <f>Sites[[#This Row],[SOL'#]]</f>
        <v>SOL-10409</v>
      </c>
      <c r="D40" s="20">
        <f>SUM(Jan!D40,Feb!D40,Mar!D40)</f>
        <v>13574</v>
      </c>
      <c r="E40" s="10">
        <f>SUM(Jan!E40,Feb!E40,Mar!E40)</f>
        <v>20233.849999999999</v>
      </c>
      <c r="F40" s="10">
        <f t="shared" si="6"/>
        <v>-6659.8499999999985</v>
      </c>
      <c r="G40" s="11">
        <f t="shared" si="7"/>
        <v>-0.32914398396746042</v>
      </c>
      <c r="H40" s="12">
        <f>SUM(Jan!H40,Feb!H40,Mar!H40)</f>
        <v>20674.02</v>
      </c>
      <c r="I40" s="12">
        <f>SUM(Jan!I40,Feb!I40,Mar!I40)</f>
        <v>-7100.02</v>
      </c>
      <c r="J40" s="13">
        <f t="shared" si="8"/>
        <v>-0.34342716123908174</v>
      </c>
    </row>
    <row r="41" spans="1:10" ht="15.6">
      <c r="A41" s="26" t="str">
        <v>Q435</v>
      </c>
      <c r="B41" s="27" t="str">
        <v>NY</v>
      </c>
      <c r="C41" s="27" t="str">
        <f>Sites[[#This Row],[SOL'#]]</f>
        <v>SOL-10923</v>
      </c>
      <c r="D41" s="16">
        <f>SUM(Jan!D41,Feb!D41,Mar!D41)</f>
        <v>17258.625</v>
      </c>
      <c r="E41" s="16">
        <f>SUM(Jan!E41,Feb!E41,Mar!E41)</f>
        <v>15813.72</v>
      </c>
      <c r="F41" s="14">
        <f t="shared" si="6"/>
        <v>1444.9050000000007</v>
      </c>
      <c r="G41" s="15">
        <f t="shared" si="7"/>
        <v>9.1370341703280483E-2</v>
      </c>
      <c r="H41" s="16">
        <f>SUM(Jan!H41,Feb!H41,Mar!H41)</f>
        <v>25692</v>
      </c>
      <c r="I41" s="16">
        <f>SUM(Jan!I41,Feb!I41,Mar!I41)</f>
        <v>-8433.375</v>
      </c>
      <c r="J41" s="15">
        <f t="shared" si="8"/>
        <v>-0.32824906585707614</v>
      </c>
    </row>
    <row r="42" spans="1:10" ht="15.6">
      <c r="A42" s="24" t="str">
        <v>Q485</v>
      </c>
      <c r="B42" s="25" t="str">
        <v>NY</v>
      </c>
      <c r="C42" s="25" t="str">
        <f>Sites[[#This Row],[SOL'#]]</f>
        <v>SOL-10869</v>
      </c>
      <c r="D42" s="20">
        <f>SUM(Jan!D42,Feb!D42,Mar!D42)</f>
        <v>14504.25</v>
      </c>
      <c r="E42" s="10">
        <f>SUM(Jan!E42,Feb!E42,Mar!E42)</f>
        <v>17360.88</v>
      </c>
      <c r="F42" s="10">
        <f t="shared" si="6"/>
        <v>-2856.630000000001</v>
      </c>
      <c r="G42" s="11">
        <f t="shared" si="7"/>
        <v>-0.16454407841077184</v>
      </c>
      <c r="H42" s="12">
        <f>SUM(Jan!H42,Feb!H42,Mar!H42)</f>
        <v>23708.84</v>
      </c>
      <c r="I42" s="12">
        <f>SUM(Jan!I42,Feb!I42,Mar!I42)</f>
        <v>-9204.59</v>
      </c>
      <c r="J42" s="13">
        <f t="shared" si="8"/>
        <v>-0.38823451505851825</v>
      </c>
    </row>
    <row r="43" spans="1:10" ht="15.6">
      <c r="A43" s="26" t="str">
        <v>Q490</v>
      </c>
      <c r="B43" s="27" t="str">
        <v>NY</v>
      </c>
      <c r="C43" s="27" t="str">
        <f>Sites[[#This Row],[SOL'#]]</f>
        <v>SOL-10411</v>
      </c>
      <c r="D43" s="16">
        <f>SUM(Jan!D43,Feb!D43,Mar!D43)</f>
        <v>10624.25</v>
      </c>
      <c r="E43" s="16">
        <f>SUM(Jan!E43,Feb!E43,Mar!E43)</f>
        <v>0</v>
      </c>
      <c r="F43" s="14">
        <f t="shared" si="6"/>
        <v>10624.25</v>
      </c>
      <c r="G43" s="15" t="str">
        <f t="shared" si="7"/>
        <v/>
      </c>
      <c r="H43" s="16">
        <f>SUM(Jan!H43,Feb!H43,Mar!H43)</f>
        <v>16762.39</v>
      </c>
      <c r="I43" s="16">
        <f>SUM(Jan!I43,Feb!I43,Mar!I43)</f>
        <v>-6138.1399999999994</v>
      </c>
      <c r="J43" s="15">
        <f t="shared" si="8"/>
        <v>-0.36618525162581228</v>
      </c>
    </row>
    <row r="44" spans="1:10" ht="15.6">
      <c r="A44" s="24" t="str">
        <v>Q620</v>
      </c>
      <c r="B44" s="25" t="str">
        <v>NY</v>
      </c>
      <c r="C44" s="25" t="str">
        <f>Sites[[#This Row],[SOL'#]]</f>
        <v>SOL-10867</v>
      </c>
      <c r="D44" s="20">
        <f>SUM(Jan!D44,Feb!D44,Mar!D44)</f>
        <v>16495</v>
      </c>
      <c r="E44" s="10">
        <f>SUM(Jan!E44,Feb!E44,Mar!E44)</f>
        <v>22544.46</v>
      </c>
      <c r="F44" s="10">
        <f t="shared" si="6"/>
        <v>-6049.4599999999991</v>
      </c>
      <c r="G44" s="11">
        <f t="shared" si="7"/>
        <v>-0.26833465960151626</v>
      </c>
      <c r="H44" s="12">
        <f>SUM(Jan!H44,Feb!H44,Mar!H44)</f>
        <v>27145.16</v>
      </c>
      <c r="I44" s="12">
        <f>SUM(Jan!I44,Feb!I44,Mar!I44)</f>
        <v>-10650.16</v>
      </c>
      <c r="J44" s="13">
        <f t="shared" si="8"/>
        <v>-0.39234102875061339</v>
      </c>
    </row>
    <row r="45" spans="1:10" ht="15.6">
      <c r="A45" s="26" t="str">
        <v>QMOA</v>
      </c>
      <c r="B45" s="27" t="str">
        <v>NY</v>
      </c>
      <c r="C45" s="27" t="str">
        <f>Sites[[#This Row],[SOL'#]]</f>
        <v>SOL-10415</v>
      </c>
      <c r="D45" s="16">
        <f>SUM(Jan!D45,Feb!D45,Mar!D45)</f>
        <v>1603.1</v>
      </c>
      <c r="E45" s="16">
        <f>SUM(Jan!E45,Feb!E45,Mar!E45)</f>
        <v>0</v>
      </c>
      <c r="F45" s="14">
        <f t="shared" si="6"/>
        <v>1603.1</v>
      </c>
      <c r="G45" s="15" t="str">
        <f t="shared" si="7"/>
        <v/>
      </c>
      <c r="H45" s="16">
        <f>SUM(Jan!H45,Feb!H45,Mar!H45)</f>
        <v>2917.413</v>
      </c>
      <c r="I45" s="16">
        <f>SUM(Jan!I45,Feb!I45,Mar!I45)</f>
        <v>-1314.3130000000001</v>
      </c>
      <c r="J45" s="15">
        <f t="shared" si="8"/>
        <v>-0.45050632186803857</v>
      </c>
    </row>
    <row r="46" spans="1:10" ht="15.6">
      <c r="A46" s="24" t="str">
        <v>X024</v>
      </c>
      <c r="B46" s="25" t="str">
        <v>NY</v>
      </c>
      <c r="C46" s="25" t="str">
        <f>Sites[[#This Row],[SOL'#]]</f>
        <v>SOL-10419</v>
      </c>
      <c r="D46" s="20">
        <f>SUM(Jan!D46,Feb!D46,Mar!D46)</f>
        <v>4890.84375</v>
      </c>
      <c r="E46" s="10">
        <f>SUM(Jan!E46,Feb!E46,Mar!E46)</f>
        <v>8802.6849999999995</v>
      </c>
      <c r="F46" s="10">
        <f t="shared" si="6"/>
        <v>-3911.8412499999995</v>
      </c>
      <c r="G46" s="11">
        <f t="shared" si="7"/>
        <v>-0.44439182476710226</v>
      </c>
      <c r="H46" s="12">
        <f>SUM(Jan!H46,Feb!H46,Mar!H46)</f>
        <v>8671</v>
      </c>
      <c r="I46" s="12">
        <f>SUM(Jan!I46,Feb!I46,Mar!I46)</f>
        <v>-3780.15625</v>
      </c>
      <c r="J46" s="13">
        <f t="shared" si="8"/>
        <v>-0.43595389805097451</v>
      </c>
    </row>
    <row r="47" spans="1:10" ht="15.6">
      <c r="A47" s="26" t="str">
        <v>X026</v>
      </c>
      <c r="B47" s="27" t="str">
        <v>NY</v>
      </c>
      <c r="C47" s="27" t="str">
        <f>Sites[[#This Row],[SOL'#]]</f>
        <v>SOL-10420</v>
      </c>
      <c r="D47" s="16">
        <f>SUM(Jan!D47,Feb!D47,Mar!D47)</f>
        <v>4731.6000000000004</v>
      </c>
      <c r="E47" s="16">
        <f>SUM(Jan!E47,Feb!E47,Mar!E47)</f>
        <v>10554.32</v>
      </c>
      <c r="F47" s="14">
        <f t="shared" si="6"/>
        <v>-5822.7199999999993</v>
      </c>
      <c r="G47" s="15">
        <f t="shared" si="7"/>
        <v>-0.55169068210931638</v>
      </c>
      <c r="H47" s="16">
        <f>SUM(Jan!H47,Feb!H47,Mar!H47)</f>
        <v>11071.89</v>
      </c>
      <c r="I47" s="16">
        <f>SUM(Jan!I47,Feb!I47,Mar!I47)</f>
        <v>-6340.2899999999991</v>
      </c>
      <c r="J47" s="15">
        <f t="shared" si="8"/>
        <v>-0.57264748836919432</v>
      </c>
    </row>
    <row r="48" spans="1:10" ht="15.6">
      <c r="A48" s="24" t="str">
        <v>X090</v>
      </c>
      <c r="B48" s="25" t="str">
        <v>NY</v>
      </c>
      <c r="C48" s="25" t="str">
        <f>Sites[[#This Row],[SOL'#]]</f>
        <v>SOL-10925</v>
      </c>
      <c r="D48" s="20">
        <f>SUM(Jan!D48,Feb!D48,Mar!D48)</f>
        <v>4833.5625</v>
      </c>
      <c r="E48" s="10">
        <f>SUM(Jan!E48,Feb!E48,Mar!E48)</f>
        <v>4545.3639999999996</v>
      </c>
      <c r="F48" s="10">
        <f t="shared" si="6"/>
        <v>288.19850000000042</v>
      </c>
      <c r="G48" s="11">
        <f t="shared" si="7"/>
        <v>6.3404933026265986E-2</v>
      </c>
      <c r="H48" s="12">
        <f>SUM(Jan!H48,Feb!H48,Mar!H48)</f>
        <v>7353</v>
      </c>
      <c r="I48" s="12">
        <f>SUM(Jan!I48,Feb!I48,Mar!I48)</f>
        <v>-2519.4375</v>
      </c>
      <c r="J48" s="13">
        <f t="shared" si="8"/>
        <v>-0.34264075887392903</v>
      </c>
    </row>
    <row r="49" spans="1:10" ht="15.6">
      <c r="A49" s="26" t="str">
        <v>X117</v>
      </c>
      <c r="B49" s="27" t="str">
        <v>NY</v>
      </c>
      <c r="C49" s="27" t="str">
        <f>Sites[[#This Row],[SOL'#]]</f>
        <v>SOL-10422</v>
      </c>
      <c r="D49" s="16">
        <f>SUM(Jan!D49,Feb!D49,Mar!D49)</f>
        <v>3511.7</v>
      </c>
      <c r="E49" s="16">
        <f>SUM(Jan!E49,Feb!E49,Mar!E49)</f>
        <v>8875.3150000000005</v>
      </c>
      <c r="F49" s="14">
        <f t="shared" si="6"/>
        <v>-5363.6150000000007</v>
      </c>
      <c r="G49" s="15">
        <f t="shared" si="7"/>
        <v>-0.60432953647278997</v>
      </c>
      <c r="H49" s="16">
        <f>SUM(Jan!H49,Feb!H49,Mar!H49)</f>
        <v>6501.3770000000004</v>
      </c>
      <c r="I49" s="16">
        <f>SUM(Jan!I49,Feb!I49,Mar!I49)</f>
        <v>-2989.6770000000006</v>
      </c>
      <c r="J49" s="15">
        <f t="shared" si="8"/>
        <v>-0.45985288962630538</v>
      </c>
    </row>
    <row r="50" spans="1:10" ht="15.6">
      <c r="A50" s="24" t="str">
        <v>X125</v>
      </c>
      <c r="B50" s="25" t="str">
        <v>NY</v>
      </c>
      <c r="C50" s="25" t="str">
        <f>Sites[[#This Row],[SOL'#]]</f>
        <v>SOL-10423</v>
      </c>
      <c r="D50" s="20">
        <f>SUM(Jan!D50,Feb!D50,Mar!D50)</f>
        <v>7310.875</v>
      </c>
      <c r="E50" s="10">
        <f>SUM(Jan!E50,Feb!E50,Mar!E50)</f>
        <v>11094.59</v>
      </c>
      <c r="F50" s="10">
        <f t="shared" si="6"/>
        <v>-3783.7150000000001</v>
      </c>
      <c r="G50" s="11">
        <f t="shared" si="7"/>
        <v>-0.34104144452386254</v>
      </c>
      <c r="H50" s="12">
        <f>SUM(Jan!H50,Feb!H50,Mar!H50)</f>
        <v>11925.9</v>
      </c>
      <c r="I50" s="12">
        <f>SUM(Jan!I50,Feb!I50,Mar!I50)</f>
        <v>-4615.0249999999996</v>
      </c>
      <c r="J50" s="13">
        <f t="shared" si="8"/>
        <v>-0.38697498721270512</v>
      </c>
    </row>
    <row r="51" spans="1:10" ht="15.6">
      <c r="A51" s="26" t="str">
        <v>X134</v>
      </c>
      <c r="B51" s="27" t="str">
        <v>NY</v>
      </c>
      <c r="C51" s="27" t="str">
        <f>Sites[[#This Row],[SOL'#]]</f>
        <v>SOL-10424</v>
      </c>
      <c r="D51" s="16">
        <f>SUM(Jan!D51,Feb!D51,Mar!D51)</f>
        <v>3410.9613690000001</v>
      </c>
      <c r="E51" s="16">
        <f>SUM(Jan!E51,Feb!E51,Mar!E51)</f>
        <v>11836.37</v>
      </c>
      <c r="F51" s="14">
        <f t="shared" si="6"/>
        <v>-8425.4086310000002</v>
      </c>
      <c r="G51" s="15">
        <f t="shared" si="7"/>
        <v>-0.71182369518695343</v>
      </c>
      <c r="H51" s="16">
        <f>SUM(Jan!H51,Feb!H51,Mar!H51)</f>
        <v>10182</v>
      </c>
      <c r="I51" s="16">
        <f>SUM(Jan!I51,Feb!I51,Mar!I51)</f>
        <v>-6771.0386309999994</v>
      </c>
      <c r="J51" s="15">
        <f t="shared" si="8"/>
        <v>-0.66500084767236289</v>
      </c>
    </row>
    <row r="52" spans="1:10" ht="15.6">
      <c r="A52" s="24" t="str">
        <v>X135</v>
      </c>
      <c r="B52" s="25" t="str">
        <v>NY</v>
      </c>
      <c r="C52" s="25" t="str">
        <f>Sites[[#This Row],[SOL'#]]</f>
        <v>SOL-10425</v>
      </c>
      <c r="D52" s="20">
        <f>SUM(Jan!D52,Feb!D52,Mar!D52)</f>
        <v>5787.375</v>
      </c>
      <c r="E52" s="10">
        <f>SUM(Jan!E52,Feb!E52,Mar!E52)</f>
        <v>10788.78</v>
      </c>
      <c r="F52" s="10">
        <f t="shared" si="6"/>
        <v>-5001.4050000000007</v>
      </c>
      <c r="G52" s="11">
        <f t="shared" si="7"/>
        <v>-0.46357465811704385</v>
      </c>
      <c r="H52" s="12">
        <f>SUM(Jan!H52,Feb!H52,Mar!H52)</f>
        <v>9790</v>
      </c>
      <c r="I52" s="12">
        <f>SUM(Jan!I52,Feb!I52,Mar!I52)</f>
        <v>-4002.625</v>
      </c>
      <c r="J52" s="13">
        <f t="shared" si="8"/>
        <v>-0.40884831460674159</v>
      </c>
    </row>
    <row r="53" spans="1:10" ht="15.6">
      <c r="A53" s="26" t="str">
        <v>X139 JHS 222</v>
      </c>
      <c r="B53" s="27" t="str">
        <v>NY</v>
      </c>
      <c r="C53" s="27" t="str">
        <f>Sites[[#This Row],[SOL'#]]</f>
        <v>SOL-10426</v>
      </c>
      <c r="D53" s="16">
        <f>SUM(Jan!D53,Feb!D53,Mar!D53)</f>
        <v>8569.5006890000004</v>
      </c>
      <c r="E53" s="16">
        <f>SUM(Jan!E53,Feb!E53,Mar!E53)</f>
        <v>11357.54</v>
      </c>
      <c r="F53" s="14">
        <f t="shared" si="6"/>
        <v>-2788.0393110000005</v>
      </c>
      <c r="G53" s="15">
        <f t="shared" si="7"/>
        <v>-0.24547915402455112</v>
      </c>
      <c r="H53" s="16">
        <f>SUM(Jan!H53,Feb!H53,Mar!H53)</f>
        <v>12346</v>
      </c>
      <c r="I53" s="16">
        <f>SUM(Jan!I53,Feb!I53,Mar!I53)</f>
        <v>-3776.4993109999996</v>
      </c>
      <c r="J53" s="15">
        <f t="shared" si="8"/>
        <v>-0.30588849109023164</v>
      </c>
    </row>
    <row r="54" spans="1:10" ht="15.6">
      <c r="A54" s="24" t="str">
        <v>X140</v>
      </c>
      <c r="B54" s="25" t="str">
        <v>NY</v>
      </c>
      <c r="C54" s="25" t="str">
        <f>Sites[[#This Row],[SOL'#]]</f>
        <v>SOL-10926</v>
      </c>
      <c r="D54" s="20">
        <f>SUM(Jan!D54,Feb!D54,Mar!D54)</f>
        <v>5337.15625</v>
      </c>
      <c r="E54" s="10">
        <f>SUM(Jan!E54,Feb!E54,Mar!E54)</f>
        <v>8083.3050000000003</v>
      </c>
      <c r="F54" s="10">
        <f t="shared" si="6"/>
        <v>-2746.1487500000003</v>
      </c>
      <c r="G54" s="11">
        <f t="shared" si="7"/>
        <v>-0.33973093307749741</v>
      </c>
      <c r="H54" s="12">
        <f>SUM(Jan!H54,Feb!H54,Mar!H54)</f>
        <v>8234</v>
      </c>
      <c r="I54" s="12">
        <f>SUM(Jan!I54,Feb!I54,Mar!I54)</f>
        <v>-2896.84375</v>
      </c>
      <c r="J54" s="13">
        <f t="shared" si="8"/>
        <v>-0.35181488341025019</v>
      </c>
    </row>
    <row r="55" spans="1:10" ht="15.6">
      <c r="A55" s="26" t="str">
        <v>X166</v>
      </c>
      <c r="B55" s="27" t="str">
        <v>NY</v>
      </c>
      <c r="C55" s="27" t="str">
        <f>Sites[[#This Row],[SOL'#]]</f>
        <v>SOL-10427</v>
      </c>
      <c r="D55" s="16">
        <f>SUM(Jan!D55,Feb!D55,Mar!D55)</f>
        <v>5113.3</v>
      </c>
      <c r="E55" s="16">
        <f>SUM(Jan!E55,Feb!E55,Mar!E55)</f>
        <v>8835.4339999999993</v>
      </c>
      <c r="F55" s="14">
        <f t="shared" si="6"/>
        <v>-3722.1339999999991</v>
      </c>
      <c r="G55" s="15">
        <f t="shared" si="7"/>
        <v>-0.42127347677544752</v>
      </c>
      <c r="H55" s="16">
        <f>SUM(Jan!H55,Feb!H55,Mar!H55)</f>
        <v>7246</v>
      </c>
      <c r="I55" s="16">
        <f>SUM(Jan!I55,Feb!I55,Mar!I55)</f>
        <v>-2132.6999999999998</v>
      </c>
      <c r="J55" s="15">
        <f t="shared" si="8"/>
        <v>-0.29432790505106265</v>
      </c>
    </row>
    <row r="56" spans="1:10" ht="15.6">
      <c r="A56" s="24" t="str">
        <v>Murphy</v>
      </c>
      <c r="B56" s="25" t="str">
        <v>MN</v>
      </c>
      <c r="C56" s="25" t="str">
        <f>Sites[[#This Row],[SOL'#]]</f>
        <v>SOL-10094</v>
      </c>
      <c r="D56" s="20">
        <f>SUM(Jan!D56,Feb!D56,Mar!D56)</f>
        <v>513600</v>
      </c>
      <c r="E56" s="10">
        <f>SUM(Jan!E56,Feb!E56,Mar!E56)</f>
        <v>606225.69999999995</v>
      </c>
      <c r="F56" s="10">
        <f t="shared" si="6"/>
        <v>-92625.699999999953</v>
      </c>
      <c r="G56" s="11">
        <f t="shared" si="7"/>
        <v>-0.15279078402647719</v>
      </c>
      <c r="H56" s="12">
        <f>SUM(Jan!H56,Feb!H56,Mar!H56)</f>
        <v>512282.9</v>
      </c>
      <c r="I56" s="12">
        <f>SUM(Jan!I56,Feb!I56,Mar!I56)</f>
        <v>1317.0999999999767</v>
      </c>
      <c r="J56" s="13">
        <f t="shared" si="8"/>
        <v>2.5710403372823428E-3</v>
      </c>
    </row>
    <row r="57" spans="1:10" ht="15.6">
      <c r="A57" s="26" t="str">
        <v>Terning</v>
      </c>
      <c r="B57" s="27" t="str">
        <v>MN</v>
      </c>
      <c r="C57" s="27" t="str">
        <f>Sites[[#This Row],[SOL'#]]</f>
        <v>SOL-10093</v>
      </c>
      <c r="D57" s="16">
        <f>SUM(Jan!D57,Feb!D57,Mar!D57)</f>
        <v>496936.065</v>
      </c>
      <c r="E57" s="16">
        <f>SUM(Jan!E57,Feb!E57,Mar!E57)</f>
        <v>602550.69999999995</v>
      </c>
      <c r="F57" s="14">
        <f t="shared" si="6"/>
        <v>-105614.63499999995</v>
      </c>
      <c r="G57" s="15">
        <f t="shared" si="7"/>
        <v>-0.17527925036017708</v>
      </c>
      <c r="H57" s="16">
        <f>SUM(Jan!H57,Feb!H57,Mar!H57)</f>
        <v>464176.1</v>
      </c>
      <c r="I57" s="16">
        <f>SUM(Jan!I57,Feb!I57,Mar!I57)</f>
        <v>32759.965000000026</v>
      </c>
      <c r="J57" s="15">
        <f t="shared" si="8"/>
        <v>7.0576587204726884E-2</v>
      </c>
    </row>
    <row r="58" spans="1:10" ht="15.6">
      <c r="A58" s="24" t="str">
        <v>Boas Road 04</v>
      </c>
      <c r="B58" s="25" t="str">
        <v>NY</v>
      </c>
      <c r="C58" s="25" t="str">
        <f>Sites[[#This Row],[SOL'#]]</f>
        <v>SOL-10908</v>
      </c>
      <c r="D58" s="20">
        <f>SUM(Jan!D58,Feb!D58,Mar!D58)</f>
        <v>72330</v>
      </c>
      <c r="E58" s="10">
        <f>SUM(Jan!E58,Feb!E58,Mar!E58)</f>
        <v>31962</v>
      </c>
      <c r="F58" s="10">
        <f t="shared" si="6"/>
        <v>40368</v>
      </c>
      <c r="G58" s="11">
        <f t="shared" si="7"/>
        <v>1.2629998122770791</v>
      </c>
      <c r="H58" s="12">
        <f>SUM(Jan!H58,Feb!H58,Mar!H58)</f>
        <v>152897</v>
      </c>
      <c r="I58" s="12">
        <f>SUM(Jan!I58,Feb!I58,Mar!I58)</f>
        <v>-80567</v>
      </c>
      <c r="J58" s="13">
        <f t="shared" si="8"/>
        <v>-0.52693643433160886</v>
      </c>
    </row>
    <row r="59" spans="1:10" ht="15.6">
      <c r="A59" s="26" t="str">
        <v>Kelly Bridge Farm</v>
      </c>
      <c r="B59" s="27" t="str">
        <v>NY</v>
      </c>
      <c r="C59" s="27" t="str">
        <f>Sites[[#This Row],[SOL'#]]</f>
        <v>SOL-10911</v>
      </c>
      <c r="D59" s="16">
        <f>SUM(Jan!D59,Feb!D59,Mar!D59)</f>
        <v>77050</v>
      </c>
      <c r="E59" s="16">
        <f>SUM(Jan!E59,Feb!E59,Mar!E59)</f>
        <v>0</v>
      </c>
      <c r="F59" s="14">
        <f t="shared" si="6"/>
        <v>77050</v>
      </c>
      <c r="G59" s="15" t="str">
        <f t="shared" si="7"/>
        <v/>
      </c>
      <c r="H59" s="16">
        <f>SUM(Jan!H59,Feb!H59,Mar!H59)</f>
        <v>143468.69</v>
      </c>
      <c r="I59" s="16">
        <f>SUM(Jan!I59,Feb!I59,Mar!I59)</f>
        <v>-66418.69</v>
      </c>
      <c r="J59" s="15">
        <f t="shared" si="8"/>
        <v>-0.46294902392989024</v>
      </c>
    </row>
    <row r="60" spans="1:10" ht="15.6">
      <c r="A60" s="24" t="str">
        <v>Pool Brook Road</v>
      </c>
      <c r="B60" s="25" t="str">
        <v>NY</v>
      </c>
      <c r="C60" s="25" t="str">
        <f>Sites[[#This Row],[SOL'#]]</f>
        <v>SOL-10909</v>
      </c>
      <c r="D60" s="20">
        <f>SUM(Jan!D60,Feb!D60,Mar!D60)</f>
        <v>59326</v>
      </c>
      <c r="E60" s="10">
        <f>SUM(Jan!E60,Feb!E60,Mar!E60)</f>
        <v>59325</v>
      </c>
      <c r="F60" s="10">
        <f t="shared" si="6"/>
        <v>1</v>
      </c>
      <c r="G60" s="11">
        <f t="shared" si="7"/>
        <v>1.685630004214075E-5</v>
      </c>
      <c r="H60" s="12">
        <f>SUM(Jan!H60,Feb!H60,Mar!H60)</f>
        <v>140415.70000000001</v>
      </c>
      <c r="I60" s="12">
        <f>SUM(Jan!I60,Feb!I60,Mar!I60)</f>
        <v>-81089.700000000012</v>
      </c>
      <c r="J60" s="13">
        <f t="shared" si="8"/>
        <v>-0.57749738811258289</v>
      </c>
    </row>
    <row r="61" spans="1:10" ht="15.6">
      <c r="A61" s="26" t="str">
        <v>Sackett Lake</v>
      </c>
      <c r="B61" s="27" t="str">
        <v>NY</v>
      </c>
      <c r="C61" s="27" t="str">
        <f>Sites[[#This Row],[SOL'#]]</f>
        <v>SOL-10910</v>
      </c>
      <c r="D61" s="16">
        <f>SUM(Jan!D61,Feb!D61,Mar!D61)</f>
        <v>132767</v>
      </c>
      <c r="E61" s="16">
        <f>SUM(Jan!E61,Feb!E61,Mar!E61)</f>
        <v>0</v>
      </c>
      <c r="F61" s="14">
        <f t="shared" si="6"/>
        <v>132767</v>
      </c>
      <c r="G61" s="15" t="str">
        <f t="shared" si="7"/>
        <v/>
      </c>
      <c r="H61" s="16">
        <f>SUM(Jan!H61,Feb!H61,Mar!H61)</f>
        <v>165948.84</v>
      </c>
      <c r="I61" s="16">
        <f>SUM(Jan!I61,Feb!I61,Mar!I61)</f>
        <v>-33181.839999999997</v>
      </c>
      <c r="J61" s="15">
        <f t="shared" si="8"/>
        <v>-0.19995222624032802</v>
      </c>
    </row>
    <row r="62" spans="1:10" ht="15.6">
      <c r="A62" s="24" t="str">
        <v>Burritt Road</v>
      </c>
      <c r="B62" s="25" t="str">
        <v>NY</v>
      </c>
      <c r="C62" s="25" t="str">
        <f>Sites[[#This Row],[SOL'#]]</f>
        <v>SOL-10913</v>
      </c>
      <c r="D62" s="20">
        <f>SUM(Jan!D62,Feb!D62,Mar!D62)</f>
        <v>58980</v>
      </c>
      <c r="E62" s="10">
        <f>SUM(Jan!E62,Feb!E62,Mar!E62)</f>
        <v>0</v>
      </c>
      <c r="F62" s="10">
        <f t="shared" si="6"/>
        <v>58980</v>
      </c>
      <c r="G62" s="11" t="str">
        <f t="shared" si="7"/>
        <v/>
      </c>
      <c r="H62" s="12">
        <f>SUM(Jan!H62,Feb!H62,Mar!H62)</f>
        <v>110519.08</v>
      </c>
      <c r="I62" s="12">
        <f>SUM(Jan!I62,Feb!I62,Mar!I62)</f>
        <v>-51539.08</v>
      </c>
      <c r="J62" s="13">
        <f t="shared" si="8"/>
        <v>-0.4663364914003989</v>
      </c>
    </row>
    <row r="63" spans="1:10" ht="15.6">
      <c r="A63" s="26" t="str">
        <v>Villa Roma 1</v>
      </c>
      <c r="B63" s="27" t="str">
        <v>NY</v>
      </c>
      <c r="C63" s="27" t="str">
        <f>Sites[[#This Row],[SOL'#]]</f>
        <v>SOL-10914</v>
      </c>
      <c r="D63" s="16">
        <f>SUM(Jan!D63,Feb!D63,Mar!D63)</f>
        <v>93005</v>
      </c>
      <c r="E63" s="16">
        <f>SUM(Jan!E63,Feb!E63,Mar!E63)</f>
        <v>0</v>
      </c>
      <c r="F63" s="14">
        <f t="shared" si="6"/>
        <v>93005</v>
      </c>
      <c r="G63" s="15" t="str">
        <f t="shared" si="7"/>
        <v/>
      </c>
      <c r="H63" s="16">
        <f>SUM(Jan!H63,Feb!H63,Mar!H63)</f>
        <v>117697.64</v>
      </c>
      <c r="I63" s="16">
        <f>SUM(Jan!I63,Feb!I63,Mar!I63)</f>
        <v>-24692.639999999999</v>
      </c>
      <c r="J63" s="15">
        <f t="shared" si="8"/>
        <v>-0.20979723977473125</v>
      </c>
    </row>
    <row r="64" spans="1:10" ht="15.6">
      <c r="A64" s="24" t="str">
        <v>Villa Roma 2</v>
      </c>
      <c r="B64" s="25" t="str">
        <v>NY</v>
      </c>
      <c r="C64" s="25" t="str">
        <f>Sites[[#This Row],[SOL'#]]</f>
        <v>SOL-10915</v>
      </c>
      <c r="D64" s="20">
        <f>SUM(Jan!D64,Feb!D64,Mar!D64)</f>
        <v>77763</v>
      </c>
      <c r="E64" s="10">
        <f>SUM(Jan!E64,Feb!E64,Mar!E64)</f>
        <v>0</v>
      </c>
      <c r="F64" s="10">
        <f t="shared" si="6"/>
        <v>77763</v>
      </c>
      <c r="G64" s="11" t="str">
        <f t="shared" si="7"/>
        <v/>
      </c>
      <c r="H64" s="12">
        <f>SUM(Jan!H64,Feb!H64,Mar!H64)</f>
        <v>114722.46</v>
      </c>
      <c r="I64" s="12">
        <f>SUM(Jan!I64,Feb!I64,Mar!I64)</f>
        <v>-36959.460000000006</v>
      </c>
      <c r="J64" s="13">
        <f t="shared" si="8"/>
        <v>-0.32216411677364665</v>
      </c>
    </row>
    <row r="65" spans="1:10" ht="15.6">
      <c r="A65" s="26" t="str">
        <v>Washington 1</v>
      </c>
      <c r="B65" s="27" t="str">
        <v>NY</v>
      </c>
      <c r="C65" s="27" t="str">
        <f>Sites[[#This Row],[SOL'#]]</f>
        <v>SOL-10912</v>
      </c>
      <c r="D65" s="16">
        <f>SUM(Jan!D65,Feb!D65,Mar!D65)</f>
        <v>82840</v>
      </c>
      <c r="E65" s="16">
        <f>SUM(Jan!E65,Feb!E65,Mar!E65)</f>
        <v>0</v>
      </c>
      <c r="F65" s="14">
        <f t="shared" si="6"/>
        <v>82840</v>
      </c>
      <c r="G65" s="15" t="str">
        <f t="shared" si="7"/>
        <v/>
      </c>
      <c r="H65" s="16">
        <f>SUM(Jan!H65,Feb!H65,Mar!H65)</f>
        <v>106348.65</v>
      </c>
      <c r="I65" s="16">
        <f>SUM(Jan!I65,Feb!I65,Mar!I65)</f>
        <v>-23508.649999999994</v>
      </c>
      <c r="J65" s="15">
        <f t="shared" si="8"/>
        <v>-0.22105264147687814</v>
      </c>
    </row>
    <row r="66" spans="1:10" ht="15.6">
      <c r="A66" s="24" t="str">
        <v>Washington 3</v>
      </c>
      <c r="B66" s="25" t="str">
        <v>NY</v>
      </c>
      <c r="C66" s="25" t="str">
        <f>Sites[[#This Row],[SOL'#]]</f>
        <v>SOL-10828</v>
      </c>
      <c r="D66" s="20">
        <f>SUM(Jan!D66,Feb!D66,Mar!D66)</f>
        <v>0</v>
      </c>
      <c r="E66" s="10">
        <f>SUM(Jan!E66,Feb!E66,Mar!E66)</f>
        <v>0</v>
      </c>
      <c r="F66" s="10">
        <f t="shared" si="6"/>
        <v>0</v>
      </c>
      <c r="G66" s="11" t="str">
        <f t="shared" si="7"/>
        <v/>
      </c>
      <c r="H66" s="12">
        <f>SUM(Jan!H66,Feb!H66,Mar!H66)</f>
        <v>129625.05</v>
      </c>
      <c r="I66" s="12">
        <f>SUM(Jan!I66,Feb!I66,Mar!I66)</f>
        <v>-129625.05</v>
      </c>
      <c r="J66" s="13">
        <f t="shared" si="8"/>
        <v>-1</v>
      </c>
    </row>
    <row r="67" spans="1:10" ht="15.6">
      <c r="A67" s="26" t="str">
        <v>Washington 4</v>
      </c>
      <c r="B67" s="27" t="str">
        <v>NY</v>
      </c>
      <c r="C67" s="27" t="str">
        <f>Sites[[#This Row],[SOL'#]]</f>
        <v>SOL-10829</v>
      </c>
      <c r="D67" s="16">
        <f>SUM(Jan!D67,Feb!D67,Mar!D67)</f>
        <v>129117</v>
      </c>
      <c r="E67" s="16">
        <f>SUM(Jan!E67,Feb!E67,Mar!E67)</f>
        <v>0</v>
      </c>
      <c r="F67" s="14">
        <f t="shared" si="6"/>
        <v>129117</v>
      </c>
      <c r="G67" s="15" t="str">
        <f t="shared" si="7"/>
        <v/>
      </c>
      <c r="H67" s="16">
        <f>SUM(Jan!H67,Feb!H67,Mar!H67)</f>
        <v>130089.75</v>
      </c>
      <c r="I67" s="16">
        <f>SUM(Jan!I67,Feb!I67,Mar!I67)</f>
        <v>-972.75</v>
      </c>
      <c r="J67" s="15">
        <f t="shared" si="8"/>
        <v>-7.4775299360633719E-3</v>
      </c>
    </row>
    <row r="68" spans="1:10" ht="15.6">
      <c r="A68" s="24" t="str">
        <v>Big Tree</v>
      </c>
      <c r="B68" s="25" t="str">
        <v>NY</v>
      </c>
      <c r="C68" s="25" t="str">
        <f>Sites[[#This Row],[SOL'#]]</f>
        <v>SOL-10966</v>
      </c>
      <c r="D68" s="20">
        <f>SUM(Jan!D68,Feb!D68,Mar!D68)</f>
        <v>34020</v>
      </c>
      <c r="E68" s="10">
        <f>SUM(Jan!E68,Feb!E68,Mar!E68)</f>
        <v>34070</v>
      </c>
      <c r="F68" s="10">
        <f t="shared" si="6"/>
        <v>-50</v>
      </c>
      <c r="G68" s="11">
        <f t="shared" si="7"/>
        <v>-1.4675667742882301E-3</v>
      </c>
      <c r="H68" s="12">
        <f>SUM(Jan!H68,Feb!H68,Mar!H68)</f>
        <v>116825.90007449406</v>
      </c>
      <c r="I68" s="12">
        <f>SUM(Jan!I68,Feb!I68,Mar!I68)</f>
        <v>-82805.900074494057</v>
      </c>
      <c r="J68" s="13">
        <f t="shared" si="8"/>
        <v>-0.70879745006623407</v>
      </c>
    </row>
    <row r="69" spans="1:10" ht="15.6">
      <c r="A69" s="26" t="str">
        <v>Canoga</v>
      </c>
      <c r="B69" s="27" t="str">
        <v>NY</v>
      </c>
      <c r="C69" s="27" t="str">
        <f>Sites[[#This Row],[SOL'#]]</f>
        <v>SOL-10965</v>
      </c>
      <c r="D69" s="16">
        <f>SUM(Jan!D69,Feb!D69,Mar!D69)</f>
        <v>271610</v>
      </c>
      <c r="E69" s="16">
        <f>SUM(Jan!E69,Feb!E69,Mar!E69)</f>
        <v>0</v>
      </c>
      <c r="F69" s="14">
        <f t="shared" si="6"/>
        <v>271610</v>
      </c>
      <c r="G69" s="15" t="str">
        <f t="shared" si="7"/>
        <v/>
      </c>
      <c r="H69" s="16">
        <f>SUM(Jan!H69,Feb!H69,Mar!H69)</f>
        <v>381970.76</v>
      </c>
      <c r="I69" s="16">
        <f>SUM(Jan!I69,Feb!I69,Mar!I69)</f>
        <v>-110360.76000000001</v>
      </c>
      <c r="J69" s="15">
        <f t="shared" si="8"/>
        <v>-0.28892462868100166</v>
      </c>
    </row>
    <row r="70" spans="1:10" ht="15.6">
      <c r="A70" s="24" t="str">
        <v>County Route 84</v>
      </c>
      <c r="B70" s="25" t="str">
        <v>NY</v>
      </c>
      <c r="C70" s="25" t="str">
        <f>Sites[[#This Row],[SOL'#]]</f>
        <v>SOL-10967</v>
      </c>
      <c r="D70" s="20">
        <f>SUM(Jan!D70,Feb!D70,Mar!D70)</f>
        <v>372470</v>
      </c>
      <c r="E70" s="10">
        <f>SUM(Jan!E70,Feb!E70,Mar!E70)</f>
        <v>370150</v>
      </c>
      <c r="F70" s="10">
        <f t="shared" si="6"/>
        <v>2320</v>
      </c>
      <c r="G70" s="11">
        <f t="shared" si="7"/>
        <v>6.2677292989328651E-3</v>
      </c>
      <c r="H70" s="12">
        <f>SUM(Jan!H70,Feb!H70,Mar!H70)</f>
        <v>472285.7</v>
      </c>
      <c r="I70" s="12">
        <f>SUM(Jan!I70,Feb!I70,Mar!I70)</f>
        <v>-99815.700000000012</v>
      </c>
      <c r="J70" s="13">
        <f t="shared" si="8"/>
        <v>-0.21134601365232952</v>
      </c>
    </row>
    <row r="71" spans="1:10" ht="15.6">
      <c r="A71" s="26" t="str">
        <v>Donati</v>
      </c>
      <c r="B71" s="27" t="str">
        <v>NY</v>
      </c>
      <c r="C71" s="27" t="str">
        <f>Sites[[#This Row],[SOL'#]]</f>
        <v>SOL-10968</v>
      </c>
      <c r="D71" s="16">
        <f>SUM(Jan!D71,Feb!D71,Mar!D71)</f>
        <v>89520</v>
      </c>
      <c r="E71" s="16">
        <f>SUM(Jan!E71,Feb!E71,Mar!E71)</f>
        <v>87440</v>
      </c>
      <c r="F71" s="14">
        <f t="shared" si="6"/>
        <v>2080</v>
      </c>
      <c r="G71" s="15">
        <f t="shared" si="7"/>
        <v>2.3787740164684355E-2</v>
      </c>
      <c r="H71" s="16">
        <f>SUM(Jan!H71,Feb!H71,Mar!H71)</f>
        <v>156570.4</v>
      </c>
      <c r="I71" s="16">
        <f>SUM(Jan!I71,Feb!I71,Mar!I71)</f>
        <v>-67050.399999999994</v>
      </c>
      <c r="J71" s="15">
        <f t="shared" si="8"/>
        <v>-0.42824441912392125</v>
      </c>
    </row>
    <row r="72" spans="1:10" ht="15.6">
      <c r="A72" s="24" t="str">
        <v>Henrietta</v>
      </c>
      <c r="B72" s="25" t="str">
        <v>NY</v>
      </c>
      <c r="C72" s="25" t="str">
        <f>Sites[[#This Row],[SOL'#]]</f>
        <v>SOL-10972</v>
      </c>
      <c r="D72" s="20">
        <f>SUM(Jan!D72,Feb!D72,Mar!D72)</f>
        <v>136180</v>
      </c>
      <c r="E72" s="10">
        <f>SUM(Jan!E72,Feb!E72,Mar!E72)</f>
        <v>133860</v>
      </c>
      <c r="F72" s="10">
        <f t="shared" si="6"/>
        <v>2320</v>
      </c>
      <c r="G72" s="11">
        <f t="shared" si="7"/>
        <v>1.733154041535933E-2</v>
      </c>
      <c r="H72" s="12">
        <f>SUM(Jan!H72,Feb!H72,Mar!H72)</f>
        <v>268925.40000000002</v>
      </c>
      <c r="I72" s="12">
        <f>SUM(Jan!I72,Feb!I72,Mar!I72)</f>
        <v>-132745.40000000002</v>
      </c>
      <c r="J72" s="13">
        <f t="shared" si="8"/>
        <v>-0.49361421420215423</v>
      </c>
    </row>
    <row r="73" spans="1:10" ht="15.6">
      <c r="A73" s="26" t="str">
        <v>NY 70</v>
      </c>
      <c r="B73" s="27" t="str">
        <v>NY</v>
      </c>
      <c r="C73" s="27" t="str">
        <f>Sites[[#This Row],[SOL'#]]</f>
        <v>SOL-10970</v>
      </c>
      <c r="D73" s="16">
        <f>SUM(Jan!D73,Feb!D73,Mar!D73)</f>
        <v>176660</v>
      </c>
      <c r="E73" s="16">
        <f>SUM(Jan!E73,Feb!E73,Mar!E73)</f>
        <v>174120</v>
      </c>
      <c r="F73" s="14">
        <f t="shared" si="6"/>
        <v>2540</v>
      </c>
      <c r="G73" s="15">
        <f t="shared" si="7"/>
        <v>1.4587640707558006E-2</v>
      </c>
      <c r="H73" s="16">
        <f>SUM(Jan!H73,Feb!H73,Mar!H73)</f>
        <v>386450</v>
      </c>
      <c r="I73" s="16">
        <f>SUM(Jan!I73,Feb!I73,Mar!I73)</f>
        <v>-209790</v>
      </c>
      <c r="J73" s="15">
        <f t="shared" si="8"/>
        <v>-0.54286453616250485</v>
      </c>
    </row>
    <row r="74" spans="1:10" ht="15.6">
      <c r="A74" s="24" t="str">
        <v>Reid</v>
      </c>
      <c r="B74" s="25" t="str">
        <v>NY</v>
      </c>
      <c r="C74" s="25" t="str">
        <f>Sites[[#This Row],[SOL'#]]</f>
        <v>SOL-10991</v>
      </c>
      <c r="D74" s="20">
        <f>SUM(Jan!D74,Feb!D74,Mar!D74)</f>
        <v>137656.92480000001</v>
      </c>
      <c r="E74" s="10">
        <f>SUM(Jan!E74,Feb!E74,Mar!E74)</f>
        <v>284559.7</v>
      </c>
      <c r="F74" s="10">
        <f t="shared" si="6"/>
        <v>-146902.7752</v>
      </c>
      <c r="G74" s="11">
        <f t="shared" si="7"/>
        <v>-0.51624588864832233</v>
      </c>
      <c r="H74" s="12">
        <f>SUM(Jan!H74,Feb!H74,Mar!H74)</f>
        <v>265223</v>
      </c>
      <c r="I74" s="12">
        <f>SUM(Jan!I74,Feb!I74,Mar!I74)</f>
        <v>-127566.07519999999</v>
      </c>
      <c r="J74" s="13">
        <f t="shared" si="8"/>
        <v>-0.48097666944420353</v>
      </c>
    </row>
    <row r="75" spans="1:10" ht="15.6">
      <c r="A75" s="26" t="str">
        <v>Sangolqui</v>
      </c>
      <c r="B75" s="27" t="str">
        <v>NY</v>
      </c>
      <c r="C75" s="27" t="str">
        <f>Sites[[#This Row],[SOL'#]]</f>
        <v>SOL-10975</v>
      </c>
      <c r="D75" s="16">
        <f>SUM(Jan!D75,Feb!D75,Mar!D75)</f>
        <v>93160</v>
      </c>
      <c r="E75" s="16">
        <f>SUM(Jan!E75,Feb!E75,Mar!E75)</f>
        <v>66700</v>
      </c>
      <c r="F75" s="14">
        <f t="shared" si="6"/>
        <v>26460</v>
      </c>
      <c r="G75" s="15">
        <f t="shared" si="7"/>
        <v>0.39670164917541229</v>
      </c>
      <c r="H75" s="16">
        <f>SUM(Jan!H75,Feb!H75,Mar!H75)</f>
        <v>151974.9</v>
      </c>
      <c r="I75" s="16">
        <f>SUM(Jan!I75,Feb!I75,Mar!I75)</f>
        <v>-58814.899999999994</v>
      </c>
      <c r="J75" s="15">
        <f t="shared" si="8"/>
        <v>-0.38700403816682882</v>
      </c>
    </row>
    <row r="76" spans="1:10" ht="15.6">
      <c r="A76" s="24" t="str">
        <v>State Highway 17B</v>
      </c>
      <c r="B76" s="25" t="str">
        <v>NY</v>
      </c>
      <c r="C76" s="25" t="str">
        <f>Sites[[#This Row],[SOL'#]]</f>
        <v>SOL-10988</v>
      </c>
      <c r="D76" s="20">
        <f>SUM(Jan!D76,Feb!D76,Mar!D76)</f>
        <v>0</v>
      </c>
      <c r="E76" s="10">
        <f>SUM(Jan!E76,Feb!E76,Mar!E76)</f>
        <v>0</v>
      </c>
      <c r="F76" s="10">
        <f t="shared" si="6"/>
        <v>0</v>
      </c>
      <c r="G76" s="11" t="str">
        <f t="shared" si="7"/>
        <v/>
      </c>
      <c r="H76" s="12">
        <f>SUM(Jan!H76,Feb!H76,Mar!H76)</f>
        <v>384984</v>
      </c>
      <c r="I76" s="12">
        <f>SUM(Jan!I76,Feb!I76,Mar!I76)</f>
        <v>-384984</v>
      </c>
      <c r="J76" s="13">
        <f t="shared" si="8"/>
        <v>-1</v>
      </c>
    </row>
    <row r="77" spans="1:10" ht="15.6">
      <c r="A77" s="26" t="str">
        <v>State Route 14A</v>
      </c>
      <c r="B77" s="27" t="str">
        <v>NY</v>
      </c>
      <c r="C77" s="27" t="str">
        <f>Sites[[#This Row],[SOL'#]]</f>
        <v>SOL-10997</v>
      </c>
      <c r="D77" s="16">
        <f>SUM(Jan!D77,Feb!D77,Mar!D77)</f>
        <v>0</v>
      </c>
      <c r="E77" s="16">
        <f>SUM(Jan!E77,Feb!E77,Mar!E77)</f>
        <v>0</v>
      </c>
      <c r="F77" s="14">
        <f t="shared" si="6"/>
        <v>0</v>
      </c>
      <c r="G77" s="15" t="str">
        <f t="shared" si="7"/>
        <v/>
      </c>
      <c r="H77" s="16">
        <f>SUM(Jan!H77,Feb!H77,Mar!H77)</f>
        <v>427147.4</v>
      </c>
      <c r="I77" s="16">
        <f>SUM(Jan!I77,Feb!I77,Mar!I77)</f>
        <v>-427147.4</v>
      </c>
      <c r="J77" s="15">
        <f t="shared" si="8"/>
        <v>-1</v>
      </c>
    </row>
    <row r="78" spans="1:10" ht="15.6">
      <c r="A78" s="24" t="str">
        <v>West Creek</v>
      </c>
      <c r="B78" s="25" t="str">
        <v>NY</v>
      </c>
      <c r="C78" s="25" t="str">
        <f>Sites[[#This Row],[SOL'#]]</f>
        <v>SOL-10995</v>
      </c>
      <c r="D78" s="20">
        <f>SUM(Jan!D78,Feb!D78,Mar!D78)</f>
        <v>265730</v>
      </c>
      <c r="E78" s="10">
        <f>SUM(Jan!E78,Feb!E78,Mar!E78)</f>
        <v>230210</v>
      </c>
      <c r="F78" s="10">
        <f t="shared" si="6"/>
        <v>35520</v>
      </c>
      <c r="G78" s="11">
        <f t="shared" si="7"/>
        <v>0.15429390556448461</v>
      </c>
      <c r="H78" s="12">
        <f>SUM(Jan!H78,Feb!H78,Mar!H78)</f>
        <v>397925.5</v>
      </c>
      <c r="I78" s="12">
        <f>SUM(Jan!I78,Feb!I78,Mar!I78)</f>
        <v>-132195.5</v>
      </c>
      <c r="J78" s="13">
        <f t="shared" si="8"/>
        <v>-0.33221168284012964</v>
      </c>
    </row>
    <row r="79" spans="1:10" ht="15.6">
      <c r="A79" s="26" t="str">
        <v>Wildflower</v>
      </c>
      <c r="B79" s="27" t="str">
        <v>NY</v>
      </c>
      <c r="C79" s="27" t="str">
        <f>Sites[[#This Row],[SOL'#]]</f>
        <v>SOL-10982</v>
      </c>
      <c r="D79" s="16">
        <f>SUM(Jan!D79,Feb!D79,Mar!D79)</f>
        <v>246984</v>
      </c>
      <c r="E79" s="16">
        <f>SUM(Jan!E79,Feb!E79,Mar!E79)</f>
        <v>188692</v>
      </c>
      <c r="F79" s="14">
        <f t="shared" si="6"/>
        <v>58292</v>
      </c>
      <c r="G79" s="15">
        <f t="shared" si="7"/>
        <v>0.30892671655396098</v>
      </c>
      <c r="H79" s="16">
        <f>SUM(Jan!H79,Feb!H79,Mar!H79)</f>
        <v>433603.2</v>
      </c>
      <c r="I79" s="16">
        <f>SUM(Jan!I79,Feb!I79,Mar!I79)</f>
        <v>-186619.2</v>
      </c>
      <c r="J79" s="15">
        <f t="shared" si="8"/>
        <v>-0.43039165762614301</v>
      </c>
    </row>
    <row r="80" spans="1:10" ht="15.6">
      <c r="A80" s="24" t="str">
        <v>Glen Mary 1</v>
      </c>
      <c r="B80" s="25" t="str">
        <v>NY</v>
      </c>
      <c r="C80" s="25" t="str">
        <f>Sites[[#This Row],[SOL'#]]</f>
        <v>SOL-10993</v>
      </c>
      <c r="D80" s="20">
        <f>SUM(Jan!D80,Feb!D80,Mar!D80)</f>
        <v>164340</v>
      </c>
      <c r="E80" s="10">
        <f>SUM(Jan!E80,Feb!E80,Mar!E80)</f>
        <v>146450</v>
      </c>
      <c r="F80" s="10">
        <f t="shared" si="6"/>
        <v>17890</v>
      </c>
      <c r="G80" s="11">
        <f t="shared" si="7"/>
        <v>0.12215773301468077</v>
      </c>
      <c r="H80" s="12">
        <f>SUM(Jan!H80,Feb!H80,Mar!H80)</f>
        <v>420494.8</v>
      </c>
      <c r="I80" s="12">
        <f>SUM(Jan!I80,Feb!I80,Mar!I80)</f>
        <v>-256154.8</v>
      </c>
      <c r="J80" s="13">
        <f t="shared" si="8"/>
        <v>-0.60917471512132848</v>
      </c>
    </row>
    <row r="81" spans="1:10" ht="15.6">
      <c r="A81" s="26" t="str">
        <v>Glen Mary 2</v>
      </c>
      <c r="B81" s="27" t="str">
        <v>NY</v>
      </c>
      <c r="C81" s="27" t="str">
        <f>Sites[[#This Row],[SOL'#]]</f>
        <v>SOL-10994</v>
      </c>
      <c r="D81" s="16">
        <f>SUM(Jan!D81,Feb!D81,Mar!D81)</f>
        <v>138160</v>
      </c>
      <c r="E81" s="16">
        <f>SUM(Jan!E81,Feb!E81,Mar!E81)</f>
        <v>0</v>
      </c>
      <c r="F81" s="14">
        <f t="shared" si="6"/>
        <v>138160</v>
      </c>
      <c r="G81" s="15" t="str">
        <f t="shared" si="7"/>
        <v/>
      </c>
      <c r="H81" s="16">
        <f>SUM(Jan!H81,Feb!H81,Mar!H81)</f>
        <v>171573.9</v>
      </c>
      <c r="I81" s="16">
        <f>SUM(Jan!I81,Feb!I81,Mar!I81)</f>
        <v>-33413.899999999994</v>
      </c>
      <c r="J81" s="15">
        <f t="shared" si="8"/>
        <v>-0.19474931793238945</v>
      </c>
    </row>
    <row r="82" spans="1:10" ht="15.6">
      <c r="A82" s="24" t="str">
        <v>Telegraph 1</v>
      </c>
      <c r="B82" s="25" t="str">
        <v>NY</v>
      </c>
      <c r="C82" s="25" t="str">
        <f>Sites[[#This Row],[SOL'#]]</f>
        <v>SOL-11003</v>
      </c>
      <c r="D82" s="20">
        <f>SUM(Jan!D82,Feb!D82,Mar!D82)</f>
        <v>153680</v>
      </c>
      <c r="E82" s="10">
        <f>SUM(Jan!E82,Feb!E82,Mar!E82)</f>
        <v>0</v>
      </c>
      <c r="F82" s="10">
        <f t="shared" ref="F82:F145" si="9">IF(AND(ISNUMBER(D82),ISNUMBER(E82)), D82-E82, "")</f>
        <v>153680</v>
      </c>
      <c r="G82" s="11" t="str">
        <f t="shared" ref="G82:G145" si="10">IFERROR(F82/E82, "")</f>
        <v/>
      </c>
      <c r="H82" s="12">
        <f>SUM(Jan!H82,Feb!H82,Mar!H82)</f>
        <v>286022.2</v>
      </c>
      <c r="I82" s="12">
        <f>SUM(Jan!I82,Feb!I82,Mar!I82)</f>
        <v>-132342.20000000001</v>
      </c>
      <c r="J82" s="13">
        <f t="shared" ref="J82:J145" si="11">IFERROR(I82/H82, "")</f>
        <v>-0.46269904923463984</v>
      </c>
    </row>
    <row r="83" spans="1:10" ht="15.6">
      <c r="A83" s="26" t="str">
        <v>Telegraph 2</v>
      </c>
      <c r="B83" s="27" t="str">
        <v>NY</v>
      </c>
      <c r="C83" s="27" t="str">
        <f>Sites[[#This Row],[SOL'#]]</f>
        <v>SOL-11004</v>
      </c>
      <c r="D83" s="16">
        <f>SUM(Jan!D83,Feb!D83,Mar!D83)</f>
        <v>97060</v>
      </c>
      <c r="E83" s="16">
        <f>SUM(Jan!E83,Feb!E83,Mar!E83)</f>
        <v>0</v>
      </c>
      <c r="F83" s="14">
        <f t="shared" si="9"/>
        <v>97060</v>
      </c>
      <c r="G83" s="15" t="str">
        <f t="shared" si="10"/>
        <v/>
      </c>
      <c r="H83" s="16">
        <f>SUM(Jan!H83,Feb!H83,Mar!H83)</f>
        <v>146627.1</v>
      </c>
      <c r="I83" s="16">
        <f>SUM(Jan!I83,Feb!I83,Mar!I83)</f>
        <v>-49567.100000000006</v>
      </c>
      <c r="J83" s="15">
        <f t="shared" si="11"/>
        <v>-0.33804869631875695</v>
      </c>
    </row>
    <row r="84" spans="1:10" ht="15.6">
      <c r="A84" s="24" t="str">
        <v>Cafferty Hill</v>
      </c>
      <c r="B84" s="25" t="str">
        <v>NY</v>
      </c>
      <c r="C84" s="25" t="str">
        <f>Sites[[#This Row],[SOL'#]]</f>
        <v>SOL-10996</v>
      </c>
      <c r="D84" s="20">
        <f>SUM(Jan!D84,Feb!D84,Mar!D84)</f>
        <v>82990</v>
      </c>
      <c r="E84" s="10">
        <f>SUM(Jan!E84,Feb!E84,Mar!E84)</f>
        <v>85880</v>
      </c>
      <c r="F84" s="10">
        <f t="shared" si="9"/>
        <v>-2890</v>
      </c>
      <c r="G84" s="11">
        <f t="shared" si="10"/>
        <v>-3.3651606893339542E-2</v>
      </c>
      <c r="H84" s="12">
        <f>SUM(Jan!H84,Feb!H84,Mar!H84)</f>
        <v>373143.4</v>
      </c>
      <c r="I84" s="12">
        <f>SUM(Jan!I84,Feb!I84,Mar!I84)</f>
        <v>-290153.40000000002</v>
      </c>
      <c r="J84" s="13">
        <f t="shared" si="11"/>
        <v>-0.77759220717825905</v>
      </c>
    </row>
    <row r="85" spans="1:10" ht="15.6">
      <c r="A85" s="26" t="str">
        <v>Dunkleman</v>
      </c>
      <c r="B85" s="27" t="str">
        <v>NY</v>
      </c>
      <c r="C85" s="27" t="str">
        <f>Sites[[#This Row],[SOL'#]]</f>
        <v>SOL-11008</v>
      </c>
      <c r="D85" s="16">
        <f>SUM(Jan!D85,Feb!D85,Mar!D85)</f>
        <v>191990</v>
      </c>
      <c r="E85" s="16">
        <f>SUM(Jan!E85,Feb!E85,Mar!E85)</f>
        <v>157970</v>
      </c>
      <c r="F85" s="14">
        <f t="shared" si="9"/>
        <v>34020</v>
      </c>
      <c r="G85" s="15">
        <f t="shared" si="10"/>
        <v>0.21535734633158193</v>
      </c>
      <c r="H85" s="16">
        <f>SUM(Jan!H85,Feb!H85,Mar!H85)</f>
        <v>369715.73</v>
      </c>
      <c r="I85" s="16">
        <f>SUM(Jan!I85,Feb!I85,Mar!I85)</f>
        <v>-177725.72999999998</v>
      </c>
      <c r="J85" s="15">
        <f t="shared" si="11"/>
        <v>-0.4807091383425855</v>
      </c>
    </row>
    <row r="86" spans="1:10" ht="15.6">
      <c r="A86" s="24" t="str">
        <v>Route 19 1</v>
      </c>
      <c r="B86" s="25" t="str">
        <v>NY</v>
      </c>
      <c r="C86" s="25" t="str">
        <f>Sites[[#This Row],[SOL'#]]</f>
        <v>SOL-11001</v>
      </c>
      <c r="D86" s="20">
        <f>SUM(Jan!D86,Feb!D86,Mar!D86)</f>
        <v>96365</v>
      </c>
      <c r="E86" s="10">
        <f>SUM(Jan!E86,Feb!E86,Mar!E86)</f>
        <v>81568.2</v>
      </c>
      <c r="F86" s="10">
        <f t="shared" si="9"/>
        <v>14796.800000000003</v>
      </c>
      <c r="G86" s="11">
        <f t="shared" si="10"/>
        <v>0.18140402754995211</v>
      </c>
      <c r="H86" s="12">
        <f>SUM(Jan!H86,Feb!H86,Mar!H86)</f>
        <v>154567.79999999999</v>
      </c>
      <c r="I86" s="12">
        <f>SUM(Jan!I86,Feb!I86,Mar!I86)</f>
        <v>-58202.799999999988</v>
      </c>
      <c r="J86" s="13">
        <f t="shared" si="11"/>
        <v>-0.37655190796530708</v>
      </c>
    </row>
    <row r="87" spans="1:10" ht="15.6">
      <c r="A87" s="26" t="str">
        <v>Route 19 2</v>
      </c>
      <c r="B87" s="27" t="str">
        <v>NY</v>
      </c>
      <c r="C87" s="27" t="str">
        <f>Sites[[#This Row],[SOL'#]]</f>
        <v>SOL-11002</v>
      </c>
      <c r="D87" s="16">
        <f>SUM(Jan!D87,Feb!D87,Mar!D87)</f>
        <v>249670</v>
      </c>
      <c r="E87" s="16">
        <f>SUM(Jan!E87,Feb!E87,Mar!E87)</f>
        <v>246010</v>
      </c>
      <c r="F87" s="14">
        <f t="shared" si="9"/>
        <v>3660</v>
      </c>
      <c r="G87" s="15">
        <f t="shared" si="10"/>
        <v>1.4877444006341205E-2</v>
      </c>
      <c r="H87" s="16">
        <f>SUM(Jan!H87,Feb!H87,Mar!H87)</f>
        <v>409574.6</v>
      </c>
      <c r="I87" s="16">
        <f>SUM(Jan!I87,Feb!I87,Mar!I87)</f>
        <v>-159904.59999999998</v>
      </c>
      <c r="J87" s="15">
        <f t="shared" si="11"/>
        <v>-0.3904163002295552</v>
      </c>
    </row>
    <row r="88" spans="1:10" ht="15.6">
      <c r="A88" s="24" t="str">
        <v>Yellow Mills 1</v>
      </c>
      <c r="B88" s="25" t="str">
        <v>NY</v>
      </c>
      <c r="C88" s="25" t="str">
        <f>Sites[[#This Row],[SOL'#]]</f>
        <v>SOL-11006</v>
      </c>
      <c r="D88" s="20">
        <f>SUM(Jan!D88,Feb!D88,Mar!D88)</f>
        <v>107464</v>
      </c>
      <c r="E88" s="10">
        <f>SUM(Jan!E88,Feb!E88,Mar!E88)</f>
        <v>105508</v>
      </c>
      <c r="F88" s="10">
        <f t="shared" si="9"/>
        <v>1956</v>
      </c>
      <c r="G88" s="11">
        <f t="shared" si="10"/>
        <v>1.8538878568449785E-2</v>
      </c>
      <c r="H88" s="12">
        <f>SUM(Jan!H88,Feb!H88,Mar!H88)</f>
        <v>123508.6</v>
      </c>
      <c r="I88" s="12">
        <f>SUM(Jan!I88,Feb!I88,Mar!I88)</f>
        <v>-16044.600000000006</v>
      </c>
      <c r="J88" s="13">
        <f t="shared" si="11"/>
        <v>-0.12990674333609162</v>
      </c>
    </row>
    <row r="89" spans="1:10" ht="15.6">
      <c r="A89" s="26" t="str">
        <v>Yellow Mills 2</v>
      </c>
      <c r="B89" s="27" t="str">
        <v>NY</v>
      </c>
      <c r="C89" s="27" t="str">
        <f>Sites[[#This Row],[SOL'#]]</f>
        <v>SOL-11005</v>
      </c>
      <c r="D89" s="16">
        <f>SUM(Jan!D89,Feb!D89,Mar!D89)</f>
        <v>196674</v>
      </c>
      <c r="E89" s="16">
        <f>SUM(Jan!E89,Feb!E89,Mar!E89)</f>
        <v>0</v>
      </c>
      <c r="F89" s="14">
        <f t="shared" si="9"/>
        <v>196674</v>
      </c>
      <c r="G89" s="15" t="str">
        <f t="shared" si="10"/>
        <v/>
      </c>
      <c r="H89" s="16">
        <f>SUM(Jan!H89,Feb!H89,Mar!H89)</f>
        <v>126216.1</v>
      </c>
      <c r="I89" s="16">
        <f>SUM(Jan!I89,Feb!I89,Mar!I89)</f>
        <v>70457.899999999994</v>
      </c>
      <c r="J89" s="15">
        <f t="shared" si="11"/>
        <v>0.55823226989266816</v>
      </c>
    </row>
    <row r="90" spans="1:10" ht="15.6">
      <c r="A90" s="24" t="str">
        <v>Yellow Mills 3</v>
      </c>
      <c r="B90" s="25" t="str">
        <v>NY</v>
      </c>
      <c r="C90" s="25" t="str">
        <f>Sites[[#This Row],[SOL'#]]</f>
        <v>SOL-11007</v>
      </c>
      <c r="D90" s="20">
        <f>SUM(Jan!D90,Feb!D90,Mar!D90)</f>
        <v>95437</v>
      </c>
      <c r="E90" s="10">
        <f>SUM(Jan!E90,Feb!E90,Mar!E90)</f>
        <v>93389</v>
      </c>
      <c r="F90" s="10">
        <f t="shared" si="9"/>
        <v>2048</v>
      </c>
      <c r="G90" s="11">
        <f t="shared" si="10"/>
        <v>2.1929777596933257E-2</v>
      </c>
      <c r="H90" s="12">
        <f>SUM(Jan!H90,Feb!H90,Mar!H90)</f>
        <v>111400.8</v>
      </c>
      <c r="I90" s="12">
        <f>SUM(Jan!I90,Feb!I90,Mar!I90)</f>
        <v>-15963.800000000003</v>
      </c>
      <c r="J90" s="13">
        <f t="shared" si="11"/>
        <v>-0.14330058671032886</v>
      </c>
    </row>
    <row r="91" spans="1:10" ht="15.6">
      <c r="A91" s="26" t="str">
        <v>Catskill</v>
      </c>
      <c r="B91" s="27" t="str">
        <v>NY</v>
      </c>
      <c r="C91" s="27" t="str">
        <f>Sites[[#This Row],[SOL'#]]</f>
        <v>SOL-11021</v>
      </c>
      <c r="D91" s="16">
        <f>SUM(Jan!D91,Feb!D91,Mar!D91)</f>
        <v>207977</v>
      </c>
      <c r="E91" s="16">
        <f>SUM(Jan!E91,Feb!E91,Mar!E91)</f>
        <v>0</v>
      </c>
      <c r="F91" s="14">
        <f t="shared" si="9"/>
        <v>207977</v>
      </c>
      <c r="G91" s="15" t="str">
        <f t="shared" si="10"/>
        <v/>
      </c>
      <c r="H91" s="16">
        <f>SUM(Jan!H91,Feb!H91,Mar!H91)</f>
        <v>295119.31</v>
      </c>
      <c r="I91" s="16">
        <f>SUM(Jan!I91,Feb!I91,Mar!I91)</f>
        <v>-87142.31</v>
      </c>
      <c r="J91" s="15">
        <f t="shared" si="11"/>
        <v>-0.29527823848598722</v>
      </c>
    </row>
    <row r="92" spans="1:10" ht="15.6">
      <c r="A92" s="24" t="str">
        <v>Eddy Ridge</v>
      </c>
      <c r="B92" s="25" t="str">
        <v>NY</v>
      </c>
      <c r="C92" s="25" t="str">
        <f>Sites[[#This Row],[SOL'#]]</f>
        <v>SOL-11054</v>
      </c>
      <c r="D92" s="20">
        <f>SUM(Jan!D92,Feb!D92,Mar!D92)</f>
        <v>89230</v>
      </c>
      <c r="E92" s="10">
        <f>SUM(Jan!E92,Feb!E92,Mar!E92)</f>
        <v>87456</v>
      </c>
      <c r="F92" s="10">
        <f t="shared" si="9"/>
        <v>1774</v>
      </c>
      <c r="G92" s="11">
        <f t="shared" si="10"/>
        <v>2.0284485912916209E-2</v>
      </c>
      <c r="H92" s="12">
        <f>SUM(Jan!H92,Feb!H92,Mar!H92)</f>
        <v>176115</v>
      </c>
      <c r="I92" s="12">
        <f>SUM(Jan!I92,Feb!I92,Mar!I92)</f>
        <v>-86885</v>
      </c>
      <c r="J92" s="13">
        <f t="shared" si="11"/>
        <v>-0.49334241830622039</v>
      </c>
    </row>
    <row r="93" spans="1:10" ht="15.6">
      <c r="A93" s="26" t="str">
        <v>Ridgeway #1</v>
      </c>
      <c r="B93" s="27" t="str">
        <v>NY</v>
      </c>
      <c r="C93" s="27" t="str">
        <f>Sites[[#This Row],[SOL'#]]</f>
        <v>SOL-11018</v>
      </c>
      <c r="D93" s="16">
        <f>SUM(Jan!D93,Feb!D93,Mar!D93)</f>
        <v>244376</v>
      </c>
      <c r="E93" s="16">
        <f>SUM(Jan!E93,Feb!E93,Mar!E93)</f>
        <v>148377</v>
      </c>
      <c r="F93" s="14">
        <f t="shared" si="9"/>
        <v>95999</v>
      </c>
      <c r="G93" s="15">
        <f t="shared" si="10"/>
        <v>0.64699380631769077</v>
      </c>
      <c r="H93" s="16">
        <f>SUM(Jan!H93,Feb!H93,Mar!H93)</f>
        <v>426059</v>
      </c>
      <c r="I93" s="16">
        <f>SUM(Jan!I93,Feb!I93,Mar!I93)</f>
        <v>-181683</v>
      </c>
      <c r="J93" s="15">
        <f t="shared" si="11"/>
        <v>-0.4264268563743519</v>
      </c>
    </row>
    <row r="94" spans="1:10" ht="15.6">
      <c r="A94" s="24" t="str">
        <v>Rivard 1</v>
      </c>
      <c r="B94" s="25" t="str">
        <v>NY</v>
      </c>
      <c r="C94" s="25" t="str">
        <f>Sites[[#This Row],[SOL'#]]</f>
        <v>SOL-11011</v>
      </c>
      <c r="D94" s="20">
        <f>SUM(Jan!D94,Feb!D94,Mar!D94)</f>
        <v>148338.33009999999</v>
      </c>
      <c r="E94" s="10">
        <f>SUM(Jan!E94,Feb!E94,Mar!E94)</f>
        <v>270906.90000000002</v>
      </c>
      <c r="F94" s="10">
        <f t="shared" si="9"/>
        <v>-122568.56990000003</v>
      </c>
      <c r="G94" s="11">
        <f t="shared" si="10"/>
        <v>-0.45243797740109248</v>
      </c>
      <c r="H94" s="12">
        <f>SUM(Jan!H94,Feb!H94,Mar!H94)</f>
        <v>257064.8</v>
      </c>
      <c r="I94" s="12">
        <f>SUM(Jan!I94,Feb!I94,Mar!I94)</f>
        <v>-108726.4699</v>
      </c>
      <c r="J94" s="13">
        <f t="shared" si="11"/>
        <v>-0.42295355062225554</v>
      </c>
    </row>
    <row r="95" spans="1:10" ht="15.6">
      <c r="A95" s="26" t="str">
        <v>Rivard 2</v>
      </c>
      <c r="B95" s="27" t="str">
        <v>NY</v>
      </c>
      <c r="C95" s="27" t="str">
        <f>Sites[[#This Row],[SOL'#]]</f>
        <v>SOL-11012</v>
      </c>
      <c r="D95" s="16">
        <f>SUM(Jan!D95,Feb!D95,Mar!D95)</f>
        <v>142942</v>
      </c>
      <c r="E95" s="16">
        <f>SUM(Jan!E95,Feb!E95,Mar!E95)</f>
        <v>205053</v>
      </c>
      <c r="F95" s="14">
        <f t="shared" si="9"/>
        <v>-62111</v>
      </c>
      <c r="G95" s="15">
        <f t="shared" si="10"/>
        <v>-0.30290217651046314</v>
      </c>
      <c r="H95" s="16">
        <f>SUM(Jan!H95,Feb!H95,Mar!H95)</f>
        <v>245245.8</v>
      </c>
      <c r="I95" s="16">
        <f>SUM(Jan!I95,Feb!I95,Mar!I95)</f>
        <v>-102303.79999999999</v>
      </c>
      <c r="J95" s="15">
        <f t="shared" si="11"/>
        <v>-0.41714802047578387</v>
      </c>
    </row>
    <row r="96" spans="1:10" ht="15.6">
      <c r="A96" s="24" t="str">
        <v>Ridgeway #2</v>
      </c>
      <c r="B96" s="25" t="str">
        <v>NY</v>
      </c>
      <c r="C96" s="25" t="str">
        <f>Sites[[#This Row],[SOL'#]]</f>
        <v>SOL-11027</v>
      </c>
      <c r="D96" s="20">
        <f>SUM(Jan!D96,Feb!D96,Mar!D96)</f>
        <v>124718</v>
      </c>
      <c r="E96" s="10">
        <f>SUM(Jan!E96,Feb!E96,Mar!E96)</f>
        <v>121762</v>
      </c>
      <c r="F96" s="10">
        <f t="shared" si="9"/>
        <v>2956</v>
      </c>
      <c r="G96" s="11">
        <f t="shared" si="10"/>
        <v>2.4276867988370757E-2</v>
      </c>
      <c r="H96" s="12">
        <f>SUM(Jan!H96,Feb!H96,Mar!H96)</f>
        <v>219945.25</v>
      </c>
      <c r="I96" s="12">
        <f>SUM(Jan!I96,Feb!I96,Mar!I96)</f>
        <v>-95227.25</v>
      </c>
      <c r="J96" s="13">
        <f t="shared" si="11"/>
        <v>-0.43295888408592592</v>
      </c>
    </row>
    <row r="97" spans="1:10" ht="15.6">
      <c r="A97" s="26" t="str">
        <v>Spencer</v>
      </c>
      <c r="B97" s="27" t="str">
        <v>NY</v>
      </c>
      <c r="C97" s="27" t="str">
        <f>Sites[[#This Row],[SOL'#]]</f>
        <v>SOL-11017</v>
      </c>
      <c r="D97" s="16">
        <f>SUM(Jan!D97,Feb!D97,Mar!D97)</f>
        <v>366895.2</v>
      </c>
      <c r="E97" s="16">
        <f>SUM(Jan!E97,Feb!E97,Mar!E97)</f>
        <v>362740</v>
      </c>
      <c r="F97" s="14">
        <f t="shared" si="9"/>
        <v>4155.2000000000116</v>
      </c>
      <c r="G97" s="15">
        <f t="shared" si="10"/>
        <v>1.1455036665380194E-2</v>
      </c>
      <c r="H97" s="16">
        <f>SUM(Jan!H97,Feb!H97,Mar!H97)</f>
        <v>306010.64</v>
      </c>
      <c r="I97" s="16">
        <f>SUM(Jan!I97,Feb!I97,Mar!I97)</f>
        <v>60884.56</v>
      </c>
      <c r="J97" s="15">
        <f t="shared" si="11"/>
        <v>0.19896223216290779</v>
      </c>
    </row>
    <row r="98" spans="1:10" ht="15.6">
      <c r="A98" s="24" t="str">
        <v>Reisender</v>
      </c>
      <c r="B98" s="25" t="str">
        <v>NY</v>
      </c>
      <c r="C98" s="25" t="str">
        <f>Sites[[#This Row],[SOL'#]]</f>
        <v>SOL-10886</v>
      </c>
      <c r="D98" s="20">
        <f>SUM(Jan!D98,Feb!D98,Mar!D98)</f>
        <v>55170</v>
      </c>
      <c r="E98" s="10">
        <f>SUM(Jan!E98,Feb!E98,Mar!E98)</f>
        <v>54780</v>
      </c>
      <c r="F98" s="10">
        <f t="shared" si="9"/>
        <v>390</v>
      </c>
      <c r="G98" s="11">
        <f t="shared" si="10"/>
        <v>7.1193866374589269E-3</v>
      </c>
      <c r="H98" s="12">
        <f>SUM(Jan!H98,Feb!H98,Mar!H98)</f>
        <v>139255.92000000001</v>
      </c>
      <c r="I98" s="12">
        <f>SUM(Jan!I98,Feb!I98,Mar!I98)</f>
        <v>-84085.920000000013</v>
      </c>
      <c r="J98" s="13">
        <f t="shared" si="11"/>
        <v>-0.60382294698853745</v>
      </c>
    </row>
    <row r="99" spans="1:10" ht="15.6">
      <c r="A99" s="26" t="str">
        <v>Finney</v>
      </c>
      <c r="B99" s="27" t="str">
        <v>NY</v>
      </c>
      <c r="C99" s="27" t="str">
        <f>Sites[[#This Row],[SOL'#]]</f>
        <v>SOL-10999</v>
      </c>
      <c r="D99" s="16">
        <f>SUM(Jan!D99,Feb!D99,Mar!D99)</f>
        <v>423780</v>
      </c>
      <c r="E99" s="16">
        <f>SUM(Jan!E99,Feb!E99,Mar!E99)</f>
        <v>421430</v>
      </c>
      <c r="F99" s="14">
        <f t="shared" si="9"/>
        <v>2350</v>
      </c>
      <c r="G99" s="15">
        <f t="shared" si="10"/>
        <v>5.5762522838905633E-3</v>
      </c>
      <c r="H99" s="16">
        <f>SUM(Jan!H99,Feb!H99,Mar!H99)</f>
        <v>423916.47</v>
      </c>
      <c r="I99" s="16">
        <f>SUM(Jan!I99,Feb!I99,Mar!I99)</f>
        <v>-136.46999999997206</v>
      </c>
      <c r="J99" s="15">
        <f t="shared" si="11"/>
        <v>-3.2192662861146225E-4</v>
      </c>
    </row>
    <row r="100" spans="1:10" ht="15.6">
      <c r="A100" s="24" t="str">
        <v>Davis Solar</v>
      </c>
      <c r="B100" s="25" t="str">
        <v>NY</v>
      </c>
      <c r="C100" s="25" t="str">
        <f>Sites[[#This Row],[SOL'#]]</f>
        <v>SOL-10958</v>
      </c>
      <c r="D100" s="20">
        <f>SUM(Jan!D100,Feb!D100,Mar!D100)</f>
        <v>98174</v>
      </c>
      <c r="E100" s="10">
        <f>SUM(Jan!E100,Feb!E100,Mar!E100)</f>
        <v>222749.1</v>
      </c>
      <c r="F100" s="10">
        <f t="shared" si="9"/>
        <v>-124575.1</v>
      </c>
      <c r="G100" s="11">
        <f t="shared" si="10"/>
        <v>-0.55926196783735604</v>
      </c>
      <c r="H100" s="12">
        <f>SUM(Jan!H100,Feb!H100,Mar!H100)</f>
        <v>182746</v>
      </c>
      <c r="I100" s="12">
        <f>SUM(Jan!I100,Feb!I100,Mar!I100)</f>
        <v>-84572</v>
      </c>
      <c r="J100" s="13">
        <f t="shared" si="11"/>
        <v>-0.46278441114990204</v>
      </c>
    </row>
    <row r="101" spans="1:10" ht="15.6">
      <c r="A101" s="26" t="str">
        <v>Genesee</v>
      </c>
      <c r="B101" s="27" t="str">
        <v>NY</v>
      </c>
      <c r="C101" s="27" t="str">
        <f>Sites[[#This Row],[SOL'#]]</f>
        <v>SOL-10951</v>
      </c>
      <c r="D101" s="16">
        <f>SUM(Jan!D101,Feb!D101,Mar!D101)</f>
        <v>71876</v>
      </c>
      <c r="E101" s="16">
        <f>SUM(Jan!E101,Feb!E101,Mar!E101)</f>
        <v>71030.2</v>
      </c>
      <c r="F101" s="14">
        <f t="shared" si="9"/>
        <v>845.80000000000291</v>
      </c>
      <c r="G101" s="15">
        <f t="shared" si="10"/>
        <v>1.1907611128787516E-2</v>
      </c>
      <c r="H101" s="16">
        <f>SUM(Jan!H101,Feb!H101,Mar!H101)</f>
        <v>223003.43</v>
      </c>
      <c r="I101" s="16">
        <f>SUM(Jan!I101,Feb!I101,Mar!I101)</f>
        <v>-151127.43</v>
      </c>
      <c r="J101" s="15">
        <f t="shared" si="11"/>
        <v>-0.67769105614205127</v>
      </c>
    </row>
    <row r="102" spans="1:10" ht="15.6">
      <c r="A102" s="24" t="str">
        <v>Landau I</v>
      </c>
      <c r="B102" s="25" t="str">
        <v>NY</v>
      </c>
      <c r="C102" s="25" t="str">
        <f>Sites[[#This Row],[SOL'#]]</f>
        <v>SOL-10891</v>
      </c>
      <c r="D102" s="20">
        <f>SUM(Jan!D102,Feb!D102,Mar!D102)</f>
        <v>76220</v>
      </c>
      <c r="E102" s="10">
        <f>SUM(Jan!E102,Feb!E102,Mar!E102)</f>
        <v>0</v>
      </c>
      <c r="F102" s="10">
        <f t="shared" si="9"/>
        <v>76220</v>
      </c>
      <c r="G102" s="11" t="str">
        <f t="shared" si="10"/>
        <v/>
      </c>
      <c r="H102" s="12">
        <f>SUM(Jan!H102,Feb!H102,Mar!H102)</f>
        <v>183280</v>
      </c>
      <c r="I102" s="12">
        <f>SUM(Jan!I102,Feb!I102,Mar!I102)</f>
        <v>-107060</v>
      </c>
      <c r="J102" s="13">
        <f t="shared" si="11"/>
        <v>-0.58413356612832823</v>
      </c>
    </row>
    <row r="103" spans="1:10" ht="15.6">
      <c r="A103" s="26" t="str">
        <v>Landau II</v>
      </c>
      <c r="B103" s="27" t="str">
        <v>NY</v>
      </c>
      <c r="C103" s="27" t="str">
        <f>Sites[[#This Row],[SOL'#]]</f>
        <v>SOL-10895</v>
      </c>
      <c r="D103" s="16">
        <f>SUM(Jan!D103,Feb!D103,Mar!D103)</f>
        <v>0</v>
      </c>
      <c r="E103" s="16">
        <f>SUM(Jan!E103,Feb!E103,Mar!E103)</f>
        <v>0</v>
      </c>
      <c r="F103" s="14">
        <f t="shared" si="9"/>
        <v>0</v>
      </c>
      <c r="G103" s="15" t="str">
        <f t="shared" si="10"/>
        <v/>
      </c>
      <c r="H103" s="16">
        <f>SUM(Jan!H103,Feb!H103,Mar!H103)</f>
        <v>345100.3</v>
      </c>
      <c r="I103" s="16">
        <f>SUM(Jan!I103,Feb!I103,Mar!I103)</f>
        <v>0</v>
      </c>
      <c r="J103" s="15">
        <f t="shared" si="11"/>
        <v>0</v>
      </c>
    </row>
    <row r="104" spans="1:10" ht="15.6">
      <c r="A104" s="24" t="str">
        <v>New Beginnings</v>
      </c>
      <c r="B104" s="25" t="str">
        <v>NY</v>
      </c>
      <c r="C104" s="25" t="str">
        <f>Sites[[#This Row],[SOL'#]]</f>
        <v>SOL-10890</v>
      </c>
      <c r="D104" s="20">
        <f>SUM(Jan!D104,Feb!D104,Mar!D104)</f>
        <v>92270</v>
      </c>
      <c r="E104" s="10">
        <f>SUM(Jan!E104,Feb!E104,Mar!E104)</f>
        <v>92270</v>
      </c>
      <c r="F104" s="10">
        <f t="shared" si="9"/>
        <v>0</v>
      </c>
      <c r="G104" s="11">
        <f t="shared" si="10"/>
        <v>0</v>
      </c>
      <c r="H104" s="12">
        <f>SUM(Jan!H104,Feb!H104,Mar!H104)</f>
        <v>179886.74</v>
      </c>
      <c r="I104" s="12">
        <f>SUM(Jan!I104,Feb!I104,Mar!I104)</f>
        <v>-87616.739999999991</v>
      </c>
      <c r="J104" s="13">
        <f t="shared" si="11"/>
        <v>-0.48706613950533539</v>
      </c>
    </row>
    <row r="105" spans="1:10" ht="15.6">
      <c r="A105" s="26" t="str">
        <v>Bullitt Farm Solar, LLC</v>
      </c>
      <c r="B105" s="27" t="str">
        <v>NY</v>
      </c>
      <c r="C105" s="27" t="str">
        <f>Sites[[#This Row],[SOL'#]]</f>
        <v>SOL-10998</v>
      </c>
      <c r="D105" s="16">
        <f>SUM(Jan!D105,Feb!D105,Mar!D105)</f>
        <v>58980</v>
      </c>
      <c r="E105" s="16">
        <f>SUM(Jan!E105,Feb!E105,Mar!E105)</f>
        <v>0</v>
      </c>
      <c r="F105" s="14">
        <f t="shared" si="9"/>
        <v>58980</v>
      </c>
      <c r="G105" s="15" t="str">
        <f t="shared" si="10"/>
        <v/>
      </c>
      <c r="H105" s="16">
        <f>SUM(Jan!H105,Feb!H105,Mar!H105)</f>
        <v>110519.08</v>
      </c>
      <c r="I105" s="16">
        <f>SUM(Jan!I105,Feb!I105,Mar!I105)</f>
        <v>-51539.08</v>
      </c>
      <c r="J105" s="15">
        <f t="shared" si="11"/>
        <v>-0.4663364914003989</v>
      </c>
    </row>
    <row r="106" spans="1:10" ht="15.6">
      <c r="A106" s="24" t="str">
        <v>Brodhead Solar, LLC</v>
      </c>
      <c r="B106" s="25" t="str">
        <v>NY</v>
      </c>
      <c r="C106" s="25" t="str">
        <f>Sites[[#This Row],[SOL'#]]</f>
        <v>SOL-10899</v>
      </c>
      <c r="D106" s="20">
        <f>SUM(Jan!D106,Feb!D106,Mar!D106)</f>
        <v>177618</v>
      </c>
      <c r="E106" s="10">
        <f>SUM(Jan!E106,Feb!E106,Mar!E106)</f>
        <v>190253</v>
      </c>
      <c r="F106" s="10">
        <f t="shared" si="9"/>
        <v>-12635</v>
      </c>
      <c r="G106" s="11">
        <f t="shared" si="10"/>
        <v>-6.6411567754516357E-2</v>
      </c>
      <c r="H106" s="12">
        <f>SUM(Jan!H106,Feb!H106,Mar!H106)</f>
        <v>215650.8</v>
      </c>
      <c r="I106" s="12">
        <f>SUM(Jan!I106,Feb!I106,Mar!I106)</f>
        <v>-38032.799999999988</v>
      </c>
      <c r="J106" s="13">
        <f t="shared" si="11"/>
        <v>-0.17636289779588107</v>
      </c>
    </row>
    <row r="107" spans="1:10" ht="15.6">
      <c r="A107" s="26" t="str">
        <v>Svenski</v>
      </c>
      <c r="B107" s="27" t="str">
        <v>NY</v>
      </c>
      <c r="C107" s="27" t="str">
        <f>Sites[[#This Row],[SOL'#]]</f>
        <v>SOL-10894</v>
      </c>
      <c r="D107" s="16">
        <f>SUM(Jan!D107,Feb!D107,Mar!D107)</f>
        <v>30220</v>
      </c>
      <c r="E107" s="16">
        <f>SUM(Jan!E107,Feb!E107,Mar!E107)</f>
        <v>0</v>
      </c>
      <c r="F107" s="14">
        <f t="shared" si="9"/>
        <v>30220</v>
      </c>
      <c r="G107" s="15" t="str">
        <f t="shared" si="10"/>
        <v/>
      </c>
      <c r="H107" s="16">
        <f>SUM(Jan!H107,Feb!H107,Mar!H107)</f>
        <v>143761.47</v>
      </c>
      <c r="I107" s="16">
        <f>SUM(Jan!I107,Feb!I107,Mar!I107)</f>
        <v>-113541.47</v>
      </c>
      <c r="J107" s="15">
        <f t="shared" si="11"/>
        <v>-0.78979068591883483</v>
      </c>
    </row>
    <row r="108" spans="1:10" ht="15.6">
      <c r="A108" s="24" t="str">
        <v>Bantam</v>
      </c>
      <c r="B108" s="25" t="str">
        <v>NY</v>
      </c>
      <c r="C108" s="25" t="str">
        <f>Sites[[#This Row],[SOL'#]]</f>
        <v>SOL-10986</v>
      </c>
      <c r="D108" s="20">
        <f>SUM(Jan!D108,Feb!D108,Mar!D108)</f>
        <v>159790</v>
      </c>
      <c r="E108" s="10">
        <f>SUM(Jan!E108,Feb!E108,Mar!E108)</f>
        <v>190990</v>
      </c>
      <c r="F108" s="10">
        <f t="shared" si="9"/>
        <v>-31200</v>
      </c>
      <c r="G108" s="11">
        <f t="shared" si="10"/>
        <v>-0.16335933818524531</v>
      </c>
      <c r="H108" s="12">
        <f>SUM(Jan!H108,Feb!H108,Mar!H108)</f>
        <v>384649.18246464652</v>
      </c>
      <c r="I108" s="12">
        <f>SUM(Jan!I108,Feb!I108,Mar!I108)</f>
        <v>-224859.18246464652</v>
      </c>
      <c r="J108" s="13">
        <f t="shared" si="11"/>
        <v>-0.58458250456651772</v>
      </c>
    </row>
    <row r="109" spans="1:10" ht="15.6">
      <c r="A109" s="26" t="str">
        <v>Bogart</v>
      </c>
      <c r="B109" s="27" t="str">
        <v>NY</v>
      </c>
      <c r="C109" s="27" t="str">
        <f>Sites[[#This Row],[SOL'#]]</f>
        <v>SOL-10887</v>
      </c>
      <c r="D109" s="16">
        <f>SUM(Jan!D109,Feb!D109,Mar!D109)</f>
        <v>99550</v>
      </c>
      <c r="E109" s="16">
        <f>SUM(Jan!E109,Feb!E109,Mar!E109)</f>
        <v>70660</v>
      </c>
      <c r="F109" s="14">
        <f t="shared" si="9"/>
        <v>28890</v>
      </c>
      <c r="G109" s="15">
        <f t="shared" si="10"/>
        <v>0.4088593263515426</v>
      </c>
      <c r="H109" s="16">
        <f>SUM(Jan!H109,Feb!H109,Mar!H109)</f>
        <v>164078.57</v>
      </c>
      <c r="I109" s="16">
        <f>SUM(Jan!I109,Feb!I109,Mar!I109)</f>
        <v>-64528.570000000007</v>
      </c>
      <c r="J109" s="15">
        <f t="shared" si="11"/>
        <v>-0.39327847628121093</v>
      </c>
    </row>
    <row r="110" spans="1:10" ht="15.6">
      <c r="A110" s="24" t="str">
        <v>Dubois</v>
      </c>
      <c r="B110" s="25" t="str">
        <v>NY</v>
      </c>
      <c r="C110" s="25" t="str">
        <f>Sites[[#This Row],[SOL'#]]</f>
        <v>SOL-10892</v>
      </c>
      <c r="D110" s="20">
        <f>SUM(Jan!D110,Feb!D110,Mar!D110)</f>
        <v>90300</v>
      </c>
      <c r="E110" s="10">
        <f>SUM(Jan!E110,Feb!E110,Mar!E110)</f>
        <v>90343</v>
      </c>
      <c r="F110" s="10">
        <f t="shared" si="9"/>
        <v>-43</v>
      </c>
      <c r="G110" s="11">
        <f t="shared" si="10"/>
        <v>-4.7596382674916705E-4</v>
      </c>
      <c r="H110" s="12">
        <f>SUM(Jan!H110,Feb!H110,Mar!H110)</f>
        <v>0</v>
      </c>
      <c r="I110" s="12">
        <f>SUM(Jan!I110,Feb!I110,Mar!I110)</f>
        <v>0</v>
      </c>
      <c r="J110" s="13" t="str">
        <f t="shared" si="11"/>
        <v/>
      </c>
    </row>
    <row r="111" spans="1:10" ht="15.6">
      <c r="A111" s="26" t="str">
        <v>Salt Point</v>
      </c>
      <c r="B111" s="27" t="str">
        <v>NY</v>
      </c>
      <c r="C111" s="27" t="str">
        <f>Sites[[#This Row],[SOL'#]]</f>
        <v>SOL-10888</v>
      </c>
      <c r="D111" s="16">
        <f>SUM(Jan!D111,Feb!D111,Mar!D111)</f>
        <v>124160</v>
      </c>
      <c r="E111" s="16">
        <f>SUM(Jan!E111,Feb!E111,Mar!E111)</f>
        <v>124160</v>
      </c>
      <c r="F111" s="14">
        <f t="shared" si="9"/>
        <v>0</v>
      </c>
      <c r="G111" s="15">
        <f t="shared" si="10"/>
        <v>0</v>
      </c>
      <c r="H111" s="16">
        <f>SUM(Jan!H111,Feb!H111,Mar!H111)</f>
        <v>135218.23000000001</v>
      </c>
      <c r="I111" s="16">
        <f>SUM(Jan!I111,Feb!I111,Mar!I111)</f>
        <v>-11058.23000000001</v>
      </c>
      <c r="J111" s="15">
        <f t="shared" si="11"/>
        <v>-8.17806149363145E-2</v>
      </c>
    </row>
    <row r="112" spans="1:10" ht="15.6">
      <c r="A112" s="24" t="str">
        <v>Wheatland 2A</v>
      </c>
      <c r="B112" s="25" t="str">
        <v>NY</v>
      </c>
      <c r="C112" s="25" t="str">
        <f>Sites[[#This Row],[SOL'#]]</f>
        <v>SOL-10971</v>
      </c>
      <c r="D112" s="20">
        <f>SUM(Jan!D112,Feb!D112,Mar!D112)</f>
        <v>160740</v>
      </c>
      <c r="E112" s="10">
        <f>SUM(Jan!E112,Feb!E112,Mar!E112)</f>
        <v>159600</v>
      </c>
      <c r="F112" s="10">
        <f t="shared" si="9"/>
        <v>1140</v>
      </c>
      <c r="G112" s="11">
        <f t="shared" si="10"/>
        <v>7.1428571428571426E-3</v>
      </c>
      <c r="H112" s="12">
        <f>SUM(Jan!H112,Feb!H112,Mar!H112)</f>
        <v>282852.59999999998</v>
      </c>
      <c r="I112" s="12">
        <f>SUM(Jan!I112,Feb!I112,Mar!I112)</f>
        <v>-122112.59999999998</v>
      </c>
      <c r="J112" s="13">
        <f t="shared" si="11"/>
        <v>-0.43171814577628059</v>
      </c>
    </row>
    <row r="113" spans="1:10" ht="15.6">
      <c r="A113" s="26" t="str">
        <v>Wheatland 2B</v>
      </c>
      <c r="B113" s="27" t="str">
        <v>NY</v>
      </c>
      <c r="C113" s="27" t="str">
        <f>Sites[[#This Row],[SOL'#]]</f>
        <v>SOL-10961</v>
      </c>
      <c r="D113" s="16">
        <f>SUM(Jan!D113,Feb!D113,Mar!D113)</f>
        <v>164520</v>
      </c>
      <c r="E113" s="16">
        <f>SUM(Jan!E113,Feb!E113,Mar!E113)</f>
        <v>0</v>
      </c>
      <c r="F113" s="14">
        <f t="shared" si="9"/>
        <v>164520</v>
      </c>
      <c r="G113" s="15" t="str">
        <f t="shared" si="10"/>
        <v/>
      </c>
      <c r="H113" s="16">
        <f>SUM(Jan!H113,Feb!H113,Mar!H113)</f>
        <v>279044.7</v>
      </c>
      <c r="I113" s="16">
        <f>SUM(Jan!I113,Feb!I113,Mar!I113)</f>
        <v>-114524.70000000001</v>
      </c>
      <c r="J113" s="15">
        <f t="shared" si="11"/>
        <v>-0.41041704071068186</v>
      </c>
    </row>
    <row r="114" spans="1:10" ht="15.6">
      <c r="A114" s="24" t="str">
        <v>Brickchurch</v>
      </c>
      <c r="B114" s="25" t="str">
        <v>NY</v>
      </c>
      <c r="C114" s="25" t="str">
        <f>Sites[[#This Row],[SOL'#]]</f>
        <v>SOL-10889</v>
      </c>
      <c r="D114" s="20">
        <f>SUM(Jan!D114,Feb!D114,Mar!D114)</f>
        <v>51400</v>
      </c>
      <c r="E114" s="10">
        <f>SUM(Jan!E114,Feb!E114,Mar!E114)</f>
        <v>52570</v>
      </c>
      <c r="F114" s="10">
        <f t="shared" si="9"/>
        <v>-1170</v>
      </c>
      <c r="G114" s="11">
        <f t="shared" si="10"/>
        <v>-2.2256039566292563E-2</v>
      </c>
      <c r="H114" s="12">
        <f>SUM(Jan!H114,Feb!H114,Mar!H114)</f>
        <v>77601.11</v>
      </c>
      <c r="I114" s="12">
        <f>SUM(Jan!I114,Feb!I114,Mar!I114)</f>
        <v>-26201.11</v>
      </c>
      <c r="J114" s="13">
        <f t="shared" si="11"/>
        <v>-0.33763834048250085</v>
      </c>
    </row>
    <row r="115" spans="1:10" ht="15.6">
      <c r="A115" s="26" t="str">
        <v>McCarthy Solar</v>
      </c>
      <c r="B115" s="27" t="str">
        <v>NY</v>
      </c>
      <c r="C115" s="27" t="str">
        <f>Sites[[#This Row],[SOL'#]]</f>
        <v>SOL-10992</v>
      </c>
      <c r="D115" s="16">
        <f>SUM(Jan!D115,Feb!D115,Mar!D115)</f>
        <v>132470</v>
      </c>
      <c r="E115" s="16">
        <f>SUM(Jan!E115,Feb!E115,Mar!E115)</f>
        <v>0</v>
      </c>
      <c r="F115" s="14">
        <f t="shared" si="9"/>
        <v>132470</v>
      </c>
      <c r="G115" s="15" t="str">
        <f t="shared" si="10"/>
        <v/>
      </c>
      <c r="H115" s="16">
        <f>SUM(Jan!H115,Feb!H115,Mar!H115)</f>
        <v>199506.06</v>
      </c>
      <c r="I115" s="16">
        <f>SUM(Jan!I115,Feb!I115,Mar!I115)</f>
        <v>-67036.06</v>
      </c>
      <c r="J115" s="15">
        <f t="shared" si="11"/>
        <v>-0.33601014425326226</v>
      </c>
    </row>
    <row r="116" spans="1:10" ht="15.6">
      <c r="A116" s="24" t="str">
        <v>Costanza</v>
      </c>
      <c r="B116" s="25" t="str">
        <v>NY</v>
      </c>
      <c r="C116" s="25" t="str">
        <f>Sites[[#This Row],[SOL'#]]</f>
        <v>SOL-10907</v>
      </c>
      <c r="D116" s="20">
        <f>SUM(Jan!D116,Feb!D116,Mar!D116)</f>
        <v>80480</v>
      </c>
      <c r="E116" s="10">
        <f>SUM(Jan!E116,Feb!E116,Mar!E116)</f>
        <v>80582.429999999993</v>
      </c>
      <c r="F116" s="10">
        <f t="shared" si="9"/>
        <v>-102.42999999999302</v>
      </c>
      <c r="G116" s="11">
        <f t="shared" si="10"/>
        <v>-1.2711207641664941E-3</v>
      </c>
      <c r="H116" s="12">
        <f>SUM(Jan!H116,Feb!H116,Mar!H116)</f>
        <v>161660.63</v>
      </c>
      <c r="I116" s="12">
        <f>SUM(Jan!I116,Feb!I116,Mar!I116)</f>
        <v>-81180.63</v>
      </c>
      <c r="J116" s="13">
        <f t="shared" si="11"/>
        <v>-0.50216697782261521</v>
      </c>
    </row>
    <row r="117" spans="1:10" ht="15.6">
      <c r="A117" s="26" t="str">
        <v>Lockenhurst Pond</v>
      </c>
      <c r="B117" s="27" t="str">
        <v>NY</v>
      </c>
      <c r="C117" s="27" t="str">
        <f>Sites[[#This Row],[SOL'#]]</f>
        <v>SOL-11000</v>
      </c>
      <c r="D117" s="16">
        <f>SUM(Jan!D117,Feb!D117,Mar!D117)</f>
        <v>175704</v>
      </c>
      <c r="E117" s="16">
        <f>SUM(Jan!E117,Feb!E117,Mar!E117)</f>
        <v>203514.2</v>
      </c>
      <c r="F117" s="14">
        <f t="shared" si="9"/>
        <v>-27810.200000000012</v>
      </c>
      <c r="G117" s="15">
        <f t="shared" si="10"/>
        <v>-0.13664992418219471</v>
      </c>
      <c r="H117" s="16">
        <f>SUM(Jan!H117,Feb!H117,Mar!H117)</f>
        <v>160367</v>
      </c>
      <c r="I117" s="16">
        <f>SUM(Jan!I117,Feb!I117,Mar!I117)</f>
        <v>15337</v>
      </c>
      <c r="J117" s="15">
        <f t="shared" si="11"/>
        <v>9.5636882899848466E-2</v>
      </c>
    </row>
    <row r="118" spans="1:10" ht="15.6">
      <c r="A118" s="24" t="str">
        <v>Drinkwater</v>
      </c>
      <c r="B118" s="25" t="str">
        <v>NY</v>
      </c>
      <c r="C118" s="25" t="str">
        <f>Sites[[#This Row],[SOL'#]]</f>
        <v>SOL-10896</v>
      </c>
      <c r="D118" s="20">
        <f>SUM(Jan!D118,Feb!D118,Mar!D118)</f>
        <v>92100</v>
      </c>
      <c r="E118" s="10">
        <f>SUM(Jan!E118,Feb!E118,Mar!E118)</f>
        <v>0</v>
      </c>
      <c r="F118" s="10">
        <f t="shared" si="9"/>
        <v>92100</v>
      </c>
      <c r="G118" s="11" t="str">
        <f t="shared" si="10"/>
        <v/>
      </c>
      <c r="H118" s="12">
        <f>SUM(Jan!H118,Feb!H118,Mar!H118)</f>
        <v>167148.09</v>
      </c>
      <c r="I118" s="12">
        <f>SUM(Jan!I118,Feb!I118,Mar!I118)</f>
        <v>-75048.09</v>
      </c>
      <c r="J118" s="13">
        <f t="shared" si="11"/>
        <v>-0.44899160977549907</v>
      </c>
    </row>
    <row r="119" spans="1:10" ht="15.6">
      <c r="A119" s="26" t="str">
        <v>Altamont</v>
      </c>
      <c r="B119" s="27" t="str">
        <v>NY</v>
      </c>
      <c r="C119" s="27" t="str">
        <f>Sites[[#This Row],[SOL'#]]</f>
        <v>SOL-11085</v>
      </c>
      <c r="D119" s="16">
        <f>SUM(Jan!D119,Feb!D119,Mar!D119)</f>
        <v>214086</v>
      </c>
      <c r="E119" s="16">
        <f>SUM(Jan!E119,Feb!E119,Mar!E119)</f>
        <v>414723.4</v>
      </c>
      <c r="F119" s="14">
        <f t="shared" si="9"/>
        <v>-200637.40000000002</v>
      </c>
      <c r="G119" s="15">
        <f t="shared" si="10"/>
        <v>-0.48378606078171621</v>
      </c>
      <c r="H119" s="16">
        <f>SUM(Jan!H119,Feb!H119,Mar!H119)</f>
        <v>346402.7</v>
      </c>
      <c r="I119" s="16">
        <f>SUM(Jan!I119,Feb!I119,Mar!I119)</f>
        <v>-132316.70000000001</v>
      </c>
      <c r="J119" s="15">
        <f t="shared" si="11"/>
        <v>-0.38197363935096351</v>
      </c>
    </row>
    <row r="120" spans="1:10" ht="15.6">
      <c r="A120" s="24" t="str">
        <v>Krumkill North</v>
      </c>
      <c r="B120" s="25" t="str">
        <v>NY</v>
      </c>
      <c r="C120" s="25" t="str">
        <f>Sites[[#This Row],[SOL'#]]</f>
        <v>SOL-11086</v>
      </c>
      <c r="D120" s="20">
        <f>SUM(Jan!D120,Feb!D120,Mar!D120)</f>
        <v>178706</v>
      </c>
      <c r="E120" s="10">
        <f>SUM(Jan!E120,Feb!E120,Mar!E120)</f>
        <v>333810.59999999998</v>
      </c>
      <c r="F120" s="10">
        <f t="shared" si="9"/>
        <v>-155104.59999999998</v>
      </c>
      <c r="G120" s="11">
        <f t="shared" si="10"/>
        <v>-0.46464851625442688</v>
      </c>
      <c r="H120" s="12">
        <f>SUM(Jan!H120,Feb!H120,Mar!H120)</f>
        <v>463900.5</v>
      </c>
      <c r="I120" s="12">
        <f>SUM(Jan!I120,Feb!I120,Mar!I120)</f>
        <v>-285194.5</v>
      </c>
      <c r="J120" s="13">
        <f t="shared" si="11"/>
        <v>-0.61477515113693559</v>
      </c>
    </row>
    <row r="121" spans="1:10" ht="15.6">
      <c r="A121" s="26" t="str">
        <v>Krumkill South</v>
      </c>
      <c r="B121" s="27" t="str">
        <v>NY</v>
      </c>
      <c r="C121" s="27" t="str">
        <f>Sites[[#This Row],[SOL'#]]</f>
        <v>SOL-11087</v>
      </c>
      <c r="D121" s="16">
        <f>SUM(Jan!D121,Feb!D121,Mar!D121)</f>
        <v>174363</v>
      </c>
      <c r="E121" s="16">
        <f>SUM(Jan!E121,Feb!E121,Mar!E121)</f>
        <v>315721.3</v>
      </c>
      <c r="F121" s="14">
        <f t="shared" si="9"/>
        <v>-141358.29999999999</v>
      </c>
      <c r="G121" s="15">
        <f t="shared" si="10"/>
        <v>-0.4477312743866188</v>
      </c>
      <c r="H121" s="16">
        <f>SUM(Jan!H121,Feb!H121,Mar!H121)</f>
        <v>363684</v>
      </c>
      <c r="I121" s="16">
        <f>SUM(Jan!I121,Feb!I121,Mar!I121)</f>
        <v>-189321</v>
      </c>
      <c r="J121" s="15">
        <f t="shared" si="11"/>
        <v>-0.52056455604315832</v>
      </c>
    </row>
    <row r="122" spans="1:10" ht="15.6">
      <c r="A122" s="24" t="str">
        <v>X092</v>
      </c>
      <c r="B122" s="25" t="str">
        <v>NY</v>
      </c>
      <c r="C122" s="25" t="str">
        <f>Sites[[#This Row],[SOL'#]]</f>
        <v>SOL-11189</v>
      </c>
      <c r="D122" s="20">
        <f>SUM(Jan!D122,Feb!D122,Mar!D122)</f>
        <v>4003.3</v>
      </c>
      <c r="E122" s="10">
        <f>SUM(Jan!E122,Feb!E122,Mar!E122)</f>
        <v>6290.3819999999996</v>
      </c>
      <c r="F122" s="10">
        <f t="shared" si="9"/>
        <v>-2287.0819999999994</v>
      </c>
      <c r="G122" s="11">
        <f t="shared" si="10"/>
        <v>-0.36358396040176888</v>
      </c>
      <c r="H122" s="12">
        <f>SUM(Jan!H122,Feb!H122,Mar!H122)</f>
        <v>8237</v>
      </c>
      <c r="I122" s="12">
        <f>SUM(Jan!I122,Feb!I122,Mar!I122)</f>
        <v>-4233.7</v>
      </c>
      <c r="J122" s="13">
        <f t="shared" si="11"/>
        <v>-0.51398567439601794</v>
      </c>
    </row>
    <row r="123" spans="1:10" ht="15.6">
      <c r="A123" s="26" t="str">
        <v>X093</v>
      </c>
      <c r="B123" s="27" t="str">
        <v>NY</v>
      </c>
      <c r="C123" s="27" t="str">
        <f>Sites[[#This Row],[SOL'#]]</f>
        <v>SOL-10932</v>
      </c>
      <c r="D123" s="16">
        <f>SUM(Jan!D123,Feb!D123,Mar!D123)</f>
        <v>2882.4081740000001</v>
      </c>
      <c r="E123" s="16">
        <f>SUM(Jan!E123,Feb!E123,Mar!E123)</f>
        <v>4009.5050000000001</v>
      </c>
      <c r="F123" s="14">
        <f t="shared" si="9"/>
        <v>-1127.096826</v>
      </c>
      <c r="G123" s="15">
        <f t="shared" si="10"/>
        <v>-0.28110622782612815</v>
      </c>
      <c r="H123" s="16">
        <f>SUM(Jan!H123,Feb!H123,Mar!H123)</f>
        <v>4845</v>
      </c>
      <c r="I123" s="16">
        <f>SUM(Jan!I123,Feb!I123,Mar!I123)</f>
        <v>-1962.5918259999999</v>
      </c>
      <c r="J123" s="15">
        <f t="shared" si="11"/>
        <v>-0.40507571228070172</v>
      </c>
    </row>
    <row r="124" spans="1:10" ht="15.6">
      <c r="A124" s="24" t="str">
        <v>X095</v>
      </c>
      <c r="B124" s="25" t="str">
        <v>NY</v>
      </c>
      <c r="C124" s="25" t="str">
        <f>Sites[[#This Row],[SOL'#]]</f>
        <v>SOL-10929</v>
      </c>
      <c r="D124" s="20">
        <f>SUM(Jan!D124,Feb!D124,Mar!D124)</f>
        <v>3943.578125</v>
      </c>
      <c r="E124" s="10">
        <f>SUM(Jan!E124,Feb!E124,Mar!E124)</f>
        <v>7896.8329999999996</v>
      </c>
      <c r="F124" s="10">
        <f t="shared" si="9"/>
        <v>-3953.2548749999996</v>
      </c>
      <c r="G124" s="11">
        <f t="shared" si="10"/>
        <v>-0.50061269815380416</v>
      </c>
      <c r="H124" s="12">
        <f>SUM(Jan!H124,Feb!H124,Mar!H124)</f>
        <v>6901</v>
      </c>
      <c r="I124" s="12">
        <f>SUM(Jan!I124,Feb!I124,Mar!I124)</f>
        <v>-2957.421875</v>
      </c>
      <c r="J124" s="13">
        <f t="shared" si="11"/>
        <v>-0.42854975728155342</v>
      </c>
    </row>
    <row r="125" spans="1:10" ht="15.6">
      <c r="A125" s="26" t="str">
        <v>X181</v>
      </c>
      <c r="B125" s="27" t="str">
        <v>NY</v>
      </c>
      <c r="C125" s="27" t="str">
        <f>Sites[[#This Row],[SOL'#]]</f>
        <v>SOL-10428</v>
      </c>
      <c r="D125" s="16">
        <f>SUM(Jan!D125,Feb!D125,Mar!D125)</f>
        <v>7292.90625</v>
      </c>
      <c r="E125" s="16">
        <f>SUM(Jan!E125,Feb!E125,Mar!E125)</f>
        <v>14591.35</v>
      </c>
      <c r="F125" s="14">
        <f t="shared" si="9"/>
        <v>-7298.4437500000004</v>
      </c>
      <c r="G125" s="15">
        <f t="shared" si="10"/>
        <v>-0.50018975283301415</v>
      </c>
      <c r="H125" s="16">
        <f>SUM(Jan!H125,Feb!H125,Mar!H125)</f>
        <v>11497</v>
      </c>
      <c r="I125" s="16">
        <f>SUM(Jan!I125,Feb!I125,Mar!I125)</f>
        <v>-4204.09375</v>
      </c>
      <c r="J125" s="15">
        <f t="shared" si="11"/>
        <v>-0.36566876141602156</v>
      </c>
    </row>
    <row r="126" spans="1:10" ht="15.6">
      <c r="A126" s="24" t="str">
        <v>X415</v>
      </c>
      <c r="B126" s="25" t="str">
        <v>NY</v>
      </c>
      <c r="C126" s="25" t="str">
        <f>Sites[[#This Row],[SOL'#]]</f>
        <v>SOL-10429</v>
      </c>
      <c r="D126" s="20">
        <f>SUM(Jan!D126,Feb!D126,Mar!D126)</f>
        <v>4703.953125</v>
      </c>
      <c r="E126" s="10">
        <f>SUM(Jan!E126,Feb!E126,Mar!E126)</f>
        <v>7354.1880000000001</v>
      </c>
      <c r="F126" s="10">
        <f t="shared" si="9"/>
        <v>-2650.2348750000001</v>
      </c>
      <c r="G126" s="11">
        <f t="shared" si="10"/>
        <v>-0.36037083563814254</v>
      </c>
      <c r="H126" s="12">
        <f>SUM(Jan!H126,Feb!H126,Mar!H126)</f>
        <v>6299</v>
      </c>
      <c r="I126" s="12">
        <f>SUM(Jan!I126,Feb!I126,Mar!I126)</f>
        <v>-1595.046875</v>
      </c>
      <c r="J126" s="13">
        <f t="shared" si="11"/>
        <v>-0.25322223765677093</v>
      </c>
    </row>
    <row r="127" spans="1:10" ht="15.6">
      <c r="A127" s="26" t="str">
        <v>K198</v>
      </c>
      <c r="B127" s="27" t="str">
        <v>NY</v>
      </c>
      <c r="C127" s="27" t="str">
        <f>Sites[[#This Row],[SOL'#]]</f>
        <v>SOL-10930</v>
      </c>
      <c r="D127" s="16">
        <f>SUM(Jan!D127,Feb!D127,Mar!D127)</f>
        <v>3744.796875</v>
      </c>
      <c r="E127" s="16">
        <f>SUM(Jan!E127,Feb!E127,Mar!E127)</f>
        <v>5314.616</v>
      </c>
      <c r="F127" s="14">
        <f t="shared" si="9"/>
        <v>-1569.819125</v>
      </c>
      <c r="G127" s="15">
        <f t="shared" si="10"/>
        <v>-0.29537771402487029</v>
      </c>
      <c r="H127" s="16">
        <f>SUM(Jan!H127,Feb!H127,Mar!H127)</f>
        <v>5807</v>
      </c>
      <c r="I127" s="16">
        <f>SUM(Jan!I127,Feb!I127,Mar!I127)</f>
        <v>-2062.203125</v>
      </c>
      <c r="J127" s="15">
        <f t="shared" si="11"/>
        <v>-0.35512366540382295</v>
      </c>
    </row>
    <row r="128" spans="1:10" ht="15.6">
      <c r="A128" s="24" t="str">
        <v>K203</v>
      </c>
      <c r="B128" s="25" t="str">
        <v>NY</v>
      </c>
      <c r="C128" s="25" t="str">
        <f>Sites[[#This Row],[SOL'#]]</f>
        <v>SOL-11190</v>
      </c>
      <c r="D128" s="20">
        <f>SUM(Jan!D128,Feb!D128,Mar!D128)</f>
        <v>5244.2</v>
      </c>
      <c r="E128" s="10">
        <f>SUM(Jan!E128,Feb!E128,Mar!E128)</f>
        <v>7024.09</v>
      </c>
      <c r="F128" s="10">
        <f t="shared" si="9"/>
        <v>-1779.8900000000003</v>
      </c>
      <c r="G128" s="11">
        <f t="shared" si="10"/>
        <v>-0.25339794905816987</v>
      </c>
      <c r="H128" s="12">
        <f>SUM(Jan!H128,Feb!H128,Mar!H128)</f>
        <v>9142</v>
      </c>
      <c r="I128" s="12">
        <f>SUM(Jan!I128,Feb!I128,Mar!I128)</f>
        <v>-3897.8</v>
      </c>
      <c r="J128" s="13">
        <f t="shared" si="11"/>
        <v>-0.42636184642310221</v>
      </c>
    </row>
    <row r="129" spans="1:10" ht="15.6">
      <c r="A129" s="26" t="str">
        <v>K213</v>
      </c>
      <c r="B129" s="27" t="str">
        <v>NY</v>
      </c>
      <c r="C129" s="27" t="str">
        <f>Sites[[#This Row],[SOL'#]]</f>
        <v>SOL-11191</v>
      </c>
      <c r="D129" s="16">
        <f>SUM(Jan!D129,Feb!D129,Mar!D129)</f>
        <v>5406.9</v>
      </c>
      <c r="E129" s="16">
        <f>SUM(Jan!E129,Feb!E129,Mar!E129)</f>
        <v>7582.6570000000002</v>
      </c>
      <c r="F129" s="14">
        <f t="shared" si="9"/>
        <v>-2175.7570000000005</v>
      </c>
      <c r="G129" s="15">
        <f t="shared" si="10"/>
        <v>-0.28693860212851519</v>
      </c>
      <c r="H129" s="16">
        <f>SUM(Jan!H129,Feb!H129,Mar!H129)</f>
        <v>9570</v>
      </c>
      <c r="I129" s="16">
        <f>SUM(Jan!I129,Feb!I129,Mar!I129)</f>
        <v>-4163.1000000000004</v>
      </c>
      <c r="J129" s="15">
        <f t="shared" si="11"/>
        <v>-0.43501567398119129</v>
      </c>
    </row>
    <row r="130" spans="1:10" ht="15.6">
      <c r="A130" s="24" t="str">
        <v>K217</v>
      </c>
      <c r="B130" s="25" t="str">
        <v>NY</v>
      </c>
      <c r="C130" s="25" t="str">
        <f>Sites[[#This Row],[SOL'#]]</f>
        <v>SOL-10933</v>
      </c>
      <c r="D130" s="20">
        <f>SUM(Jan!D130,Feb!D130,Mar!D130)</f>
        <v>2473.8203130000002</v>
      </c>
      <c r="E130" s="10">
        <f>SUM(Jan!E130,Feb!E130,Mar!E130)</f>
        <v>4075.625</v>
      </c>
      <c r="F130" s="10">
        <f t="shared" si="9"/>
        <v>-1601.8046869999998</v>
      </c>
      <c r="G130" s="11">
        <f t="shared" si="10"/>
        <v>-0.39302062554822875</v>
      </c>
      <c r="H130" s="12">
        <f>SUM(Jan!H130,Feb!H130,Mar!H130)</f>
        <v>3879</v>
      </c>
      <c r="I130" s="12">
        <f>SUM(Jan!I130,Feb!I130,Mar!I130)</f>
        <v>-1405.1796869999998</v>
      </c>
      <c r="J130" s="13">
        <f t="shared" si="11"/>
        <v>-0.36225307733952045</v>
      </c>
    </row>
    <row r="131" spans="1:10" ht="15.6">
      <c r="A131" s="26" t="str">
        <v>K307</v>
      </c>
      <c r="B131" s="27" t="str">
        <v>NY</v>
      </c>
      <c r="C131" s="27" t="str">
        <f>Sites[[#This Row],[SOL'#]]</f>
        <v>SOL-10876</v>
      </c>
      <c r="D131" s="16">
        <f>SUM(Jan!D131,Feb!D131,Mar!D131)</f>
        <v>5876.796875</v>
      </c>
      <c r="E131" s="16">
        <f>SUM(Jan!E131,Feb!E131,Mar!E131)</f>
        <v>13060.53</v>
      </c>
      <c r="F131" s="14">
        <f t="shared" si="9"/>
        <v>-7183.7331250000007</v>
      </c>
      <c r="G131" s="15">
        <f t="shared" si="10"/>
        <v>-0.550033813712001</v>
      </c>
      <c r="H131" s="16">
        <f>SUM(Jan!H131,Feb!H131,Mar!H131)</f>
        <v>7468</v>
      </c>
      <c r="I131" s="16">
        <f>SUM(Jan!I131,Feb!I131,Mar!I131)</f>
        <v>-1591.203125</v>
      </c>
      <c r="J131" s="15">
        <f t="shared" si="11"/>
        <v>-0.21306951325656132</v>
      </c>
    </row>
    <row r="132" spans="1:10" ht="15.6">
      <c r="A132" s="24" t="str">
        <v>K610</v>
      </c>
      <c r="B132" s="25" t="str">
        <v>NY</v>
      </c>
      <c r="C132" s="25" t="str">
        <f>Sites[[#This Row],[SOL'#]]</f>
        <v>SOL-11158</v>
      </c>
      <c r="D132" s="20">
        <f>SUM(Jan!D132,Feb!D132,Mar!D132)</f>
        <v>7256.1</v>
      </c>
      <c r="E132" s="10">
        <f>SUM(Jan!E132,Feb!E132,Mar!E132)</f>
        <v>9685.5640000000003</v>
      </c>
      <c r="F132" s="10">
        <f t="shared" si="9"/>
        <v>-2429.4639999999999</v>
      </c>
      <c r="G132" s="11">
        <f t="shared" si="10"/>
        <v>-0.25083350850812608</v>
      </c>
      <c r="H132" s="12">
        <f>SUM(Jan!H132,Feb!H132,Mar!H132)</f>
        <v>12467</v>
      </c>
      <c r="I132" s="12">
        <f>SUM(Jan!I132,Feb!I132,Mar!I132)</f>
        <v>-5210.8999999999996</v>
      </c>
      <c r="J132" s="13">
        <f t="shared" si="11"/>
        <v>-0.41797545520173257</v>
      </c>
    </row>
    <row r="133" spans="1:10" ht="15.6">
      <c r="A133" s="26" t="str">
        <v>M025</v>
      </c>
      <c r="B133" s="27" t="str">
        <v>NY</v>
      </c>
      <c r="C133" s="27" t="str">
        <f>Sites[[#This Row],[SOL'#]]</f>
        <v>SOL-10392</v>
      </c>
      <c r="D133" s="16">
        <f>SUM(Jan!D133,Feb!D133,Mar!D133)</f>
        <v>4989.125</v>
      </c>
      <c r="E133" s="16">
        <f>SUM(Jan!E133,Feb!E133,Mar!E133)</f>
        <v>14236.48</v>
      </c>
      <c r="F133" s="14">
        <f t="shared" si="9"/>
        <v>-9247.3549999999996</v>
      </c>
      <c r="G133" s="15">
        <f t="shared" si="10"/>
        <v>-0.64955347108273953</v>
      </c>
      <c r="H133" s="16">
        <f>SUM(Jan!H133,Feb!H133,Mar!H133)</f>
        <v>9891</v>
      </c>
      <c r="I133" s="16">
        <f>SUM(Jan!I133,Feb!I133,Mar!I133)</f>
        <v>-4901.875</v>
      </c>
      <c r="J133" s="15">
        <f t="shared" si="11"/>
        <v>-0.49558942472955214</v>
      </c>
    </row>
    <row r="134" spans="1:10" ht="15.6">
      <c r="A134" s="24" t="str">
        <v>M028</v>
      </c>
      <c r="B134" s="25" t="str">
        <v>NY</v>
      </c>
      <c r="C134" s="25" t="str">
        <f>Sites[[#This Row],[SOL'#]]</f>
        <v>SOL-10381</v>
      </c>
      <c r="D134" s="20">
        <f>SUM(Jan!D134,Feb!D134,Mar!D134)</f>
        <v>4642.046875</v>
      </c>
      <c r="E134" s="10">
        <f>SUM(Jan!E134,Feb!E134,Mar!E134)</f>
        <v>6572.8249999999998</v>
      </c>
      <c r="F134" s="10">
        <f t="shared" si="9"/>
        <v>-1930.7781249999998</v>
      </c>
      <c r="G134" s="11">
        <f t="shared" si="10"/>
        <v>-0.29375164027644124</v>
      </c>
      <c r="H134" s="12">
        <f>SUM(Jan!H134,Feb!H134,Mar!H134)</f>
        <v>6540</v>
      </c>
      <c r="I134" s="12">
        <f>SUM(Jan!I134,Feb!I134,Mar!I134)</f>
        <v>-1897.953125</v>
      </c>
      <c r="J134" s="13">
        <f t="shared" si="11"/>
        <v>-0.2902068998470948</v>
      </c>
    </row>
    <row r="135" spans="1:10" ht="15.6">
      <c r="A135" s="26" t="str">
        <v>Q030</v>
      </c>
      <c r="B135" s="27" t="str">
        <v>NY</v>
      </c>
      <c r="C135" s="27" t="str">
        <f>Sites[[#This Row],[SOL'#]]</f>
        <v>SOL-10878</v>
      </c>
      <c r="D135" s="16">
        <f>SUM(Jan!D135,Feb!D135,Mar!D135)</f>
        <v>1390.234375</v>
      </c>
      <c r="E135" s="16">
        <f>SUM(Jan!E135,Feb!E135,Mar!E135)</f>
        <v>3019.2640000000001</v>
      </c>
      <c r="F135" s="14">
        <f t="shared" si="9"/>
        <v>-1629.0296250000001</v>
      </c>
      <c r="G135" s="15">
        <f t="shared" si="10"/>
        <v>-0.53954527494117777</v>
      </c>
      <c r="H135" s="16">
        <f>SUM(Jan!H135,Feb!H135,Mar!H135)</f>
        <v>8785</v>
      </c>
      <c r="I135" s="16">
        <f>SUM(Jan!I135,Feb!I135,Mar!I135)</f>
        <v>-7394.765625</v>
      </c>
      <c r="J135" s="15">
        <f t="shared" si="11"/>
        <v>-0.84174907512805919</v>
      </c>
    </row>
    <row r="136" spans="1:10" ht="15.6">
      <c r="A136" s="24" t="str">
        <v>Q130</v>
      </c>
      <c r="B136" s="25" t="str">
        <v>NY</v>
      </c>
      <c r="C136" s="25" t="str">
        <f>Sites[[#This Row],[SOL'#]]</f>
        <v>SOL-10877</v>
      </c>
      <c r="D136" s="20">
        <f>SUM(Jan!D136,Feb!D136,Mar!D136)</f>
        <v>2955.9609380000002</v>
      </c>
      <c r="E136" s="10">
        <f>SUM(Jan!E136,Feb!E136,Mar!E136)</f>
        <v>6868.7219999999998</v>
      </c>
      <c r="F136" s="10">
        <f t="shared" si="9"/>
        <v>-3912.7610619999996</v>
      </c>
      <c r="G136" s="11">
        <f t="shared" si="10"/>
        <v>-0.56964906455669628</v>
      </c>
      <c r="H136" s="12">
        <f>SUM(Jan!H136,Feb!H136,Mar!H136)</f>
        <v>4243.4309999999996</v>
      </c>
      <c r="I136" s="12">
        <f>SUM(Jan!I136,Feb!I136,Mar!I136)</f>
        <v>-1287.4700619999994</v>
      </c>
      <c r="J136" s="13">
        <f t="shared" si="11"/>
        <v>-0.30340308632330759</v>
      </c>
    </row>
    <row r="137" spans="1:10" ht="15.6">
      <c r="A137" s="26" t="str">
        <v>Q196</v>
      </c>
      <c r="B137" s="27" t="str">
        <v>NY</v>
      </c>
      <c r="C137" s="27" t="str">
        <f>Sites[[#This Row],[SOL'#]]</f>
        <v>SOL-10879</v>
      </c>
      <c r="D137" s="16">
        <f>SUM(Jan!D137,Feb!D137,Mar!D137)</f>
        <v>3733.796875</v>
      </c>
      <c r="E137" s="16">
        <f>SUM(Jan!E137,Feb!E137,Mar!E137)</f>
        <v>7942.1859999999997</v>
      </c>
      <c r="F137" s="14">
        <f t="shared" si="9"/>
        <v>-4208.3891249999997</v>
      </c>
      <c r="G137" s="15">
        <f t="shared" si="10"/>
        <v>-0.52987793599898059</v>
      </c>
      <c r="H137" s="16">
        <f>SUM(Jan!H137,Feb!H137,Mar!H137)</f>
        <v>5931</v>
      </c>
      <c r="I137" s="16">
        <f>SUM(Jan!I137,Feb!I137,Mar!I137)</f>
        <v>-2197.203125</v>
      </c>
      <c r="J137" s="15">
        <f t="shared" si="11"/>
        <v>-0.37046082026639687</v>
      </c>
    </row>
    <row r="138" spans="1:10" ht="15.6">
      <c r="A138" s="24" t="str">
        <v>Q220</v>
      </c>
      <c r="B138" s="25" t="str">
        <v>NY</v>
      </c>
      <c r="C138" s="25" t="str">
        <f>Sites[[#This Row],[SOL'#]]</f>
        <v>SOL-10873</v>
      </c>
      <c r="D138" s="20">
        <f>SUM(Jan!D138,Feb!D138,Mar!D138)</f>
        <v>4377.875</v>
      </c>
      <c r="E138" s="10">
        <f>SUM(Jan!E138,Feb!E138,Mar!E138)</f>
        <v>10716.8</v>
      </c>
      <c r="F138" s="10">
        <f t="shared" si="9"/>
        <v>-6338.9249999999993</v>
      </c>
      <c r="G138" s="11">
        <f t="shared" si="10"/>
        <v>-0.59149419602866526</v>
      </c>
      <c r="H138" s="12">
        <f>SUM(Jan!H138,Feb!H138,Mar!H138)</f>
        <v>5740</v>
      </c>
      <c r="I138" s="12">
        <f>SUM(Jan!I138,Feb!I138,Mar!I138)</f>
        <v>-1362.125</v>
      </c>
      <c r="J138" s="13">
        <f t="shared" si="11"/>
        <v>-0.23730400696864112</v>
      </c>
    </row>
    <row r="139" spans="1:10" ht="15.6">
      <c r="A139" s="26" t="str">
        <v>Q205</v>
      </c>
      <c r="B139" s="27" t="str">
        <v>NY</v>
      </c>
      <c r="C139" s="27" t="str">
        <f>Sites[[#This Row],[SOL'#]]</f>
        <v>SOL-10922</v>
      </c>
      <c r="D139" s="16">
        <f>SUM(Jan!D139,Feb!D139,Mar!D139)</f>
        <v>5970.640625</v>
      </c>
      <c r="E139" s="16">
        <f>SUM(Jan!E139,Feb!E139,Mar!E139)</f>
        <v>13482.7</v>
      </c>
      <c r="F139" s="14">
        <f t="shared" si="9"/>
        <v>-7512.0593750000007</v>
      </c>
      <c r="G139" s="15">
        <f t="shared" si="10"/>
        <v>-0.55716283644967257</v>
      </c>
      <c r="H139" s="16">
        <f>SUM(Jan!H139,Feb!H139,Mar!H139)</f>
        <v>8522</v>
      </c>
      <c r="I139" s="16">
        <f>SUM(Jan!I139,Feb!I139,Mar!I139)</f>
        <v>-2551.359375</v>
      </c>
      <c r="J139" s="15">
        <f t="shared" si="11"/>
        <v>-0.29938504752405537</v>
      </c>
    </row>
    <row r="140" spans="1:10" ht="15.6">
      <c r="A140" s="24" t="str">
        <v>Q400</v>
      </c>
      <c r="B140" s="25" t="str">
        <v>NY</v>
      </c>
      <c r="C140" s="25" t="str">
        <f>Sites[[#This Row],[SOL'#]]</f>
        <v>SOL-10871</v>
      </c>
      <c r="D140" s="20">
        <f>SUM(Jan!D140,Feb!D140,Mar!D140)</f>
        <v>8726.2524709999998</v>
      </c>
      <c r="E140" s="10">
        <f>SUM(Jan!E140,Feb!E140,Mar!E140)</f>
        <v>0</v>
      </c>
      <c r="F140" s="10">
        <f t="shared" si="9"/>
        <v>8726.2524709999998</v>
      </c>
      <c r="G140" s="11" t="str">
        <f t="shared" si="10"/>
        <v/>
      </c>
      <c r="H140" s="12">
        <f>SUM(Jan!H140,Feb!H140,Mar!H140)</f>
        <v>12985</v>
      </c>
      <c r="I140" s="12">
        <f>SUM(Jan!I140,Feb!I140,Mar!I140)</f>
        <v>-4258.7475290000002</v>
      </c>
      <c r="J140" s="13">
        <f t="shared" si="11"/>
        <v>-0.32797439576434351</v>
      </c>
    </row>
    <row r="141" spans="1:10" ht="15.6">
      <c r="A141" s="26" t="str">
        <v>R003</v>
      </c>
      <c r="B141" s="27" t="str">
        <v>NY</v>
      </c>
      <c r="C141" s="27" t="str">
        <f>Sites[[#This Row],[SOL'#]]</f>
        <v>SOL-10416</v>
      </c>
      <c r="D141" s="16">
        <f>SUM(Jan!D141,Feb!D141,Mar!D141)</f>
        <v>8987.25</v>
      </c>
      <c r="E141" s="16">
        <f>SUM(Jan!E141,Feb!E141,Mar!E141)</f>
        <v>11551.87</v>
      </c>
      <c r="F141" s="14">
        <f t="shared" si="9"/>
        <v>-2564.6200000000008</v>
      </c>
      <c r="G141" s="15">
        <f t="shared" si="10"/>
        <v>-0.22200907731821778</v>
      </c>
      <c r="H141" s="16">
        <f>SUM(Jan!H141,Feb!H141,Mar!H141)</f>
        <v>13336</v>
      </c>
      <c r="I141" s="16">
        <f>SUM(Jan!I141,Feb!I141,Mar!I141)</f>
        <v>-4348.75</v>
      </c>
      <c r="J141" s="15">
        <f t="shared" si="11"/>
        <v>-0.32609103179364129</v>
      </c>
    </row>
    <row r="142" spans="1:10" ht="15.6">
      <c r="A142" s="24" t="str">
        <v>R007</v>
      </c>
      <c r="B142" s="25" t="str">
        <v>NY</v>
      </c>
      <c r="C142" s="25" t="str">
        <f>Sites[[#This Row],[SOL'#]]</f>
        <v>SOL-10417</v>
      </c>
      <c r="D142" s="20">
        <f>SUM(Jan!D142,Feb!D142,Mar!D142)</f>
        <v>9489.96875</v>
      </c>
      <c r="E142" s="10">
        <f>SUM(Jan!E142,Feb!E142,Mar!E142)</f>
        <v>13976.96</v>
      </c>
      <c r="F142" s="10">
        <f t="shared" si="9"/>
        <v>-4486.9912499999991</v>
      </c>
      <c r="G142" s="11">
        <f t="shared" si="10"/>
        <v>-0.32102769486354682</v>
      </c>
      <c r="H142" s="12">
        <f>SUM(Jan!H142,Feb!H142,Mar!H142)</f>
        <v>22783.34</v>
      </c>
      <c r="I142" s="12">
        <f>SUM(Jan!I142,Feb!I142,Mar!I142)</f>
        <v>-13293.37125</v>
      </c>
      <c r="J142" s="13">
        <f t="shared" si="11"/>
        <v>-0.58346894046263631</v>
      </c>
    </row>
    <row r="143" spans="1:10" ht="15.6">
      <c r="A143" s="26" t="str">
        <v>BK16</v>
      </c>
      <c r="B143" s="27" t="str">
        <v>NY</v>
      </c>
      <c r="C143" s="27" t="str">
        <f>Sites[[#This Row],[SOL'#]]</f>
        <v>SOL-11093</v>
      </c>
      <c r="D143" s="16">
        <f>SUM(Jan!D143,Feb!D143,Mar!D143)</f>
        <v>9596</v>
      </c>
      <c r="E143" s="16">
        <f>SUM(Jan!E143,Feb!E143,Mar!E143)</f>
        <v>12915.56</v>
      </c>
      <c r="F143" s="14">
        <f t="shared" si="9"/>
        <v>-3319.5599999999995</v>
      </c>
      <c r="G143" s="15">
        <f t="shared" si="10"/>
        <v>-0.25702021437707695</v>
      </c>
      <c r="H143" s="16">
        <f>SUM(Jan!H143,Feb!H143,Mar!H143)</f>
        <v>13947</v>
      </c>
      <c r="I143" s="16">
        <f>SUM(Jan!I143,Feb!I143,Mar!I143)</f>
        <v>-4351</v>
      </c>
      <c r="J143" s="15">
        <f t="shared" si="11"/>
        <v>-0.31196673119667312</v>
      </c>
    </row>
    <row r="144" spans="1:10" ht="15.6">
      <c r="A144" s="24" t="str">
        <v>Trenton - Trenton East</v>
      </c>
      <c r="B144" s="25" t="str">
        <v>IL</v>
      </c>
      <c r="C144" s="25" t="str">
        <f>Sites[[#This Row],[SOL'#]]</f>
        <v>SOL-11060</v>
      </c>
      <c r="D144" s="20">
        <f>SUM(Jan!D144,Feb!D144,Mar!D144)</f>
        <v>268098</v>
      </c>
      <c r="E144" s="10">
        <f>SUM(Jan!E144,Feb!E144,Mar!E144)</f>
        <v>277362.40000000002</v>
      </c>
      <c r="F144" s="10">
        <f t="shared" si="9"/>
        <v>-9264.4000000000233</v>
      </c>
      <c r="G144" s="11">
        <f t="shared" si="10"/>
        <v>-3.3401787697251044E-2</v>
      </c>
      <c r="H144" s="12">
        <f>SUM(Jan!H144,Feb!H144,Mar!H144)</f>
        <v>211713</v>
      </c>
      <c r="I144" s="12">
        <f>SUM(Jan!I144,Feb!I144,Mar!I144)</f>
        <v>56385</v>
      </c>
      <c r="J144" s="13">
        <f t="shared" si="11"/>
        <v>0.26632752830482775</v>
      </c>
    </row>
    <row r="145" spans="1:10" ht="15.6">
      <c r="A145" s="26" t="str">
        <v>Trenton - Trenton West</v>
      </c>
      <c r="B145" s="27" t="str">
        <v>IL</v>
      </c>
      <c r="C145" s="27" t="str">
        <f>Sites[[#This Row],[SOL'#]]</f>
        <v>SOL-11061</v>
      </c>
      <c r="D145" s="16">
        <f>SUM(Jan!D145,Feb!D145,Mar!D145)</f>
        <v>268153</v>
      </c>
      <c r="E145" s="16">
        <f>SUM(Jan!E145,Feb!E145,Mar!E145)</f>
        <v>240078.6</v>
      </c>
      <c r="F145" s="14">
        <f t="shared" si="9"/>
        <v>28074.399999999994</v>
      </c>
      <c r="G145" s="15">
        <f t="shared" si="10"/>
        <v>0.11693836935070429</v>
      </c>
      <c r="H145" s="16">
        <f>SUM(Jan!H145,Feb!H145,Mar!H145)</f>
        <v>215152</v>
      </c>
      <c r="I145" s="16">
        <f>SUM(Jan!I145,Feb!I145,Mar!I145)</f>
        <v>53001</v>
      </c>
      <c r="J145" s="15">
        <f t="shared" si="11"/>
        <v>0.24634212091916413</v>
      </c>
    </row>
    <row r="146" spans="1:10" ht="15.6">
      <c r="A146" s="24" t="str">
        <v>Dakota - Dakota Solar 1</v>
      </c>
      <c r="B146" s="25" t="str">
        <v>IL</v>
      </c>
      <c r="C146" s="25" t="str">
        <f>Sites[[#This Row],[SOL'#]]</f>
        <v>SOL-11113</v>
      </c>
      <c r="D146" s="20">
        <f>SUM(Jan!D146,Feb!D146,Mar!D146)</f>
        <v>214508</v>
      </c>
      <c r="E146" s="10">
        <f>SUM(Jan!E146,Feb!E146,Mar!E146)</f>
        <v>0</v>
      </c>
      <c r="F146" s="10">
        <f t="shared" ref="F146:F157" si="12">IF(AND(ISNUMBER(D146),ISNUMBER(E146)), D146-E146, "")</f>
        <v>214508</v>
      </c>
      <c r="G146" s="11" t="str">
        <f t="shared" ref="G146:G157" si="13">IFERROR(F146/E146, "")</f>
        <v/>
      </c>
      <c r="H146" s="12">
        <f>SUM(Jan!H146,Feb!H146,Mar!H146)</f>
        <v>220248</v>
      </c>
      <c r="I146" s="12">
        <f>SUM(Jan!I146,Feb!I146,Mar!I146)</f>
        <v>-5740</v>
      </c>
      <c r="J146" s="13">
        <f t="shared" ref="J146:J157" si="14">IFERROR(I146/H146, "")</f>
        <v>-2.6061530638189678E-2</v>
      </c>
    </row>
    <row r="147" spans="1:10" ht="15.6">
      <c r="A147" s="26" t="str">
        <v>X018</v>
      </c>
      <c r="B147" s="27" t="str">
        <v>NY</v>
      </c>
      <c r="C147" s="27" t="str">
        <f>Sites[[#This Row],[SOL'#]]</f>
        <v>SOL-10418</v>
      </c>
      <c r="D147" s="16">
        <f>SUM(Jan!D147,Feb!D147,Mar!D147)</f>
        <v>4430.75</v>
      </c>
      <c r="E147" s="16">
        <f>SUM(Jan!E147,Feb!E147,Mar!E147)</f>
        <v>5815.83</v>
      </c>
      <c r="F147" s="14">
        <f t="shared" si="12"/>
        <v>-1385.08</v>
      </c>
      <c r="G147" s="15">
        <f t="shared" si="13"/>
        <v>-0.23815689248138269</v>
      </c>
      <c r="H147" s="16">
        <f>SUM(Jan!H147,Feb!H147,Mar!H147)</f>
        <v>7520</v>
      </c>
      <c r="I147" s="16">
        <f>SUM(Jan!I147,Feb!I147,Mar!I147)</f>
        <v>-3089.25</v>
      </c>
      <c r="J147" s="15">
        <f t="shared" si="14"/>
        <v>-0.41080452127659572</v>
      </c>
    </row>
    <row r="148" spans="1:10" ht="15.6">
      <c r="A148" s="24" t="str">
        <v>Janiak Solar</v>
      </c>
      <c r="B148" s="25" t="str">
        <v>NY</v>
      </c>
      <c r="C148" s="25" t="str">
        <f>Sites[[#This Row],[SOL'#]]</f>
        <v>SOL-10898</v>
      </c>
      <c r="D148" s="20">
        <f>SUM(Jan!D148,Feb!D148,Mar!D148)</f>
        <v>105163</v>
      </c>
      <c r="E148" s="10">
        <f>SUM(Jan!E148,Feb!E148,Mar!E148)</f>
        <v>129742.5</v>
      </c>
      <c r="F148" s="10">
        <f t="shared" si="12"/>
        <v>-24579.5</v>
      </c>
      <c r="G148" s="11">
        <f t="shared" si="13"/>
        <v>-0.18944833034664818</v>
      </c>
      <c r="H148" s="12">
        <f>SUM(Jan!H148,Feb!H148,Mar!H148)</f>
        <v>203943</v>
      </c>
      <c r="I148" s="12">
        <f>SUM(Jan!I148,Feb!I148,Mar!I148)</f>
        <v>-98780</v>
      </c>
      <c r="J148" s="13">
        <f t="shared" si="14"/>
        <v>-0.48435101964764665</v>
      </c>
    </row>
    <row r="149" spans="1:10" ht="15.6">
      <c r="A149" s="26" t="str">
        <v>County Route 11B</v>
      </c>
      <c r="B149" s="27" t="str">
        <v>NY</v>
      </c>
      <c r="C149" s="27" t="str">
        <f>Sites[[#This Row],[SOL'#]]</f>
        <v>SOL-10983</v>
      </c>
      <c r="D149" s="16">
        <f>SUM(Jan!D149,Feb!D149,Mar!D149)</f>
        <v>259418.8</v>
      </c>
      <c r="E149" s="16">
        <f>SUM(Jan!E149,Feb!E149,Mar!E149)</f>
        <v>254569.60000000001</v>
      </c>
      <c r="F149" s="14">
        <f t="shared" si="12"/>
        <v>4849.1999999999825</v>
      </c>
      <c r="G149" s="15">
        <f t="shared" si="13"/>
        <v>1.9048621673601177E-2</v>
      </c>
      <c r="H149" s="16">
        <f>SUM(Jan!H149,Feb!H149,Mar!H149)</f>
        <v>0</v>
      </c>
      <c r="I149" s="16">
        <f>SUM(Jan!I149,Feb!I149,Mar!I149)</f>
        <v>0</v>
      </c>
      <c r="J149" s="15" t="str">
        <f t="shared" si="14"/>
        <v/>
      </c>
    </row>
    <row r="150" spans="1:10" ht="15.6">
      <c r="A150" s="24" t="str">
        <v>Barone</v>
      </c>
      <c r="B150" s="25" t="str">
        <v>NY</v>
      </c>
      <c r="C150" s="25" t="str">
        <f>Sites[[#This Row],[SOL'#]]</f>
        <v>SOL-11034</v>
      </c>
      <c r="D150" s="20">
        <f>SUM(Jan!D150,Feb!D150,Mar!D150)</f>
        <v>162889</v>
      </c>
      <c r="E150" s="10">
        <f>SUM(Jan!E150,Feb!E150,Mar!E150)</f>
        <v>160342</v>
      </c>
      <c r="F150" s="10">
        <f t="shared" si="12"/>
        <v>2547</v>
      </c>
      <c r="G150" s="11">
        <f t="shared" si="13"/>
        <v>1.5884796248019858E-2</v>
      </c>
      <c r="H150" s="12">
        <f>SUM(Jan!H150,Feb!H150,Mar!H150)</f>
        <v>210690.02059307948</v>
      </c>
      <c r="I150" s="12">
        <f>SUM(Jan!I150,Feb!I150,Mar!I150)</f>
        <v>-47801.020593079476</v>
      </c>
      <c r="J150" s="13">
        <f t="shared" si="14"/>
        <v>-0.22687842764703586</v>
      </c>
    </row>
    <row r="151" spans="1:10" ht="15.6">
      <c r="A151" s="26" t="str">
        <v>Cedarville</v>
      </c>
      <c r="B151" s="27" t="str">
        <v>IL</v>
      </c>
      <c r="C151" s="27" t="str">
        <f>Sites[[#This Row],[SOL'#]]</f>
        <v>SOL-11069</v>
      </c>
      <c r="D151" s="16">
        <f>SUM(Jan!D151,Feb!D151,Mar!D151)</f>
        <v>156820</v>
      </c>
      <c r="E151" s="16">
        <f>SUM(Jan!E151,Feb!E151,Mar!E151)</f>
        <v>203303</v>
      </c>
      <c r="F151" s="14">
        <f t="shared" si="12"/>
        <v>-46483</v>
      </c>
      <c r="G151" s="15">
        <f t="shared" si="13"/>
        <v>-0.22863902647772044</v>
      </c>
      <c r="H151" s="16">
        <f>SUM(Jan!H151,Feb!H151,Mar!H151)</f>
        <v>185269.1</v>
      </c>
      <c r="I151" s="16">
        <f>SUM(Jan!I151,Feb!I151,Mar!I151)</f>
        <v>-28449.100000000006</v>
      </c>
      <c r="J151" s="15">
        <f t="shared" si="14"/>
        <v>-0.1535555578345229</v>
      </c>
    </row>
    <row r="152" spans="1:10" ht="15.6">
      <c r="A152" s="24" t="str">
        <v xml:space="preserve"> O'Brien Hill #1</v>
      </c>
      <c r="B152" s="25" t="str">
        <v>NY</v>
      </c>
      <c r="C152" s="25" t="str">
        <f>Sites[[#This Row],[SOL'#]]</f>
        <v>SOL-11098</v>
      </c>
      <c r="D152" s="20">
        <f>SUM(Jan!D152,Feb!D152,Mar!D152)</f>
        <v>0</v>
      </c>
      <c r="E152" s="10">
        <f>SUM(Jan!E152,Feb!E152,Mar!E152)</f>
        <v>0</v>
      </c>
      <c r="F152" s="10">
        <f t="shared" si="12"/>
        <v>0</v>
      </c>
      <c r="G152" s="11" t="str">
        <f t="shared" si="13"/>
        <v/>
      </c>
      <c r="H152" s="12">
        <f>SUM(Jan!H152,Feb!H152,Mar!H152)</f>
        <v>0</v>
      </c>
      <c r="I152" s="12">
        <f>SUM(Jan!I152,Feb!I152,Mar!I152)</f>
        <v>0</v>
      </c>
      <c r="J152" s="13" t="str">
        <f t="shared" si="14"/>
        <v/>
      </c>
    </row>
    <row r="153" spans="1:10" ht="15.6">
      <c r="A153" s="26" t="str">
        <v xml:space="preserve"> O'Brien Hill #2</v>
      </c>
      <c r="B153" s="27" t="str">
        <v>NY</v>
      </c>
      <c r="C153" s="27" t="str">
        <f>Sites[[#This Row],[SOL'#]]</f>
        <v>SOL-11099</v>
      </c>
      <c r="D153" s="16">
        <f>SUM(Jan!D153,Feb!D153,Mar!D153)</f>
        <v>230537</v>
      </c>
      <c r="E153" s="16">
        <f>SUM(Jan!E153,Feb!E153,Mar!E153)</f>
        <v>230436</v>
      </c>
      <c r="F153" s="14">
        <f t="shared" si="12"/>
        <v>101</v>
      </c>
      <c r="G153" s="15">
        <f t="shared" si="13"/>
        <v>4.3829957124754814E-4</v>
      </c>
      <c r="H153" s="16">
        <f>SUM(Jan!H153,Feb!H153,Mar!H153)</f>
        <v>0</v>
      </c>
      <c r="I153" s="16">
        <f>SUM(Jan!I153,Feb!I153,Mar!I153)</f>
        <v>0</v>
      </c>
      <c r="J153" s="15" t="str">
        <f t="shared" si="14"/>
        <v/>
      </c>
    </row>
    <row r="154" spans="1:10" ht="15.6">
      <c r="A154" s="24" t="str">
        <v>Trinity - Freeport</v>
      </c>
      <c r="B154" s="25" t="str">
        <v>IL</v>
      </c>
      <c r="C154" s="25" t="str">
        <f>Sites[[#This Row],[SOL'#]]</f>
        <v>SOL-11057</v>
      </c>
      <c r="D154" s="20">
        <f>SUM(Jan!D154,Feb!D154,Mar!D154)</f>
        <v>197770</v>
      </c>
      <c r="E154" s="10">
        <f>SUM(Jan!E154,Feb!E154,Mar!E154)</f>
        <v>191173.8</v>
      </c>
      <c r="F154" s="10">
        <f t="shared" si="12"/>
        <v>6596.2000000000116</v>
      </c>
      <c r="G154" s="11">
        <f t="shared" si="13"/>
        <v>3.4503681989896166E-2</v>
      </c>
      <c r="H154" s="12">
        <f>SUM(Jan!H154,Feb!H154,Mar!H154)</f>
        <v>182784</v>
      </c>
      <c r="I154" s="12">
        <f>SUM(Jan!I154,Feb!I154,Mar!I154)</f>
        <v>14986</v>
      </c>
      <c r="J154" s="13">
        <f t="shared" si="14"/>
        <v>8.1987482492997199E-2</v>
      </c>
    </row>
    <row r="155" spans="1:10" ht="15.6">
      <c r="A155" s="26" t="str">
        <v>Ransom</v>
      </c>
      <c r="B155" s="27" t="str">
        <v>NY</v>
      </c>
      <c r="C155" s="27" t="str">
        <f>Sites[[#This Row],[SOL'#]]</f>
        <v>SOL-11157</v>
      </c>
      <c r="D155" s="16">
        <f>SUM(Jan!D155,Feb!D155,Mar!D155)</f>
        <v>262100</v>
      </c>
      <c r="E155" s="16">
        <f>SUM(Jan!E155,Feb!E155,Mar!E155)</f>
        <v>257255</v>
      </c>
      <c r="F155" s="14">
        <f t="shared" si="12"/>
        <v>4845</v>
      </c>
      <c r="G155" s="15">
        <f t="shared" si="13"/>
        <v>1.8833453188470583E-2</v>
      </c>
      <c r="H155" s="16">
        <f>SUM(Jan!H155,Feb!H155,Mar!H155)</f>
        <v>0</v>
      </c>
      <c r="I155" s="16">
        <f>SUM(Jan!I155,Feb!I155,Mar!I155)</f>
        <v>0</v>
      </c>
      <c r="J155" s="15" t="str">
        <f t="shared" si="14"/>
        <v/>
      </c>
    </row>
    <row r="156" spans="1:10" ht="15.6">
      <c r="A156" s="24" t="str">
        <v>Horseheads - Wedge</v>
      </c>
      <c r="B156" s="25" t="str">
        <v>NY</v>
      </c>
      <c r="C156" s="25" t="str">
        <f>Sites[[#This Row],[SOL'#]]</f>
        <v>SOL-11160</v>
      </c>
      <c r="D156" s="20">
        <f>SUM(Jan!D156,Feb!D155,Mar!D156)</f>
        <v>153909</v>
      </c>
      <c r="E156" s="10">
        <f>SUM(Jan!E156,Feb!E156,Mar!E156)</f>
        <v>151921</v>
      </c>
      <c r="F156" s="10">
        <f t="shared" si="12"/>
        <v>1988</v>
      </c>
      <c r="G156" s="11">
        <f t="shared" si="13"/>
        <v>1.3085748514030318E-2</v>
      </c>
      <c r="H156" s="12">
        <f>SUM(Jan!H156,Feb!H156,Mar!H156)</f>
        <v>0</v>
      </c>
      <c r="I156" s="12">
        <f>SUM(Jan!I156,Feb!I156,Mar!I156)</f>
        <v>0</v>
      </c>
      <c r="J156" s="13" t="str">
        <f t="shared" si="14"/>
        <v/>
      </c>
    </row>
    <row r="157" spans="1:10" ht="15.6">
      <c r="A157" s="26" t="str">
        <v>Otisville - Shoddy Hollow</v>
      </c>
      <c r="B157" s="27" t="str">
        <v>NY</v>
      </c>
      <c r="C157" s="27" t="str">
        <f>Sites[[#This Row],[SOL'#]]</f>
        <v>SOL-11185</v>
      </c>
      <c r="D157" s="16">
        <f>SUM(Jan!D157,Feb!D157,Mar!D157)</f>
        <v>228031</v>
      </c>
      <c r="E157" s="16">
        <f>SUM(Jan!E157,Feb!E157,Mar!E157)</f>
        <v>224988</v>
      </c>
      <c r="F157" s="14">
        <f t="shared" si="12"/>
        <v>3043</v>
      </c>
      <c r="G157" s="15">
        <f t="shared" si="13"/>
        <v>1.3525165786619732E-2</v>
      </c>
      <c r="H157" s="16">
        <f>SUM(Jan!H157,Feb!H157,Mar!H157)</f>
        <v>0</v>
      </c>
      <c r="I157" s="16">
        <f>SUM(Jan!I157,Feb!I157,Mar!I157)</f>
        <v>0</v>
      </c>
      <c r="J157" s="15" t="str">
        <f t="shared" si="14"/>
        <v/>
      </c>
    </row>
    <row r="158" spans="1:10" ht="15.6">
      <c r="A158" s="24" t="str">
        <v>Wellsville - Chenunda Creek</v>
      </c>
      <c r="B158" s="25" t="str">
        <v>NY</v>
      </c>
      <c r="C158" s="25" t="str">
        <f>Sites[[#This Row],[SOL'#]]</f>
        <v>SOL-11187</v>
      </c>
      <c r="D158" s="20">
        <f>SUM(Jan!D158,Feb!D158,Mar!D158)</f>
        <v>112266</v>
      </c>
      <c r="E158" s="10">
        <f>SUM(Jan!E158,Feb!E158,Mar!E158)</f>
        <v>111257</v>
      </c>
      <c r="F158" s="10">
        <f t="shared" ref="F158:F173" si="15">IF(AND(ISNUMBER(D158),ISNUMBER(E158)), D158-E158, "")</f>
        <v>1009</v>
      </c>
      <c r="G158" s="11">
        <f t="shared" ref="G158:G171" si="16">IFERROR(F158/E158, "")</f>
        <v>9.0690922818339528E-3</v>
      </c>
      <c r="H158" s="12">
        <f>SUM(Jan!H158,Feb!H158,Mar!H158)</f>
        <v>0</v>
      </c>
      <c r="I158" s="12">
        <f>SUM(Jan!I158,Feb!I158,Mar!I158)</f>
        <v>0</v>
      </c>
      <c r="J158" s="13" t="str">
        <f t="shared" ref="J158:J171" si="17">IFERROR(I158/H158, "")</f>
        <v/>
      </c>
    </row>
    <row r="159" spans="1:10" ht="15.6">
      <c r="A159" s="26" t="str">
        <v>DC: Washington - Essex Condominium</v>
      </c>
      <c r="B159" s="27" t="str">
        <v>DC</v>
      </c>
      <c r="C159" s="27" t="str">
        <f>Sites[[#This Row],[SOL'#]]</f>
        <v>SOL-10036</v>
      </c>
      <c r="D159" s="69">
        <f>SUM(Jan!D159,Feb!E159,Mar!D159)</f>
        <v>1208</v>
      </c>
      <c r="E159" s="69">
        <f>SUM(Jan!E159,Feb!E159,Mar!E159)</f>
        <v>1601.9770000000001</v>
      </c>
      <c r="F159" s="14">
        <f t="shared" si="15"/>
        <v>-393.97700000000009</v>
      </c>
      <c r="G159" s="68">
        <f t="shared" si="16"/>
        <v>-0.24593174558685929</v>
      </c>
      <c r="H159" s="69">
        <f>SUM(Jan!H159,Feb!H159,Mar!H159)</f>
        <v>2142.3989999999999</v>
      </c>
      <c r="I159" s="69">
        <f>SUM(Jan!I159,Feb!I159,Mar!I159)</f>
        <v>-934.39899999999989</v>
      </c>
      <c r="J159" s="68">
        <f t="shared" si="17"/>
        <v>-0.4361461147059908</v>
      </c>
    </row>
    <row r="160" spans="1:10" ht="15.6">
      <c r="A160" s="24" t="str">
        <v>HI: Waipahu - 94-246 Leoku St - E.F.G.</v>
      </c>
      <c r="B160" s="25" t="str">
        <v>HI</v>
      </c>
      <c r="C160" s="25" t="str">
        <f>Sites[[#This Row],[SOL'#]]</f>
        <v>SOL-10071</v>
      </c>
      <c r="D160" s="54">
        <f>SUM(Jan!D160,Feb!D160,Mar!D160)</f>
        <v>7951.027</v>
      </c>
      <c r="E160" s="10">
        <f>SUM(Jan!E160,Feb!E160,Mar!E160)</f>
        <v>8242.1200000000008</v>
      </c>
      <c r="F160" s="10">
        <f t="shared" si="15"/>
        <v>-291.09300000000076</v>
      </c>
      <c r="G160" s="55">
        <f t="shared" si="16"/>
        <v>-3.53177337869384E-2</v>
      </c>
      <c r="H160" s="67">
        <f>SUM(Jan!H160,Feb!H160,Mar!H160)</f>
        <v>9757.33</v>
      </c>
      <c r="I160" s="67">
        <f>SUM(Jan!I160,Feb!I160,Mar!I160)</f>
        <v>-1806.3029999999999</v>
      </c>
      <c r="J160" s="64">
        <f t="shared" si="17"/>
        <v>-0.18512267187847495</v>
      </c>
    </row>
    <row r="161" spans="1:10" ht="15.6">
      <c r="A161" s="26" t="str">
        <v>HI: Waipahu - 94-099 Waipahu St - PV</v>
      </c>
      <c r="B161" s="27" t="str">
        <v>HI</v>
      </c>
      <c r="C161" s="27" t="str">
        <f>Sites[[#This Row],[SOL'#]]</f>
        <v>SOL-10068</v>
      </c>
      <c r="D161" s="69">
        <f>SUM(Jan!D161,Feb!D161,Mar!D161)</f>
        <v>9375</v>
      </c>
      <c r="E161" s="69">
        <f>SUM(Jan!E161,Feb!E161,Mar!E161)</f>
        <v>7407.4750000000004</v>
      </c>
      <c r="F161" s="14">
        <f t="shared" si="15"/>
        <v>1967.5249999999996</v>
      </c>
      <c r="G161" s="68">
        <f t="shared" si="16"/>
        <v>0.26561345127725705</v>
      </c>
      <c r="H161" s="69">
        <f>SUM(Jan!H161,Feb!H161,Mar!H161)</f>
        <v>9752.1090000000004</v>
      </c>
      <c r="I161" s="69">
        <f>SUM(Jan!I161,Feb!I161,Mar!I161)</f>
        <v>-377.10900000000038</v>
      </c>
      <c r="J161" s="68">
        <f t="shared" si="17"/>
        <v>-3.8669481647508282E-2</v>
      </c>
    </row>
    <row r="162" spans="1:10" ht="15.6">
      <c r="A162" s="24" t="str">
        <v>IL: Prophetstown - 5170 Yager Road (PW)</v>
      </c>
      <c r="B162" s="25" t="str">
        <v>IL</v>
      </c>
      <c r="C162" s="25" t="str">
        <f>Sites[[#This Row],[SOL'#]]</f>
        <v>SOL-11149</v>
      </c>
      <c r="D162" s="54">
        <f>SUM(Jan!D162,Feb!D162,Mar!D162)</f>
        <v>0</v>
      </c>
      <c r="E162" s="10">
        <f>SUM(Jan!E162,Feb!E162,Mar!E162)</f>
        <v>0</v>
      </c>
      <c r="F162" s="10">
        <f t="shared" si="15"/>
        <v>0</v>
      </c>
      <c r="G162" s="55" t="str">
        <f t="shared" si="16"/>
        <v/>
      </c>
      <c r="H162" s="67">
        <f>SUM(Jan!H162,Feb!H162,Mar!H162)</f>
        <v>0</v>
      </c>
      <c r="I162" s="67">
        <f>SUM(Jan!I162,Feb!I162,Mar!I162)</f>
        <v>0</v>
      </c>
      <c r="J162" s="64" t="str">
        <f t="shared" si="17"/>
        <v/>
      </c>
    </row>
    <row r="163" spans="1:10" ht="15.6">
      <c r="A163" s="26" t="str">
        <v>IL: Viola - Goldenrod - (PW)</v>
      </c>
      <c r="B163" s="27" t="str">
        <v>IL</v>
      </c>
      <c r="C163" s="27" t="str">
        <f>Sites[[#This Row],[SOL'#]]</f>
        <v>SOL-11132</v>
      </c>
      <c r="D163" s="69">
        <f>SUM(Jan!D163,Feb!D163,Mar!D163)</f>
        <v>574985</v>
      </c>
      <c r="E163" s="69">
        <f>SUM(Jan!E163,Feb!E163,Mar!E163)</f>
        <v>508651.7</v>
      </c>
      <c r="F163" s="14">
        <f t="shared" si="15"/>
        <v>66333.299999999988</v>
      </c>
      <c r="G163" s="68">
        <f t="shared" si="16"/>
        <v>0.1304100625241201</v>
      </c>
      <c r="H163" s="69">
        <f>SUM(Jan!H163,Feb!H163,Mar!H163)</f>
        <v>518040</v>
      </c>
      <c r="I163" s="69">
        <f>SUM(Jan!I163,Feb!I163,Mar!I163)</f>
        <v>56945</v>
      </c>
      <c r="J163" s="68">
        <f t="shared" si="17"/>
        <v>0.10992394409698093</v>
      </c>
    </row>
    <row r="164" spans="1:10" ht="15.6">
      <c r="A164" s="24" t="str">
        <v>IL: Marengo - Grant - (PW)</v>
      </c>
      <c r="B164" s="25" t="str">
        <v>IL</v>
      </c>
      <c r="C164" s="25" t="str">
        <f>Sites[[#This Row],[SOL'#]]</f>
        <v>SOL-11147</v>
      </c>
      <c r="D164" s="54">
        <f>SUM(Jan!D164,Feb!D164,Mar!D164)</f>
        <v>224264</v>
      </c>
      <c r="E164" s="10">
        <f>SUM(Jan!E164,Feb!E164,Mar!E164)</f>
        <v>0</v>
      </c>
      <c r="F164" s="10">
        <f t="shared" si="15"/>
        <v>224264</v>
      </c>
      <c r="G164" s="55" t="str">
        <f t="shared" si="16"/>
        <v/>
      </c>
      <c r="H164" s="67">
        <f>SUM(Jan!H164,Feb!H164,Mar!H164)</f>
        <v>193523.20000000001</v>
      </c>
      <c r="I164" s="67">
        <f>SUM(Jan!I164,Feb!I164,Mar!I164)</f>
        <v>30740.799999999988</v>
      </c>
      <c r="J164" s="64">
        <f t="shared" si="17"/>
        <v>0.1588481381043719</v>
      </c>
    </row>
    <row r="165" spans="1:10" ht="15.6">
      <c r="A165" s="26" t="str">
        <v>NY: Cambridge - Cambridge (PW)</v>
      </c>
      <c r="B165" s="27" t="str">
        <v>NY</v>
      </c>
      <c r="C165" s="27" t="str">
        <f>Sites[[#This Row],[SOL'#]]</f>
        <v>SOL-11126</v>
      </c>
      <c r="D165" s="69">
        <f>SUM(Jan!D165,Feb!D165,Mar!D165)</f>
        <v>112395.156</v>
      </c>
      <c r="E165" s="69">
        <f>SUM(Jan!E165,Feb!E165,Mar!E165)</f>
        <v>100094.105</v>
      </c>
      <c r="F165" s="14">
        <f t="shared" si="15"/>
        <v>12301.051000000007</v>
      </c>
      <c r="G165" s="68">
        <f t="shared" si="16"/>
        <v>0.12289485979219263</v>
      </c>
      <c r="H165" s="69">
        <f>SUM(Jan!H165,Feb!H165,Mar!H165)</f>
        <v>537994</v>
      </c>
      <c r="I165" s="69">
        <f>SUM(Jan!I165,Feb!I165,Mar!I165)</f>
        <v>-425598.84399999998</v>
      </c>
      <c r="J165" s="68">
        <f t="shared" si="17"/>
        <v>-0.7910847407220154</v>
      </c>
    </row>
    <row r="166" spans="1:10" ht="15.6">
      <c r="A166" s="24" t="str">
        <v>NY: Whitesville - Independence North</v>
      </c>
      <c r="B166" s="25" t="str">
        <v>NY</v>
      </c>
      <c r="C166" s="25" t="str">
        <f>Sites[[#This Row],[SOL'#]]</f>
        <v>SOL-11186</v>
      </c>
      <c r="D166" s="54">
        <f>SUM(Jan!D166,Feb!D166,Mar!D166)</f>
        <v>276854</v>
      </c>
      <c r="E166" s="10">
        <f>SUM(Jan!E166,Feb!E166,Mar!E166)</f>
        <v>0</v>
      </c>
      <c r="F166" s="10">
        <f t="shared" si="15"/>
        <v>276854</v>
      </c>
      <c r="G166" s="55" t="str">
        <f t="shared" si="16"/>
        <v/>
      </c>
      <c r="H166" s="67">
        <f>SUM(Jan!H166,Feb!H166,Mar!H166)</f>
        <v>0</v>
      </c>
      <c r="I166" s="67">
        <f>SUM(Jan!I166,Feb!I166,Mar!I166)</f>
        <v>0</v>
      </c>
      <c r="J166" s="64" t="str">
        <f t="shared" si="17"/>
        <v/>
      </c>
    </row>
    <row r="167" spans="1:10" ht="15.6">
      <c r="A167" s="26" t="str">
        <v>IL: Beecher - Cottage Grove North (PW)</v>
      </c>
      <c r="B167" s="27" t="str">
        <v>IL</v>
      </c>
      <c r="C167" s="27" t="str">
        <f>Sites[[#This Row],[SOL'#]]</f>
        <v>SOL-11114</v>
      </c>
      <c r="D167" s="69">
        <f>SUM(Jan!D167,Feb!D167,Mar!D167)</f>
        <v>213014</v>
      </c>
      <c r="E167" s="69">
        <f>SUM(Jan!E167,Feb!E167,Mar!E167)</f>
        <v>231407.5</v>
      </c>
      <c r="F167" s="14">
        <f t="shared" si="15"/>
        <v>-18393.5</v>
      </c>
      <c r="G167" s="68">
        <f t="shared" si="16"/>
        <v>-7.9485323509393607E-2</v>
      </c>
      <c r="H167" s="69">
        <f>SUM(Jan!H167,Feb!H167,Mar!H167)</f>
        <v>186272</v>
      </c>
      <c r="I167" s="69">
        <f>SUM(Jan!I167,Feb!I167,Mar!I167)</f>
        <v>26742</v>
      </c>
      <c r="J167" s="68">
        <f t="shared" si="17"/>
        <v>0.14356425012884383</v>
      </c>
    </row>
    <row r="168" spans="1:10" ht="15.6">
      <c r="A168" s="24" t="str">
        <v>IL: Beecher - Cottage Grove South (PW)</v>
      </c>
      <c r="B168" s="25" t="str">
        <v>IL</v>
      </c>
      <c r="C168" s="25" t="str">
        <f>Sites[[#This Row],[SOL'#]]</f>
        <v>SOL-11115</v>
      </c>
      <c r="D168" s="54">
        <f>SUM(Jan!D168,Feb!D168,Mar!D168)</f>
        <v>225299</v>
      </c>
      <c r="E168" s="10">
        <f>SUM(Jan!E168,Feb!E168,Mar!E168)</f>
        <v>297560.09999999998</v>
      </c>
      <c r="F168" s="10">
        <f t="shared" si="15"/>
        <v>-72261.099999999977</v>
      </c>
      <c r="G168" s="55">
        <f t="shared" si="16"/>
        <v>-0.24284539493030141</v>
      </c>
      <c r="H168" s="67">
        <f>SUM(Jan!H168,Feb!H168,Mar!H168)</f>
        <v>174687</v>
      </c>
      <c r="I168" s="67">
        <f>SUM(Jan!I168,Feb!I168,Mar!I168)</f>
        <v>50612</v>
      </c>
      <c r="J168" s="64">
        <f t="shared" si="17"/>
        <v>0.28972963071092867</v>
      </c>
    </row>
    <row r="169" spans="1:10" ht="15.6">
      <c r="A169" s="26" t="str">
        <v>IL: Harvard - 9618 US HWY 14 (PW)</v>
      </c>
      <c r="B169" s="27" t="str">
        <v>IL</v>
      </c>
      <c r="C169" s="27" t="str">
        <f>Sites[[#This Row],[SOL'#]]</f>
        <v>SOL-11110</v>
      </c>
      <c r="D169" s="69">
        <f>SUM(Jan!D169,Feb!D169,Mar!D169)</f>
        <v>182768</v>
      </c>
      <c r="E169" s="69">
        <f>SUM(Jan!E169,Feb!E169,Mar!E169)</f>
        <v>396799.6</v>
      </c>
      <c r="F169" s="14">
        <f t="shared" si="15"/>
        <v>-214031.59999999998</v>
      </c>
      <c r="G169" s="68">
        <f t="shared" si="16"/>
        <v>-0.53939469697046061</v>
      </c>
      <c r="H169" s="69">
        <f>SUM(Jan!H169,Feb!H169,Mar!H169)</f>
        <v>172612</v>
      </c>
      <c r="I169" s="69">
        <f>SUM(Jan!I169,Feb!I169,Mar!I169)</f>
        <v>10156</v>
      </c>
      <c r="J169" s="68">
        <f t="shared" si="17"/>
        <v>5.8837160799944381E-2</v>
      </c>
    </row>
    <row r="170" spans="1:10" ht="15.6">
      <c r="A170" s="24" t="str">
        <v>IL: Beecher - 701 E Goodenow Rd (PW)</v>
      </c>
      <c r="B170" s="25" t="str">
        <v>IL</v>
      </c>
      <c r="C170" s="25" t="str">
        <f>Sites[[#This Row],[SOL'#]]</f>
        <v>SOL-11112</v>
      </c>
      <c r="D170" s="54">
        <f>SUM(Jan!D170,Feb!D170,Mar!D170)</f>
        <v>26786</v>
      </c>
      <c r="E170" s="10">
        <f>SUM(Jan!E170,Feb!E170,Mar!E170)</f>
        <v>28958.46</v>
      </c>
      <c r="F170" s="10">
        <f t="shared" si="15"/>
        <v>-2172.4599999999991</v>
      </c>
      <c r="G170" s="55">
        <f t="shared" si="16"/>
        <v>-7.5019873294367143E-2</v>
      </c>
      <c r="H170" s="67">
        <f>SUM(Jan!H170,Feb!H170,Mar!H170)</f>
        <v>178720</v>
      </c>
      <c r="I170" s="67">
        <f>SUM(Jan!I170,Feb!I170,Mar!I170)</f>
        <v>-151934</v>
      </c>
      <c r="J170" s="64">
        <f t="shared" si="17"/>
        <v>-0.85012309758281113</v>
      </c>
    </row>
    <row r="171" spans="1:10" ht="15.6">
      <c r="A171" s="26" t="str">
        <v>NY: Stormville - Green Haven - (IRA)</v>
      </c>
      <c r="B171" s="27" t="str">
        <v>NY</v>
      </c>
      <c r="C171" s="27" t="str">
        <f>Sites[[#This Row],[SOL'#]]</f>
        <v>SOL-11151</v>
      </c>
      <c r="D171" s="69">
        <f>SUM(Jan!D171,Feb!D171,Mar!D171)</f>
        <v>160195.6</v>
      </c>
      <c r="E171" s="69">
        <f>SUM(Jan!E171,Feb!E171,Mar!E171)</f>
        <v>0</v>
      </c>
      <c r="F171" s="14">
        <f t="shared" si="15"/>
        <v>160195.6</v>
      </c>
      <c r="G171" s="68" t="str">
        <f t="shared" si="16"/>
        <v/>
      </c>
      <c r="H171" s="69">
        <f>SUM(Jan!H171,Feb!H171,Mar!H171)</f>
        <v>0</v>
      </c>
      <c r="I171" s="69">
        <f>SUM(Jan!I171,Feb!I171,Mar!I171)</f>
        <v>0</v>
      </c>
      <c r="J171" s="68" t="str">
        <f t="shared" si="17"/>
        <v/>
      </c>
    </row>
    <row r="172" spans="1:10" ht="15.6">
      <c r="A172" s="24" t="str">
        <v>IL: Hillsboro - Anacott (PW)</v>
      </c>
      <c r="B172" s="25" t="str">
        <v>IL</v>
      </c>
      <c r="C172" s="25" t="str">
        <f>Sites[[#This Row],[SOL'#]]</f>
        <v>SOL-11134</v>
      </c>
      <c r="D172" s="54">
        <f>SUM(Jan!D172,Feb!D172,Mar!D172)</f>
        <v>634429</v>
      </c>
      <c r="E172" s="10">
        <f>SUM(Jan!E172,Feb!E172,Mar!E172)</f>
        <v>0</v>
      </c>
      <c r="F172" s="10">
        <f t="shared" si="15"/>
        <v>634429</v>
      </c>
      <c r="G172" s="55"/>
      <c r="H172" s="67">
        <f>SUM(Jan!H172,Feb!H172,Mar!H172)</f>
        <v>553720</v>
      </c>
      <c r="I172" s="67">
        <f>SUM(Jan!I172,Feb!I172,Mar!I172)</f>
        <v>80709</v>
      </c>
      <c r="J172" s="64"/>
    </row>
    <row r="173" spans="1:10" ht="15.6">
      <c r="A173" s="26" t="str">
        <v>IL: Manhattan - Gougar (PW)</v>
      </c>
      <c r="B173" s="27" t="str">
        <v>IL</v>
      </c>
      <c r="C173" s="27" t="str">
        <f>Sites[[#This Row],[SOL'#]]</f>
        <v>SOL-11148</v>
      </c>
      <c r="D173" s="69">
        <f>SUM(Jan!D173,Feb!D173,Mar!D173)</f>
        <v>121126</v>
      </c>
      <c r="E173" s="69">
        <f>SUM(Jan!E173,Feb!E173,Mar!E173)</f>
        <v>145932.1</v>
      </c>
      <c r="F173" s="14">
        <f t="shared" si="15"/>
        <v>-24806.100000000006</v>
      </c>
      <c r="G173" s="68"/>
      <c r="H173" s="69">
        <f>SUM(Jan!H173,Feb!H173,Mar!H173)</f>
        <v>208326.7</v>
      </c>
      <c r="I173" s="69">
        <f>SUM(Jan!I173,Feb!I173,Mar!I173)</f>
        <v>-87200.700000000012</v>
      </c>
      <c r="J173" s="68"/>
    </row>
    <row r="174" spans="1:10" ht="15.75">
      <c r="A174" s="24" t="str">
        <v>IL: Morrison - Sawyer (PW)</v>
      </c>
      <c r="B174" s="25" t="str">
        <v>IL</v>
      </c>
      <c r="C174" s="25" t="s">
        <v>11</v>
      </c>
      <c r="D174" s="54"/>
      <c r="E174" s="10"/>
      <c r="F174" s="10"/>
      <c r="G174" s="55"/>
      <c r="H174" s="67"/>
      <c r="I174" s="67"/>
      <c r="J174" s="64"/>
    </row>
    <row r="175" spans="1:10" ht="15.75">
      <c r="A175" s="26" t="str">
        <v>IL: Kankakee - Jeffery (PW)</v>
      </c>
      <c r="B175" s="27" t="str">
        <v>IL</v>
      </c>
      <c r="C175" s="27" t="s">
        <v>12</v>
      </c>
      <c r="D175" s="69"/>
      <c r="E175" s="69"/>
      <c r="F175" s="14"/>
      <c r="G175" s="68"/>
      <c r="H175" s="69"/>
      <c r="I175" s="69"/>
      <c r="J175" s="68"/>
    </row>
    <row r="176" spans="1:10" ht="15.75">
      <c r="A176" s="24" t="str">
        <v>IL: Freeport - 2240 South 18th Ave (PW)</v>
      </c>
      <c r="B176" s="25" t="str">
        <v>IL</v>
      </c>
      <c r="C176" s="25" t="s">
        <v>13</v>
      </c>
      <c r="D176" s="54"/>
      <c r="E176" s="10"/>
      <c r="F176" s="10"/>
      <c r="G176" s="55"/>
      <c r="H176" s="67"/>
      <c r="I176" s="67"/>
      <c r="J176" s="64"/>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54" priority="35" stopIfTrue="1" operator="lessThanOrEqual">
      <formula>-0.1</formula>
    </cfRule>
    <cfRule type="expression" dxfId="53" priority="36">
      <formula>AND(ISNUMBER(G2), G2&gt;=0.1)</formula>
    </cfRule>
  </conditionalFormatting>
  <conditionalFormatting sqref="G4:G176 J4:J176">
    <cfRule type="cellIs" dxfId="52" priority="9" stopIfTrue="1" operator="lessThanOrEqual">
      <formula>-0.1</formula>
    </cfRule>
    <cfRule type="expression" dxfId="51" priority="10">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168" activePane="bottomRight" state="frozen"/>
      <selection pane="bottomRight" activeCell="E183" sqref="A183:E185"/>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95" t="str" cm="1">
        <f t="array" ref="A1">portfolio</f>
        <v>Generate Capital</v>
      </c>
      <c r="B1" s="195"/>
      <c r="C1" s="195"/>
      <c r="D1" s="195"/>
      <c r="E1" s="196" t="s">
        <v>16</v>
      </c>
      <c r="F1" s="196"/>
      <c r="G1" s="196"/>
      <c r="H1" s="194" t="s">
        <v>17</v>
      </c>
      <c r="I1" s="194"/>
      <c r="J1" s="194"/>
    </row>
    <row r="2" spans="1:10" ht="19.5" customHeight="1">
      <c r="A2" s="197" t="s">
        <v>2</v>
      </c>
      <c r="B2" s="197"/>
      <c r="C2" s="57"/>
      <c r="D2" s="5">
        <f>SUM(D4:D258)</f>
        <v>0</v>
      </c>
      <c r="E2" s="5">
        <f>SUM(E4:E260)</f>
        <v>0</v>
      </c>
      <c r="F2" s="5">
        <f>D2-E2</f>
        <v>0</v>
      </c>
      <c r="G2" s="6">
        <f>IFERROR(F2/E2, 0)</f>
        <v>0</v>
      </c>
      <c r="H2" s="5">
        <f>SUM(H4:H258)</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76">Sites[Site]</f>
        <v>K026</v>
      </c>
      <c r="B4" s="25" t="str" cm="1">
        <f t="array" ref="B4:B176">Sites[State]</f>
        <v>NY</v>
      </c>
      <c r="C4" s="25" t="str">
        <f>Sites[[#This Row],[SOL'#]]</f>
        <v>SOL-10356</v>
      </c>
      <c r="D4" s="20">
        <f>SUM(Apr!D4,May!D4,Jun!D4)</f>
        <v>0</v>
      </c>
      <c r="E4" s="10">
        <f>SUM(Apr!E4,May!E4,Jun!E4)</f>
        <v>0</v>
      </c>
      <c r="F4" s="10">
        <f>IF(AND(ISNUMBER(D4),ISNUMBER(E4)), D4-E4, "")</f>
        <v>0</v>
      </c>
      <c r="G4" s="11" t="str">
        <f>IFERROR(F4/E4, "")</f>
        <v/>
      </c>
      <c r="H4" s="12">
        <f>SUM(Apr!H4,May!H4,Jun!H4)</f>
        <v>0</v>
      </c>
      <c r="I4" s="12">
        <f>SUM(Apr!I4,May!I4,Jun!I4)</f>
        <v>0</v>
      </c>
      <c r="J4" s="13" t="str">
        <f>IFERROR(I4/H4, "")</f>
        <v/>
      </c>
    </row>
    <row r="5" spans="1:10" ht="15.6">
      <c r="A5" s="26" t="str">
        <v>K041</v>
      </c>
      <c r="B5" s="27" t="str">
        <v>NY</v>
      </c>
      <c r="C5" s="27" t="str">
        <f>Sites[[#This Row],[SOL'#]]</f>
        <v>SOL-10357</v>
      </c>
      <c r="D5" s="16">
        <f>SUM(Apr!D5,May!D5,Jun!D5)</f>
        <v>0</v>
      </c>
      <c r="E5" s="16">
        <f>SUM(Apr!E5,May!E5,Jun!E5)</f>
        <v>0</v>
      </c>
      <c r="F5" s="14">
        <f t="shared" ref="F5:F15" si="0">IF(AND(ISNUMBER(D5),ISNUMBER(E5)), D5-E5, "")</f>
        <v>0</v>
      </c>
      <c r="G5" s="15" t="str">
        <f>IFERROR(F5/E5, "")</f>
        <v/>
      </c>
      <c r="H5" s="16">
        <f>SUM(Apr!H5,May!H5,Jun!H5)</f>
        <v>0</v>
      </c>
      <c r="I5" s="16">
        <f>SUM(Apr!I5,May!I5,Jun!I5)</f>
        <v>0</v>
      </c>
      <c r="J5" s="15" t="str">
        <f>IFERROR(I5/H5, "")</f>
        <v/>
      </c>
    </row>
    <row r="6" spans="1:10" ht="15.6">
      <c r="A6" s="24" t="str">
        <v>K043</v>
      </c>
      <c r="B6" s="25" t="str">
        <v>NY</v>
      </c>
      <c r="C6" s="25" t="str">
        <f>Sites[[#This Row],[SOL'#]]</f>
        <v>SOL-10358</v>
      </c>
      <c r="D6" s="20">
        <f>SUM(Apr!D6,May!D6,Jun!D6)</f>
        <v>0</v>
      </c>
      <c r="E6" s="10">
        <f>SUM(Apr!E6,May!E6,Jun!E6)</f>
        <v>0</v>
      </c>
      <c r="F6" s="10">
        <f t="shared" si="0"/>
        <v>0</v>
      </c>
      <c r="G6" s="11" t="str">
        <f t="shared" ref="G6:G69" si="1">IFERROR(F6/E6, "")</f>
        <v/>
      </c>
      <c r="H6" s="12">
        <f>SUM(Apr!H6,May!H6,Jun!H6)</f>
        <v>0</v>
      </c>
      <c r="I6" s="12">
        <f>SUM(Apr!I6,May!I6,Jun!I6)</f>
        <v>0</v>
      </c>
      <c r="J6" s="13" t="str">
        <f t="shared" ref="J6:J69" si="2">IFERROR(I6/H6, "")</f>
        <v/>
      </c>
    </row>
    <row r="7" spans="1:10" ht="15.6">
      <c r="A7" s="26" t="str">
        <v>K058</v>
      </c>
      <c r="B7" s="27" t="str">
        <v>NY</v>
      </c>
      <c r="C7" s="27" t="str">
        <f>Sites[[#This Row],[SOL'#]]</f>
        <v>SOL-10360</v>
      </c>
      <c r="D7" s="16">
        <f>SUM(Apr!D7,May!D7,Jun!D7)</f>
        <v>0</v>
      </c>
      <c r="E7" s="16">
        <f>SUM(Apr!E7,May!E7,Jun!E7)</f>
        <v>0</v>
      </c>
      <c r="F7" s="14">
        <f t="shared" si="0"/>
        <v>0</v>
      </c>
      <c r="G7" s="15" t="str">
        <f t="shared" si="1"/>
        <v/>
      </c>
      <c r="H7" s="16">
        <f>SUM(Apr!H7,May!H7,Jun!H7)</f>
        <v>0</v>
      </c>
      <c r="I7" s="16">
        <f>SUM(Apr!I7,May!I7,Jun!I7)</f>
        <v>0</v>
      </c>
      <c r="J7" s="15" t="str">
        <f t="shared" si="2"/>
        <v/>
      </c>
    </row>
    <row r="8" spans="1:10" ht="15.6">
      <c r="A8" s="24" t="str">
        <v>K115</v>
      </c>
      <c r="B8" s="25" t="str">
        <v>NY</v>
      </c>
      <c r="C8" s="25" t="str">
        <f>Sites[[#This Row],[SOL'#]]</f>
        <v>SOL-10361</v>
      </c>
      <c r="D8" s="20">
        <f>SUM(Apr!D8,May!D8,Jun!D8)</f>
        <v>0</v>
      </c>
      <c r="E8" s="10">
        <f>SUM(Apr!E8,May!E8,Jun!E8)</f>
        <v>0</v>
      </c>
      <c r="F8" s="10">
        <f t="shared" si="0"/>
        <v>0</v>
      </c>
      <c r="G8" s="11" t="str">
        <f t="shared" si="1"/>
        <v/>
      </c>
      <c r="H8" s="12">
        <f>SUM(Apr!H8,May!H8,Jun!H8)</f>
        <v>0</v>
      </c>
      <c r="I8" s="12">
        <f>SUM(Apr!I8,May!I8,Jun!I8)</f>
        <v>0</v>
      </c>
      <c r="J8" s="13" t="str">
        <f t="shared" si="2"/>
        <v/>
      </c>
    </row>
    <row r="9" spans="1:10" ht="15.6">
      <c r="A9" s="26" t="str">
        <v>K152</v>
      </c>
      <c r="B9" s="27" t="str">
        <v>NY</v>
      </c>
      <c r="C9" s="27" t="str">
        <f>Sites[[#This Row],[SOL'#]]</f>
        <v>SOL-10362</v>
      </c>
      <c r="D9" s="16">
        <f>SUM(Apr!D9,May!D9,Jun!D9)</f>
        <v>0</v>
      </c>
      <c r="E9" s="16">
        <f>SUM(Apr!E9,May!E9,Jun!E9)</f>
        <v>0</v>
      </c>
      <c r="F9" s="14">
        <f t="shared" si="0"/>
        <v>0</v>
      </c>
      <c r="G9" s="15" t="str">
        <f t="shared" si="1"/>
        <v/>
      </c>
      <c r="H9" s="16">
        <f>SUM(Apr!H9,May!H9,Jun!H9)</f>
        <v>0</v>
      </c>
      <c r="I9" s="16">
        <f>SUM(Apr!I9,May!I9,Jun!I9)</f>
        <v>0</v>
      </c>
      <c r="J9" s="15" t="str">
        <f t="shared" si="2"/>
        <v/>
      </c>
    </row>
    <row r="10" spans="1:10" ht="15.6">
      <c r="A10" s="24" t="str">
        <v>K166</v>
      </c>
      <c r="B10" s="25" t="str">
        <v>NY</v>
      </c>
      <c r="C10" s="25" t="str">
        <f>Sites[[#This Row],[SOL'#]]</f>
        <v>SOL-10363</v>
      </c>
      <c r="D10" s="20">
        <f>SUM(Apr!D10,May!D10,Jun!D10)</f>
        <v>0</v>
      </c>
      <c r="E10" s="10">
        <f>SUM(Apr!E10,May!E10,Jun!E10)</f>
        <v>0</v>
      </c>
      <c r="F10" s="10">
        <f t="shared" si="0"/>
        <v>0</v>
      </c>
      <c r="G10" s="11" t="str">
        <f t="shared" si="1"/>
        <v/>
      </c>
      <c r="H10" s="12">
        <f>SUM(Apr!H10,May!H10,Jun!H10)</f>
        <v>0</v>
      </c>
      <c r="I10" s="12">
        <f>SUM(Apr!I10,May!I10,Jun!I10)</f>
        <v>0</v>
      </c>
      <c r="J10" s="13" t="str">
        <f t="shared" si="2"/>
        <v/>
      </c>
    </row>
    <row r="11" spans="1:10" ht="15.6">
      <c r="A11" s="26" t="str">
        <v>K206</v>
      </c>
      <c r="B11" s="27" t="str">
        <v>NY</v>
      </c>
      <c r="C11" s="27" t="str">
        <f>Sites[[#This Row],[SOL'#]]</f>
        <v>SOL-10927</v>
      </c>
      <c r="D11" s="16">
        <f>SUM(Apr!D11,May!D11,Jun!D11)</f>
        <v>0</v>
      </c>
      <c r="E11" s="16">
        <f>SUM(Apr!E11,May!E11,Jun!E11)</f>
        <v>0</v>
      </c>
      <c r="F11" s="14">
        <f t="shared" si="0"/>
        <v>0</v>
      </c>
      <c r="G11" s="15" t="str">
        <f t="shared" si="1"/>
        <v/>
      </c>
      <c r="H11" s="16">
        <f>SUM(Apr!H11,May!H11,Jun!H11)</f>
        <v>0</v>
      </c>
      <c r="I11" s="16">
        <f>SUM(Apr!I11,May!I11,Jun!I11)</f>
        <v>0</v>
      </c>
      <c r="J11" s="15" t="str">
        <f t="shared" si="2"/>
        <v/>
      </c>
    </row>
    <row r="12" spans="1:10" ht="15.6">
      <c r="A12" s="24" t="str">
        <v>K251</v>
      </c>
      <c r="B12" s="25" t="str">
        <v>NY</v>
      </c>
      <c r="C12" s="25" t="str">
        <f>Sites[[#This Row],[SOL'#]]</f>
        <v>SOL-10365</v>
      </c>
      <c r="D12" s="20">
        <f>SUM(Apr!D12,May!D12,Jun!D12)</f>
        <v>0</v>
      </c>
      <c r="E12" s="10">
        <f>SUM(Apr!E12,May!E12,Jun!E12)</f>
        <v>0</v>
      </c>
      <c r="F12" s="10">
        <f t="shared" si="0"/>
        <v>0</v>
      </c>
      <c r="G12" s="11" t="str">
        <f t="shared" si="1"/>
        <v/>
      </c>
      <c r="H12" s="12">
        <f>SUM(Apr!H12,May!H12,Jun!H12)</f>
        <v>0</v>
      </c>
      <c r="I12" s="12">
        <f>SUM(Apr!I12,May!I12,Jun!I12)</f>
        <v>0</v>
      </c>
      <c r="J12" s="13" t="str">
        <f t="shared" si="2"/>
        <v/>
      </c>
    </row>
    <row r="13" spans="1:10" ht="15.6">
      <c r="A13" s="26" t="str">
        <v>K269</v>
      </c>
      <c r="B13" s="27" t="str">
        <v>NY</v>
      </c>
      <c r="C13" s="27" t="str">
        <f>Sites[[#This Row],[SOL'#]]</f>
        <v>SOL-10366</v>
      </c>
      <c r="D13" s="16">
        <f>SUM(Apr!D13,May!D13,Jun!D13)</f>
        <v>0</v>
      </c>
      <c r="E13" s="16">
        <f>SUM(Apr!E13,May!E13,Jun!E13)</f>
        <v>0</v>
      </c>
      <c r="F13" s="14">
        <f t="shared" si="0"/>
        <v>0</v>
      </c>
      <c r="G13" s="15" t="str">
        <f t="shared" si="1"/>
        <v/>
      </c>
      <c r="H13" s="16">
        <f>SUM(Apr!H13,May!H13,Jun!H13)</f>
        <v>0</v>
      </c>
      <c r="I13" s="16">
        <f>SUM(Apr!I13,May!I13,Jun!I13)</f>
        <v>0</v>
      </c>
      <c r="J13" s="15" t="str">
        <f t="shared" si="2"/>
        <v/>
      </c>
    </row>
    <row r="14" spans="1:10" ht="15.6">
      <c r="A14" s="24" t="str">
        <v>K273</v>
      </c>
      <c r="B14" s="25" t="str">
        <v>NY</v>
      </c>
      <c r="C14" s="25" t="str">
        <f>Sites[[#This Row],[SOL'#]]</f>
        <v>SOL-10367</v>
      </c>
      <c r="D14" s="20">
        <f>SUM(Apr!D14,May!D14,Jun!D14)</f>
        <v>0</v>
      </c>
      <c r="E14" s="10">
        <f>SUM(Apr!E14,May!E14,Jun!E14)</f>
        <v>0</v>
      </c>
      <c r="F14" s="10">
        <f t="shared" si="0"/>
        <v>0</v>
      </c>
      <c r="G14" s="11" t="str">
        <f t="shared" si="1"/>
        <v/>
      </c>
      <c r="H14" s="12">
        <f>SUM(Apr!H14,May!H14,Jun!H14)</f>
        <v>0</v>
      </c>
      <c r="I14" s="12">
        <f>SUM(Apr!I14,May!I14,Jun!I14)</f>
        <v>0</v>
      </c>
      <c r="J14" s="13" t="str">
        <f t="shared" si="2"/>
        <v/>
      </c>
    </row>
    <row r="15" spans="1:10" ht="15.6">
      <c r="A15" s="26" t="str">
        <v>K287</v>
      </c>
      <c r="B15" s="27" t="str">
        <v>NY</v>
      </c>
      <c r="C15" s="27" t="str">
        <f>Sites[[#This Row],[SOL'#]]</f>
        <v>SOL-10919</v>
      </c>
      <c r="D15" s="16">
        <f>SUM(Apr!D15,May!D15,Jun!D15)</f>
        <v>0</v>
      </c>
      <c r="E15" s="16">
        <f>SUM(Apr!E15,May!E15,Jun!E15)</f>
        <v>0</v>
      </c>
      <c r="F15" s="14">
        <f t="shared" si="0"/>
        <v>0</v>
      </c>
      <c r="G15" s="15" t="str">
        <f t="shared" si="1"/>
        <v/>
      </c>
      <c r="H15" s="16">
        <f>SUM(Apr!H15,May!H15,Jun!H15)</f>
        <v>0</v>
      </c>
      <c r="I15" s="16">
        <f>SUM(Apr!I15,May!I15,Jun!I15)</f>
        <v>0</v>
      </c>
      <c r="J15" s="15" t="str">
        <f t="shared" si="2"/>
        <v/>
      </c>
    </row>
    <row r="16" spans="1:10" ht="15.6">
      <c r="A16" s="24" t="str">
        <v>K298</v>
      </c>
      <c r="B16" s="25" t="str">
        <v>NY</v>
      </c>
      <c r="C16" s="25" t="str">
        <f>Sites[[#This Row],[SOL'#]]</f>
        <v>SOL-10368</v>
      </c>
      <c r="D16" s="20">
        <f>SUM(Apr!D16,May!D16,Jun!D16)</f>
        <v>0</v>
      </c>
      <c r="E16" s="10">
        <f>SUM(Apr!E16,May!E16,Jun!E16)</f>
        <v>0</v>
      </c>
      <c r="F16" s="10">
        <f t="shared" ref="F16:F17" si="3">IF(AND(ISNUMBER(D16),ISNUMBER(E16)), D16-E16, "")</f>
        <v>0</v>
      </c>
      <c r="G16" s="11" t="str">
        <f t="shared" si="1"/>
        <v/>
      </c>
      <c r="H16" s="12">
        <f>SUM(Apr!H16,May!H16,Jun!H16)</f>
        <v>0</v>
      </c>
      <c r="I16" s="12">
        <f>SUM(Apr!I16,May!I16,Jun!I16)</f>
        <v>0</v>
      </c>
      <c r="J16" s="13" t="str">
        <f t="shared" si="2"/>
        <v/>
      </c>
    </row>
    <row r="17" spans="1:10" ht="15.6">
      <c r="A17" s="26" t="str">
        <v>K335</v>
      </c>
      <c r="B17" s="27" t="str">
        <v>NY</v>
      </c>
      <c r="C17" s="27" t="str">
        <f>Sites[[#This Row],[SOL'#]]</f>
        <v>SOL-10370</v>
      </c>
      <c r="D17" s="16">
        <f>SUM(Apr!D17,May!D17,Jun!D17)</f>
        <v>0</v>
      </c>
      <c r="E17" s="16">
        <f>SUM(Apr!E17,May!E17,Jun!E17)</f>
        <v>0</v>
      </c>
      <c r="F17" s="14">
        <f t="shared" si="3"/>
        <v>0</v>
      </c>
      <c r="G17" s="15" t="str">
        <f t="shared" si="1"/>
        <v/>
      </c>
      <c r="H17" s="16">
        <f>SUM(Apr!H17,May!H17,Jun!H17)</f>
        <v>0</v>
      </c>
      <c r="I17" s="16">
        <f>SUM(Apr!I17,May!I17,Jun!I17)</f>
        <v>0</v>
      </c>
      <c r="J17" s="15" t="str">
        <f t="shared" si="2"/>
        <v/>
      </c>
    </row>
    <row r="18" spans="1:10" ht="12.75" customHeight="1">
      <c r="A18" s="24" t="str">
        <v>K345</v>
      </c>
      <c r="B18" s="25" t="str">
        <v>NY</v>
      </c>
      <c r="C18" s="25" t="str">
        <f>Sites[[#This Row],[SOL'#]]</f>
        <v>SOL-10920</v>
      </c>
      <c r="D18" s="20">
        <f>SUM(Apr!D18,May!D18,Jun!D18)</f>
        <v>0</v>
      </c>
      <c r="E18" s="10">
        <f>SUM(Apr!E18,May!E18,Jun!E18)</f>
        <v>0</v>
      </c>
      <c r="F18" s="10">
        <f t="shared" ref="F18:F49" si="4">IF(AND(ISNUMBER(D18),ISNUMBER(E18)), D18-E18, "")</f>
        <v>0</v>
      </c>
      <c r="G18" s="11" t="str">
        <f t="shared" si="1"/>
        <v/>
      </c>
      <c r="H18" s="12">
        <f>SUM(Apr!H18,May!H18,Jun!H18)</f>
        <v>0</v>
      </c>
      <c r="I18" s="12">
        <f>SUM(Apr!I18,May!I18,Jun!I18)</f>
        <v>0</v>
      </c>
      <c r="J18" s="13" t="str">
        <f t="shared" si="2"/>
        <v/>
      </c>
    </row>
    <row r="19" spans="1:10" ht="15.6">
      <c r="A19" s="26" t="str">
        <v>K445</v>
      </c>
      <c r="B19" s="27" t="str">
        <v>NY</v>
      </c>
      <c r="C19" s="27" t="str">
        <f>Sites[[#This Row],[SOL'#]]</f>
        <v>SOL-10373</v>
      </c>
      <c r="D19" s="16">
        <f>SUM(Apr!D19,May!D19,Jun!D19)</f>
        <v>0</v>
      </c>
      <c r="E19" s="16">
        <f>SUM(Apr!E19,May!E19,Jun!E19)</f>
        <v>0</v>
      </c>
      <c r="F19" s="14">
        <f t="shared" si="4"/>
        <v>0</v>
      </c>
      <c r="G19" s="15" t="str">
        <f t="shared" si="1"/>
        <v/>
      </c>
      <c r="H19" s="16">
        <f>SUM(Apr!H19,May!H19,Jun!H19)</f>
        <v>0</v>
      </c>
      <c r="I19" s="16">
        <f>SUM(Apr!I19,May!I19,Jun!I19)</f>
        <v>0</v>
      </c>
      <c r="J19" s="15" t="str">
        <f t="shared" si="2"/>
        <v/>
      </c>
    </row>
    <row r="20" spans="1:10" ht="15.6">
      <c r="A20" s="24" t="str">
        <v>K495</v>
      </c>
      <c r="B20" s="25" t="str">
        <v>NY</v>
      </c>
      <c r="C20" s="25" t="str">
        <f>Sites[[#This Row],[SOL'#]]</f>
        <v>SOL-10374</v>
      </c>
      <c r="D20" s="20">
        <f>SUM(Apr!D20,May!D20,Jun!D20)</f>
        <v>0</v>
      </c>
      <c r="E20" s="10">
        <f>SUM(Apr!E20,May!E20,Jun!E20)</f>
        <v>0</v>
      </c>
      <c r="F20" s="10">
        <f t="shared" si="4"/>
        <v>0</v>
      </c>
      <c r="G20" s="11" t="str">
        <f t="shared" si="1"/>
        <v/>
      </c>
      <c r="H20" s="12">
        <f>SUM(Apr!H20,May!H20,Jun!H20)</f>
        <v>0</v>
      </c>
      <c r="I20" s="12">
        <f>SUM(Apr!I20,May!I20,Jun!I20)</f>
        <v>0</v>
      </c>
      <c r="J20" s="13" t="str">
        <f t="shared" si="2"/>
        <v/>
      </c>
    </row>
    <row r="21" spans="1:10" ht="15.6">
      <c r="A21" s="26" t="str">
        <v>M020</v>
      </c>
      <c r="B21" s="27" t="str">
        <v>NY</v>
      </c>
      <c r="C21" s="27" t="str">
        <f>Sites[[#This Row],[SOL'#]]</f>
        <v>SOL-10380</v>
      </c>
      <c r="D21" s="16">
        <f>SUM(Apr!D21,May!D21,Jun!D21)</f>
        <v>0</v>
      </c>
      <c r="E21" s="16">
        <f>SUM(Apr!E21,May!E21,Jun!E21)</f>
        <v>0</v>
      </c>
      <c r="F21" s="14">
        <f t="shared" si="4"/>
        <v>0</v>
      </c>
      <c r="G21" s="15" t="str">
        <f t="shared" si="1"/>
        <v/>
      </c>
      <c r="H21" s="16">
        <f>SUM(Apr!H21,May!H21,Jun!H21)</f>
        <v>0</v>
      </c>
      <c r="I21" s="16">
        <f>SUM(Apr!I21,May!I21,Jun!I21)</f>
        <v>0</v>
      </c>
      <c r="J21" s="15" t="str">
        <f t="shared" si="2"/>
        <v/>
      </c>
    </row>
    <row r="22" spans="1:10" ht="15.6">
      <c r="A22" s="24" t="str">
        <v>M092</v>
      </c>
      <c r="B22" s="25" t="str">
        <v>NY</v>
      </c>
      <c r="C22" s="25" t="str">
        <f>Sites[[#This Row],[SOL'#]]</f>
        <v>SOL-10383</v>
      </c>
      <c r="D22" s="20">
        <f>SUM(Apr!D22,May!D22,Jun!D22)</f>
        <v>0</v>
      </c>
      <c r="E22" s="10">
        <f>SUM(Apr!E22,May!E22,Jun!E22)</f>
        <v>0</v>
      </c>
      <c r="F22" s="10">
        <f t="shared" si="4"/>
        <v>0</v>
      </c>
      <c r="G22" s="11" t="str">
        <f t="shared" si="1"/>
        <v/>
      </c>
      <c r="H22" s="12">
        <f>SUM(Apr!H22,May!H22,Jun!H22)</f>
        <v>0</v>
      </c>
      <c r="I22" s="12">
        <f>SUM(Apr!I22,May!I22,Jun!I22)</f>
        <v>0</v>
      </c>
      <c r="J22" s="13" t="str">
        <f t="shared" si="2"/>
        <v/>
      </c>
    </row>
    <row r="23" spans="1:10" ht="15.6">
      <c r="A23" s="26" t="str">
        <v>M143</v>
      </c>
      <c r="B23" s="27" t="str">
        <v>NY</v>
      </c>
      <c r="C23" s="27" t="str">
        <f>Sites[[#This Row],[SOL'#]]</f>
        <v>SOL-10384</v>
      </c>
      <c r="D23" s="16">
        <f>SUM(Apr!D23,May!D23,Jun!D23)</f>
        <v>0</v>
      </c>
      <c r="E23" s="16">
        <f>SUM(Apr!E23,May!E23,Jun!E23)</f>
        <v>0</v>
      </c>
      <c r="F23" s="14">
        <f t="shared" si="4"/>
        <v>0</v>
      </c>
      <c r="G23" s="15" t="str">
        <f t="shared" si="1"/>
        <v/>
      </c>
      <c r="H23" s="16">
        <f>SUM(Apr!H23,May!H23,Jun!H23)</f>
        <v>0</v>
      </c>
      <c r="I23" s="16">
        <f>SUM(Apr!I23,May!I23,Jun!I23)</f>
        <v>0</v>
      </c>
      <c r="J23" s="15" t="str">
        <f t="shared" si="2"/>
        <v/>
      </c>
    </row>
    <row r="24" spans="1:10" ht="15.6">
      <c r="A24" s="24" t="str">
        <v>M144</v>
      </c>
      <c r="B24" s="25" t="str">
        <v>NY</v>
      </c>
      <c r="C24" s="25" t="str">
        <f>Sites[[#This Row],[SOL'#]]</f>
        <v>SOL-10385</v>
      </c>
      <c r="D24" s="20">
        <f>SUM(Apr!D24,May!D24,Jun!D24)</f>
        <v>0</v>
      </c>
      <c r="E24" s="10">
        <f>SUM(Apr!E24,May!E24,Jun!E24)</f>
        <v>0</v>
      </c>
      <c r="F24" s="10">
        <f t="shared" si="4"/>
        <v>0</v>
      </c>
      <c r="G24" s="11" t="str">
        <f t="shared" si="1"/>
        <v/>
      </c>
      <c r="H24" s="12">
        <f>SUM(Apr!H24,May!H24,Jun!H24)</f>
        <v>0</v>
      </c>
      <c r="I24" s="12">
        <f>SUM(Apr!I24,May!I24,Jun!I24)</f>
        <v>0</v>
      </c>
      <c r="J24" s="13" t="str">
        <f t="shared" si="2"/>
        <v/>
      </c>
    </row>
    <row r="25" spans="1:10" ht="15.6">
      <c r="A25" s="26" t="str">
        <v>M167</v>
      </c>
      <c r="B25" s="27" t="str">
        <v>NY</v>
      </c>
      <c r="C25" s="27" t="str">
        <f>Sites[[#This Row],[SOL'#]]</f>
        <v>SOL-10386</v>
      </c>
      <c r="D25" s="16">
        <f>SUM(Apr!D25,May!D25,Jun!D25)</f>
        <v>0</v>
      </c>
      <c r="E25" s="16">
        <f>SUM(Apr!E25,May!E25,Jun!E25)</f>
        <v>0</v>
      </c>
      <c r="F25" s="14">
        <f t="shared" si="4"/>
        <v>0</v>
      </c>
      <c r="G25" s="15" t="str">
        <f t="shared" si="1"/>
        <v/>
      </c>
      <c r="H25" s="16">
        <f>SUM(Apr!H25,May!H25,Jun!H25)</f>
        <v>0</v>
      </c>
      <c r="I25" s="16">
        <f>SUM(Apr!I25,May!I25,Jun!I25)</f>
        <v>0</v>
      </c>
      <c r="J25" s="15" t="str">
        <f t="shared" si="2"/>
        <v/>
      </c>
    </row>
    <row r="26" spans="1:10" ht="15.6">
      <c r="A26" s="24" t="str">
        <v>M188</v>
      </c>
      <c r="B26" s="25" t="str">
        <v>NY</v>
      </c>
      <c r="C26" s="25" t="str">
        <f>Sites[[#This Row],[SOL'#]]</f>
        <v>SOL-10387</v>
      </c>
      <c r="D26" s="20">
        <f>SUM(Apr!D26,May!D26,Jun!D26)</f>
        <v>0</v>
      </c>
      <c r="E26" s="10">
        <f>SUM(Apr!E26,May!E26,Jun!E26)</f>
        <v>0</v>
      </c>
      <c r="F26" s="10">
        <f t="shared" si="4"/>
        <v>0</v>
      </c>
      <c r="G26" s="11" t="str">
        <f t="shared" si="1"/>
        <v/>
      </c>
      <c r="H26" s="12">
        <f>SUM(Apr!H26,May!H26,Jun!H26)</f>
        <v>0</v>
      </c>
      <c r="I26" s="12">
        <f>SUM(Apr!I26,May!I26,Jun!I26)</f>
        <v>0</v>
      </c>
      <c r="J26" s="13" t="str">
        <f t="shared" si="2"/>
        <v/>
      </c>
    </row>
    <row r="27" spans="1:10" ht="15.6">
      <c r="A27" s="26" t="str">
        <v>EMHC</v>
      </c>
      <c r="B27" s="27" t="str">
        <v>NY</v>
      </c>
      <c r="C27" s="27" t="str">
        <f>Sites[[#This Row],[SOL'#]]</f>
        <v>SOL-10351</v>
      </c>
      <c r="D27" s="16">
        <f>SUM(Apr!D27,May!D27,Jun!D27)</f>
        <v>0</v>
      </c>
      <c r="E27" s="16">
        <f>SUM(Apr!E27,May!E27,Jun!E27)</f>
        <v>0</v>
      </c>
      <c r="F27" s="14">
        <f t="shared" si="4"/>
        <v>0</v>
      </c>
      <c r="G27" s="15" t="str">
        <f t="shared" si="1"/>
        <v/>
      </c>
      <c r="H27" s="16">
        <f>SUM(Apr!H27,May!H27,Jun!H27)</f>
        <v>0</v>
      </c>
      <c r="I27" s="16">
        <f>SUM(Apr!I27,May!I27,Jun!I27)</f>
        <v>0</v>
      </c>
      <c r="J27" s="15" t="str">
        <f t="shared" si="2"/>
        <v/>
      </c>
    </row>
    <row r="28" spans="1:10" ht="15.6">
      <c r="A28" s="24" t="str">
        <v>Q008</v>
      </c>
      <c r="B28" s="25" t="str">
        <v>NY</v>
      </c>
      <c r="C28" s="25" t="str">
        <f>Sites[[#This Row],[SOL'#]]</f>
        <v>SOL-10397</v>
      </c>
      <c r="D28" s="20">
        <f>SUM(Apr!D28,May!D28,Jun!D28)</f>
        <v>0</v>
      </c>
      <c r="E28" s="10">
        <f>SUM(Apr!E28,May!E28,Jun!E28)</f>
        <v>0</v>
      </c>
      <c r="F28" s="10">
        <f t="shared" si="4"/>
        <v>0</v>
      </c>
      <c r="G28" s="11" t="str">
        <f t="shared" si="1"/>
        <v/>
      </c>
      <c r="H28" s="12">
        <f>SUM(Apr!H28,May!H28,Jun!H28)</f>
        <v>0</v>
      </c>
      <c r="I28" s="12">
        <f>SUM(Apr!I28,May!I28,Jun!I28)</f>
        <v>0</v>
      </c>
      <c r="J28" s="13" t="str">
        <f t="shared" si="2"/>
        <v/>
      </c>
    </row>
    <row r="29" spans="1:10" ht="15.6">
      <c r="A29" s="26" t="str">
        <v>Q018</v>
      </c>
      <c r="B29" s="27" t="str">
        <v>NY</v>
      </c>
      <c r="C29" s="27" t="str">
        <f>Sites[[#This Row],[SOL'#]]</f>
        <v>SOL-10398</v>
      </c>
      <c r="D29" s="16">
        <f>SUM(Apr!D29,May!D29,Jun!D29)</f>
        <v>0</v>
      </c>
      <c r="E29" s="16">
        <f>SUM(Apr!E29,May!E29,Jun!E29)</f>
        <v>0</v>
      </c>
      <c r="F29" s="14">
        <f t="shared" si="4"/>
        <v>0</v>
      </c>
      <c r="G29" s="15" t="str">
        <f t="shared" si="1"/>
        <v/>
      </c>
      <c r="H29" s="16">
        <f>SUM(Apr!H29,May!H29,Jun!H29)</f>
        <v>0</v>
      </c>
      <c r="I29" s="16">
        <f>SUM(Apr!I29,May!I29,Jun!I29)</f>
        <v>0</v>
      </c>
      <c r="J29" s="15" t="str">
        <f t="shared" si="2"/>
        <v/>
      </c>
    </row>
    <row r="30" spans="1:10" ht="15.6">
      <c r="A30" s="24" t="str">
        <v>Q021</v>
      </c>
      <c r="B30" s="25" t="str">
        <v>NY</v>
      </c>
      <c r="C30" s="25" t="str">
        <f>Sites[[#This Row],[SOL'#]]</f>
        <v>SOL-10399</v>
      </c>
      <c r="D30" s="20">
        <f>SUM(Apr!D30,May!D30,Jun!D30)</f>
        <v>0</v>
      </c>
      <c r="E30" s="10">
        <f>SUM(Apr!E30,May!E30,Jun!E30)</f>
        <v>0</v>
      </c>
      <c r="F30" s="10">
        <f t="shared" si="4"/>
        <v>0</v>
      </c>
      <c r="G30" s="11" t="str">
        <f t="shared" si="1"/>
        <v/>
      </c>
      <c r="H30" s="12">
        <f>SUM(Apr!H30,May!H30,Jun!H30)</f>
        <v>0</v>
      </c>
      <c r="I30" s="12">
        <f>SUM(Apr!I30,May!I30,Jun!I30)</f>
        <v>0</v>
      </c>
      <c r="J30" s="13" t="str">
        <f t="shared" si="2"/>
        <v/>
      </c>
    </row>
    <row r="31" spans="1:10" ht="15.6">
      <c r="A31" s="26" t="str">
        <v>Q025</v>
      </c>
      <c r="B31" s="27" t="str">
        <v>NY</v>
      </c>
      <c r="C31" s="27" t="str">
        <f>Sites[[#This Row],[SOL'#]]</f>
        <v>SOL-10400</v>
      </c>
      <c r="D31" s="16">
        <f>SUM(Apr!D31,May!D31,Jun!D31)</f>
        <v>0</v>
      </c>
      <c r="E31" s="16">
        <f>SUM(Apr!E31,May!E31,Jun!E31)</f>
        <v>0</v>
      </c>
      <c r="F31" s="14">
        <f t="shared" si="4"/>
        <v>0</v>
      </c>
      <c r="G31" s="15" t="str">
        <f t="shared" si="1"/>
        <v/>
      </c>
      <c r="H31" s="16">
        <f>SUM(Apr!H31,May!H31,Jun!H31)</f>
        <v>0</v>
      </c>
      <c r="I31" s="16">
        <f>SUM(Apr!I31,May!I31,Jun!I31)</f>
        <v>0</v>
      </c>
      <c r="J31" s="15" t="str">
        <f t="shared" si="2"/>
        <v/>
      </c>
    </row>
    <row r="32" spans="1:10" ht="15.6">
      <c r="A32" s="24" t="str">
        <v>Q074</v>
      </c>
      <c r="B32" s="25" t="str">
        <v>NY</v>
      </c>
      <c r="C32" s="25" t="str">
        <f>Sites[[#This Row],[SOL'#]]</f>
        <v>SOL-10402</v>
      </c>
      <c r="D32" s="20">
        <f>SUM(Apr!D32,May!D32,Jun!D32)</f>
        <v>0</v>
      </c>
      <c r="E32" s="10">
        <f>SUM(Apr!E32,May!E32,Jun!E32)</f>
        <v>0</v>
      </c>
      <c r="F32" s="10">
        <f t="shared" si="4"/>
        <v>0</v>
      </c>
      <c r="G32" s="11" t="str">
        <f t="shared" si="1"/>
        <v/>
      </c>
      <c r="H32" s="12">
        <f>SUM(Apr!H32,May!H32,Jun!H32)</f>
        <v>0</v>
      </c>
      <c r="I32" s="12">
        <f>SUM(Apr!I32,May!I32,Jun!I32)</f>
        <v>0</v>
      </c>
      <c r="J32" s="13" t="str">
        <f t="shared" si="2"/>
        <v/>
      </c>
    </row>
    <row r="33" spans="1:10" ht="15.6">
      <c r="A33" s="26" t="str">
        <v>Q115</v>
      </c>
      <c r="B33" s="27" t="str">
        <v>NY</v>
      </c>
      <c r="C33" s="27" t="str">
        <f>Sites[[#This Row],[SOL'#]]</f>
        <v>SOL-10872</v>
      </c>
      <c r="D33" s="16">
        <f>SUM(Apr!D33,May!D33,Jun!D33)</f>
        <v>0</v>
      </c>
      <c r="E33" s="16">
        <f>SUM(Apr!E33,May!E33,Jun!E33)</f>
        <v>0</v>
      </c>
      <c r="F33" s="14">
        <f t="shared" si="4"/>
        <v>0</v>
      </c>
      <c r="G33" s="15" t="str">
        <f t="shared" si="1"/>
        <v/>
      </c>
      <c r="H33" s="16">
        <f>SUM(Apr!H33,May!H33,Jun!H33)</f>
        <v>0</v>
      </c>
      <c r="I33" s="16">
        <f>SUM(Apr!I33,May!I33,Jun!I33)</f>
        <v>0</v>
      </c>
      <c r="J33" s="15" t="str">
        <f t="shared" si="2"/>
        <v/>
      </c>
    </row>
    <row r="34" spans="1:10" ht="15.6">
      <c r="A34" s="24" t="str">
        <v>Q139</v>
      </c>
      <c r="B34" s="25" t="str">
        <v>NY</v>
      </c>
      <c r="C34" s="25" t="str">
        <f>Sites[[#This Row],[SOL'#]]</f>
        <v>SOL-10403</v>
      </c>
      <c r="D34" s="20">
        <f>SUM(Apr!D34,May!D34,Jun!D34)</f>
        <v>0</v>
      </c>
      <c r="E34" s="10">
        <f>SUM(Apr!E34,May!E34,Jun!E34)</f>
        <v>0</v>
      </c>
      <c r="F34" s="10">
        <f t="shared" si="4"/>
        <v>0</v>
      </c>
      <c r="G34" s="11" t="str">
        <f t="shared" si="1"/>
        <v/>
      </c>
      <c r="H34" s="12">
        <f>SUM(Apr!H34,May!H34,Jun!H34)</f>
        <v>0</v>
      </c>
      <c r="I34" s="12">
        <f>SUM(Apr!I34,May!I34,Jun!I34)</f>
        <v>0</v>
      </c>
      <c r="J34" s="13" t="str">
        <f t="shared" si="2"/>
        <v/>
      </c>
    </row>
    <row r="35" spans="1:10" ht="15.6">
      <c r="A35" s="26" t="str">
        <v>Q157</v>
      </c>
      <c r="B35" s="27" t="str">
        <v>NY</v>
      </c>
      <c r="C35" s="27" t="str">
        <f>Sites[[#This Row],[SOL'#]]</f>
        <v>SOL-10404</v>
      </c>
      <c r="D35" s="16">
        <f>SUM(Apr!D35,May!D35,Jun!D35)</f>
        <v>0</v>
      </c>
      <c r="E35" s="16">
        <f>SUM(Apr!E35,May!E35,Jun!E35)</f>
        <v>0</v>
      </c>
      <c r="F35" s="14">
        <f t="shared" si="4"/>
        <v>0</v>
      </c>
      <c r="G35" s="15" t="str">
        <f t="shared" si="1"/>
        <v/>
      </c>
      <c r="H35" s="16">
        <f>SUM(Apr!H35,May!H35,Jun!H35)</f>
        <v>0</v>
      </c>
      <c r="I35" s="16">
        <f>SUM(Apr!I35,May!I35,Jun!I35)</f>
        <v>0</v>
      </c>
      <c r="J35" s="15" t="str">
        <f t="shared" si="2"/>
        <v/>
      </c>
    </row>
    <row r="36" spans="1:10" ht="15.6">
      <c r="A36" s="24" t="str">
        <v>Q192</v>
      </c>
      <c r="B36" s="25" t="str">
        <v>NY</v>
      </c>
      <c r="C36" s="25" t="str">
        <f>Sites[[#This Row],[SOL'#]]</f>
        <v>SOL-10406</v>
      </c>
      <c r="D36" s="20">
        <f>SUM(Apr!D36,May!D36,Jun!D36)</f>
        <v>0</v>
      </c>
      <c r="E36" s="10">
        <f>SUM(Apr!E36,May!E36,Jun!E36)</f>
        <v>0</v>
      </c>
      <c r="F36" s="10">
        <f t="shared" si="4"/>
        <v>0</v>
      </c>
      <c r="G36" s="11" t="str">
        <f t="shared" si="1"/>
        <v/>
      </c>
      <c r="H36" s="12">
        <f>SUM(Apr!H36,May!H36,Jun!H36)</f>
        <v>0</v>
      </c>
      <c r="I36" s="12">
        <f>SUM(Apr!I36,May!I36,Jun!I36)</f>
        <v>0</v>
      </c>
      <c r="J36" s="13" t="str">
        <f t="shared" si="2"/>
        <v/>
      </c>
    </row>
    <row r="37" spans="1:10" ht="15.6">
      <c r="A37" s="26" t="str">
        <v>Q210</v>
      </c>
      <c r="B37" s="27" t="str">
        <v>NY</v>
      </c>
      <c r="C37" s="27" t="str">
        <f>Sites[[#This Row],[SOL'#]]</f>
        <v>SOL-10407</v>
      </c>
      <c r="D37" s="16">
        <f>SUM(Apr!D37,May!D37,Jun!D37)</f>
        <v>0</v>
      </c>
      <c r="E37" s="16">
        <f>SUM(Apr!E37,May!E37,Jun!E37)</f>
        <v>0</v>
      </c>
      <c r="F37" s="14">
        <f t="shared" si="4"/>
        <v>0</v>
      </c>
      <c r="G37" s="15" t="str">
        <f t="shared" si="1"/>
        <v/>
      </c>
      <c r="H37" s="16">
        <f>SUM(Apr!H37,May!H37,Jun!H37)</f>
        <v>0</v>
      </c>
      <c r="I37" s="16">
        <f>SUM(Apr!I37,May!I37,Jun!I37)</f>
        <v>0</v>
      </c>
      <c r="J37" s="15" t="str">
        <f t="shared" si="2"/>
        <v/>
      </c>
    </row>
    <row r="38" spans="1:10" ht="15.6">
      <c r="A38" s="24" t="str">
        <v>Q229</v>
      </c>
      <c r="B38" s="25" t="str">
        <v>NY</v>
      </c>
      <c r="C38" s="25" t="str">
        <f>Sites[[#This Row],[SOL'#]]</f>
        <v>SOL-10408</v>
      </c>
      <c r="D38" s="20">
        <f>SUM(Apr!D38,May!D38,Jun!D38)</f>
        <v>0</v>
      </c>
      <c r="E38" s="10">
        <f>SUM(Apr!E38,May!E38,Jun!E38)</f>
        <v>0</v>
      </c>
      <c r="F38" s="10">
        <f t="shared" si="4"/>
        <v>0</v>
      </c>
      <c r="G38" s="11" t="str">
        <f t="shared" si="1"/>
        <v/>
      </c>
      <c r="H38" s="12">
        <f>SUM(Apr!H38,May!H38,Jun!H38)</f>
        <v>0</v>
      </c>
      <c r="I38" s="12">
        <f>SUM(Apr!I38,May!I38,Jun!I38)</f>
        <v>0</v>
      </c>
      <c r="J38" s="13" t="str">
        <f t="shared" si="2"/>
        <v/>
      </c>
    </row>
    <row r="39" spans="1:10" ht="15.6">
      <c r="A39" s="26" t="str">
        <v>Q231</v>
      </c>
      <c r="B39" s="27" t="str">
        <v>NY</v>
      </c>
      <c r="C39" s="27" t="str">
        <f>Sites[[#This Row],[SOL'#]]</f>
        <v>SOL-10870</v>
      </c>
      <c r="D39" s="16">
        <f>SUM(Apr!D39,May!D39,Jun!D39)</f>
        <v>0</v>
      </c>
      <c r="E39" s="16">
        <f>SUM(Apr!E39,May!E39,Jun!E39)</f>
        <v>0</v>
      </c>
      <c r="F39" s="14">
        <f t="shared" si="4"/>
        <v>0</v>
      </c>
      <c r="G39" s="15" t="str">
        <f t="shared" si="1"/>
        <v/>
      </c>
      <c r="H39" s="16">
        <f>SUM(Apr!H39,May!H39,Jun!H39)</f>
        <v>0</v>
      </c>
      <c r="I39" s="16">
        <f>SUM(Apr!I39,May!I39,Jun!I39)</f>
        <v>0</v>
      </c>
      <c r="J39" s="15" t="str">
        <f t="shared" si="2"/>
        <v/>
      </c>
    </row>
    <row r="40" spans="1:10" ht="15.6">
      <c r="A40" s="24" t="str">
        <v>Q405</v>
      </c>
      <c r="B40" s="25" t="str">
        <v>NY</v>
      </c>
      <c r="C40" s="25" t="str">
        <f>Sites[[#This Row],[SOL'#]]</f>
        <v>SOL-10409</v>
      </c>
      <c r="D40" s="20">
        <f>SUM(Apr!D40,May!D40,Jun!D40)</f>
        <v>0</v>
      </c>
      <c r="E40" s="10">
        <f>SUM(Apr!E40,May!E40,Jun!E40)</f>
        <v>0</v>
      </c>
      <c r="F40" s="10">
        <f t="shared" si="4"/>
        <v>0</v>
      </c>
      <c r="G40" s="11" t="str">
        <f t="shared" si="1"/>
        <v/>
      </c>
      <c r="H40" s="12">
        <f>SUM(Apr!H40,May!H40,Jun!H40)</f>
        <v>0</v>
      </c>
      <c r="I40" s="12">
        <f>SUM(Apr!I40,May!I40,Jun!I40)</f>
        <v>0</v>
      </c>
      <c r="J40" s="13" t="str">
        <f t="shared" si="2"/>
        <v/>
      </c>
    </row>
    <row r="41" spans="1:10" ht="15.6">
      <c r="A41" s="26" t="str">
        <v>Q435</v>
      </c>
      <c r="B41" s="27" t="str">
        <v>NY</v>
      </c>
      <c r="C41" s="27" t="str">
        <f>Sites[[#This Row],[SOL'#]]</f>
        <v>SOL-10923</v>
      </c>
      <c r="D41" s="16">
        <f>SUM(Apr!D41,May!D41,Jun!D41)</f>
        <v>0</v>
      </c>
      <c r="E41" s="16">
        <f>SUM(Apr!E41,May!E41,Jun!E41)</f>
        <v>0</v>
      </c>
      <c r="F41" s="14">
        <f t="shared" si="4"/>
        <v>0</v>
      </c>
      <c r="G41" s="15" t="str">
        <f t="shared" si="1"/>
        <v/>
      </c>
      <c r="H41" s="16">
        <f>SUM(Apr!H41,May!H41,Jun!H41)</f>
        <v>0</v>
      </c>
      <c r="I41" s="16">
        <f>SUM(Apr!I41,May!I41,Jun!I41)</f>
        <v>0</v>
      </c>
      <c r="J41" s="15" t="str">
        <f t="shared" si="2"/>
        <v/>
      </c>
    </row>
    <row r="42" spans="1:10" ht="15.6">
      <c r="A42" s="24" t="str">
        <v>Q485</v>
      </c>
      <c r="B42" s="25" t="str">
        <v>NY</v>
      </c>
      <c r="C42" s="25" t="str">
        <f>Sites[[#This Row],[SOL'#]]</f>
        <v>SOL-10869</v>
      </c>
      <c r="D42" s="20">
        <f>SUM(Apr!D42,May!D42,Jun!D42)</f>
        <v>0</v>
      </c>
      <c r="E42" s="10">
        <f>SUM(Apr!E42,May!E42,Jun!E42)</f>
        <v>0</v>
      </c>
      <c r="F42" s="10">
        <f t="shared" si="4"/>
        <v>0</v>
      </c>
      <c r="G42" s="11" t="str">
        <f t="shared" si="1"/>
        <v/>
      </c>
      <c r="H42" s="12">
        <f>SUM(Apr!H42,May!H42,Jun!H42)</f>
        <v>0</v>
      </c>
      <c r="I42" s="12">
        <f>SUM(Apr!I42,May!I42,Jun!I42)</f>
        <v>0</v>
      </c>
      <c r="J42" s="13" t="str">
        <f t="shared" si="2"/>
        <v/>
      </c>
    </row>
    <row r="43" spans="1:10" ht="15.6">
      <c r="A43" s="26" t="str">
        <v>Q490</v>
      </c>
      <c r="B43" s="27" t="str">
        <v>NY</v>
      </c>
      <c r="C43" s="27" t="str">
        <f>Sites[[#This Row],[SOL'#]]</f>
        <v>SOL-10411</v>
      </c>
      <c r="D43" s="16">
        <f>SUM(Apr!D43,May!D43,Jun!D43)</f>
        <v>0</v>
      </c>
      <c r="E43" s="16">
        <f>SUM(Apr!E43,May!E43,Jun!E43)</f>
        <v>0</v>
      </c>
      <c r="F43" s="14">
        <f t="shared" si="4"/>
        <v>0</v>
      </c>
      <c r="G43" s="15" t="str">
        <f t="shared" si="1"/>
        <v/>
      </c>
      <c r="H43" s="16">
        <f>SUM(Apr!H43,May!H43,Jun!H43)</f>
        <v>0</v>
      </c>
      <c r="I43" s="16">
        <f>SUM(Apr!I43,May!I43,Jun!I43)</f>
        <v>0</v>
      </c>
      <c r="J43" s="15" t="str">
        <f t="shared" si="2"/>
        <v/>
      </c>
    </row>
    <row r="44" spans="1:10" ht="15.6">
      <c r="A44" s="24" t="str">
        <v>Q620</v>
      </c>
      <c r="B44" s="25" t="str">
        <v>NY</v>
      </c>
      <c r="C44" s="25" t="str">
        <f>Sites[[#This Row],[SOL'#]]</f>
        <v>SOL-10867</v>
      </c>
      <c r="D44" s="20">
        <f>SUM(Apr!D44,May!D44,Jun!D44)</f>
        <v>0</v>
      </c>
      <c r="E44" s="10">
        <f>SUM(Apr!E44,May!E44,Jun!E44)</f>
        <v>0</v>
      </c>
      <c r="F44" s="10">
        <f t="shared" si="4"/>
        <v>0</v>
      </c>
      <c r="G44" s="11" t="str">
        <f t="shared" si="1"/>
        <v/>
      </c>
      <c r="H44" s="12">
        <f>SUM(Apr!H44,May!H44,Jun!H44)</f>
        <v>0</v>
      </c>
      <c r="I44" s="12">
        <f>SUM(Apr!I44,May!I44,Jun!I44)</f>
        <v>0</v>
      </c>
      <c r="J44" s="13" t="str">
        <f t="shared" si="2"/>
        <v/>
      </c>
    </row>
    <row r="45" spans="1:10" ht="15.6">
      <c r="A45" s="26" t="str">
        <v>QMOA</v>
      </c>
      <c r="B45" s="27" t="str">
        <v>NY</v>
      </c>
      <c r="C45" s="27" t="str">
        <f>Sites[[#This Row],[SOL'#]]</f>
        <v>SOL-10415</v>
      </c>
      <c r="D45" s="16">
        <f>SUM(Apr!D45,May!D45,Jun!D45)</f>
        <v>0</v>
      </c>
      <c r="E45" s="16">
        <f>SUM(Apr!E45,May!E45,Jun!E45)</f>
        <v>0</v>
      </c>
      <c r="F45" s="14">
        <f t="shared" si="4"/>
        <v>0</v>
      </c>
      <c r="G45" s="15" t="str">
        <f t="shared" si="1"/>
        <v/>
      </c>
      <c r="H45" s="16">
        <f>SUM(Apr!H45,May!H45,Jun!H45)</f>
        <v>0</v>
      </c>
      <c r="I45" s="16">
        <f>SUM(Apr!I45,May!I45,Jun!I45)</f>
        <v>0</v>
      </c>
      <c r="J45" s="15" t="str">
        <f t="shared" si="2"/>
        <v/>
      </c>
    </row>
    <row r="46" spans="1:10" ht="15.6">
      <c r="A46" s="24" t="str">
        <v>X024</v>
      </c>
      <c r="B46" s="25" t="str">
        <v>NY</v>
      </c>
      <c r="C46" s="25" t="str">
        <f>Sites[[#This Row],[SOL'#]]</f>
        <v>SOL-10419</v>
      </c>
      <c r="D46" s="20">
        <f>SUM(Apr!D46,May!D46,Jun!D46)</f>
        <v>0</v>
      </c>
      <c r="E46" s="10">
        <f>SUM(Apr!E46,May!E46,Jun!E46)</f>
        <v>0</v>
      </c>
      <c r="F46" s="10">
        <f t="shared" si="4"/>
        <v>0</v>
      </c>
      <c r="G46" s="11" t="str">
        <f t="shared" si="1"/>
        <v/>
      </c>
      <c r="H46" s="12">
        <f>SUM(Apr!H46,May!H46,Jun!H46)</f>
        <v>0</v>
      </c>
      <c r="I46" s="12">
        <f>SUM(Apr!I46,May!I46,Jun!I46)</f>
        <v>0</v>
      </c>
      <c r="J46" s="13" t="str">
        <f t="shared" si="2"/>
        <v/>
      </c>
    </row>
    <row r="47" spans="1:10" ht="15.6">
      <c r="A47" s="26" t="str">
        <v>X026</v>
      </c>
      <c r="B47" s="27" t="str">
        <v>NY</v>
      </c>
      <c r="C47" s="27" t="str">
        <f>Sites[[#This Row],[SOL'#]]</f>
        <v>SOL-10420</v>
      </c>
      <c r="D47" s="16">
        <f>SUM(Apr!D47,May!D47,Jun!D47)</f>
        <v>0</v>
      </c>
      <c r="E47" s="16">
        <f>SUM(Apr!E47,May!E47,Jun!E47)</f>
        <v>0</v>
      </c>
      <c r="F47" s="14">
        <f t="shared" si="4"/>
        <v>0</v>
      </c>
      <c r="G47" s="15" t="str">
        <f t="shared" si="1"/>
        <v/>
      </c>
      <c r="H47" s="16">
        <f>SUM(Apr!H47,May!H47,Jun!H47)</f>
        <v>0</v>
      </c>
      <c r="I47" s="16">
        <f>SUM(Apr!I47,May!I47,Jun!I47)</f>
        <v>0</v>
      </c>
      <c r="J47" s="15" t="str">
        <f t="shared" si="2"/>
        <v/>
      </c>
    </row>
    <row r="48" spans="1:10" ht="15.6">
      <c r="A48" s="24" t="str">
        <v>X090</v>
      </c>
      <c r="B48" s="25" t="str">
        <v>NY</v>
      </c>
      <c r="C48" s="25" t="str">
        <f>Sites[[#This Row],[SOL'#]]</f>
        <v>SOL-10925</v>
      </c>
      <c r="D48" s="20">
        <f>SUM(Apr!D48,May!D48,Jun!D48)</f>
        <v>0</v>
      </c>
      <c r="E48" s="10">
        <f>SUM(Apr!E48,May!E48,Jun!E48)</f>
        <v>0</v>
      </c>
      <c r="F48" s="10">
        <f t="shared" si="4"/>
        <v>0</v>
      </c>
      <c r="G48" s="11" t="str">
        <f t="shared" si="1"/>
        <v/>
      </c>
      <c r="H48" s="12">
        <f>SUM(Apr!H48,May!H48,Jun!H48)</f>
        <v>0</v>
      </c>
      <c r="I48" s="12">
        <f>SUM(Apr!I48,May!I48,Jun!I48)</f>
        <v>0</v>
      </c>
      <c r="J48" s="13" t="str">
        <f t="shared" si="2"/>
        <v/>
      </c>
    </row>
    <row r="49" spans="1:10" ht="15.6">
      <c r="A49" s="26" t="str">
        <v>X117</v>
      </c>
      <c r="B49" s="27" t="str">
        <v>NY</v>
      </c>
      <c r="C49" s="27" t="str">
        <f>Sites[[#This Row],[SOL'#]]</f>
        <v>SOL-10422</v>
      </c>
      <c r="D49" s="16">
        <f>SUM(Apr!D49,May!D49,Jun!D49)</f>
        <v>0</v>
      </c>
      <c r="E49" s="16">
        <f>SUM(Apr!E49,May!E49,Jun!E49)</f>
        <v>0</v>
      </c>
      <c r="F49" s="14">
        <f t="shared" si="4"/>
        <v>0</v>
      </c>
      <c r="G49" s="15" t="str">
        <f t="shared" si="1"/>
        <v/>
      </c>
      <c r="H49" s="16">
        <f>SUM(Apr!H49,May!H49,Jun!H49)</f>
        <v>0</v>
      </c>
      <c r="I49" s="16">
        <f>SUM(Apr!I49,May!I49,Jun!I49)</f>
        <v>0</v>
      </c>
      <c r="J49" s="15" t="str">
        <f t="shared" si="2"/>
        <v/>
      </c>
    </row>
    <row r="50" spans="1:10" ht="15.6">
      <c r="A50" s="24" t="str">
        <v>X125</v>
      </c>
      <c r="B50" s="25" t="str">
        <v>NY</v>
      </c>
      <c r="C50" s="25" t="str">
        <f>Sites[[#This Row],[SOL'#]]</f>
        <v>SOL-10423</v>
      </c>
      <c r="D50" s="20">
        <f>SUM(Apr!D50,May!D50,Jun!D50)</f>
        <v>0</v>
      </c>
      <c r="E50" s="10">
        <f>SUM(Apr!E50,May!E50,Jun!E50)</f>
        <v>0</v>
      </c>
      <c r="F50" s="10">
        <f t="shared" ref="F50:F81" si="5">IF(AND(ISNUMBER(D50),ISNUMBER(E50)), D50-E50, "")</f>
        <v>0</v>
      </c>
      <c r="G50" s="11" t="str">
        <f t="shared" si="1"/>
        <v/>
      </c>
      <c r="H50" s="12">
        <f>SUM(Apr!H50,May!H50,Jun!H50)</f>
        <v>0</v>
      </c>
      <c r="I50" s="12">
        <f>SUM(Apr!I50,May!I50,Jun!I50)</f>
        <v>0</v>
      </c>
      <c r="J50" s="13" t="str">
        <f t="shared" si="2"/>
        <v/>
      </c>
    </row>
    <row r="51" spans="1:10" ht="15.6">
      <c r="A51" s="26" t="str">
        <v>X134</v>
      </c>
      <c r="B51" s="27" t="str">
        <v>NY</v>
      </c>
      <c r="C51" s="27" t="str">
        <f>Sites[[#This Row],[SOL'#]]</f>
        <v>SOL-10424</v>
      </c>
      <c r="D51" s="16">
        <f>SUM(Apr!D51,May!D51,Jun!D51)</f>
        <v>0</v>
      </c>
      <c r="E51" s="16">
        <f>SUM(Apr!E51,May!E51,Jun!E51)</f>
        <v>0</v>
      </c>
      <c r="F51" s="14">
        <f t="shared" si="5"/>
        <v>0</v>
      </c>
      <c r="G51" s="15" t="str">
        <f t="shared" si="1"/>
        <v/>
      </c>
      <c r="H51" s="16">
        <f>SUM(Apr!H51,May!H51,Jun!H51)</f>
        <v>0</v>
      </c>
      <c r="I51" s="16">
        <f>SUM(Apr!I51,May!I51,Jun!I51)</f>
        <v>0</v>
      </c>
      <c r="J51" s="15" t="str">
        <f t="shared" si="2"/>
        <v/>
      </c>
    </row>
    <row r="52" spans="1:10" ht="15.6">
      <c r="A52" s="24" t="str">
        <v>X135</v>
      </c>
      <c r="B52" s="25" t="str">
        <v>NY</v>
      </c>
      <c r="C52" s="25" t="str">
        <f>Sites[[#This Row],[SOL'#]]</f>
        <v>SOL-10425</v>
      </c>
      <c r="D52" s="20">
        <f>SUM(Apr!D52,May!D52,Jun!D52)</f>
        <v>0</v>
      </c>
      <c r="E52" s="10">
        <f>SUM(Apr!E52,May!E52,Jun!E52)</f>
        <v>0</v>
      </c>
      <c r="F52" s="10">
        <f t="shared" si="5"/>
        <v>0</v>
      </c>
      <c r="G52" s="11" t="str">
        <f t="shared" si="1"/>
        <v/>
      </c>
      <c r="H52" s="12">
        <f>SUM(Apr!H52,May!H52,Jun!H52)</f>
        <v>0</v>
      </c>
      <c r="I52" s="12">
        <f>SUM(Apr!I52,May!I52,Jun!I52)</f>
        <v>0</v>
      </c>
      <c r="J52" s="13" t="str">
        <f t="shared" si="2"/>
        <v/>
      </c>
    </row>
    <row r="53" spans="1:10" ht="15.6">
      <c r="A53" s="26" t="str">
        <v>X139 JHS 222</v>
      </c>
      <c r="B53" s="27" t="str">
        <v>NY</v>
      </c>
      <c r="C53" s="27" t="str">
        <f>Sites[[#This Row],[SOL'#]]</f>
        <v>SOL-10426</v>
      </c>
      <c r="D53" s="16">
        <f>SUM(Apr!D53,May!D53,Jun!D53)</f>
        <v>0</v>
      </c>
      <c r="E53" s="16">
        <f>SUM(Apr!E53,May!E53,Jun!E53)</f>
        <v>0</v>
      </c>
      <c r="F53" s="14">
        <f t="shared" si="5"/>
        <v>0</v>
      </c>
      <c r="G53" s="15" t="str">
        <f t="shared" si="1"/>
        <v/>
      </c>
      <c r="H53" s="16">
        <f>SUM(Apr!H53,May!H53,Jun!H53)</f>
        <v>0</v>
      </c>
      <c r="I53" s="16">
        <f>SUM(Apr!I53,May!I53,Jun!I53)</f>
        <v>0</v>
      </c>
      <c r="J53" s="15" t="str">
        <f t="shared" si="2"/>
        <v/>
      </c>
    </row>
    <row r="54" spans="1:10" ht="15.6">
      <c r="A54" s="24" t="str">
        <v>X140</v>
      </c>
      <c r="B54" s="25" t="str">
        <v>NY</v>
      </c>
      <c r="C54" s="25" t="str">
        <f>Sites[[#This Row],[SOL'#]]</f>
        <v>SOL-10926</v>
      </c>
      <c r="D54" s="20">
        <f>SUM(Apr!D54,May!D54,Jun!D54)</f>
        <v>0</v>
      </c>
      <c r="E54" s="10">
        <f>SUM(Apr!E54,May!E54,Jun!E54)</f>
        <v>0</v>
      </c>
      <c r="F54" s="10">
        <f t="shared" si="5"/>
        <v>0</v>
      </c>
      <c r="G54" s="11" t="str">
        <f t="shared" si="1"/>
        <v/>
      </c>
      <c r="H54" s="12">
        <f>SUM(Apr!H54,May!H54,Jun!H54)</f>
        <v>0</v>
      </c>
      <c r="I54" s="12">
        <f>SUM(Apr!I54,May!I54,Jun!I54)</f>
        <v>0</v>
      </c>
      <c r="J54" s="13" t="str">
        <f t="shared" si="2"/>
        <v/>
      </c>
    </row>
    <row r="55" spans="1:10" ht="15.6">
      <c r="A55" s="26" t="str">
        <v>X166</v>
      </c>
      <c r="B55" s="27" t="str">
        <v>NY</v>
      </c>
      <c r="C55" s="27" t="str">
        <f>Sites[[#This Row],[SOL'#]]</f>
        <v>SOL-10427</v>
      </c>
      <c r="D55" s="16">
        <f>SUM(Apr!D55,May!D55,Jun!D55)</f>
        <v>0</v>
      </c>
      <c r="E55" s="16">
        <f>SUM(Apr!E55,May!E55,Jun!E55)</f>
        <v>0</v>
      </c>
      <c r="F55" s="14">
        <f t="shared" si="5"/>
        <v>0</v>
      </c>
      <c r="G55" s="15" t="str">
        <f t="shared" si="1"/>
        <v/>
      </c>
      <c r="H55" s="16">
        <f>SUM(Apr!H55,May!H55,Jun!H55)</f>
        <v>0</v>
      </c>
      <c r="I55" s="16">
        <f>SUM(Apr!I55,May!I55,Jun!I55)</f>
        <v>0</v>
      </c>
      <c r="J55" s="15" t="str">
        <f t="shared" si="2"/>
        <v/>
      </c>
    </row>
    <row r="56" spans="1:10" ht="15.6">
      <c r="A56" s="24" t="str">
        <v>Murphy</v>
      </c>
      <c r="B56" s="25" t="str">
        <v>MN</v>
      </c>
      <c r="C56" s="25" t="str">
        <f>Sites[[#This Row],[SOL'#]]</f>
        <v>SOL-10094</v>
      </c>
      <c r="D56" s="20">
        <f>SUM(Apr!D56,May!D56,Jun!D56)</f>
        <v>0</v>
      </c>
      <c r="E56" s="10">
        <f>SUM(Apr!E56,May!E56,Jun!E56)</f>
        <v>0</v>
      </c>
      <c r="F56" s="10">
        <f t="shared" si="5"/>
        <v>0</v>
      </c>
      <c r="G56" s="11" t="str">
        <f t="shared" si="1"/>
        <v/>
      </c>
      <c r="H56" s="12">
        <f>SUM(Apr!H56,May!H56,Jun!H56)</f>
        <v>0</v>
      </c>
      <c r="I56" s="12">
        <f>SUM(Apr!I56,May!I56,Jun!I56)</f>
        <v>0</v>
      </c>
      <c r="J56" s="13" t="str">
        <f t="shared" si="2"/>
        <v/>
      </c>
    </row>
    <row r="57" spans="1:10" ht="15.6">
      <c r="A57" s="26" t="str">
        <v>Terning</v>
      </c>
      <c r="B57" s="27" t="str">
        <v>MN</v>
      </c>
      <c r="C57" s="27" t="str">
        <f>Sites[[#This Row],[SOL'#]]</f>
        <v>SOL-10093</v>
      </c>
      <c r="D57" s="16">
        <f>SUM(Apr!D57,May!D57,Jun!D57)</f>
        <v>0</v>
      </c>
      <c r="E57" s="16">
        <f>SUM(Apr!E57,May!E57,Jun!E57)</f>
        <v>0</v>
      </c>
      <c r="F57" s="14">
        <f t="shared" si="5"/>
        <v>0</v>
      </c>
      <c r="G57" s="15" t="str">
        <f t="shared" si="1"/>
        <v/>
      </c>
      <c r="H57" s="16">
        <f>SUM(Apr!H57,May!H57,Jun!H57)</f>
        <v>0</v>
      </c>
      <c r="I57" s="16">
        <f>SUM(Apr!I57,May!I57,Jun!I57)</f>
        <v>0</v>
      </c>
      <c r="J57" s="15" t="str">
        <f t="shared" si="2"/>
        <v/>
      </c>
    </row>
    <row r="58" spans="1:10" ht="15.6">
      <c r="A58" s="24" t="str">
        <v>Boas Road 04</v>
      </c>
      <c r="B58" s="25" t="str">
        <v>NY</v>
      </c>
      <c r="C58" s="25" t="str">
        <f>Sites[[#This Row],[SOL'#]]</f>
        <v>SOL-10908</v>
      </c>
      <c r="D58" s="20">
        <f>SUM(Apr!D58,May!D58,Jun!D58)</f>
        <v>0</v>
      </c>
      <c r="E58" s="10">
        <f>SUM(Apr!E58,May!E58,Jun!E58)</f>
        <v>0</v>
      </c>
      <c r="F58" s="10">
        <f t="shared" si="5"/>
        <v>0</v>
      </c>
      <c r="G58" s="11" t="str">
        <f t="shared" si="1"/>
        <v/>
      </c>
      <c r="H58" s="12">
        <f>SUM(Apr!H58,May!H58,Jun!H58)</f>
        <v>0</v>
      </c>
      <c r="I58" s="12">
        <f>SUM(Apr!I58,May!I58,Jun!I58)</f>
        <v>0</v>
      </c>
      <c r="J58" s="13" t="str">
        <f t="shared" si="2"/>
        <v/>
      </c>
    </row>
    <row r="59" spans="1:10" ht="15.6">
      <c r="A59" s="26" t="str">
        <v>Kelly Bridge Farm</v>
      </c>
      <c r="B59" s="27" t="str">
        <v>NY</v>
      </c>
      <c r="C59" s="27" t="str">
        <f>Sites[[#This Row],[SOL'#]]</f>
        <v>SOL-10911</v>
      </c>
      <c r="D59" s="16">
        <f>SUM(Apr!D59,May!D59,Jun!D59)</f>
        <v>0</v>
      </c>
      <c r="E59" s="16">
        <f>SUM(Apr!E59,May!E59,Jun!E59)</f>
        <v>0</v>
      </c>
      <c r="F59" s="14">
        <f t="shared" si="5"/>
        <v>0</v>
      </c>
      <c r="G59" s="15" t="str">
        <f t="shared" si="1"/>
        <v/>
      </c>
      <c r="H59" s="16">
        <f>SUM(Apr!H59,May!H59,Jun!H59)</f>
        <v>0</v>
      </c>
      <c r="I59" s="16">
        <f>SUM(Apr!I59,May!I59,Jun!I59)</f>
        <v>0</v>
      </c>
      <c r="J59" s="15" t="str">
        <f t="shared" si="2"/>
        <v/>
      </c>
    </row>
    <row r="60" spans="1:10" ht="15.6">
      <c r="A60" s="24" t="str">
        <v>Pool Brook Road</v>
      </c>
      <c r="B60" s="25" t="str">
        <v>NY</v>
      </c>
      <c r="C60" s="25" t="str">
        <f>Sites[[#This Row],[SOL'#]]</f>
        <v>SOL-10909</v>
      </c>
      <c r="D60" s="20">
        <f>SUM(Apr!D60,May!D60,Jun!D60)</f>
        <v>0</v>
      </c>
      <c r="E60" s="10">
        <f>SUM(Apr!E60,May!E60,Jun!E60)</f>
        <v>0</v>
      </c>
      <c r="F60" s="10">
        <f t="shared" si="5"/>
        <v>0</v>
      </c>
      <c r="G60" s="11" t="str">
        <f t="shared" si="1"/>
        <v/>
      </c>
      <c r="H60" s="12">
        <f>SUM(Apr!H60,May!H60,Jun!H60)</f>
        <v>0</v>
      </c>
      <c r="I60" s="12">
        <f>SUM(Apr!I60,May!I60,Jun!I60)</f>
        <v>0</v>
      </c>
      <c r="J60" s="13" t="str">
        <f t="shared" si="2"/>
        <v/>
      </c>
    </row>
    <row r="61" spans="1:10" ht="15.6">
      <c r="A61" s="26" t="str">
        <v>Sackett Lake</v>
      </c>
      <c r="B61" s="27" t="str">
        <v>NY</v>
      </c>
      <c r="C61" s="27" t="str">
        <f>Sites[[#This Row],[SOL'#]]</f>
        <v>SOL-10910</v>
      </c>
      <c r="D61" s="16">
        <f>SUM(Apr!D61,May!D61,Jun!D61)</f>
        <v>0</v>
      </c>
      <c r="E61" s="16">
        <f>SUM(Apr!E61,May!E61,Jun!E61)</f>
        <v>0</v>
      </c>
      <c r="F61" s="14">
        <f t="shared" si="5"/>
        <v>0</v>
      </c>
      <c r="G61" s="15" t="str">
        <f t="shared" si="1"/>
        <v/>
      </c>
      <c r="H61" s="16">
        <f>SUM(Apr!H61,May!H61,Jun!H61)</f>
        <v>0</v>
      </c>
      <c r="I61" s="16">
        <f>SUM(Apr!I61,May!I61,Jun!I61)</f>
        <v>0</v>
      </c>
      <c r="J61" s="15" t="str">
        <f t="shared" si="2"/>
        <v/>
      </c>
    </row>
    <row r="62" spans="1:10" ht="15.6">
      <c r="A62" s="24" t="str">
        <v>Burritt Road</v>
      </c>
      <c r="B62" s="25" t="str">
        <v>NY</v>
      </c>
      <c r="C62" s="25" t="str">
        <f>Sites[[#This Row],[SOL'#]]</f>
        <v>SOL-10913</v>
      </c>
      <c r="D62" s="20">
        <f>SUM(Apr!D62,May!D62,Jun!D62)</f>
        <v>0</v>
      </c>
      <c r="E62" s="10">
        <f>SUM(Apr!E62,May!E62,Jun!E62)</f>
        <v>0</v>
      </c>
      <c r="F62" s="10">
        <f t="shared" si="5"/>
        <v>0</v>
      </c>
      <c r="G62" s="11" t="str">
        <f t="shared" si="1"/>
        <v/>
      </c>
      <c r="H62" s="12">
        <f>SUM(Apr!H62,May!H62,Jun!H62)</f>
        <v>0</v>
      </c>
      <c r="I62" s="12">
        <f>SUM(Apr!I62,May!I62,Jun!I62)</f>
        <v>0</v>
      </c>
      <c r="J62" s="13" t="str">
        <f t="shared" si="2"/>
        <v/>
      </c>
    </row>
    <row r="63" spans="1:10" ht="15.6">
      <c r="A63" s="26" t="str">
        <v>Villa Roma 1</v>
      </c>
      <c r="B63" s="27" t="str">
        <v>NY</v>
      </c>
      <c r="C63" s="27" t="str">
        <f>Sites[[#This Row],[SOL'#]]</f>
        <v>SOL-10914</v>
      </c>
      <c r="D63" s="16">
        <f>SUM(Apr!D63,May!D63,Jun!D63)</f>
        <v>0</v>
      </c>
      <c r="E63" s="16">
        <f>SUM(Apr!E63,May!E63,Jun!E63)</f>
        <v>0</v>
      </c>
      <c r="F63" s="14">
        <f t="shared" si="5"/>
        <v>0</v>
      </c>
      <c r="G63" s="15" t="str">
        <f t="shared" si="1"/>
        <v/>
      </c>
      <c r="H63" s="16">
        <f>SUM(Apr!H63,May!H63,Jun!H63)</f>
        <v>0</v>
      </c>
      <c r="I63" s="16">
        <f>SUM(Apr!I63,May!I63,Jun!I63)</f>
        <v>0</v>
      </c>
      <c r="J63" s="15" t="str">
        <f t="shared" si="2"/>
        <v/>
      </c>
    </row>
    <row r="64" spans="1:10" ht="15.6">
      <c r="A64" s="24" t="str">
        <v>Villa Roma 2</v>
      </c>
      <c r="B64" s="25" t="str">
        <v>NY</v>
      </c>
      <c r="C64" s="25" t="str">
        <f>Sites[[#This Row],[SOL'#]]</f>
        <v>SOL-10915</v>
      </c>
      <c r="D64" s="20">
        <f>SUM(Apr!D64,May!D64,Jun!D64)</f>
        <v>0</v>
      </c>
      <c r="E64" s="10">
        <f>SUM(Apr!E64,May!E64,Jun!E64)</f>
        <v>0</v>
      </c>
      <c r="F64" s="10">
        <f t="shared" si="5"/>
        <v>0</v>
      </c>
      <c r="G64" s="11" t="str">
        <f t="shared" si="1"/>
        <v/>
      </c>
      <c r="H64" s="12">
        <f>SUM(Apr!H64,May!H64,Jun!H64)</f>
        <v>0</v>
      </c>
      <c r="I64" s="12">
        <f>SUM(Apr!I64,May!I64,Jun!I64)</f>
        <v>0</v>
      </c>
      <c r="J64" s="13" t="str">
        <f t="shared" si="2"/>
        <v/>
      </c>
    </row>
    <row r="65" spans="1:10" ht="15.6">
      <c r="A65" s="26" t="str">
        <v>Washington 1</v>
      </c>
      <c r="B65" s="27" t="str">
        <v>NY</v>
      </c>
      <c r="C65" s="27" t="str">
        <f>Sites[[#This Row],[SOL'#]]</f>
        <v>SOL-10912</v>
      </c>
      <c r="D65" s="16">
        <f>SUM(Apr!D65,May!D65,Jun!D65)</f>
        <v>0</v>
      </c>
      <c r="E65" s="16">
        <f>SUM(Apr!E65,May!E65,Jun!E65)</f>
        <v>0</v>
      </c>
      <c r="F65" s="14">
        <f t="shared" si="5"/>
        <v>0</v>
      </c>
      <c r="G65" s="15" t="str">
        <f t="shared" si="1"/>
        <v/>
      </c>
      <c r="H65" s="16">
        <f>SUM(Apr!H65,May!H65,Jun!H65)</f>
        <v>0</v>
      </c>
      <c r="I65" s="16">
        <f>SUM(Apr!I65,May!I65,Jun!I65)</f>
        <v>0</v>
      </c>
      <c r="J65" s="15" t="str">
        <f t="shared" si="2"/>
        <v/>
      </c>
    </row>
    <row r="66" spans="1:10" ht="15.6">
      <c r="A66" s="24" t="str">
        <v>Washington 3</v>
      </c>
      <c r="B66" s="25" t="str">
        <v>NY</v>
      </c>
      <c r="C66" s="25" t="str">
        <f>Sites[[#This Row],[SOL'#]]</f>
        <v>SOL-10828</v>
      </c>
      <c r="D66" s="20">
        <f>SUM(Apr!D66,May!D66,Jun!D66)</f>
        <v>0</v>
      </c>
      <c r="E66" s="10">
        <f>SUM(Apr!E66,May!E66,Jun!E66)</f>
        <v>0</v>
      </c>
      <c r="F66" s="10">
        <f t="shared" si="5"/>
        <v>0</v>
      </c>
      <c r="G66" s="11" t="str">
        <f t="shared" si="1"/>
        <v/>
      </c>
      <c r="H66" s="12">
        <f>SUM(Apr!H66,May!H66,Jun!H66)</f>
        <v>0</v>
      </c>
      <c r="I66" s="12">
        <f>SUM(Apr!I66,May!I66,Jun!I66)</f>
        <v>0</v>
      </c>
      <c r="J66" s="13" t="str">
        <f t="shared" si="2"/>
        <v/>
      </c>
    </row>
    <row r="67" spans="1:10" ht="15.6">
      <c r="A67" s="26" t="str">
        <v>Washington 4</v>
      </c>
      <c r="B67" s="27" t="str">
        <v>NY</v>
      </c>
      <c r="C67" s="27" t="str">
        <f>Sites[[#This Row],[SOL'#]]</f>
        <v>SOL-10829</v>
      </c>
      <c r="D67" s="16">
        <f>SUM(Apr!D67,May!D67,Jun!D67)</f>
        <v>0</v>
      </c>
      <c r="E67" s="16">
        <f>SUM(Apr!E67,May!E67,Jun!E67)</f>
        <v>0</v>
      </c>
      <c r="F67" s="14">
        <f t="shared" si="5"/>
        <v>0</v>
      </c>
      <c r="G67" s="15" t="str">
        <f t="shared" si="1"/>
        <v/>
      </c>
      <c r="H67" s="16">
        <f>SUM(Apr!H67,May!H67,Jun!H67)</f>
        <v>0</v>
      </c>
      <c r="I67" s="16">
        <f>SUM(Apr!I67,May!I67,Jun!I67)</f>
        <v>0</v>
      </c>
      <c r="J67" s="15" t="str">
        <f t="shared" si="2"/>
        <v/>
      </c>
    </row>
    <row r="68" spans="1:10" ht="15.6">
      <c r="A68" s="24" t="str">
        <v>Big Tree</v>
      </c>
      <c r="B68" s="25" t="str">
        <v>NY</v>
      </c>
      <c r="C68" s="25" t="str">
        <f>Sites[[#This Row],[SOL'#]]</f>
        <v>SOL-10966</v>
      </c>
      <c r="D68" s="20">
        <f>SUM(Apr!D68,May!D68,Jun!D68)</f>
        <v>0</v>
      </c>
      <c r="E68" s="10">
        <f>SUM(Apr!E68,May!E68,Jun!E68)</f>
        <v>0</v>
      </c>
      <c r="F68" s="10">
        <f t="shared" si="5"/>
        <v>0</v>
      </c>
      <c r="G68" s="11" t="str">
        <f t="shared" si="1"/>
        <v/>
      </c>
      <c r="H68" s="12">
        <f>SUM(Apr!H68,May!H68,Jun!H68)</f>
        <v>0</v>
      </c>
      <c r="I68" s="12">
        <f>SUM(Apr!I68,May!I68,Jun!I68)</f>
        <v>0</v>
      </c>
      <c r="J68" s="13" t="str">
        <f t="shared" si="2"/>
        <v/>
      </c>
    </row>
    <row r="69" spans="1:10" ht="15.6">
      <c r="A69" s="26" t="str">
        <v>Canoga</v>
      </c>
      <c r="B69" s="27" t="str">
        <v>NY</v>
      </c>
      <c r="C69" s="27" t="str">
        <f>Sites[[#This Row],[SOL'#]]</f>
        <v>SOL-10965</v>
      </c>
      <c r="D69" s="16">
        <f>SUM(Apr!D69,May!D69,Jun!D69)</f>
        <v>0</v>
      </c>
      <c r="E69" s="16">
        <f>SUM(Apr!E69,May!E69,Jun!E69)</f>
        <v>0</v>
      </c>
      <c r="F69" s="14">
        <f t="shared" si="5"/>
        <v>0</v>
      </c>
      <c r="G69" s="15" t="str">
        <f t="shared" si="1"/>
        <v/>
      </c>
      <c r="H69" s="16">
        <f>SUM(Apr!H69,May!H69,Jun!H69)</f>
        <v>0</v>
      </c>
      <c r="I69" s="16">
        <f>SUM(Apr!I69,May!I69,Jun!I69)</f>
        <v>0</v>
      </c>
      <c r="J69" s="15" t="str">
        <f t="shared" si="2"/>
        <v/>
      </c>
    </row>
    <row r="70" spans="1:10" ht="15.6">
      <c r="A70" s="24" t="str">
        <v>County Route 84</v>
      </c>
      <c r="B70" s="25" t="str">
        <v>NY</v>
      </c>
      <c r="C70" s="25" t="str">
        <f>Sites[[#This Row],[SOL'#]]</f>
        <v>SOL-10967</v>
      </c>
      <c r="D70" s="20">
        <f>SUM(Apr!D70,May!D70,Jun!D70)</f>
        <v>0</v>
      </c>
      <c r="E70" s="10">
        <f>SUM(Apr!E70,May!E70,Jun!E70)</f>
        <v>0</v>
      </c>
      <c r="F70" s="10">
        <f t="shared" si="5"/>
        <v>0</v>
      </c>
      <c r="G70" s="11" t="str">
        <f t="shared" ref="G70:G133" si="6">IFERROR(F70/E70, "")</f>
        <v/>
      </c>
      <c r="H70" s="12">
        <f>SUM(Apr!H70,May!H70,Jun!H70)</f>
        <v>0</v>
      </c>
      <c r="I70" s="12">
        <f>SUM(Apr!I70,May!I70,Jun!I70)</f>
        <v>0</v>
      </c>
      <c r="J70" s="13" t="str">
        <f t="shared" ref="J70:J133" si="7">IFERROR(I70/H70, "")</f>
        <v/>
      </c>
    </row>
    <row r="71" spans="1:10" ht="15.6">
      <c r="A71" s="26" t="str">
        <v>Donati</v>
      </c>
      <c r="B71" s="27" t="str">
        <v>NY</v>
      </c>
      <c r="C71" s="27" t="str">
        <f>Sites[[#This Row],[SOL'#]]</f>
        <v>SOL-10968</v>
      </c>
      <c r="D71" s="16">
        <f>SUM(Apr!D71,May!D71,Jun!D71)</f>
        <v>0</v>
      </c>
      <c r="E71" s="16">
        <f>SUM(Apr!E71,May!E71,Jun!E71)</f>
        <v>0</v>
      </c>
      <c r="F71" s="14">
        <f t="shared" si="5"/>
        <v>0</v>
      </c>
      <c r="G71" s="15" t="str">
        <f t="shared" si="6"/>
        <v/>
      </c>
      <c r="H71" s="16">
        <f>SUM(Apr!H71,May!H71,Jun!H71)</f>
        <v>0</v>
      </c>
      <c r="I71" s="16">
        <f>SUM(Apr!I71,May!I71,Jun!I71)</f>
        <v>0</v>
      </c>
      <c r="J71" s="15" t="str">
        <f t="shared" si="7"/>
        <v/>
      </c>
    </row>
    <row r="72" spans="1:10" ht="15.6">
      <c r="A72" s="24" t="str">
        <v>Henrietta</v>
      </c>
      <c r="B72" s="25" t="str">
        <v>NY</v>
      </c>
      <c r="C72" s="25" t="str">
        <f>Sites[[#This Row],[SOL'#]]</f>
        <v>SOL-10972</v>
      </c>
      <c r="D72" s="20">
        <f>SUM(Apr!D72,May!D72,Jun!D72)</f>
        <v>0</v>
      </c>
      <c r="E72" s="10">
        <f>SUM(Apr!E72,May!E72,Jun!E72)</f>
        <v>0</v>
      </c>
      <c r="F72" s="10">
        <f t="shared" si="5"/>
        <v>0</v>
      </c>
      <c r="G72" s="11" t="str">
        <f t="shared" si="6"/>
        <v/>
      </c>
      <c r="H72" s="12">
        <f>SUM(Apr!H72,May!H72,Jun!H72)</f>
        <v>0</v>
      </c>
      <c r="I72" s="12">
        <f>SUM(Apr!I72,May!I72,Jun!I72)</f>
        <v>0</v>
      </c>
      <c r="J72" s="13" t="str">
        <f t="shared" si="7"/>
        <v/>
      </c>
    </row>
    <row r="73" spans="1:10" ht="15.6">
      <c r="A73" s="26" t="str">
        <v>NY 70</v>
      </c>
      <c r="B73" s="27" t="str">
        <v>NY</v>
      </c>
      <c r="C73" s="27" t="str">
        <f>Sites[[#This Row],[SOL'#]]</f>
        <v>SOL-10970</v>
      </c>
      <c r="D73" s="16">
        <f>SUM(Apr!D73,May!D73,Jun!D73)</f>
        <v>0</v>
      </c>
      <c r="E73" s="16">
        <f>SUM(Apr!E73,May!E73,Jun!E73)</f>
        <v>0</v>
      </c>
      <c r="F73" s="14">
        <f t="shared" si="5"/>
        <v>0</v>
      </c>
      <c r="G73" s="15" t="str">
        <f t="shared" si="6"/>
        <v/>
      </c>
      <c r="H73" s="16">
        <f>SUM(Apr!H73,May!H73,Jun!H73)</f>
        <v>0</v>
      </c>
      <c r="I73" s="16">
        <f>SUM(Apr!I73,May!I73,Jun!I73)</f>
        <v>0</v>
      </c>
      <c r="J73" s="15" t="str">
        <f t="shared" si="7"/>
        <v/>
      </c>
    </row>
    <row r="74" spans="1:10" ht="15.6">
      <c r="A74" s="24" t="str">
        <v>Reid</v>
      </c>
      <c r="B74" s="25" t="str">
        <v>NY</v>
      </c>
      <c r="C74" s="25" t="str">
        <f>Sites[[#This Row],[SOL'#]]</f>
        <v>SOL-10991</v>
      </c>
      <c r="D74" s="20">
        <f>SUM(Apr!D74,May!D74,Jun!D74)</f>
        <v>0</v>
      </c>
      <c r="E74" s="10">
        <f>SUM(Apr!E74,May!E74,Jun!E74)</f>
        <v>0</v>
      </c>
      <c r="F74" s="10">
        <f t="shared" si="5"/>
        <v>0</v>
      </c>
      <c r="G74" s="11" t="str">
        <f t="shared" si="6"/>
        <v/>
      </c>
      <c r="H74" s="12">
        <f>SUM(Apr!H74,May!H74,Jun!H74)</f>
        <v>0</v>
      </c>
      <c r="I74" s="12">
        <f>SUM(Apr!I74,May!I74,Jun!I74)</f>
        <v>0</v>
      </c>
      <c r="J74" s="13" t="str">
        <f t="shared" si="7"/>
        <v/>
      </c>
    </row>
    <row r="75" spans="1:10" ht="15.6">
      <c r="A75" s="26" t="str">
        <v>Sangolqui</v>
      </c>
      <c r="B75" s="27" t="str">
        <v>NY</v>
      </c>
      <c r="C75" s="27" t="str">
        <f>Sites[[#This Row],[SOL'#]]</f>
        <v>SOL-10975</v>
      </c>
      <c r="D75" s="16">
        <f>SUM(Apr!D75,May!D75,Jun!D75)</f>
        <v>0</v>
      </c>
      <c r="E75" s="16">
        <f>SUM(Apr!E75,May!E75,Jun!E75)</f>
        <v>0</v>
      </c>
      <c r="F75" s="14">
        <f t="shared" si="5"/>
        <v>0</v>
      </c>
      <c r="G75" s="15" t="str">
        <f t="shared" si="6"/>
        <v/>
      </c>
      <c r="H75" s="16">
        <f>SUM(Apr!H75,May!H75,Jun!H75)</f>
        <v>0</v>
      </c>
      <c r="I75" s="16">
        <f>SUM(Apr!I75,May!I75,Jun!I75)</f>
        <v>0</v>
      </c>
      <c r="J75" s="15" t="str">
        <f t="shared" si="7"/>
        <v/>
      </c>
    </row>
    <row r="76" spans="1:10" ht="15.6">
      <c r="A76" s="24" t="str">
        <v>State Highway 17B</v>
      </c>
      <c r="B76" s="25" t="str">
        <v>NY</v>
      </c>
      <c r="C76" s="25" t="str">
        <f>Sites[[#This Row],[SOL'#]]</f>
        <v>SOL-10988</v>
      </c>
      <c r="D76" s="20">
        <f>SUM(Apr!D76,May!D76,Jun!D76)</f>
        <v>0</v>
      </c>
      <c r="E76" s="10">
        <f>SUM(Apr!E76,May!E76,Jun!E76)</f>
        <v>0</v>
      </c>
      <c r="F76" s="10">
        <f t="shared" si="5"/>
        <v>0</v>
      </c>
      <c r="G76" s="11" t="str">
        <f t="shared" si="6"/>
        <v/>
      </c>
      <c r="H76" s="12">
        <f>SUM(Apr!H76,May!H76,Jun!H76)</f>
        <v>0</v>
      </c>
      <c r="I76" s="12">
        <f>SUM(Apr!I76,May!I76,Jun!I76)</f>
        <v>0</v>
      </c>
      <c r="J76" s="13" t="str">
        <f t="shared" si="7"/>
        <v/>
      </c>
    </row>
    <row r="77" spans="1:10" ht="15.6">
      <c r="A77" s="26" t="str">
        <v>State Route 14A</v>
      </c>
      <c r="B77" s="27" t="str">
        <v>NY</v>
      </c>
      <c r="C77" s="27" t="str">
        <f>Sites[[#This Row],[SOL'#]]</f>
        <v>SOL-10997</v>
      </c>
      <c r="D77" s="16">
        <f>SUM(Apr!D77,May!D77,Jun!D77)</f>
        <v>0</v>
      </c>
      <c r="E77" s="16">
        <f>SUM(Apr!E77,May!E77,Jun!E77)</f>
        <v>0</v>
      </c>
      <c r="F77" s="14">
        <f t="shared" si="5"/>
        <v>0</v>
      </c>
      <c r="G77" s="15" t="str">
        <f t="shared" si="6"/>
        <v/>
      </c>
      <c r="H77" s="16">
        <f>SUM(Apr!H77,May!H77,Jun!H77)</f>
        <v>0</v>
      </c>
      <c r="I77" s="16">
        <f>SUM(Apr!I77,May!I77,Jun!I77)</f>
        <v>0</v>
      </c>
      <c r="J77" s="15" t="str">
        <f t="shared" si="7"/>
        <v/>
      </c>
    </row>
    <row r="78" spans="1:10" ht="15.6">
      <c r="A78" s="24" t="str">
        <v>West Creek</v>
      </c>
      <c r="B78" s="25" t="str">
        <v>NY</v>
      </c>
      <c r="C78" s="25" t="str">
        <f>Sites[[#This Row],[SOL'#]]</f>
        <v>SOL-10995</v>
      </c>
      <c r="D78" s="20">
        <f>SUM(Apr!D78,May!D78,Jun!D78)</f>
        <v>0</v>
      </c>
      <c r="E78" s="10">
        <f>SUM(Apr!E78,May!E78,Jun!E78)</f>
        <v>0</v>
      </c>
      <c r="F78" s="10">
        <f t="shared" si="5"/>
        <v>0</v>
      </c>
      <c r="G78" s="11" t="str">
        <f t="shared" si="6"/>
        <v/>
      </c>
      <c r="H78" s="12">
        <f>SUM(Apr!H78,May!H78,Jun!H78)</f>
        <v>0</v>
      </c>
      <c r="I78" s="12">
        <f>SUM(Apr!I78,May!I78,Jun!I78)</f>
        <v>0</v>
      </c>
      <c r="J78" s="13" t="str">
        <f t="shared" si="7"/>
        <v/>
      </c>
    </row>
    <row r="79" spans="1:10" ht="15.6">
      <c r="A79" s="26" t="str">
        <v>Wildflower</v>
      </c>
      <c r="B79" s="27" t="str">
        <v>NY</v>
      </c>
      <c r="C79" s="27" t="str">
        <f>Sites[[#This Row],[SOL'#]]</f>
        <v>SOL-10982</v>
      </c>
      <c r="D79" s="16">
        <f>SUM(Apr!D79,May!D79,Jun!D79)</f>
        <v>0</v>
      </c>
      <c r="E79" s="16">
        <f>SUM(Apr!E79,May!E79,Jun!E79)</f>
        <v>0</v>
      </c>
      <c r="F79" s="14">
        <f t="shared" si="5"/>
        <v>0</v>
      </c>
      <c r="G79" s="15" t="str">
        <f t="shared" si="6"/>
        <v/>
      </c>
      <c r="H79" s="16">
        <f>SUM(Apr!H79,May!H79,Jun!H79)</f>
        <v>0</v>
      </c>
      <c r="I79" s="16">
        <f>SUM(Apr!I79,May!I79,Jun!I79)</f>
        <v>0</v>
      </c>
      <c r="J79" s="15" t="str">
        <f t="shared" si="7"/>
        <v/>
      </c>
    </row>
    <row r="80" spans="1:10" ht="15.6">
      <c r="A80" s="24" t="str">
        <v>Glen Mary 1</v>
      </c>
      <c r="B80" s="25" t="str">
        <v>NY</v>
      </c>
      <c r="C80" s="25" t="str">
        <f>Sites[[#This Row],[SOL'#]]</f>
        <v>SOL-10993</v>
      </c>
      <c r="D80" s="20">
        <f>SUM(Apr!D80,May!D80,Jun!D80)</f>
        <v>0</v>
      </c>
      <c r="E80" s="10">
        <f>SUM(Apr!E80,May!E80,Jun!E80)</f>
        <v>0</v>
      </c>
      <c r="F80" s="10">
        <f t="shared" si="5"/>
        <v>0</v>
      </c>
      <c r="G80" s="11" t="str">
        <f t="shared" si="6"/>
        <v/>
      </c>
      <c r="H80" s="12">
        <f>SUM(Apr!H80,May!H80,Jun!H80)</f>
        <v>0</v>
      </c>
      <c r="I80" s="12">
        <f>SUM(Apr!I80,May!I80,Jun!I80)</f>
        <v>0</v>
      </c>
      <c r="J80" s="13" t="str">
        <f t="shared" si="7"/>
        <v/>
      </c>
    </row>
    <row r="81" spans="1:10" ht="15.6">
      <c r="A81" s="26" t="str">
        <v>Glen Mary 2</v>
      </c>
      <c r="B81" s="27" t="str">
        <v>NY</v>
      </c>
      <c r="C81" s="27" t="str">
        <f>Sites[[#This Row],[SOL'#]]</f>
        <v>SOL-10994</v>
      </c>
      <c r="D81" s="16">
        <f>SUM(Apr!D81,May!D81,Jun!D81)</f>
        <v>0</v>
      </c>
      <c r="E81" s="16">
        <f>SUM(Apr!E81,May!E81,Jun!E81)</f>
        <v>0</v>
      </c>
      <c r="F81" s="14">
        <f t="shared" si="5"/>
        <v>0</v>
      </c>
      <c r="G81" s="15" t="str">
        <f t="shared" si="6"/>
        <v/>
      </c>
      <c r="H81" s="16">
        <f>SUM(Apr!H81,May!H81,Jun!H81)</f>
        <v>0</v>
      </c>
      <c r="I81" s="16">
        <f>SUM(Apr!I81,May!I81,Jun!I81)</f>
        <v>0</v>
      </c>
      <c r="J81" s="15" t="str">
        <f t="shared" si="7"/>
        <v/>
      </c>
    </row>
    <row r="82" spans="1:10" ht="15.6">
      <c r="A82" s="24" t="str">
        <v>Telegraph 1</v>
      </c>
      <c r="B82" s="25" t="str">
        <v>NY</v>
      </c>
      <c r="C82" s="25" t="str">
        <f>Sites[[#This Row],[SOL'#]]</f>
        <v>SOL-11003</v>
      </c>
      <c r="D82" s="20">
        <f>SUM(Apr!D82,May!D82,Jun!D82)</f>
        <v>0</v>
      </c>
      <c r="E82" s="10">
        <f>SUM(Apr!E82,May!E82,Jun!E82)</f>
        <v>0</v>
      </c>
      <c r="F82" s="10">
        <f t="shared" ref="F82:F113" si="8">IF(AND(ISNUMBER(D82),ISNUMBER(E82)), D82-E82, "")</f>
        <v>0</v>
      </c>
      <c r="G82" s="11" t="str">
        <f t="shared" si="6"/>
        <v/>
      </c>
      <c r="H82" s="12">
        <f>SUM(Apr!H82,May!H82,Jun!H82)</f>
        <v>0</v>
      </c>
      <c r="I82" s="12">
        <f>SUM(Apr!I82,May!I82,Jun!I82)</f>
        <v>0</v>
      </c>
      <c r="J82" s="13" t="str">
        <f t="shared" si="7"/>
        <v/>
      </c>
    </row>
    <row r="83" spans="1:10" ht="15.6">
      <c r="A83" s="26" t="str">
        <v>Telegraph 2</v>
      </c>
      <c r="B83" s="27" t="str">
        <v>NY</v>
      </c>
      <c r="C83" s="27" t="str">
        <f>Sites[[#This Row],[SOL'#]]</f>
        <v>SOL-11004</v>
      </c>
      <c r="D83" s="16">
        <f>SUM(Apr!D83,May!D83,Jun!D83)</f>
        <v>0</v>
      </c>
      <c r="E83" s="16">
        <f>SUM(Apr!E83,May!E83,Jun!E83)</f>
        <v>0</v>
      </c>
      <c r="F83" s="14">
        <f t="shared" si="8"/>
        <v>0</v>
      </c>
      <c r="G83" s="15" t="str">
        <f t="shared" si="6"/>
        <v/>
      </c>
      <c r="H83" s="16">
        <f>SUM(Apr!H83,May!H83,Jun!H83)</f>
        <v>0</v>
      </c>
      <c r="I83" s="16">
        <f>SUM(Apr!I83,May!I83,Jun!I83)</f>
        <v>0</v>
      </c>
      <c r="J83" s="15" t="str">
        <f t="shared" si="7"/>
        <v/>
      </c>
    </row>
    <row r="84" spans="1:10" ht="15.6">
      <c r="A84" s="24" t="str">
        <v>Cafferty Hill</v>
      </c>
      <c r="B84" s="25" t="str">
        <v>NY</v>
      </c>
      <c r="C84" s="25" t="str">
        <f>Sites[[#This Row],[SOL'#]]</f>
        <v>SOL-10996</v>
      </c>
      <c r="D84" s="20">
        <f>SUM(Apr!D84,May!D84,Jun!D84)</f>
        <v>0</v>
      </c>
      <c r="E84" s="10">
        <f>SUM(Apr!E84,May!E84,Jun!E84)</f>
        <v>0</v>
      </c>
      <c r="F84" s="10">
        <f t="shared" si="8"/>
        <v>0</v>
      </c>
      <c r="G84" s="11" t="str">
        <f t="shared" si="6"/>
        <v/>
      </c>
      <c r="H84" s="12">
        <f>SUM(Apr!H84,May!H84,Jun!H84)</f>
        <v>0</v>
      </c>
      <c r="I84" s="12">
        <f>SUM(Apr!I84,May!I84,Jun!I84)</f>
        <v>0</v>
      </c>
      <c r="J84" s="13" t="str">
        <f t="shared" si="7"/>
        <v/>
      </c>
    </row>
    <row r="85" spans="1:10" ht="15.6">
      <c r="A85" s="26" t="str">
        <v>Dunkleman</v>
      </c>
      <c r="B85" s="27" t="str">
        <v>NY</v>
      </c>
      <c r="C85" s="27" t="str">
        <f>Sites[[#This Row],[SOL'#]]</f>
        <v>SOL-11008</v>
      </c>
      <c r="D85" s="16">
        <f>SUM(Apr!D85,May!D85,Jun!D85)</f>
        <v>0</v>
      </c>
      <c r="E85" s="16">
        <f>SUM(Apr!E85,May!E85,Jun!E85)</f>
        <v>0</v>
      </c>
      <c r="F85" s="14">
        <f t="shared" si="8"/>
        <v>0</v>
      </c>
      <c r="G85" s="15" t="str">
        <f t="shared" si="6"/>
        <v/>
      </c>
      <c r="H85" s="16">
        <f>SUM(Apr!H85,May!H85,Jun!H85)</f>
        <v>0</v>
      </c>
      <c r="I85" s="16">
        <f>SUM(Apr!I85,May!I85,Jun!I85)</f>
        <v>0</v>
      </c>
      <c r="J85" s="15" t="str">
        <f t="shared" si="7"/>
        <v/>
      </c>
    </row>
    <row r="86" spans="1:10" ht="15.6">
      <c r="A86" s="24" t="str">
        <v>Route 19 1</v>
      </c>
      <c r="B86" s="25" t="str">
        <v>NY</v>
      </c>
      <c r="C86" s="25" t="str">
        <f>Sites[[#This Row],[SOL'#]]</f>
        <v>SOL-11001</v>
      </c>
      <c r="D86" s="20">
        <f>SUM(Apr!D86,May!D86,Jun!D86)</f>
        <v>0</v>
      </c>
      <c r="E86" s="10">
        <f>SUM(Apr!E86,May!E86,Jun!E86)</f>
        <v>0</v>
      </c>
      <c r="F86" s="10">
        <f t="shared" si="8"/>
        <v>0</v>
      </c>
      <c r="G86" s="11" t="str">
        <f t="shared" si="6"/>
        <v/>
      </c>
      <c r="H86" s="12">
        <f>SUM(Apr!H86,May!H86,Jun!H86)</f>
        <v>0</v>
      </c>
      <c r="I86" s="12">
        <f>SUM(Apr!I86,May!I86,Jun!I86)</f>
        <v>0</v>
      </c>
      <c r="J86" s="13" t="str">
        <f t="shared" si="7"/>
        <v/>
      </c>
    </row>
    <row r="87" spans="1:10" ht="15.6">
      <c r="A87" s="26" t="str">
        <v>Route 19 2</v>
      </c>
      <c r="B87" s="27" t="str">
        <v>NY</v>
      </c>
      <c r="C87" s="27" t="str">
        <f>Sites[[#This Row],[SOL'#]]</f>
        <v>SOL-11002</v>
      </c>
      <c r="D87" s="16">
        <f>SUM(Apr!D87,May!D87,Jun!D87)</f>
        <v>0</v>
      </c>
      <c r="E87" s="16">
        <f>SUM(Apr!E87,May!E87,Jun!E87)</f>
        <v>0</v>
      </c>
      <c r="F87" s="14">
        <f t="shared" si="8"/>
        <v>0</v>
      </c>
      <c r="G87" s="15" t="str">
        <f t="shared" si="6"/>
        <v/>
      </c>
      <c r="H87" s="16">
        <f>SUM(Apr!H87,May!H87,Jun!H87)</f>
        <v>0</v>
      </c>
      <c r="I87" s="16">
        <f>SUM(Apr!I87,May!I87,Jun!I87)</f>
        <v>0</v>
      </c>
      <c r="J87" s="15" t="str">
        <f t="shared" si="7"/>
        <v/>
      </c>
    </row>
    <row r="88" spans="1:10" ht="15.6">
      <c r="A88" s="24" t="str">
        <v>Yellow Mills 1</v>
      </c>
      <c r="B88" s="25" t="str">
        <v>NY</v>
      </c>
      <c r="C88" s="25" t="str">
        <f>Sites[[#This Row],[SOL'#]]</f>
        <v>SOL-11006</v>
      </c>
      <c r="D88" s="20">
        <f>SUM(Apr!D88,May!D88,Jun!D88)</f>
        <v>0</v>
      </c>
      <c r="E88" s="10">
        <f>SUM(Apr!E88,May!E88,Jun!E88)</f>
        <v>0</v>
      </c>
      <c r="F88" s="10">
        <f t="shared" si="8"/>
        <v>0</v>
      </c>
      <c r="G88" s="11" t="str">
        <f t="shared" si="6"/>
        <v/>
      </c>
      <c r="H88" s="12">
        <f>SUM(Apr!H88,May!H88,Jun!H88)</f>
        <v>0</v>
      </c>
      <c r="I88" s="12">
        <f>SUM(Apr!I88,May!I88,Jun!I88)</f>
        <v>0</v>
      </c>
      <c r="J88" s="13" t="str">
        <f t="shared" si="7"/>
        <v/>
      </c>
    </row>
    <row r="89" spans="1:10" ht="15.6">
      <c r="A89" s="26" t="str">
        <v>Yellow Mills 2</v>
      </c>
      <c r="B89" s="27" t="str">
        <v>NY</v>
      </c>
      <c r="C89" s="27" t="str">
        <f>Sites[[#This Row],[SOL'#]]</f>
        <v>SOL-11005</v>
      </c>
      <c r="D89" s="16">
        <f>SUM(Apr!D89,May!D89,Jun!D89)</f>
        <v>0</v>
      </c>
      <c r="E89" s="16">
        <f>SUM(Apr!E89,May!E89,Jun!E89)</f>
        <v>0</v>
      </c>
      <c r="F89" s="14">
        <f t="shared" si="8"/>
        <v>0</v>
      </c>
      <c r="G89" s="15" t="str">
        <f t="shared" si="6"/>
        <v/>
      </c>
      <c r="H89" s="16">
        <f>SUM(Apr!H89,May!H89,Jun!H89)</f>
        <v>0</v>
      </c>
      <c r="I89" s="16">
        <f>SUM(Apr!I89,May!I89,Jun!I89)</f>
        <v>0</v>
      </c>
      <c r="J89" s="15" t="str">
        <f t="shared" si="7"/>
        <v/>
      </c>
    </row>
    <row r="90" spans="1:10" ht="15.6">
      <c r="A90" s="24" t="str">
        <v>Yellow Mills 3</v>
      </c>
      <c r="B90" s="25" t="str">
        <v>NY</v>
      </c>
      <c r="C90" s="25" t="str">
        <f>Sites[[#This Row],[SOL'#]]</f>
        <v>SOL-11007</v>
      </c>
      <c r="D90" s="20">
        <f>SUM(Apr!D90,May!D90,Jun!D90)</f>
        <v>0</v>
      </c>
      <c r="E90" s="10">
        <f>SUM(Apr!E90,May!E90,Jun!E90)</f>
        <v>0</v>
      </c>
      <c r="F90" s="10">
        <f t="shared" si="8"/>
        <v>0</v>
      </c>
      <c r="G90" s="11" t="str">
        <f t="shared" si="6"/>
        <v/>
      </c>
      <c r="H90" s="12">
        <f>SUM(Apr!H90,May!H90,Jun!H90)</f>
        <v>0</v>
      </c>
      <c r="I90" s="12">
        <f>SUM(Apr!I90,May!I90,Jun!I90)</f>
        <v>0</v>
      </c>
      <c r="J90" s="13" t="str">
        <f t="shared" si="7"/>
        <v/>
      </c>
    </row>
    <row r="91" spans="1:10" ht="15.6">
      <c r="A91" s="26" t="str">
        <v>Catskill</v>
      </c>
      <c r="B91" s="27" t="str">
        <v>NY</v>
      </c>
      <c r="C91" s="27" t="str">
        <f>Sites[[#This Row],[SOL'#]]</f>
        <v>SOL-11021</v>
      </c>
      <c r="D91" s="16">
        <f>SUM(Apr!D91,May!D91,Jun!D91)</f>
        <v>0</v>
      </c>
      <c r="E91" s="16">
        <f>SUM(Apr!E91,May!E91,Jun!E91)</f>
        <v>0</v>
      </c>
      <c r="F91" s="14">
        <f t="shared" si="8"/>
        <v>0</v>
      </c>
      <c r="G91" s="15" t="str">
        <f t="shared" si="6"/>
        <v/>
      </c>
      <c r="H91" s="16">
        <f>SUM(Apr!H91,May!H91,Jun!H91)</f>
        <v>0</v>
      </c>
      <c r="I91" s="16">
        <f>SUM(Apr!I91,May!I91,Jun!I91)</f>
        <v>0</v>
      </c>
      <c r="J91" s="15" t="str">
        <f t="shared" si="7"/>
        <v/>
      </c>
    </row>
    <row r="92" spans="1:10" ht="15.6">
      <c r="A92" s="24" t="str">
        <v>Eddy Ridge</v>
      </c>
      <c r="B92" s="25" t="str">
        <v>NY</v>
      </c>
      <c r="C92" s="25" t="str">
        <f>Sites[[#This Row],[SOL'#]]</f>
        <v>SOL-11054</v>
      </c>
      <c r="D92" s="20">
        <f>SUM(Apr!D92,May!D92,Jun!D92)</f>
        <v>0</v>
      </c>
      <c r="E92" s="10">
        <f>SUM(Apr!E92,May!E92,Jun!E92)</f>
        <v>0</v>
      </c>
      <c r="F92" s="10">
        <f t="shared" si="8"/>
        <v>0</v>
      </c>
      <c r="G92" s="11" t="str">
        <f t="shared" si="6"/>
        <v/>
      </c>
      <c r="H92" s="12">
        <f>SUM(Apr!H92,May!H92,Jun!H92)</f>
        <v>0</v>
      </c>
      <c r="I92" s="12">
        <f>SUM(Apr!I92,May!I92,Jun!I92)</f>
        <v>0</v>
      </c>
      <c r="J92" s="13" t="str">
        <f t="shared" si="7"/>
        <v/>
      </c>
    </row>
    <row r="93" spans="1:10" ht="15.6">
      <c r="A93" s="26" t="str">
        <v>Ridgeway #1</v>
      </c>
      <c r="B93" s="27" t="str">
        <v>NY</v>
      </c>
      <c r="C93" s="27" t="str">
        <f>Sites[[#This Row],[SOL'#]]</f>
        <v>SOL-11018</v>
      </c>
      <c r="D93" s="16">
        <f>SUM(Apr!D93,May!D93,Jun!D93)</f>
        <v>0</v>
      </c>
      <c r="E93" s="16">
        <f>SUM(Apr!E93,May!E93,Jun!E93)</f>
        <v>0</v>
      </c>
      <c r="F93" s="14">
        <f t="shared" si="8"/>
        <v>0</v>
      </c>
      <c r="G93" s="15" t="str">
        <f t="shared" si="6"/>
        <v/>
      </c>
      <c r="H93" s="16">
        <f>SUM(Apr!H93,May!H93,Jun!H93)</f>
        <v>0</v>
      </c>
      <c r="I93" s="16">
        <f>SUM(Apr!I93,May!I93,Jun!I93)</f>
        <v>0</v>
      </c>
      <c r="J93" s="15" t="str">
        <f t="shared" si="7"/>
        <v/>
      </c>
    </row>
    <row r="94" spans="1:10" ht="15.6">
      <c r="A94" s="24" t="str">
        <v>Rivard 1</v>
      </c>
      <c r="B94" s="25" t="str">
        <v>NY</v>
      </c>
      <c r="C94" s="25" t="str">
        <f>Sites[[#This Row],[SOL'#]]</f>
        <v>SOL-11011</v>
      </c>
      <c r="D94" s="20">
        <f>SUM(Apr!D94,May!D94,Jun!D94)</f>
        <v>0</v>
      </c>
      <c r="E94" s="10">
        <f>SUM(Apr!E94,May!E94,Jun!E94)</f>
        <v>0</v>
      </c>
      <c r="F94" s="10">
        <f t="shared" si="8"/>
        <v>0</v>
      </c>
      <c r="G94" s="11" t="str">
        <f t="shared" si="6"/>
        <v/>
      </c>
      <c r="H94" s="12">
        <f>SUM(Apr!H94,May!H94,Jun!H94)</f>
        <v>0</v>
      </c>
      <c r="I94" s="12">
        <f>SUM(Apr!I94,May!I94,Jun!I94)</f>
        <v>0</v>
      </c>
      <c r="J94" s="13" t="str">
        <f t="shared" si="7"/>
        <v/>
      </c>
    </row>
    <row r="95" spans="1:10" ht="15.6">
      <c r="A95" s="26" t="str">
        <v>Rivard 2</v>
      </c>
      <c r="B95" s="27" t="str">
        <v>NY</v>
      </c>
      <c r="C95" s="27" t="str">
        <f>Sites[[#This Row],[SOL'#]]</f>
        <v>SOL-11012</v>
      </c>
      <c r="D95" s="16">
        <f>SUM(Apr!D95,May!D95,Jun!D95)</f>
        <v>0</v>
      </c>
      <c r="E95" s="16">
        <f>SUM(Apr!E95,May!E95,Jun!E95)</f>
        <v>0</v>
      </c>
      <c r="F95" s="14">
        <f t="shared" si="8"/>
        <v>0</v>
      </c>
      <c r="G95" s="15" t="str">
        <f t="shared" si="6"/>
        <v/>
      </c>
      <c r="H95" s="16">
        <f>SUM(Apr!H95,May!H95,Jun!H95)</f>
        <v>0</v>
      </c>
      <c r="I95" s="16">
        <f>SUM(Apr!I95,May!I95,Jun!I95)</f>
        <v>0</v>
      </c>
      <c r="J95" s="15" t="str">
        <f t="shared" si="7"/>
        <v/>
      </c>
    </row>
    <row r="96" spans="1:10" ht="15.6">
      <c r="A96" s="24" t="str">
        <v>Ridgeway #2</v>
      </c>
      <c r="B96" s="25" t="str">
        <v>NY</v>
      </c>
      <c r="C96" s="25" t="str">
        <f>Sites[[#This Row],[SOL'#]]</f>
        <v>SOL-11027</v>
      </c>
      <c r="D96" s="20">
        <f>SUM(Apr!D96,May!D96,Jun!D96)</f>
        <v>0</v>
      </c>
      <c r="E96" s="10">
        <f>SUM(Apr!E96,May!E96,Jun!E96)</f>
        <v>0</v>
      </c>
      <c r="F96" s="10">
        <f t="shared" si="8"/>
        <v>0</v>
      </c>
      <c r="G96" s="11" t="str">
        <f t="shared" si="6"/>
        <v/>
      </c>
      <c r="H96" s="12">
        <f>SUM(Apr!H96,May!H96,Jun!H96)</f>
        <v>0</v>
      </c>
      <c r="I96" s="12">
        <f>SUM(Apr!I96,May!I96,Jun!I96)</f>
        <v>0</v>
      </c>
      <c r="J96" s="13" t="str">
        <f t="shared" si="7"/>
        <v/>
      </c>
    </row>
    <row r="97" spans="1:10" ht="15.6">
      <c r="A97" s="26" t="str">
        <v>Spencer</v>
      </c>
      <c r="B97" s="27" t="str">
        <v>NY</v>
      </c>
      <c r="C97" s="27" t="str">
        <f>Sites[[#This Row],[SOL'#]]</f>
        <v>SOL-11017</v>
      </c>
      <c r="D97" s="16">
        <f>SUM(Apr!D97,May!D97,Jun!D97)</f>
        <v>0</v>
      </c>
      <c r="E97" s="16">
        <f>SUM(Apr!E97,May!E97,Jun!E97)</f>
        <v>0</v>
      </c>
      <c r="F97" s="14">
        <f t="shared" si="8"/>
        <v>0</v>
      </c>
      <c r="G97" s="15" t="str">
        <f t="shared" si="6"/>
        <v/>
      </c>
      <c r="H97" s="16">
        <f>SUM(Apr!H97,May!H97,Jun!H97)</f>
        <v>0</v>
      </c>
      <c r="I97" s="16">
        <f>SUM(Apr!I97,May!I97,Jun!I97)</f>
        <v>0</v>
      </c>
      <c r="J97" s="15" t="str">
        <f t="shared" si="7"/>
        <v/>
      </c>
    </row>
    <row r="98" spans="1:10" ht="15.6">
      <c r="A98" s="24" t="str">
        <v>Reisender</v>
      </c>
      <c r="B98" s="25" t="str">
        <v>NY</v>
      </c>
      <c r="C98" s="25" t="str">
        <f>Sites[[#This Row],[SOL'#]]</f>
        <v>SOL-10886</v>
      </c>
      <c r="D98" s="20">
        <f>SUM(Apr!D98,May!D98,Jun!D98)</f>
        <v>0</v>
      </c>
      <c r="E98" s="10">
        <f>SUM(Apr!E98,May!E98,Jun!E98)</f>
        <v>0</v>
      </c>
      <c r="F98" s="10">
        <f t="shared" si="8"/>
        <v>0</v>
      </c>
      <c r="G98" s="11" t="str">
        <f t="shared" si="6"/>
        <v/>
      </c>
      <c r="H98" s="12">
        <f>SUM(Apr!H98,May!H98,Jun!H98)</f>
        <v>0</v>
      </c>
      <c r="I98" s="12">
        <f>SUM(Apr!I98,May!I98,Jun!I98)</f>
        <v>0</v>
      </c>
      <c r="J98" s="13" t="str">
        <f t="shared" si="7"/>
        <v/>
      </c>
    </row>
    <row r="99" spans="1:10" ht="15.6">
      <c r="A99" s="26" t="str">
        <v>Finney</v>
      </c>
      <c r="B99" s="27" t="str">
        <v>NY</v>
      </c>
      <c r="C99" s="27" t="str">
        <f>Sites[[#This Row],[SOL'#]]</f>
        <v>SOL-10999</v>
      </c>
      <c r="D99" s="16">
        <f>SUM(Apr!D99,May!D99,Jun!D99)</f>
        <v>0</v>
      </c>
      <c r="E99" s="16">
        <f>SUM(Apr!E99,May!E99,Jun!E99)</f>
        <v>0</v>
      </c>
      <c r="F99" s="14">
        <f t="shared" si="8"/>
        <v>0</v>
      </c>
      <c r="G99" s="15" t="str">
        <f t="shared" si="6"/>
        <v/>
      </c>
      <c r="H99" s="16">
        <f>SUM(Apr!H99,May!H99,Jun!H99)</f>
        <v>0</v>
      </c>
      <c r="I99" s="16">
        <f>SUM(Apr!I99,May!I99,Jun!I99)</f>
        <v>0</v>
      </c>
      <c r="J99" s="15" t="str">
        <f t="shared" si="7"/>
        <v/>
      </c>
    </row>
    <row r="100" spans="1:10" ht="15.6">
      <c r="A100" s="24" t="str">
        <v>Davis Solar</v>
      </c>
      <c r="B100" s="25" t="str">
        <v>NY</v>
      </c>
      <c r="C100" s="25" t="str">
        <f>Sites[[#This Row],[SOL'#]]</f>
        <v>SOL-10958</v>
      </c>
      <c r="D100" s="20">
        <f>SUM(Apr!D100,May!D100,Jun!D100)</f>
        <v>0</v>
      </c>
      <c r="E100" s="10">
        <f>SUM(Apr!E100,May!E100,Jun!E100)</f>
        <v>0</v>
      </c>
      <c r="F100" s="10">
        <f t="shared" si="8"/>
        <v>0</v>
      </c>
      <c r="G100" s="11" t="str">
        <f t="shared" si="6"/>
        <v/>
      </c>
      <c r="H100" s="12">
        <f>SUM(Apr!H100,May!H100,Jun!H100)</f>
        <v>0</v>
      </c>
      <c r="I100" s="12">
        <f>SUM(Apr!I100,May!I100,Jun!I100)</f>
        <v>0</v>
      </c>
      <c r="J100" s="13" t="str">
        <f t="shared" si="7"/>
        <v/>
      </c>
    </row>
    <row r="101" spans="1:10" ht="15.6">
      <c r="A101" s="26" t="str">
        <v>Genesee</v>
      </c>
      <c r="B101" s="27" t="str">
        <v>NY</v>
      </c>
      <c r="C101" s="27" t="str">
        <f>Sites[[#This Row],[SOL'#]]</f>
        <v>SOL-10951</v>
      </c>
      <c r="D101" s="16">
        <f>SUM(Apr!D101,May!D101,Jun!D101)</f>
        <v>0</v>
      </c>
      <c r="E101" s="16">
        <f>SUM(Apr!E101,May!E101,Jun!E101)</f>
        <v>0</v>
      </c>
      <c r="F101" s="14">
        <f t="shared" si="8"/>
        <v>0</v>
      </c>
      <c r="G101" s="15" t="str">
        <f t="shared" si="6"/>
        <v/>
      </c>
      <c r="H101" s="16">
        <f>SUM(Apr!H101,May!H101,Jun!H101)</f>
        <v>0</v>
      </c>
      <c r="I101" s="16">
        <f>SUM(Apr!I101,May!I101,Jun!I101)</f>
        <v>0</v>
      </c>
      <c r="J101" s="15" t="str">
        <f t="shared" si="7"/>
        <v/>
      </c>
    </row>
    <row r="102" spans="1:10" ht="15.6">
      <c r="A102" s="24" t="str">
        <v>Landau I</v>
      </c>
      <c r="B102" s="25" t="str">
        <v>NY</v>
      </c>
      <c r="C102" s="25" t="str">
        <f>Sites[[#This Row],[SOL'#]]</f>
        <v>SOL-10891</v>
      </c>
      <c r="D102" s="20">
        <f>SUM(Apr!D102,May!D102,Jun!D102)</f>
        <v>0</v>
      </c>
      <c r="E102" s="10">
        <f>SUM(Apr!E102,May!E102,Jun!E102)</f>
        <v>0</v>
      </c>
      <c r="F102" s="10">
        <f t="shared" si="8"/>
        <v>0</v>
      </c>
      <c r="G102" s="11" t="str">
        <f t="shared" si="6"/>
        <v/>
      </c>
      <c r="H102" s="12">
        <f>SUM(Apr!H102,May!H102,Jun!H102)</f>
        <v>0</v>
      </c>
      <c r="I102" s="12">
        <f>SUM(Apr!I102,May!I102,Jun!I102)</f>
        <v>0</v>
      </c>
      <c r="J102" s="13" t="str">
        <f t="shared" si="7"/>
        <v/>
      </c>
    </row>
    <row r="103" spans="1:10" ht="15.6">
      <c r="A103" s="26" t="str">
        <v>Landau II</v>
      </c>
      <c r="B103" s="27" t="str">
        <v>NY</v>
      </c>
      <c r="C103" s="27" t="str">
        <f>Sites[[#This Row],[SOL'#]]</f>
        <v>SOL-10895</v>
      </c>
      <c r="D103" s="16">
        <f>SUM(Apr!D103,May!D103,Jun!D103)</f>
        <v>0</v>
      </c>
      <c r="E103" s="16">
        <f>SUM(Apr!E103,May!E103,Jun!E103)</f>
        <v>0</v>
      </c>
      <c r="F103" s="14">
        <f t="shared" si="8"/>
        <v>0</v>
      </c>
      <c r="G103" s="15" t="str">
        <f t="shared" si="6"/>
        <v/>
      </c>
      <c r="H103" s="16">
        <f>SUM(Apr!H103,May!H103,Jun!H103)</f>
        <v>0</v>
      </c>
      <c r="I103" s="16">
        <f>SUM(Apr!I103,May!I103,Jun!I103)</f>
        <v>0</v>
      </c>
      <c r="J103" s="15" t="str">
        <f t="shared" si="7"/>
        <v/>
      </c>
    </row>
    <row r="104" spans="1:10" ht="15.6">
      <c r="A104" s="24" t="str">
        <v>New Beginnings</v>
      </c>
      <c r="B104" s="25" t="str">
        <v>NY</v>
      </c>
      <c r="C104" s="25" t="str">
        <f>Sites[[#This Row],[SOL'#]]</f>
        <v>SOL-10890</v>
      </c>
      <c r="D104" s="20">
        <f>SUM(Apr!D104,May!D104,Jun!D104)</f>
        <v>0</v>
      </c>
      <c r="E104" s="10">
        <f>SUM(Apr!E104,May!E104,Jun!E104)</f>
        <v>0</v>
      </c>
      <c r="F104" s="10">
        <f t="shared" si="8"/>
        <v>0</v>
      </c>
      <c r="G104" s="11" t="str">
        <f t="shared" si="6"/>
        <v/>
      </c>
      <c r="H104" s="12">
        <f>SUM(Apr!H104,May!H104,Jun!H104)</f>
        <v>0</v>
      </c>
      <c r="I104" s="12">
        <f>SUM(Apr!I104,May!I104,Jun!I104)</f>
        <v>0</v>
      </c>
      <c r="J104" s="13" t="str">
        <f t="shared" si="7"/>
        <v/>
      </c>
    </row>
    <row r="105" spans="1:10" ht="15.6">
      <c r="A105" s="26" t="str">
        <v>Bullitt Farm Solar, LLC</v>
      </c>
      <c r="B105" s="27" t="str">
        <v>NY</v>
      </c>
      <c r="C105" s="27" t="str">
        <f>Sites[[#This Row],[SOL'#]]</f>
        <v>SOL-10998</v>
      </c>
      <c r="D105" s="16">
        <f>SUM(Apr!D105,May!D105,Jun!D105)</f>
        <v>0</v>
      </c>
      <c r="E105" s="16">
        <f>SUM(Apr!E105,May!E105,Jun!E105)</f>
        <v>0</v>
      </c>
      <c r="F105" s="14">
        <f t="shared" si="8"/>
        <v>0</v>
      </c>
      <c r="G105" s="15" t="str">
        <f t="shared" si="6"/>
        <v/>
      </c>
      <c r="H105" s="16">
        <f>SUM(Apr!H105,May!H105,Jun!H105)</f>
        <v>0</v>
      </c>
      <c r="I105" s="16">
        <f>SUM(Apr!I105,May!I105,Jun!I105)</f>
        <v>0</v>
      </c>
      <c r="J105" s="15" t="str">
        <f t="shared" si="7"/>
        <v/>
      </c>
    </row>
    <row r="106" spans="1:10" ht="15.6">
      <c r="A106" s="24" t="str">
        <v>Brodhead Solar, LLC</v>
      </c>
      <c r="B106" s="25" t="str">
        <v>NY</v>
      </c>
      <c r="C106" s="25" t="str">
        <f>Sites[[#This Row],[SOL'#]]</f>
        <v>SOL-10899</v>
      </c>
      <c r="D106" s="20">
        <f>SUM(Apr!D106,May!D106,Jun!D106)</f>
        <v>0</v>
      </c>
      <c r="E106" s="10">
        <f>SUM(Apr!E106,May!E106,Jun!E106)</f>
        <v>0</v>
      </c>
      <c r="F106" s="10">
        <f t="shared" si="8"/>
        <v>0</v>
      </c>
      <c r="G106" s="11" t="str">
        <f t="shared" si="6"/>
        <v/>
      </c>
      <c r="H106" s="12">
        <f>SUM(Apr!H106,May!H106,Jun!H106)</f>
        <v>0</v>
      </c>
      <c r="I106" s="12">
        <f>SUM(Apr!I106,May!I106,Jun!I106)</f>
        <v>0</v>
      </c>
      <c r="J106" s="13" t="str">
        <f t="shared" si="7"/>
        <v/>
      </c>
    </row>
    <row r="107" spans="1:10" ht="15.6">
      <c r="A107" s="26" t="str">
        <v>Svenski</v>
      </c>
      <c r="B107" s="27" t="str">
        <v>NY</v>
      </c>
      <c r="C107" s="27" t="str">
        <f>Sites[[#This Row],[SOL'#]]</f>
        <v>SOL-10894</v>
      </c>
      <c r="D107" s="16">
        <f>SUM(Apr!D107,May!D107,Jun!D107)</f>
        <v>0</v>
      </c>
      <c r="E107" s="16">
        <f>SUM(Apr!E107,May!E107,Jun!E107)</f>
        <v>0</v>
      </c>
      <c r="F107" s="14">
        <f t="shared" si="8"/>
        <v>0</v>
      </c>
      <c r="G107" s="15" t="str">
        <f t="shared" si="6"/>
        <v/>
      </c>
      <c r="H107" s="16">
        <f>SUM(Apr!H107,May!H107,Jun!H107)</f>
        <v>0</v>
      </c>
      <c r="I107" s="16">
        <f>SUM(Apr!I107,May!I107,Jun!I107)</f>
        <v>0</v>
      </c>
      <c r="J107" s="15" t="str">
        <f t="shared" si="7"/>
        <v/>
      </c>
    </row>
    <row r="108" spans="1:10" ht="15.6">
      <c r="A108" s="24" t="str">
        <v>Bantam</v>
      </c>
      <c r="B108" s="25" t="str">
        <v>NY</v>
      </c>
      <c r="C108" s="25" t="str">
        <f>Sites[[#This Row],[SOL'#]]</f>
        <v>SOL-10986</v>
      </c>
      <c r="D108" s="20">
        <f>SUM(Apr!D108,May!D108,Jun!D108)</f>
        <v>0</v>
      </c>
      <c r="E108" s="10">
        <f>SUM(Apr!E108,May!E108,Jun!E108)</f>
        <v>0</v>
      </c>
      <c r="F108" s="10">
        <f t="shared" si="8"/>
        <v>0</v>
      </c>
      <c r="G108" s="11" t="str">
        <f t="shared" si="6"/>
        <v/>
      </c>
      <c r="H108" s="12">
        <f>SUM(Apr!H108,May!H108,Jun!H108)</f>
        <v>0</v>
      </c>
      <c r="I108" s="12">
        <f>SUM(Apr!I108,May!I108,Jun!I108)</f>
        <v>0</v>
      </c>
      <c r="J108" s="13" t="str">
        <f t="shared" si="7"/>
        <v/>
      </c>
    </row>
    <row r="109" spans="1:10" ht="15.6">
      <c r="A109" s="26" t="str">
        <v>Bogart</v>
      </c>
      <c r="B109" s="27" t="str">
        <v>NY</v>
      </c>
      <c r="C109" s="27" t="str">
        <f>Sites[[#This Row],[SOL'#]]</f>
        <v>SOL-10887</v>
      </c>
      <c r="D109" s="16">
        <f>SUM(Apr!D109,May!D109,Jun!D109)</f>
        <v>0</v>
      </c>
      <c r="E109" s="16">
        <f>SUM(Apr!E109,May!E109,Jun!E109)</f>
        <v>0</v>
      </c>
      <c r="F109" s="14">
        <f t="shared" si="8"/>
        <v>0</v>
      </c>
      <c r="G109" s="15" t="str">
        <f t="shared" si="6"/>
        <v/>
      </c>
      <c r="H109" s="16">
        <f>SUM(Apr!H109,May!H109,Jun!H109)</f>
        <v>0</v>
      </c>
      <c r="I109" s="16">
        <f>SUM(Apr!I109,May!I109,Jun!I109)</f>
        <v>0</v>
      </c>
      <c r="J109" s="15" t="str">
        <f t="shared" si="7"/>
        <v/>
      </c>
    </row>
    <row r="110" spans="1:10" ht="15.6">
      <c r="A110" s="24" t="str">
        <v>Dubois</v>
      </c>
      <c r="B110" s="25" t="str">
        <v>NY</v>
      </c>
      <c r="C110" s="25" t="str">
        <f>Sites[[#This Row],[SOL'#]]</f>
        <v>SOL-10892</v>
      </c>
      <c r="D110" s="20">
        <f>SUM(Apr!D110,May!D110,Jun!D110)</f>
        <v>0</v>
      </c>
      <c r="E110" s="10">
        <f>SUM(Apr!E110,May!E110,Jun!E110)</f>
        <v>0</v>
      </c>
      <c r="F110" s="10">
        <f t="shared" si="8"/>
        <v>0</v>
      </c>
      <c r="G110" s="11" t="str">
        <f t="shared" si="6"/>
        <v/>
      </c>
      <c r="H110" s="12">
        <f>SUM(Apr!H110,May!H110,Jun!H110)</f>
        <v>0</v>
      </c>
      <c r="I110" s="12">
        <f>SUM(Apr!I110,May!I110,Jun!I110)</f>
        <v>0</v>
      </c>
      <c r="J110" s="13" t="str">
        <f t="shared" si="7"/>
        <v/>
      </c>
    </row>
    <row r="111" spans="1:10" ht="15.6">
      <c r="A111" s="26" t="str">
        <v>Salt Point</v>
      </c>
      <c r="B111" s="27" t="str">
        <v>NY</v>
      </c>
      <c r="C111" s="27" t="str">
        <f>Sites[[#This Row],[SOL'#]]</f>
        <v>SOL-10888</v>
      </c>
      <c r="D111" s="16">
        <f>SUM(Apr!D111,May!D111,Jun!D111)</f>
        <v>0</v>
      </c>
      <c r="E111" s="16">
        <f>SUM(Apr!E111,May!E111,Jun!E111)</f>
        <v>0</v>
      </c>
      <c r="F111" s="14">
        <f t="shared" si="8"/>
        <v>0</v>
      </c>
      <c r="G111" s="15" t="str">
        <f t="shared" si="6"/>
        <v/>
      </c>
      <c r="H111" s="16">
        <f>SUM(Apr!H111,May!H111,Jun!H111)</f>
        <v>0</v>
      </c>
      <c r="I111" s="16">
        <f>SUM(Apr!I111,May!I111,Jun!I111)</f>
        <v>0</v>
      </c>
      <c r="J111" s="15" t="str">
        <f t="shared" si="7"/>
        <v/>
      </c>
    </row>
    <row r="112" spans="1:10" ht="15.6">
      <c r="A112" s="24" t="str">
        <v>Wheatland 2A</v>
      </c>
      <c r="B112" s="25" t="str">
        <v>NY</v>
      </c>
      <c r="C112" s="25" t="str">
        <f>Sites[[#This Row],[SOL'#]]</f>
        <v>SOL-10971</v>
      </c>
      <c r="D112" s="20">
        <f>SUM(Apr!D112,May!D112,Jun!D112)</f>
        <v>0</v>
      </c>
      <c r="E112" s="10">
        <f>SUM(Apr!E112,May!E112,Jun!E112)</f>
        <v>0</v>
      </c>
      <c r="F112" s="10">
        <f t="shared" si="8"/>
        <v>0</v>
      </c>
      <c r="G112" s="11" t="str">
        <f t="shared" si="6"/>
        <v/>
      </c>
      <c r="H112" s="12">
        <f>SUM(Apr!H112,May!H112,Jun!H112)</f>
        <v>0</v>
      </c>
      <c r="I112" s="12">
        <f>SUM(Apr!I112,May!I112,Jun!I112)</f>
        <v>0</v>
      </c>
      <c r="J112" s="13" t="str">
        <f t="shared" si="7"/>
        <v/>
      </c>
    </row>
    <row r="113" spans="1:10" ht="15.6">
      <c r="A113" s="26" t="str">
        <v>Wheatland 2B</v>
      </c>
      <c r="B113" s="27" t="str">
        <v>NY</v>
      </c>
      <c r="C113" s="27" t="str">
        <f>Sites[[#This Row],[SOL'#]]</f>
        <v>SOL-10961</v>
      </c>
      <c r="D113" s="16">
        <f>SUM(Apr!D113,May!D113,Jun!D113)</f>
        <v>0</v>
      </c>
      <c r="E113" s="16">
        <f>SUM(Apr!E113,May!E113,Jun!E113)</f>
        <v>0</v>
      </c>
      <c r="F113" s="14">
        <f t="shared" si="8"/>
        <v>0</v>
      </c>
      <c r="G113" s="15" t="str">
        <f t="shared" si="6"/>
        <v/>
      </c>
      <c r="H113" s="16">
        <f>SUM(Apr!H113,May!H113,Jun!H113)</f>
        <v>0</v>
      </c>
      <c r="I113" s="16">
        <f>SUM(Apr!I113,May!I113,Jun!I113)</f>
        <v>0</v>
      </c>
      <c r="J113" s="15" t="str">
        <f t="shared" si="7"/>
        <v/>
      </c>
    </row>
    <row r="114" spans="1:10" ht="15.6">
      <c r="A114" s="24" t="str">
        <v>Brickchurch</v>
      </c>
      <c r="B114" s="25" t="str">
        <v>NY</v>
      </c>
      <c r="C114" s="25" t="str">
        <f>Sites[[#This Row],[SOL'#]]</f>
        <v>SOL-10889</v>
      </c>
      <c r="D114" s="20">
        <f>SUM(Apr!D114,May!D114,Jun!D114)</f>
        <v>0</v>
      </c>
      <c r="E114" s="10">
        <f>SUM(Apr!E114,May!E114,Jun!E114)</f>
        <v>0</v>
      </c>
      <c r="F114" s="10">
        <f t="shared" ref="F114:F158" si="9">IF(AND(ISNUMBER(D114),ISNUMBER(E114)), D114-E114, "")</f>
        <v>0</v>
      </c>
      <c r="G114" s="11" t="str">
        <f t="shared" si="6"/>
        <v/>
      </c>
      <c r="H114" s="12">
        <f>SUM(Apr!H114,May!H114,Jun!H114)</f>
        <v>0</v>
      </c>
      <c r="I114" s="12">
        <f>SUM(Apr!I114,May!I114,Jun!I114)</f>
        <v>0</v>
      </c>
      <c r="J114" s="13" t="str">
        <f t="shared" si="7"/>
        <v/>
      </c>
    </row>
    <row r="115" spans="1:10" ht="15.6">
      <c r="A115" s="26" t="str">
        <v>McCarthy Solar</v>
      </c>
      <c r="B115" s="27" t="str">
        <v>NY</v>
      </c>
      <c r="C115" s="27" t="str">
        <f>Sites[[#This Row],[SOL'#]]</f>
        <v>SOL-10992</v>
      </c>
      <c r="D115" s="16">
        <f>SUM(Apr!D115,May!D115,Jun!D115)</f>
        <v>0</v>
      </c>
      <c r="E115" s="16">
        <f>SUM(Apr!E115,May!E115,Jun!E115)</f>
        <v>0</v>
      </c>
      <c r="F115" s="14">
        <f t="shared" si="9"/>
        <v>0</v>
      </c>
      <c r="G115" s="15" t="str">
        <f t="shared" si="6"/>
        <v/>
      </c>
      <c r="H115" s="16">
        <f>SUM(Apr!H115,May!H115,Jun!H115)</f>
        <v>0</v>
      </c>
      <c r="I115" s="16">
        <f>SUM(Apr!I115,May!I115,Jun!I115)</f>
        <v>0</v>
      </c>
      <c r="J115" s="15" t="str">
        <f t="shared" si="7"/>
        <v/>
      </c>
    </row>
    <row r="116" spans="1:10" ht="15.6">
      <c r="A116" s="24" t="str">
        <v>Costanza</v>
      </c>
      <c r="B116" s="25" t="str">
        <v>NY</v>
      </c>
      <c r="C116" s="25" t="str">
        <f>Sites[[#This Row],[SOL'#]]</f>
        <v>SOL-10907</v>
      </c>
      <c r="D116" s="20">
        <f>SUM(Apr!D116,May!D116,Jun!D116)</f>
        <v>0</v>
      </c>
      <c r="E116" s="10">
        <f>SUM(Apr!E116,May!E116,Jun!E116)</f>
        <v>0</v>
      </c>
      <c r="F116" s="10">
        <f t="shared" si="9"/>
        <v>0</v>
      </c>
      <c r="G116" s="11" t="str">
        <f t="shared" si="6"/>
        <v/>
      </c>
      <c r="H116" s="12">
        <f>SUM(Apr!H116,May!H116,Jun!H116)</f>
        <v>0</v>
      </c>
      <c r="I116" s="12">
        <f>SUM(Apr!I116,May!I116,Jun!I116)</f>
        <v>0</v>
      </c>
      <c r="J116" s="13" t="str">
        <f t="shared" si="7"/>
        <v/>
      </c>
    </row>
    <row r="117" spans="1:10" ht="15.6">
      <c r="A117" s="26" t="str">
        <v>Lockenhurst Pond</v>
      </c>
      <c r="B117" s="27" t="str">
        <v>NY</v>
      </c>
      <c r="C117" s="27" t="str">
        <f>Sites[[#This Row],[SOL'#]]</f>
        <v>SOL-11000</v>
      </c>
      <c r="D117" s="16">
        <f>SUM(Apr!D117,May!D117,Jun!D117)</f>
        <v>0</v>
      </c>
      <c r="E117" s="16">
        <f>SUM(Apr!E117,May!E117,Jun!E117)</f>
        <v>0</v>
      </c>
      <c r="F117" s="14">
        <f t="shared" si="9"/>
        <v>0</v>
      </c>
      <c r="G117" s="15" t="str">
        <f t="shared" si="6"/>
        <v/>
      </c>
      <c r="H117" s="16">
        <f>SUM(Apr!H117,May!H117,Jun!H117)</f>
        <v>0</v>
      </c>
      <c r="I117" s="16">
        <f>SUM(Apr!I117,May!I117,Jun!I117)</f>
        <v>0</v>
      </c>
      <c r="J117" s="15" t="str">
        <f t="shared" si="7"/>
        <v/>
      </c>
    </row>
    <row r="118" spans="1:10" ht="15.6">
      <c r="A118" s="24" t="str">
        <v>Drinkwater</v>
      </c>
      <c r="B118" s="25" t="str">
        <v>NY</v>
      </c>
      <c r="C118" s="25" t="str">
        <f>Sites[[#This Row],[SOL'#]]</f>
        <v>SOL-10896</v>
      </c>
      <c r="D118" s="20">
        <f>SUM(Apr!D118,May!D118,Jun!D118)</f>
        <v>0</v>
      </c>
      <c r="E118" s="10">
        <f>SUM(Apr!E118,May!E118,Jun!E118)</f>
        <v>0</v>
      </c>
      <c r="F118" s="10">
        <f t="shared" si="9"/>
        <v>0</v>
      </c>
      <c r="G118" s="11" t="str">
        <f t="shared" si="6"/>
        <v/>
      </c>
      <c r="H118" s="12">
        <f>SUM(Apr!H118,May!H118,Jun!H118)</f>
        <v>0</v>
      </c>
      <c r="I118" s="12">
        <f>SUM(Apr!I118,May!I118,Jun!I118)</f>
        <v>0</v>
      </c>
      <c r="J118" s="13" t="str">
        <f t="shared" si="7"/>
        <v/>
      </c>
    </row>
    <row r="119" spans="1:10" ht="15.6">
      <c r="A119" s="26" t="str">
        <v>Altamont</v>
      </c>
      <c r="B119" s="27" t="str">
        <v>NY</v>
      </c>
      <c r="C119" s="27" t="str">
        <f>Sites[[#This Row],[SOL'#]]</f>
        <v>SOL-11085</v>
      </c>
      <c r="D119" s="16">
        <f>SUM(Apr!D119,May!D119,Jun!D119)</f>
        <v>0</v>
      </c>
      <c r="E119" s="16">
        <f>SUM(Apr!E119,May!E119,Jun!E119)</f>
        <v>0</v>
      </c>
      <c r="F119" s="14">
        <f t="shared" si="9"/>
        <v>0</v>
      </c>
      <c r="G119" s="15" t="str">
        <f t="shared" si="6"/>
        <v/>
      </c>
      <c r="H119" s="16">
        <f>SUM(Apr!H119,May!H119,Jun!H119)</f>
        <v>0</v>
      </c>
      <c r="I119" s="16">
        <f>SUM(Apr!I119,May!I119,Jun!I119)</f>
        <v>0</v>
      </c>
      <c r="J119" s="15" t="str">
        <f t="shared" si="7"/>
        <v/>
      </c>
    </row>
    <row r="120" spans="1:10" ht="15.6">
      <c r="A120" s="24" t="str">
        <v>Krumkill North</v>
      </c>
      <c r="B120" s="25" t="str">
        <v>NY</v>
      </c>
      <c r="C120" s="25" t="str">
        <f>Sites[[#This Row],[SOL'#]]</f>
        <v>SOL-11086</v>
      </c>
      <c r="D120" s="20">
        <f>SUM(Apr!D120,May!D120,Jun!D120)</f>
        <v>0</v>
      </c>
      <c r="E120" s="10">
        <f>SUM(Apr!E120,May!E120,Jun!E120)</f>
        <v>0</v>
      </c>
      <c r="F120" s="10">
        <f t="shared" si="9"/>
        <v>0</v>
      </c>
      <c r="G120" s="11" t="str">
        <f t="shared" si="6"/>
        <v/>
      </c>
      <c r="H120" s="12">
        <f>SUM(Apr!H120,May!H120,Jun!H120)</f>
        <v>0</v>
      </c>
      <c r="I120" s="12">
        <f>SUM(Apr!I120,May!I120,Jun!I120)</f>
        <v>0</v>
      </c>
      <c r="J120" s="13" t="str">
        <f t="shared" si="7"/>
        <v/>
      </c>
    </row>
    <row r="121" spans="1:10" ht="15.6">
      <c r="A121" s="26" t="str">
        <v>Krumkill South</v>
      </c>
      <c r="B121" s="27" t="str">
        <v>NY</v>
      </c>
      <c r="C121" s="27" t="str">
        <f>Sites[[#This Row],[SOL'#]]</f>
        <v>SOL-11087</v>
      </c>
      <c r="D121" s="16">
        <f>SUM(Apr!D121,May!D121,Jun!D121)</f>
        <v>0</v>
      </c>
      <c r="E121" s="16">
        <f>SUM(Apr!E121,May!E121,Jun!E121)</f>
        <v>0</v>
      </c>
      <c r="F121" s="14">
        <f t="shared" si="9"/>
        <v>0</v>
      </c>
      <c r="G121" s="15" t="str">
        <f t="shared" si="6"/>
        <v/>
      </c>
      <c r="H121" s="16">
        <f>SUM(Apr!H121,May!H121,Jun!H121)</f>
        <v>0</v>
      </c>
      <c r="I121" s="16">
        <f>SUM(Apr!I121,May!I121,Jun!I121)</f>
        <v>0</v>
      </c>
      <c r="J121" s="15" t="str">
        <f t="shared" si="7"/>
        <v/>
      </c>
    </row>
    <row r="122" spans="1:10" ht="15.6">
      <c r="A122" s="24" t="str">
        <v>X092</v>
      </c>
      <c r="B122" s="25" t="str">
        <v>NY</v>
      </c>
      <c r="C122" s="25" t="str">
        <f>Sites[[#This Row],[SOL'#]]</f>
        <v>SOL-11189</v>
      </c>
      <c r="D122" s="20">
        <f>SUM(Apr!D122,May!D122,Jun!D122)</f>
        <v>0</v>
      </c>
      <c r="E122" s="10">
        <f>SUM(Apr!E122,May!E122,Jun!E122)</f>
        <v>0</v>
      </c>
      <c r="F122" s="10">
        <f t="shared" si="9"/>
        <v>0</v>
      </c>
      <c r="G122" s="11" t="str">
        <f t="shared" si="6"/>
        <v/>
      </c>
      <c r="H122" s="12">
        <f>SUM(Apr!H122,May!H122,Jun!H122)</f>
        <v>0</v>
      </c>
      <c r="I122" s="12">
        <f>SUM(Apr!I122,May!I122,Jun!I122)</f>
        <v>0</v>
      </c>
      <c r="J122" s="13" t="str">
        <f t="shared" si="7"/>
        <v/>
      </c>
    </row>
    <row r="123" spans="1:10" ht="15.6">
      <c r="A123" s="26" t="str">
        <v>X093</v>
      </c>
      <c r="B123" s="27" t="str">
        <v>NY</v>
      </c>
      <c r="C123" s="27" t="str">
        <f>Sites[[#This Row],[SOL'#]]</f>
        <v>SOL-10932</v>
      </c>
      <c r="D123" s="16">
        <f>SUM(Apr!D123,May!D123,Jun!D123)</f>
        <v>0</v>
      </c>
      <c r="E123" s="16">
        <f>SUM(Apr!E123,May!E123,Jun!E123)</f>
        <v>0</v>
      </c>
      <c r="F123" s="14">
        <f t="shared" si="9"/>
        <v>0</v>
      </c>
      <c r="G123" s="15" t="str">
        <f t="shared" si="6"/>
        <v/>
      </c>
      <c r="H123" s="16">
        <f>SUM(Apr!H123,May!H123,Jun!H123)</f>
        <v>0</v>
      </c>
      <c r="I123" s="16">
        <f>SUM(Apr!I123,May!I123,Jun!I123)</f>
        <v>0</v>
      </c>
      <c r="J123" s="15" t="str">
        <f t="shared" si="7"/>
        <v/>
      </c>
    </row>
    <row r="124" spans="1:10" ht="15.6">
      <c r="A124" s="24" t="str">
        <v>X095</v>
      </c>
      <c r="B124" s="25" t="str">
        <v>NY</v>
      </c>
      <c r="C124" s="25" t="str">
        <f>Sites[[#This Row],[SOL'#]]</f>
        <v>SOL-10929</v>
      </c>
      <c r="D124" s="20">
        <f>SUM(Apr!D124,May!D124,Jun!D124)</f>
        <v>0</v>
      </c>
      <c r="E124" s="10">
        <f>SUM(Apr!E124,May!E124,Jun!E124)</f>
        <v>0</v>
      </c>
      <c r="F124" s="10">
        <f t="shared" si="9"/>
        <v>0</v>
      </c>
      <c r="G124" s="11" t="str">
        <f t="shared" si="6"/>
        <v/>
      </c>
      <c r="H124" s="12">
        <f>SUM(Apr!H124,May!H124,Jun!H124)</f>
        <v>0</v>
      </c>
      <c r="I124" s="12">
        <f>SUM(Apr!I124,May!I124,Jun!I124)</f>
        <v>0</v>
      </c>
      <c r="J124" s="13" t="str">
        <f t="shared" si="7"/>
        <v/>
      </c>
    </row>
    <row r="125" spans="1:10" ht="15.6">
      <c r="A125" s="26" t="str">
        <v>X181</v>
      </c>
      <c r="B125" s="27" t="str">
        <v>NY</v>
      </c>
      <c r="C125" s="27" t="str">
        <f>Sites[[#This Row],[SOL'#]]</f>
        <v>SOL-10428</v>
      </c>
      <c r="D125" s="16">
        <f>SUM(Apr!D125,May!D125,Jun!D125)</f>
        <v>0</v>
      </c>
      <c r="E125" s="16">
        <f>SUM(Apr!E125,May!E125,Jun!E125)</f>
        <v>0</v>
      </c>
      <c r="F125" s="14">
        <f t="shared" si="9"/>
        <v>0</v>
      </c>
      <c r="G125" s="15" t="str">
        <f t="shared" si="6"/>
        <v/>
      </c>
      <c r="H125" s="16">
        <f>SUM(Apr!H125,May!H125,Jun!H125)</f>
        <v>0</v>
      </c>
      <c r="I125" s="16">
        <f>SUM(Apr!I125,May!I125,Jun!I125)</f>
        <v>0</v>
      </c>
      <c r="J125" s="15" t="str">
        <f t="shared" si="7"/>
        <v/>
      </c>
    </row>
    <row r="126" spans="1:10" ht="15.6">
      <c r="A126" s="24" t="str">
        <v>X415</v>
      </c>
      <c r="B126" s="25" t="str">
        <v>NY</v>
      </c>
      <c r="C126" s="25" t="str">
        <f>Sites[[#This Row],[SOL'#]]</f>
        <v>SOL-10429</v>
      </c>
      <c r="D126" s="20">
        <f>SUM(Apr!D126,May!D126,Jun!D126)</f>
        <v>0</v>
      </c>
      <c r="E126" s="10">
        <f>SUM(Apr!E126,May!E126,Jun!E126)</f>
        <v>0</v>
      </c>
      <c r="F126" s="10">
        <f t="shared" si="9"/>
        <v>0</v>
      </c>
      <c r="G126" s="11" t="str">
        <f t="shared" si="6"/>
        <v/>
      </c>
      <c r="H126" s="12">
        <f>SUM(Apr!H126,May!H126,Jun!H126)</f>
        <v>0</v>
      </c>
      <c r="I126" s="12">
        <f>SUM(Apr!I126,May!I126,Jun!I126)</f>
        <v>0</v>
      </c>
      <c r="J126" s="13" t="str">
        <f t="shared" si="7"/>
        <v/>
      </c>
    </row>
    <row r="127" spans="1:10" ht="15.6">
      <c r="A127" s="26" t="str">
        <v>K198</v>
      </c>
      <c r="B127" s="27" t="str">
        <v>NY</v>
      </c>
      <c r="C127" s="27" t="str">
        <f>Sites[[#This Row],[SOL'#]]</f>
        <v>SOL-10930</v>
      </c>
      <c r="D127" s="16">
        <f>SUM(Apr!D127,May!D127,Jun!D127)</f>
        <v>0</v>
      </c>
      <c r="E127" s="16">
        <f>SUM(Apr!E127,May!E127,Jun!E127)</f>
        <v>0</v>
      </c>
      <c r="F127" s="14">
        <f t="shared" si="9"/>
        <v>0</v>
      </c>
      <c r="G127" s="15" t="str">
        <f t="shared" si="6"/>
        <v/>
      </c>
      <c r="H127" s="16">
        <f>SUM(Apr!H127,May!H127,Jun!H127)</f>
        <v>0</v>
      </c>
      <c r="I127" s="16">
        <f>SUM(Apr!I127,May!I127,Jun!I127)</f>
        <v>0</v>
      </c>
      <c r="J127" s="15" t="str">
        <f t="shared" si="7"/>
        <v/>
      </c>
    </row>
    <row r="128" spans="1:10" ht="15.6">
      <c r="A128" s="24" t="str">
        <v>K203</v>
      </c>
      <c r="B128" s="25" t="str">
        <v>NY</v>
      </c>
      <c r="C128" s="25" t="str">
        <f>Sites[[#This Row],[SOL'#]]</f>
        <v>SOL-11190</v>
      </c>
      <c r="D128" s="20">
        <f>SUM(Apr!D128,May!D128,Jun!D128)</f>
        <v>0</v>
      </c>
      <c r="E128" s="10">
        <f>SUM(Apr!E128,May!E128,Jun!E128)</f>
        <v>0</v>
      </c>
      <c r="F128" s="10">
        <f t="shared" si="9"/>
        <v>0</v>
      </c>
      <c r="G128" s="11" t="str">
        <f t="shared" si="6"/>
        <v/>
      </c>
      <c r="H128" s="12">
        <f>SUM(Apr!H128,May!H128,Jun!H128)</f>
        <v>0</v>
      </c>
      <c r="I128" s="12">
        <f>SUM(Apr!I128,May!I128,Jun!I128)</f>
        <v>0</v>
      </c>
      <c r="J128" s="13" t="str">
        <f t="shared" si="7"/>
        <v/>
      </c>
    </row>
    <row r="129" spans="1:10" ht="15.6">
      <c r="A129" s="26" t="str">
        <v>K213</v>
      </c>
      <c r="B129" s="27" t="str">
        <v>NY</v>
      </c>
      <c r="C129" s="27" t="str">
        <f>Sites[[#This Row],[SOL'#]]</f>
        <v>SOL-11191</v>
      </c>
      <c r="D129" s="16">
        <f>SUM(Apr!D129,May!D129,Jun!D129)</f>
        <v>0</v>
      </c>
      <c r="E129" s="16">
        <f>SUM(Apr!E129,May!E129,Jun!E129)</f>
        <v>0</v>
      </c>
      <c r="F129" s="14">
        <f t="shared" si="9"/>
        <v>0</v>
      </c>
      <c r="G129" s="15" t="str">
        <f t="shared" si="6"/>
        <v/>
      </c>
      <c r="H129" s="16">
        <f>SUM(Apr!H129,May!H129,Jun!H129)</f>
        <v>0</v>
      </c>
      <c r="I129" s="16">
        <f>SUM(Apr!I129,May!I129,Jun!I129)</f>
        <v>0</v>
      </c>
      <c r="J129" s="15" t="str">
        <f t="shared" si="7"/>
        <v/>
      </c>
    </row>
    <row r="130" spans="1:10" ht="15.6">
      <c r="A130" s="24" t="str">
        <v>K217</v>
      </c>
      <c r="B130" s="25" t="str">
        <v>NY</v>
      </c>
      <c r="C130" s="25" t="str">
        <f>Sites[[#This Row],[SOL'#]]</f>
        <v>SOL-10933</v>
      </c>
      <c r="D130" s="20">
        <f>SUM(Apr!D130,May!D130,Jun!D130)</f>
        <v>0</v>
      </c>
      <c r="E130" s="10">
        <f>SUM(Apr!E130,May!E130,Jun!E130)</f>
        <v>0</v>
      </c>
      <c r="F130" s="10">
        <f t="shared" si="9"/>
        <v>0</v>
      </c>
      <c r="G130" s="11" t="str">
        <f t="shared" si="6"/>
        <v/>
      </c>
      <c r="H130" s="12">
        <f>SUM(Apr!H130,May!H130,Jun!H130)</f>
        <v>0</v>
      </c>
      <c r="I130" s="12">
        <f>SUM(Apr!I130,May!I130,Jun!I130)</f>
        <v>0</v>
      </c>
      <c r="J130" s="13" t="str">
        <f t="shared" si="7"/>
        <v/>
      </c>
    </row>
    <row r="131" spans="1:10" ht="15.6">
      <c r="A131" s="26" t="str">
        <v>K307</v>
      </c>
      <c r="B131" s="27" t="str">
        <v>NY</v>
      </c>
      <c r="C131" s="27" t="str">
        <f>Sites[[#This Row],[SOL'#]]</f>
        <v>SOL-10876</v>
      </c>
      <c r="D131" s="16">
        <f>SUM(Apr!D131,May!D131,Jun!D131)</f>
        <v>0</v>
      </c>
      <c r="E131" s="16">
        <f>SUM(Apr!E131,May!E131,Jun!E131)</f>
        <v>0</v>
      </c>
      <c r="F131" s="14">
        <f t="shared" si="9"/>
        <v>0</v>
      </c>
      <c r="G131" s="15" t="str">
        <f t="shared" si="6"/>
        <v/>
      </c>
      <c r="H131" s="16">
        <f>SUM(Apr!H131,May!H131,Jun!H131)</f>
        <v>0</v>
      </c>
      <c r="I131" s="16">
        <f>SUM(Apr!I131,May!I131,Jun!I131)</f>
        <v>0</v>
      </c>
      <c r="J131" s="15" t="str">
        <f t="shared" si="7"/>
        <v/>
      </c>
    </row>
    <row r="132" spans="1:10" ht="15.6">
      <c r="A132" s="24" t="str">
        <v>K610</v>
      </c>
      <c r="B132" s="25" t="str">
        <v>NY</v>
      </c>
      <c r="C132" s="25" t="str">
        <f>Sites[[#This Row],[SOL'#]]</f>
        <v>SOL-11158</v>
      </c>
      <c r="D132" s="20">
        <f>SUM(Apr!D132,May!D132,Jun!D132)</f>
        <v>0</v>
      </c>
      <c r="E132" s="10">
        <f>SUM(Apr!E132,May!E132,Jun!E132)</f>
        <v>0</v>
      </c>
      <c r="F132" s="10">
        <f t="shared" si="9"/>
        <v>0</v>
      </c>
      <c r="G132" s="11" t="str">
        <f t="shared" si="6"/>
        <v/>
      </c>
      <c r="H132" s="12">
        <f>SUM(Apr!H132,May!H132,Jun!H132)</f>
        <v>0</v>
      </c>
      <c r="I132" s="12">
        <f>SUM(Apr!I132,May!I132,Jun!I132)</f>
        <v>0</v>
      </c>
      <c r="J132" s="13" t="str">
        <f t="shared" si="7"/>
        <v/>
      </c>
    </row>
    <row r="133" spans="1:10" ht="15.6">
      <c r="A133" s="26" t="str">
        <v>M025</v>
      </c>
      <c r="B133" s="27" t="str">
        <v>NY</v>
      </c>
      <c r="C133" s="27" t="str">
        <f>Sites[[#This Row],[SOL'#]]</f>
        <v>SOL-10392</v>
      </c>
      <c r="D133" s="16">
        <f>SUM(Apr!D133,May!D133,Jun!D133)</f>
        <v>0</v>
      </c>
      <c r="E133" s="16">
        <f>SUM(Apr!E133,May!E133,Jun!E133)</f>
        <v>0</v>
      </c>
      <c r="F133" s="14">
        <f t="shared" si="9"/>
        <v>0</v>
      </c>
      <c r="G133" s="15" t="str">
        <f t="shared" si="6"/>
        <v/>
      </c>
      <c r="H133" s="16">
        <f>SUM(Apr!H133,May!H133,Jun!H133)</f>
        <v>0</v>
      </c>
      <c r="I133" s="16">
        <f>SUM(Apr!I133,May!I133,Jun!I133)</f>
        <v>0</v>
      </c>
      <c r="J133" s="15" t="str">
        <f t="shared" si="7"/>
        <v/>
      </c>
    </row>
    <row r="134" spans="1:10" ht="15.6">
      <c r="A134" s="24" t="str">
        <v>M028</v>
      </c>
      <c r="B134" s="25" t="str">
        <v>NY</v>
      </c>
      <c r="C134" s="25" t="str">
        <f>Sites[[#This Row],[SOL'#]]</f>
        <v>SOL-10381</v>
      </c>
      <c r="D134" s="20">
        <f>SUM(Apr!D134,May!D134,Jun!D134)</f>
        <v>0</v>
      </c>
      <c r="E134" s="10">
        <f>SUM(Apr!E134,May!E134,Jun!E134)</f>
        <v>0</v>
      </c>
      <c r="F134" s="10">
        <f t="shared" si="9"/>
        <v>0</v>
      </c>
      <c r="G134" s="11" t="str">
        <f t="shared" ref="G134:G158" si="10">IFERROR(F134/E134, "")</f>
        <v/>
      </c>
      <c r="H134" s="12">
        <f>SUM(Apr!H134,May!H134,Jun!H134)</f>
        <v>0</v>
      </c>
      <c r="I134" s="12">
        <f>SUM(Apr!I134,May!I134,Jun!I134)</f>
        <v>0</v>
      </c>
      <c r="J134" s="13" t="str">
        <f t="shared" ref="J134:J158" si="11">IFERROR(I134/H134, "")</f>
        <v/>
      </c>
    </row>
    <row r="135" spans="1:10" ht="15.6">
      <c r="A135" s="26" t="str">
        <v>Q030</v>
      </c>
      <c r="B135" s="27" t="str">
        <v>NY</v>
      </c>
      <c r="C135" s="27" t="str">
        <f>Sites[[#This Row],[SOL'#]]</f>
        <v>SOL-10878</v>
      </c>
      <c r="D135" s="16">
        <f>SUM(Apr!D135,May!D135,Jun!D135)</f>
        <v>0</v>
      </c>
      <c r="E135" s="16">
        <f>SUM(Apr!E135,May!E135,Jun!E135)</f>
        <v>0</v>
      </c>
      <c r="F135" s="14">
        <f t="shared" si="9"/>
        <v>0</v>
      </c>
      <c r="G135" s="15" t="str">
        <f t="shared" si="10"/>
        <v/>
      </c>
      <c r="H135" s="16">
        <f>SUM(Apr!H135,May!H135,Jun!H135)</f>
        <v>0</v>
      </c>
      <c r="I135" s="16">
        <f>SUM(Apr!I135,May!I135,Jun!I135)</f>
        <v>0</v>
      </c>
      <c r="J135" s="15" t="str">
        <f t="shared" si="11"/>
        <v/>
      </c>
    </row>
    <row r="136" spans="1:10" ht="15.6">
      <c r="A136" s="24" t="str">
        <v>Q130</v>
      </c>
      <c r="B136" s="25" t="str">
        <v>NY</v>
      </c>
      <c r="C136" s="25" t="str">
        <f>Sites[[#This Row],[SOL'#]]</f>
        <v>SOL-10877</v>
      </c>
      <c r="D136" s="20">
        <f>SUM(Apr!D136,May!D136,Jun!D136)</f>
        <v>0</v>
      </c>
      <c r="E136" s="10">
        <f>SUM(Apr!E136,May!E136,Jun!E136)</f>
        <v>0</v>
      </c>
      <c r="F136" s="10">
        <f t="shared" si="9"/>
        <v>0</v>
      </c>
      <c r="G136" s="11" t="str">
        <f t="shared" si="10"/>
        <v/>
      </c>
      <c r="H136" s="12">
        <f>SUM(Apr!H136,May!H136,Jun!H136)</f>
        <v>0</v>
      </c>
      <c r="I136" s="12">
        <f>SUM(Apr!I136,May!I136,Jun!I136)</f>
        <v>0</v>
      </c>
      <c r="J136" s="13" t="str">
        <f t="shared" si="11"/>
        <v/>
      </c>
    </row>
    <row r="137" spans="1:10" ht="15.6">
      <c r="A137" s="26" t="str">
        <v>Q196</v>
      </c>
      <c r="B137" s="27" t="str">
        <v>NY</v>
      </c>
      <c r="C137" s="27" t="str">
        <f>Sites[[#This Row],[SOL'#]]</f>
        <v>SOL-10879</v>
      </c>
      <c r="D137" s="16">
        <f>SUM(Apr!D137,May!D137,Jun!D137)</f>
        <v>0</v>
      </c>
      <c r="E137" s="16">
        <f>SUM(Apr!E137,May!E137,Jun!E137)</f>
        <v>0</v>
      </c>
      <c r="F137" s="14">
        <f t="shared" si="9"/>
        <v>0</v>
      </c>
      <c r="G137" s="15" t="str">
        <f t="shared" si="10"/>
        <v/>
      </c>
      <c r="H137" s="16">
        <f>SUM(Apr!H137,May!H137,Jun!H137)</f>
        <v>0</v>
      </c>
      <c r="I137" s="16">
        <f>SUM(Apr!I137,May!I137,Jun!I137)</f>
        <v>0</v>
      </c>
      <c r="J137" s="15" t="str">
        <f t="shared" si="11"/>
        <v/>
      </c>
    </row>
    <row r="138" spans="1:10" ht="15.6">
      <c r="A138" s="24" t="str">
        <v>Q220</v>
      </c>
      <c r="B138" s="25" t="str">
        <v>NY</v>
      </c>
      <c r="C138" s="25" t="str">
        <f>Sites[[#This Row],[SOL'#]]</f>
        <v>SOL-10873</v>
      </c>
      <c r="D138" s="20">
        <f>SUM(Apr!D138,May!D138,Jun!D138)</f>
        <v>0</v>
      </c>
      <c r="E138" s="10">
        <f>SUM(Apr!E138,May!E138,Jun!E138)</f>
        <v>0</v>
      </c>
      <c r="F138" s="10">
        <f t="shared" si="9"/>
        <v>0</v>
      </c>
      <c r="G138" s="11" t="str">
        <f t="shared" si="10"/>
        <v/>
      </c>
      <c r="H138" s="12">
        <f>SUM(Apr!H138,May!H138,Jun!H138)</f>
        <v>0</v>
      </c>
      <c r="I138" s="12">
        <f>SUM(Apr!I138,May!I138,Jun!I138)</f>
        <v>0</v>
      </c>
      <c r="J138" s="13" t="str">
        <f t="shared" si="11"/>
        <v/>
      </c>
    </row>
    <row r="139" spans="1:10" ht="15.6">
      <c r="A139" s="26" t="str">
        <v>Q205</v>
      </c>
      <c r="B139" s="27" t="str">
        <v>NY</v>
      </c>
      <c r="C139" s="27" t="str">
        <f>Sites[[#This Row],[SOL'#]]</f>
        <v>SOL-10922</v>
      </c>
      <c r="D139" s="16">
        <f>SUM(Apr!D139,May!D139,Jun!D139)</f>
        <v>0</v>
      </c>
      <c r="E139" s="16">
        <f>SUM(Apr!E139,May!E139,Jun!E139)</f>
        <v>0</v>
      </c>
      <c r="F139" s="14">
        <f t="shared" si="9"/>
        <v>0</v>
      </c>
      <c r="G139" s="15" t="str">
        <f t="shared" si="10"/>
        <v/>
      </c>
      <c r="H139" s="16">
        <f>SUM(Apr!H139,May!H139,Jun!H139)</f>
        <v>0</v>
      </c>
      <c r="I139" s="16">
        <f>SUM(Apr!I139,May!I139,Jun!I139)</f>
        <v>0</v>
      </c>
      <c r="J139" s="15" t="str">
        <f t="shared" si="11"/>
        <v/>
      </c>
    </row>
    <row r="140" spans="1:10" ht="15.6">
      <c r="A140" s="24" t="str">
        <v>Q400</v>
      </c>
      <c r="B140" s="25" t="str">
        <v>NY</v>
      </c>
      <c r="C140" s="25" t="str">
        <f>Sites[[#This Row],[SOL'#]]</f>
        <v>SOL-10871</v>
      </c>
      <c r="D140" s="20">
        <f>SUM(Apr!D140,May!D140,Jun!D140)</f>
        <v>0</v>
      </c>
      <c r="E140" s="10">
        <f>SUM(Apr!E140,May!E140,Jun!E140)</f>
        <v>0</v>
      </c>
      <c r="F140" s="10">
        <f t="shared" si="9"/>
        <v>0</v>
      </c>
      <c r="G140" s="11" t="str">
        <f t="shared" si="10"/>
        <v/>
      </c>
      <c r="H140" s="12">
        <f>SUM(Apr!H140,May!H140,Jun!H140)</f>
        <v>0</v>
      </c>
      <c r="I140" s="12">
        <f>SUM(Apr!I140,May!I140,Jun!I140)</f>
        <v>0</v>
      </c>
      <c r="J140" s="13" t="str">
        <f t="shared" si="11"/>
        <v/>
      </c>
    </row>
    <row r="141" spans="1:10" ht="15.6">
      <c r="A141" s="26" t="str">
        <v>R003</v>
      </c>
      <c r="B141" s="27" t="str">
        <v>NY</v>
      </c>
      <c r="C141" s="27" t="str">
        <f>Sites[[#This Row],[SOL'#]]</f>
        <v>SOL-10416</v>
      </c>
      <c r="D141" s="16">
        <f>SUM(Apr!D141,May!D141,Jun!D141)</f>
        <v>0</v>
      </c>
      <c r="E141" s="16">
        <f>SUM(Apr!E141,May!E141,Jun!E141)</f>
        <v>0</v>
      </c>
      <c r="F141" s="14">
        <f t="shared" si="9"/>
        <v>0</v>
      </c>
      <c r="G141" s="15" t="str">
        <f t="shared" si="10"/>
        <v/>
      </c>
      <c r="H141" s="16">
        <f>SUM(Apr!H141,May!H141,Jun!H141)</f>
        <v>0</v>
      </c>
      <c r="I141" s="16">
        <f>SUM(Apr!I141,May!I141,Jun!I141)</f>
        <v>0</v>
      </c>
      <c r="J141" s="15" t="str">
        <f t="shared" si="11"/>
        <v/>
      </c>
    </row>
    <row r="142" spans="1:10" ht="15.6">
      <c r="A142" s="24" t="str">
        <v>R007</v>
      </c>
      <c r="B142" s="25" t="str">
        <v>NY</v>
      </c>
      <c r="C142" s="25" t="str">
        <f>Sites[[#This Row],[SOL'#]]</f>
        <v>SOL-10417</v>
      </c>
      <c r="D142" s="20">
        <f>SUM(Apr!D142,May!D142,Jun!D142)</f>
        <v>0</v>
      </c>
      <c r="E142" s="10">
        <f>SUM(Apr!E142,May!E142,Jun!E142)</f>
        <v>0</v>
      </c>
      <c r="F142" s="10">
        <f t="shared" si="9"/>
        <v>0</v>
      </c>
      <c r="G142" s="11" t="str">
        <f t="shared" si="10"/>
        <v/>
      </c>
      <c r="H142" s="12">
        <f>SUM(Apr!H142,May!H142,Jun!H142)</f>
        <v>0</v>
      </c>
      <c r="I142" s="12">
        <f>SUM(Apr!I142,May!I142,Jun!I142)</f>
        <v>0</v>
      </c>
      <c r="J142" s="13" t="str">
        <f t="shared" si="11"/>
        <v/>
      </c>
    </row>
    <row r="143" spans="1:10" ht="15.6">
      <c r="A143" s="26" t="str">
        <v>BK16</v>
      </c>
      <c r="B143" s="27" t="str">
        <v>NY</v>
      </c>
      <c r="C143" s="27" t="str">
        <f>Sites[[#This Row],[SOL'#]]</f>
        <v>SOL-11093</v>
      </c>
      <c r="D143" s="16">
        <f>SUM(Apr!D143,May!D143,Jun!D143)</f>
        <v>0</v>
      </c>
      <c r="E143" s="16">
        <f>SUM(Apr!E143,May!E143,Jun!E143)</f>
        <v>0</v>
      </c>
      <c r="F143" s="14">
        <f t="shared" si="9"/>
        <v>0</v>
      </c>
      <c r="G143" s="15" t="str">
        <f t="shared" si="10"/>
        <v/>
      </c>
      <c r="H143" s="16">
        <f>SUM(Apr!H143,May!H143,Jun!H143)</f>
        <v>0</v>
      </c>
      <c r="I143" s="16">
        <f>SUM(Apr!I143,May!I143,Jun!I143)</f>
        <v>0</v>
      </c>
      <c r="J143" s="15" t="str">
        <f t="shared" si="11"/>
        <v/>
      </c>
    </row>
    <row r="144" spans="1:10" ht="15.6">
      <c r="A144" s="24" t="str">
        <v>Trenton - Trenton East</v>
      </c>
      <c r="B144" s="25" t="str">
        <v>IL</v>
      </c>
      <c r="C144" s="25" t="str">
        <f>Sites[[#This Row],[SOL'#]]</f>
        <v>SOL-11060</v>
      </c>
      <c r="D144" s="20">
        <f>SUM(Apr!D144,May!D144,Jun!D144)</f>
        <v>0</v>
      </c>
      <c r="E144" s="10">
        <f>SUM(Apr!E144,May!E144,Jun!E144)</f>
        <v>0</v>
      </c>
      <c r="F144" s="10">
        <f t="shared" si="9"/>
        <v>0</v>
      </c>
      <c r="G144" s="11" t="str">
        <f t="shared" si="10"/>
        <v/>
      </c>
      <c r="H144" s="12">
        <f>SUM(Apr!H144,May!H144,Jun!H144)</f>
        <v>0</v>
      </c>
      <c r="I144" s="12">
        <f>SUM(Apr!I144,May!I144,Jun!I144)</f>
        <v>0</v>
      </c>
      <c r="J144" s="13" t="str">
        <f t="shared" si="11"/>
        <v/>
      </c>
    </row>
    <row r="145" spans="1:10" ht="15.6">
      <c r="A145" s="26" t="str">
        <v>Trenton - Trenton West</v>
      </c>
      <c r="B145" s="27" t="str">
        <v>IL</v>
      </c>
      <c r="C145" s="27" t="str">
        <f>Sites[[#This Row],[SOL'#]]</f>
        <v>SOL-11061</v>
      </c>
      <c r="D145" s="16">
        <f>SUM(Apr!D145,May!D145,Jun!D145)</f>
        <v>0</v>
      </c>
      <c r="E145" s="16">
        <f>SUM(Apr!E145,May!E145,Jun!E145)</f>
        <v>0</v>
      </c>
      <c r="F145" s="14">
        <f t="shared" si="9"/>
        <v>0</v>
      </c>
      <c r="G145" s="15" t="str">
        <f t="shared" si="10"/>
        <v/>
      </c>
      <c r="H145" s="16">
        <f>SUM(Apr!H145,May!H145,Jun!H145)</f>
        <v>0</v>
      </c>
      <c r="I145" s="16">
        <f>SUM(Apr!I145,May!I145,Jun!I145)</f>
        <v>0</v>
      </c>
      <c r="J145" s="15" t="str">
        <f t="shared" si="11"/>
        <v/>
      </c>
    </row>
    <row r="146" spans="1:10" ht="15.6">
      <c r="A146" s="24" t="str">
        <v>Dakota - Dakota Solar 1</v>
      </c>
      <c r="B146" s="25" t="str">
        <v>IL</v>
      </c>
      <c r="C146" s="25" t="str">
        <f>Sites[[#This Row],[SOL'#]]</f>
        <v>SOL-11113</v>
      </c>
      <c r="D146" s="20">
        <f>SUM(Apr!D146,May!D146,Jun!D146)</f>
        <v>0</v>
      </c>
      <c r="E146" s="10">
        <f>SUM(Apr!E146,May!E146,Jun!E146)</f>
        <v>0</v>
      </c>
      <c r="F146" s="10">
        <f t="shared" si="9"/>
        <v>0</v>
      </c>
      <c r="G146" s="11" t="str">
        <f t="shared" si="10"/>
        <v/>
      </c>
      <c r="H146" s="12">
        <f>SUM(Apr!H146,May!H146,Jun!H146)</f>
        <v>0</v>
      </c>
      <c r="I146" s="12">
        <f>SUM(Apr!I146,May!I146,Jun!I146)</f>
        <v>0</v>
      </c>
      <c r="J146" s="13" t="str">
        <f t="shared" si="11"/>
        <v/>
      </c>
    </row>
    <row r="147" spans="1:10" ht="15.6">
      <c r="A147" s="26" t="str">
        <v>X018</v>
      </c>
      <c r="B147" s="27" t="str">
        <v>NY</v>
      </c>
      <c r="C147" s="27" t="str">
        <f>Sites[[#This Row],[SOL'#]]</f>
        <v>SOL-10418</v>
      </c>
      <c r="D147" s="16">
        <f>SUM(Apr!D147,May!D147,Jun!D147)</f>
        <v>0</v>
      </c>
      <c r="E147" s="16">
        <f>SUM(Apr!E147,May!E147,Jun!E147)</f>
        <v>0</v>
      </c>
      <c r="F147" s="14">
        <f t="shared" si="9"/>
        <v>0</v>
      </c>
      <c r="G147" s="15" t="str">
        <f t="shared" si="10"/>
        <v/>
      </c>
      <c r="H147" s="16">
        <f>SUM(Apr!H147,May!H147,Jun!H147)</f>
        <v>0</v>
      </c>
      <c r="I147" s="16">
        <f>SUM(Apr!I147,May!I147,Jun!I147)</f>
        <v>0</v>
      </c>
      <c r="J147" s="15" t="str">
        <f t="shared" si="11"/>
        <v/>
      </c>
    </row>
    <row r="148" spans="1:10" ht="15.6">
      <c r="A148" s="24" t="str">
        <v>Janiak Solar</v>
      </c>
      <c r="B148" s="25" t="str">
        <v>NY</v>
      </c>
      <c r="C148" s="25" t="str">
        <f>Sites[[#This Row],[SOL'#]]</f>
        <v>SOL-10898</v>
      </c>
      <c r="D148" s="20">
        <f>SUM(Apr!D148,May!D148,Jun!D148)</f>
        <v>0</v>
      </c>
      <c r="E148" s="10">
        <f>SUM(Apr!E148,May!E148,Jun!E148)</f>
        <v>0</v>
      </c>
      <c r="F148" s="10">
        <f t="shared" si="9"/>
        <v>0</v>
      </c>
      <c r="G148" s="11" t="str">
        <f t="shared" si="10"/>
        <v/>
      </c>
      <c r="H148" s="12">
        <f>SUM(Apr!H148,May!H148,Jun!H148)</f>
        <v>0</v>
      </c>
      <c r="I148" s="12">
        <f>SUM(Apr!I148,May!I148,Jun!I148)</f>
        <v>0</v>
      </c>
      <c r="J148" s="13" t="str">
        <f t="shared" si="11"/>
        <v/>
      </c>
    </row>
    <row r="149" spans="1:10" ht="15.6">
      <c r="A149" s="26" t="str">
        <v>County Route 11B</v>
      </c>
      <c r="B149" s="27" t="str">
        <v>NY</v>
      </c>
      <c r="C149" s="27" t="str">
        <f>Sites[[#This Row],[SOL'#]]</f>
        <v>SOL-10983</v>
      </c>
      <c r="D149" s="16">
        <f>SUM(Apr!D149,May!D149,Jun!D149)</f>
        <v>0</v>
      </c>
      <c r="E149" s="16">
        <f>SUM(Apr!E149,May!E149,Jun!E149)</f>
        <v>0</v>
      </c>
      <c r="F149" s="14">
        <f t="shared" si="9"/>
        <v>0</v>
      </c>
      <c r="G149" s="15" t="str">
        <f t="shared" si="10"/>
        <v/>
      </c>
      <c r="H149" s="16">
        <f>SUM(Apr!H149,May!H149,Jun!H149)</f>
        <v>0</v>
      </c>
      <c r="I149" s="16">
        <f>SUM(Apr!I149,May!I149,Jun!I149)</f>
        <v>0</v>
      </c>
      <c r="J149" s="15" t="str">
        <f t="shared" si="11"/>
        <v/>
      </c>
    </row>
    <row r="150" spans="1:10" ht="15.6">
      <c r="A150" s="24" t="str">
        <v>Barone</v>
      </c>
      <c r="B150" s="25" t="str">
        <v>NY</v>
      </c>
      <c r="C150" s="25" t="str">
        <f>Sites[[#This Row],[SOL'#]]</f>
        <v>SOL-11034</v>
      </c>
      <c r="D150" s="20">
        <f>SUM(Apr!D150,May!D150,Jun!D150)</f>
        <v>0</v>
      </c>
      <c r="E150" s="10">
        <f>SUM(Apr!E150,May!E150,Jun!E150)</f>
        <v>0</v>
      </c>
      <c r="F150" s="10">
        <f t="shared" si="9"/>
        <v>0</v>
      </c>
      <c r="G150" s="11" t="str">
        <f t="shared" si="10"/>
        <v/>
      </c>
      <c r="H150" s="12">
        <f>SUM(Apr!H150,May!H150,Jun!H150)</f>
        <v>0</v>
      </c>
      <c r="I150" s="12">
        <f>SUM(Apr!I150,May!I150,Jun!I150)</f>
        <v>0</v>
      </c>
      <c r="J150" s="13" t="str">
        <f t="shared" si="11"/>
        <v/>
      </c>
    </row>
    <row r="151" spans="1:10" ht="15.6">
      <c r="A151" s="26" t="str">
        <v>Cedarville</v>
      </c>
      <c r="B151" s="27" t="str">
        <v>IL</v>
      </c>
      <c r="C151" s="27" t="str">
        <f>Sites[[#This Row],[SOL'#]]</f>
        <v>SOL-11069</v>
      </c>
      <c r="D151" s="16">
        <f>SUM(Apr!D151,May!D151,Jun!D151)</f>
        <v>0</v>
      </c>
      <c r="E151" s="16">
        <f>SUM(Apr!E151,May!E151,Jun!E151)</f>
        <v>0</v>
      </c>
      <c r="F151" s="14">
        <f t="shared" si="9"/>
        <v>0</v>
      </c>
      <c r="G151" s="15" t="str">
        <f t="shared" si="10"/>
        <v/>
      </c>
      <c r="H151" s="16">
        <f>SUM(Apr!H151,May!H151,Jun!H151)</f>
        <v>0</v>
      </c>
      <c r="I151" s="16">
        <f>SUM(Apr!I151,May!I151,Jun!I151)</f>
        <v>0</v>
      </c>
      <c r="J151" s="15" t="str">
        <f t="shared" si="11"/>
        <v/>
      </c>
    </row>
    <row r="152" spans="1:10" ht="15.6">
      <c r="A152" s="24" t="str">
        <v xml:space="preserve"> O'Brien Hill #1</v>
      </c>
      <c r="B152" s="25" t="str">
        <v>NY</v>
      </c>
      <c r="C152" s="25" t="str">
        <f>Sites[[#This Row],[SOL'#]]</f>
        <v>SOL-11098</v>
      </c>
      <c r="D152" s="20">
        <f>SUM(Apr!D152,May!D152,Jun!D152)</f>
        <v>0</v>
      </c>
      <c r="E152" s="10">
        <f>SUM(Apr!E152,May!E152,Jun!E152)</f>
        <v>0</v>
      </c>
      <c r="F152" s="10">
        <f t="shared" si="9"/>
        <v>0</v>
      </c>
      <c r="G152" s="11" t="str">
        <f t="shared" si="10"/>
        <v/>
      </c>
      <c r="H152" s="12">
        <f>SUM(Apr!H152,May!H152,Jun!H152)</f>
        <v>0</v>
      </c>
      <c r="I152" s="12">
        <f>SUM(Apr!I152,May!I152,Jun!I152)</f>
        <v>0</v>
      </c>
      <c r="J152" s="13" t="str">
        <f t="shared" si="11"/>
        <v/>
      </c>
    </row>
    <row r="153" spans="1:10" ht="15.6">
      <c r="A153" s="26" t="str">
        <v xml:space="preserve"> O'Brien Hill #2</v>
      </c>
      <c r="B153" s="27" t="str">
        <v>NY</v>
      </c>
      <c r="C153" s="27" t="str">
        <f>Sites[[#This Row],[SOL'#]]</f>
        <v>SOL-11099</v>
      </c>
      <c r="D153" s="16">
        <f>SUM(Apr!D153,May!D153,Jun!D153)</f>
        <v>0</v>
      </c>
      <c r="E153" s="16">
        <f>SUM(Apr!E153,May!E153,Jun!E153)</f>
        <v>0</v>
      </c>
      <c r="F153" s="14">
        <f t="shared" si="9"/>
        <v>0</v>
      </c>
      <c r="G153" s="15" t="str">
        <f t="shared" si="10"/>
        <v/>
      </c>
      <c r="H153" s="16">
        <f>SUM(Apr!H153,May!H153,Jun!H153)</f>
        <v>0</v>
      </c>
      <c r="I153" s="16">
        <f>SUM(Apr!I153,May!I153,Jun!I153)</f>
        <v>0</v>
      </c>
      <c r="J153" s="15" t="str">
        <f t="shared" si="11"/>
        <v/>
      </c>
    </row>
    <row r="154" spans="1:10" ht="15.6">
      <c r="A154" s="24" t="str">
        <v>Trinity - Freeport</v>
      </c>
      <c r="B154" s="25" t="str">
        <v>IL</v>
      </c>
      <c r="C154" s="25" t="str">
        <f>Sites[[#This Row],[SOL'#]]</f>
        <v>SOL-11057</v>
      </c>
      <c r="D154" s="20">
        <f>SUM(Apr!D154,May!D154,Jun!D154)</f>
        <v>0</v>
      </c>
      <c r="E154" s="10">
        <f>SUM(Apr!E154,May!E154,Jun!E154)</f>
        <v>0</v>
      </c>
      <c r="F154" s="10">
        <f t="shared" si="9"/>
        <v>0</v>
      </c>
      <c r="G154" s="11" t="str">
        <f t="shared" si="10"/>
        <v/>
      </c>
      <c r="H154" s="12">
        <f>SUM(Apr!H154,May!H154,Jun!H154)</f>
        <v>0</v>
      </c>
      <c r="I154" s="12">
        <f>SUM(Apr!I154,May!I154,Jun!I154)</f>
        <v>0</v>
      </c>
      <c r="J154" s="13" t="str">
        <f t="shared" si="11"/>
        <v/>
      </c>
    </row>
    <row r="155" spans="1:10" ht="15.6">
      <c r="A155" s="26" t="str">
        <v>Ransom</v>
      </c>
      <c r="B155" s="27" t="str">
        <v>NY</v>
      </c>
      <c r="C155" s="27" t="str">
        <f>Sites[[#This Row],[SOL'#]]</f>
        <v>SOL-11157</v>
      </c>
      <c r="D155" s="16">
        <f>SUM(Apr!D155,May!D155,Jun!D155)</f>
        <v>0</v>
      </c>
      <c r="E155" s="16">
        <f>SUM(Apr!E155,May!E155,Jun!E155)</f>
        <v>0</v>
      </c>
      <c r="F155" s="14">
        <f t="shared" si="9"/>
        <v>0</v>
      </c>
      <c r="G155" s="15" t="str">
        <f t="shared" si="10"/>
        <v/>
      </c>
      <c r="H155" s="16">
        <f>SUM(Apr!H155,May!H155,Jun!H155)</f>
        <v>0</v>
      </c>
      <c r="I155" s="16">
        <f>SUM(Apr!I155,May!I155,Jun!I155)</f>
        <v>0</v>
      </c>
      <c r="J155" s="15" t="str">
        <f t="shared" si="11"/>
        <v/>
      </c>
    </row>
    <row r="156" spans="1:10" ht="15.6">
      <c r="A156" s="24" t="str">
        <v>Horseheads - Wedge</v>
      </c>
      <c r="B156" s="25" t="str">
        <v>NY</v>
      </c>
      <c r="C156" s="25" t="str">
        <f>Sites[[#This Row],[SOL'#]]</f>
        <v>SOL-11160</v>
      </c>
      <c r="D156" s="20">
        <f>SUM(Apr!D156,May!D156,Jun!D156)</f>
        <v>0</v>
      </c>
      <c r="E156" s="10">
        <f>SUM(Apr!E156,May!E156,Jun!E156)</f>
        <v>0</v>
      </c>
      <c r="F156" s="10">
        <f t="shared" si="9"/>
        <v>0</v>
      </c>
      <c r="G156" s="11" t="str">
        <f t="shared" si="10"/>
        <v/>
      </c>
      <c r="H156" s="12">
        <f>SUM(Apr!H156,May!H156,Jun!H156)</f>
        <v>0</v>
      </c>
      <c r="I156" s="12">
        <f>SUM(Apr!I156,May!I156,Jun!I156)</f>
        <v>0</v>
      </c>
      <c r="J156" s="13" t="str">
        <f t="shared" si="11"/>
        <v/>
      </c>
    </row>
    <row r="157" spans="1:10" ht="15.6">
      <c r="A157" s="26" t="str">
        <v>Otisville - Shoddy Hollow</v>
      </c>
      <c r="B157" s="27" t="str">
        <v>NY</v>
      </c>
      <c r="C157" s="27" t="str">
        <f>Sites[[#This Row],[SOL'#]]</f>
        <v>SOL-11185</v>
      </c>
      <c r="D157" s="16">
        <f>SUM(Apr!D157,May!D157,Jun!D157)</f>
        <v>0</v>
      </c>
      <c r="E157" s="16">
        <f>SUM(Apr!E157,May!E157,Jun!E157)</f>
        <v>0</v>
      </c>
      <c r="F157" s="14">
        <f t="shared" si="9"/>
        <v>0</v>
      </c>
      <c r="G157" s="15" t="str">
        <f t="shared" si="10"/>
        <v/>
      </c>
      <c r="H157" s="16">
        <f>SUM(Apr!H157,May!H157,Jun!H157)</f>
        <v>0</v>
      </c>
      <c r="I157" s="16">
        <f>SUM(Apr!I157,May!I157,Jun!I157)</f>
        <v>0</v>
      </c>
      <c r="J157" s="15" t="str">
        <f t="shared" si="11"/>
        <v/>
      </c>
    </row>
    <row r="158" spans="1:10" ht="15.6">
      <c r="A158" s="24" t="str">
        <v>Wellsville - Chenunda Creek</v>
      </c>
      <c r="B158" s="25" t="str">
        <v>NY</v>
      </c>
      <c r="C158" s="25" t="str">
        <f>Sites[[#This Row],[SOL'#]]</f>
        <v>SOL-11187</v>
      </c>
      <c r="D158" s="20">
        <f>SUM(Apr!D158,May!D158,Jun!D158)</f>
        <v>0</v>
      </c>
      <c r="E158" s="10">
        <f>SUM(Apr!E158,May!E158,Jun!E158)</f>
        <v>0</v>
      </c>
      <c r="F158" s="10">
        <f t="shared" si="9"/>
        <v>0</v>
      </c>
      <c r="G158" s="11" t="str">
        <f t="shared" si="10"/>
        <v/>
      </c>
      <c r="H158" s="12">
        <f>SUM(Apr!H158,May!H158,Jun!H158)</f>
        <v>0</v>
      </c>
      <c r="I158" s="12">
        <f>SUM(Apr!I158,May!I158,Jun!I158)</f>
        <v>0</v>
      </c>
      <c r="J158" s="13" t="str">
        <f t="shared" si="11"/>
        <v/>
      </c>
    </row>
    <row r="159" spans="1:10" ht="15.6">
      <c r="A159" s="26" t="str">
        <v>DC: Washington - Essex Condominium</v>
      </c>
      <c r="B159" s="27" t="str">
        <v>DC</v>
      </c>
      <c r="C159" s="27" t="str">
        <f>Sites[[#This Row],[SOL'#]]</f>
        <v>SOL-10036</v>
      </c>
      <c r="D159" s="16">
        <f>SUM(Apr!D159,May!D159,Jun!D159)</f>
        <v>0</v>
      </c>
      <c r="E159" s="16">
        <f>SUM(Apr!E159,May!E159,Jun!E159)</f>
        <v>0</v>
      </c>
      <c r="F159" s="14">
        <f t="shared" ref="F159:F173" si="12">IF(AND(ISNUMBER(D159),ISNUMBER(E159)), D159-E159, "")</f>
        <v>0</v>
      </c>
      <c r="G159" s="15" t="str">
        <f t="shared" ref="G159:G173" si="13">IFERROR(F159/E159, "")</f>
        <v/>
      </c>
      <c r="H159" s="16">
        <f>SUM(Apr!H159,May!H159,Jun!H159)</f>
        <v>0</v>
      </c>
      <c r="I159" s="16">
        <f>SUM(Apr!I159,May!I159,Jun!I159)</f>
        <v>0</v>
      </c>
      <c r="J159" s="15" t="str">
        <f t="shared" ref="J159:J173" si="14">IFERROR(I159/H159, "")</f>
        <v/>
      </c>
    </row>
    <row r="160" spans="1:10" ht="15.6">
      <c r="A160" s="24" t="str">
        <v>HI: Waipahu - 94-246 Leoku St - E.F.G.</v>
      </c>
      <c r="B160" s="25" t="str">
        <v>HI</v>
      </c>
      <c r="C160" s="25" t="str">
        <f>Sites[[#This Row],[SOL'#]]</f>
        <v>SOL-10071</v>
      </c>
      <c r="D160" s="20">
        <f>SUM(Apr!D160,May!D160,Jun!D160)</f>
        <v>0</v>
      </c>
      <c r="E160" s="10">
        <f>SUM(Apr!E160,May!E160,Jun!E160)</f>
        <v>0</v>
      </c>
      <c r="F160" s="10">
        <f t="shared" si="12"/>
        <v>0</v>
      </c>
      <c r="G160" s="11" t="str">
        <f t="shared" si="13"/>
        <v/>
      </c>
      <c r="H160" s="12">
        <f>SUM(Apr!H160,May!H160,Jun!H160)</f>
        <v>0</v>
      </c>
      <c r="I160" s="12">
        <f>SUM(Apr!I160,May!I160,Jun!I160)</f>
        <v>0</v>
      </c>
      <c r="J160" s="13" t="str">
        <f t="shared" si="14"/>
        <v/>
      </c>
    </row>
    <row r="161" spans="1:10" ht="15.6">
      <c r="A161" s="26" t="str">
        <v>HI: Waipahu - 94-099 Waipahu St - PV</v>
      </c>
      <c r="B161" s="27" t="str">
        <v>HI</v>
      </c>
      <c r="C161" s="27" t="str">
        <f>Sites[[#This Row],[SOL'#]]</f>
        <v>SOL-10068</v>
      </c>
      <c r="D161" s="16">
        <f>SUM(Apr!D161,May!D161,Jun!D161)</f>
        <v>0</v>
      </c>
      <c r="E161" s="16">
        <f>SUM(Apr!E161,May!E161,Jun!E161)</f>
        <v>0</v>
      </c>
      <c r="F161" s="14">
        <f t="shared" si="12"/>
        <v>0</v>
      </c>
      <c r="G161" s="15" t="str">
        <f t="shared" si="13"/>
        <v/>
      </c>
      <c r="H161" s="16">
        <f>SUM(Apr!H161,May!H161,Jun!H161)</f>
        <v>0</v>
      </c>
      <c r="I161" s="16">
        <f>SUM(Apr!I161,May!I161,Jun!I161)</f>
        <v>0</v>
      </c>
      <c r="J161" s="15" t="str">
        <f t="shared" si="14"/>
        <v/>
      </c>
    </row>
    <row r="162" spans="1:10" ht="15.6">
      <c r="A162" s="24" t="str">
        <v>IL: Prophetstown - 5170 Yager Road (PW)</v>
      </c>
      <c r="B162" s="25" t="str">
        <v>IL</v>
      </c>
      <c r="C162" s="25" t="str">
        <f>Sites[[#This Row],[SOL'#]]</f>
        <v>SOL-11149</v>
      </c>
      <c r="D162" s="20">
        <f>SUM(Apr!D162,May!D162,Jun!D162)</f>
        <v>0</v>
      </c>
      <c r="E162" s="10">
        <f>SUM(Apr!E162,May!E162,Jun!E162)</f>
        <v>0</v>
      </c>
      <c r="F162" s="10">
        <f t="shared" si="12"/>
        <v>0</v>
      </c>
      <c r="G162" s="11" t="str">
        <f t="shared" si="13"/>
        <v/>
      </c>
      <c r="H162" s="12">
        <f>SUM(Apr!H162,May!H162,Jun!H162)</f>
        <v>0</v>
      </c>
      <c r="I162" s="12">
        <f>SUM(Apr!I162,May!I162,Jun!I162)</f>
        <v>0</v>
      </c>
      <c r="J162" s="13" t="str">
        <f t="shared" si="14"/>
        <v/>
      </c>
    </row>
    <row r="163" spans="1:10" ht="15.6">
      <c r="A163" s="26" t="str">
        <v>IL: Viola - Goldenrod - (PW)</v>
      </c>
      <c r="B163" s="27" t="str">
        <v>IL</v>
      </c>
      <c r="C163" s="27" t="str">
        <f>Sites[[#This Row],[SOL'#]]</f>
        <v>SOL-11132</v>
      </c>
      <c r="D163" s="16">
        <f>SUM(Apr!D163,May!D163,Jun!D163)</f>
        <v>0</v>
      </c>
      <c r="E163" s="16">
        <f>SUM(Apr!E163,May!E163,Jun!E163)</f>
        <v>0</v>
      </c>
      <c r="F163" s="14">
        <f t="shared" si="12"/>
        <v>0</v>
      </c>
      <c r="G163" s="15" t="str">
        <f t="shared" si="13"/>
        <v/>
      </c>
      <c r="H163" s="16">
        <f>SUM(Apr!H163,May!H163,Jun!H163)</f>
        <v>0</v>
      </c>
      <c r="I163" s="16">
        <f>SUM(Apr!I163,May!I163,Jun!I163)</f>
        <v>0</v>
      </c>
      <c r="J163" s="15" t="str">
        <f t="shared" si="14"/>
        <v/>
      </c>
    </row>
    <row r="164" spans="1:10" ht="15.6">
      <c r="A164" s="24" t="str">
        <v>IL: Marengo - Grant - (PW)</v>
      </c>
      <c r="B164" s="25" t="str">
        <v>IL</v>
      </c>
      <c r="C164" s="25" t="str">
        <f>Sites[[#This Row],[SOL'#]]</f>
        <v>SOL-11147</v>
      </c>
      <c r="D164" s="20">
        <f>SUM(Apr!D164,May!D164,Jun!D164)</f>
        <v>0</v>
      </c>
      <c r="E164" s="10">
        <f>SUM(Apr!E164,May!E164,Jun!E164)</f>
        <v>0</v>
      </c>
      <c r="F164" s="10">
        <f t="shared" si="12"/>
        <v>0</v>
      </c>
      <c r="G164" s="11" t="str">
        <f t="shared" si="13"/>
        <v/>
      </c>
      <c r="H164" s="12">
        <f>SUM(Apr!H164,May!H164,Jun!H164)</f>
        <v>0</v>
      </c>
      <c r="I164" s="12">
        <f>SUM(Apr!I164,May!I164,Jun!I164)</f>
        <v>0</v>
      </c>
      <c r="J164" s="13" t="str">
        <f t="shared" si="14"/>
        <v/>
      </c>
    </row>
    <row r="165" spans="1:10" ht="15.6">
      <c r="A165" s="26" t="str">
        <v>NY: Cambridge - Cambridge (PW)</v>
      </c>
      <c r="B165" s="27" t="str">
        <v>NY</v>
      </c>
      <c r="C165" s="27" t="str">
        <f>Sites[[#This Row],[SOL'#]]</f>
        <v>SOL-11126</v>
      </c>
      <c r="D165" s="16">
        <f>SUM(Apr!D165,May!D165,Jun!D165)</f>
        <v>0</v>
      </c>
      <c r="E165" s="16">
        <f>SUM(Apr!E165,May!E165,Jun!E165)</f>
        <v>0</v>
      </c>
      <c r="F165" s="14">
        <f t="shared" si="12"/>
        <v>0</v>
      </c>
      <c r="G165" s="15" t="str">
        <f t="shared" si="13"/>
        <v/>
      </c>
      <c r="H165" s="16">
        <f>SUM(Apr!H165,May!H165,Jun!H165)</f>
        <v>0</v>
      </c>
      <c r="I165" s="16">
        <f>SUM(Apr!I165,May!I165,Jun!I165)</f>
        <v>0</v>
      </c>
      <c r="J165" s="15" t="str">
        <f t="shared" si="14"/>
        <v/>
      </c>
    </row>
    <row r="166" spans="1:10" ht="15.6">
      <c r="A166" s="24" t="str">
        <v>NY: Whitesville - Independence North</v>
      </c>
      <c r="B166" s="25" t="str">
        <v>NY</v>
      </c>
      <c r="C166" s="25" t="str">
        <f>Sites[[#This Row],[SOL'#]]</f>
        <v>SOL-11186</v>
      </c>
      <c r="D166" s="20">
        <f>SUM(Apr!D166,May!D166,Jun!D166)</f>
        <v>0</v>
      </c>
      <c r="E166" s="10">
        <f>SUM(Apr!E166,May!E166,Jun!E166)</f>
        <v>0</v>
      </c>
      <c r="F166" s="10">
        <f t="shared" si="12"/>
        <v>0</v>
      </c>
      <c r="G166" s="11" t="str">
        <f t="shared" si="13"/>
        <v/>
      </c>
      <c r="H166" s="12">
        <f>SUM(Apr!H166,May!H166,Jun!H166)</f>
        <v>0</v>
      </c>
      <c r="I166" s="12">
        <f>SUM(Apr!I166,May!I166,Jun!I166)</f>
        <v>0</v>
      </c>
      <c r="J166" s="13" t="str">
        <f t="shared" si="14"/>
        <v/>
      </c>
    </row>
    <row r="167" spans="1:10" ht="15.6">
      <c r="A167" s="26" t="str">
        <v>IL: Beecher - Cottage Grove North (PW)</v>
      </c>
      <c r="B167" s="27" t="str">
        <v>IL</v>
      </c>
      <c r="C167" s="27" t="str">
        <f>Sites[[#This Row],[SOL'#]]</f>
        <v>SOL-11114</v>
      </c>
      <c r="D167" s="16">
        <f>SUM(Apr!D167,May!D167,Jun!D167)</f>
        <v>0</v>
      </c>
      <c r="E167" s="16">
        <f>SUM(Apr!E167,May!E167,Jun!E167)</f>
        <v>0</v>
      </c>
      <c r="F167" s="14">
        <f t="shared" si="12"/>
        <v>0</v>
      </c>
      <c r="G167" s="15" t="str">
        <f t="shared" si="13"/>
        <v/>
      </c>
      <c r="H167" s="16">
        <f>SUM(Apr!H167,May!H167,Jun!H167)</f>
        <v>0</v>
      </c>
      <c r="I167" s="16">
        <f>SUM(Apr!I167,May!I167,Jun!I167)</f>
        <v>0</v>
      </c>
      <c r="J167" s="15" t="str">
        <f t="shared" si="14"/>
        <v/>
      </c>
    </row>
    <row r="168" spans="1:10" ht="15.6">
      <c r="A168" s="24" t="str">
        <v>IL: Beecher - Cottage Grove South (PW)</v>
      </c>
      <c r="B168" s="25" t="str">
        <v>IL</v>
      </c>
      <c r="C168" s="25" t="str">
        <f>Sites[[#This Row],[SOL'#]]</f>
        <v>SOL-11115</v>
      </c>
      <c r="D168" s="20">
        <f>SUM(Apr!D168,May!D168,Jun!D168)</f>
        <v>0</v>
      </c>
      <c r="E168" s="10">
        <f>SUM(Apr!E168,May!E168,Jun!E168)</f>
        <v>0</v>
      </c>
      <c r="F168" s="10">
        <f t="shared" si="12"/>
        <v>0</v>
      </c>
      <c r="G168" s="11" t="str">
        <f t="shared" si="13"/>
        <v/>
      </c>
      <c r="H168" s="12">
        <f>SUM(Apr!H168,May!H168,Jun!H168)</f>
        <v>0</v>
      </c>
      <c r="I168" s="12">
        <f>SUM(Apr!I168,May!I168,Jun!I168)</f>
        <v>0</v>
      </c>
      <c r="J168" s="13" t="str">
        <f t="shared" si="14"/>
        <v/>
      </c>
    </row>
    <row r="169" spans="1:10" ht="15.6">
      <c r="A169" s="26" t="str">
        <v>IL: Harvard - 9618 US HWY 14 (PW)</v>
      </c>
      <c r="B169" s="27" t="str">
        <v>IL</v>
      </c>
      <c r="C169" s="27" t="str">
        <f>Sites[[#This Row],[SOL'#]]</f>
        <v>SOL-11110</v>
      </c>
      <c r="D169" s="16">
        <f>SUM(Apr!D169,May!D169,Jun!D169)</f>
        <v>0</v>
      </c>
      <c r="E169" s="16">
        <f>SUM(Apr!E169,May!E169,Jun!E169)</f>
        <v>0</v>
      </c>
      <c r="F169" s="14">
        <f t="shared" si="12"/>
        <v>0</v>
      </c>
      <c r="G169" s="15" t="str">
        <f t="shared" si="13"/>
        <v/>
      </c>
      <c r="H169" s="16">
        <f>SUM(Apr!H169,May!H169,Jun!H169)</f>
        <v>0</v>
      </c>
      <c r="I169" s="16">
        <f>SUM(Apr!I169,May!I169,Jun!I169)</f>
        <v>0</v>
      </c>
      <c r="J169" s="15" t="str">
        <f t="shared" si="14"/>
        <v/>
      </c>
    </row>
    <row r="170" spans="1:10" ht="15.6">
      <c r="A170" s="24" t="str">
        <v>IL: Beecher - 701 E Goodenow Rd (PW)</v>
      </c>
      <c r="B170" s="25" t="str">
        <v>IL</v>
      </c>
      <c r="C170" s="25" t="str">
        <f>Sites[[#This Row],[SOL'#]]</f>
        <v>SOL-11112</v>
      </c>
      <c r="D170" s="20">
        <f>SUM(Apr!D170,May!D170,Jun!D170)</f>
        <v>0</v>
      </c>
      <c r="E170" s="10">
        <f>SUM(Apr!E170,May!E170,Jun!E170)</f>
        <v>0</v>
      </c>
      <c r="F170" s="10">
        <f t="shared" si="12"/>
        <v>0</v>
      </c>
      <c r="G170" s="11" t="str">
        <f t="shared" si="13"/>
        <v/>
      </c>
      <c r="H170" s="12">
        <f>SUM(Apr!H170,May!H170,Jun!H170)</f>
        <v>0</v>
      </c>
      <c r="I170" s="12">
        <f>SUM(Apr!I170,May!I170,Jun!I170)</f>
        <v>0</v>
      </c>
      <c r="J170" s="13" t="str">
        <f t="shared" si="14"/>
        <v/>
      </c>
    </row>
    <row r="171" spans="1:10" ht="15.6">
      <c r="A171" s="26" t="str">
        <v>NY: Stormville - Green Haven - (IRA)</v>
      </c>
      <c r="B171" s="27" t="str">
        <v>NY</v>
      </c>
      <c r="C171" s="27" t="str">
        <f>Sites[[#This Row],[SOL'#]]</f>
        <v>SOL-11151</v>
      </c>
      <c r="D171" s="16">
        <f>SUM(Apr!D171,May!D171,Jun!D171)</f>
        <v>0</v>
      </c>
      <c r="E171" s="16">
        <f>SUM(Apr!E171,May!E171,Jun!E171)</f>
        <v>0</v>
      </c>
      <c r="F171" s="14">
        <f t="shared" si="12"/>
        <v>0</v>
      </c>
      <c r="G171" s="15" t="str">
        <f t="shared" si="13"/>
        <v/>
      </c>
      <c r="H171" s="16">
        <f>SUM(Apr!H171,May!H171,Jun!H171)</f>
        <v>0</v>
      </c>
      <c r="I171" s="16">
        <f>SUM(Apr!I171,May!I171,Jun!I171)</f>
        <v>0</v>
      </c>
      <c r="J171" s="15" t="str">
        <f t="shared" si="14"/>
        <v/>
      </c>
    </row>
    <row r="172" spans="1:10" ht="15.6">
      <c r="A172" s="24" t="str">
        <v>IL: Hillsboro - Anacott (PW)</v>
      </c>
      <c r="B172" s="25" t="str">
        <v>IL</v>
      </c>
      <c r="C172" s="25" t="str">
        <f>Sites[[#This Row],[SOL'#]]</f>
        <v>SOL-11134</v>
      </c>
      <c r="D172" s="20">
        <f>SUM(Apr!D172,May!D172,Jun!D172)</f>
        <v>0</v>
      </c>
      <c r="E172" s="10">
        <f>SUM(Apr!E172,May!E172,Jun!E172)</f>
        <v>0</v>
      </c>
      <c r="F172" s="10">
        <f t="shared" si="12"/>
        <v>0</v>
      </c>
      <c r="G172" s="11" t="str">
        <f t="shared" si="13"/>
        <v/>
      </c>
      <c r="H172" s="12">
        <f>SUM(Apr!H172,May!H172,Jun!H172)</f>
        <v>0</v>
      </c>
      <c r="I172" s="12">
        <f>SUM(Apr!I172,May!I172,Jun!I172)</f>
        <v>0</v>
      </c>
      <c r="J172" s="13" t="str">
        <f t="shared" si="14"/>
        <v/>
      </c>
    </row>
    <row r="173" spans="1:10" ht="15.6">
      <c r="A173" s="26" t="str">
        <v>IL: Manhattan - Gougar (PW)</v>
      </c>
      <c r="B173" s="27" t="str">
        <v>IL</v>
      </c>
      <c r="C173" s="27" t="str">
        <f>Sites[[#This Row],[SOL'#]]</f>
        <v>SOL-11148</v>
      </c>
      <c r="D173" s="16">
        <f>SUM(Apr!D173,May!D173,Jun!D173)</f>
        <v>0</v>
      </c>
      <c r="E173" s="16">
        <f>SUM(Apr!E173,May!E173,Jun!E173)</f>
        <v>0</v>
      </c>
      <c r="F173" s="14">
        <f t="shared" si="12"/>
        <v>0</v>
      </c>
      <c r="G173" s="15" t="str">
        <f t="shared" si="13"/>
        <v/>
      </c>
      <c r="H173" s="16">
        <f>SUM(Apr!H173,May!H173,Jun!H173)</f>
        <v>0</v>
      </c>
      <c r="I173" s="16">
        <f>SUM(Apr!I173,May!I173,Jun!I173)</f>
        <v>0</v>
      </c>
      <c r="J173" s="15" t="str">
        <f t="shared" si="14"/>
        <v/>
      </c>
    </row>
    <row r="174" spans="1:10" ht="15.75">
      <c r="A174" s="24" t="str">
        <v>IL: Morrison - Sawyer (PW)</v>
      </c>
      <c r="B174" s="25" t="str">
        <v>IL</v>
      </c>
      <c r="C174" s="25" t="s">
        <v>11</v>
      </c>
      <c r="D174" s="20"/>
      <c r="E174" s="10"/>
      <c r="F174" s="10"/>
      <c r="G174" s="11"/>
      <c r="H174" s="12"/>
      <c r="I174" s="12"/>
      <c r="J174" s="13"/>
    </row>
    <row r="175" spans="1:10" ht="15.75">
      <c r="A175" s="26" t="str">
        <v>IL: Kankakee - Jeffery (PW)</v>
      </c>
      <c r="B175" s="27" t="str">
        <v>IL</v>
      </c>
      <c r="C175" s="27" t="s">
        <v>12</v>
      </c>
      <c r="D175" s="16"/>
      <c r="E175" s="16"/>
      <c r="F175" s="14"/>
      <c r="G175" s="15"/>
      <c r="H175" s="16"/>
      <c r="I175" s="16"/>
      <c r="J175" s="15"/>
    </row>
    <row r="176" spans="1:10" ht="15.75">
      <c r="A176" s="24" t="str">
        <v>IL: Freeport - 2240 South 18th Ave (PW)</v>
      </c>
      <c r="B176" s="25" t="str">
        <v>IL</v>
      </c>
      <c r="C176" s="25" t="s">
        <v>13</v>
      </c>
      <c r="D176" s="20"/>
      <c r="E176" s="10"/>
      <c r="F176" s="10"/>
      <c r="G176" s="11"/>
      <c r="H176" s="12"/>
      <c r="I176" s="12"/>
      <c r="J176" s="13"/>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ht="14.45">
      <c r="J201" s="15" t="str">
        <f t="shared" ref="J201" si="15">IFERROR(I201/H201, "")</f>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50" priority="23" stopIfTrue="1" operator="lessThanOrEqual">
      <formula>-0.1</formula>
    </cfRule>
    <cfRule type="expression" dxfId="49" priority="24">
      <formula>AND(ISNUMBER(G2), G2&gt;=0.1)</formula>
    </cfRule>
  </conditionalFormatting>
  <conditionalFormatting sqref="G4:G176 J4:J201">
    <cfRule type="cellIs" dxfId="48" priority="1" stopIfTrue="1" operator="lessThanOrEqual">
      <formula>-0.1</formula>
    </cfRule>
    <cfRule type="expression" dxfId="47"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50"/>
  <sheetViews>
    <sheetView workbookViewId="0">
      <pane xSplit="2" ySplit="3" topLeftCell="C168" activePane="bottomRight" state="frozen"/>
      <selection pane="bottomRight" activeCell="C174" sqref="C174:C176"/>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3.7109375" customWidth="1"/>
    <col min="5" max="6" width="13.28515625" customWidth="1"/>
    <col min="7" max="7" width="13.28515625" style="1" customWidth="1"/>
    <col min="8" max="9" width="13.28515625" customWidth="1"/>
    <col min="10" max="10" width="13.28515625" style="1" customWidth="1"/>
  </cols>
  <sheetData>
    <row r="1" spans="1:10" ht="19.5" customHeight="1">
      <c r="A1" s="195" t="str" cm="1">
        <f t="array" ref="A1">portfolio</f>
        <v>Generate Capital</v>
      </c>
      <c r="B1" s="195"/>
      <c r="C1" s="195"/>
      <c r="D1" s="195"/>
      <c r="E1" s="196" t="s">
        <v>18</v>
      </c>
      <c r="F1" s="196"/>
      <c r="G1" s="196"/>
      <c r="H1" s="194" t="s">
        <v>19</v>
      </c>
      <c r="I1" s="194"/>
      <c r="J1" s="194"/>
    </row>
    <row r="2" spans="1:10" ht="19.5" customHeight="1">
      <c r="A2" s="197" t="s">
        <v>2</v>
      </c>
      <c r="B2" s="197"/>
      <c r="C2" s="57"/>
      <c r="D2" s="5">
        <f>SUM(D4:D200)</f>
        <v>0</v>
      </c>
      <c r="E2" s="5">
        <f>SUM(E4:E200)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6">Sites[Site]</f>
        <v>K026</v>
      </c>
      <c r="B4" s="27" t="str" cm="1">
        <f t="array" ref="B4:B176">Sites[State]</f>
        <v>NY</v>
      </c>
      <c r="C4" s="27" t="str">
        <f>Sites[[#This Row],[SOL'#]]</f>
        <v>SOL-10356</v>
      </c>
      <c r="D4" s="9">
        <f>SUM(Jul!D4, Aug!D4, Sep!D4)</f>
        <v>0</v>
      </c>
      <c r="E4" s="14">
        <f>SUM(Jul!E4, Aug!E4, Sep!E4)</f>
        <v>0</v>
      </c>
      <c r="F4" s="14">
        <f t="shared" ref="F4:F5" si="0">IF(AND(ISNUMBER(D4),ISNUMBER(E4)), D4-E4, "")</f>
        <v>0</v>
      </c>
      <c r="G4" s="15" t="str">
        <f t="shared" ref="G4:G63" si="1">IFERROR(F4/E4, "")</f>
        <v/>
      </c>
      <c r="H4" s="16">
        <f>SUM(Jul!H4,Aug!H4,Sep!H4)</f>
        <v>0</v>
      </c>
      <c r="I4" s="16">
        <f>SUM(Jul!I4, Aug!I4, Sep!I4)</f>
        <v>0</v>
      </c>
      <c r="J4" s="15" t="str">
        <f t="shared" ref="J4:J67" si="2">IFERROR(I4/H4, "")</f>
        <v/>
      </c>
    </row>
    <row r="5" spans="1:10" ht="15.6">
      <c r="A5" s="24" t="str">
        <v>K041</v>
      </c>
      <c r="B5" s="25" t="str">
        <v>NY</v>
      </c>
      <c r="C5" s="25" t="str">
        <f>Sites[[#This Row],[SOL'#]]</f>
        <v>SOL-10357</v>
      </c>
      <c r="D5" s="20">
        <f>SUM(Jul!D5, Aug!D5, Sep!D5)</f>
        <v>0</v>
      </c>
      <c r="E5" s="10">
        <f>SUM(Jul!E5, Aug!E5, Sep!E5)</f>
        <v>0</v>
      </c>
      <c r="F5" s="10">
        <f t="shared" si="0"/>
        <v>0</v>
      </c>
      <c r="G5" s="11" t="str">
        <f t="shared" si="1"/>
        <v/>
      </c>
      <c r="H5" s="12">
        <f>SUM(Jul!H5,Aug!H5,Sep!H5)</f>
        <v>0</v>
      </c>
      <c r="I5" s="12">
        <f>SUM(Jul!I5, Aug!I5, Sep!I5)</f>
        <v>0</v>
      </c>
      <c r="J5" s="13" t="str">
        <f t="shared" si="2"/>
        <v/>
      </c>
    </row>
    <row r="6" spans="1:10" ht="15.6">
      <c r="A6" s="26" t="str">
        <v>K043</v>
      </c>
      <c r="B6" s="27" t="str">
        <v>NY</v>
      </c>
      <c r="C6" s="27" t="str">
        <f>Sites[[#This Row],[SOL'#]]</f>
        <v>SOL-10358</v>
      </c>
      <c r="D6" s="9">
        <f>SUM(Jul!D6, Aug!D6, Sep!D6)</f>
        <v>0</v>
      </c>
      <c r="E6" s="14">
        <f>SUM(Jul!E6, Aug!E6, Sep!E6)</f>
        <v>0</v>
      </c>
      <c r="F6" s="14">
        <f t="shared" ref="F6:F37" si="3">IF(AND(ISNUMBER(D6),ISNUMBER(E6)), D6-E6, "")</f>
        <v>0</v>
      </c>
      <c r="G6" s="15" t="str">
        <f t="shared" si="1"/>
        <v/>
      </c>
      <c r="H6" s="16">
        <f>SUM(Jul!H6,Aug!H6,Sep!H6)</f>
        <v>0</v>
      </c>
      <c r="I6" s="16">
        <f>SUM(Jul!I6, Aug!I6, Sep!I6)</f>
        <v>0</v>
      </c>
      <c r="J6" s="15" t="str">
        <f t="shared" si="2"/>
        <v/>
      </c>
    </row>
    <row r="7" spans="1:10" ht="15.6">
      <c r="A7" s="24" t="str">
        <v>K058</v>
      </c>
      <c r="B7" s="25" t="str">
        <v>NY</v>
      </c>
      <c r="C7" s="25" t="str">
        <f>Sites[[#This Row],[SOL'#]]</f>
        <v>SOL-10360</v>
      </c>
      <c r="D7" s="20">
        <f>SUM(Jul!D7, Aug!D7, Sep!D7)</f>
        <v>0</v>
      </c>
      <c r="E7" s="10">
        <f>SUM(Jul!E7, Aug!E7, Sep!E7)</f>
        <v>0</v>
      </c>
      <c r="F7" s="10">
        <f t="shared" si="3"/>
        <v>0</v>
      </c>
      <c r="G7" s="11" t="str">
        <f t="shared" si="1"/>
        <v/>
      </c>
      <c r="H7" s="12">
        <f>SUM(Jul!H7,Aug!H7,Sep!H7)</f>
        <v>0</v>
      </c>
      <c r="I7" s="12">
        <f>SUM(Jul!I7, Aug!I7, Sep!I7)</f>
        <v>0</v>
      </c>
      <c r="J7" s="13" t="str">
        <f t="shared" si="2"/>
        <v/>
      </c>
    </row>
    <row r="8" spans="1:10" ht="15.6">
      <c r="A8" s="26" t="str">
        <v>K115</v>
      </c>
      <c r="B8" s="27" t="str">
        <v>NY</v>
      </c>
      <c r="C8" s="27" t="str">
        <f>Sites[[#This Row],[SOL'#]]</f>
        <v>SOL-10361</v>
      </c>
      <c r="D8" s="9">
        <f>SUM(Jul!D8, Aug!D8, Sep!D8)</f>
        <v>0</v>
      </c>
      <c r="E8" s="14">
        <f>SUM(Jul!E8, Aug!E8, Sep!E8)</f>
        <v>0</v>
      </c>
      <c r="F8" s="14">
        <f t="shared" si="3"/>
        <v>0</v>
      </c>
      <c r="G8" s="15" t="str">
        <f t="shared" si="1"/>
        <v/>
      </c>
      <c r="H8" s="16">
        <f>SUM(Jul!H8,Aug!H8,Sep!H8)</f>
        <v>0</v>
      </c>
      <c r="I8" s="16">
        <f>SUM(Jul!I8, Aug!I8, Sep!I8)</f>
        <v>0</v>
      </c>
      <c r="J8" s="15" t="str">
        <f t="shared" si="2"/>
        <v/>
      </c>
    </row>
    <row r="9" spans="1:10" ht="15.6">
      <c r="A9" s="24" t="str">
        <v>K152</v>
      </c>
      <c r="B9" s="25" t="str">
        <v>NY</v>
      </c>
      <c r="C9" s="25" t="str">
        <f>Sites[[#This Row],[SOL'#]]</f>
        <v>SOL-10362</v>
      </c>
      <c r="D9" s="20">
        <f>SUM(Jul!D9, Aug!D9, Sep!D9)</f>
        <v>0</v>
      </c>
      <c r="E9" s="10">
        <f>SUM(Jul!E9, Aug!E9, Sep!E9)</f>
        <v>0</v>
      </c>
      <c r="F9" s="10">
        <f t="shared" si="3"/>
        <v>0</v>
      </c>
      <c r="G9" s="11" t="str">
        <f t="shared" si="1"/>
        <v/>
      </c>
      <c r="H9" s="12">
        <f>SUM(Jul!H9,Aug!H9,Sep!H9)</f>
        <v>0</v>
      </c>
      <c r="I9" s="12">
        <f>SUM(Jul!I9, Aug!I9, Sep!I9)</f>
        <v>0</v>
      </c>
      <c r="J9" s="13" t="str">
        <f t="shared" si="2"/>
        <v/>
      </c>
    </row>
    <row r="10" spans="1:10" ht="15.6">
      <c r="A10" s="26" t="str">
        <v>K166</v>
      </c>
      <c r="B10" s="27" t="str">
        <v>NY</v>
      </c>
      <c r="C10" s="27" t="str">
        <f>Sites[[#This Row],[SOL'#]]</f>
        <v>SOL-10363</v>
      </c>
      <c r="D10" s="9">
        <f>SUM(Jul!D10, Aug!D10, Sep!D10)</f>
        <v>0</v>
      </c>
      <c r="E10" s="14">
        <f>SUM(Jul!E10, Aug!E10, Sep!E10)</f>
        <v>0</v>
      </c>
      <c r="F10" s="14">
        <f t="shared" si="3"/>
        <v>0</v>
      </c>
      <c r="G10" s="15" t="str">
        <f t="shared" si="1"/>
        <v/>
      </c>
      <c r="H10" s="16">
        <f>SUM(Jul!H10,Aug!H10,Sep!H10)</f>
        <v>0</v>
      </c>
      <c r="I10" s="16">
        <f>SUM(Jul!I10, Aug!I10, Sep!I10)</f>
        <v>0</v>
      </c>
      <c r="J10" s="15" t="str">
        <f t="shared" si="2"/>
        <v/>
      </c>
    </row>
    <row r="11" spans="1:10" ht="15.6">
      <c r="A11" s="24" t="str">
        <v>K206</v>
      </c>
      <c r="B11" s="25" t="str">
        <v>NY</v>
      </c>
      <c r="C11" s="25" t="str">
        <f>Sites[[#This Row],[SOL'#]]</f>
        <v>SOL-10927</v>
      </c>
      <c r="D11" s="20">
        <f>SUM(Jul!D11, Aug!D11, Sep!D11)</f>
        <v>0</v>
      </c>
      <c r="E11" s="10">
        <f>SUM(Jul!E11, Aug!E11, Sep!E11)</f>
        <v>0</v>
      </c>
      <c r="F11" s="10">
        <f t="shared" si="3"/>
        <v>0</v>
      </c>
      <c r="G11" s="11" t="str">
        <f t="shared" si="1"/>
        <v/>
      </c>
      <c r="H11" s="12">
        <f>SUM(Jul!H11,Aug!H11,Sep!H11)</f>
        <v>0</v>
      </c>
      <c r="I11" s="12">
        <f>SUM(Jul!I11, Aug!I11, Sep!I11)</f>
        <v>0</v>
      </c>
      <c r="J11" s="13" t="str">
        <f t="shared" si="2"/>
        <v/>
      </c>
    </row>
    <row r="12" spans="1:10" ht="15.6">
      <c r="A12" s="26" t="str">
        <v>K251</v>
      </c>
      <c r="B12" s="27" t="str">
        <v>NY</v>
      </c>
      <c r="C12" s="27" t="str">
        <f>Sites[[#This Row],[SOL'#]]</f>
        <v>SOL-10365</v>
      </c>
      <c r="D12" s="9">
        <f>SUM(Jul!D12, Aug!D12, Sep!D12)</f>
        <v>0</v>
      </c>
      <c r="E12" s="14">
        <f>SUM(Jul!E12, Aug!E12, Sep!E12)</f>
        <v>0</v>
      </c>
      <c r="F12" s="14">
        <f t="shared" si="3"/>
        <v>0</v>
      </c>
      <c r="G12" s="15" t="str">
        <f t="shared" si="1"/>
        <v/>
      </c>
      <c r="H12" s="16">
        <f>SUM(Jul!H12,Aug!H12,Sep!H12)</f>
        <v>0</v>
      </c>
      <c r="I12" s="16">
        <f>SUM(Jul!I12, Aug!I12, Sep!I12)</f>
        <v>0</v>
      </c>
      <c r="J12" s="15" t="str">
        <f t="shared" si="2"/>
        <v/>
      </c>
    </row>
    <row r="13" spans="1:10" ht="15.6">
      <c r="A13" s="24" t="str">
        <v>K269</v>
      </c>
      <c r="B13" s="25" t="str">
        <v>NY</v>
      </c>
      <c r="C13" s="25" t="str">
        <f>Sites[[#This Row],[SOL'#]]</f>
        <v>SOL-10366</v>
      </c>
      <c r="D13" s="20">
        <f>SUM(Jul!D13, Aug!D13, Sep!D13)</f>
        <v>0</v>
      </c>
      <c r="E13" s="10">
        <f>SUM(Jul!E13, Aug!E13, Sep!E13)</f>
        <v>0</v>
      </c>
      <c r="F13" s="10">
        <f t="shared" si="3"/>
        <v>0</v>
      </c>
      <c r="G13" s="11" t="str">
        <f t="shared" si="1"/>
        <v/>
      </c>
      <c r="H13" s="12">
        <f>SUM(Jul!H13,Aug!H13,Sep!H13)</f>
        <v>0</v>
      </c>
      <c r="I13" s="12">
        <f>SUM(Jul!I13, Aug!I13, Sep!I13)</f>
        <v>0</v>
      </c>
      <c r="J13" s="13" t="str">
        <f t="shared" si="2"/>
        <v/>
      </c>
    </row>
    <row r="14" spans="1:10" ht="15.6">
      <c r="A14" s="26" t="str">
        <v>K273</v>
      </c>
      <c r="B14" s="27" t="str">
        <v>NY</v>
      </c>
      <c r="C14" s="27" t="str">
        <f>Sites[[#This Row],[SOL'#]]</f>
        <v>SOL-10367</v>
      </c>
      <c r="D14" s="9">
        <f>SUM(Jul!D14, Aug!D14, Sep!D14)</f>
        <v>0</v>
      </c>
      <c r="E14" s="14">
        <f>SUM(Jul!E14, Aug!E14, Sep!E14)</f>
        <v>0</v>
      </c>
      <c r="F14" s="14">
        <f t="shared" si="3"/>
        <v>0</v>
      </c>
      <c r="G14" s="15" t="str">
        <f t="shared" si="1"/>
        <v/>
      </c>
      <c r="H14" s="16">
        <f>SUM(Jul!H14,Aug!H14,Sep!H14)</f>
        <v>0</v>
      </c>
      <c r="I14" s="16">
        <f>SUM(Jul!I14, Aug!I14, Sep!I14)</f>
        <v>0</v>
      </c>
      <c r="J14" s="15" t="str">
        <f t="shared" si="2"/>
        <v/>
      </c>
    </row>
    <row r="15" spans="1:10" ht="15.6">
      <c r="A15" s="24" t="str">
        <v>K287</v>
      </c>
      <c r="B15" s="25" t="str">
        <v>NY</v>
      </c>
      <c r="C15" s="25" t="str">
        <f>Sites[[#This Row],[SOL'#]]</f>
        <v>SOL-10919</v>
      </c>
      <c r="D15" s="20">
        <f>SUM(Jul!D15, Aug!D15, Sep!D15)</f>
        <v>0</v>
      </c>
      <c r="E15" s="10">
        <f>SUM(Jul!E15, Aug!E15, Sep!E15)</f>
        <v>0</v>
      </c>
      <c r="F15" s="10">
        <f t="shared" si="3"/>
        <v>0</v>
      </c>
      <c r="G15" s="11" t="str">
        <f t="shared" si="1"/>
        <v/>
      </c>
      <c r="H15" s="12">
        <f>SUM(Jul!H15,Aug!H15,Sep!H15)</f>
        <v>0</v>
      </c>
      <c r="I15" s="12">
        <f>SUM(Jul!I15, Aug!I15, Sep!I15)</f>
        <v>0</v>
      </c>
      <c r="J15" s="13" t="str">
        <f t="shared" si="2"/>
        <v/>
      </c>
    </row>
    <row r="16" spans="1:10" ht="15.6">
      <c r="A16" s="26" t="str">
        <v>K298</v>
      </c>
      <c r="B16" s="27" t="str">
        <v>NY</v>
      </c>
      <c r="C16" s="27" t="str">
        <f>Sites[[#This Row],[SOL'#]]</f>
        <v>SOL-10368</v>
      </c>
      <c r="D16" s="9">
        <f>SUM(Jul!D16, Aug!D16, Sep!D16)</f>
        <v>0</v>
      </c>
      <c r="E16" s="14">
        <f>SUM(Jul!E16, Aug!E16, Sep!E16)</f>
        <v>0</v>
      </c>
      <c r="F16" s="14">
        <f t="shared" si="3"/>
        <v>0</v>
      </c>
      <c r="G16" s="15" t="str">
        <f t="shared" si="1"/>
        <v/>
      </c>
      <c r="H16" s="16">
        <f>SUM(Jul!H16,Aug!H16,Sep!H16)</f>
        <v>0</v>
      </c>
      <c r="I16" s="16">
        <f>SUM(Jul!I16, Aug!I16, Sep!I16)</f>
        <v>0</v>
      </c>
      <c r="J16" s="15" t="str">
        <f t="shared" si="2"/>
        <v/>
      </c>
    </row>
    <row r="17" spans="1:10" ht="15.6">
      <c r="A17" s="24" t="str">
        <v>K335</v>
      </c>
      <c r="B17" s="25" t="str">
        <v>NY</v>
      </c>
      <c r="C17" s="25" t="str">
        <f>Sites[[#This Row],[SOL'#]]</f>
        <v>SOL-10370</v>
      </c>
      <c r="D17" s="20">
        <f>SUM(Jul!D17, Aug!D17, Sep!D17)</f>
        <v>0</v>
      </c>
      <c r="E17" s="10">
        <f>SUM(Jul!E17, Aug!E17, Sep!E17)</f>
        <v>0</v>
      </c>
      <c r="F17" s="10">
        <f t="shared" si="3"/>
        <v>0</v>
      </c>
      <c r="G17" s="11" t="str">
        <f t="shared" si="1"/>
        <v/>
      </c>
      <c r="H17" s="12">
        <f>SUM(Jul!H17,Aug!H17,Sep!H17)</f>
        <v>0</v>
      </c>
      <c r="I17" s="12">
        <f>SUM(Jul!I17, Aug!I17, Sep!I17)</f>
        <v>0</v>
      </c>
      <c r="J17" s="13" t="str">
        <f t="shared" si="2"/>
        <v/>
      </c>
    </row>
    <row r="18" spans="1:10" ht="15.6">
      <c r="A18" s="26" t="str">
        <v>K345</v>
      </c>
      <c r="B18" s="27" t="str">
        <v>NY</v>
      </c>
      <c r="C18" s="27" t="str">
        <f>Sites[[#This Row],[SOL'#]]</f>
        <v>SOL-10920</v>
      </c>
      <c r="D18" s="9">
        <f>SUM(Jul!D18, Aug!D18, Sep!D18)</f>
        <v>0</v>
      </c>
      <c r="E18" s="14">
        <f>SUM(Jul!E18, Aug!E18, Sep!E18)</f>
        <v>0</v>
      </c>
      <c r="F18" s="14">
        <f t="shared" si="3"/>
        <v>0</v>
      </c>
      <c r="G18" s="15" t="str">
        <f t="shared" si="1"/>
        <v/>
      </c>
      <c r="H18" s="16">
        <f>SUM(Jul!H18,Aug!H18,Sep!H18)</f>
        <v>0</v>
      </c>
      <c r="I18" s="16">
        <f>SUM(Jul!I18, Aug!I18, Sep!I18)</f>
        <v>0</v>
      </c>
      <c r="J18" s="15" t="str">
        <f t="shared" si="2"/>
        <v/>
      </c>
    </row>
    <row r="19" spans="1:10" ht="15.6">
      <c r="A19" s="24" t="str">
        <v>K445</v>
      </c>
      <c r="B19" s="25" t="str">
        <v>NY</v>
      </c>
      <c r="C19" s="25" t="str">
        <f>Sites[[#This Row],[SOL'#]]</f>
        <v>SOL-10373</v>
      </c>
      <c r="D19" s="20">
        <f>SUM(Jul!D19, Aug!D19, Sep!D19)</f>
        <v>0</v>
      </c>
      <c r="E19" s="10">
        <f>SUM(Jul!E19, Aug!E19, Sep!E19)</f>
        <v>0</v>
      </c>
      <c r="F19" s="10">
        <f t="shared" si="3"/>
        <v>0</v>
      </c>
      <c r="G19" s="11" t="str">
        <f t="shared" si="1"/>
        <v/>
      </c>
      <c r="H19" s="12">
        <f>SUM(Jul!H19,Aug!H19,Sep!H19)</f>
        <v>0</v>
      </c>
      <c r="I19" s="12">
        <f>SUM(Jul!I19, Aug!I19, Sep!I19)</f>
        <v>0</v>
      </c>
      <c r="J19" s="13" t="str">
        <f t="shared" si="2"/>
        <v/>
      </c>
    </row>
    <row r="20" spans="1:10" ht="15.6">
      <c r="A20" s="26" t="str">
        <v>K495</v>
      </c>
      <c r="B20" s="27" t="str">
        <v>NY</v>
      </c>
      <c r="C20" s="27" t="str">
        <f>Sites[[#This Row],[SOL'#]]</f>
        <v>SOL-10374</v>
      </c>
      <c r="D20" s="9">
        <f>SUM(Jul!D20, Aug!D20, Sep!D20)</f>
        <v>0</v>
      </c>
      <c r="E20" s="14">
        <f>SUM(Jul!E20, Aug!E20, Sep!E20)</f>
        <v>0</v>
      </c>
      <c r="F20" s="14">
        <f t="shared" si="3"/>
        <v>0</v>
      </c>
      <c r="G20" s="15" t="str">
        <f t="shared" si="1"/>
        <v/>
      </c>
      <c r="H20" s="16">
        <f>SUM(Jul!H20,Aug!H20,Sep!H20)</f>
        <v>0</v>
      </c>
      <c r="I20" s="16">
        <f>SUM(Jul!I20, Aug!I20, Sep!I20)</f>
        <v>0</v>
      </c>
      <c r="J20" s="15" t="str">
        <f t="shared" si="2"/>
        <v/>
      </c>
    </row>
    <row r="21" spans="1:10" ht="15.6">
      <c r="A21" s="24" t="str">
        <v>M020</v>
      </c>
      <c r="B21" s="25" t="str">
        <v>NY</v>
      </c>
      <c r="C21" s="25" t="str">
        <f>Sites[[#This Row],[SOL'#]]</f>
        <v>SOL-10380</v>
      </c>
      <c r="D21" s="20">
        <f>SUM(Jul!D21, Aug!D21, Sep!D21)</f>
        <v>0</v>
      </c>
      <c r="E21" s="10">
        <f>SUM(Jul!E21, Aug!E21, Sep!E21)</f>
        <v>0</v>
      </c>
      <c r="F21" s="10">
        <f t="shared" si="3"/>
        <v>0</v>
      </c>
      <c r="G21" s="11" t="str">
        <f t="shared" si="1"/>
        <v/>
      </c>
      <c r="H21" s="12">
        <f>SUM(Jul!H21,Aug!H21,Sep!H21)</f>
        <v>0</v>
      </c>
      <c r="I21" s="12">
        <f>SUM(Jul!I21, Aug!I21, Sep!I21)</f>
        <v>0</v>
      </c>
      <c r="J21" s="13" t="str">
        <f t="shared" si="2"/>
        <v/>
      </c>
    </row>
    <row r="22" spans="1:10" ht="15.6">
      <c r="A22" s="26" t="str">
        <v>M092</v>
      </c>
      <c r="B22" s="27" t="str">
        <v>NY</v>
      </c>
      <c r="C22" s="27" t="str">
        <f>Sites[[#This Row],[SOL'#]]</f>
        <v>SOL-10383</v>
      </c>
      <c r="D22" s="9">
        <f>SUM(Jul!D22, Aug!D22, Sep!D22)</f>
        <v>0</v>
      </c>
      <c r="E22" s="14">
        <f>SUM(Jul!E22, Aug!E22, Sep!E22)</f>
        <v>0</v>
      </c>
      <c r="F22" s="14">
        <f t="shared" si="3"/>
        <v>0</v>
      </c>
      <c r="G22" s="15" t="str">
        <f t="shared" si="1"/>
        <v/>
      </c>
      <c r="H22" s="16">
        <f>SUM(Jul!H22,Aug!H22,Sep!H22)</f>
        <v>0</v>
      </c>
      <c r="I22" s="16">
        <f>SUM(Jul!I22, Aug!I22, Sep!I22)</f>
        <v>0</v>
      </c>
      <c r="J22" s="15" t="str">
        <f t="shared" si="2"/>
        <v/>
      </c>
    </row>
    <row r="23" spans="1:10" ht="15.6">
      <c r="A23" s="24" t="str">
        <v>M143</v>
      </c>
      <c r="B23" s="25" t="str">
        <v>NY</v>
      </c>
      <c r="C23" s="25" t="str">
        <f>Sites[[#This Row],[SOL'#]]</f>
        <v>SOL-10384</v>
      </c>
      <c r="D23" s="20">
        <f>SUM(Jul!D23, Aug!D23, Sep!D23)</f>
        <v>0</v>
      </c>
      <c r="E23" s="10">
        <f>SUM(Jul!E23, Aug!E23, Sep!E23)</f>
        <v>0</v>
      </c>
      <c r="F23" s="10">
        <f t="shared" si="3"/>
        <v>0</v>
      </c>
      <c r="G23" s="11" t="str">
        <f t="shared" si="1"/>
        <v/>
      </c>
      <c r="H23" s="12">
        <f>SUM(Jul!H23,Aug!H23,Sep!H23)</f>
        <v>0</v>
      </c>
      <c r="I23" s="12">
        <f>SUM(Jul!I23, Aug!I23, Sep!I23)</f>
        <v>0</v>
      </c>
      <c r="J23" s="13" t="str">
        <f t="shared" si="2"/>
        <v/>
      </c>
    </row>
    <row r="24" spans="1:10" ht="15.6">
      <c r="A24" s="26" t="str">
        <v>M144</v>
      </c>
      <c r="B24" s="27" t="str">
        <v>NY</v>
      </c>
      <c r="C24" s="27" t="str">
        <f>Sites[[#This Row],[SOL'#]]</f>
        <v>SOL-10385</v>
      </c>
      <c r="D24" s="9">
        <f>SUM(Jul!D24, Aug!D24, Sep!D24)</f>
        <v>0</v>
      </c>
      <c r="E24" s="14">
        <f>SUM(Jul!E24, Aug!E24, Sep!E24)</f>
        <v>0</v>
      </c>
      <c r="F24" s="14">
        <f t="shared" si="3"/>
        <v>0</v>
      </c>
      <c r="G24" s="15" t="str">
        <f t="shared" si="1"/>
        <v/>
      </c>
      <c r="H24" s="16">
        <f>SUM(Jul!H24,Aug!H24,Sep!H24)</f>
        <v>0</v>
      </c>
      <c r="I24" s="16">
        <f>SUM(Jul!I24, Aug!I24, Sep!I24)</f>
        <v>0</v>
      </c>
      <c r="J24" s="15" t="str">
        <f t="shared" si="2"/>
        <v/>
      </c>
    </row>
    <row r="25" spans="1:10" ht="15.6">
      <c r="A25" s="24" t="str">
        <v>M167</v>
      </c>
      <c r="B25" s="25" t="str">
        <v>NY</v>
      </c>
      <c r="C25" s="25" t="str">
        <f>Sites[[#This Row],[SOL'#]]</f>
        <v>SOL-10386</v>
      </c>
      <c r="D25" s="20">
        <f>SUM(Jul!D25, Aug!D25, Sep!D25)</f>
        <v>0</v>
      </c>
      <c r="E25" s="10">
        <f>SUM(Jul!E25, Aug!E25, Sep!E25)</f>
        <v>0</v>
      </c>
      <c r="F25" s="10">
        <f t="shared" si="3"/>
        <v>0</v>
      </c>
      <c r="G25" s="11" t="str">
        <f t="shared" si="1"/>
        <v/>
      </c>
      <c r="H25" s="12">
        <f>SUM(Jul!H25,Aug!H25,Sep!H25)</f>
        <v>0</v>
      </c>
      <c r="I25" s="12">
        <f>SUM(Jul!I25, Aug!I25, Sep!I25)</f>
        <v>0</v>
      </c>
      <c r="J25" s="13" t="str">
        <f t="shared" si="2"/>
        <v/>
      </c>
    </row>
    <row r="26" spans="1:10" ht="15.6">
      <c r="A26" s="26" t="str">
        <v>M188</v>
      </c>
      <c r="B26" s="27" t="str">
        <v>NY</v>
      </c>
      <c r="C26" s="27" t="str">
        <f>Sites[[#This Row],[SOL'#]]</f>
        <v>SOL-10387</v>
      </c>
      <c r="D26" s="9">
        <f>SUM(Jul!D26, Aug!D26, Sep!D26)</f>
        <v>0</v>
      </c>
      <c r="E26" s="14">
        <f>SUM(Jul!E26, Aug!E26, Sep!E26)</f>
        <v>0</v>
      </c>
      <c r="F26" s="14">
        <f t="shared" si="3"/>
        <v>0</v>
      </c>
      <c r="G26" s="15" t="str">
        <f t="shared" si="1"/>
        <v/>
      </c>
      <c r="H26" s="16">
        <f>SUM(Jul!H26,Aug!H26,Sep!H26)</f>
        <v>0</v>
      </c>
      <c r="I26" s="16">
        <f>SUM(Jul!I26, Aug!I26, Sep!I26)</f>
        <v>0</v>
      </c>
      <c r="J26" s="15" t="str">
        <f t="shared" si="2"/>
        <v/>
      </c>
    </row>
    <row r="27" spans="1:10" ht="15.6">
      <c r="A27" s="24" t="str">
        <v>EMHC</v>
      </c>
      <c r="B27" s="25" t="str">
        <v>NY</v>
      </c>
      <c r="C27" s="25" t="str">
        <f>Sites[[#This Row],[SOL'#]]</f>
        <v>SOL-10351</v>
      </c>
      <c r="D27" s="20">
        <f>SUM(Jul!D27, Aug!D27, Sep!D27)</f>
        <v>0</v>
      </c>
      <c r="E27" s="10">
        <f>SUM(Jul!E27, Aug!E27, Sep!E27)</f>
        <v>0</v>
      </c>
      <c r="F27" s="10">
        <f t="shared" si="3"/>
        <v>0</v>
      </c>
      <c r="G27" s="11" t="str">
        <f t="shared" si="1"/>
        <v/>
      </c>
      <c r="H27" s="12">
        <f>SUM(Jul!H27,Aug!H27,Sep!H27)</f>
        <v>0</v>
      </c>
      <c r="I27" s="12">
        <f>SUM(Jul!I27, Aug!I27, Sep!I27)</f>
        <v>0</v>
      </c>
      <c r="J27" s="13" t="str">
        <f t="shared" si="2"/>
        <v/>
      </c>
    </row>
    <row r="28" spans="1:10" ht="15.6">
      <c r="A28" s="26" t="str">
        <v>Q008</v>
      </c>
      <c r="B28" s="27" t="str">
        <v>NY</v>
      </c>
      <c r="C28" s="27" t="str">
        <f>Sites[[#This Row],[SOL'#]]</f>
        <v>SOL-10397</v>
      </c>
      <c r="D28" s="9">
        <f>SUM(Jul!D28, Aug!D28, Sep!D28)</f>
        <v>0</v>
      </c>
      <c r="E28" s="14">
        <f>SUM(Jul!E28, Aug!E28, Sep!E28)</f>
        <v>0</v>
      </c>
      <c r="F28" s="14">
        <f t="shared" si="3"/>
        <v>0</v>
      </c>
      <c r="G28" s="15" t="str">
        <f t="shared" si="1"/>
        <v/>
      </c>
      <c r="H28" s="16">
        <f>SUM(Jul!H28,Aug!H28,Sep!H28)</f>
        <v>0</v>
      </c>
      <c r="I28" s="16">
        <f>SUM(Jul!I28, Aug!I28, Sep!I28)</f>
        <v>0</v>
      </c>
      <c r="J28" s="15" t="str">
        <f t="shared" si="2"/>
        <v/>
      </c>
    </row>
    <row r="29" spans="1:10" ht="15.6">
      <c r="A29" s="24" t="str">
        <v>Q018</v>
      </c>
      <c r="B29" s="25" t="str">
        <v>NY</v>
      </c>
      <c r="C29" s="25" t="str">
        <f>Sites[[#This Row],[SOL'#]]</f>
        <v>SOL-10398</v>
      </c>
      <c r="D29" s="20">
        <f>SUM(Jul!D29, Aug!D29, Sep!D29)</f>
        <v>0</v>
      </c>
      <c r="E29" s="10">
        <f>SUM(Jul!E29, Aug!E29, Sep!E29)</f>
        <v>0</v>
      </c>
      <c r="F29" s="10">
        <f t="shared" si="3"/>
        <v>0</v>
      </c>
      <c r="G29" s="11" t="str">
        <f t="shared" si="1"/>
        <v/>
      </c>
      <c r="H29" s="12">
        <f>SUM(Jul!H29,Aug!H29,Sep!H29)</f>
        <v>0</v>
      </c>
      <c r="I29" s="12">
        <f>SUM(Jul!I29, Aug!I29, Sep!I29)</f>
        <v>0</v>
      </c>
      <c r="J29" s="13" t="str">
        <f t="shared" si="2"/>
        <v/>
      </c>
    </row>
    <row r="30" spans="1:10" ht="15.6">
      <c r="A30" s="26" t="str">
        <v>Q021</v>
      </c>
      <c r="B30" s="27" t="str">
        <v>NY</v>
      </c>
      <c r="C30" s="27" t="str">
        <f>Sites[[#This Row],[SOL'#]]</f>
        <v>SOL-10399</v>
      </c>
      <c r="D30" s="9">
        <f>SUM(Jul!D30, Aug!D30, Sep!D30)</f>
        <v>0</v>
      </c>
      <c r="E30" s="14">
        <f>SUM(Jul!E30, Aug!E30, Sep!E30)</f>
        <v>0</v>
      </c>
      <c r="F30" s="14">
        <f t="shared" si="3"/>
        <v>0</v>
      </c>
      <c r="G30" s="15" t="str">
        <f t="shared" si="1"/>
        <v/>
      </c>
      <c r="H30" s="16">
        <f>SUM(Jul!H30,Aug!H30,Sep!H30)</f>
        <v>0</v>
      </c>
      <c r="I30" s="16">
        <f>SUM(Jul!I30, Aug!I30, Sep!I30)</f>
        <v>0</v>
      </c>
      <c r="J30" s="15" t="str">
        <f t="shared" si="2"/>
        <v/>
      </c>
    </row>
    <row r="31" spans="1:10" ht="15.6">
      <c r="A31" s="24" t="str">
        <v>Q025</v>
      </c>
      <c r="B31" s="25" t="str">
        <v>NY</v>
      </c>
      <c r="C31" s="25" t="str">
        <f>Sites[[#This Row],[SOL'#]]</f>
        <v>SOL-10400</v>
      </c>
      <c r="D31" s="20">
        <f>SUM(Jul!D31, Aug!D31, Sep!D31)</f>
        <v>0</v>
      </c>
      <c r="E31" s="10">
        <f>SUM(Jul!E31, Aug!E31, Sep!E31)</f>
        <v>0</v>
      </c>
      <c r="F31" s="10">
        <f t="shared" si="3"/>
        <v>0</v>
      </c>
      <c r="G31" s="11" t="str">
        <f t="shared" si="1"/>
        <v/>
      </c>
      <c r="H31" s="12">
        <f>SUM(Jul!H31,Aug!H31,Sep!H31)</f>
        <v>0</v>
      </c>
      <c r="I31" s="12">
        <f>SUM(Jul!I31, Aug!I31, Sep!I31)</f>
        <v>0</v>
      </c>
      <c r="J31" s="13" t="str">
        <f t="shared" si="2"/>
        <v/>
      </c>
    </row>
    <row r="32" spans="1:10" ht="15.6">
      <c r="A32" s="26" t="str">
        <v>Q074</v>
      </c>
      <c r="B32" s="27" t="str">
        <v>NY</v>
      </c>
      <c r="C32" s="27" t="str">
        <f>Sites[[#This Row],[SOL'#]]</f>
        <v>SOL-10402</v>
      </c>
      <c r="D32" s="9">
        <f>SUM(Jul!D32, Aug!D32, Sep!D32)</f>
        <v>0</v>
      </c>
      <c r="E32" s="14">
        <f>SUM(Jul!E32, Aug!E32, Sep!E32)</f>
        <v>0</v>
      </c>
      <c r="F32" s="14">
        <f t="shared" si="3"/>
        <v>0</v>
      </c>
      <c r="G32" s="15" t="str">
        <f t="shared" si="1"/>
        <v/>
      </c>
      <c r="H32" s="16">
        <f>SUM(Jul!H32,Aug!H32,Sep!H32)</f>
        <v>0</v>
      </c>
      <c r="I32" s="16">
        <f>SUM(Jul!I32, Aug!I32, Sep!I32)</f>
        <v>0</v>
      </c>
      <c r="J32" s="15" t="str">
        <f t="shared" si="2"/>
        <v/>
      </c>
    </row>
    <row r="33" spans="1:10" ht="15.6">
      <c r="A33" s="24" t="str">
        <v>Q115</v>
      </c>
      <c r="B33" s="25" t="str">
        <v>NY</v>
      </c>
      <c r="C33" s="25" t="str">
        <f>Sites[[#This Row],[SOL'#]]</f>
        <v>SOL-10872</v>
      </c>
      <c r="D33" s="20">
        <f>SUM(Jul!D33, Aug!D33, Sep!D33)</f>
        <v>0</v>
      </c>
      <c r="E33" s="10">
        <f>SUM(Jul!E33, Aug!E33, Sep!E33)</f>
        <v>0</v>
      </c>
      <c r="F33" s="10">
        <f t="shared" si="3"/>
        <v>0</v>
      </c>
      <c r="G33" s="11" t="str">
        <f t="shared" si="1"/>
        <v/>
      </c>
      <c r="H33" s="12">
        <f>SUM(Jul!H33,Aug!H33,Sep!H33)</f>
        <v>0</v>
      </c>
      <c r="I33" s="12">
        <f>SUM(Jul!I33, Aug!I33, Sep!I33)</f>
        <v>0</v>
      </c>
      <c r="J33" s="13" t="str">
        <f t="shared" si="2"/>
        <v/>
      </c>
    </row>
    <row r="34" spans="1:10" ht="15.6">
      <c r="A34" s="26" t="str">
        <v>Q139</v>
      </c>
      <c r="B34" s="27" t="str">
        <v>NY</v>
      </c>
      <c r="C34" s="27" t="str">
        <f>Sites[[#This Row],[SOL'#]]</f>
        <v>SOL-10403</v>
      </c>
      <c r="D34" s="9">
        <f>SUM(Jul!D34, Aug!D34, Sep!D34)</f>
        <v>0</v>
      </c>
      <c r="E34" s="14">
        <f>SUM(Jul!E34, Aug!E34, Sep!E34)</f>
        <v>0</v>
      </c>
      <c r="F34" s="14">
        <f t="shared" si="3"/>
        <v>0</v>
      </c>
      <c r="G34" s="15" t="str">
        <f t="shared" si="1"/>
        <v/>
      </c>
      <c r="H34" s="16">
        <f>SUM(Jul!H34,Aug!H34,Sep!H34)</f>
        <v>0</v>
      </c>
      <c r="I34" s="16">
        <f>SUM(Jul!I34, Aug!I34, Sep!I34)</f>
        <v>0</v>
      </c>
      <c r="J34" s="15" t="str">
        <f t="shared" si="2"/>
        <v/>
      </c>
    </row>
    <row r="35" spans="1:10" ht="15.6">
      <c r="A35" s="24" t="str">
        <v>Q157</v>
      </c>
      <c r="B35" s="25" t="str">
        <v>NY</v>
      </c>
      <c r="C35" s="25" t="str">
        <f>Sites[[#This Row],[SOL'#]]</f>
        <v>SOL-10404</v>
      </c>
      <c r="D35" s="20">
        <f>SUM(Jul!D35, Aug!D35, Sep!D35)</f>
        <v>0</v>
      </c>
      <c r="E35" s="10">
        <f>SUM(Jul!E35, Aug!E35, Sep!E35)</f>
        <v>0</v>
      </c>
      <c r="F35" s="10">
        <f t="shared" si="3"/>
        <v>0</v>
      </c>
      <c r="G35" s="11" t="str">
        <f t="shared" si="1"/>
        <v/>
      </c>
      <c r="H35" s="12">
        <f>SUM(Jul!H35,Aug!H35,Sep!H35)</f>
        <v>0</v>
      </c>
      <c r="I35" s="12">
        <f>SUM(Jul!I35, Aug!I35, Sep!I35)</f>
        <v>0</v>
      </c>
      <c r="J35" s="13" t="str">
        <f t="shared" si="2"/>
        <v/>
      </c>
    </row>
    <row r="36" spans="1:10" ht="15.6">
      <c r="A36" s="26" t="str">
        <v>Q192</v>
      </c>
      <c r="B36" s="27" t="str">
        <v>NY</v>
      </c>
      <c r="C36" s="27" t="str">
        <f>Sites[[#This Row],[SOL'#]]</f>
        <v>SOL-10406</v>
      </c>
      <c r="D36" s="9">
        <f>SUM(Jul!D36, Aug!D36, Sep!D36)</f>
        <v>0</v>
      </c>
      <c r="E36" s="14">
        <f>SUM(Jul!E36, Aug!E36, Sep!E36)</f>
        <v>0</v>
      </c>
      <c r="F36" s="14">
        <f t="shared" si="3"/>
        <v>0</v>
      </c>
      <c r="G36" s="15" t="str">
        <f t="shared" si="1"/>
        <v/>
      </c>
      <c r="H36" s="16">
        <f>SUM(Jul!H36,Aug!H36,Sep!H36)</f>
        <v>0</v>
      </c>
      <c r="I36" s="16">
        <f>SUM(Jul!I36, Aug!I36, Sep!I36)</f>
        <v>0</v>
      </c>
      <c r="J36" s="15" t="str">
        <f t="shared" si="2"/>
        <v/>
      </c>
    </row>
    <row r="37" spans="1:10" ht="15.6">
      <c r="A37" s="24" t="str">
        <v>Q210</v>
      </c>
      <c r="B37" s="25" t="str">
        <v>NY</v>
      </c>
      <c r="C37" s="25" t="str">
        <f>Sites[[#This Row],[SOL'#]]</f>
        <v>SOL-10407</v>
      </c>
      <c r="D37" s="20">
        <f>SUM(Jul!D37, Aug!D37, Sep!D37)</f>
        <v>0</v>
      </c>
      <c r="E37" s="10">
        <f>SUM(Jul!E37, Aug!E37, Sep!E37)</f>
        <v>0</v>
      </c>
      <c r="F37" s="10">
        <f t="shared" si="3"/>
        <v>0</v>
      </c>
      <c r="G37" s="11" t="str">
        <f t="shared" si="1"/>
        <v/>
      </c>
      <c r="H37" s="12">
        <f>SUM(Jul!H37,Aug!H37,Sep!H37)</f>
        <v>0</v>
      </c>
      <c r="I37" s="12">
        <f>SUM(Jul!I37, Aug!I37, Sep!I37)</f>
        <v>0</v>
      </c>
      <c r="J37" s="13" t="str">
        <f t="shared" si="2"/>
        <v/>
      </c>
    </row>
    <row r="38" spans="1:10" ht="15.6">
      <c r="A38" s="26" t="str">
        <v>Q229</v>
      </c>
      <c r="B38" s="27" t="str">
        <v>NY</v>
      </c>
      <c r="C38" s="27" t="str">
        <f>Sites[[#This Row],[SOL'#]]</f>
        <v>SOL-10408</v>
      </c>
      <c r="D38" s="9">
        <f>SUM(Jul!D38, Aug!D38, Sep!D38)</f>
        <v>0</v>
      </c>
      <c r="E38" s="14">
        <f>SUM(Jul!E38, Aug!E38, Sep!E38)</f>
        <v>0</v>
      </c>
      <c r="F38" s="14">
        <f t="shared" ref="F38:F69" si="4">IF(AND(ISNUMBER(D38),ISNUMBER(E38)), D38-E38, "")</f>
        <v>0</v>
      </c>
      <c r="G38" s="15" t="str">
        <f t="shared" si="1"/>
        <v/>
      </c>
      <c r="H38" s="16">
        <f>SUM(Jul!H38,Aug!H38,Sep!H38)</f>
        <v>0</v>
      </c>
      <c r="I38" s="16">
        <f>SUM(Jul!I38, Aug!I38, Sep!I38)</f>
        <v>0</v>
      </c>
      <c r="J38" s="15" t="str">
        <f t="shared" si="2"/>
        <v/>
      </c>
    </row>
    <row r="39" spans="1:10" ht="15.6">
      <c r="A39" s="24" t="str">
        <v>Q231</v>
      </c>
      <c r="B39" s="25" t="str">
        <v>NY</v>
      </c>
      <c r="C39" s="25" t="str">
        <f>Sites[[#This Row],[SOL'#]]</f>
        <v>SOL-10870</v>
      </c>
      <c r="D39" s="20">
        <f>SUM(Jul!D39, Aug!D39, Sep!D39)</f>
        <v>0</v>
      </c>
      <c r="E39" s="10">
        <f>SUM(Jul!E39, Aug!E39, Sep!E39)</f>
        <v>0</v>
      </c>
      <c r="F39" s="10">
        <f t="shared" si="4"/>
        <v>0</v>
      </c>
      <c r="G39" s="11" t="str">
        <f t="shared" si="1"/>
        <v/>
      </c>
      <c r="H39" s="12">
        <f>SUM(Jul!H39,Aug!H39,Sep!H39)</f>
        <v>0</v>
      </c>
      <c r="I39" s="12">
        <f>SUM(Jul!I39, Aug!I39, Sep!I39)</f>
        <v>0</v>
      </c>
      <c r="J39" s="13" t="str">
        <f t="shared" si="2"/>
        <v/>
      </c>
    </row>
    <row r="40" spans="1:10" ht="15.6">
      <c r="A40" s="26" t="str">
        <v>Q405</v>
      </c>
      <c r="B40" s="27" t="str">
        <v>NY</v>
      </c>
      <c r="C40" s="27" t="str">
        <f>Sites[[#This Row],[SOL'#]]</f>
        <v>SOL-10409</v>
      </c>
      <c r="D40" s="9">
        <f>SUM(Jul!D40, Aug!D40, Sep!D40)</f>
        <v>0</v>
      </c>
      <c r="E40" s="14">
        <f>SUM(Jul!E40, Aug!E40, Sep!E40)</f>
        <v>0</v>
      </c>
      <c r="F40" s="14">
        <f t="shared" si="4"/>
        <v>0</v>
      </c>
      <c r="G40" s="15" t="str">
        <f t="shared" si="1"/>
        <v/>
      </c>
      <c r="H40" s="16">
        <f>SUM(Jul!H40,Aug!H40,Sep!H40)</f>
        <v>0</v>
      </c>
      <c r="I40" s="16">
        <f>SUM(Jul!I40, Aug!I40, Sep!I40)</f>
        <v>0</v>
      </c>
      <c r="J40" s="15" t="str">
        <f t="shared" si="2"/>
        <v/>
      </c>
    </row>
    <row r="41" spans="1:10" ht="15.6">
      <c r="A41" s="24" t="str">
        <v>Q435</v>
      </c>
      <c r="B41" s="25" t="str">
        <v>NY</v>
      </c>
      <c r="C41" s="25" t="str">
        <f>Sites[[#This Row],[SOL'#]]</f>
        <v>SOL-10923</v>
      </c>
      <c r="D41" s="20">
        <f>SUM(Jul!D41, Aug!D41, Sep!D41)</f>
        <v>0</v>
      </c>
      <c r="E41" s="10">
        <f>SUM(Jul!E41, Aug!E41, Sep!E41)</f>
        <v>0</v>
      </c>
      <c r="F41" s="10">
        <f t="shared" si="4"/>
        <v>0</v>
      </c>
      <c r="G41" s="11" t="str">
        <f t="shared" si="1"/>
        <v/>
      </c>
      <c r="H41" s="12">
        <f>SUM(Jul!H41,Aug!H41,Sep!H41)</f>
        <v>0</v>
      </c>
      <c r="I41" s="12">
        <f>SUM(Jul!I41, Aug!I41, Sep!I41)</f>
        <v>0</v>
      </c>
      <c r="J41" s="13" t="str">
        <f t="shared" si="2"/>
        <v/>
      </c>
    </row>
    <row r="42" spans="1:10" ht="15.6">
      <c r="A42" s="26" t="str">
        <v>Q485</v>
      </c>
      <c r="B42" s="27" t="str">
        <v>NY</v>
      </c>
      <c r="C42" s="27" t="str">
        <f>Sites[[#This Row],[SOL'#]]</f>
        <v>SOL-10869</v>
      </c>
      <c r="D42" s="9">
        <f>SUM(Jul!D42, Aug!D42, Sep!D42)</f>
        <v>0</v>
      </c>
      <c r="E42" s="14">
        <f>SUM(Jul!E42, Aug!E42, Sep!E42)</f>
        <v>0</v>
      </c>
      <c r="F42" s="14">
        <f t="shared" si="4"/>
        <v>0</v>
      </c>
      <c r="G42" s="15" t="str">
        <f t="shared" si="1"/>
        <v/>
      </c>
      <c r="H42" s="16">
        <f>SUM(Jul!H42,Aug!H42,Sep!H42)</f>
        <v>0</v>
      </c>
      <c r="I42" s="16">
        <f>SUM(Jul!I42, Aug!I42, Sep!I42)</f>
        <v>0</v>
      </c>
      <c r="J42" s="15" t="str">
        <f t="shared" si="2"/>
        <v/>
      </c>
    </row>
    <row r="43" spans="1:10" ht="15.6">
      <c r="A43" s="24" t="str">
        <v>Q490</v>
      </c>
      <c r="B43" s="25" t="str">
        <v>NY</v>
      </c>
      <c r="C43" s="25" t="str">
        <f>Sites[[#This Row],[SOL'#]]</f>
        <v>SOL-10411</v>
      </c>
      <c r="D43" s="20">
        <f>SUM(Jul!D43, Aug!D43, Sep!D43)</f>
        <v>0</v>
      </c>
      <c r="E43" s="10">
        <f>SUM(Jul!E43, Aug!E43, Sep!E43)</f>
        <v>0</v>
      </c>
      <c r="F43" s="10">
        <f t="shared" si="4"/>
        <v>0</v>
      </c>
      <c r="G43" s="11" t="str">
        <f t="shared" si="1"/>
        <v/>
      </c>
      <c r="H43" s="12">
        <f>SUM(Jul!H43,Aug!H43,Sep!H43)</f>
        <v>0</v>
      </c>
      <c r="I43" s="12">
        <f>SUM(Jul!I43, Aug!I43, Sep!I43)</f>
        <v>0</v>
      </c>
      <c r="J43" s="13" t="str">
        <f t="shared" si="2"/>
        <v/>
      </c>
    </row>
    <row r="44" spans="1:10" ht="15.6">
      <c r="A44" s="26" t="str">
        <v>Q620</v>
      </c>
      <c r="B44" s="27" t="str">
        <v>NY</v>
      </c>
      <c r="C44" s="27" t="str">
        <f>Sites[[#This Row],[SOL'#]]</f>
        <v>SOL-10867</v>
      </c>
      <c r="D44" s="9">
        <f>SUM(Jul!D44, Aug!D44, Sep!D44)</f>
        <v>0</v>
      </c>
      <c r="E44" s="14">
        <f>SUM(Jul!E44, Aug!E44, Sep!E44)</f>
        <v>0</v>
      </c>
      <c r="F44" s="14">
        <f t="shared" si="4"/>
        <v>0</v>
      </c>
      <c r="G44" s="15" t="str">
        <f t="shared" si="1"/>
        <v/>
      </c>
      <c r="H44" s="16">
        <f>SUM(Jul!H44,Aug!H44,Sep!H44)</f>
        <v>0</v>
      </c>
      <c r="I44" s="16">
        <f>SUM(Jul!I44, Aug!I44, Sep!I44)</f>
        <v>0</v>
      </c>
      <c r="J44" s="15" t="str">
        <f t="shared" si="2"/>
        <v/>
      </c>
    </row>
    <row r="45" spans="1:10" ht="15.6">
      <c r="A45" s="24" t="str">
        <v>QMOA</v>
      </c>
      <c r="B45" s="25" t="str">
        <v>NY</v>
      </c>
      <c r="C45" s="25" t="str">
        <f>Sites[[#This Row],[SOL'#]]</f>
        <v>SOL-10415</v>
      </c>
      <c r="D45" s="20">
        <f>SUM(Jul!D45, Aug!D45, Sep!D45)</f>
        <v>0</v>
      </c>
      <c r="E45" s="10">
        <f>SUM(Jul!E45, Aug!E45, Sep!E45)</f>
        <v>0</v>
      </c>
      <c r="F45" s="10">
        <f t="shared" si="4"/>
        <v>0</v>
      </c>
      <c r="G45" s="11" t="str">
        <f t="shared" si="1"/>
        <v/>
      </c>
      <c r="H45" s="12">
        <f>SUM(Jul!H45,Aug!H45,Sep!H45)</f>
        <v>0</v>
      </c>
      <c r="I45" s="12">
        <f>SUM(Jul!I45, Aug!I45, Sep!I45)</f>
        <v>0</v>
      </c>
      <c r="J45" s="13" t="str">
        <f t="shared" si="2"/>
        <v/>
      </c>
    </row>
    <row r="46" spans="1:10" ht="15.6">
      <c r="A46" s="26" t="str">
        <v>X024</v>
      </c>
      <c r="B46" s="27" t="str">
        <v>NY</v>
      </c>
      <c r="C46" s="27" t="str">
        <f>Sites[[#This Row],[SOL'#]]</f>
        <v>SOL-10419</v>
      </c>
      <c r="D46" s="9">
        <f>SUM(Jul!D46, Aug!D46, Sep!D46)</f>
        <v>0</v>
      </c>
      <c r="E46" s="14">
        <f>SUM(Jul!E46, Aug!E46, Sep!E46)</f>
        <v>0</v>
      </c>
      <c r="F46" s="14">
        <f t="shared" si="4"/>
        <v>0</v>
      </c>
      <c r="G46" s="15" t="str">
        <f t="shared" si="1"/>
        <v/>
      </c>
      <c r="H46" s="16">
        <f>SUM(Jul!H46,Aug!H46,Sep!H46)</f>
        <v>0</v>
      </c>
      <c r="I46" s="16">
        <f>SUM(Jul!I46, Aug!I46, Sep!I46)</f>
        <v>0</v>
      </c>
      <c r="J46" s="15" t="str">
        <f t="shared" si="2"/>
        <v/>
      </c>
    </row>
    <row r="47" spans="1:10" ht="15.6">
      <c r="A47" s="24" t="str">
        <v>X026</v>
      </c>
      <c r="B47" s="25" t="str">
        <v>NY</v>
      </c>
      <c r="C47" s="25" t="str">
        <f>Sites[[#This Row],[SOL'#]]</f>
        <v>SOL-10420</v>
      </c>
      <c r="D47" s="20">
        <f>SUM(Jul!D47, Aug!D47, Sep!D47)</f>
        <v>0</v>
      </c>
      <c r="E47" s="10">
        <f>SUM(Jul!E47, Aug!E47, Sep!E47)</f>
        <v>0</v>
      </c>
      <c r="F47" s="10">
        <f t="shared" si="4"/>
        <v>0</v>
      </c>
      <c r="G47" s="11" t="str">
        <f t="shared" si="1"/>
        <v/>
      </c>
      <c r="H47" s="12">
        <f>SUM(Jul!H47,Aug!H47,Sep!H47)</f>
        <v>0</v>
      </c>
      <c r="I47" s="12">
        <f>SUM(Jul!I47, Aug!I47, Sep!I47)</f>
        <v>0</v>
      </c>
      <c r="J47" s="13" t="str">
        <f t="shared" si="2"/>
        <v/>
      </c>
    </row>
    <row r="48" spans="1:10" ht="15.6">
      <c r="A48" s="26" t="str">
        <v>X090</v>
      </c>
      <c r="B48" s="27" t="str">
        <v>NY</v>
      </c>
      <c r="C48" s="27" t="str">
        <f>Sites[[#This Row],[SOL'#]]</f>
        <v>SOL-10925</v>
      </c>
      <c r="D48" s="9">
        <f>SUM(Jul!D48, Aug!D48, Sep!D48)</f>
        <v>0</v>
      </c>
      <c r="E48" s="14">
        <f>SUM(Jul!E48, Aug!E48, Sep!E48)</f>
        <v>0</v>
      </c>
      <c r="F48" s="14">
        <f t="shared" si="4"/>
        <v>0</v>
      </c>
      <c r="G48" s="15" t="str">
        <f t="shared" si="1"/>
        <v/>
      </c>
      <c r="H48" s="16">
        <f>SUM(Jul!H48,Aug!H48,Sep!H48)</f>
        <v>0</v>
      </c>
      <c r="I48" s="16">
        <f>SUM(Jul!I48, Aug!I48, Sep!I48)</f>
        <v>0</v>
      </c>
      <c r="J48" s="15" t="str">
        <f t="shared" si="2"/>
        <v/>
      </c>
    </row>
    <row r="49" spans="1:10" ht="15.6">
      <c r="A49" s="24" t="str">
        <v>X117</v>
      </c>
      <c r="B49" s="25" t="str">
        <v>NY</v>
      </c>
      <c r="C49" s="25" t="str">
        <f>Sites[[#This Row],[SOL'#]]</f>
        <v>SOL-10422</v>
      </c>
      <c r="D49" s="20">
        <f>SUM(Jul!D49, Aug!D49, Sep!D49)</f>
        <v>0</v>
      </c>
      <c r="E49" s="10">
        <f>SUM(Jul!E49, Aug!E49, Sep!E49)</f>
        <v>0</v>
      </c>
      <c r="F49" s="10">
        <f t="shared" si="4"/>
        <v>0</v>
      </c>
      <c r="G49" s="11" t="str">
        <f t="shared" si="1"/>
        <v/>
      </c>
      <c r="H49" s="12">
        <f>SUM(Jul!H49,Aug!H49,Sep!H49)</f>
        <v>0</v>
      </c>
      <c r="I49" s="12">
        <f>SUM(Jul!I49, Aug!I49, Sep!I49)</f>
        <v>0</v>
      </c>
      <c r="J49" s="13" t="str">
        <f t="shared" si="2"/>
        <v/>
      </c>
    </row>
    <row r="50" spans="1:10" ht="15.6">
      <c r="A50" s="26" t="str">
        <v>X125</v>
      </c>
      <c r="B50" s="27" t="str">
        <v>NY</v>
      </c>
      <c r="C50" s="27" t="str">
        <f>Sites[[#This Row],[SOL'#]]</f>
        <v>SOL-10423</v>
      </c>
      <c r="D50" s="9">
        <f>SUM(Jul!D50, Aug!D50, Sep!D50)</f>
        <v>0</v>
      </c>
      <c r="E50" s="14">
        <f>SUM(Jul!E50, Aug!E50, Sep!E50)</f>
        <v>0</v>
      </c>
      <c r="F50" s="14">
        <f t="shared" si="4"/>
        <v>0</v>
      </c>
      <c r="G50" s="15" t="str">
        <f t="shared" si="1"/>
        <v/>
      </c>
      <c r="H50" s="16">
        <f>SUM(Jul!H50,Aug!H50,Sep!H50)</f>
        <v>0</v>
      </c>
      <c r="I50" s="16">
        <f>SUM(Jul!I50, Aug!I50, Sep!I50)</f>
        <v>0</v>
      </c>
      <c r="J50" s="15" t="str">
        <f t="shared" si="2"/>
        <v/>
      </c>
    </row>
    <row r="51" spans="1:10" ht="15.6">
      <c r="A51" s="24" t="str">
        <v>X134</v>
      </c>
      <c r="B51" s="25" t="str">
        <v>NY</v>
      </c>
      <c r="C51" s="25" t="str">
        <f>Sites[[#This Row],[SOL'#]]</f>
        <v>SOL-10424</v>
      </c>
      <c r="D51" s="20">
        <f>SUM(Jul!D51, Aug!D51, Sep!D51)</f>
        <v>0</v>
      </c>
      <c r="E51" s="10">
        <f>SUM(Jul!E51, Aug!E51, Sep!E51)</f>
        <v>0</v>
      </c>
      <c r="F51" s="10">
        <f t="shared" si="4"/>
        <v>0</v>
      </c>
      <c r="G51" s="11" t="str">
        <f t="shared" si="1"/>
        <v/>
      </c>
      <c r="H51" s="12">
        <f>SUM(Jul!H51,Aug!H51,Sep!H51)</f>
        <v>0</v>
      </c>
      <c r="I51" s="12">
        <f>SUM(Jul!I51, Aug!I51, Sep!I51)</f>
        <v>0</v>
      </c>
      <c r="J51" s="13" t="str">
        <f t="shared" si="2"/>
        <v/>
      </c>
    </row>
    <row r="52" spans="1:10" ht="15.6">
      <c r="A52" s="26" t="str">
        <v>X135</v>
      </c>
      <c r="B52" s="27" t="str">
        <v>NY</v>
      </c>
      <c r="C52" s="27" t="str">
        <f>Sites[[#This Row],[SOL'#]]</f>
        <v>SOL-10425</v>
      </c>
      <c r="D52" s="9">
        <f>SUM(Jul!D52, Aug!D52, Sep!D52)</f>
        <v>0</v>
      </c>
      <c r="E52" s="14">
        <f>SUM(Jul!E52, Aug!E52, Sep!E52)</f>
        <v>0</v>
      </c>
      <c r="F52" s="14">
        <f t="shared" si="4"/>
        <v>0</v>
      </c>
      <c r="G52" s="15" t="str">
        <f t="shared" si="1"/>
        <v/>
      </c>
      <c r="H52" s="16">
        <f>SUM(Jul!H52,Aug!H52,Sep!H52)</f>
        <v>0</v>
      </c>
      <c r="I52" s="16">
        <f>SUM(Jul!I52, Aug!I52, Sep!I52)</f>
        <v>0</v>
      </c>
      <c r="J52" s="15" t="str">
        <f t="shared" si="2"/>
        <v/>
      </c>
    </row>
    <row r="53" spans="1:10" ht="15.6">
      <c r="A53" s="24" t="str">
        <v>X139 JHS 222</v>
      </c>
      <c r="B53" s="25" t="str">
        <v>NY</v>
      </c>
      <c r="C53" s="25" t="str">
        <f>Sites[[#This Row],[SOL'#]]</f>
        <v>SOL-10426</v>
      </c>
      <c r="D53" s="20">
        <f>SUM(Jul!D53, Aug!D53, Sep!D53)</f>
        <v>0</v>
      </c>
      <c r="E53" s="10">
        <f>SUM(Jul!E53, Aug!E53, Sep!E53)</f>
        <v>0</v>
      </c>
      <c r="F53" s="10">
        <f t="shared" si="4"/>
        <v>0</v>
      </c>
      <c r="G53" s="11" t="str">
        <f t="shared" si="1"/>
        <v/>
      </c>
      <c r="H53" s="12">
        <f>SUM(Jul!H53,Aug!H53,Sep!H53)</f>
        <v>0</v>
      </c>
      <c r="I53" s="12">
        <f>SUM(Jul!I53, Aug!I53, Sep!I53)</f>
        <v>0</v>
      </c>
      <c r="J53" s="13" t="str">
        <f t="shared" si="2"/>
        <v/>
      </c>
    </row>
    <row r="54" spans="1:10" ht="15.6">
      <c r="A54" s="26" t="str">
        <v>X140</v>
      </c>
      <c r="B54" s="27" t="str">
        <v>NY</v>
      </c>
      <c r="C54" s="27" t="str">
        <f>Sites[[#This Row],[SOL'#]]</f>
        <v>SOL-10926</v>
      </c>
      <c r="D54" s="9">
        <f>SUM(Jul!D54, Aug!D54, Sep!D54)</f>
        <v>0</v>
      </c>
      <c r="E54" s="14">
        <f>SUM(Jul!E54, Aug!E54, Sep!E54)</f>
        <v>0</v>
      </c>
      <c r="F54" s="14">
        <f t="shared" si="4"/>
        <v>0</v>
      </c>
      <c r="G54" s="15" t="str">
        <f t="shared" si="1"/>
        <v/>
      </c>
      <c r="H54" s="16">
        <f>SUM(Jul!H54,Aug!H54,Sep!H54)</f>
        <v>0</v>
      </c>
      <c r="I54" s="16">
        <f>SUM(Jul!I54, Aug!I54, Sep!I54)</f>
        <v>0</v>
      </c>
      <c r="J54" s="15" t="str">
        <f t="shared" si="2"/>
        <v/>
      </c>
    </row>
    <row r="55" spans="1:10" ht="15.6">
      <c r="A55" s="24" t="str">
        <v>X166</v>
      </c>
      <c r="B55" s="25" t="str">
        <v>NY</v>
      </c>
      <c r="C55" s="25" t="str">
        <f>Sites[[#This Row],[SOL'#]]</f>
        <v>SOL-10427</v>
      </c>
      <c r="D55" s="20">
        <f>SUM(Jul!D55, Aug!D55, Sep!D55)</f>
        <v>0</v>
      </c>
      <c r="E55" s="10">
        <f>SUM(Jul!E55, Aug!E55, Sep!E55)</f>
        <v>0</v>
      </c>
      <c r="F55" s="10">
        <f t="shared" si="4"/>
        <v>0</v>
      </c>
      <c r="G55" s="11" t="str">
        <f t="shared" si="1"/>
        <v/>
      </c>
      <c r="H55" s="12">
        <f>SUM(Jul!H55,Aug!H55,Sep!H55)</f>
        <v>0</v>
      </c>
      <c r="I55" s="12">
        <f>SUM(Jul!I55, Aug!I55, Sep!I55)</f>
        <v>0</v>
      </c>
      <c r="J55" s="13" t="str">
        <f t="shared" si="2"/>
        <v/>
      </c>
    </row>
    <row r="56" spans="1:10" ht="15.6">
      <c r="A56" s="26" t="str">
        <v>Murphy</v>
      </c>
      <c r="B56" s="27" t="str">
        <v>MN</v>
      </c>
      <c r="C56" s="27" t="str">
        <f>Sites[[#This Row],[SOL'#]]</f>
        <v>SOL-10094</v>
      </c>
      <c r="D56" s="9">
        <f>SUM(Jul!D56, Aug!D56, Sep!D56)</f>
        <v>0</v>
      </c>
      <c r="E56" s="14">
        <f>SUM(Jul!E56, Aug!E56, Sep!E56)</f>
        <v>0</v>
      </c>
      <c r="F56" s="14">
        <f t="shared" si="4"/>
        <v>0</v>
      </c>
      <c r="G56" s="15" t="str">
        <f t="shared" si="1"/>
        <v/>
      </c>
      <c r="H56" s="16">
        <f>SUM(Jul!H56,Aug!H56,Sep!H56)</f>
        <v>0</v>
      </c>
      <c r="I56" s="16">
        <f>SUM(Jul!I56, Aug!I56, Sep!I56)</f>
        <v>0</v>
      </c>
      <c r="J56" s="15" t="str">
        <f t="shared" si="2"/>
        <v/>
      </c>
    </row>
    <row r="57" spans="1:10" ht="15.6">
      <c r="A57" s="24" t="str">
        <v>Terning</v>
      </c>
      <c r="B57" s="25" t="str">
        <v>MN</v>
      </c>
      <c r="C57" s="25" t="str">
        <f>Sites[[#This Row],[SOL'#]]</f>
        <v>SOL-10093</v>
      </c>
      <c r="D57" s="20">
        <f>SUM(Jul!D57, Aug!D57, Sep!D57)</f>
        <v>0</v>
      </c>
      <c r="E57" s="10">
        <f>SUM(Jul!E57, Aug!E57, Sep!E57)</f>
        <v>0</v>
      </c>
      <c r="F57" s="10">
        <f t="shared" si="4"/>
        <v>0</v>
      </c>
      <c r="G57" s="11" t="str">
        <f t="shared" si="1"/>
        <v/>
      </c>
      <c r="H57" s="12">
        <f>SUM(Jul!H57,Aug!H57,Sep!H57)</f>
        <v>0</v>
      </c>
      <c r="I57" s="12">
        <f>SUM(Jul!I57, Aug!I57, Sep!I57)</f>
        <v>0</v>
      </c>
      <c r="J57" s="13" t="str">
        <f t="shared" si="2"/>
        <v/>
      </c>
    </row>
    <row r="58" spans="1:10" ht="15.6">
      <c r="A58" s="26" t="str">
        <v>Boas Road 04</v>
      </c>
      <c r="B58" s="27" t="str">
        <v>NY</v>
      </c>
      <c r="C58" s="27" t="str">
        <f>Sites[[#This Row],[SOL'#]]</f>
        <v>SOL-10908</v>
      </c>
      <c r="D58" s="9">
        <f>SUM(Jul!D58, Aug!D58, Sep!D58)</f>
        <v>0</v>
      </c>
      <c r="E58" s="14">
        <f>SUM(Jul!E58, Aug!E58, Sep!E58)</f>
        <v>0</v>
      </c>
      <c r="F58" s="14">
        <f t="shared" si="4"/>
        <v>0</v>
      </c>
      <c r="G58" s="15" t="str">
        <f t="shared" si="1"/>
        <v/>
      </c>
      <c r="H58" s="16">
        <f>SUM(Jul!H58,Aug!H58,Sep!H58)</f>
        <v>0</v>
      </c>
      <c r="I58" s="16">
        <f>SUM(Jul!I58, Aug!I58, Sep!I58)</f>
        <v>0</v>
      </c>
      <c r="J58" s="15" t="str">
        <f t="shared" si="2"/>
        <v/>
      </c>
    </row>
    <row r="59" spans="1:10" ht="15.6">
      <c r="A59" s="24" t="str">
        <v>Kelly Bridge Farm</v>
      </c>
      <c r="B59" s="25" t="str">
        <v>NY</v>
      </c>
      <c r="C59" s="25" t="str">
        <f>Sites[[#This Row],[SOL'#]]</f>
        <v>SOL-10911</v>
      </c>
      <c r="D59" s="20">
        <f>SUM(Jul!D59, Aug!D59, Sep!D59)</f>
        <v>0</v>
      </c>
      <c r="E59" s="10">
        <f>SUM(Jul!E59, Aug!E59, Sep!E59)</f>
        <v>0</v>
      </c>
      <c r="F59" s="10">
        <f t="shared" si="4"/>
        <v>0</v>
      </c>
      <c r="G59" s="11" t="str">
        <f t="shared" si="1"/>
        <v/>
      </c>
      <c r="H59" s="12">
        <f>SUM(Jul!H59,Aug!H59,Sep!H59)</f>
        <v>0</v>
      </c>
      <c r="I59" s="12">
        <f>SUM(Jul!I59, Aug!I59, Sep!I59)</f>
        <v>0</v>
      </c>
      <c r="J59" s="13" t="str">
        <f t="shared" si="2"/>
        <v/>
      </c>
    </row>
    <row r="60" spans="1:10" ht="15.6">
      <c r="A60" s="26" t="str">
        <v>Pool Brook Road</v>
      </c>
      <c r="B60" s="27" t="str">
        <v>NY</v>
      </c>
      <c r="C60" s="27" t="str">
        <f>Sites[[#This Row],[SOL'#]]</f>
        <v>SOL-10909</v>
      </c>
      <c r="D60" s="9">
        <f>SUM(Jul!D60, Aug!D60, Sep!D60)</f>
        <v>0</v>
      </c>
      <c r="E60" s="14">
        <f>SUM(Jul!E60, Aug!E60, Sep!E60)</f>
        <v>0</v>
      </c>
      <c r="F60" s="14">
        <f t="shared" si="4"/>
        <v>0</v>
      </c>
      <c r="G60" s="15" t="str">
        <f t="shared" si="1"/>
        <v/>
      </c>
      <c r="H60" s="16">
        <f>SUM(Jul!H60,Aug!H60,Sep!H60)</f>
        <v>0</v>
      </c>
      <c r="I60" s="16">
        <f>SUM(Jul!I60, Aug!I60, Sep!I60)</f>
        <v>0</v>
      </c>
      <c r="J60" s="15" t="str">
        <f t="shared" si="2"/>
        <v/>
      </c>
    </row>
    <row r="61" spans="1:10" ht="15.6">
      <c r="A61" s="24" t="str">
        <v>Sackett Lake</v>
      </c>
      <c r="B61" s="25" t="str">
        <v>NY</v>
      </c>
      <c r="C61" s="25" t="str">
        <f>Sites[[#This Row],[SOL'#]]</f>
        <v>SOL-10910</v>
      </c>
      <c r="D61" s="20">
        <f>SUM(Jul!D61, Aug!D61, Sep!D61)</f>
        <v>0</v>
      </c>
      <c r="E61" s="10">
        <f>SUM(Jul!E61, Aug!E61, Sep!E61)</f>
        <v>0</v>
      </c>
      <c r="F61" s="10">
        <f t="shared" si="4"/>
        <v>0</v>
      </c>
      <c r="G61" s="11" t="str">
        <f t="shared" si="1"/>
        <v/>
      </c>
      <c r="H61" s="12">
        <f>SUM(Jul!H61,Aug!H61,Sep!H61)</f>
        <v>0</v>
      </c>
      <c r="I61" s="12">
        <f>SUM(Jul!I61, Aug!I61, Sep!I61)</f>
        <v>0</v>
      </c>
      <c r="J61" s="13" t="str">
        <f t="shared" si="2"/>
        <v/>
      </c>
    </row>
    <row r="62" spans="1:10" ht="15.6">
      <c r="A62" s="26" t="str">
        <v>Burritt Road</v>
      </c>
      <c r="B62" s="27" t="str">
        <v>NY</v>
      </c>
      <c r="C62" s="27" t="str">
        <f>Sites[[#This Row],[SOL'#]]</f>
        <v>SOL-10913</v>
      </c>
      <c r="D62" s="9">
        <f>SUM(Jul!D62, Aug!D62, Sep!D62)</f>
        <v>0</v>
      </c>
      <c r="E62" s="14">
        <f>SUM(Jul!E62, Aug!E62, Sep!E62)</f>
        <v>0</v>
      </c>
      <c r="F62" s="14">
        <f t="shared" si="4"/>
        <v>0</v>
      </c>
      <c r="G62" s="15" t="str">
        <f t="shared" si="1"/>
        <v/>
      </c>
      <c r="H62" s="16">
        <f>SUM(Jul!H62,Aug!H62,Sep!H62)</f>
        <v>0</v>
      </c>
      <c r="I62" s="16">
        <f>SUM(Jul!I62, Aug!I62, Sep!I62)</f>
        <v>0</v>
      </c>
      <c r="J62" s="15" t="str">
        <f t="shared" si="2"/>
        <v/>
      </c>
    </row>
    <row r="63" spans="1:10" ht="15.6">
      <c r="A63" s="24" t="str">
        <v>Villa Roma 1</v>
      </c>
      <c r="B63" s="25" t="str">
        <v>NY</v>
      </c>
      <c r="C63" s="25" t="str">
        <f>Sites[[#This Row],[SOL'#]]</f>
        <v>SOL-10914</v>
      </c>
      <c r="D63" s="20">
        <f>SUM(Jul!D63, Aug!D63, Sep!D63)</f>
        <v>0</v>
      </c>
      <c r="E63" s="10">
        <f>SUM(Jul!E63, Aug!E63, Sep!E63)</f>
        <v>0</v>
      </c>
      <c r="F63" s="10">
        <f t="shared" si="4"/>
        <v>0</v>
      </c>
      <c r="G63" s="11" t="str">
        <f t="shared" si="1"/>
        <v/>
      </c>
      <c r="H63" s="12">
        <f>SUM(Jul!H63,Aug!H63,Sep!H63)</f>
        <v>0</v>
      </c>
      <c r="I63" s="12">
        <f>SUM(Jul!I63, Aug!I63, Sep!I63)</f>
        <v>0</v>
      </c>
      <c r="J63" s="13" t="str">
        <f t="shared" si="2"/>
        <v/>
      </c>
    </row>
    <row r="64" spans="1:10" ht="15.6">
      <c r="A64" s="26" t="str">
        <v>Villa Roma 2</v>
      </c>
      <c r="B64" s="27" t="str">
        <v>NY</v>
      </c>
      <c r="C64" s="27" t="str">
        <f>Sites[[#This Row],[SOL'#]]</f>
        <v>SOL-10915</v>
      </c>
      <c r="D64" s="9">
        <f>SUM(Jul!D64, Aug!D64, Sep!D64)</f>
        <v>0</v>
      </c>
      <c r="E64" s="14">
        <f>SUM(Jul!E64, Aug!E64, Sep!E64)</f>
        <v>0</v>
      </c>
      <c r="F64" s="14">
        <f t="shared" si="4"/>
        <v>0</v>
      </c>
      <c r="G64" s="15" t="str">
        <f t="shared" ref="G64:G95" si="5">IFERROR(F64/E64, "")</f>
        <v/>
      </c>
      <c r="H64" s="16">
        <f>SUM(Jul!H64,Aug!H64,Sep!H64)</f>
        <v>0</v>
      </c>
      <c r="I64" s="16">
        <f>SUM(Jul!I64, Aug!I64, Sep!I64)</f>
        <v>0</v>
      </c>
      <c r="J64" s="15" t="str">
        <f t="shared" si="2"/>
        <v/>
      </c>
    </row>
    <row r="65" spans="1:10" ht="15.6">
      <c r="A65" s="24" t="str">
        <v>Washington 1</v>
      </c>
      <c r="B65" s="25" t="str">
        <v>NY</v>
      </c>
      <c r="C65" s="25" t="str">
        <f>Sites[[#This Row],[SOL'#]]</f>
        <v>SOL-10912</v>
      </c>
      <c r="D65" s="20">
        <f>SUM(Jul!D65, Aug!D65, Sep!D65)</f>
        <v>0</v>
      </c>
      <c r="E65" s="10">
        <f>SUM(Jul!E65, Aug!E65, Sep!E65)</f>
        <v>0</v>
      </c>
      <c r="F65" s="10">
        <f t="shared" si="4"/>
        <v>0</v>
      </c>
      <c r="G65" s="11" t="str">
        <f t="shared" si="5"/>
        <v/>
      </c>
      <c r="H65" s="12">
        <f>SUM(Jul!H65,Aug!H65,Sep!H65)</f>
        <v>0</v>
      </c>
      <c r="I65" s="12">
        <f>SUM(Jul!I65, Aug!I65, Sep!I65)</f>
        <v>0</v>
      </c>
      <c r="J65" s="13" t="str">
        <f t="shared" si="2"/>
        <v/>
      </c>
    </row>
    <row r="66" spans="1:10" ht="15.6">
      <c r="A66" s="26" t="str">
        <v>Washington 3</v>
      </c>
      <c r="B66" s="27" t="str">
        <v>NY</v>
      </c>
      <c r="C66" s="27" t="str">
        <f>Sites[[#This Row],[SOL'#]]</f>
        <v>SOL-10828</v>
      </c>
      <c r="D66" s="9">
        <f>SUM(Jul!D66, Aug!D66, Sep!D66)</f>
        <v>0</v>
      </c>
      <c r="E66" s="14">
        <f>SUM(Jul!E66, Aug!E66, Sep!E66)</f>
        <v>0</v>
      </c>
      <c r="F66" s="14">
        <f t="shared" si="4"/>
        <v>0</v>
      </c>
      <c r="G66" s="15" t="str">
        <f t="shared" si="5"/>
        <v/>
      </c>
      <c r="H66" s="16">
        <f>SUM(Jul!H66,Aug!H66,Sep!H66)</f>
        <v>0</v>
      </c>
      <c r="I66" s="16">
        <f>SUM(Jul!I66, Aug!I66, Sep!I66)</f>
        <v>0</v>
      </c>
      <c r="J66" s="15" t="str">
        <f t="shared" si="2"/>
        <v/>
      </c>
    </row>
    <row r="67" spans="1:10" ht="15.6">
      <c r="A67" s="24" t="str">
        <v>Washington 4</v>
      </c>
      <c r="B67" s="25" t="str">
        <v>NY</v>
      </c>
      <c r="C67" s="25" t="str">
        <f>Sites[[#This Row],[SOL'#]]</f>
        <v>SOL-10829</v>
      </c>
      <c r="D67" s="20">
        <f>SUM(Jul!D67, Aug!D67, Sep!D67)</f>
        <v>0</v>
      </c>
      <c r="E67" s="10">
        <f>SUM(Jul!E67, Aug!E67, Sep!E67)</f>
        <v>0</v>
      </c>
      <c r="F67" s="10">
        <f t="shared" si="4"/>
        <v>0</v>
      </c>
      <c r="G67" s="11" t="str">
        <f t="shared" si="5"/>
        <v/>
      </c>
      <c r="H67" s="12">
        <f>SUM(Jul!H67,Aug!H67,Sep!H67)</f>
        <v>0</v>
      </c>
      <c r="I67" s="12">
        <f>SUM(Jul!I67, Aug!I67, Sep!I67)</f>
        <v>0</v>
      </c>
      <c r="J67" s="13" t="str">
        <f t="shared" si="2"/>
        <v/>
      </c>
    </row>
    <row r="68" spans="1:10" ht="15.6">
      <c r="A68" s="26" t="str">
        <v>Big Tree</v>
      </c>
      <c r="B68" s="27" t="str">
        <v>NY</v>
      </c>
      <c r="C68" s="27" t="str">
        <f>Sites[[#This Row],[SOL'#]]</f>
        <v>SOL-10966</v>
      </c>
      <c r="D68" s="9">
        <f>SUM(Jul!D68, Aug!D68, Sep!D68)</f>
        <v>0</v>
      </c>
      <c r="E68" s="14">
        <f>SUM(Jul!E68, Aug!E68, Sep!E68)</f>
        <v>0</v>
      </c>
      <c r="F68" s="14">
        <f t="shared" si="4"/>
        <v>0</v>
      </c>
      <c r="G68" s="15" t="str">
        <f t="shared" si="5"/>
        <v/>
      </c>
      <c r="H68" s="16">
        <f>SUM(Jul!H68,Aug!H68,Sep!H68)</f>
        <v>0</v>
      </c>
      <c r="I68" s="16">
        <f>SUM(Jul!I68, Aug!I68, Sep!I68)</f>
        <v>0</v>
      </c>
      <c r="J68" s="15" t="str">
        <f t="shared" ref="J68:J95" si="6">IFERROR(I68/H68, "")</f>
        <v/>
      </c>
    </row>
    <row r="69" spans="1:10" ht="15.6">
      <c r="A69" s="24" t="str">
        <v>Canoga</v>
      </c>
      <c r="B69" s="25" t="str">
        <v>NY</v>
      </c>
      <c r="C69" s="25" t="str">
        <f>Sites[[#This Row],[SOL'#]]</f>
        <v>SOL-10965</v>
      </c>
      <c r="D69" s="20">
        <f>SUM(Jul!D69, Aug!D69, Sep!D69)</f>
        <v>0</v>
      </c>
      <c r="E69" s="10">
        <f>SUM(Jul!E69, Aug!E69, Sep!E69)</f>
        <v>0</v>
      </c>
      <c r="F69" s="10">
        <f t="shared" si="4"/>
        <v>0</v>
      </c>
      <c r="G69" s="11" t="str">
        <f t="shared" si="5"/>
        <v/>
      </c>
      <c r="H69" s="12">
        <f>SUM(Jul!H69,Aug!H69,Sep!H69)</f>
        <v>0</v>
      </c>
      <c r="I69" s="12">
        <f>SUM(Jul!I69, Aug!I69, Sep!I69)</f>
        <v>0</v>
      </c>
      <c r="J69" s="13" t="str">
        <f t="shared" si="6"/>
        <v/>
      </c>
    </row>
    <row r="70" spans="1:10" ht="15.6">
      <c r="A70" s="26" t="str">
        <v>County Route 84</v>
      </c>
      <c r="B70" s="27" t="str">
        <v>NY</v>
      </c>
      <c r="C70" s="27" t="str">
        <f>Sites[[#This Row],[SOL'#]]</f>
        <v>SOL-10967</v>
      </c>
      <c r="D70" s="9">
        <f>SUM(Jul!D70, Aug!D70, Sep!D70)</f>
        <v>0</v>
      </c>
      <c r="E70" s="14">
        <f>SUM(Jul!E70, Aug!E70, Sep!E70)</f>
        <v>0</v>
      </c>
      <c r="F70" s="14">
        <f t="shared" ref="F70:F97" si="7">IF(AND(ISNUMBER(D70),ISNUMBER(E70)), D70-E70, "")</f>
        <v>0</v>
      </c>
      <c r="G70" s="15" t="str">
        <f t="shared" si="5"/>
        <v/>
      </c>
      <c r="H70" s="16">
        <f>SUM(Jul!H70,Aug!H70,Sep!H70)</f>
        <v>0</v>
      </c>
      <c r="I70" s="16">
        <f>SUM(Jul!I70, Aug!I70, Sep!I70)</f>
        <v>0</v>
      </c>
      <c r="J70" s="15" t="str">
        <f t="shared" si="6"/>
        <v/>
      </c>
    </row>
    <row r="71" spans="1:10" ht="15.6">
      <c r="A71" s="24" t="str">
        <v>Donati</v>
      </c>
      <c r="B71" s="25" t="str">
        <v>NY</v>
      </c>
      <c r="C71" s="25" t="str">
        <f>Sites[[#This Row],[SOL'#]]</f>
        <v>SOL-10968</v>
      </c>
      <c r="D71" s="20">
        <f>SUM(Jul!D71, Aug!D71, Sep!D71)</f>
        <v>0</v>
      </c>
      <c r="E71" s="10">
        <f>SUM(Jul!E71, Aug!E71, Sep!E71)</f>
        <v>0</v>
      </c>
      <c r="F71" s="10">
        <f t="shared" si="7"/>
        <v>0</v>
      </c>
      <c r="G71" s="11" t="str">
        <f t="shared" si="5"/>
        <v/>
      </c>
      <c r="H71" s="12">
        <f>SUM(Jul!H71,Aug!H71,Sep!H71)</f>
        <v>0</v>
      </c>
      <c r="I71" s="12">
        <f>SUM(Jul!I71, Aug!I71, Sep!I71)</f>
        <v>0</v>
      </c>
      <c r="J71" s="13" t="str">
        <f t="shared" si="6"/>
        <v/>
      </c>
    </row>
    <row r="72" spans="1:10" ht="15.6">
      <c r="A72" s="26" t="str">
        <v>Henrietta</v>
      </c>
      <c r="B72" s="27" t="str">
        <v>NY</v>
      </c>
      <c r="C72" s="27" t="str">
        <f>Sites[[#This Row],[SOL'#]]</f>
        <v>SOL-10972</v>
      </c>
      <c r="D72" s="9">
        <f>SUM(Jul!D72, Aug!D72, Sep!D72)</f>
        <v>0</v>
      </c>
      <c r="E72" s="14">
        <f>SUM(Jul!E72, Aug!E72, Sep!E72)</f>
        <v>0</v>
      </c>
      <c r="F72" s="14">
        <f t="shared" si="7"/>
        <v>0</v>
      </c>
      <c r="G72" s="15" t="str">
        <f t="shared" si="5"/>
        <v/>
      </c>
      <c r="H72" s="16">
        <f>SUM(Jul!H72,Aug!H72,Sep!H72)</f>
        <v>0</v>
      </c>
      <c r="I72" s="16">
        <f>SUM(Jul!I72, Aug!I72, Sep!I72)</f>
        <v>0</v>
      </c>
      <c r="J72" s="15" t="str">
        <f t="shared" si="6"/>
        <v/>
      </c>
    </row>
    <row r="73" spans="1:10" ht="15.6">
      <c r="A73" s="24" t="str">
        <v>NY 70</v>
      </c>
      <c r="B73" s="25" t="str">
        <v>NY</v>
      </c>
      <c r="C73" s="25" t="str">
        <f>Sites[[#This Row],[SOL'#]]</f>
        <v>SOL-10970</v>
      </c>
      <c r="D73" s="20">
        <f>SUM(Jul!D73, Aug!D73, Sep!D73)</f>
        <v>0</v>
      </c>
      <c r="E73" s="10">
        <f>SUM(Jul!E73, Aug!E73, Sep!E73)</f>
        <v>0</v>
      </c>
      <c r="F73" s="10">
        <f t="shared" si="7"/>
        <v>0</v>
      </c>
      <c r="G73" s="11" t="str">
        <f t="shared" si="5"/>
        <v/>
      </c>
      <c r="H73" s="12">
        <f>SUM(Jul!H73,Aug!H73,Sep!H73)</f>
        <v>0</v>
      </c>
      <c r="I73" s="12">
        <f>SUM(Jul!I73, Aug!I73, Sep!I73)</f>
        <v>0</v>
      </c>
      <c r="J73" s="13" t="str">
        <f t="shared" si="6"/>
        <v/>
      </c>
    </row>
    <row r="74" spans="1:10" ht="15.6">
      <c r="A74" s="26" t="str">
        <v>Reid</v>
      </c>
      <c r="B74" s="27" t="str">
        <v>NY</v>
      </c>
      <c r="C74" s="27" t="str">
        <f>Sites[[#This Row],[SOL'#]]</f>
        <v>SOL-10991</v>
      </c>
      <c r="D74" s="9">
        <f>SUM(Jul!D74, Aug!D74, Sep!D74)</f>
        <v>0</v>
      </c>
      <c r="E74" s="14">
        <f>SUM(Jul!E74, Aug!E74, Sep!E74)</f>
        <v>0</v>
      </c>
      <c r="F74" s="14">
        <f t="shared" si="7"/>
        <v>0</v>
      </c>
      <c r="G74" s="15" t="str">
        <f t="shared" si="5"/>
        <v/>
      </c>
      <c r="H74" s="16">
        <f>SUM(Jul!H74,Aug!H74,Sep!H74)</f>
        <v>0</v>
      </c>
      <c r="I74" s="16">
        <f>SUM(Jul!I74, Aug!I74, Sep!I74)</f>
        <v>0</v>
      </c>
      <c r="J74" s="15" t="str">
        <f t="shared" si="6"/>
        <v/>
      </c>
    </row>
    <row r="75" spans="1:10" ht="15.6">
      <c r="A75" s="24" t="str">
        <v>Sangolqui</v>
      </c>
      <c r="B75" s="25" t="str">
        <v>NY</v>
      </c>
      <c r="C75" s="25" t="str">
        <f>Sites[[#This Row],[SOL'#]]</f>
        <v>SOL-10975</v>
      </c>
      <c r="D75" s="20">
        <f>SUM(Jul!D75, Aug!D75, Sep!D75)</f>
        <v>0</v>
      </c>
      <c r="E75" s="10">
        <f>SUM(Jul!E75, Aug!E75, Sep!E75)</f>
        <v>0</v>
      </c>
      <c r="F75" s="10">
        <f t="shared" si="7"/>
        <v>0</v>
      </c>
      <c r="G75" s="11" t="str">
        <f t="shared" si="5"/>
        <v/>
      </c>
      <c r="H75" s="12">
        <f>SUM(Jul!H75,Aug!H75,Sep!H75)</f>
        <v>0</v>
      </c>
      <c r="I75" s="12">
        <f>SUM(Jul!I75, Aug!I75, Sep!I75)</f>
        <v>0</v>
      </c>
      <c r="J75" s="13" t="str">
        <f t="shared" si="6"/>
        <v/>
      </c>
    </row>
    <row r="76" spans="1:10" ht="15.6">
      <c r="A76" s="26" t="str">
        <v>State Highway 17B</v>
      </c>
      <c r="B76" s="27" t="str">
        <v>NY</v>
      </c>
      <c r="C76" s="27" t="str">
        <f>Sites[[#This Row],[SOL'#]]</f>
        <v>SOL-10988</v>
      </c>
      <c r="D76" s="9">
        <f>SUM(Jul!D76, Aug!D76, Sep!D76)</f>
        <v>0</v>
      </c>
      <c r="E76" s="14">
        <f>SUM(Jul!E76, Aug!E76, Sep!E76)</f>
        <v>0</v>
      </c>
      <c r="F76" s="14">
        <f t="shared" si="7"/>
        <v>0</v>
      </c>
      <c r="G76" s="15" t="str">
        <f t="shared" si="5"/>
        <v/>
      </c>
      <c r="H76" s="16">
        <f>SUM(Jul!H76,Aug!H76,Sep!H76)</f>
        <v>0</v>
      </c>
      <c r="I76" s="16">
        <f>SUM(Jul!I76, Aug!I76, Sep!I76)</f>
        <v>0</v>
      </c>
      <c r="J76" s="15" t="str">
        <f t="shared" si="6"/>
        <v/>
      </c>
    </row>
    <row r="77" spans="1:10" ht="15.6">
      <c r="A77" s="24" t="str">
        <v>State Route 14A</v>
      </c>
      <c r="B77" s="25" t="str">
        <v>NY</v>
      </c>
      <c r="C77" s="25" t="str">
        <f>Sites[[#This Row],[SOL'#]]</f>
        <v>SOL-10997</v>
      </c>
      <c r="D77" s="20">
        <f>SUM(Jul!D77, Aug!D77, Sep!D77)</f>
        <v>0</v>
      </c>
      <c r="E77" s="10">
        <f>SUM(Jul!E77, Aug!E77, Sep!E77)</f>
        <v>0</v>
      </c>
      <c r="F77" s="10">
        <f t="shared" si="7"/>
        <v>0</v>
      </c>
      <c r="G77" s="11" t="str">
        <f t="shared" si="5"/>
        <v/>
      </c>
      <c r="H77" s="12">
        <f>SUM(Jul!H77,Aug!H77,Sep!H77)</f>
        <v>0</v>
      </c>
      <c r="I77" s="12">
        <f>SUM(Jul!I77, Aug!I77, Sep!I77)</f>
        <v>0</v>
      </c>
      <c r="J77" s="13" t="str">
        <f t="shared" si="6"/>
        <v/>
      </c>
    </row>
    <row r="78" spans="1:10" ht="15.6">
      <c r="A78" s="26" t="str">
        <v>West Creek</v>
      </c>
      <c r="B78" s="27" t="str">
        <v>NY</v>
      </c>
      <c r="C78" s="27" t="str">
        <f>Sites[[#This Row],[SOL'#]]</f>
        <v>SOL-10995</v>
      </c>
      <c r="D78" s="9">
        <f>SUM(Jul!D78, Aug!D78, Sep!D78)</f>
        <v>0</v>
      </c>
      <c r="E78" s="14">
        <f>SUM(Jul!E78, Aug!E78, Sep!E78)</f>
        <v>0</v>
      </c>
      <c r="F78" s="14">
        <f t="shared" si="7"/>
        <v>0</v>
      </c>
      <c r="G78" s="15" t="str">
        <f t="shared" si="5"/>
        <v/>
      </c>
      <c r="H78" s="16">
        <f>SUM(Jul!H78,Aug!H78,Sep!H78)</f>
        <v>0</v>
      </c>
      <c r="I78" s="16">
        <f>SUM(Jul!I78, Aug!I78, Sep!I78)</f>
        <v>0</v>
      </c>
      <c r="J78" s="15" t="str">
        <f t="shared" si="6"/>
        <v/>
      </c>
    </row>
    <row r="79" spans="1:10" ht="15.6">
      <c r="A79" s="24" t="str">
        <v>Wildflower</v>
      </c>
      <c r="B79" s="25" t="str">
        <v>NY</v>
      </c>
      <c r="C79" s="25" t="str">
        <f>Sites[[#This Row],[SOL'#]]</f>
        <v>SOL-10982</v>
      </c>
      <c r="D79" s="20">
        <f>SUM(Jul!D79, Aug!D79, Sep!D79)</f>
        <v>0</v>
      </c>
      <c r="E79" s="10">
        <f>SUM(Jul!E79, Aug!E79, Sep!E79)</f>
        <v>0</v>
      </c>
      <c r="F79" s="10">
        <f t="shared" si="7"/>
        <v>0</v>
      </c>
      <c r="G79" s="11" t="str">
        <f t="shared" si="5"/>
        <v/>
      </c>
      <c r="H79" s="12">
        <f>SUM(Jul!H79,Aug!H79,Sep!H79)</f>
        <v>0</v>
      </c>
      <c r="I79" s="12">
        <f>SUM(Jul!I79, Aug!I79, Sep!I79)</f>
        <v>0</v>
      </c>
      <c r="J79" s="13" t="str">
        <f t="shared" si="6"/>
        <v/>
      </c>
    </row>
    <row r="80" spans="1:10" ht="15.6">
      <c r="A80" s="26" t="str">
        <v>Glen Mary 1</v>
      </c>
      <c r="B80" s="27" t="str">
        <v>NY</v>
      </c>
      <c r="C80" s="27" t="str">
        <f>Sites[[#This Row],[SOL'#]]</f>
        <v>SOL-10993</v>
      </c>
      <c r="D80" s="9">
        <f>SUM(Jul!D80, Aug!D80, Sep!D80)</f>
        <v>0</v>
      </c>
      <c r="E80" s="14">
        <f>SUM(Jul!E80, Aug!E80, Sep!E80)</f>
        <v>0</v>
      </c>
      <c r="F80" s="14">
        <f t="shared" si="7"/>
        <v>0</v>
      </c>
      <c r="G80" s="15" t="str">
        <f t="shared" si="5"/>
        <v/>
      </c>
      <c r="H80" s="16">
        <f>SUM(Jul!H80,Aug!H80,Sep!H80)</f>
        <v>0</v>
      </c>
      <c r="I80" s="16">
        <f>SUM(Jul!I80, Aug!I80, Sep!I80)</f>
        <v>0</v>
      </c>
      <c r="J80" s="15" t="str">
        <f t="shared" si="6"/>
        <v/>
      </c>
    </row>
    <row r="81" spans="1:10" ht="15.6">
      <c r="A81" s="24" t="str">
        <v>Glen Mary 2</v>
      </c>
      <c r="B81" s="25" t="str">
        <v>NY</v>
      </c>
      <c r="C81" s="25" t="str">
        <f>Sites[[#This Row],[SOL'#]]</f>
        <v>SOL-10994</v>
      </c>
      <c r="D81" s="20">
        <f>SUM(Jul!D81, Aug!D81, Sep!D81)</f>
        <v>0</v>
      </c>
      <c r="E81" s="10">
        <f>SUM(Jul!E81, Aug!E81, Sep!E81)</f>
        <v>0</v>
      </c>
      <c r="F81" s="10">
        <f t="shared" si="7"/>
        <v>0</v>
      </c>
      <c r="G81" s="11" t="str">
        <f t="shared" si="5"/>
        <v/>
      </c>
      <c r="H81" s="12">
        <f>SUM(Jul!H81,Aug!H81,Sep!H81)</f>
        <v>0</v>
      </c>
      <c r="I81" s="12">
        <f>SUM(Jul!I81, Aug!I81, Sep!I81)</f>
        <v>0</v>
      </c>
      <c r="J81" s="13" t="str">
        <f t="shared" si="6"/>
        <v/>
      </c>
    </row>
    <row r="82" spans="1:10" ht="15.6">
      <c r="A82" s="26" t="str">
        <v>Telegraph 1</v>
      </c>
      <c r="B82" s="27" t="str">
        <v>NY</v>
      </c>
      <c r="C82" s="27" t="str">
        <f>Sites[[#This Row],[SOL'#]]</f>
        <v>SOL-11003</v>
      </c>
      <c r="D82" s="9">
        <f>SUM(Jul!D82, Aug!D82, Sep!D82)</f>
        <v>0</v>
      </c>
      <c r="E82" s="14">
        <f>SUM(Jul!E82, Aug!E82, Sep!E82)</f>
        <v>0</v>
      </c>
      <c r="F82" s="14">
        <f t="shared" si="7"/>
        <v>0</v>
      </c>
      <c r="G82" s="15" t="str">
        <f t="shared" si="5"/>
        <v/>
      </c>
      <c r="H82" s="16">
        <f>SUM(Jul!H82,Aug!H82,Sep!H82)</f>
        <v>0</v>
      </c>
      <c r="I82" s="16">
        <f>SUM(Jul!I82, Aug!I82, Sep!I82)</f>
        <v>0</v>
      </c>
      <c r="J82" s="15" t="str">
        <f t="shared" si="6"/>
        <v/>
      </c>
    </row>
    <row r="83" spans="1:10" ht="15.6">
      <c r="A83" s="24" t="str">
        <v>Telegraph 2</v>
      </c>
      <c r="B83" s="25" t="str">
        <v>NY</v>
      </c>
      <c r="C83" s="25" t="str">
        <f>Sites[[#This Row],[SOL'#]]</f>
        <v>SOL-11004</v>
      </c>
      <c r="D83" s="20">
        <f>SUM(Jul!D83, Aug!D83, Sep!D83)</f>
        <v>0</v>
      </c>
      <c r="E83" s="10">
        <f>SUM(Jul!E83, Aug!E83, Sep!E83)</f>
        <v>0</v>
      </c>
      <c r="F83" s="10">
        <f t="shared" si="7"/>
        <v>0</v>
      </c>
      <c r="G83" s="11" t="str">
        <f t="shared" si="5"/>
        <v/>
      </c>
      <c r="H83" s="12">
        <f>SUM(Jul!H83,Aug!H83,Sep!H83)</f>
        <v>0</v>
      </c>
      <c r="I83" s="12">
        <f>SUM(Jul!I83, Aug!I83, Sep!I83)</f>
        <v>0</v>
      </c>
      <c r="J83" s="13" t="str">
        <f t="shared" si="6"/>
        <v/>
      </c>
    </row>
    <row r="84" spans="1:10" ht="15.6">
      <c r="A84" s="26" t="str">
        <v>Cafferty Hill</v>
      </c>
      <c r="B84" s="27" t="str">
        <v>NY</v>
      </c>
      <c r="C84" s="27" t="str">
        <f>Sites[[#This Row],[SOL'#]]</f>
        <v>SOL-10996</v>
      </c>
      <c r="D84" s="9">
        <f>SUM(Jul!D84, Aug!D84, Sep!D84)</f>
        <v>0</v>
      </c>
      <c r="E84" s="14">
        <f>SUM(Jul!E84, Aug!E84, Sep!E84)</f>
        <v>0</v>
      </c>
      <c r="F84" s="14">
        <f t="shared" si="7"/>
        <v>0</v>
      </c>
      <c r="G84" s="15" t="str">
        <f t="shared" si="5"/>
        <v/>
      </c>
      <c r="H84" s="16">
        <f>SUM(Jul!H84,Aug!H84,Sep!H84)</f>
        <v>0</v>
      </c>
      <c r="I84" s="16">
        <f>SUM(Jul!I84, Aug!I84, Sep!I84)</f>
        <v>0</v>
      </c>
      <c r="J84" s="15" t="str">
        <f t="shared" si="6"/>
        <v/>
      </c>
    </row>
    <row r="85" spans="1:10" ht="15.6">
      <c r="A85" s="24" t="str">
        <v>Dunkleman</v>
      </c>
      <c r="B85" s="25" t="str">
        <v>NY</v>
      </c>
      <c r="C85" s="25" t="str">
        <f>Sites[[#This Row],[SOL'#]]</f>
        <v>SOL-11008</v>
      </c>
      <c r="D85" s="20">
        <f>SUM(Jul!D85, Aug!D85, Sep!D85)</f>
        <v>0</v>
      </c>
      <c r="E85" s="10">
        <f>SUM(Jul!E85, Aug!E85, Sep!E85)</f>
        <v>0</v>
      </c>
      <c r="F85" s="10">
        <f t="shared" si="7"/>
        <v>0</v>
      </c>
      <c r="G85" s="11" t="str">
        <f t="shared" si="5"/>
        <v/>
      </c>
      <c r="H85" s="12">
        <f>SUM(Jul!H85,Aug!H85,Sep!H85)</f>
        <v>0</v>
      </c>
      <c r="I85" s="12">
        <f>SUM(Jul!I85, Aug!I85, Sep!I85)</f>
        <v>0</v>
      </c>
      <c r="J85" s="13" t="str">
        <f t="shared" si="6"/>
        <v/>
      </c>
    </row>
    <row r="86" spans="1:10" ht="15.6">
      <c r="A86" s="26" t="str">
        <v>Route 19 1</v>
      </c>
      <c r="B86" s="27" t="str">
        <v>NY</v>
      </c>
      <c r="C86" s="27" t="str">
        <f>Sites[[#This Row],[SOL'#]]</f>
        <v>SOL-11001</v>
      </c>
      <c r="D86" s="9">
        <f>SUM(Jul!D86, Aug!D86, Sep!D86)</f>
        <v>0</v>
      </c>
      <c r="E86" s="14">
        <f>SUM(Jul!E86, Aug!E86, Sep!E86)</f>
        <v>0</v>
      </c>
      <c r="F86" s="14">
        <f t="shared" si="7"/>
        <v>0</v>
      </c>
      <c r="G86" s="15" t="str">
        <f t="shared" si="5"/>
        <v/>
      </c>
      <c r="H86" s="16">
        <f>SUM(Jul!H86,Aug!H86,Sep!H86)</f>
        <v>0</v>
      </c>
      <c r="I86" s="16">
        <f>SUM(Jul!I86, Aug!I86, Sep!I86)</f>
        <v>0</v>
      </c>
      <c r="J86" s="15" t="str">
        <f t="shared" si="6"/>
        <v/>
      </c>
    </row>
    <row r="87" spans="1:10" ht="15.6">
      <c r="A87" s="24" t="str">
        <v>Route 19 2</v>
      </c>
      <c r="B87" s="25" t="str">
        <v>NY</v>
      </c>
      <c r="C87" s="25" t="str">
        <f>Sites[[#This Row],[SOL'#]]</f>
        <v>SOL-11002</v>
      </c>
      <c r="D87" s="20">
        <f>SUM(Jul!D87, Aug!D87, Sep!D87)</f>
        <v>0</v>
      </c>
      <c r="E87" s="10">
        <f>SUM(Jul!E87, Aug!E87, Sep!E87)</f>
        <v>0</v>
      </c>
      <c r="F87" s="10">
        <f t="shared" si="7"/>
        <v>0</v>
      </c>
      <c r="G87" s="11" t="str">
        <f t="shared" si="5"/>
        <v/>
      </c>
      <c r="H87" s="12">
        <f>SUM(Jul!H87,Aug!H87,Sep!H87)</f>
        <v>0</v>
      </c>
      <c r="I87" s="12">
        <f>SUM(Jul!I87, Aug!I87, Sep!I87)</f>
        <v>0</v>
      </c>
      <c r="J87" s="13" t="str">
        <f t="shared" si="6"/>
        <v/>
      </c>
    </row>
    <row r="88" spans="1:10" ht="15.6">
      <c r="A88" s="26" t="str">
        <v>Yellow Mills 1</v>
      </c>
      <c r="B88" s="27" t="str">
        <v>NY</v>
      </c>
      <c r="C88" s="27" t="str">
        <f>Sites[[#This Row],[SOL'#]]</f>
        <v>SOL-11006</v>
      </c>
      <c r="D88" s="9">
        <f>SUM(Jul!D88, Aug!D88, Sep!D88)</f>
        <v>0</v>
      </c>
      <c r="E88" s="14">
        <f>SUM(Jul!E88, Aug!E88, Sep!E88)</f>
        <v>0</v>
      </c>
      <c r="F88" s="14">
        <f t="shared" si="7"/>
        <v>0</v>
      </c>
      <c r="G88" s="15" t="str">
        <f t="shared" si="5"/>
        <v/>
      </c>
      <c r="H88" s="16">
        <f>SUM(Jul!H88,Aug!H88,Sep!H88)</f>
        <v>0</v>
      </c>
      <c r="I88" s="16">
        <f>SUM(Jul!I88, Aug!I88, Sep!I88)</f>
        <v>0</v>
      </c>
      <c r="J88" s="15" t="str">
        <f t="shared" si="6"/>
        <v/>
      </c>
    </row>
    <row r="89" spans="1:10" ht="15.6">
      <c r="A89" s="24" t="str">
        <v>Yellow Mills 2</v>
      </c>
      <c r="B89" s="25" t="str">
        <v>NY</v>
      </c>
      <c r="C89" s="25" t="str">
        <f>Sites[[#This Row],[SOL'#]]</f>
        <v>SOL-11005</v>
      </c>
      <c r="D89" s="20">
        <f>SUM(Jul!D89, Aug!D89, Sep!D89)</f>
        <v>0</v>
      </c>
      <c r="E89" s="10">
        <f>SUM(Jul!E89, Aug!E89, Sep!E89)</f>
        <v>0</v>
      </c>
      <c r="F89" s="10">
        <f t="shared" si="7"/>
        <v>0</v>
      </c>
      <c r="G89" s="11" t="str">
        <f t="shared" si="5"/>
        <v/>
      </c>
      <c r="H89" s="12">
        <f>SUM(Jul!H89,Aug!H89,Sep!H89)</f>
        <v>0</v>
      </c>
      <c r="I89" s="12">
        <f>SUM(Jul!I89, Aug!I89, Sep!I89)</f>
        <v>0</v>
      </c>
      <c r="J89" s="13" t="str">
        <f t="shared" si="6"/>
        <v/>
      </c>
    </row>
    <row r="90" spans="1:10" ht="15.6">
      <c r="A90" s="26" t="str">
        <v>Yellow Mills 3</v>
      </c>
      <c r="B90" s="27" t="str">
        <v>NY</v>
      </c>
      <c r="C90" s="27" t="str">
        <f>Sites[[#This Row],[SOL'#]]</f>
        <v>SOL-11007</v>
      </c>
      <c r="D90" s="9">
        <f>SUM(Jul!D90, Aug!D90, Sep!D90)</f>
        <v>0</v>
      </c>
      <c r="E90" s="14">
        <f>SUM(Jul!E90, Aug!E90, Sep!E90)</f>
        <v>0</v>
      </c>
      <c r="F90" s="14">
        <f t="shared" si="7"/>
        <v>0</v>
      </c>
      <c r="G90" s="15" t="str">
        <f t="shared" si="5"/>
        <v/>
      </c>
      <c r="H90" s="16">
        <f>SUM(Jul!H90,Aug!H90,Sep!H90)</f>
        <v>0</v>
      </c>
      <c r="I90" s="16">
        <f>SUM(Jul!I90, Aug!I90, Sep!I90)</f>
        <v>0</v>
      </c>
      <c r="J90" s="15" t="str">
        <f t="shared" si="6"/>
        <v/>
      </c>
    </row>
    <row r="91" spans="1:10" ht="15.6">
      <c r="A91" s="24" t="str">
        <v>Catskill</v>
      </c>
      <c r="B91" s="25" t="str">
        <v>NY</v>
      </c>
      <c r="C91" s="25" t="str">
        <f>Sites[[#This Row],[SOL'#]]</f>
        <v>SOL-11021</v>
      </c>
      <c r="D91" s="20">
        <f>SUM(Jul!D91, Aug!D91, Sep!D91)</f>
        <v>0</v>
      </c>
      <c r="E91" s="10">
        <f>SUM(Jul!E91, Aug!E91, Sep!E91)</f>
        <v>0</v>
      </c>
      <c r="F91" s="10">
        <f t="shared" si="7"/>
        <v>0</v>
      </c>
      <c r="G91" s="11" t="str">
        <f t="shared" si="5"/>
        <v/>
      </c>
      <c r="H91" s="12">
        <f>SUM(Jul!H91,Aug!H91,Sep!H91)</f>
        <v>0</v>
      </c>
      <c r="I91" s="12">
        <f>SUM(Jul!I91, Aug!I91, Sep!I91)</f>
        <v>0</v>
      </c>
      <c r="J91" s="13" t="str">
        <f t="shared" si="6"/>
        <v/>
      </c>
    </row>
    <row r="92" spans="1:10" ht="15.6">
      <c r="A92" s="26" t="str">
        <v>Eddy Ridge</v>
      </c>
      <c r="B92" s="27" t="str">
        <v>NY</v>
      </c>
      <c r="C92" s="27" t="str">
        <f>Sites[[#This Row],[SOL'#]]</f>
        <v>SOL-11054</v>
      </c>
      <c r="D92" s="9">
        <f>SUM(Jul!D92, Aug!D92, Sep!D92)</f>
        <v>0</v>
      </c>
      <c r="E92" s="14">
        <f>SUM(Jul!E92, Aug!E92, Sep!E92)</f>
        <v>0</v>
      </c>
      <c r="F92" s="14">
        <f t="shared" si="7"/>
        <v>0</v>
      </c>
      <c r="G92" s="15" t="str">
        <f t="shared" si="5"/>
        <v/>
      </c>
      <c r="H92" s="16">
        <f>SUM(Jul!H92,Aug!H92,Sep!H92)</f>
        <v>0</v>
      </c>
      <c r="I92" s="16">
        <f>SUM(Jul!I92, Aug!I92, Sep!I92)</f>
        <v>0</v>
      </c>
      <c r="J92" s="15" t="str">
        <f t="shared" si="6"/>
        <v/>
      </c>
    </row>
    <row r="93" spans="1:10" ht="15.6">
      <c r="A93" s="24" t="str">
        <v>Ridgeway #1</v>
      </c>
      <c r="B93" s="25" t="str">
        <v>NY</v>
      </c>
      <c r="C93" s="25" t="str">
        <f>Sites[[#This Row],[SOL'#]]</f>
        <v>SOL-11018</v>
      </c>
      <c r="D93" s="20">
        <f>SUM(Jul!D93, Aug!D93, Sep!D93)</f>
        <v>0</v>
      </c>
      <c r="E93" s="10">
        <f>SUM(Jul!E93, Aug!E93, Sep!E93)</f>
        <v>0</v>
      </c>
      <c r="F93" s="10">
        <f t="shared" si="7"/>
        <v>0</v>
      </c>
      <c r="G93" s="11" t="str">
        <f t="shared" si="5"/>
        <v/>
      </c>
      <c r="H93" s="12">
        <f>SUM(Jul!H93,Aug!H93,Sep!H93)</f>
        <v>0</v>
      </c>
      <c r="I93" s="12">
        <f>SUM(Jul!I93, Aug!I93, Sep!I93)</f>
        <v>0</v>
      </c>
      <c r="J93" s="13" t="str">
        <f t="shared" si="6"/>
        <v/>
      </c>
    </row>
    <row r="94" spans="1:10" ht="15.6">
      <c r="A94" s="26" t="str">
        <v>Rivard 1</v>
      </c>
      <c r="B94" s="27" t="str">
        <v>NY</v>
      </c>
      <c r="C94" s="27" t="str">
        <f>Sites[[#This Row],[SOL'#]]</f>
        <v>SOL-11011</v>
      </c>
      <c r="D94" s="9">
        <f>SUM(Jul!D94, Aug!D94, Sep!D94)</f>
        <v>0</v>
      </c>
      <c r="E94" s="14">
        <f>SUM(Jul!E94, Aug!E94, Sep!E94)</f>
        <v>0</v>
      </c>
      <c r="F94" s="14">
        <f t="shared" si="7"/>
        <v>0</v>
      </c>
      <c r="G94" s="15" t="str">
        <f t="shared" si="5"/>
        <v/>
      </c>
      <c r="H94" s="16">
        <f>SUM(Jul!H94,Aug!H94,Sep!H94)</f>
        <v>0</v>
      </c>
      <c r="I94" s="16">
        <f>SUM(Jul!I94, Aug!I94, Sep!I94)</f>
        <v>0</v>
      </c>
      <c r="J94" s="15" t="str">
        <f t="shared" si="6"/>
        <v/>
      </c>
    </row>
    <row r="95" spans="1:10" ht="15.6">
      <c r="A95" s="24" t="str">
        <v>Rivard 2</v>
      </c>
      <c r="B95" s="25" t="str">
        <v>NY</v>
      </c>
      <c r="C95" s="25" t="str">
        <f>Sites[[#This Row],[SOL'#]]</f>
        <v>SOL-11012</v>
      </c>
      <c r="D95" s="20">
        <f>SUM(Jul!D95, Aug!D95, Sep!D95)</f>
        <v>0</v>
      </c>
      <c r="E95" s="10">
        <f>SUM(Jul!E95, Aug!E95, Sep!E95)</f>
        <v>0</v>
      </c>
      <c r="F95" s="10">
        <f t="shared" si="7"/>
        <v>0</v>
      </c>
      <c r="G95" s="11" t="str">
        <f t="shared" si="5"/>
        <v/>
      </c>
      <c r="H95" s="12">
        <f>SUM(Jul!H95,Aug!H95,Sep!H95)</f>
        <v>0</v>
      </c>
      <c r="I95" s="12">
        <f>SUM(Jul!I95, Aug!I95, Sep!I95)</f>
        <v>0</v>
      </c>
      <c r="J95" s="13" t="str">
        <f t="shared" si="6"/>
        <v/>
      </c>
    </row>
    <row r="96" spans="1:10" ht="15.6">
      <c r="A96" s="26" t="str">
        <v>Ridgeway #2</v>
      </c>
      <c r="B96" s="27" t="str">
        <v>NY</v>
      </c>
      <c r="C96" s="27" t="str">
        <f>Sites[[#This Row],[SOL'#]]</f>
        <v>SOL-11027</v>
      </c>
      <c r="D96" s="9">
        <f>SUM(Jul!D96, Aug!D96, Sep!D96)</f>
        <v>0</v>
      </c>
      <c r="E96" s="14">
        <f>SUM(Jul!E96, Aug!E96, Sep!E96)</f>
        <v>0</v>
      </c>
      <c r="F96" s="14">
        <f t="shared" si="7"/>
        <v>0</v>
      </c>
      <c r="G96" s="15" t="str">
        <f t="shared" ref="G96:G97" si="8">IFERROR(F96/E96, "")</f>
        <v/>
      </c>
      <c r="H96" s="16">
        <f>SUM(Jul!H96,Aug!H96,Sep!H96)</f>
        <v>0</v>
      </c>
      <c r="I96" s="16">
        <f>SUM(Jul!I96, Aug!I96, Sep!I96)</f>
        <v>0</v>
      </c>
      <c r="J96" s="15" t="str">
        <f t="shared" ref="J96:J97" si="9">IFERROR(I96/H96, "")</f>
        <v/>
      </c>
    </row>
    <row r="97" spans="1:10" ht="15.6">
      <c r="A97" s="24" t="str">
        <v>Spencer</v>
      </c>
      <c r="B97" s="25" t="str">
        <v>NY</v>
      </c>
      <c r="C97" s="25" t="str">
        <f>Sites[[#This Row],[SOL'#]]</f>
        <v>SOL-11017</v>
      </c>
      <c r="D97" s="20">
        <f>SUM(Jul!D97, Aug!D97, Sep!D97)</f>
        <v>0</v>
      </c>
      <c r="E97" s="10">
        <f>SUM(Jul!E97, Aug!E97, Sep!E97)</f>
        <v>0</v>
      </c>
      <c r="F97" s="10">
        <f t="shared" si="7"/>
        <v>0</v>
      </c>
      <c r="G97" s="11" t="str">
        <f t="shared" si="8"/>
        <v/>
      </c>
      <c r="H97" s="12">
        <f>SUM(Jul!H97,Aug!H97,Sep!H97)</f>
        <v>0</v>
      </c>
      <c r="I97" s="12">
        <f>SUM(Jul!I97, Aug!I97, Sep!I97)</f>
        <v>0</v>
      </c>
      <c r="J97" s="13" t="str">
        <f t="shared" si="9"/>
        <v/>
      </c>
    </row>
    <row r="98" spans="1:10" ht="15.6">
      <c r="A98" s="26" t="str">
        <v>Reisender</v>
      </c>
      <c r="B98" s="27" t="str">
        <v>NY</v>
      </c>
      <c r="C98" s="27" t="str">
        <f>Sites[[#This Row],[SOL'#]]</f>
        <v>SOL-10886</v>
      </c>
      <c r="D98" s="9">
        <f>SUM(Jul!D98, Aug!D98, Sep!D98)</f>
        <v>0</v>
      </c>
      <c r="E98" s="14">
        <f>SUM(Jul!E98, Aug!E98, Sep!E98)</f>
        <v>0</v>
      </c>
      <c r="F98" s="14">
        <f t="shared" ref="F98:F158" si="10">IF(AND(ISNUMBER(D98),ISNUMBER(E98)), D98-E98, "")</f>
        <v>0</v>
      </c>
      <c r="G98" s="15" t="str">
        <f t="shared" ref="G98:G158" si="11">IFERROR(F98/E98, "")</f>
        <v/>
      </c>
      <c r="H98" s="16">
        <f>SUM(Jul!H98,Aug!H98,Sep!H98)</f>
        <v>0</v>
      </c>
      <c r="I98" s="16">
        <f>SUM(Jul!I98, Aug!I98, Sep!I98)</f>
        <v>0</v>
      </c>
      <c r="J98" s="15" t="str">
        <f t="shared" ref="J98:J154" si="12">IFERROR(I98/H98, "")</f>
        <v/>
      </c>
    </row>
    <row r="99" spans="1:10" ht="15.6">
      <c r="A99" s="24" t="str">
        <v>Finney</v>
      </c>
      <c r="B99" s="25" t="str">
        <v>NY</v>
      </c>
      <c r="C99" s="25" t="str">
        <f>Sites[[#This Row],[SOL'#]]</f>
        <v>SOL-10999</v>
      </c>
      <c r="D99" s="20">
        <f>SUM(Jul!D99, Aug!D99, Sep!D99)</f>
        <v>0</v>
      </c>
      <c r="E99" s="10">
        <f>SUM(Jul!E99, Aug!E99, Sep!E99)</f>
        <v>0</v>
      </c>
      <c r="F99" s="10">
        <f t="shared" si="10"/>
        <v>0</v>
      </c>
      <c r="G99" s="11" t="str">
        <f t="shared" si="11"/>
        <v/>
      </c>
      <c r="H99" s="12">
        <f>SUM(Jul!H99,Aug!H99,Sep!H99)</f>
        <v>0</v>
      </c>
      <c r="I99" s="12">
        <f>SUM(Jul!I99, Aug!I99, Sep!I99)</f>
        <v>0</v>
      </c>
      <c r="J99" s="13" t="str">
        <f t="shared" si="12"/>
        <v/>
      </c>
    </row>
    <row r="100" spans="1:10" ht="15.6">
      <c r="A100" s="26" t="str">
        <v>Davis Solar</v>
      </c>
      <c r="B100" s="27" t="str">
        <v>NY</v>
      </c>
      <c r="C100" s="27" t="str">
        <f>Sites[[#This Row],[SOL'#]]</f>
        <v>SOL-10958</v>
      </c>
      <c r="D100" s="9">
        <f>SUM(Jul!D100, Aug!D100, Sep!D100)</f>
        <v>0</v>
      </c>
      <c r="E100" s="14">
        <f>SUM(Jul!E100, Aug!E100, Sep!E100)</f>
        <v>0</v>
      </c>
      <c r="F100" s="14">
        <f t="shared" si="10"/>
        <v>0</v>
      </c>
      <c r="G100" s="15" t="str">
        <f t="shared" si="11"/>
        <v/>
      </c>
      <c r="H100" s="16">
        <f>SUM(Jul!H100,Aug!H100,Sep!H100)</f>
        <v>0</v>
      </c>
      <c r="I100" s="16">
        <f>SUM(Jul!I100, Aug!I100, Sep!I100)</f>
        <v>0</v>
      </c>
      <c r="J100" s="15" t="str">
        <f t="shared" si="12"/>
        <v/>
      </c>
    </row>
    <row r="101" spans="1:10" ht="15.6">
      <c r="A101" s="24" t="str">
        <v>Genesee</v>
      </c>
      <c r="B101" s="25" t="str">
        <v>NY</v>
      </c>
      <c r="C101" s="25" t="str">
        <f>Sites[[#This Row],[SOL'#]]</f>
        <v>SOL-10951</v>
      </c>
      <c r="D101" s="20">
        <f>SUM(Jul!D101, Aug!D101, Sep!D101)</f>
        <v>0</v>
      </c>
      <c r="E101" s="10">
        <f>SUM(Jul!E101, Aug!E101, Sep!E101)</f>
        <v>0</v>
      </c>
      <c r="F101" s="10">
        <f t="shared" si="10"/>
        <v>0</v>
      </c>
      <c r="G101" s="11" t="str">
        <f t="shared" si="11"/>
        <v/>
      </c>
      <c r="H101" s="12">
        <f>SUM(Jul!H101,Aug!H101,Sep!H101)</f>
        <v>0</v>
      </c>
      <c r="I101" s="12">
        <f>SUM(Jul!I101, Aug!I101, Sep!I101)</f>
        <v>0</v>
      </c>
      <c r="J101" s="13" t="str">
        <f t="shared" si="12"/>
        <v/>
      </c>
    </row>
    <row r="102" spans="1:10" ht="15.6">
      <c r="A102" s="26" t="str">
        <v>Landau I</v>
      </c>
      <c r="B102" s="27" t="str">
        <v>NY</v>
      </c>
      <c r="C102" s="27" t="str">
        <f>Sites[[#This Row],[SOL'#]]</f>
        <v>SOL-10891</v>
      </c>
      <c r="D102" s="9">
        <f>SUM(Jul!D102, Aug!D102, Sep!D102)</f>
        <v>0</v>
      </c>
      <c r="E102" s="14">
        <f>SUM(Jul!E102, Aug!E102, Sep!E102)</f>
        <v>0</v>
      </c>
      <c r="F102" s="14">
        <f t="shared" si="10"/>
        <v>0</v>
      </c>
      <c r="G102" s="15" t="str">
        <f t="shared" si="11"/>
        <v/>
      </c>
      <c r="H102" s="16">
        <f>SUM(Jul!H102,Aug!H102,Sep!H102)</f>
        <v>0</v>
      </c>
      <c r="I102" s="16">
        <f>SUM(Jul!I102, Aug!I102, Sep!I102)</f>
        <v>0</v>
      </c>
      <c r="J102" s="15" t="str">
        <f t="shared" si="12"/>
        <v/>
      </c>
    </row>
    <row r="103" spans="1:10" ht="15.6">
      <c r="A103" s="24" t="str">
        <v>Landau II</v>
      </c>
      <c r="B103" s="25" t="str">
        <v>NY</v>
      </c>
      <c r="C103" s="25" t="str">
        <f>Sites[[#This Row],[SOL'#]]</f>
        <v>SOL-10895</v>
      </c>
      <c r="D103" s="20">
        <f>SUM(Jul!D103, Aug!D103, Sep!D103)</f>
        <v>0</v>
      </c>
      <c r="E103" s="10">
        <f>SUM(Jul!E103, Aug!E103, Sep!E103)</f>
        <v>0</v>
      </c>
      <c r="F103" s="10">
        <f t="shared" si="10"/>
        <v>0</v>
      </c>
      <c r="G103" s="11" t="str">
        <f t="shared" si="11"/>
        <v/>
      </c>
      <c r="H103" s="12">
        <f>SUM(Jul!H103,Aug!H103,Sep!H103)</f>
        <v>0</v>
      </c>
      <c r="I103" s="12">
        <f>SUM(Jul!I103, Aug!I103, Sep!I103)</f>
        <v>0</v>
      </c>
      <c r="J103" s="13" t="str">
        <f t="shared" si="12"/>
        <v/>
      </c>
    </row>
    <row r="104" spans="1:10" ht="15.6">
      <c r="A104" s="26" t="str">
        <v>New Beginnings</v>
      </c>
      <c r="B104" s="27" t="str">
        <v>NY</v>
      </c>
      <c r="C104" s="27" t="str">
        <f>Sites[[#This Row],[SOL'#]]</f>
        <v>SOL-10890</v>
      </c>
      <c r="D104" s="9">
        <f>SUM(Jul!D104, Aug!D104, Sep!D104)</f>
        <v>0</v>
      </c>
      <c r="E104" s="14">
        <f>SUM(Jul!E104, Aug!E104, Sep!E104)</f>
        <v>0</v>
      </c>
      <c r="F104" s="14">
        <f t="shared" si="10"/>
        <v>0</v>
      </c>
      <c r="G104" s="15" t="str">
        <f t="shared" si="11"/>
        <v/>
      </c>
      <c r="H104" s="16">
        <f>SUM(Jul!H104,Aug!H104,Sep!H104)</f>
        <v>0</v>
      </c>
      <c r="I104" s="16">
        <f>SUM(Jul!I104, Aug!I104, Sep!I104)</f>
        <v>0</v>
      </c>
      <c r="J104" s="15" t="str">
        <f t="shared" si="12"/>
        <v/>
      </c>
    </row>
    <row r="105" spans="1:10" ht="15.6">
      <c r="A105" s="24" t="str">
        <v>Bullitt Farm Solar, LLC</v>
      </c>
      <c r="B105" s="25" t="str">
        <v>NY</v>
      </c>
      <c r="C105" s="25" t="str">
        <f>Sites[[#This Row],[SOL'#]]</f>
        <v>SOL-10998</v>
      </c>
      <c r="D105" s="20">
        <f>SUM(Jul!D105, Aug!D105, Sep!D105)</f>
        <v>0</v>
      </c>
      <c r="E105" s="10">
        <f>SUM(Jul!E105, Aug!E105, Sep!E105)</f>
        <v>0</v>
      </c>
      <c r="F105" s="10">
        <f t="shared" si="10"/>
        <v>0</v>
      </c>
      <c r="G105" s="11" t="str">
        <f t="shared" si="11"/>
        <v/>
      </c>
      <c r="H105" s="12">
        <f>SUM(Jul!H105,Aug!H105,Sep!H105)</f>
        <v>0</v>
      </c>
      <c r="I105" s="12">
        <f>SUM(Jul!I105, Aug!I105, Sep!I105)</f>
        <v>0</v>
      </c>
      <c r="J105" s="13" t="str">
        <f t="shared" si="12"/>
        <v/>
      </c>
    </row>
    <row r="106" spans="1:10" ht="15.6">
      <c r="A106" s="26" t="str">
        <v>Brodhead Solar, LLC</v>
      </c>
      <c r="B106" s="27" t="str">
        <v>NY</v>
      </c>
      <c r="C106" s="27" t="str">
        <f>Sites[[#This Row],[SOL'#]]</f>
        <v>SOL-10899</v>
      </c>
      <c r="D106" s="9">
        <f>SUM(Jul!D106, Aug!D106, Sep!D106)</f>
        <v>0</v>
      </c>
      <c r="E106" s="14">
        <f>SUM(Jul!E106, Aug!E106, Sep!E106)</f>
        <v>0</v>
      </c>
      <c r="F106" s="14">
        <f t="shared" si="10"/>
        <v>0</v>
      </c>
      <c r="G106" s="15" t="str">
        <f t="shared" si="11"/>
        <v/>
      </c>
      <c r="H106" s="16">
        <f>SUM(Jul!H106,Aug!H106,Sep!H106)</f>
        <v>0</v>
      </c>
      <c r="I106" s="16">
        <f>SUM(Jul!I106, Aug!I106, Sep!I106)</f>
        <v>0</v>
      </c>
      <c r="J106" s="15" t="str">
        <f t="shared" si="12"/>
        <v/>
      </c>
    </row>
    <row r="107" spans="1:10" ht="15.6">
      <c r="A107" s="24" t="str">
        <v>Svenski</v>
      </c>
      <c r="B107" s="25" t="str">
        <v>NY</v>
      </c>
      <c r="C107" s="25" t="str">
        <f>Sites[[#This Row],[SOL'#]]</f>
        <v>SOL-10894</v>
      </c>
      <c r="D107" s="20">
        <f>SUM(Jul!D107, Aug!D107, Sep!D107)</f>
        <v>0</v>
      </c>
      <c r="E107" s="10">
        <f>SUM(Jul!E107, Aug!E107, Sep!E107)</f>
        <v>0</v>
      </c>
      <c r="F107" s="10">
        <f t="shared" si="10"/>
        <v>0</v>
      </c>
      <c r="G107" s="11" t="str">
        <f t="shared" si="11"/>
        <v/>
      </c>
      <c r="H107" s="12">
        <f>SUM(Jul!H107,Aug!H107,Sep!H107)</f>
        <v>0</v>
      </c>
      <c r="I107" s="12">
        <f>SUM(Jul!I107, Aug!I107, Sep!I107)</f>
        <v>0</v>
      </c>
      <c r="J107" s="13" t="str">
        <f t="shared" si="12"/>
        <v/>
      </c>
    </row>
    <row r="108" spans="1:10" ht="15.6">
      <c r="A108" s="26" t="str">
        <v>Bantam</v>
      </c>
      <c r="B108" s="27" t="str">
        <v>NY</v>
      </c>
      <c r="C108" s="27" t="str">
        <f>Sites[[#This Row],[SOL'#]]</f>
        <v>SOL-10986</v>
      </c>
      <c r="D108" s="9">
        <f>SUM(Jul!D108, Aug!D108, Sep!D108)</f>
        <v>0</v>
      </c>
      <c r="E108" s="14">
        <f>SUM(Jul!E108, Aug!E108, Sep!E108)</f>
        <v>0</v>
      </c>
      <c r="F108" s="14">
        <f t="shared" si="10"/>
        <v>0</v>
      </c>
      <c r="G108" s="15" t="str">
        <f t="shared" si="11"/>
        <v/>
      </c>
      <c r="H108" s="16">
        <f>SUM(Jul!H108,Aug!H108,Sep!H108)</f>
        <v>0</v>
      </c>
      <c r="I108" s="16">
        <f>SUM(Jul!I108, Aug!I108, Sep!I108)</f>
        <v>0</v>
      </c>
      <c r="J108" s="15" t="str">
        <f t="shared" si="12"/>
        <v/>
      </c>
    </row>
    <row r="109" spans="1:10" ht="15.6">
      <c r="A109" s="24" t="str">
        <v>Bogart</v>
      </c>
      <c r="B109" s="25" t="str">
        <v>NY</v>
      </c>
      <c r="C109" s="25" t="str">
        <f>Sites[[#This Row],[SOL'#]]</f>
        <v>SOL-10887</v>
      </c>
      <c r="D109" s="20">
        <f>SUM(Jul!D109, Aug!D109, Sep!D109)</f>
        <v>0</v>
      </c>
      <c r="E109" s="10">
        <f>SUM(Jul!E109, Aug!E109, Sep!E109)</f>
        <v>0</v>
      </c>
      <c r="F109" s="10">
        <f t="shared" si="10"/>
        <v>0</v>
      </c>
      <c r="G109" s="11" t="str">
        <f t="shared" si="11"/>
        <v/>
      </c>
      <c r="H109" s="12">
        <f>SUM(Jul!H109,Aug!H109,Sep!H109)</f>
        <v>0</v>
      </c>
      <c r="I109" s="12">
        <f>SUM(Jul!I109, Aug!I109, Sep!I109)</f>
        <v>0</v>
      </c>
      <c r="J109" s="13" t="str">
        <f t="shared" si="12"/>
        <v/>
      </c>
    </row>
    <row r="110" spans="1:10" ht="15.6">
      <c r="A110" s="26" t="str">
        <v>Dubois</v>
      </c>
      <c r="B110" s="27" t="str">
        <v>NY</v>
      </c>
      <c r="C110" s="27" t="str">
        <f>Sites[[#This Row],[SOL'#]]</f>
        <v>SOL-10892</v>
      </c>
      <c r="D110" s="9">
        <f>SUM(Jul!D110, Aug!D110, Sep!D110)</f>
        <v>0</v>
      </c>
      <c r="E110" s="14">
        <f>SUM(Jul!E110, Aug!E110, Sep!E110)</f>
        <v>0</v>
      </c>
      <c r="F110" s="14">
        <f t="shared" si="10"/>
        <v>0</v>
      </c>
      <c r="G110" s="15" t="str">
        <f t="shared" si="11"/>
        <v/>
      </c>
      <c r="H110" s="16">
        <f>SUM(Jul!H110,Aug!H110,Sep!H110)</f>
        <v>0</v>
      </c>
      <c r="I110" s="16">
        <f>SUM(Jul!I110, Aug!I110, Sep!I110)</f>
        <v>0</v>
      </c>
      <c r="J110" s="15" t="str">
        <f t="shared" si="12"/>
        <v/>
      </c>
    </row>
    <row r="111" spans="1:10" ht="15.6">
      <c r="A111" s="24" t="str">
        <v>Salt Point</v>
      </c>
      <c r="B111" s="25" t="str">
        <v>NY</v>
      </c>
      <c r="C111" s="25" t="str">
        <f>Sites[[#This Row],[SOL'#]]</f>
        <v>SOL-10888</v>
      </c>
      <c r="D111" s="20">
        <f>SUM(Jul!D111, Aug!D111, Sep!D111)</f>
        <v>0</v>
      </c>
      <c r="E111" s="10">
        <f>SUM(Jul!E111, Aug!E111, Sep!E111)</f>
        <v>0</v>
      </c>
      <c r="F111" s="10">
        <f t="shared" si="10"/>
        <v>0</v>
      </c>
      <c r="G111" s="11" t="str">
        <f t="shared" si="11"/>
        <v/>
      </c>
      <c r="H111" s="12">
        <f>SUM(Jul!H111,Aug!H111,Sep!H111)</f>
        <v>0</v>
      </c>
      <c r="I111" s="12">
        <f>SUM(Jul!I111, Aug!I111, Sep!I111)</f>
        <v>0</v>
      </c>
      <c r="J111" s="13" t="str">
        <f t="shared" si="12"/>
        <v/>
      </c>
    </row>
    <row r="112" spans="1:10" ht="15.6">
      <c r="A112" s="26" t="str">
        <v>Wheatland 2A</v>
      </c>
      <c r="B112" s="27" t="str">
        <v>NY</v>
      </c>
      <c r="C112" s="27" t="str">
        <f>Sites[[#This Row],[SOL'#]]</f>
        <v>SOL-10971</v>
      </c>
      <c r="D112" s="9">
        <f>SUM(Jul!D112, Aug!D112, Sep!D112)</f>
        <v>0</v>
      </c>
      <c r="E112" s="14">
        <f>SUM(Jul!E112, Aug!E112, Sep!E112)</f>
        <v>0</v>
      </c>
      <c r="F112" s="14">
        <f t="shared" si="10"/>
        <v>0</v>
      </c>
      <c r="G112" s="15" t="str">
        <f t="shared" si="11"/>
        <v/>
      </c>
      <c r="H112" s="16">
        <f>SUM(Jul!H112,Aug!H112,Sep!H112)</f>
        <v>0</v>
      </c>
      <c r="I112" s="16">
        <f>SUM(Jul!I112, Aug!I112, Sep!I112)</f>
        <v>0</v>
      </c>
      <c r="J112" s="15" t="str">
        <f t="shared" si="12"/>
        <v/>
      </c>
    </row>
    <row r="113" spans="1:10" ht="15.6">
      <c r="A113" s="24" t="str">
        <v>Wheatland 2B</v>
      </c>
      <c r="B113" s="25" t="str">
        <v>NY</v>
      </c>
      <c r="C113" s="25" t="str">
        <f>Sites[[#This Row],[SOL'#]]</f>
        <v>SOL-10961</v>
      </c>
      <c r="D113" s="20">
        <f>SUM(Jul!D113, Aug!D113, Sep!D113)</f>
        <v>0</v>
      </c>
      <c r="E113" s="10">
        <f>SUM(Jul!E113, Aug!E113, Sep!E113)</f>
        <v>0</v>
      </c>
      <c r="F113" s="10">
        <f t="shared" si="10"/>
        <v>0</v>
      </c>
      <c r="G113" s="11" t="str">
        <f t="shared" si="11"/>
        <v/>
      </c>
      <c r="H113" s="12">
        <f>SUM(Jul!H113,Aug!H113,Sep!H113)</f>
        <v>0</v>
      </c>
      <c r="I113" s="12">
        <f>SUM(Jul!I113, Aug!I113, Sep!I113)</f>
        <v>0</v>
      </c>
      <c r="J113" s="13" t="str">
        <f t="shared" si="12"/>
        <v/>
      </c>
    </row>
    <row r="114" spans="1:10" ht="15.6">
      <c r="A114" s="26" t="str">
        <v>Brickchurch</v>
      </c>
      <c r="B114" s="27" t="str">
        <v>NY</v>
      </c>
      <c r="C114" s="27" t="str">
        <f>Sites[[#This Row],[SOL'#]]</f>
        <v>SOL-10889</v>
      </c>
      <c r="D114" s="9">
        <f>SUM(Jul!D114, Aug!D114, Sep!D114)</f>
        <v>0</v>
      </c>
      <c r="E114" s="14">
        <f>SUM(Jul!E114, Aug!E114, Sep!E114)</f>
        <v>0</v>
      </c>
      <c r="F114" s="14">
        <f t="shared" si="10"/>
        <v>0</v>
      </c>
      <c r="G114" s="15" t="str">
        <f t="shared" si="11"/>
        <v/>
      </c>
      <c r="H114" s="16">
        <f>SUM(Jul!H114,Aug!H114,Sep!H114)</f>
        <v>0</v>
      </c>
      <c r="I114" s="16">
        <f>SUM(Jul!I114, Aug!I114, Sep!I114)</f>
        <v>0</v>
      </c>
      <c r="J114" s="15" t="str">
        <f t="shared" si="12"/>
        <v/>
      </c>
    </row>
    <row r="115" spans="1:10" ht="15.6">
      <c r="A115" s="24" t="str">
        <v>McCarthy Solar</v>
      </c>
      <c r="B115" s="25" t="str">
        <v>NY</v>
      </c>
      <c r="C115" s="25" t="str">
        <f>Sites[[#This Row],[SOL'#]]</f>
        <v>SOL-10992</v>
      </c>
      <c r="D115" s="20">
        <f>SUM(Jul!D115, Aug!D115, Sep!D115)</f>
        <v>0</v>
      </c>
      <c r="E115" s="10">
        <f>SUM(Jul!E115, Aug!E115, Sep!E115)</f>
        <v>0</v>
      </c>
      <c r="F115" s="10">
        <f t="shared" si="10"/>
        <v>0</v>
      </c>
      <c r="G115" s="11" t="str">
        <f t="shared" si="11"/>
        <v/>
      </c>
      <c r="H115" s="12">
        <f>SUM(Jul!H115,Aug!H115,Sep!H115)</f>
        <v>0</v>
      </c>
      <c r="I115" s="12">
        <f>SUM(Jul!I115, Aug!I115, Sep!I115)</f>
        <v>0</v>
      </c>
      <c r="J115" s="13" t="str">
        <f t="shared" si="12"/>
        <v/>
      </c>
    </row>
    <row r="116" spans="1:10" ht="15.6">
      <c r="A116" s="26" t="str">
        <v>Costanza</v>
      </c>
      <c r="B116" s="27" t="str">
        <v>NY</v>
      </c>
      <c r="C116" s="27" t="str">
        <f>Sites[[#This Row],[SOL'#]]</f>
        <v>SOL-10907</v>
      </c>
      <c r="D116" s="9">
        <f>SUM(Jul!D116, Aug!D116, Sep!D116)</f>
        <v>0</v>
      </c>
      <c r="E116" s="14">
        <f>SUM(Jul!E116, Aug!E116, Sep!E116)</f>
        <v>0</v>
      </c>
      <c r="F116" s="14">
        <f t="shared" si="10"/>
        <v>0</v>
      </c>
      <c r="G116" s="15" t="str">
        <f t="shared" si="11"/>
        <v/>
      </c>
      <c r="H116" s="16">
        <f>SUM(Jul!H116,Aug!H116,Sep!H116)</f>
        <v>0</v>
      </c>
      <c r="I116" s="16">
        <f>SUM(Jul!I116, Aug!I116, Sep!I116)</f>
        <v>0</v>
      </c>
      <c r="J116" s="15" t="str">
        <f t="shared" si="12"/>
        <v/>
      </c>
    </row>
    <row r="117" spans="1:10" ht="15.6">
      <c r="A117" s="24" t="str">
        <v>Lockenhurst Pond</v>
      </c>
      <c r="B117" s="25" t="str">
        <v>NY</v>
      </c>
      <c r="C117" s="25" t="str">
        <f>Sites[[#This Row],[SOL'#]]</f>
        <v>SOL-11000</v>
      </c>
      <c r="D117" s="20">
        <f>SUM(Jul!D117, Aug!D117, Sep!D117)</f>
        <v>0</v>
      </c>
      <c r="E117" s="10">
        <f>SUM(Jul!E117, Aug!E117, Sep!E117)</f>
        <v>0</v>
      </c>
      <c r="F117" s="10">
        <f t="shared" si="10"/>
        <v>0</v>
      </c>
      <c r="G117" s="11" t="str">
        <f t="shared" si="11"/>
        <v/>
      </c>
      <c r="H117" s="12">
        <f>SUM(Jul!H117,Aug!H117,Sep!H117)</f>
        <v>0</v>
      </c>
      <c r="I117" s="12">
        <f>SUM(Jul!I117, Aug!I117, Sep!I117)</f>
        <v>0</v>
      </c>
      <c r="J117" s="13" t="str">
        <f t="shared" si="12"/>
        <v/>
      </c>
    </row>
    <row r="118" spans="1:10" ht="15.6">
      <c r="A118" s="26" t="str">
        <v>Drinkwater</v>
      </c>
      <c r="B118" s="27" t="str">
        <v>NY</v>
      </c>
      <c r="C118" s="27" t="str">
        <f>Sites[[#This Row],[SOL'#]]</f>
        <v>SOL-10896</v>
      </c>
      <c r="D118" s="9">
        <f>SUM(Jul!D118, Aug!D118, Sep!D118)</f>
        <v>0</v>
      </c>
      <c r="E118" s="14">
        <f>SUM(Jul!E118, Aug!E118, Sep!E118)</f>
        <v>0</v>
      </c>
      <c r="F118" s="14">
        <f t="shared" si="10"/>
        <v>0</v>
      </c>
      <c r="G118" s="15" t="str">
        <f t="shared" si="11"/>
        <v/>
      </c>
      <c r="H118" s="16">
        <f>SUM(Jul!H118,Aug!H118,Sep!H118)</f>
        <v>0</v>
      </c>
      <c r="I118" s="16">
        <f>SUM(Jul!I118, Aug!I118, Sep!I118)</f>
        <v>0</v>
      </c>
      <c r="J118" s="15" t="str">
        <f t="shared" si="12"/>
        <v/>
      </c>
    </row>
    <row r="119" spans="1:10" ht="15.6">
      <c r="A119" s="24" t="str">
        <v>Altamont</v>
      </c>
      <c r="B119" s="25" t="str">
        <v>NY</v>
      </c>
      <c r="C119" s="25" t="str">
        <f>Sites[[#This Row],[SOL'#]]</f>
        <v>SOL-11085</v>
      </c>
      <c r="D119" s="20">
        <f>SUM(Jul!D119, Aug!D119, Sep!D119)</f>
        <v>0</v>
      </c>
      <c r="E119" s="10">
        <f>SUM(Jul!E119, Aug!E119, Sep!E119)</f>
        <v>0</v>
      </c>
      <c r="F119" s="10">
        <f t="shared" si="10"/>
        <v>0</v>
      </c>
      <c r="G119" s="11" t="str">
        <f t="shared" si="11"/>
        <v/>
      </c>
      <c r="H119" s="12">
        <f>SUM(Jul!H119,Aug!H119,Sep!H119)</f>
        <v>0</v>
      </c>
      <c r="I119" s="12">
        <f>SUM(Jul!I119, Aug!I119, Sep!I119)</f>
        <v>0</v>
      </c>
      <c r="J119" s="13" t="str">
        <f t="shared" si="12"/>
        <v/>
      </c>
    </row>
    <row r="120" spans="1:10" ht="15.6">
      <c r="A120" s="26" t="str">
        <v>Krumkill North</v>
      </c>
      <c r="B120" s="27" t="str">
        <v>NY</v>
      </c>
      <c r="C120" s="27" t="str">
        <f>Sites[[#This Row],[SOL'#]]</f>
        <v>SOL-11086</v>
      </c>
      <c r="D120" s="9">
        <f>SUM(Jul!D120, Aug!D120, Sep!D120)</f>
        <v>0</v>
      </c>
      <c r="E120" s="14">
        <f>SUM(Jul!E120, Aug!E120, Sep!E120)</f>
        <v>0</v>
      </c>
      <c r="F120" s="14">
        <f t="shared" si="10"/>
        <v>0</v>
      </c>
      <c r="G120" s="15" t="str">
        <f t="shared" si="11"/>
        <v/>
      </c>
      <c r="H120" s="16">
        <f>SUM(Jul!H120,Aug!H120,Sep!H120)</f>
        <v>0</v>
      </c>
      <c r="I120" s="16">
        <f>SUM(Jul!I120, Aug!I120, Sep!I120)</f>
        <v>0</v>
      </c>
      <c r="J120" s="15" t="str">
        <f t="shared" si="12"/>
        <v/>
      </c>
    </row>
    <row r="121" spans="1:10" ht="15.6">
      <c r="A121" s="24" t="str">
        <v>Krumkill South</v>
      </c>
      <c r="B121" s="25" t="str">
        <v>NY</v>
      </c>
      <c r="C121" s="25" t="str">
        <f>Sites[[#This Row],[SOL'#]]</f>
        <v>SOL-11087</v>
      </c>
      <c r="D121" s="20">
        <f>SUM(Jul!D121, Aug!D121, Sep!D121)</f>
        <v>0</v>
      </c>
      <c r="E121" s="10">
        <f>SUM(Jul!E121, Aug!E121, Sep!E121)</f>
        <v>0</v>
      </c>
      <c r="F121" s="10">
        <f t="shared" si="10"/>
        <v>0</v>
      </c>
      <c r="G121" s="11" t="str">
        <f t="shared" si="11"/>
        <v/>
      </c>
      <c r="H121" s="12">
        <f>SUM(Jul!H121,Aug!H121,Sep!H121)</f>
        <v>0</v>
      </c>
      <c r="I121" s="12">
        <f>SUM(Jul!I121, Aug!I121, Sep!I121)</f>
        <v>0</v>
      </c>
      <c r="J121" s="13" t="str">
        <f t="shared" si="12"/>
        <v/>
      </c>
    </row>
    <row r="122" spans="1:10" ht="15.6">
      <c r="A122" s="26" t="str">
        <v>X092</v>
      </c>
      <c r="B122" s="27" t="str">
        <v>NY</v>
      </c>
      <c r="C122" s="27" t="str">
        <f>Sites[[#This Row],[SOL'#]]</f>
        <v>SOL-11189</v>
      </c>
      <c r="D122" s="9">
        <f>SUM(Jul!D122, Aug!D122, Sep!D122)</f>
        <v>0</v>
      </c>
      <c r="E122" s="14">
        <f>SUM(Jul!E122, Aug!E122, Sep!E122)</f>
        <v>0</v>
      </c>
      <c r="F122" s="14">
        <f t="shared" si="10"/>
        <v>0</v>
      </c>
      <c r="G122" s="15" t="str">
        <f t="shared" si="11"/>
        <v/>
      </c>
      <c r="H122" s="16">
        <f>SUM(Jul!H122,Aug!H122,Sep!H122)</f>
        <v>0</v>
      </c>
      <c r="I122" s="16">
        <f>SUM(Jul!I122, Aug!I122, Sep!I122)</f>
        <v>0</v>
      </c>
      <c r="J122" s="15" t="str">
        <f t="shared" si="12"/>
        <v/>
      </c>
    </row>
    <row r="123" spans="1:10" ht="15.6">
      <c r="A123" s="24" t="str">
        <v>X093</v>
      </c>
      <c r="B123" s="25" t="str">
        <v>NY</v>
      </c>
      <c r="C123" s="25" t="str">
        <f>Sites[[#This Row],[SOL'#]]</f>
        <v>SOL-10932</v>
      </c>
      <c r="D123" s="20">
        <f>SUM(Jul!D123, Aug!D123, Sep!D123)</f>
        <v>0</v>
      </c>
      <c r="E123" s="10">
        <f>SUM(Jul!E123, Aug!E123, Sep!E123)</f>
        <v>0</v>
      </c>
      <c r="F123" s="10">
        <f t="shared" si="10"/>
        <v>0</v>
      </c>
      <c r="G123" s="11" t="str">
        <f t="shared" si="11"/>
        <v/>
      </c>
      <c r="H123" s="12">
        <f>SUM(Jul!H123,Aug!H123,Sep!H123)</f>
        <v>0</v>
      </c>
      <c r="I123" s="12">
        <f>SUM(Jul!I123, Aug!I123, Sep!I123)</f>
        <v>0</v>
      </c>
      <c r="J123" s="13" t="str">
        <f t="shared" si="12"/>
        <v/>
      </c>
    </row>
    <row r="124" spans="1:10" ht="15.6">
      <c r="A124" s="26" t="str">
        <v>X095</v>
      </c>
      <c r="B124" s="27" t="str">
        <v>NY</v>
      </c>
      <c r="C124" s="27" t="str">
        <f>Sites[[#This Row],[SOL'#]]</f>
        <v>SOL-10929</v>
      </c>
      <c r="D124" s="9">
        <f>SUM(Jul!D124, Aug!D124, Sep!D124)</f>
        <v>0</v>
      </c>
      <c r="E124" s="14">
        <f>SUM(Jul!E124, Aug!E124, Sep!E124)</f>
        <v>0</v>
      </c>
      <c r="F124" s="14">
        <f t="shared" si="10"/>
        <v>0</v>
      </c>
      <c r="G124" s="15" t="str">
        <f t="shared" si="11"/>
        <v/>
      </c>
      <c r="H124" s="16">
        <f>SUM(Jul!H124,Aug!H124,Sep!H124)</f>
        <v>0</v>
      </c>
      <c r="I124" s="16">
        <f>SUM(Jul!I124, Aug!I124, Sep!I124)</f>
        <v>0</v>
      </c>
      <c r="J124" s="15" t="str">
        <f t="shared" si="12"/>
        <v/>
      </c>
    </row>
    <row r="125" spans="1:10" ht="15.6">
      <c r="A125" s="24" t="str">
        <v>X181</v>
      </c>
      <c r="B125" s="25" t="str">
        <v>NY</v>
      </c>
      <c r="C125" s="25" t="str">
        <f>Sites[[#This Row],[SOL'#]]</f>
        <v>SOL-10428</v>
      </c>
      <c r="D125" s="20">
        <f>SUM(Jul!D125, Aug!D125, Sep!D125)</f>
        <v>0</v>
      </c>
      <c r="E125" s="10">
        <f>SUM(Jul!E125, Aug!E125, Sep!E125)</f>
        <v>0</v>
      </c>
      <c r="F125" s="10">
        <f t="shared" si="10"/>
        <v>0</v>
      </c>
      <c r="G125" s="11" t="str">
        <f t="shared" si="11"/>
        <v/>
      </c>
      <c r="H125" s="12">
        <f>SUM(Jul!H125,Aug!H125,Sep!H125)</f>
        <v>0</v>
      </c>
      <c r="I125" s="12">
        <f>SUM(Jul!I125, Aug!I125, Sep!I125)</f>
        <v>0</v>
      </c>
      <c r="J125" s="13" t="str">
        <f t="shared" si="12"/>
        <v/>
      </c>
    </row>
    <row r="126" spans="1:10" ht="15.6">
      <c r="A126" s="26" t="str">
        <v>X415</v>
      </c>
      <c r="B126" s="27" t="str">
        <v>NY</v>
      </c>
      <c r="C126" s="27" t="str">
        <f>Sites[[#This Row],[SOL'#]]</f>
        <v>SOL-10429</v>
      </c>
      <c r="D126" s="9">
        <f>SUM(Jul!D126, Aug!D126, Sep!D126)</f>
        <v>0</v>
      </c>
      <c r="E126" s="14">
        <f>SUM(Jul!E126, Aug!E126, Sep!E126)</f>
        <v>0</v>
      </c>
      <c r="F126" s="14">
        <f t="shared" si="10"/>
        <v>0</v>
      </c>
      <c r="G126" s="15" t="str">
        <f t="shared" si="11"/>
        <v/>
      </c>
      <c r="H126" s="16">
        <f>SUM(Jul!H126,Aug!H126,Sep!H126)</f>
        <v>0</v>
      </c>
      <c r="I126" s="16">
        <f>SUM(Jul!I126, Aug!I126, Sep!I126)</f>
        <v>0</v>
      </c>
      <c r="J126" s="15" t="str">
        <f t="shared" si="12"/>
        <v/>
      </c>
    </row>
    <row r="127" spans="1:10" ht="15.6">
      <c r="A127" s="24" t="str">
        <v>K198</v>
      </c>
      <c r="B127" s="25" t="str">
        <v>NY</v>
      </c>
      <c r="C127" s="25" t="str">
        <f>Sites[[#This Row],[SOL'#]]</f>
        <v>SOL-10930</v>
      </c>
      <c r="D127" s="20">
        <f>SUM(Jul!D127, Aug!D127, Sep!D127)</f>
        <v>0</v>
      </c>
      <c r="E127" s="10">
        <f>SUM(Jul!E127, Aug!E127, Sep!E127)</f>
        <v>0</v>
      </c>
      <c r="F127" s="10">
        <f t="shared" si="10"/>
        <v>0</v>
      </c>
      <c r="G127" s="11" t="str">
        <f t="shared" si="11"/>
        <v/>
      </c>
      <c r="H127" s="12">
        <f>SUM(Jul!H127,Aug!H127,Sep!H127)</f>
        <v>0</v>
      </c>
      <c r="I127" s="12">
        <f>SUM(Jul!I127, Aug!I127, Sep!I127)</f>
        <v>0</v>
      </c>
      <c r="J127" s="13" t="str">
        <f t="shared" si="12"/>
        <v/>
      </c>
    </row>
    <row r="128" spans="1:10" ht="15.6">
      <c r="A128" s="26" t="str">
        <v>K203</v>
      </c>
      <c r="B128" s="27" t="str">
        <v>NY</v>
      </c>
      <c r="C128" s="27" t="str">
        <f>Sites[[#This Row],[SOL'#]]</f>
        <v>SOL-11190</v>
      </c>
      <c r="D128" s="9">
        <f>SUM(Jul!D128, Aug!D128, Sep!D128)</f>
        <v>0</v>
      </c>
      <c r="E128" s="14">
        <f>SUM(Jul!E128, Aug!E128, Sep!E128)</f>
        <v>0</v>
      </c>
      <c r="F128" s="14">
        <f t="shared" si="10"/>
        <v>0</v>
      </c>
      <c r="G128" s="15" t="str">
        <f t="shared" si="11"/>
        <v/>
      </c>
      <c r="H128" s="16">
        <f>SUM(Jul!H128,Aug!H128,Sep!H128)</f>
        <v>0</v>
      </c>
      <c r="I128" s="16">
        <f>SUM(Jul!I128, Aug!I128, Sep!I128)</f>
        <v>0</v>
      </c>
      <c r="J128" s="15" t="str">
        <f t="shared" si="12"/>
        <v/>
      </c>
    </row>
    <row r="129" spans="1:10" ht="15.6">
      <c r="A129" s="24" t="str">
        <v>K213</v>
      </c>
      <c r="B129" s="25" t="str">
        <v>NY</v>
      </c>
      <c r="C129" s="25" t="str">
        <f>Sites[[#This Row],[SOL'#]]</f>
        <v>SOL-11191</v>
      </c>
      <c r="D129" s="20">
        <f>SUM(Jul!D129, Aug!D129, Sep!D129)</f>
        <v>0</v>
      </c>
      <c r="E129" s="10">
        <f>SUM(Jul!E129, Aug!E129, Sep!E129)</f>
        <v>0</v>
      </c>
      <c r="F129" s="10">
        <f t="shared" si="10"/>
        <v>0</v>
      </c>
      <c r="G129" s="11" t="str">
        <f t="shared" si="11"/>
        <v/>
      </c>
      <c r="H129" s="12">
        <f>SUM(Jul!H129,Aug!H129,Sep!H129)</f>
        <v>0</v>
      </c>
      <c r="I129" s="12">
        <f>SUM(Jul!I129, Aug!I129, Sep!I129)</f>
        <v>0</v>
      </c>
      <c r="J129" s="13" t="str">
        <f t="shared" si="12"/>
        <v/>
      </c>
    </row>
    <row r="130" spans="1:10" ht="15.6">
      <c r="A130" s="26" t="str">
        <v>K217</v>
      </c>
      <c r="B130" s="27" t="str">
        <v>NY</v>
      </c>
      <c r="C130" s="27" t="str">
        <f>Sites[[#This Row],[SOL'#]]</f>
        <v>SOL-10933</v>
      </c>
      <c r="D130" s="9">
        <f>SUM(Jul!D130, Aug!D130, Sep!D130)</f>
        <v>0</v>
      </c>
      <c r="E130" s="14">
        <f>SUM(Jul!E130, Aug!E130, Sep!E130)</f>
        <v>0</v>
      </c>
      <c r="F130" s="14">
        <f t="shared" si="10"/>
        <v>0</v>
      </c>
      <c r="G130" s="15" t="str">
        <f t="shared" si="11"/>
        <v/>
      </c>
      <c r="H130" s="16">
        <f>SUM(Jul!H130,Aug!H130,Sep!H130)</f>
        <v>0</v>
      </c>
      <c r="I130" s="16">
        <f>SUM(Jul!I130, Aug!I130, Sep!I130)</f>
        <v>0</v>
      </c>
      <c r="J130" s="15" t="str">
        <f t="shared" si="12"/>
        <v/>
      </c>
    </row>
    <row r="131" spans="1:10" ht="15.6">
      <c r="A131" s="24" t="str">
        <v>K307</v>
      </c>
      <c r="B131" s="25" t="str">
        <v>NY</v>
      </c>
      <c r="C131" s="25" t="str">
        <f>Sites[[#This Row],[SOL'#]]</f>
        <v>SOL-10876</v>
      </c>
      <c r="D131" s="20">
        <f>SUM(Jul!D131, Aug!D131, Sep!D131)</f>
        <v>0</v>
      </c>
      <c r="E131" s="10">
        <f>SUM(Jul!E131, Aug!E131, Sep!E131)</f>
        <v>0</v>
      </c>
      <c r="F131" s="10">
        <f t="shared" si="10"/>
        <v>0</v>
      </c>
      <c r="G131" s="11" t="str">
        <f t="shared" si="11"/>
        <v/>
      </c>
      <c r="H131" s="12">
        <f>SUM(Jul!H131,Aug!H131,Sep!H131)</f>
        <v>0</v>
      </c>
      <c r="I131" s="12">
        <f>SUM(Jul!I131, Aug!I131, Sep!I131)</f>
        <v>0</v>
      </c>
      <c r="J131" s="13" t="str">
        <f t="shared" si="12"/>
        <v/>
      </c>
    </row>
    <row r="132" spans="1:10" ht="15.6">
      <c r="A132" s="26" t="str">
        <v>K610</v>
      </c>
      <c r="B132" s="27" t="str">
        <v>NY</v>
      </c>
      <c r="C132" s="27" t="str">
        <f>Sites[[#This Row],[SOL'#]]</f>
        <v>SOL-11158</v>
      </c>
      <c r="D132" s="9">
        <f>SUM(Jul!D132, Aug!D132, Sep!D132)</f>
        <v>0</v>
      </c>
      <c r="E132" s="14">
        <f>SUM(Jul!E132, Aug!E132, Sep!E132)</f>
        <v>0</v>
      </c>
      <c r="F132" s="14">
        <f t="shared" si="10"/>
        <v>0</v>
      </c>
      <c r="G132" s="15" t="str">
        <f t="shared" si="11"/>
        <v/>
      </c>
      <c r="H132" s="16">
        <f>SUM(Jul!H132,Aug!H132,Sep!H132)</f>
        <v>0</v>
      </c>
      <c r="I132" s="16">
        <f>SUM(Jul!I132, Aug!I132, Sep!I132)</f>
        <v>0</v>
      </c>
      <c r="J132" s="15" t="str">
        <f t="shared" si="12"/>
        <v/>
      </c>
    </row>
    <row r="133" spans="1:10" ht="15.6">
      <c r="A133" s="24" t="str">
        <v>M025</v>
      </c>
      <c r="B133" s="25" t="str">
        <v>NY</v>
      </c>
      <c r="C133" s="25" t="str">
        <f>Sites[[#This Row],[SOL'#]]</f>
        <v>SOL-10392</v>
      </c>
      <c r="D133" s="20">
        <f>SUM(Jul!D133, Aug!D133, Sep!D133)</f>
        <v>0</v>
      </c>
      <c r="E133" s="10">
        <f>SUM(Jul!E133, Aug!E133, Sep!E133)</f>
        <v>0</v>
      </c>
      <c r="F133" s="10">
        <f t="shared" si="10"/>
        <v>0</v>
      </c>
      <c r="G133" s="11" t="str">
        <f t="shared" si="11"/>
        <v/>
      </c>
      <c r="H133" s="12">
        <f>SUM(Jul!H133,Aug!H133,Sep!H133)</f>
        <v>0</v>
      </c>
      <c r="I133" s="12">
        <f>SUM(Jul!I133, Aug!I133, Sep!I133)</f>
        <v>0</v>
      </c>
      <c r="J133" s="13" t="str">
        <f t="shared" si="12"/>
        <v/>
      </c>
    </row>
    <row r="134" spans="1:10" ht="15.6">
      <c r="A134" s="26" t="str">
        <v>M028</v>
      </c>
      <c r="B134" s="27" t="str">
        <v>NY</v>
      </c>
      <c r="C134" s="27" t="str">
        <f>Sites[[#This Row],[SOL'#]]</f>
        <v>SOL-10381</v>
      </c>
      <c r="D134" s="9">
        <f>SUM(Jul!D134, Aug!D134, Sep!D134)</f>
        <v>0</v>
      </c>
      <c r="E134" s="14">
        <f>SUM(Jul!E134, Aug!E134, Sep!E134)</f>
        <v>0</v>
      </c>
      <c r="F134" s="14">
        <f t="shared" si="10"/>
        <v>0</v>
      </c>
      <c r="G134" s="15" t="str">
        <f t="shared" si="11"/>
        <v/>
      </c>
      <c r="H134" s="16">
        <f>SUM(Jul!H134,Aug!H134,Sep!H134)</f>
        <v>0</v>
      </c>
      <c r="I134" s="16">
        <f>SUM(Jul!I134, Aug!I134, Sep!I134)</f>
        <v>0</v>
      </c>
      <c r="J134" s="15" t="str">
        <f t="shared" si="12"/>
        <v/>
      </c>
    </row>
    <row r="135" spans="1:10" ht="15.6">
      <c r="A135" s="24" t="str">
        <v>Q030</v>
      </c>
      <c r="B135" s="25" t="str">
        <v>NY</v>
      </c>
      <c r="C135" s="25" t="str">
        <f>Sites[[#This Row],[SOL'#]]</f>
        <v>SOL-10878</v>
      </c>
      <c r="D135" s="20">
        <f>SUM(Jul!D135, Aug!D135, Sep!D135)</f>
        <v>0</v>
      </c>
      <c r="E135" s="10">
        <f>SUM(Jul!E135, Aug!E135, Sep!E135)</f>
        <v>0</v>
      </c>
      <c r="F135" s="10">
        <f t="shared" si="10"/>
        <v>0</v>
      </c>
      <c r="G135" s="11" t="str">
        <f t="shared" si="11"/>
        <v/>
      </c>
      <c r="H135" s="12">
        <f>SUM(Jul!H135,Aug!H135,Sep!H135)</f>
        <v>0</v>
      </c>
      <c r="I135" s="12">
        <f>SUM(Jul!I135, Aug!I135, Sep!I135)</f>
        <v>0</v>
      </c>
      <c r="J135" s="13" t="str">
        <f t="shared" si="12"/>
        <v/>
      </c>
    </row>
    <row r="136" spans="1:10" ht="15.6">
      <c r="A136" s="26" t="str">
        <v>Q130</v>
      </c>
      <c r="B136" s="27" t="str">
        <v>NY</v>
      </c>
      <c r="C136" s="27" t="str">
        <f>Sites[[#This Row],[SOL'#]]</f>
        <v>SOL-10877</v>
      </c>
      <c r="D136" s="9">
        <f>SUM(Jul!D136, Aug!D136, Sep!D136)</f>
        <v>0</v>
      </c>
      <c r="E136" s="14">
        <f>SUM(Jul!E136, Aug!E136, Sep!E136)</f>
        <v>0</v>
      </c>
      <c r="F136" s="14">
        <f t="shared" si="10"/>
        <v>0</v>
      </c>
      <c r="G136" s="15" t="str">
        <f t="shared" si="11"/>
        <v/>
      </c>
      <c r="H136" s="16">
        <f>SUM(Jul!H136,Aug!H136,Sep!H136)</f>
        <v>0</v>
      </c>
      <c r="I136" s="16">
        <f>SUM(Jul!I136, Aug!I136, Sep!I136)</f>
        <v>0</v>
      </c>
      <c r="J136" s="15" t="str">
        <f t="shared" si="12"/>
        <v/>
      </c>
    </row>
    <row r="137" spans="1:10" ht="15.6">
      <c r="A137" s="24" t="str">
        <v>Q196</v>
      </c>
      <c r="B137" s="25" t="str">
        <v>NY</v>
      </c>
      <c r="C137" s="25" t="str">
        <f>Sites[[#This Row],[SOL'#]]</f>
        <v>SOL-10879</v>
      </c>
      <c r="D137" s="20">
        <f>SUM(Jul!D137, Aug!D137, Sep!D137)</f>
        <v>0</v>
      </c>
      <c r="E137" s="10">
        <f>SUM(Jul!E137, Aug!E137, Sep!E137)</f>
        <v>0</v>
      </c>
      <c r="F137" s="10">
        <f t="shared" si="10"/>
        <v>0</v>
      </c>
      <c r="G137" s="11" t="str">
        <f t="shared" si="11"/>
        <v/>
      </c>
      <c r="H137" s="12">
        <f>SUM(Jul!H137,Aug!H137,Sep!H137)</f>
        <v>0</v>
      </c>
      <c r="I137" s="12">
        <f>SUM(Jul!I137, Aug!I137, Sep!I137)</f>
        <v>0</v>
      </c>
      <c r="J137" s="13" t="str">
        <f t="shared" si="12"/>
        <v/>
      </c>
    </row>
    <row r="138" spans="1:10" ht="15.6">
      <c r="A138" s="26" t="str">
        <v>Q220</v>
      </c>
      <c r="B138" s="27" t="str">
        <v>NY</v>
      </c>
      <c r="C138" s="27" t="str">
        <f>Sites[[#This Row],[SOL'#]]</f>
        <v>SOL-10873</v>
      </c>
      <c r="D138" s="9">
        <f>SUM(Jul!D138, Aug!D138, Sep!D138)</f>
        <v>0</v>
      </c>
      <c r="E138" s="14">
        <f>SUM(Jul!E138, Aug!E138, Sep!E138)</f>
        <v>0</v>
      </c>
      <c r="F138" s="14">
        <f t="shared" si="10"/>
        <v>0</v>
      </c>
      <c r="G138" s="15" t="str">
        <f t="shared" si="11"/>
        <v/>
      </c>
      <c r="H138" s="16">
        <f>SUM(Jul!H138,Aug!H138,Sep!H138)</f>
        <v>0</v>
      </c>
      <c r="I138" s="16">
        <f>SUM(Jul!I138, Aug!I138, Sep!I138)</f>
        <v>0</v>
      </c>
      <c r="J138" s="15" t="str">
        <f t="shared" si="12"/>
        <v/>
      </c>
    </row>
    <row r="139" spans="1:10" ht="15.6">
      <c r="A139" s="24" t="str">
        <v>Q205</v>
      </c>
      <c r="B139" s="25" t="str">
        <v>NY</v>
      </c>
      <c r="C139" s="25" t="str">
        <f>Sites[[#This Row],[SOL'#]]</f>
        <v>SOL-10922</v>
      </c>
      <c r="D139" s="20">
        <f>SUM(Jul!D139, Aug!D139, Sep!D139)</f>
        <v>0</v>
      </c>
      <c r="E139" s="10">
        <f>SUM(Jul!E139, Aug!E139, Sep!E139)</f>
        <v>0</v>
      </c>
      <c r="F139" s="10">
        <f t="shared" si="10"/>
        <v>0</v>
      </c>
      <c r="G139" s="11" t="str">
        <f t="shared" si="11"/>
        <v/>
      </c>
      <c r="H139" s="12">
        <f>SUM(Jul!H139,Aug!H139,Sep!H139)</f>
        <v>0</v>
      </c>
      <c r="I139" s="12">
        <f>SUM(Jul!I139, Aug!I139, Sep!I139)</f>
        <v>0</v>
      </c>
      <c r="J139" s="13" t="str">
        <f t="shared" si="12"/>
        <v/>
      </c>
    </row>
    <row r="140" spans="1:10" ht="15.6">
      <c r="A140" s="26" t="str">
        <v>Q400</v>
      </c>
      <c r="B140" s="27" t="str">
        <v>NY</v>
      </c>
      <c r="C140" s="27" t="str">
        <f>Sites[[#This Row],[SOL'#]]</f>
        <v>SOL-10871</v>
      </c>
      <c r="D140" s="9">
        <f>SUM(Jul!D140, Aug!D140, Sep!D140)</f>
        <v>0</v>
      </c>
      <c r="E140" s="14">
        <f>SUM(Jul!E140, Aug!E140, Sep!E140)</f>
        <v>0</v>
      </c>
      <c r="F140" s="14">
        <f t="shared" si="10"/>
        <v>0</v>
      </c>
      <c r="G140" s="15" t="str">
        <f t="shared" si="11"/>
        <v/>
      </c>
      <c r="H140" s="16">
        <f>SUM(Jul!H140,Aug!H140,Sep!H140)</f>
        <v>0</v>
      </c>
      <c r="I140" s="16">
        <f>SUM(Jul!I140, Aug!I140, Sep!I140)</f>
        <v>0</v>
      </c>
      <c r="J140" s="15" t="str">
        <f t="shared" si="12"/>
        <v/>
      </c>
    </row>
    <row r="141" spans="1:10" ht="15.6">
      <c r="A141" s="24" t="str">
        <v>R003</v>
      </c>
      <c r="B141" s="25" t="str">
        <v>NY</v>
      </c>
      <c r="C141" s="25" t="str">
        <f>Sites[[#This Row],[SOL'#]]</f>
        <v>SOL-10416</v>
      </c>
      <c r="D141" s="20">
        <f>SUM(Jul!D141, Aug!D141, Sep!D141)</f>
        <v>0</v>
      </c>
      <c r="E141" s="10">
        <f>SUM(Jul!E141, Aug!E141, Sep!E141)</f>
        <v>0</v>
      </c>
      <c r="F141" s="10">
        <f t="shared" si="10"/>
        <v>0</v>
      </c>
      <c r="G141" s="11" t="str">
        <f t="shared" si="11"/>
        <v/>
      </c>
      <c r="H141" s="12">
        <f>SUM(Jul!H141,Aug!H141,Sep!H141)</f>
        <v>0</v>
      </c>
      <c r="I141" s="12">
        <f>SUM(Jul!I141, Aug!I141, Sep!I141)</f>
        <v>0</v>
      </c>
      <c r="J141" s="13" t="str">
        <f t="shared" si="12"/>
        <v/>
      </c>
    </row>
    <row r="142" spans="1:10" ht="15.6">
      <c r="A142" s="26" t="str">
        <v>R007</v>
      </c>
      <c r="B142" s="27" t="str">
        <v>NY</v>
      </c>
      <c r="C142" s="27" t="str">
        <f>Sites[[#This Row],[SOL'#]]</f>
        <v>SOL-10417</v>
      </c>
      <c r="D142" s="9">
        <f>SUM(Jul!D142, Aug!D142, Sep!D142)</f>
        <v>0</v>
      </c>
      <c r="E142" s="14">
        <f>SUM(Jul!E142, Aug!E142, Sep!E142)</f>
        <v>0</v>
      </c>
      <c r="F142" s="14">
        <f t="shared" si="10"/>
        <v>0</v>
      </c>
      <c r="G142" s="15" t="str">
        <f t="shared" si="11"/>
        <v/>
      </c>
      <c r="H142" s="16">
        <f>SUM(Jul!H142,Aug!H142,Sep!H142)</f>
        <v>0</v>
      </c>
      <c r="I142" s="16">
        <f>SUM(Jul!I142, Aug!I142, Sep!I142)</f>
        <v>0</v>
      </c>
      <c r="J142" s="15" t="str">
        <f t="shared" si="12"/>
        <v/>
      </c>
    </row>
    <row r="143" spans="1:10" ht="15.6">
      <c r="A143" s="24" t="str">
        <v>BK16</v>
      </c>
      <c r="B143" s="25" t="str">
        <v>NY</v>
      </c>
      <c r="C143" s="25" t="str">
        <f>Sites[[#This Row],[SOL'#]]</f>
        <v>SOL-11093</v>
      </c>
      <c r="D143" s="20">
        <f>SUM(Jul!D143, Aug!D143, Sep!D143)</f>
        <v>0</v>
      </c>
      <c r="E143" s="10">
        <f>SUM(Jul!E143, Aug!E143, Sep!E143)</f>
        <v>0</v>
      </c>
      <c r="F143" s="10">
        <f t="shared" si="10"/>
        <v>0</v>
      </c>
      <c r="G143" s="11" t="str">
        <f t="shared" si="11"/>
        <v/>
      </c>
      <c r="H143" s="12">
        <f>SUM(Jul!H143,Aug!H143,Sep!H143)</f>
        <v>0</v>
      </c>
      <c r="I143" s="12">
        <f>SUM(Jul!I143, Aug!I143, Sep!I143)</f>
        <v>0</v>
      </c>
      <c r="J143" s="13" t="str">
        <f t="shared" si="12"/>
        <v/>
      </c>
    </row>
    <row r="144" spans="1:10" ht="15.6">
      <c r="A144" s="26" t="str">
        <v>Trenton - Trenton East</v>
      </c>
      <c r="B144" s="27" t="str">
        <v>IL</v>
      </c>
      <c r="C144" s="27" t="str">
        <f>Sites[[#This Row],[SOL'#]]</f>
        <v>SOL-11060</v>
      </c>
      <c r="D144" s="9">
        <f>SUM(Jul!D144, Aug!D144, Sep!D144)</f>
        <v>0</v>
      </c>
      <c r="E144" s="14">
        <f>SUM(Jul!E144, Aug!E144, Sep!E144)</f>
        <v>0</v>
      </c>
      <c r="F144" s="14">
        <f t="shared" si="10"/>
        <v>0</v>
      </c>
      <c r="G144" s="15" t="str">
        <f t="shared" si="11"/>
        <v/>
      </c>
      <c r="H144" s="16">
        <f>SUM(Jul!H144,Aug!H144,Sep!H144)</f>
        <v>0</v>
      </c>
      <c r="I144" s="16">
        <f>SUM(Jul!I144, Aug!I144, Sep!I144)</f>
        <v>0</v>
      </c>
      <c r="J144" s="15" t="str">
        <f t="shared" si="12"/>
        <v/>
      </c>
    </row>
    <row r="145" spans="1:10" ht="15.6">
      <c r="A145" s="24" t="str">
        <v>Trenton - Trenton West</v>
      </c>
      <c r="B145" s="25" t="str">
        <v>IL</v>
      </c>
      <c r="C145" s="25" t="str">
        <f>Sites[[#This Row],[SOL'#]]</f>
        <v>SOL-11061</v>
      </c>
      <c r="D145" s="20">
        <f>SUM(Jul!D145, Aug!D145, Sep!D145)</f>
        <v>0</v>
      </c>
      <c r="E145" s="10">
        <f>SUM(Jul!E145, Aug!E145, Sep!E145)</f>
        <v>0</v>
      </c>
      <c r="F145" s="10">
        <f t="shared" si="10"/>
        <v>0</v>
      </c>
      <c r="G145" s="11" t="str">
        <f t="shared" si="11"/>
        <v/>
      </c>
      <c r="H145" s="12">
        <f>SUM(Jul!H145,Aug!H145,Sep!H145)</f>
        <v>0</v>
      </c>
      <c r="I145" s="12">
        <f>SUM(Jul!I145, Aug!I145, Sep!I145)</f>
        <v>0</v>
      </c>
      <c r="J145" s="13" t="str">
        <f t="shared" si="12"/>
        <v/>
      </c>
    </row>
    <row r="146" spans="1:10" ht="15.6">
      <c r="A146" s="26" t="str">
        <v>Dakota - Dakota Solar 1</v>
      </c>
      <c r="B146" s="27" t="str">
        <v>IL</v>
      </c>
      <c r="C146" s="27" t="str">
        <f>Sites[[#This Row],[SOL'#]]</f>
        <v>SOL-11113</v>
      </c>
      <c r="D146" s="9">
        <f>SUM(Jul!D146, Aug!D146, Sep!D146)</f>
        <v>0</v>
      </c>
      <c r="E146" s="14">
        <f>SUM(Jul!E146, Aug!E146, Sep!E146)</f>
        <v>0</v>
      </c>
      <c r="F146" s="14">
        <f t="shared" si="10"/>
        <v>0</v>
      </c>
      <c r="G146" s="15" t="str">
        <f t="shared" si="11"/>
        <v/>
      </c>
      <c r="H146" s="16">
        <f>SUM(Jul!H146,Aug!H146,Sep!H146)</f>
        <v>0</v>
      </c>
      <c r="I146" s="16">
        <f>SUM(Jul!I146, Aug!I146, Sep!I146)</f>
        <v>0</v>
      </c>
      <c r="J146" s="15" t="str">
        <f t="shared" si="12"/>
        <v/>
      </c>
    </row>
    <row r="147" spans="1:10" ht="15.6">
      <c r="A147" s="24" t="str">
        <v>X018</v>
      </c>
      <c r="B147" s="25" t="str">
        <v>NY</v>
      </c>
      <c r="C147" s="25" t="str">
        <f>Sites[[#This Row],[SOL'#]]</f>
        <v>SOL-10418</v>
      </c>
      <c r="D147" s="20">
        <f>SUM(Jul!D147, Aug!D147, Sep!D147)</f>
        <v>0</v>
      </c>
      <c r="E147" s="10">
        <f>SUM(Jul!E147, Aug!E147, Sep!E147)</f>
        <v>0</v>
      </c>
      <c r="F147" s="10">
        <f t="shared" si="10"/>
        <v>0</v>
      </c>
      <c r="G147" s="11" t="str">
        <f t="shared" si="11"/>
        <v/>
      </c>
      <c r="H147" s="12">
        <f>SUM(Jul!H147,Aug!H147,Sep!H147)</f>
        <v>0</v>
      </c>
      <c r="I147" s="12">
        <f>SUM(Jul!I147, Aug!I147, Sep!I147)</f>
        <v>0</v>
      </c>
      <c r="J147" s="13" t="str">
        <f t="shared" si="12"/>
        <v/>
      </c>
    </row>
    <row r="148" spans="1:10" ht="15.6">
      <c r="A148" s="26" t="str">
        <v>Janiak Solar</v>
      </c>
      <c r="B148" s="27" t="str">
        <v>NY</v>
      </c>
      <c r="C148" s="27" t="str">
        <f>Sites[[#This Row],[SOL'#]]</f>
        <v>SOL-10898</v>
      </c>
      <c r="D148" s="9">
        <f>SUM(Jul!D148, Aug!D148, Sep!D148)</f>
        <v>0</v>
      </c>
      <c r="E148" s="14">
        <f>SUM(Jul!E148, Aug!E148, Sep!E148)</f>
        <v>0</v>
      </c>
      <c r="F148" s="14">
        <f t="shared" si="10"/>
        <v>0</v>
      </c>
      <c r="G148" s="15" t="str">
        <f t="shared" si="11"/>
        <v/>
      </c>
      <c r="H148" s="16">
        <f>SUM(Jul!H148,Aug!H148,Sep!H148)</f>
        <v>0</v>
      </c>
      <c r="I148" s="16">
        <f>SUM(Jul!I148, Aug!I148, Sep!I148)</f>
        <v>0</v>
      </c>
      <c r="J148" s="15" t="str">
        <f t="shared" si="12"/>
        <v/>
      </c>
    </row>
    <row r="149" spans="1:10" ht="15.6">
      <c r="A149" s="24" t="str">
        <v>County Route 11B</v>
      </c>
      <c r="B149" s="25" t="str">
        <v>NY</v>
      </c>
      <c r="C149" s="25" t="str">
        <f>Sites[[#This Row],[SOL'#]]</f>
        <v>SOL-10983</v>
      </c>
      <c r="D149" s="20">
        <f>SUM(Jul!D149, Aug!D149, Sep!D149)</f>
        <v>0</v>
      </c>
      <c r="E149" s="10">
        <f>SUM(Jul!E149, Aug!E149, Sep!E149)</f>
        <v>0</v>
      </c>
      <c r="F149" s="10">
        <f t="shared" si="10"/>
        <v>0</v>
      </c>
      <c r="G149" s="11" t="str">
        <f t="shared" si="11"/>
        <v/>
      </c>
      <c r="H149" s="12">
        <f>SUM(Jul!H149,Aug!H149,Sep!H149)</f>
        <v>0</v>
      </c>
      <c r="I149" s="12">
        <f>SUM(Jul!I149, Aug!I149, Sep!I149)</f>
        <v>0</v>
      </c>
      <c r="J149" s="13" t="str">
        <f t="shared" si="12"/>
        <v/>
      </c>
    </row>
    <row r="150" spans="1:10" ht="15.6">
      <c r="A150" s="26" t="str">
        <v>Barone</v>
      </c>
      <c r="B150" s="27" t="str">
        <v>NY</v>
      </c>
      <c r="C150" s="27" t="str">
        <f>Sites[[#This Row],[SOL'#]]</f>
        <v>SOL-11034</v>
      </c>
      <c r="D150" s="9">
        <f>SUM(Jul!D150, Aug!D150, Sep!D150)</f>
        <v>0</v>
      </c>
      <c r="E150" s="14">
        <f>SUM(Jul!E150, Aug!E150, Sep!E150)</f>
        <v>0</v>
      </c>
      <c r="F150" s="14">
        <f t="shared" si="10"/>
        <v>0</v>
      </c>
      <c r="G150" s="15" t="str">
        <f t="shared" si="11"/>
        <v/>
      </c>
      <c r="H150" s="16">
        <f>SUM(Jul!H150,Aug!H150,Sep!H150)</f>
        <v>0</v>
      </c>
      <c r="I150" s="16">
        <f>SUM(Jul!I150, Aug!I150, Sep!I150)</f>
        <v>0</v>
      </c>
      <c r="J150" s="15" t="str">
        <f t="shared" si="12"/>
        <v/>
      </c>
    </row>
    <row r="151" spans="1:10" ht="15.6">
      <c r="A151" s="24" t="str">
        <v>Cedarville</v>
      </c>
      <c r="B151" s="25" t="str">
        <v>IL</v>
      </c>
      <c r="C151" s="25" t="str">
        <f>Sites[[#This Row],[SOL'#]]</f>
        <v>SOL-11069</v>
      </c>
      <c r="D151" s="20">
        <f>SUM(Jul!D151, Aug!D151, Sep!D151)</f>
        <v>0</v>
      </c>
      <c r="E151" s="10">
        <f>SUM(Jul!E151, Aug!E151, Sep!E151)</f>
        <v>0</v>
      </c>
      <c r="F151" s="10">
        <f t="shared" si="10"/>
        <v>0</v>
      </c>
      <c r="G151" s="11" t="str">
        <f t="shared" si="11"/>
        <v/>
      </c>
      <c r="H151" s="12">
        <f>SUM(Jul!H151,Aug!H151,Sep!H151)</f>
        <v>0</v>
      </c>
      <c r="I151" s="12">
        <f>SUM(Jul!I151, Aug!I151, Sep!I151)</f>
        <v>0</v>
      </c>
      <c r="J151" s="13" t="str">
        <f t="shared" si="12"/>
        <v/>
      </c>
    </row>
    <row r="152" spans="1:10" ht="15.6">
      <c r="A152" s="26" t="str">
        <v xml:space="preserve"> O'Brien Hill #1</v>
      </c>
      <c r="B152" s="27" t="str">
        <v>NY</v>
      </c>
      <c r="C152" s="27" t="str">
        <f>Sites[[#This Row],[SOL'#]]</f>
        <v>SOL-11098</v>
      </c>
      <c r="D152" s="9">
        <f>SUM(Jul!D152, Aug!D152, Sep!D152)</f>
        <v>0</v>
      </c>
      <c r="E152" s="14">
        <f>SUM(Jul!E152, Aug!E152, Sep!E152)</f>
        <v>0</v>
      </c>
      <c r="F152" s="14">
        <f t="shared" si="10"/>
        <v>0</v>
      </c>
      <c r="G152" s="15" t="str">
        <f t="shared" si="11"/>
        <v/>
      </c>
      <c r="H152" s="16">
        <f>SUM(Jul!H152,Aug!H152,Sep!H152)</f>
        <v>0</v>
      </c>
      <c r="I152" s="16">
        <f>SUM(Jul!I152, Aug!I152, Sep!I152)</f>
        <v>0</v>
      </c>
      <c r="J152" s="15" t="str">
        <f t="shared" si="12"/>
        <v/>
      </c>
    </row>
    <row r="153" spans="1:10" ht="15.6">
      <c r="A153" s="24" t="str">
        <v xml:space="preserve"> O'Brien Hill #2</v>
      </c>
      <c r="B153" s="25" t="str">
        <v>NY</v>
      </c>
      <c r="C153" s="25" t="str">
        <f>Sites[[#This Row],[SOL'#]]</f>
        <v>SOL-11099</v>
      </c>
      <c r="D153" s="20">
        <f>SUM(Jul!D153, Aug!D153, Sep!D153)</f>
        <v>0</v>
      </c>
      <c r="E153" s="10">
        <f>SUM(Jul!E153, Aug!E153, Sep!E153)</f>
        <v>0</v>
      </c>
      <c r="F153" s="10">
        <f t="shared" si="10"/>
        <v>0</v>
      </c>
      <c r="G153" s="11" t="str">
        <f t="shared" si="11"/>
        <v/>
      </c>
      <c r="H153" s="12">
        <f>SUM(Jul!H153,Aug!H153,Sep!H153)</f>
        <v>0</v>
      </c>
      <c r="I153" s="12">
        <f>SUM(Jul!I153, Aug!I153, Sep!I153)</f>
        <v>0</v>
      </c>
      <c r="J153" s="13" t="str">
        <f t="shared" si="12"/>
        <v/>
      </c>
    </row>
    <row r="154" spans="1:10" ht="15.6">
      <c r="A154" s="26" t="str">
        <v>Trinity - Freeport</v>
      </c>
      <c r="B154" s="27" t="str">
        <v>IL</v>
      </c>
      <c r="C154" s="27" t="str">
        <f>Sites[[#This Row],[SOL'#]]</f>
        <v>SOL-11057</v>
      </c>
      <c r="D154" s="9">
        <f>SUM(Jul!D154, Aug!D154, Sep!D154)</f>
        <v>0</v>
      </c>
      <c r="E154" s="14">
        <f>SUM(Jul!E154, Aug!E154, Sep!E154)</f>
        <v>0</v>
      </c>
      <c r="F154" s="14">
        <f t="shared" si="10"/>
        <v>0</v>
      </c>
      <c r="G154" s="15" t="str">
        <f t="shared" si="11"/>
        <v/>
      </c>
      <c r="H154" s="16">
        <f>SUM(Jul!H154,Aug!H154,Sep!H154)</f>
        <v>0</v>
      </c>
      <c r="I154" s="16">
        <f>SUM(Jul!I154, Aug!I154, Sep!I154)</f>
        <v>0</v>
      </c>
      <c r="J154" s="15" t="str">
        <f t="shared" si="12"/>
        <v/>
      </c>
    </row>
    <row r="155" spans="1:10" ht="15.6">
      <c r="A155" s="24" t="str">
        <v>Ransom</v>
      </c>
      <c r="B155" s="25" t="str">
        <v>NY</v>
      </c>
      <c r="C155" s="25" t="str">
        <f>Sites[[#This Row],[SOL'#]]</f>
        <v>SOL-11157</v>
      </c>
      <c r="D155" s="20">
        <f>SUM(Jul!D155, Aug!D155, Sep!D155)</f>
        <v>0</v>
      </c>
      <c r="E155" s="10">
        <f>SUM(Jul!E155, Aug!E155, Sep!E155)</f>
        <v>0</v>
      </c>
      <c r="F155" s="10">
        <f t="shared" si="10"/>
        <v>0</v>
      </c>
      <c r="G155" s="11" t="str">
        <f t="shared" si="11"/>
        <v/>
      </c>
      <c r="H155" s="12">
        <f>SUM(Jul!H155,Aug!H155,Sep!H155)</f>
        <v>0</v>
      </c>
      <c r="I155" s="12">
        <f>SUM(Jul!I155, Aug!I155, Sep!I155)</f>
        <v>0</v>
      </c>
      <c r="J155" s="13" t="str">
        <f t="shared" ref="J155:J164" si="13">IFERROR(I155/H155, "")</f>
        <v/>
      </c>
    </row>
    <row r="156" spans="1:10" ht="15.6">
      <c r="A156" s="26" t="str">
        <v>Horseheads - Wedge</v>
      </c>
      <c r="B156" s="27" t="str">
        <v>NY</v>
      </c>
      <c r="C156" s="27" t="str">
        <f>Sites[[#This Row],[SOL'#]]</f>
        <v>SOL-11160</v>
      </c>
      <c r="D156" s="9">
        <f>SUM(Jul!D156, Aug!D156, Sep!D156)</f>
        <v>0</v>
      </c>
      <c r="E156" s="14">
        <f>SUM(Jul!E156, Aug!E156, Sep!E156)</f>
        <v>0</v>
      </c>
      <c r="F156" s="14">
        <f t="shared" si="10"/>
        <v>0</v>
      </c>
      <c r="G156" s="15" t="str">
        <f t="shared" si="11"/>
        <v/>
      </c>
      <c r="H156" s="16">
        <f>SUM(Jul!H156,Aug!H156,Sep!H156)</f>
        <v>0</v>
      </c>
      <c r="I156" s="16">
        <f>SUM(Jul!I156, Aug!I156, Sep!I156)</f>
        <v>0</v>
      </c>
      <c r="J156" s="15" t="str">
        <f t="shared" si="13"/>
        <v/>
      </c>
    </row>
    <row r="157" spans="1:10" ht="15.6">
      <c r="A157" s="24" t="str">
        <v>Otisville - Shoddy Hollow</v>
      </c>
      <c r="B157" s="25" t="str">
        <v>NY</v>
      </c>
      <c r="C157" s="25" t="str">
        <f>Sites[[#This Row],[SOL'#]]</f>
        <v>SOL-11185</v>
      </c>
      <c r="D157" s="20">
        <f>SUM(Jul!D157, Aug!D157, Sep!D157)</f>
        <v>0</v>
      </c>
      <c r="E157" s="10">
        <f>SUM(Jul!E157, Aug!E157, Sep!E157)</f>
        <v>0</v>
      </c>
      <c r="F157" s="10">
        <f t="shared" si="10"/>
        <v>0</v>
      </c>
      <c r="G157" s="11" t="str">
        <f t="shared" si="11"/>
        <v/>
      </c>
      <c r="H157" s="12">
        <f>SUM(Jul!H157,Aug!H157,Sep!H157)</f>
        <v>0</v>
      </c>
      <c r="I157" s="12">
        <f>SUM(Jul!I157, Aug!I157, Sep!I157)</f>
        <v>0</v>
      </c>
      <c r="J157" s="13" t="str">
        <f t="shared" si="13"/>
        <v/>
      </c>
    </row>
    <row r="158" spans="1:10" ht="15.6">
      <c r="A158" s="26" t="str">
        <v>Wellsville - Chenunda Creek</v>
      </c>
      <c r="B158" s="27" t="str">
        <v>NY</v>
      </c>
      <c r="C158" s="27" t="str">
        <f>Sites[[#This Row],[SOL'#]]</f>
        <v>SOL-11187</v>
      </c>
      <c r="D158" s="9">
        <f>SUM(Jul!D158, Aug!D158, Sep!D158)</f>
        <v>0</v>
      </c>
      <c r="E158" s="14">
        <f>SUM(Jul!E158, Aug!E158, Sep!E158)</f>
        <v>0</v>
      </c>
      <c r="F158" s="14">
        <f t="shared" si="10"/>
        <v>0</v>
      </c>
      <c r="G158" s="15" t="str">
        <f t="shared" si="11"/>
        <v/>
      </c>
      <c r="H158" s="16">
        <f>SUM(Jul!H158,Aug!H158,Sep!H158)</f>
        <v>0</v>
      </c>
      <c r="I158" s="16">
        <f>SUM(Jul!I158, Aug!I158, Sep!I158)</f>
        <v>0</v>
      </c>
      <c r="J158" s="15" t="str">
        <f t="shared" si="13"/>
        <v/>
      </c>
    </row>
    <row r="159" spans="1:10" ht="15.6">
      <c r="A159" s="24" t="str">
        <v>DC: Washington - Essex Condominium</v>
      </c>
      <c r="B159" s="25" t="str">
        <v>DC</v>
      </c>
      <c r="C159" s="25" t="str">
        <f>Sites[[#This Row],[SOL'#]]</f>
        <v>SOL-10036</v>
      </c>
      <c r="D159" s="54">
        <f>SUM(Jul!D159, Aug!D159, Sep!D159)</f>
        <v>0</v>
      </c>
      <c r="E159" s="10">
        <f>SUM(Jul!E159, Aug!E159, Sep!E159)</f>
        <v>0</v>
      </c>
      <c r="F159" s="10">
        <f t="shared" ref="F159:F164" si="14">IF(AND(ISNUMBER(D159),ISNUMBER(E159)), D159-E159, "")</f>
        <v>0</v>
      </c>
      <c r="G159" s="55" t="str">
        <f t="shared" ref="G159:G164" si="15">IFERROR(F159/E159, "")</f>
        <v/>
      </c>
      <c r="H159" s="67">
        <f>SUM(Jul!H159,Aug!H159,Sep!H159)</f>
        <v>0</v>
      </c>
      <c r="I159" s="67">
        <f>SUM(Jul!I159, Aug!I159, Sep!I159)</f>
        <v>0</v>
      </c>
      <c r="J159" s="64" t="str">
        <f t="shared" si="13"/>
        <v/>
      </c>
    </row>
    <row r="160" spans="1:10" ht="15.6">
      <c r="A160" s="26" t="str">
        <v>HI: Waipahu - 94-246 Leoku St - E.F.G.</v>
      </c>
      <c r="B160" s="27" t="str">
        <v>HI</v>
      </c>
      <c r="C160" s="27" t="str">
        <f>Sites[[#This Row],[SOL'#]]</f>
        <v>SOL-10071</v>
      </c>
      <c r="D160" s="66">
        <f>SUM(Jul!D160, Aug!D160, Sep!D160)</f>
        <v>0</v>
      </c>
      <c r="E160" s="14">
        <f>SUM(Jul!E160, Aug!E160, Sep!E160)</f>
        <v>0</v>
      </c>
      <c r="F160" s="14">
        <f t="shared" si="14"/>
        <v>0</v>
      </c>
      <c r="G160" s="68" t="str">
        <f t="shared" si="15"/>
        <v/>
      </c>
      <c r="H160" s="69">
        <f>SUM(Jul!H160,Aug!H160,Sep!H160)</f>
        <v>0</v>
      </c>
      <c r="I160" s="69">
        <f>SUM(Jul!I160, Aug!I160, Sep!I160)</f>
        <v>0</v>
      </c>
      <c r="J160" s="68" t="str">
        <f t="shared" si="13"/>
        <v/>
      </c>
    </row>
    <row r="161" spans="1:10" ht="15.6">
      <c r="A161" s="24" t="str">
        <v>HI: Waipahu - 94-099 Waipahu St - PV</v>
      </c>
      <c r="B161" s="25" t="str">
        <v>HI</v>
      </c>
      <c r="C161" s="25" t="str">
        <f>Sites[[#This Row],[SOL'#]]</f>
        <v>SOL-10068</v>
      </c>
      <c r="D161" s="54">
        <f>SUM(Jul!D161, Aug!D161, Sep!D161)</f>
        <v>0</v>
      </c>
      <c r="E161" s="10">
        <f>SUM(Jul!E161, Aug!E161, Sep!E161)</f>
        <v>0</v>
      </c>
      <c r="F161" s="10">
        <f t="shared" si="14"/>
        <v>0</v>
      </c>
      <c r="G161" s="55" t="str">
        <f t="shared" si="15"/>
        <v/>
      </c>
      <c r="H161" s="67">
        <f>SUM(Jul!H161,Aug!H161,Sep!H161)</f>
        <v>0</v>
      </c>
      <c r="I161" s="67">
        <f>SUM(Jul!I161, Aug!I161, Sep!I161)</f>
        <v>0</v>
      </c>
      <c r="J161" s="64" t="str">
        <f t="shared" si="13"/>
        <v/>
      </c>
    </row>
    <row r="162" spans="1:10" ht="15.6">
      <c r="A162" s="26" t="str">
        <v>IL: Prophetstown - 5170 Yager Road (PW)</v>
      </c>
      <c r="B162" s="27" t="str">
        <v>IL</v>
      </c>
      <c r="C162" s="27" t="str">
        <f>Sites[[#This Row],[SOL'#]]</f>
        <v>SOL-11149</v>
      </c>
      <c r="D162" s="66">
        <f>SUM(Jul!D162, Aug!D162, Sep!D162)</f>
        <v>0</v>
      </c>
      <c r="E162" s="14">
        <f>SUM(Jul!E162, Aug!E162, Sep!E162)</f>
        <v>0</v>
      </c>
      <c r="F162" s="14">
        <f t="shared" si="14"/>
        <v>0</v>
      </c>
      <c r="G162" s="68" t="str">
        <f t="shared" si="15"/>
        <v/>
      </c>
      <c r="H162" s="69">
        <f>SUM(Jul!H162,Aug!H162,Sep!H162)</f>
        <v>0</v>
      </c>
      <c r="I162" s="69">
        <f>SUM(Jul!I162, Aug!I162, Sep!I162)</f>
        <v>0</v>
      </c>
      <c r="J162" s="68" t="str">
        <f t="shared" si="13"/>
        <v/>
      </c>
    </row>
    <row r="163" spans="1:10" ht="15.6">
      <c r="A163" s="24" t="str">
        <v>IL: Viola - Goldenrod - (PW)</v>
      </c>
      <c r="B163" s="25" t="str">
        <v>IL</v>
      </c>
      <c r="C163" s="25" t="str">
        <f>Sites[[#This Row],[SOL'#]]</f>
        <v>SOL-11132</v>
      </c>
      <c r="D163" s="54">
        <f>SUM(Jul!D163, Aug!D163, Sep!D163)</f>
        <v>0</v>
      </c>
      <c r="E163" s="10">
        <f>SUM(Jul!E163, Aug!E163, Sep!E163)</f>
        <v>0</v>
      </c>
      <c r="F163" s="10">
        <f t="shared" si="14"/>
        <v>0</v>
      </c>
      <c r="G163" s="55" t="str">
        <f t="shared" si="15"/>
        <v/>
      </c>
      <c r="H163" s="67">
        <f>SUM(Jul!H163,Aug!H163,Sep!H163)</f>
        <v>0</v>
      </c>
      <c r="I163" s="67">
        <f>SUM(Jul!I163, Aug!I163, Sep!I163)</f>
        <v>0</v>
      </c>
      <c r="J163" s="64" t="str">
        <f t="shared" si="13"/>
        <v/>
      </c>
    </row>
    <row r="164" spans="1:10" ht="15.6">
      <c r="A164" s="26" t="str">
        <v>IL: Marengo - Grant - (PW)</v>
      </c>
      <c r="B164" s="27" t="str">
        <v>IL</v>
      </c>
      <c r="C164" s="27" t="str">
        <f>Sites[[#This Row],[SOL'#]]</f>
        <v>SOL-11147</v>
      </c>
      <c r="D164" s="66">
        <f>SUM(Jul!D164, Aug!D164, Sep!D164)</f>
        <v>0</v>
      </c>
      <c r="E164" s="14">
        <f>SUM(Jul!E164, Aug!E164, Sep!E164)</f>
        <v>0</v>
      </c>
      <c r="F164" s="14">
        <f t="shared" si="14"/>
        <v>0</v>
      </c>
      <c r="G164" s="68" t="str">
        <f t="shared" si="15"/>
        <v/>
      </c>
      <c r="H164" s="69">
        <f>SUM(Jul!H164,Aug!H164,Sep!H164)</f>
        <v>0</v>
      </c>
      <c r="I164" s="69">
        <f>SUM(Jul!I164, Aug!I164, Sep!I164)</f>
        <v>0</v>
      </c>
      <c r="J164" s="68" t="str">
        <f t="shared" si="13"/>
        <v/>
      </c>
    </row>
    <row r="165" spans="1:10" ht="15.6">
      <c r="A165" s="24" t="str">
        <v>NY: Cambridge - Cambridge (PW)</v>
      </c>
      <c r="B165" s="25" t="str">
        <v>NY</v>
      </c>
      <c r="C165" s="25" t="str">
        <f>Sites[[#This Row],[SOL'#]]</f>
        <v>SOL-11126</v>
      </c>
      <c r="D165" s="54">
        <f>SUM(Jul!D165, Aug!D165, Sep!D165)</f>
        <v>0</v>
      </c>
      <c r="E165" s="10">
        <f>SUM(Jul!E165, Aug!E165, Sep!E165)</f>
        <v>0</v>
      </c>
      <c r="F165" s="10">
        <f t="shared" ref="F165:F166" si="16">IF(AND(ISNUMBER(D165),ISNUMBER(E165)), D165-E165, "")</f>
        <v>0</v>
      </c>
      <c r="G165" s="55" t="str">
        <f t="shared" ref="G165:G166" si="17">IFERROR(F165/E165, "")</f>
        <v/>
      </c>
      <c r="H165" s="67">
        <f>SUM(Jul!H165,Aug!H165,Sep!H165)</f>
        <v>0</v>
      </c>
      <c r="I165" s="67">
        <f>SUM(Jul!I165, Aug!I165, Sep!I165)</f>
        <v>0</v>
      </c>
      <c r="J165" s="64" t="str">
        <f t="shared" ref="J165" si="18">IFERROR(I165/H165, "")</f>
        <v/>
      </c>
    </row>
    <row r="166" spans="1:10" ht="15.6">
      <c r="A166" s="26" t="str">
        <v>NY: Whitesville - Independence North</v>
      </c>
      <c r="B166" s="27" t="str">
        <v>NY</v>
      </c>
      <c r="C166" s="27" t="str">
        <f>Sites[[#This Row],[SOL'#]]</f>
        <v>SOL-11186</v>
      </c>
      <c r="D166" s="66">
        <f>SUM(Jul!D166, Aug!D166, Sep!D166)</f>
        <v>0</v>
      </c>
      <c r="E166" s="14">
        <f>SUM(Jul!E166, Aug!E166, Sep!E166)</f>
        <v>0</v>
      </c>
      <c r="F166" s="14">
        <f t="shared" si="16"/>
        <v>0</v>
      </c>
      <c r="G166" s="68" t="str">
        <f t="shared" si="17"/>
        <v/>
      </c>
      <c r="H166" s="69">
        <f>SUM(Jul!H166,Aug!H166,Sep!H166)</f>
        <v>0</v>
      </c>
      <c r="I166" s="69">
        <f>SUM(Jul!I166, Aug!I166, Sep!I166)</f>
        <v>0</v>
      </c>
      <c r="J166" s="68" t="str">
        <f t="shared" ref="J166:J173" si="19">IFERROR(I166/H166, "")</f>
        <v/>
      </c>
    </row>
    <row r="167" spans="1:10" ht="15.6">
      <c r="A167" s="24" t="str">
        <v>IL: Beecher - Cottage Grove North (PW)</v>
      </c>
      <c r="B167" s="25" t="str">
        <v>IL</v>
      </c>
      <c r="C167" s="25" t="str">
        <f>Sites[[#This Row],[SOL'#]]</f>
        <v>SOL-11114</v>
      </c>
      <c r="D167" s="54">
        <f>SUM(Jul!D167, Aug!D167, Sep!D167)</f>
        <v>0</v>
      </c>
      <c r="E167" s="10">
        <f>SUM(Jul!E167, Aug!E167, Sep!E167)</f>
        <v>0</v>
      </c>
      <c r="F167" s="10">
        <f t="shared" ref="F167:F173" si="20">IF(AND(ISNUMBER(D167),ISNUMBER(E167)), D167-E167, "")</f>
        <v>0</v>
      </c>
      <c r="G167" s="55" t="str">
        <f t="shared" ref="G167:G173" si="21">IFERROR(F167/E167, "")</f>
        <v/>
      </c>
      <c r="H167" s="67">
        <f>SUM(Jul!H167,Aug!H167,Sep!H167)</f>
        <v>0</v>
      </c>
      <c r="I167" s="67">
        <f>SUM(Jul!I167, Aug!I167, Sep!I167)</f>
        <v>0</v>
      </c>
      <c r="J167" s="64" t="str">
        <f t="shared" si="19"/>
        <v/>
      </c>
    </row>
    <row r="168" spans="1:10" ht="15.6">
      <c r="A168" s="26" t="str">
        <v>IL: Beecher - Cottage Grove South (PW)</v>
      </c>
      <c r="B168" s="27" t="str">
        <v>IL</v>
      </c>
      <c r="C168" s="27" t="str">
        <f>Sites[[#This Row],[SOL'#]]</f>
        <v>SOL-11115</v>
      </c>
      <c r="D168" s="66">
        <f>SUM(Jul!D168, Aug!D168, Sep!D168)</f>
        <v>0</v>
      </c>
      <c r="E168" s="14">
        <f>SUM(Jul!E168, Aug!E168, Sep!E168)</f>
        <v>0</v>
      </c>
      <c r="F168" s="14">
        <f t="shared" si="20"/>
        <v>0</v>
      </c>
      <c r="G168" s="68" t="str">
        <f t="shared" si="21"/>
        <v/>
      </c>
      <c r="H168" s="69">
        <f>SUM(Jul!H168,Aug!H168,Sep!H168)</f>
        <v>0</v>
      </c>
      <c r="I168" s="69">
        <f>SUM(Jul!I168, Aug!I168, Sep!I168)</f>
        <v>0</v>
      </c>
      <c r="J168" s="68" t="str">
        <f t="shared" si="19"/>
        <v/>
      </c>
    </row>
    <row r="169" spans="1:10" ht="15.6">
      <c r="A169" s="24" t="str">
        <v>IL: Harvard - 9618 US HWY 14 (PW)</v>
      </c>
      <c r="B169" s="25" t="str">
        <v>IL</v>
      </c>
      <c r="C169" s="25" t="str">
        <f>Sites[[#This Row],[SOL'#]]</f>
        <v>SOL-11110</v>
      </c>
      <c r="D169" s="54">
        <f>SUM(Jul!D169, Aug!D169, Sep!D169)</f>
        <v>0</v>
      </c>
      <c r="E169" s="10">
        <f>SUM(Jul!E169, Aug!E169, Sep!E169)</f>
        <v>0</v>
      </c>
      <c r="F169" s="10">
        <f t="shared" si="20"/>
        <v>0</v>
      </c>
      <c r="G169" s="55" t="str">
        <f t="shared" si="21"/>
        <v/>
      </c>
      <c r="H169" s="67">
        <f>SUM(Jul!H169,Aug!H169,Sep!H169)</f>
        <v>0</v>
      </c>
      <c r="I169" s="67">
        <f>SUM(Jul!I169, Aug!I169, Sep!I169)</f>
        <v>0</v>
      </c>
      <c r="J169" s="64" t="str">
        <f t="shared" si="19"/>
        <v/>
      </c>
    </row>
    <row r="170" spans="1:10" ht="15.6">
      <c r="A170" s="26" t="str">
        <v>IL: Beecher - 701 E Goodenow Rd (PW)</v>
      </c>
      <c r="B170" s="27" t="str">
        <v>IL</v>
      </c>
      <c r="C170" s="27" t="str">
        <f>Sites[[#This Row],[SOL'#]]</f>
        <v>SOL-11112</v>
      </c>
      <c r="D170" s="66">
        <f>SUM(Jul!D170, Aug!D170, Sep!D170)</f>
        <v>0</v>
      </c>
      <c r="E170" s="14">
        <f>SUM(Jul!E170, Aug!E170, Sep!E170)</f>
        <v>0</v>
      </c>
      <c r="F170" s="14">
        <f t="shared" si="20"/>
        <v>0</v>
      </c>
      <c r="G170" s="68" t="str">
        <f t="shared" si="21"/>
        <v/>
      </c>
      <c r="H170" s="69">
        <f>SUM(Jul!H170,Aug!H170,Sep!H170)</f>
        <v>0</v>
      </c>
      <c r="I170" s="69">
        <f>SUM(Jul!I170, Aug!I170, Sep!I170)</f>
        <v>0</v>
      </c>
      <c r="J170" s="68" t="str">
        <f t="shared" si="19"/>
        <v/>
      </c>
    </row>
    <row r="171" spans="1:10" ht="15.6">
      <c r="A171" s="24" t="str">
        <v>NY: Stormville - Green Haven - (IRA)</v>
      </c>
      <c r="B171" s="25" t="str">
        <v>NY</v>
      </c>
      <c r="C171" s="25" t="str">
        <f>Sites[[#This Row],[SOL'#]]</f>
        <v>SOL-11151</v>
      </c>
      <c r="D171" s="54">
        <f>SUM(Jul!D171, Aug!D171, Sep!D171)</f>
        <v>0</v>
      </c>
      <c r="E171" s="10">
        <f>SUM(Jul!E171, Aug!E171, Sep!E171)</f>
        <v>0</v>
      </c>
      <c r="F171" s="10">
        <f t="shared" si="20"/>
        <v>0</v>
      </c>
      <c r="G171" s="55" t="str">
        <f t="shared" si="21"/>
        <v/>
      </c>
      <c r="H171" s="67">
        <f>SUM(Jul!H171,Aug!H171,Sep!H171)</f>
        <v>0</v>
      </c>
      <c r="I171" s="67">
        <f>SUM(Jul!I171, Aug!I171, Sep!I171)</f>
        <v>0</v>
      </c>
      <c r="J171" s="64" t="str">
        <f t="shared" si="19"/>
        <v/>
      </c>
    </row>
    <row r="172" spans="1:10" ht="15.6">
      <c r="A172" s="26" t="str">
        <v>IL: Hillsboro - Anacott (PW)</v>
      </c>
      <c r="B172" s="27" t="str">
        <v>IL</v>
      </c>
      <c r="C172" s="27" t="str">
        <f>Sites[[#This Row],[SOL'#]]</f>
        <v>SOL-11134</v>
      </c>
      <c r="D172" s="66">
        <f>SUM(Jul!D172, Aug!D172, Sep!D172)</f>
        <v>0</v>
      </c>
      <c r="E172" s="14">
        <f>SUM(Jul!E172, Aug!E172, Sep!E172)</f>
        <v>0</v>
      </c>
      <c r="F172" s="14">
        <f t="shared" si="20"/>
        <v>0</v>
      </c>
      <c r="G172" s="68" t="str">
        <f t="shared" si="21"/>
        <v/>
      </c>
      <c r="H172" s="69">
        <f>SUM(Jul!H172,Aug!H172,Sep!H172)</f>
        <v>0</v>
      </c>
      <c r="I172" s="69">
        <f>SUM(Jul!I172, Aug!I172, Sep!I172)</f>
        <v>0</v>
      </c>
      <c r="J172" s="68" t="str">
        <f t="shared" si="19"/>
        <v/>
      </c>
    </row>
    <row r="173" spans="1:10" ht="15.6">
      <c r="A173" s="24" t="str">
        <v>IL: Manhattan - Gougar (PW)</v>
      </c>
      <c r="B173" s="25" t="str">
        <v>IL</v>
      </c>
      <c r="C173" s="25" t="str">
        <f>Sites[[#This Row],[SOL'#]]</f>
        <v>SOL-11148</v>
      </c>
      <c r="D173" s="54">
        <f>SUM(Jul!D173, Aug!D173, Sep!D173)</f>
        <v>0</v>
      </c>
      <c r="E173" s="10">
        <f>SUM(Jul!E173, Aug!E173, Sep!E173)</f>
        <v>0</v>
      </c>
      <c r="F173" s="10">
        <f t="shared" si="20"/>
        <v>0</v>
      </c>
      <c r="G173" s="55" t="str">
        <f t="shared" si="21"/>
        <v/>
      </c>
      <c r="H173" s="67">
        <f>SUM(Jul!H173,Aug!H173,Sep!H173)</f>
        <v>0</v>
      </c>
      <c r="I173" s="67">
        <f>SUM(Jul!I173, Aug!I173, Sep!I173)</f>
        <v>0</v>
      </c>
      <c r="J173" s="64" t="str">
        <f t="shared" si="19"/>
        <v/>
      </c>
    </row>
    <row r="174" spans="1:10" ht="15.75">
      <c r="A174" s="26" t="str">
        <v>IL: Morrison - Sawyer (PW)</v>
      </c>
      <c r="B174" s="27" t="str">
        <v>IL</v>
      </c>
      <c r="C174" s="27" t="s">
        <v>11</v>
      </c>
      <c r="D174" s="66"/>
      <c r="E174" s="14"/>
      <c r="F174" s="14"/>
      <c r="G174" s="68"/>
      <c r="H174" s="69"/>
      <c r="I174" s="69"/>
      <c r="J174" s="68"/>
    </row>
    <row r="175" spans="1:10" ht="15.75">
      <c r="A175" s="24" t="str">
        <v>IL: Kankakee - Jeffery (PW)</v>
      </c>
      <c r="B175" s="25" t="str">
        <v>IL</v>
      </c>
      <c r="C175" s="25" t="s">
        <v>12</v>
      </c>
      <c r="D175" s="54"/>
      <c r="E175" s="10"/>
      <c r="F175" s="10"/>
      <c r="G175" s="55"/>
      <c r="H175" s="67"/>
      <c r="I175" s="67"/>
      <c r="J175" s="64"/>
    </row>
    <row r="176" spans="1:10" ht="15.75">
      <c r="A176" s="26" t="str">
        <v>IL: Freeport - 2240 South 18th Ave (PW)</v>
      </c>
      <c r="B176" s="27" t="str">
        <v>IL</v>
      </c>
      <c r="C176" s="27" t="s">
        <v>13</v>
      </c>
      <c r="D176" s="66"/>
      <c r="E176" s="14"/>
      <c r="F176" s="14"/>
      <c r="G176" s="68"/>
      <c r="H176" s="69"/>
      <c r="I176" s="69"/>
      <c r="J176" s="68"/>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c r="G201"/>
      <c r="J201"/>
    </row>
    <row r="202" spans="7:10">
      <c r="G202"/>
      <c r="J202"/>
    </row>
    <row r="203" spans="7:10">
      <c r="G203"/>
      <c r="J203"/>
    </row>
    <row r="204" spans="7:10">
      <c r="G204"/>
      <c r="J204"/>
    </row>
    <row r="205" spans="7:10">
      <c r="G205"/>
      <c r="J205"/>
    </row>
    <row r="206" spans="7:10">
      <c r="G206"/>
      <c r="J206"/>
    </row>
    <row r="207" spans="7:10">
      <c r="G207"/>
      <c r="J207"/>
    </row>
    <row r="208" spans="7:10">
      <c r="G208"/>
      <c r="J208"/>
    </row>
    <row r="209" spans="7:10">
      <c r="G209"/>
      <c r="J209"/>
    </row>
    <row r="210" spans="7:10">
      <c r="G210"/>
      <c r="J210"/>
    </row>
    <row r="211" spans="7:10">
      <c r="G211"/>
      <c r="J211"/>
    </row>
    <row r="212" spans="7:10">
      <c r="G212"/>
      <c r="J212"/>
    </row>
    <row r="213" spans="7:10">
      <c r="G213"/>
      <c r="J213"/>
    </row>
    <row r="214" spans="7:10">
      <c r="G214"/>
      <c r="J214"/>
    </row>
    <row r="215" spans="7:10">
      <c r="G215"/>
      <c r="J215"/>
    </row>
    <row r="216" spans="7:10">
      <c r="G216"/>
      <c r="J216"/>
    </row>
    <row r="217" spans="7:10">
      <c r="G217"/>
      <c r="J217"/>
    </row>
    <row r="218" spans="7:10">
      <c r="G218"/>
      <c r="J218"/>
    </row>
    <row r="219" spans="7:10">
      <c r="G219"/>
      <c r="J219"/>
    </row>
    <row r="220" spans="7:10">
      <c r="G220"/>
      <c r="J220"/>
    </row>
    <row r="221" spans="7:10">
      <c r="G221"/>
      <c r="J221"/>
    </row>
    <row r="222" spans="7:10">
      <c r="G222"/>
      <c r="J222"/>
    </row>
    <row r="223" spans="7:10">
      <c r="G223"/>
      <c r="J223"/>
    </row>
    <row r="224" spans="7:10">
      <c r="G224"/>
      <c r="J224"/>
    </row>
    <row r="225" spans="7:10">
      <c r="G225"/>
      <c r="J225"/>
    </row>
    <row r="226" spans="7:10">
      <c r="G226"/>
      <c r="J226"/>
    </row>
    <row r="227" spans="7:10">
      <c r="G227"/>
      <c r="J227"/>
    </row>
    <row r="228" spans="7:10">
      <c r="G228"/>
      <c r="J228"/>
    </row>
    <row r="229" spans="7:10">
      <c r="G229"/>
      <c r="J229"/>
    </row>
    <row r="230" spans="7:10">
      <c r="G230"/>
      <c r="J230"/>
    </row>
    <row r="231" spans="7:10">
      <c r="G231"/>
      <c r="J231"/>
    </row>
    <row r="232" spans="7:10">
      <c r="G232"/>
      <c r="J232"/>
    </row>
    <row r="233" spans="7:10">
      <c r="G233"/>
      <c r="J233"/>
    </row>
    <row r="234" spans="7:10">
      <c r="G234"/>
      <c r="J234"/>
    </row>
    <row r="235" spans="7:10">
      <c r="G235"/>
      <c r="J235"/>
    </row>
    <row r="236" spans="7:10">
      <c r="G236"/>
      <c r="J236"/>
    </row>
    <row r="237" spans="7:10">
      <c r="G237"/>
      <c r="J237"/>
    </row>
    <row r="238" spans="7:10">
      <c r="G238"/>
      <c r="J238"/>
    </row>
    <row r="239" spans="7:10">
      <c r="G239"/>
      <c r="J239"/>
    </row>
    <row r="240" spans="7:10">
      <c r="G240"/>
      <c r="J240"/>
    </row>
    <row r="241" spans="7:10">
      <c r="G241"/>
      <c r="J241"/>
    </row>
    <row r="242" spans="7:10">
      <c r="G242"/>
      <c r="J242"/>
    </row>
    <row r="243" spans="7:10">
      <c r="G243"/>
      <c r="J243"/>
    </row>
    <row r="244" spans="7:10">
      <c r="G244"/>
      <c r="J244"/>
    </row>
    <row r="245" spans="7:10">
      <c r="G245"/>
      <c r="J245"/>
    </row>
    <row r="246" spans="7:10">
      <c r="G246"/>
      <c r="J246"/>
    </row>
    <row r="247" spans="7:10">
      <c r="G247"/>
      <c r="J247"/>
    </row>
    <row r="248" spans="7:10">
      <c r="G248"/>
      <c r="J248"/>
    </row>
    <row r="249" spans="7:10">
      <c r="G249"/>
      <c r="J249"/>
    </row>
    <row r="250" spans="7:10">
      <c r="G250"/>
      <c r="J250"/>
    </row>
  </sheetData>
  <mergeCells count="4">
    <mergeCell ref="H1:J1"/>
    <mergeCell ref="A1:D1"/>
    <mergeCell ref="E1:G1"/>
    <mergeCell ref="A2:B2"/>
  </mergeCells>
  <conditionalFormatting sqref="G2 J2 G4:G176 J4:J176">
    <cfRule type="cellIs" dxfId="46" priority="23" stopIfTrue="1" operator="lessThanOrEqual">
      <formula>-0.1</formula>
    </cfRule>
    <cfRule type="expression" dxfId="45" priority="24">
      <formula>AND(ISNUMBER(G2), G2&gt;=0.1)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176"/>
  <sheetViews>
    <sheetView workbookViewId="0">
      <pane xSplit="2" ySplit="3" topLeftCell="C167" activePane="bottomRight" state="frozen"/>
      <selection pane="bottomRight" activeCell="F187" sqref="F187"/>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95" t="str" cm="1">
        <f t="array" ref="A1">portfolio</f>
        <v>Generate Capital</v>
      </c>
      <c r="B1" s="195"/>
      <c r="C1" s="195"/>
      <c r="D1" s="195"/>
      <c r="E1" s="196" t="s">
        <v>20</v>
      </c>
      <c r="F1" s="196"/>
      <c r="G1" s="196"/>
      <c r="H1" s="194" t="s">
        <v>21</v>
      </c>
      <c r="I1" s="194"/>
      <c r="J1" s="194"/>
    </row>
    <row r="2" spans="1:10" ht="19.5" customHeight="1">
      <c r="A2" s="197" t="s">
        <v>2</v>
      </c>
      <c r="B2" s="197"/>
      <c r="C2" s="57"/>
      <c r="D2" s="5">
        <f>SUM(D4:D258)</f>
        <v>0</v>
      </c>
      <c r="E2" s="5">
        <f>SUM(E4:E283)</f>
        <v>0</v>
      </c>
      <c r="F2" s="5">
        <f>D2-E2</f>
        <v>0</v>
      </c>
      <c r="G2" s="6">
        <f>IFERROR(F2/E2, 0)</f>
        <v>0</v>
      </c>
      <c r="H2" s="5">
        <f>SUM(H4:H258)</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6">Sites[Site]</f>
        <v>K026</v>
      </c>
      <c r="B4" s="27" t="str" cm="1">
        <f t="array" ref="B4:B176">Sites[State]</f>
        <v>NY</v>
      </c>
      <c r="C4" s="27" t="str">
        <f>Sites[[#This Row],[SOL'#]]</f>
        <v>SOL-10356</v>
      </c>
      <c r="D4" s="9">
        <f>SUM(Oct!D4, Nov!D4, Dec!D4)</f>
        <v>0</v>
      </c>
      <c r="E4" s="14">
        <f>SUM(Oct!E4, Nov!E4, Dec!E4)</f>
        <v>0</v>
      </c>
      <c r="F4" s="14">
        <f t="shared" ref="F4:F62" si="0">IF(AND(ISNUMBER(D4),ISNUMBER(E4)), D4-E4, "")</f>
        <v>0</v>
      </c>
      <c r="G4" s="15" t="str">
        <f t="shared" ref="G4:G62" si="1">IFERROR(F4/E4, "")</f>
        <v/>
      </c>
      <c r="H4" s="16">
        <f>SUM(Oct!H4,Nov!H4,Dec!H4)</f>
        <v>0</v>
      </c>
      <c r="I4" s="16">
        <f>SUM(Oct!I4, Nov!I4, Dec!I4)</f>
        <v>0</v>
      </c>
      <c r="J4" s="15" t="str">
        <f t="shared" ref="J4:J67" si="2">IFERROR(I4/H4, "")</f>
        <v/>
      </c>
    </row>
    <row r="5" spans="1:10" ht="15.6">
      <c r="A5" s="24" t="str">
        <v>K041</v>
      </c>
      <c r="B5" s="25" t="str">
        <v>NY</v>
      </c>
      <c r="C5" s="25" t="str">
        <f>Sites[[#This Row],[SOL'#]]</f>
        <v>SOL-10357</v>
      </c>
      <c r="D5" s="20">
        <f>SUM(Oct!D5, Nov!D5, Dec!D5)</f>
        <v>0</v>
      </c>
      <c r="E5" s="10">
        <f>SUM(Oct!E5, Nov!E5, Dec!E5)</f>
        <v>0</v>
      </c>
      <c r="F5" s="10">
        <f t="shared" si="0"/>
        <v>0</v>
      </c>
      <c r="G5" s="11" t="str">
        <f t="shared" si="1"/>
        <v/>
      </c>
      <c r="H5" s="12">
        <f>SUM(Oct!H5,Nov!H5,Dec!H5)</f>
        <v>0</v>
      </c>
      <c r="I5" s="12">
        <f>SUM(Oct!I5, Nov!I5, Dec!I5)</f>
        <v>0</v>
      </c>
      <c r="J5" s="13" t="str">
        <f t="shared" si="2"/>
        <v/>
      </c>
    </row>
    <row r="6" spans="1:10" ht="15.6">
      <c r="A6" s="26" t="str">
        <v>K043</v>
      </c>
      <c r="B6" s="27" t="str">
        <v>NY</v>
      </c>
      <c r="C6" s="27" t="str">
        <f>Sites[[#This Row],[SOL'#]]</f>
        <v>SOL-10358</v>
      </c>
      <c r="D6" s="9">
        <f>SUM(Oct!D6, Nov!D6, Dec!D6)</f>
        <v>0</v>
      </c>
      <c r="E6" s="14">
        <f>SUM(Oct!E6, Nov!E6, Dec!E6)</f>
        <v>0</v>
      </c>
      <c r="F6" s="14">
        <f t="shared" si="0"/>
        <v>0</v>
      </c>
      <c r="G6" s="15" t="str">
        <f t="shared" si="1"/>
        <v/>
      </c>
      <c r="H6" s="16">
        <f>SUM(Oct!H6,Nov!H6,Dec!H6)</f>
        <v>0</v>
      </c>
      <c r="I6" s="16">
        <f>SUM(Oct!I6, Nov!I6, Dec!I6)</f>
        <v>0</v>
      </c>
      <c r="J6" s="15" t="str">
        <f t="shared" si="2"/>
        <v/>
      </c>
    </row>
    <row r="7" spans="1:10" ht="15.6">
      <c r="A7" s="24" t="str">
        <v>K058</v>
      </c>
      <c r="B7" s="25" t="str">
        <v>NY</v>
      </c>
      <c r="C7" s="25" t="str">
        <f>Sites[[#This Row],[SOL'#]]</f>
        <v>SOL-10360</v>
      </c>
      <c r="D7" s="20">
        <f>SUM(Oct!D7, Nov!D7, Dec!D7)</f>
        <v>0</v>
      </c>
      <c r="E7" s="10">
        <f>SUM(Oct!E7, Nov!E7, Dec!E7)</f>
        <v>0</v>
      </c>
      <c r="F7" s="10">
        <f t="shared" si="0"/>
        <v>0</v>
      </c>
      <c r="G7" s="11" t="str">
        <f t="shared" si="1"/>
        <v/>
      </c>
      <c r="H7" s="12">
        <f>SUM(Oct!H7,Nov!H7,Dec!H7)</f>
        <v>0</v>
      </c>
      <c r="I7" s="12">
        <f>SUM(Oct!I7, Nov!I7, Dec!I7)</f>
        <v>0</v>
      </c>
      <c r="J7" s="13" t="str">
        <f t="shared" si="2"/>
        <v/>
      </c>
    </row>
    <row r="8" spans="1:10" ht="15.6">
      <c r="A8" s="26" t="str">
        <v>K115</v>
      </c>
      <c r="B8" s="27" t="str">
        <v>NY</v>
      </c>
      <c r="C8" s="27" t="str">
        <f>Sites[[#This Row],[SOL'#]]</f>
        <v>SOL-10361</v>
      </c>
      <c r="D8" s="9">
        <f>SUM(Oct!D8, Nov!D8, Dec!D8)</f>
        <v>0</v>
      </c>
      <c r="E8" s="14">
        <f>SUM(Oct!E8, Nov!E8, Dec!E8)</f>
        <v>0</v>
      </c>
      <c r="F8" s="14">
        <f t="shared" si="0"/>
        <v>0</v>
      </c>
      <c r="G8" s="15" t="str">
        <f t="shared" si="1"/>
        <v/>
      </c>
      <c r="H8" s="16">
        <f>SUM(Oct!H8,Nov!H8,Dec!H8)</f>
        <v>0</v>
      </c>
      <c r="I8" s="16">
        <f>SUM(Oct!I8, Nov!I8, Dec!I8)</f>
        <v>0</v>
      </c>
      <c r="J8" s="15" t="str">
        <f t="shared" si="2"/>
        <v/>
      </c>
    </row>
    <row r="9" spans="1:10" ht="15.6">
      <c r="A9" s="24" t="str">
        <v>K152</v>
      </c>
      <c r="B9" s="25" t="str">
        <v>NY</v>
      </c>
      <c r="C9" s="25" t="str">
        <f>Sites[[#This Row],[SOL'#]]</f>
        <v>SOL-10362</v>
      </c>
      <c r="D9" s="20">
        <f>SUM(Oct!D9, Nov!D9, Dec!D9)</f>
        <v>0</v>
      </c>
      <c r="E9" s="10">
        <f>SUM(Oct!E9, Nov!E9, Dec!E9)</f>
        <v>0</v>
      </c>
      <c r="F9" s="10">
        <f t="shared" si="0"/>
        <v>0</v>
      </c>
      <c r="G9" s="11" t="str">
        <f t="shared" si="1"/>
        <v/>
      </c>
      <c r="H9" s="12">
        <f>SUM(Oct!H9,Nov!H9,Dec!H9)</f>
        <v>0</v>
      </c>
      <c r="I9" s="12">
        <f>SUM(Oct!I9, Nov!I9, Dec!I9)</f>
        <v>0</v>
      </c>
      <c r="J9" s="13" t="str">
        <f t="shared" si="2"/>
        <v/>
      </c>
    </row>
    <row r="10" spans="1:10" ht="15.6">
      <c r="A10" s="26" t="str">
        <v>K166</v>
      </c>
      <c r="B10" s="27" t="str">
        <v>NY</v>
      </c>
      <c r="C10" s="27" t="str">
        <f>Sites[[#This Row],[SOL'#]]</f>
        <v>SOL-10363</v>
      </c>
      <c r="D10" s="9">
        <f>SUM(Oct!D10, Nov!D10, Dec!D10)</f>
        <v>0</v>
      </c>
      <c r="E10" s="14">
        <f>SUM(Oct!E10, Nov!E10, Dec!E10)</f>
        <v>0</v>
      </c>
      <c r="F10" s="14">
        <f t="shared" si="0"/>
        <v>0</v>
      </c>
      <c r="G10" s="15" t="str">
        <f t="shared" si="1"/>
        <v/>
      </c>
      <c r="H10" s="16">
        <f>SUM(Oct!H10,Nov!H10,Dec!H10)</f>
        <v>0</v>
      </c>
      <c r="I10" s="16">
        <f>SUM(Oct!I10, Nov!I10, Dec!I10)</f>
        <v>0</v>
      </c>
      <c r="J10" s="15" t="str">
        <f t="shared" si="2"/>
        <v/>
      </c>
    </row>
    <row r="11" spans="1:10" ht="15.6">
      <c r="A11" s="24" t="str">
        <v>K206</v>
      </c>
      <c r="B11" s="25" t="str">
        <v>NY</v>
      </c>
      <c r="C11" s="25" t="str">
        <f>Sites[[#This Row],[SOL'#]]</f>
        <v>SOL-10927</v>
      </c>
      <c r="D11" s="20">
        <f>SUM(Oct!D11, Nov!D11, Dec!D11)</f>
        <v>0</v>
      </c>
      <c r="E11" s="10">
        <f>SUM(Oct!E11, Nov!E11, Dec!E11)</f>
        <v>0</v>
      </c>
      <c r="F11" s="10">
        <f t="shared" si="0"/>
        <v>0</v>
      </c>
      <c r="G11" s="11" t="str">
        <f t="shared" si="1"/>
        <v/>
      </c>
      <c r="H11" s="12">
        <f>SUM(Oct!H11,Nov!H11,Dec!H11)</f>
        <v>0</v>
      </c>
      <c r="I11" s="12">
        <f>SUM(Oct!I11, Nov!I11, Dec!I11)</f>
        <v>0</v>
      </c>
      <c r="J11" s="13" t="str">
        <f t="shared" si="2"/>
        <v/>
      </c>
    </row>
    <row r="12" spans="1:10" ht="15.6">
      <c r="A12" s="26" t="str">
        <v>K251</v>
      </c>
      <c r="B12" s="27" t="str">
        <v>NY</v>
      </c>
      <c r="C12" s="27" t="str">
        <f>Sites[[#This Row],[SOL'#]]</f>
        <v>SOL-10365</v>
      </c>
      <c r="D12" s="9">
        <f>SUM(Oct!D12, Nov!D12, Dec!D12)</f>
        <v>0</v>
      </c>
      <c r="E12" s="14">
        <f>SUM(Oct!E12, Nov!E12, Dec!E12)</f>
        <v>0</v>
      </c>
      <c r="F12" s="14">
        <f t="shared" si="0"/>
        <v>0</v>
      </c>
      <c r="G12" s="15" t="str">
        <f t="shared" si="1"/>
        <v/>
      </c>
      <c r="H12" s="16">
        <f>SUM(Oct!H12,Nov!H12,Dec!H12)</f>
        <v>0</v>
      </c>
      <c r="I12" s="16">
        <f>SUM(Oct!I12, Nov!I12, Dec!I12)</f>
        <v>0</v>
      </c>
      <c r="J12" s="15" t="str">
        <f t="shared" si="2"/>
        <v/>
      </c>
    </row>
    <row r="13" spans="1:10" ht="15.6">
      <c r="A13" s="24" t="str">
        <v>K269</v>
      </c>
      <c r="B13" s="25" t="str">
        <v>NY</v>
      </c>
      <c r="C13" s="25" t="str">
        <f>Sites[[#This Row],[SOL'#]]</f>
        <v>SOL-10366</v>
      </c>
      <c r="D13" s="20">
        <f>SUM(Oct!D13, Nov!D13, Dec!D13)</f>
        <v>0</v>
      </c>
      <c r="E13" s="10">
        <f>SUM(Oct!E13, Nov!E13, Dec!E13)</f>
        <v>0</v>
      </c>
      <c r="F13" s="10">
        <f t="shared" si="0"/>
        <v>0</v>
      </c>
      <c r="G13" s="11" t="str">
        <f t="shared" si="1"/>
        <v/>
      </c>
      <c r="H13" s="12">
        <f>SUM(Oct!H13,Nov!H13,Dec!H13)</f>
        <v>0</v>
      </c>
      <c r="I13" s="12">
        <f>SUM(Oct!I13, Nov!I13, Dec!I13)</f>
        <v>0</v>
      </c>
      <c r="J13" s="13" t="str">
        <f t="shared" si="2"/>
        <v/>
      </c>
    </row>
    <row r="14" spans="1:10" ht="15.6">
      <c r="A14" s="26" t="str">
        <v>K273</v>
      </c>
      <c r="B14" s="27" t="str">
        <v>NY</v>
      </c>
      <c r="C14" s="27" t="str">
        <f>Sites[[#This Row],[SOL'#]]</f>
        <v>SOL-10367</v>
      </c>
      <c r="D14" s="9">
        <f>SUM(Oct!D14, Nov!D14, Dec!D14)</f>
        <v>0</v>
      </c>
      <c r="E14" s="14">
        <f>SUM(Oct!E14, Nov!E14, Dec!E14)</f>
        <v>0</v>
      </c>
      <c r="F14" s="14">
        <f t="shared" si="0"/>
        <v>0</v>
      </c>
      <c r="G14" s="15" t="str">
        <f t="shared" si="1"/>
        <v/>
      </c>
      <c r="H14" s="16">
        <f>SUM(Oct!H14,Nov!H14,Dec!H14)</f>
        <v>0</v>
      </c>
      <c r="I14" s="16">
        <f>SUM(Oct!I14, Nov!I14, Dec!I14)</f>
        <v>0</v>
      </c>
      <c r="J14" s="15" t="str">
        <f t="shared" si="2"/>
        <v/>
      </c>
    </row>
    <row r="15" spans="1:10" ht="15.6">
      <c r="A15" s="24" t="str">
        <v>K287</v>
      </c>
      <c r="B15" s="25" t="str">
        <v>NY</v>
      </c>
      <c r="C15" s="25" t="str">
        <f>Sites[[#This Row],[SOL'#]]</f>
        <v>SOL-10919</v>
      </c>
      <c r="D15" s="20">
        <f>SUM(Oct!D15, Nov!D15, Dec!D15)</f>
        <v>0</v>
      </c>
      <c r="E15" s="10">
        <f>SUM(Oct!E15, Nov!E15, Dec!E15)</f>
        <v>0</v>
      </c>
      <c r="F15" s="10">
        <f t="shared" si="0"/>
        <v>0</v>
      </c>
      <c r="G15" s="11" t="str">
        <f t="shared" si="1"/>
        <v/>
      </c>
      <c r="H15" s="12">
        <f>SUM(Oct!H15,Nov!H15,Dec!H15)</f>
        <v>0</v>
      </c>
      <c r="I15" s="12">
        <f>SUM(Oct!I15, Nov!I15, Dec!I15)</f>
        <v>0</v>
      </c>
      <c r="J15" s="13" t="str">
        <f t="shared" si="2"/>
        <v/>
      </c>
    </row>
    <row r="16" spans="1:10" ht="15.6">
      <c r="A16" s="26" t="str">
        <v>K298</v>
      </c>
      <c r="B16" s="27" t="str">
        <v>NY</v>
      </c>
      <c r="C16" s="27" t="str">
        <f>Sites[[#This Row],[SOL'#]]</f>
        <v>SOL-10368</v>
      </c>
      <c r="D16" s="9">
        <f>SUM(Oct!D16, Nov!D16, Dec!D16)</f>
        <v>0</v>
      </c>
      <c r="E16" s="14">
        <f>SUM(Oct!E16, Nov!E16, Dec!E16)</f>
        <v>0</v>
      </c>
      <c r="F16" s="14">
        <f t="shared" si="0"/>
        <v>0</v>
      </c>
      <c r="G16" s="15" t="str">
        <f t="shared" si="1"/>
        <v/>
      </c>
      <c r="H16" s="16">
        <f>SUM(Oct!H16,Nov!H16,Dec!H16)</f>
        <v>0</v>
      </c>
      <c r="I16" s="16">
        <f>SUM(Oct!I16, Nov!I16, Dec!I16)</f>
        <v>0</v>
      </c>
      <c r="J16" s="15" t="str">
        <f t="shared" si="2"/>
        <v/>
      </c>
    </row>
    <row r="17" spans="1:10" ht="15.6">
      <c r="A17" s="24" t="str">
        <v>K335</v>
      </c>
      <c r="B17" s="25" t="str">
        <v>NY</v>
      </c>
      <c r="C17" s="25" t="str">
        <f>Sites[[#This Row],[SOL'#]]</f>
        <v>SOL-10370</v>
      </c>
      <c r="D17" s="20">
        <f>SUM(Oct!D17, Nov!D17, Dec!D17)</f>
        <v>0</v>
      </c>
      <c r="E17" s="10">
        <f>SUM(Oct!E17, Nov!E17, Dec!E17)</f>
        <v>0</v>
      </c>
      <c r="F17" s="10">
        <f t="shared" si="0"/>
        <v>0</v>
      </c>
      <c r="G17" s="11" t="str">
        <f t="shared" si="1"/>
        <v/>
      </c>
      <c r="H17" s="12">
        <f>SUM(Oct!H17,Nov!H17,Dec!H17)</f>
        <v>0</v>
      </c>
      <c r="I17" s="12">
        <f>SUM(Oct!I17, Nov!I17, Dec!I17)</f>
        <v>0</v>
      </c>
      <c r="J17" s="13" t="str">
        <f t="shared" si="2"/>
        <v/>
      </c>
    </row>
    <row r="18" spans="1:10" ht="15.6">
      <c r="A18" s="26" t="str">
        <v>K345</v>
      </c>
      <c r="B18" s="27" t="str">
        <v>NY</v>
      </c>
      <c r="C18" s="27" t="str">
        <f>Sites[[#This Row],[SOL'#]]</f>
        <v>SOL-10920</v>
      </c>
      <c r="D18" s="9">
        <f>SUM(Oct!D18, Nov!D18, Dec!D18)</f>
        <v>0</v>
      </c>
      <c r="E18" s="14">
        <f>SUM(Oct!E18, Nov!E18, Dec!E18)</f>
        <v>0</v>
      </c>
      <c r="F18" s="14">
        <f t="shared" si="0"/>
        <v>0</v>
      </c>
      <c r="G18" s="15" t="str">
        <f t="shared" si="1"/>
        <v/>
      </c>
      <c r="H18" s="16">
        <f>SUM(Oct!H18,Nov!H18,Dec!H18)</f>
        <v>0</v>
      </c>
      <c r="I18" s="16">
        <f>SUM(Oct!I18, Nov!I18, Dec!I18)</f>
        <v>0</v>
      </c>
      <c r="J18" s="15" t="str">
        <f t="shared" si="2"/>
        <v/>
      </c>
    </row>
    <row r="19" spans="1:10" ht="15.6">
      <c r="A19" s="24" t="str">
        <v>K445</v>
      </c>
      <c r="B19" s="25" t="str">
        <v>NY</v>
      </c>
      <c r="C19" s="25" t="str">
        <f>Sites[[#This Row],[SOL'#]]</f>
        <v>SOL-10373</v>
      </c>
      <c r="D19" s="20">
        <f>SUM(Oct!D19, Nov!D19, Dec!D19)</f>
        <v>0</v>
      </c>
      <c r="E19" s="10">
        <f>SUM(Oct!E19, Nov!E19, Dec!E19)</f>
        <v>0</v>
      </c>
      <c r="F19" s="10">
        <f t="shared" si="0"/>
        <v>0</v>
      </c>
      <c r="G19" s="11" t="str">
        <f t="shared" si="1"/>
        <v/>
      </c>
      <c r="H19" s="12">
        <f>SUM(Oct!H19,Nov!H19,Dec!H19)</f>
        <v>0</v>
      </c>
      <c r="I19" s="12">
        <f>SUM(Oct!I19, Nov!I19, Dec!I19)</f>
        <v>0</v>
      </c>
      <c r="J19" s="13" t="str">
        <f t="shared" si="2"/>
        <v/>
      </c>
    </row>
    <row r="20" spans="1:10" ht="15.6">
      <c r="A20" s="26" t="str">
        <v>K495</v>
      </c>
      <c r="B20" s="27" t="str">
        <v>NY</v>
      </c>
      <c r="C20" s="27" t="str">
        <f>Sites[[#This Row],[SOL'#]]</f>
        <v>SOL-10374</v>
      </c>
      <c r="D20" s="9">
        <f>SUM(Oct!D20, Nov!D20, Dec!D20)</f>
        <v>0</v>
      </c>
      <c r="E20" s="14">
        <f>SUM(Oct!E20, Nov!E20, Dec!E20)</f>
        <v>0</v>
      </c>
      <c r="F20" s="14">
        <f t="shared" si="0"/>
        <v>0</v>
      </c>
      <c r="G20" s="15" t="str">
        <f t="shared" si="1"/>
        <v/>
      </c>
      <c r="H20" s="16">
        <f>SUM(Oct!H20,Nov!H20,Dec!H20)</f>
        <v>0</v>
      </c>
      <c r="I20" s="16">
        <f>SUM(Oct!I20, Nov!I20, Dec!I20)</f>
        <v>0</v>
      </c>
      <c r="J20" s="15" t="str">
        <f t="shared" si="2"/>
        <v/>
      </c>
    </row>
    <row r="21" spans="1:10" ht="15.6">
      <c r="A21" s="24" t="str">
        <v>M020</v>
      </c>
      <c r="B21" s="25" t="str">
        <v>NY</v>
      </c>
      <c r="C21" s="25" t="str">
        <f>Sites[[#This Row],[SOL'#]]</f>
        <v>SOL-10380</v>
      </c>
      <c r="D21" s="20">
        <f>SUM(Oct!D21, Nov!D21, Dec!D21)</f>
        <v>0</v>
      </c>
      <c r="E21" s="10">
        <f>SUM(Oct!E21, Nov!E21, Dec!E21)</f>
        <v>0</v>
      </c>
      <c r="F21" s="10">
        <f t="shared" si="0"/>
        <v>0</v>
      </c>
      <c r="G21" s="11" t="str">
        <f t="shared" si="1"/>
        <v/>
      </c>
      <c r="H21" s="12">
        <f>SUM(Oct!H21,Nov!H21,Dec!H21)</f>
        <v>0</v>
      </c>
      <c r="I21" s="12">
        <f>SUM(Oct!I21, Nov!I21, Dec!I21)</f>
        <v>0</v>
      </c>
      <c r="J21" s="13" t="str">
        <f t="shared" si="2"/>
        <v/>
      </c>
    </row>
    <row r="22" spans="1:10" ht="15.6">
      <c r="A22" s="26" t="str">
        <v>M092</v>
      </c>
      <c r="B22" s="27" t="str">
        <v>NY</v>
      </c>
      <c r="C22" s="27" t="str">
        <f>Sites[[#This Row],[SOL'#]]</f>
        <v>SOL-10383</v>
      </c>
      <c r="D22" s="9">
        <f>SUM(Oct!D22, Nov!D22, Dec!D22)</f>
        <v>0</v>
      </c>
      <c r="E22" s="14">
        <f>SUM(Oct!E22, Nov!E22, Dec!E22)</f>
        <v>0</v>
      </c>
      <c r="F22" s="14">
        <f t="shared" si="0"/>
        <v>0</v>
      </c>
      <c r="G22" s="15" t="str">
        <f t="shared" si="1"/>
        <v/>
      </c>
      <c r="H22" s="16">
        <f>SUM(Oct!H22,Nov!H22,Dec!H22)</f>
        <v>0</v>
      </c>
      <c r="I22" s="16">
        <f>SUM(Oct!I22, Nov!I22, Dec!I22)</f>
        <v>0</v>
      </c>
      <c r="J22" s="15" t="str">
        <f t="shared" si="2"/>
        <v/>
      </c>
    </row>
    <row r="23" spans="1:10" ht="15.6">
      <c r="A23" s="24" t="str">
        <v>M143</v>
      </c>
      <c r="B23" s="25" t="str">
        <v>NY</v>
      </c>
      <c r="C23" s="25" t="str">
        <f>Sites[[#This Row],[SOL'#]]</f>
        <v>SOL-10384</v>
      </c>
      <c r="D23" s="20">
        <f>SUM(Oct!D23, Nov!D23, Dec!D23)</f>
        <v>0</v>
      </c>
      <c r="E23" s="10">
        <f>SUM(Oct!E23, Nov!E23, Dec!E23)</f>
        <v>0</v>
      </c>
      <c r="F23" s="10">
        <f t="shared" si="0"/>
        <v>0</v>
      </c>
      <c r="G23" s="11" t="str">
        <f t="shared" si="1"/>
        <v/>
      </c>
      <c r="H23" s="12">
        <f>SUM(Oct!H23,Nov!H23,Dec!H23)</f>
        <v>0</v>
      </c>
      <c r="I23" s="12">
        <f>SUM(Oct!I23, Nov!I23, Dec!I23)</f>
        <v>0</v>
      </c>
      <c r="J23" s="13" t="str">
        <f t="shared" si="2"/>
        <v/>
      </c>
    </row>
    <row r="24" spans="1:10" ht="15.6">
      <c r="A24" s="26" t="str">
        <v>M144</v>
      </c>
      <c r="B24" s="27" t="str">
        <v>NY</v>
      </c>
      <c r="C24" s="27" t="str">
        <f>Sites[[#This Row],[SOL'#]]</f>
        <v>SOL-10385</v>
      </c>
      <c r="D24" s="9">
        <f>SUM(Oct!D24, Nov!D24, Dec!D24)</f>
        <v>0</v>
      </c>
      <c r="E24" s="14">
        <f>SUM(Oct!E24, Nov!E24, Dec!E24)</f>
        <v>0</v>
      </c>
      <c r="F24" s="14">
        <f t="shared" si="0"/>
        <v>0</v>
      </c>
      <c r="G24" s="15" t="str">
        <f t="shared" si="1"/>
        <v/>
      </c>
      <c r="H24" s="16">
        <f>SUM(Oct!H24,Nov!H24,Dec!H24)</f>
        <v>0</v>
      </c>
      <c r="I24" s="16">
        <f>SUM(Oct!I24, Nov!I24, Dec!I24)</f>
        <v>0</v>
      </c>
      <c r="J24" s="15" t="str">
        <f t="shared" si="2"/>
        <v/>
      </c>
    </row>
    <row r="25" spans="1:10" ht="15.6">
      <c r="A25" s="24" t="str">
        <v>M167</v>
      </c>
      <c r="B25" s="25" t="str">
        <v>NY</v>
      </c>
      <c r="C25" s="25" t="str">
        <f>Sites[[#This Row],[SOL'#]]</f>
        <v>SOL-10386</v>
      </c>
      <c r="D25" s="20">
        <f>SUM(Oct!D25, Nov!D25, Dec!D25)</f>
        <v>0</v>
      </c>
      <c r="E25" s="10">
        <f>SUM(Oct!E25, Nov!E25, Dec!E25)</f>
        <v>0</v>
      </c>
      <c r="F25" s="10">
        <f t="shared" si="0"/>
        <v>0</v>
      </c>
      <c r="G25" s="11" t="str">
        <f t="shared" si="1"/>
        <v/>
      </c>
      <c r="H25" s="12">
        <f>SUM(Oct!H25,Nov!H25,Dec!H25)</f>
        <v>0</v>
      </c>
      <c r="I25" s="12">
        <f>SUM(Oct!I25, Nov!I25, Dec!I25)</f>
        <v>0</v>
      </c>
      <c r="J25" s="13" t="str">
        <f t="shared" si="2"/>
        <v/>
      </c>
    </row>
    <row r="26" spans="1:10" ht="15.6">
      <c r="A26" s="26" t="str">
        <v>M188</v>
      </c>
      <c r="B26" s="27" t="str">
        <v>NY</v>
      </c>
      <c r="C26" s="27" t="str">
        <f>Sites[[#This Row],[SOL'#]]</f>
        <v>SOL-10387</v>
      </c>
      <c r="D26" s="9">
        <f>SUM(Oct!D26, Nov!D26, Dec!D26)</f>
        <v>0</v>
      </c>
      <c r="E26" s="14">
        <f>SUM(Oct!E26, Nov!E26, Dec!E26)</f>
        <v>0</v>
      </c>
      <c r="F26" s="14">
        <f t="shared" si="0"/>
        <v>0</v>
      </c>
      <c r="G26" s="15" t="str">
        <f t="shared" si="1"/>
        <v/>
      </c>
      <c r="H26" s="16">
        <f>SUM(Oct!H26,Nov!H26,Dec!H26)</f>
        <v>0</v>
      </c>
      <c r="I26" s="16">
        <f>SUM(Oct!I26, Nov!I26, Dec!I26)</f>
        <v>0</v>
      </c>
      <c r="J26" s="15" t="str">
        <f t="shared" si="2"/>
        <v/>
      </c>
    </row>
    <row r="27" spans="1:10" ht="15.6">
      <c r="A27" s="24" t="str">
        <v>EMHC</v>
      </c>
      <c r="B27" s="25" t="str">
        <v>NY</v>
      </c>
      <c r="C27" s="25" t="str">
        <f>Sites[[#This Row],[SOL'#]]</f>
        <v>SOL-10351</v>
      </c>
      <c r="D27" s="20">
        <f>SUM(Oct!D27, Nov!D27, Dec!D27)</f>
        <v>0</v>
      </c>
      <c r="E27" s="10">
        <f>SUM(Oct!E27, Nov!E27, Dec!E27)</f>
        <v>0</v>
      </c>
      <c r="F27" s="10">
        <f t="shared" si="0"/>
        <v>0</v>
      </c>
      <c r="G27" s="11" t="str">
        <f t="shared" si="1"/>
        <v/>
      </c>
      <c r="H27" s="12">
        <f>SUM(Oct!H27,Nov!H27,Dec!H27)</f>
        <v>0</v>
      </c>
      <c r="I27" s="12">
        <f>SUM(Oct!I27, Nov!I27, Dec!I27)</f>
        <v>0</v>
      </c>
      <c r="J27" s="13" t="str">
        <f t="shared" si="2"/>
        <v/>
      </c>
    </row>
    <row r="28" spans="1:10" ht="15.6">
      <c r="A28" s="26" t="str">
        <v>Q008</v>
      </c>
      <c r="B28" s="27" t="str">
        <v>NY</v>
      </c>
      <c r="C28" s="27" t="str">
        <f>Sites[[#This Row],[SOL'#]]</f>
        <v>SOL-10397</v>
      </c>
      <c r="D28" s="9">
        <f>SUM(Oct!D28, Nov!D28, Dec!D28)</f>
        <v>0</v>
      </c>
      <c r="E28" s="14">
        <f>SUM(Oct!E28, Nov!E28, Dec!E28)</f>
        <v>0</v>
      </c>
      <c r="F28" s="14">
        <f t="shared" si="0"/>
        <v>0</v>
      </c>
      <c r="G28" s="15" t="str">
        <f t="shared" si="1"/>
        <v/>
      </c>
      <c r="H28" s="16">
        <f>SUM(Oct!H28,Nov!H28,Dec!H28)</f>
        <v>0</v>
      </c>
      <c r="I28" s="16">
        <f>SUM(Oct!I28, Nov!I28, Dec!I28)</f>
        <v>0</v>
      </c>
      <c r="J28" s="15" t="str">
        <f t="shared" si="2"/>
        <v/>
      </c>
    </row>
    <row r="29" spans="1:10" ht="15.6">
      <c r="A29" s="24" t="str">
        <v>Q018</v>
      </c>
      <c r="B29" s="25" t="str">
        <v>NY</v>
      </c>
      <c r="C29" s="25" t="str">
        <f>Sites[[#This Row],[SOL'#]]</f>
        <v>SOL-10398</v>
      </c>
      <c r="D29" s="20">
        <f>SUM(Oct!D29, Nov!D29, Dec!D29)</f>
        <v>0</v>
      </c>
      <c r="E29" s="10">
        <f>SUM(Oct!E29, Nov!E29, Dec!E29)</f>
        <v>0</v>
      </c>
      <c r="F29" s="10">
        <f t="shared" si="0"/>
        <v>0</v>
      </c>
      <c r="G29" s="11" t="str">
        <f t="shared" si="1"/>
        <v/>
      </c>
      <c r="H29" s="12">
        <f>SUM(Oct!H29,Nov!H29,Dec!H29)</f>
        <v>0</v>
      </c>
      <c r="I29" s="12">
        <f>SUM(Oct!I29, Nov!I29, Dec!I29)</f>
        <v>0</v>
      </c>
      <c r="J29" s="13" t="str">
        <f t="shared" si="2"/>
        <v/>
      </c>
    </row>
    <row r="30" spans="1:10" ht="15.6">
      <c r="A30" s="26" t="str">
        <v>Q021</v>
      </c>
      <c r="B30" s="27" t="str">
        <v>NY</v>
      </c>
      <c r="C30" s="27" t="str">
        <f>Sites[[#This Row],[SOL'#]]</f>
        <v>SOL-10399</v>
      </c>
      <c r="D30" s="9">
        <f>SUM(Oct!D30, Nov!D30, Dec!D30)</f>
        <v>0</v>
      </c>
      <c r="E30" s="14">
        <f>SUM(Oct!E30, Nov!E30, Dec!E30)</f>
        <v>0</v>
      </c>
      <c r="F30" s="14">
        <f t="shared" si="0"/>
        <v>0</v>
      </c>
      <c r="G30" s="15" t="str">
        <f t="shared" si="1"/>
        <v/>
      </c>
      <c r="H30" s="16">
        <f>SUM(Oct!H30,Nov!H30,Dec!H30)</f>
        <v>0</v>
      </c>
      <c r="I30" s="16">
        <f>SUM(Oct!I30, Nov!I30, Dec!I30)</f>
        <v>0</v>
      </c>
      <c r="J30" s="15" t="str">
        <f t="shared" si="2"/>
        <v/>
      </c>
    </row>
    <row r="31" spans="1:10" ht="15.6">
      <c r="A31" s="24" t="str">
        <v>Q025</v>
      </c>
      <c r="B31" s="25" t="str">
        <v>NY</v>
      </c>
      <c r="C31" s="25" t="str">
        <f>Sites[[#This Row],[SOL'#]]</f>
        <v>SOL-10400</v>
      </c>
      <c r="D31" s="20">
        <f>SUM(Oct!D31, Nov!D31, Dec!D31)</f>
        <v>0</v>
      </c>
      <c r="E31" s="10">
        <f>SUM(Oct!E31, Nov!E31, Dec!E31)</f>
        <v>0</v>
      </c>
      <c r="F31" s="10">
        <f t="shared" si="0"/>
        <v>0</v>
      </c>
      <c r="G31" s="11" t="str">
        <f t="shared" si="1"/>
        <v/>
      </c>
      <c r="H31" s="12">
        <f>SUM(Oct!H31,Nov!H31,Dec!H31)</f>
        <v>0</v>
      </c>
      <c r="I31" s="12">
        <f>SUM(Oct!I31, Nov!I31, Dec!I31)</f>
        <v>0</v>
      </c>
      <c r="J31" s="13" t="str">
        <f t="shared" si="2"/>
        <v/>
      </c>
    </row>
    <row r="32" spans="1:10" ht="15.6">
      <c r="A32" s="26" t="str">
        <v>Q074</v>
      </c>
      <c r="B32" s="27" t="str">
        <v>NY</v>
      </c>
      <c r="C32" s="27" t="str">
        <f>Sites[[#This Row],[SOL'#]]</f>
        <v>SOL-10402</v>
      </c>
      <c r="D32" s="9">
        <f>SUM(Oct!D32, Nov!D32, Dec!D32)</f>
        <v>0</v>
      </c>
      <c r="E32" s="14">
        <f>SUM(Oct!E32, Nov!E32, Dec!E32)</f>
        <v>0</v>
      </c>
      <c r="F32" s="14">
        <f t="shared" si="0"/>
        <v>0</v>
      </c>
      <c r="G32" s="15" t="str">
        <f t="shared" si="1"/>
        <v/>
      </c>
      <c r="H32" s="16">
        <f>SUM(Oct!H32,Nov!H32,Dec!H32)</f>
        <v>0</v>
      </c>
      <c r="I32" s="16">
        <f>SUM(Oct!I32, Nov!I32, Dec!I32)</f>
        <v>0</v>
      </c>
      <c r="J32" s="15" t="str">
        <f t="shared" si="2"/>
        <v/>
      </c>
    </row>
    <row r="33" spans="1:10" ht="15.6">
      <c r="A33" s="24" t="str">
        <v>Q115</v>
      </c>
      <c r="B33" s="25" t="str">
        <v>NY</v>
      </c>
      <c r="C33" s="25" t="str">
        <f>Sites[[#This Row],[SOL'#]]</f>
        <v>SOL-10872</v>
      </c>
      <c r="D33" s="20">
        <f>SUM(Oct!D33, Nov!D33, Dec!D33)</f>
        <v>0</v>
      </c>
      <c r="E33" s="10">
        <f>SUM(Oct!E33, Nov!E33, Dec!E33)</f>
        <v>0</v>
      </c>
      <c r="F33" s="10">
        <f t="shared" si="0"/>
        <v>0</v>
      </c>
      <c r="G33" s="11" t="str">
        <f t="shared" si="1"/>
        <v/>
      </c>
      <c r="H33" s="12">
        <f>SUM(Oct!H33,Nov!H33,Dec!H33)</f>
        <v>0</v>
      </c>
      <c r="I33" s="12">
        <f>SUM(Oct!I33, Nov!I33, Dec!I33)</f>
        <v>0</v>
      </c>
      <c r="J33" s="13" t="str">
        <f t="shared" si="2"/>
        <v/>
      </c>
    </row>
    <row r="34" spans="1:10" ht="15.6">
      <c r="A34" s="26" t="str">
        <v>Q139</v>
      </c>
      <c r="B34" s="27" t="str">
        <v>NY</v>
      </c>
      <c r="C34" s="27" t="str">
        <f>Sites[[#This Row],[SOL'#]]</f>
        <v>SOL-10403</v>
      </c>
      <c r="D34" s="9">
        <f>SUM(Oct!D34, Nov!D34, Dec!D34)</f>
        <v>0</v>
      </c>
      <c r="E34" s="14">
        <f>SUM(Oct!E34, Nov!E34, Dec!E34)</f>
        <v>0</v>
      </c>
      <c r="F34" s="14">
        <f t="shared" si="0"/>
        <v>0</v>
      </c>
      <c r="G34" s="15" t="str">
        <f t="shared" si="1"/>
        <v/>
      </c>
      <c r="H34" s="16">
        <f>SUM(Oct!H34,Nov!H34,Dec!H34)</f>
        <v>0</v>
      </c>
      <c r="I34" s="16">
        <f>SUM(Oct!I34, Nov!I34, Dec!I34)</f>
        <v>0</v>
      </c>
      <c r="J34" s="15" t="str">
        <f t="shared" si="2"/>
        <v/>
      </c>
    </row>
    <row r="35" spans="1:10" ht="15.6">
      <c r="A35" s="24" t="str">
        <v>Q157</v>
      </c>
      <c r="B35" s="25" t="str">
        <v>NY</v>
      </c>
      <c r="C35" s="25" t="str">
        <f>Sites[[#This Row],[SOL'#]]</f>
        <v>SOL-10404</v>
      </c>
      <c r="D35" s="20">
        <f>SUM(Oct!D35, Nov!D35, Dec!D35)</f>
        <v>0</v>
      </c>
      <c r="E35" s="10">
        <f>SUM(Oct!E35, Nov!E35, Dec!E35)</f>
        <v>0</v>
      </c>
      <c r="F35" s="10">
        <f t="shared" si="0"/>
        <v>0</v>
      </c>
      <c r="G35" s="11" t="str">
        <f t="shared" si="1"/>
        <v/>
      </c>
      <c r="H35" s="12">
        <f>SUM(Oct!H35,Nov!H35,Dec!H35)</f>
        <v>0</v>
      </c>
      <c r="I35" s="12">
        <f>SUM(Oct!I35, Nov!I35, Dec!I35)</f>
        <v>0</v>
      </c>
      <c r="J35" s="13" t="str">
        <f t="shared" si="2"/>
        <v/>
      </c>
    </row>
    <row r="36" spans="1:10" ht="15.6">
      <c r="A36" s="26" t="str">
        <v>Q192</v>
      </c>
      <c r="B36" s="27" t="str">
        <v>NY</v>
      </c>
      <c r="C36" s="27" t="str">
        <f>Sites[[#This Row],[SOL'#]]</f>
        <v>SOL-10406</v>
      </c>
      <c r="D36" s="9">
        <f>SUM(Oct!D36, Nov!D36, Dec!D36)</f>
        <v>0</v>
      </c>
      <c r="E36" s="14">
        <f>SUM(Oct!E36, Nov!E36, Dec!E36)</f>
        <v>0</v>
      </c>
      <c r="F36" s="14">
        <f t="shared" si="0"/>
        <v>0</v>
      </c>
      <c r="G36" s="15" t="str">
        <f t="shared" si="1"/>
        <v/>
      </c>
      <c r="H36" s="16">
        <f>SUM(Oct!H36,Nov!H36,Dec!H36)</f>
        <v>0</v>
      </c>
      <c r="I36" s="16">
        <f>SUM(Oct!I36, Nov!I36, Dec!I36)</f>
        <v>0</v>
      </c>
      <c r="J36" s="15" t="str">
        <f t="shared" si="2"/>
        <v/>
      </c>
    </row>
    <row r="37" spans="1:10" ht="15.6">
      <c r="A37" s="24" t="str">
        <v>Q210</v>
      </c>
      <c r="B37" s="25" t="str">
        <v>NY</v>
      </c>
      <c r="C37" s="25" t="str">
        <f>Sites[[#This Row],[SOL'#]]</f>
        <v>SOL-10407</v>
      </c>
      <c r="D37" s="20">
        <f>SUM(Oct!D37, Nov!D37, Dec!D37)</f>
        <v>0</v>
      </c>
      <c r="E37" s="10">
        <f>SUM(Oct!E37, Nov!E37, Dec!E37)</f>
        <v>0</v>
      </c>
      <c r="F37" s="10">
        <f t="shared" si="0"/>
        <v>0</v>
      </c>
      <c r="G37" s="11" t="str">
        <f t="shared" si="1"/>
        <v/>
      </c>
      <c r="H37" s="12">
        <f>SUM(Oct!H37,Nov!H37,Dec!H37)</f>
        <v>0</v>
      </c>
      <c r="I37" s="12">
        <f>SUM(Oct!I37, Nov!I37, Dec!I37)</f>
        <v>0</v>
      </c>
      <c r="J37" s="13" t="str">
        <f t="shared" si="2"/>
        <v/>
      </c>
    </row>
    <row r="38" spans="1:10" ht="15.6">
      <c r="A38" s="26" t="str">
        <v>Q229</v>
      </c>
      <c r="B38" s="27" t="str">
        <v>NY</v>
      </c>
      <c r="C38" s="27" t="str">
        <f>Sites[[#This Row],[SOL'#]]</f>
        <v>SOL-10408</v>
      </c>
      <c r="D38" s="9">
        <f>SUM(Oct!D38, Nov!D38, Dec!D38)</f>
        <v>0</v>
      </c>
      <c r="E38" s="14">
        <f>SUM(Oct!E38, Nov!E38, Dec!E38)</f>
        <v>0</v>
      </c>
      <c r="F38" s="14">
        <f t="shared" si="0"/>
        <v>0</v>
      </c>
      <c r="G38" s="15" t="str">
        <f t="shared" si="1"/>
        <v/>
      </c>
      <c r="H38" s="16">
        <f>SUM(Oct!H38,Nov!H38,Dec!H38)</f>
        <v>0</v>
      </c>
      <c r="I38" s="16">
        <f>SUM(Oct!I38, Nov!I38, Dec!I38)</f>
        <v>0</v>
      </c>
      <c r="J38" s="15" t="str">
        <f t="shared" si="2"/>
        <v/>
      </c>
    </row>
    <row r="39" spans="1:10" ht="15.6">
      <c r="A39" s="24" t="str">
        <v>Q231</v>
      </c>
      <c r="B39" s="25" t="str">
        <v>NY</v>
      </c>
      <c r="C39" s="25" t="str">
        <f>Sites[[#This Row],[SOL'#]]</f>
        <v>SOL-10870</v>
      </c>
      <c r="D39" s="20">
        <f>SUM(Oct!D39, Nov!D39, Dec!D39)</f>
        <v>0</v>
      </c>
      <c r="E39" s="10">
        <f>SUM(Oct!E39, Nov!E39, Dec!E39)</f>
        <v>0</v>
      </c>
      <c r="F39" s="10">
        <f t="shared" si="0"/>
        <v>0</v>
      </c>
      <c r="G39" s="11" t="str">
        <f t="shared" si="1"/>
        <v/>
      </c>
      <c r="H39" s="12">
        <f>SUM(Oct!H39,Nov!H39,Dec!H39)</f>
        <v>0</v>
      </c>
      <c r="I39" s="12">
        <f>SUM(Oct!I39, Nov!I39, Dec!I39)</f>
        <v>0</v>
      </c>
      <c r="J39" s="13" t="str">
        <f t="shared" si="2"/>
        <v/>
      </c>
    </row>
    <row r="40" spans="1:10" ht="15.6">
      <c r="A40" s="26" t="str">
        <v>Q405</v>
      </c>
      <c r="B40" s="27" t="str">
        <v>NY</v>
      </c>
      <c r="C40" s="27" t="str">
        <f>Sites[[#This Row],[SOL'#]]</f>
        <v>SOL-10409</v>
      </c>
      <c r="D40" s="9">
        <f>SUM(Oct!D40, Nov!D40, Dec!D40)</f>
        <v>0</v>
      </c>
      <c r="E40" s="14">
        <f>SUM(Oct!E40, Nov!E40, Dec!E40)</f>
        <v>0</v>
      </c>
      <c r="F40" s="14">
        <f t="shared" si="0"/>
        <v>0</v>
      </c>
      <c r="G40" s="15" t="str">
        <f t="shared" si="1"/>
        <v/>
      </c>
      <c r="H40" s="16">
        <f>SUM(Oct!H40,Nov!H40,Dec!H40)</f>
        <v>0</v>
      </c>
      <c r="I40" s="16">
        <f>SUM(Oct!I40, Nov!I40, Dec!I40)</f>
        <v>0</v>
      </c>
      <c r="J40" s="15" t="str">
        <f t="shared" si="2"/>
        <v/>
      </c>
    </row>
    <row r="41" spans="1:10" ht="15.6">
      <c r="A41" s="24" t="str">
        <v>Q435</v>
      </c>
      <c r="B41" s="25" t="str">
        <v>NY</v>
      </c>
      <c r="C41" s="25" t="str">
        <f>Sites[[#This Row],[SOL'#]]</f>
        <v>SOL-10923</v>
      </c>
      <c r="D41" s="20">
        <f>SUM(Oct!D41, Nov!D41, Dec!D41)</f>
        <v>0</v>
      </c>
      <c r="E41" s="10">
        <f>SUM(Oct!E41, Nov!E41, Dec!E41)</f>
        <v>0</v>
      </c>
      <c r="F41" s="10">
        <f t="shared" si="0"/>
        <v>0</v>
      </c>
      <c r="G41" s="11" t="str">
        <f t="shared" si="1"/>
        <v/>
      </c>
      <c r="H41" s="12">
        <f>SUM(Oct!H41,Nov!H41,Dec!H41)</f>
        <v>0</v>
      </c>
      <c r="I41" s="12">
        <f>SUM(Oct!I41, Nov!I41, Dec!I41)</f>
        <v>0</v>
      </c>
      <c r="J41" s="13" t="str">
        <f t="shared" si="2"/>
        <v/>
      </c>
    </row>
    <row r="42" spans="1:10" ht="15.6">
      <c r="A42" s="26" t="str">
        <v>Q485</v>
      </c>
      <c r="B42" s="27" t="str">
        <v>NY</v>
      </c>
      <c r="C42" s="27" t="str">
        <f>Sites[[#This Row],[SOL'#]]</f>
        <v>SOL-10869</v>
      </c>
      <c r="D42" s="9">
        <f>SUM(Oct!D42, Nov!D42, Dec!D42)</f>
        <v>0</v>
      </c>
      <c r="E42" s="14">
        <f>SUM(Oct!E42, Nov!E42, Dec!E42)</f>
        <v>0</v>
      </c>
      <c r="F42" s="14">
        <f t="shared" si="0"/>
        <v>0</v>
      </c>
      <c r="G42" s="15" t="str">
        <f t="shared" si="1"/>
        <v/>
      </c>
      <c r="H42" s="16">
        <f>SUM(Oct!H42,Nov!H42,Dec!H42)</f>
        <v>0</v>
      </c>
      <c r="I42" s="16">
        <f>SUM(Oct!I42, Nov!I42, Dec!I42)</f>
        <v>0</v>
      </c>
      <c r="J42" s="15" t="str">
        <f t="shared" si="2"/>
        <v/>
      </c>
    </row>
    <row r="43" spans="1:10" ht="15.6">
      <c r="A43" s="24" t="str">
        <v>Q490</v>
      </c>
      <c r="B43" s="25" t="str">
        <v>NY</v>
      </c>
      <c r="C43" s="25" t="str">
        <f>Sites[[#This Row],[SOL'#]]</f>
        <v>SOL-10411</v>
      </c>
      <c r="D43" s="20">
        <f>SUM(Oct!D43, Nov!D43, Dec!D43)</f>
        <v>0</v>
      </c>
      <c r="E43" s="10">
        <f>SUM(Oct!E43, Nov!E43, Dec!E43)</f>
        <v>0</v>
      </c>
      <c r="F43" s="10">
        <f t="shared" si="0"/>
        <v>0</v>
      </c>
      <c r="G43" s="11" t="str">
        <f t="shared" si="1"/>
        <v/>
      </c>
      <c r="H43" s="12">
        <f>SUM(Oct!H43,Nov!H43,Dec!H43)</f>
        <v>0</v>
      </c>
      <c r="I43" s="12">
        <f>SUM(Oct!I43, Nov!I43, Dec!I43)</f>
        <v>0</v>
      </c>
      <c r="J43" s="13" t="str">
        <f t="shared" si="2"/>
        <v/>
      </c>
    </row>
    <row r="44" spans="1:10" ht="15.6">
      <c r="A44" s="26" t="str">
        <v>Q620</v>
      </c>
      <c r="B44" s="27" t="str">
        <v>NY</v>
      </c>
      <c r="C44" s="27" t="str">
        <f>Sites[[#This Row],[SOL'#]]</f>
        <v>SOL-10867</v>
      </c>
      <c r="D44" s="9">
        <f>SUM(Oct!D44, Nov!D44, Dec!D44)</f>
        <v>0</v>
      </c>
      <c r="E44" s="14">
        <f>SUM(Oct!E44, Nov!E44, Dec!E44)</f>
        <v>0</v>
      </c>
      <c r="F44" s="14">
        <f t="shared" si="0"/>
        <v>0</v>
      </c>
      <c r="G44" s="15" t="str">
        <f t="shared" si="1"/>
        <v/>
      </c>
      <c r="H44" s="16">
        <f>SUM(Oct!H44,Nov!H44,Dec!H44)</f>
        <v>0</v>
      </c>
      <c r="I44" s="16">
        <f>SUM(Oct!I44, Nov!I44, Dec!I44)</f>
        <v>0</v>
      </c>
      <c r="J44" s="15" t="str">
        <f t="shared" si="2"/>
        <v/>
      </c>
    </row>
    <row r="45" spans="1:10" ht="15.6">
      <c r="A45" s="24" t="str">
        <v>QMOA</v>
      </c>
      <c r="B45" s="25" t="str">
        <v>NY</v>
      </c>
      <c r="C45" s="25" t="str">
        <f>Sites[[#This Row],[SOL'#]]</f>
        <v>SOL-10415</v>
      </c>
      <c r="D45" s="20">
        <f>SUM(Oct!D45, Nov!D45, Dec!D45)</f>
        <v>0</v>
      </c>
      <c r="E45" s="10">
        <f>SUM(Oct!E45, Nov!E45, Dec!E45)</f>
        <v>0</v>
      </c>
      <c r="F45" s="10">
        <f t="shared" si="0"/>
        <v>0</v>
      </c>
      <c r="G45" s="11" t="str">
        <f t="shared" si="1"/>
        <v/>
      </c>
      <c r="H45" s="12">
        <f>SUM(Oct!H45,Nov!H45,Dec!H45)</f>
        <v>0</v>
      </c>
      <c r="I45" s="12">
        <f>SUM(Oct!I45, Nov!I45, Dec!I45)</f>
        <v>0</v>
      </c>
      <c r="J45" s="13" t="str">
        <f t="shared" si="2"/>
        <v/>
      </c>
    </row>
    <row r="46" spans="1:10" ht="15.6">
      <c r="A46" s="26" t="str">
        <v>X024</v>
      </c>
      <c r="B46" s="27" t="str">
        <v>NY</v>
      </c>
      <c r="C46" s="27" t="str">
        <f>Sites[[#This Row],[SOL'#]]</f>
        <v>SOL-10419</v>
      </c>
      <c r="D46" s="9">
        <f>SUM(Oct!D46, Nov!D46, Dec!D46)</f>
        <v>0</v>
      </c>
      <c r="E46" s="14">
        <f>SUM(Oct!E46, Nov!E46, Dec!E46)</f>
        <v>0</v>
      </c>
      <c r="F46" s="14">
        <f t="shared" si="0"/>
        <v>0</v>
      </c>
      <c r="G46" s="15" t="str">
        <f t="shared" si="1"/>
        <v/>
      </c>
      <c r="H46" s="16">
        <f>SUM(Oct!H46,Nov!H46,Dec!H46)</f>
        <v>0</v>
      </c>
      <c r="I46" s="16">
        <f>SUM(Oct!I46, Nov!I46, Dec!I46)</f>
        <v>0</v>
      </c>
      <c r="J46" s="15" t="str">
        <f t="shared" si="2"/>
        <v/>
      </c>
    </row>
    <row r="47" spans="1:10" ht="15.6">
      <c r="A47" s="24" t="str">
        <v>X026</v>
      </c>
      <c r="B47" s="25" t="str">
        <v>NY</v>
      </c>
      <c r="C47" s="25" t="str">
        <f>Sites[[#This Row],[SOL'#]]</f>
        <v>SOL-10420</v>
      </c>
      <c r="D47" s="20">
        <f>SUM(Oct!D47, Nov!D47, Dec!D47)</f>
        <v>0</v>
      </c>
      <c r="E47" s="10">
        <f>SUM(Oct!E47, Nov!E47, Dec!E47)</f>
        <v>0</v>
      </c>
      <c r="F47" s="10">
        <f t="shared" si="0"/>
        <v>0</v>
      </c>
      <c r="G47" s="11" t="str">
        <f t="shared" si="1"/>
        <v/>
      </c>
      <c r="H47" s="12">
        <f>SUM(Oct!H47,Nov!H47,Dec!H47)</f>
        <v>0</v>
      </c>
      <c r="I47" s="12">
        <f>SUM(Oct!I47, Nov!I47, Dec!I47)</f>
        <v>0</v>
      </c>
      <c r="J47" s="13" t="str">
        <f t="shared" si="2"/>
        <v/>
      </c>
    </row>
    <row r="48" spans="1:10" ht="15.6">
      <c r="A48" s="26" t="str">
        <v>X090</v>
      </c>
      <c r="B48" s="27" t="str">
        <v>NY</v>
      </c>
      <c r="C48" s="27" t="str">
        <f>Sites[[#This Row],[SOL'#]]</f>
        <v>SOL-10925</v>
      </c>
      <c r="D48" s="9">
        <f>SUM(Oct!D48, Nov!D48, Dec!D48)</f>
        <v>0</v>
      </c>
      <c r="E48" s="14">
        <f>SUM(Oct!E48, Nov!E48, Dec!E48)</f>
        <v>0</v>
      </c>
      <c r="F48" s="14">
        <f t="shared" si="0"/>
        <v>0</v>
      </c>
      <c r="G48" s="15" t="str">
        <f t="shared" si="1"/>
        <v/>
      </c>
      <c r="H48" s="16">
        <f>SUM(Oct!H48,Nov!H48,Dec!H48)</f>
        <v>0</v>
      </c>
      <c r="I48" s="16">
        <f>SUM(Oct!I48, Nov!I48, Dec!I48)</f>
        <v>0</v>
      </c>
      <c r="J48" s="15" t="str">
        <f t="shared" si="2"/>
        <v/>
      </c>
    </row>
    <row r="49" spans="1:10" ht="15.6">
      <c r="A49" s="24" t="str">
        <v>X117</v>
      </c>
      <c r="B49" s="25" t="str">
        <v>NY</v>
      </c>
      <c r="C49" s="25" t="str">
        <f>Sites[[#This Row],[SOL'#]]</f>
        <v>SOL-10422</v>
      </c>
      <c r="D49" s="20">
        <f>SUM(Oct!D49, Nov!D49, Dec!D49)</f>
        <v>0</v>
      </c>
      <c r="E49" s="10">
        <f>SUM(Oct!E49, Nov!E49, Dec!E49)</f>
        <v>0</v>
      </c>
      <c r="F49" s="10">
        <f t="shared" si="0"/>
        <v>0</v>
      </c>
      <c r="G49" s="11" t="str">
        <f t="shared" si="1"/>
        <v/>
      </c>
      <c r="H49" s="12">
        <f>SUM(Oct!H49,Nov!H49,Dec!H49)</f>
        <v>0</v>
      </c>
      <c r="I49" s="12">
        <f>SUM(Oct!I49, Nov!I49, Dec!I49)</f>
        <v>0</v>
      </c>
      <c r="J49" s="13" t="str">
        <f t="shared" si="2"/>
        <v/>
      </c>
    </row>
    <row r="50" spans="1:10" ht="15.6">
      <c r="A50" s="26" t="str">
        <v>X125</v>
      </c>
      <c r="B50" s="27" t="str">
        <v>NY</v>
      </c>
      <c r="C50" s="27" t="str">
        <f>Sites[[#This Row],[SOL'#]]</f>
        <v>SOL-10423</v>
      </c>
      <c r="D50" s="9">
        <f>SUM(Oct!D50, Nov!D50, Dec!D50)</f>
        <v>0</v>
      </c>
      <c r="E50" s="14">
        <f>SUM(Oct!E50, Nov!E50, Dec!E50)</f>
        <v>0</v>
      </c>
      <c r="F50" s="14">
        <f t="shared" si="0"/>
        <v>0</v>
      </c>
      <c r="G50" s="15" t="str">
        <f t="shared" si="1"/>
        <v/>
      </c>
      <c r="H50" s="16">
        <f>SUM(Oct!H50,Nov!H50,Dec!H50)</f>
        <v>0</v>
      </c>
      <c r="I50" s="16">
        <f>SUM(Oct!I50, Nov!I50, Dec!I50)</f>
        <v>0</v>
      </c>
      <c r="J50" s="15" t="str">
        <f t="shared" si="2"/>
        <v/>
      </c>
    </row>
    <row r="51" spans="1:10" ht="15.6">
      <c r="A51" s="24" t="str">
        <v>X134</v>
      </c>
      <c r="B51" s="25" t="str">
        <v>NY</v>
      </c>
      <c r="C51" s="25" t="str">
        <f>Sites[[#This Row],[SOL'#]]</f>
        <v>SOL-10424</v>
      </c>
      <c r="D51" s="20">
        <f>SUM(Oct!D51, Nov!D51, Dec!D51)</f>
        <v>0</v>
      </c>
      <c r="E51" s="10">
        <f>SUM(Oct!E51, Nov!E51, Dec!E51)</f>
        <v>0</v>
      </c>
      <c r="F51" s="10">
        <f t="shared" si="0"/>
        <v>0</v>
      </c>
      <c r="G51" s="11" t="str">
        <f t="shared" si="1"/>
        <v/>
      </c>
      <c r="H51" s="12">
        <f>SUM(Oct!H51,Nov!H51,Dec!H51)</f>
        <v>0</v>
      </c>
      <c r="I51" s="12">
        <f>SUM(Oct!I51, Nov!I51, Dec!I51)</f>
        <v>0</v>
      </c>
      <c r="J51" s="13" t="str">
        <f t="shared" si="2"/>
        <v/>
      </c>
    </row>
    <row r="52" spans="1:10" ht="15.6">
      <c r="A52" s="26" t="str">
        <v>X135</v>
      </c>
      <c r="B52" s="27" t="str">
        <v>NY</v>
      </c>
      <c r="C52" s="27" t="str">
        <f>Sites[[#This Row],[SOL'#]]</f>
        <v>SOL-10425</v>
      </c>
      <c r="D52" s="9">
        <f>SUM(Oct!D52, Nov!D52, Dec!D52)</f>
        <v>0</v>
      </c>
      <c r="E52" s="14">
        <f>SUM(Oct!E52, Nov!E52, Dec!E52)</f>
        <v>0</v>
      </c>
      <c r="F52" s="14">
        <f t="shared" si="0"/>
        <v>0</v>
      </c>
      <c r="G52" s="15" t="str">
        <f t="shared" si="1"/>
        <v/>
      </c>
      <c r="H52" s="16">
        <f>SUM(Oct!H52,Nov!H52,Dec!H52)</f>
        <v>0</v>
      </c>
      <c r="I52" s="16">
        <f>SUM(Oct!I52, Nov!I52, Dec!I52)</f>
        <v>0</v>
      </c>
      <c r="J52" s="15" t="str">
        <f t="shared" si="2"/>
        <v/>
      </c>
    </row>
    <row r="53" spans="1:10" ht="15.6">
      <c r="A53" s="24" t="str">
        <v>X139 JHS 222</v>
      </c>
      <c r="B53" s="25" t="str">
        <v>NY</v>
      </c>
      <c r="C53" s="25" t="str">
        <f>Sites[[#This Row],[SOL'#]]</f>
        <v>SOL-10426</v>
      </c>
      <c r="D53" s="20">
        <f>SUM(Oct!D53, Nov!D53, Dec!D53)</f>
        <v>0</v>
      </c>
      <c r="E53" s="10">
        <f>SUM(Oct!E53, Nov!E53, Dec!E53)</f>
        <v>0</v>
      </c>
      <c r="F53" s="10">
        <f t="shared" si="0"/>
        <v>0</v>
      </c>
      <c r="G53" s="11" t="str">
        <f t="shared" si="1"/>
        <v/>
      </c>
      <c r="H53" s="12">
        <f>SUM(Oct!H53,Nov!H53,Dec!H53)</f>
        <v>0</v>
      </c>
      <c r="I53" s="12">
        <f>SUM(Oct!I53, Nov!I53, Dec!I53)</f>
        <v>0</v>
      </c>
      <c r="J53" s="13" t="str">
        <f t="shared" si="2"/>
        <v/>
      </c>
    </row>
    <row r="54" spans="1:10" ht="15.6">
      <c r="A54" s="26" t="str">
        <v>X140</v>
      </c>
      <c r="B54" s="27" t="str">
        <v>NY</v>
      </c>
      <c r="C54" s="27" t="str">
        <f>Sites[[#This Row],[SOL'#]]</f>
        <v>SOL-10926</v>
      </c>
      <c r="D54" s="9">
        <f>SUM(Oct!D54, Nov!D54, Dec!D54)</f>
        <v>0</v>
      </c>
      <c r="E54" s="14">
        <f>SUM(Oct!E54, Nov!E54, Dec!E54)</f>
        <v>0</v>
      </c>
      <c r="F54" s="14">
        <f t="shared" si="0"/>
        <v>0</v>
      </c>
      <c r="G54" s="15" t="str">
        <f t="shared" si="1"/>
        <v/>
      </c>
      <c r="H54" s="16">
        <f>SUM(Oct!H54,Nov!H54,Dec!H54)</f>
        <v>0</v>
      </c>
      <c r="I54" s="16">
        <f>SUM(Oct!I54, Nov!I54, Dec!I54)</f>
        <v>0</v>
      </c>
      <c r="J54" s="15" t="str">
        <f t="shared" si="2"/>
        <v/>
      </c>
    </row>
    <row r="55" spans="1:10" ht="15.6">
      <c r="A55" s="24" t="str">
        <v>X166</v>
      </c>
      <c r="B55" s="25" t="str">
        <v>NY</v>
      </c>
      <c r="C55" s="25" t="str">
        <f>Sites[[#This Row],[SOL'#]]</f>
        <v>SOL-10427</v>
      </c>
      <c r="D55" s="20">
        <f>SUM(Oct!D55, Nov!D55, Dec!D55)</f>
        <v>0</v>
      </c>
      <c r="E55" s="10">
        <f>SUM(Oct!E55, Nov!E55, Dec!E55)</f>
        <v>0</v>
      </c>
      <c r="F55" s="10">
        <f t="shared" si="0"/>
        <v>0</v>
      </c>
      <c r="G55" s="11" t="str">
        <f t="shared" si="1"/>
        <v/>
      </c>
      <c r="H55" s="12">
        <f>SUM(Oct!H55,Nov!H55,Dec!H55)</f>
        <v>0</v>
      </c>
      <c r="I55" s="12">
        <f>SUM(Oct!I55, Nov!I55, Dec!I55)</f>
        <v>0</v>
      </c>
      <c r="J55" s="13" t="str">
        <f t="shared" si="2"/>
        <v/>
      </c>
    </row>
    <row r="56" spans="1:10" ht="15.6">
      <c r="A56" s="26" t="str">
        <v>Murphy</v>
      </c>
      <c r="B56" s="27" t="str">
        <v>MN</v>
      </c>
      <c r="C56" s="27" t="str">
        <f>Sites[[#This Row],[SOL'#]]</f>
        <v>SOL-10094</v>
      </c>
      <c r="D56" s="9">
        <f>SUM(Oct!D56, Nov!D56, Dec!D56)</f>
        <v>0</v>
      </c>
      <c r="E56" s="14">
        <f>SUM(Oct!E56, Nov!E56, Dec!E56)</f>
        <v>0</v>
      </c>
      <c r="F56" s="14">
        <f t="shared" si="0"/>
        <v>0</v>
      </c>
      <c r="G56" s="15" t="str">
        <f t="shared" si="1"/>
        <v/>
      </c>
      <c r="H56" s="16">
        <f>SUM(Oct!H56,Nov!H56,Dec!H56)</f>
        <v>0</v>
      </c>
      <c r="I56" s="16">
        <f>SUM(Oct!I56, Nov!I56, Dec!I56)</f>
        <v>0</v>
      </c>
      <c r="J56" s="15" t="str">
        <f t="shared" si="2"/>
        <v/>
      </c>
    </row>
    <row r="57" spans="1:10" ht="15.6">
      <c r="A57" s="24" t="str">
        <v>Terning</v>
      </c>
      <c r="B57" s="25" t="str">
        <v>MN</v>
      </c>
      <c r="C57" s="25" t="str">
        <f>Sites[[#This Row],[SOL'#]]</f>
        <v>SOL-10093</v>
      </c>
      <c r="D57" s="20">
        <f>SUM(Oct!D57, Nov!D57, Dec!D57)</f>
        <v>0</v>
      </c>
      <c r="E57" s="10">
        <f>SUM(Oct!E57, Nov!E57, Dec!E57)</f>
        <v>0</v>
      </c>
      <c r="F57" s="10">
        <f t="shared" si="0"/>
        <v>0</v>
      </c>
      <c r="G57" s="11" t="str">
        <f t="shared" si="1"/>
        <v/>
      </c>
      <c r="H57" s="12">
        <f>SUM(Oct!H57,Nov!H57,Dec!H57)</f>
        <v>0</v>
      </c>
      <c r="I57" s="12">
        <f>SUM(Oct!I57, Nov!I57, Dec!I57)</f>
        <v>0</v>
      </c>
      <c r="J57" s="13" t="str">
        <f t="shared" si="2"/>
        <v/>
      </c>
    </row>
    <row r="58" spans="1:10" ht="15.6">
      <c r="A58" s="26" t="str">
        <v>Boas Road 04</v>
      </c>
      <c r="B58" s="27" t="str">
        <v>NY</v>
      </c>
      <c r="C58" s="27" t="str">
        <f>Sites[[#This Row],[SOL'#]]</f>
        <v>SOL-10908</v>
      </c>
      <c r="D58" s="9">
        <f>SUM(Oct!D58, Nov!D58, Dec!D58)</f>
        <v>0</v>
      </c>
      <c r="E58" s="14">
        <f>SUM(Oct!E58, Nov!E58, Dec!E58)</f>
        <v>0</v>
      </c>
      <c r="F58" s="14">
        <f t="shared" si="0"/>
        <v>0</v>
      </c>
      <c r="G58" s="15" t="str">
        <f t="shared" si="1"/>
        <v/>
      </c>
      <c r="H58" s="16">
        <f>SUM(Oct!H58,Nov!H58,Dec!H58)</f>
        <v>0</v>
      </c>
      <c r="I58" s="16">
        <f>SUM(Oct!I58, Nov!I58, Dec!I58)</f>
        <v>0</v>
      </c>
      <c r="J58" s="15" t="str">
        <f t="shared" si="2"/>
        <v/>
      </c>
    </row>
    <row r="59" spans="1:10" ht="15.6">
      <c r="A59" s="24" t="str">
        <v>Kelly Bridge Farm</v>
      </c>
      <c r="B59" s="25" t="str">
        <v>NY</v>
      </c>
      <c r="C59" s="25" t="str">
        <f>Sites[[#This Row],[SOL'#]]</f>
        <v>SOL-10911</v>
      </c>
      <c r="D59" s="20">
        <f>SUM(Oct!D59, Nov!D59, Dec!D59)</f>
        <v>0</v>
      </c>
      <c r="E59" s="10">
        <f>SUM(Oct!E59, Nov!E59, Dec!E59)</f>
        <v>0</v>
      </c>
      <c r="F59" s="10">
        <f t="shared" si="0"/>
        <v>0</v>
      </c>
      <c r="G59" s="11" t="str">
        <f t="shared" si="1"/>
        <v/>
      </c>
      <c r="H59" s="12">
        <f>SUM(Oct!H59,Nov!H59,Dec!H59)</f>
        <v>0</v>
      </c>
      <c r="I59" s="12">
        <f>SUM(Oct!I59, Nov!I59, Dec!I59)</f>
        <v>0</v>
      </c>
      <c r="J59" s="13" t="str">
        <f t="shared" si="2"/>
        <v/>
      </c>
    </row>
    <row r="60" spans="1:10" ht="15.6">
      <c r="A60" s="26" t="str">
        <v>Pool Brook Road</v>
      </c>
      <c r="B60" s="27" t="str">
        <v>NY</v>
      </c>
      <c r="C60" s="27" t="str">
        <f>Sites[[#This Row],[SOL'#]]</f>
        <v>SOL-10909</v>
      </c>
      <c r="D60" s="9">
        <f>SUM(Oct!D60, Nov!D60, Dec!D60)</f>
        <v>0</v>
      </c>
      <c r="E60" s="14">
        <f>SUM(Oct!E60, Nov!E60, Dec!E60)</f>
        <v>0</v>
      </c>
      <c r="F60" s="14">
        <f t="shared" si="0"/>
        <v>0</v>
      </c>
      <c r="G60" s="15" t="str">
        <f t="shared" si="1"/>
        <v/>
      </c>
      <c r="H60" s="16">
        <f>SUM(Oct!H60,Nov!H60,Dec!H60)</f>
        <v>0</v>
      </c>
      <c r="I60" s="16">
        <f>SUM(Oct!I60, Nov!I60, Dec!I60)</f>
        <v>0</v>
      </c>
      <c r="J60" s="15" t="str">
        <f t="shared" si="2"/>
        <v/>
      </c>
    </row>
    <row r="61" spans="1:10" ht="15.6">
      <c r="A61" s="24" t="str">
        <v>Sackett Lake</v>
      </c>
      <c r="B61" s="25" t="str">
        <v>NY</v>
      </c>
      <c r="C61" s="25" t="str">
        <f>Sites[[#This Row],[SOL'#]]</f>
        <v>SOL-10910</v>
      </c>
      <c r="D61" s="20">
        <f>SUM(Oct!D61, Nov!D61, Dec!D61)</f>
        <v>0</v>
      </c>
      <c r="E61" s="10">
        <f>SUM(Oct!E61, Nov!E61, Dec!E61)</f>
        <v>0</v>
      </c>
      <c r="F61" s="10">
        <f t="shared" si="0"/>
        <v>0</v>
      </c>
      <c r="G61" s="11" t="str">
        <f t="shared" si="1"/>
        <v/>
      </c>
      <c r="H61" s="12">
        <f>SUM(Oct!H61,Nov!H61,Dec!H61)</f>
        <v>0</v>
      </c>
      <c r="I61" s="12">
        <f>SUM(Oct!I61, Nov!I61, Dec!I61)</f>
        <v>0</v>
      </c>
      <c r="J61" s="13" t="str">
        <f t="shared" si="2"/>
        <v/>
      </c>
    </row>
    <row r="62" spans="1:10" ht="15.6">
      <c r="A62" s="26" t="str">
        <v>Burritt Road</v>
      </c>
      <c r="B62" s="27" t="str">
        <v>NY</v>
      </c>
      <c r="C62" s="27" t="str">
        <f>Sites[[#This Row],[SOL'#]]</f>
        <v>SOL-10913</v>
      </c>
      <c r="D62" s="9">
        <f>SUM(Oct!D62, Nov!D62, Dec!D62)</f>
        <v>0</v>
      </c>
      <c r="E62" s="14">
        <f>SUM(Oct!E62, Nov!E62, Dec!E62)</f>
        <v>0</v>
      </c>
      <c r="F62" s="14">
        <f t="shared" si="0"/>
        <v>0</v>
      </c>
      <c r="G62" s="15" t="str">
        <f t="shared" si="1"/>
        <v/>
      </c>
      <c r="H62" s="16">
        <f>SUM(Oct!H62,Nov!H62,Dec!H62)</f>
        <v>0</v>
      </c>
      <c r="I62" s="16">
        <f>SUM(Oct!I62, Nov!I62, Dec!I62)</f>
        <v>0</v>
      </c>
      <c r="J62" s="15" t="str">
        <f t="shared" si="2"/>
        <v/>
      </c>
    </row>
    <row r="63" spans="1:10" ht="15.6">
      <c r="A63" s="24" t="str">
        <v>Villa Roma 1</v>
      </c>
      <c r="B63" s="25" t="str">
        <v>NY</v>
      </c>
      <c r="C63" s="25" t="str">
        <f>Sites[[#This Row],[SOL'#]]</f>
        <v>SOL-10914</v>
      </c>
      <c r="D63" s="20">
        <f>SUM(Oct!D63, Nov!D63, Dec!D63)</f>
        <v>0</v>
      </c>
      <c r="E63" s="10">
        <f>SUM(Oct!E63, Nov!E63, Dec!E63)</f>
        <v>0</v>
      </c>
      <c r="F63" s="10">
        <f t="shared" ref="F63:F101" si="3">IF(AND(ISNUMBER(D63),ISNUMBER(E63)), D63-E63, "")</f>
        <v>0</v>
      </c>
      <c r="G63" s="11" t="str">
        <f t="shared" ref="G63:G101" si="4">IFERROR(F63/E63, "")</f>
        <v/>
      </c>
      <c r="H63" s="12">
        <f>SUM(Oct!H63,Nov!H63,Dec!H63)</f>
        <v>0</v>
      </c>
      <c r="I63" s="12">
        <f>SUM(Oct!I63, Nov!I63, Dec!I63)</f>
        <v>0</v>
      </c>
      <c r="J63" s="13" t="str">
        <f t="shared" si="2"/>
        <v/>
      </c>
    </row>
    <row r="64" spans="1:10" ht="15.6">
      <c r="A64" s="26" t="str">
        <v>Villa Roma 2</v>
      </c>
      <c r="B64" s="27" t="str">
        <v>NY</v>
      </c>
      <c r="C64" s="27" t="str">
        <f>Sites[[#This Row],[SOL'#]]</f>
        <v>SOL-10915</v>
      </c>
      <c r="D64" s="9">
        <f>SUM(Oct!D64, Nov!D64, Dec!D64)</f>
        <v>0</v>
      </c>
      <c r="E64" s="14">
        <f>SUM(Oct!E64, Nov!E64, Dec!E64)</f>
        <v>0</v>
      </c>
      <c r="F64" s="14">
        <f t="shared" si="3"/>
        <v>0</v>
      </c>
      <c r="G64" s="15" t="str">
        <f t="shared" si="4"/>
        <v/>
      </c>
      <c r="H64" s="16">
        <f>SUM(Oct!H64,Nov!H64,Dec!H64)</f>
        <v>0</v>
      </c>
      <c r="I64" s="16">
        <f>SUM(Oct!I64, Nov!I64, Dec!I64)</f>
        <v>0</v>
      </c>
      <c r="J64" s="15" t="str">
        <f t="shared" si="2"/>
        <v/>
      </c>
    </row>
    <row r="65" spans="1:10" ht="15.6">
      <c r="A65" s="24" t="str">
        <v>Washington 1</v>
      </c>
      <c r="B65" s="25" t="str">
        <v>NY</v>
      </c>
      <c r="C65" s="25" t="str">
        <f>Sites[[#This Row],[SOL'#]]</f>
        <v>SOL-10912</v>
      </c>
      <c r="D65" s="20">
        <f>SUM(Oct!D65, Nov!D65, Dec!D65)</f>
        <v>0</v>
      </c>
      <c r="E65" s="10">
        <f>SUM(Oct!E65, Nov!E65, Dec!E65)</f>
        <v>0</v>
      </c>
      <c r="F65" s="10">
        <f t="shared" si="3"/>
        <v>0</v>
      </c>
      <c r="G65" s="11" t="str">
        <f t="shared" si="4"/>
        <v/>
      </c>
      <c r="H65" s="12">
        <f>SUM(Oct!H65,Nov!H65,Dec!H65)</f>
        <v>0</v>
      </c>
      <c r="I65" s="12">
        <f>SUM(Oct!I65, Nov!I65, Dec!I65)</f>
        <v>0</v>
      </c>
      <c r="J65" s="13" t="str">
        <f t="shared" si="2"/>
        <v/>
      </c>
    </row>
    <row r="66" spans="1:10" ht="15.6">
      <c r="A66" s="26" t="str">
        <v>Washington 3</v>
      </c>
      <c r="B66" s="27" t="str">
        <v>NY</v>
      </c>
      <c r="C66" s="27" t="str">
        <f>Sites[[#This Row],[SOL'#]]</f>
        <v>SOL-10828</v>
      </c>
      <c r="D66" s="9">
        <f>SUM(Oct!D66, Nov!D66, Dec!D66)</f>
        <v>0</v>
      </c>
      <c r="E66" s="14">
        <f>SUM(Oct!E66, Nov!E66, Dec!E66)</f>
        <v>0</v>
      </c>
      <c r="F66" s="14">
        <f t="shared" si="3"/>
        <v>0</v>
      </c>
      <c r="G66" s="15" t="str">
        <f t="shared" si="4"/>
        <v/>
      </c>
      <c r="H66" s="16">
        <f>SUM(Oct!H66,Nov!H66,Dec!H66)</f>
        <v>0</v>
      </c>
      <c r="I66" s="16">
        <f>SUM(Oct!I66, Nov!I66, Dec!I66)</f>
        <v>0</v>
      </c>
      <c r="J66" s="15" t="str">
        <f t="shared" si="2"/>
        <v/>
      </c>
    </row>
    <row r="67" spans="1:10" ht="15.6">
      <c r="A67" s="24" t="str">
        <v>Washington 4</v>
      </c>
      <c r="B67" s="25" t="str">
        <v>NY</v>
      </c>
      <c r="C67" s="25" t="str">
        <f>Sites[[#This Row],[SOL'#]]</f>
        <v>SOL-10829</v>
      </c>
      <c r="D67" s="20">
        <f>SUM(Oct!D67, Nov!D67, Dec!D67)</f>
        <v>0</v>
      </c>
      <c r="E67" s="10">
        <f>SUM(Oct!E67, Nov!E67, Dec!E67)</f>
        <v>0</v>
      </c>
      <c r="F67" s="10">
        <f t="shared" si="3"/>
        <v>0</v>
      </c>
      <c r="G67" s="11" t="str">
        <f t="shared" si="4"/>
        <v/>
      </c>
      <c r="H67" s="12">
        <f>SUM(Oct!H67,Nov!H67,Dec!H67)</f>
        <v>0</v>
      </c>
      <c r="I67" s="12">
        <f>SUM(Oct!I67, Nov!I67, Dec!I67)</f>
        <v>0</v>
      </c>
      <c r="J67" s="13" t="str">
        <f t="shared" si="2"/>
        <v/>
      </c>
    </row>
    <row r="68" spans="1:10" ht="15.6">
      <c r="A68" s="26" t="str">
        <v>Big Tree</v>
      </c>
      <c r="B68" s="27" t="str">
        <v>NY</v>
      </c>
      <c r="C68" s="27" t="str">
        <f>Sites[[#This Row],[SOL'#]]</f>
        <v>SOL-10966</v>
      </c>
      <c r="D68" s="9">
        <f>SUM(Oct!D68, Nov!D68, Dec!D68)</f>
        <v>0</v>
      </c>
      <c r="E68" s="14">
        <f>SUM(Oct!E68, Nov!E68, Dec!E68)</f>
        <v>0</v>
      </c>
      <c r="F68" s="14">
        <f t="shared" si="3"/>
        <v>0</v>
      </c>
      <c r="G68" s="15" t="str">
        <f t="shared" si="4"/>
        <v/>
      </c>
      <c r="H68" s="16">
        <f>SUM(Oct!H68,Nov!H68,Dec!H68)</f>
        <v>0</v>
      </c>
      <c r="I68" s="16">
        <f>SUM(Oct!I68, Nov!I68, Dec!I68)</f>
        <v>0</v>
      </c>
      <c r="J68" s="15" t="str">
        <f t="shared" ref="J68:J131" si="5">IFERROR(I68/H68, "")</f>
        <v/>
      </c>
    </row>
    <row r="69" spans="1:10" ht="15.6">
      <c r="A69" s="24" t="str">
        <v>Canoga</v>
      </c>
      <c r="B69" s="25" t="str">
        <v>NY</v>
      </c>
      <c r="C69" s="25" t="str">
        <f>Sites[[#This Row],[SOL'#]]</f>
        <v>SOL-10965</v>
      </c>
      <c r="D69" s="20">
        <f>SUM(Oct!D69, Nov!D69, Dec!D69)</f>
        <v>0</v>
      </c>
      <c r="E69" s="10">
        <f>SUM(Oct!E69, Nov!E69, Dec!E69)</f>
        <v>0</v>
      </c>
      <c r="F69" s="10">
        <f t="shared" si="3"/>
        <v>0</v>
      </c>
      <c r="G69" s="11" t="str">
        <f t="shared" si="4"/>
        <v/>
      </c>
      <c r="H69" s="12">
        <f>SUM(Oct!H69,Nov!H69,Dec!H69)</f>
        <v>0</v>
      </c>
      <c r="I69" s="12">
        <f>SUM(Oct!I69, Nov!I69, Dec!I69)</f>
        <v>0</v>
      </c>
      <c r="J69" s="13" t="str">
        <f t="shared" si="5"/>
        <v/>
      </c>
    </row>
    <row r="70" spans="1:10" ht="15.6">
      <c r="A70" s="26" t="str">
        <v>County Route 84</v>
      </c>
      <c r="B70" s="27" t="str">
        <v>NY</v>
      </c>
      <c r="C70" s="27" t="str">
        <f>Sites[[#This Row],[SOL'#]]</f>
        <v>SOL-10967</v>
      </c>
      <c r="D70" s="9">
        <f>SUM(Oct!D70, Nov!D70, Dec!D70)</f>
        <v>0</v>
      </c>
      <c r="E70" s="14">
        <f>SUM(Oct!E70, Nov!E70, Dec!E70)</f>
        <v>0</v>
      </c>
      <c r="F70" s="14">
        <f t="shared" si="3"/>
        <v>0</v>
      </c>
      <c r="G70" s="15" t="str">
        <f t="shared" si="4"/>
        <v/>
      </c>
      <c r="H70" s="16">
        <f>SUM(Oct!H70,Nov!H70,Dec!H70)</f>
        <v>0</v>
      </c>
      <c r="I70" s="16">
        <f>SUM(Oct!I70, Nov!I70, Dec!I70)</f>
        <v>0</v>
      </c>
      <c r="J70" s="15" t="str">
        <f t="shared" si="5"/>
        <v/>
      </c>
    </row>
    <row r="71" spans="1:10" ht="15.6">
      <c r="A71" s="24" t="str">
        <v>Donati</v>
      </c>
      <c r="B71" s="25" t="str">
        <v>NY</v>
      </c>
      <c r="C71" s="25" t="str">
        <f>Sites[[#This Row],[SOL'#]]</f>
        <v>SOL-10968</v>
      </c>
      <c r="D71" s="20">
        <f>SUM(Oct!D71, Nov!D71, Dec!D71)</f>
        <v>0</v>
      </c>
      <c r="E71" s="10">
        <f>SUM(Oct!E71, Nov!E71, Dec!E71)</f>
        <v>0</v>
      </c>
      <c r="F71" s="10">
        <f t="shared" si="3"/>
        <v>0</v>
      </c>
      <c r="G71" s="11" t="str">
        <f t="shared" si="4"/>
        <v/>
      </c>
      <c r="H71" s="12">
        <f>SUM(Oct!H71,Nov!H71,Dec!H71)</f>
        <v>0</v>
      </c>
      <c r="I71" s="12">
        <f>SUM(Oct!I71, Nov!I71, Dec!I71)</f>
        <v>0</v>
      </c>
      <c r="J71" s="13" t="str">
        <f t="shared" si="5"/>
        <v/>
      </c>
    </row>
    <row r="72" spans="1:10" ht="15.6">
      <c r="A72" s="26" t="str">
        <v>Henrietta</v>
      </c>
      <c r="B72" s="27" t="str">
        <v>NY</v>
      </c>
      <c r="C72" s="27" t="str">
        <f>Sites[[#This Row],[SOL'#]]</f>
        <v>SOL-10972</v>
      </c>
      <c r="D72" s="9">
        <f>SUM(Oct!D72, Nov!D72, Dec!D72)</f>
        <v>0</v>
      </c>
      <c r="E72" s="14">
        <f>SUM(Oct!E72, Nov!E72, Dec!E72)</f>
        <v>0</v>
      </c>
      <c r="F72" s="14">
        <f t="shared" si="3"/>
        <v>0</v>
      </c>
      <c r="G72" s="15" t="str">
        <f t="shared" si="4"/>
        <v/>
      </c>
      <c r="H72" s="16">
        <f>SUM(Oct!H72,Nov!H72,Dec!H72)</f>
        <v>0</v>
      </c>
      <c r="I72" s="16">
        <f>SUM(Oct!I72, Nov!I72, Dec!I72)</f>
        <v>0</v>
      </c>
      <c r="J72" s="15" t="str">
        <f t="shared" si="5"/>
        <v/>
      </c>
    </row>
    <row r="73" spans="1:10" ht="15.6">
      <c r="A73" s="24" t="str">
        <v>NY 70</v>
      </c>
      <c r="B73" s="25" t="str">
        <v>NY</v>
      </c>
      <c r="C73" s="25" t="str">
        <f>Sites[[#This Row],[SOL'#]]</f>
        <v>SOL-10970</v>
      </c>
      <c r="D73" s="20">
        <f>SUM(Oct!D73, Nov!D73, Dec!D73)</f>
        <v>0</v>
      </c>
      <c r="E73" s="10">
        <f>SUM(Oct!E73, Nov!E73, Dec!E73)</f>
        <v>0</v>
      </c>
      <c r="F73" s="10">
        <f t="shared" si="3"/>
        <v>0</v>
      </c>
      <c r="G73" s="11" t="str">
        <f t="shared" si="4"/>
        <v/>
      </c>
      <c r="H73" s="12">
        <f>SUM(Oct!H73,Nov!H73,Dec!H73)</f>
        <v>0</v>
      </c>
      <c r="I73" s="12">
        <f>SUM(Oct!I73, Nov!I73, Dec!I73)</f>
        <v>0</v>
      </c>
      <c r="J73" s="13" t="str">
        <f t="shared" si="5"/>
        <v/>
      </c>
    </row>
    <row r="74" spans="1:10" ht="15.6">
      <c r="A74" s="26" t="str">
        <v>Reid</v>
      </c>
      <c r="B74" s="27" t="str">
        <v>NY</v>
      </c>
      <c r="C74" s="27" t="str">
        <f>Sites[[#This Row],[SOL'#]]</f>
        <v>SOL-10991</v>
      </c>
      <c r="D74" s="9">
        <f>SUM(Oct!D74, Nov!D74, Dec!D74)</f>
        <v>0</v>
      </c>
      <c r="E74" s="14">
        <f>SUM(Oct!E74, Nov!E74, Dec!E74)</f>
        <v>0</v>
      </c>
      <c r="F74" s="14">
        <f t="shared" si="3"/>
        <v>0</v>
      </c>
      <c r="G74" s="15" t="str">
        <f t="shared" si="4"/>
        <v/>
      </c>
      <c r="H74" s="16">
        <f>SUM(Oct!H74,Nov!H74,Dec!H74)</f>
        <v>0</v>
      </c>
      <c r="I74" s="16">
        <f>SUM(Oct!I74, Nov!I74, Dec!I74)</f>
        <v>0</v>
      </c>
      <c r="J74" s="15" t="str">
        <f t="shared" si="5"/>
        <v/>
      </c>
    </row>
    <row r="75" spans="1:10" ht="15.6">
      <c r="A75" s="24" t="str">
        <v>Sangolqui</v>
      </c>
      <c r="B75" s="25" t="str">
        <v>NY</v>
      </c>
      <c r="C75" s="25" t="str">
        <f>Sites[[#This Row],[SOL'#]]</f>
        <v>SOL-10975</v>
      </c>
      <c r="D75" s="20">
        <f>SUM(Oct!D75, Nov!D75, Dec!D75)</f>
        <v>0</v>
      </c>
      <c r="E75" s="10">
        <f>SUM(Oct!E75, Nov!E75, Dec!E75)</f>
        <v>0</v>
      </c>
      <c r="F75" s="10">
        <f t="shared" si="3"/>
        <v>0</v>
      </c>
      <c r="G75" s="11" t="str">
        <f t="shared" si="4"/>
        <v/>
      </c>
      <c r="H75" s="12">
        <f>SUM(Oct!H75,Nov!H75,Dec!H75)</f>
        <v>0</v>
      </c>
      <c r="I75" s="12">
        <f>SUM(Oct!I75, Nov!I75, Dec!I75)</f>
        <v>0</v>
      </c>
      <c r="J75" s="13" t="str">
        <f t="shared" si="5"/>
        <v/>
      </c>
    </row>
    <row r="76" spans="1:10" ht="15.6">
      <c r="A76" s="26" t="str">
        <v>State Highway 17B</v>
      </c>
      <c r="B76" s="27" t="str">
        <v>NY</v>
      </c>
      <c r="C76" s="27" t="str">
        <f>Sites[[#This Row],[SOL'#]]</f>
        <v>SOL-10988</v>
      </c>
      <c r="D76" s="9">
        <f>SUM(Oct!D76, Nov!D76, Dec!D76)</f>
        <v>0</v>
      </c>
      <c r="E76" s="14">
        <f>SUM(Oct!E76, Nov!E76, Dec!E76)</f>
        <v>0</v>
      </c>
      <c r="F76" s="14">
        <f t="shared" si="3"/>
        <v>0</v>
      </c>
      <c r="G76" s="15" t="str">
        <f t="shared" si="4"/>
        <v/>
      </c>
      <c r="H76" s="16">
        <f>SUM(Oct!H76,Nov!H76,Dec!H76)</f>
        <v>0</v>
      </c>
      <c r="I76" s="16">
        <f>SUM(Oct!I76, Nov!I76, Dec!I76)</f>
        <v>0</v>
      </c>
      <c r="J76" s="15" t="str">
        <f t="shared" si="5"/>
        <v/>
      </c>
    </row>
    <row r="77" spans="1:10" ht="15.6">
      <c r="A77" s="24" t="str">
        <v>State Route 14A</v>
      </c>
      <c r="B77" s="25" t="str">
        <v>NY</v>
      </c>
      <c r="C77" s="25" t="str">
        <f>Sites[[#This Row],[SOL'#]]</f>
        <v>SOL-10997</v>
      </c>
      <c r="D77" s="20">
        <f>SUM(Oct!D77, Nov!D77, Dec!D77)</f>
        <v>0</v>
      </c>
      <c r="E77" s="10">
        <f>SUM(Oct!E77, Nov!E77, Dec!E77)</f>
        <v>0</v>
      </c>
      <c r="F77" s="10">
        <f t="shared" si="3"/>
        <v>0</v>
      </c>
      <c r="G77" s="11" t="str">
        <f t="shared" si="4"/>
        <v/>
      </c>
      <c r="H77" s="12">
        <f>SUM(Oct!H77,Nov!H77,Dec!H77)</f>
        <v>0</v>
      </c>
      <c r="I77" s="12">
        <f>SUM(Oct!I77, Nov!I77, Dec!I77)</f>
        <v>0</v>
      </c>
      <c r="J77" s="13" t="str">
        <f t="shared" si="5"/>
        <v/>
      </c>
    </row>
    <row r="78" spans="1:10" ht="15.6">
      <c r="A78" s="26" t="str">
        <v>West Creek</v>
      </c>
      <c r="B78" s="27" t="str">
        <v>NY</v>
      </c>
      <c r="C78" s="27" t="str">
        <f>Sites[[#This Row],[SOL'#]]</f>
        <v>SOL-10995</v>
      </c>
      <c r="D78" s="9">
        <f>SUM(Oct!D78, Nov!D78, Dec!D78)</f>
        <v>0</v>
      </c>
      <c r="E78" s="14">
        <f>SUM(Oct!E78, Nov!E78, Dec!E78)</f>
        <v>0</v>
      </c>
      <c r="F78" s="14">
        <f t="shared" si="3"/>
        <v>0</v>
      </c>
      <c r="G78" s="15" t="str">
        <f t="shared" si="4"/>
        <v/>
      </c>
      <c r="H78" s="16">
        <f>SUM(Oct!H78,Nov!H78,Dec!H78)</f>
        <v>0</v>
      </c>
      <c r="I78" s="16">
        <f>SUM(Oct!I78, Nov!I78, Dec!I78)</f>
        <v>0</v>
      </c>
      <c r="J78" s="15" t="str">
        <f t="shared" si="5"/>
        <v/>
      </c>
    </row>
    <row r="79" spans="1:10" ht="15.6">
      <c r="A79" s="24" t="str">
        <v>Wildflower</v>
      </c>
      <c r="B79" s="25" t="str">
        <v>NY</v>
      </c>
      <c r="C79" s="25" t="str">
        <f>Sites[[#This Row],[SOL'#]]</f>
        <v>SOL-10982</v>
      </c>
      <c r="D79" s="20">
        <f>SUM(Oct!D79, Nov!D79, Dec!D79)</f>
        <v>0</v>
      </c>
      <c r="E79" s="10">
        <f>SUM(Oct!E79, Nov!E79, Dec!E79)</f>
        <v>0</v>
      </c>
      <c r="F79" s="10">
        <f t="shared" si="3"/>
        <v>0</v>
      </c>
      <c r="G79" s="11" t="str">
        <f t="shared" si="4"/>
        <v/>
      </c>
      <c r="H79" s="12">
        <f>SUM(Oct!H79,Nov!H79,Dec!H79)</f>
        <v>0</v>
      </c>
      <c r="I79" s="12">
        <f>SUM(Oct!I79, Nov!I79, Dec!I79)</f>
        <v>0</v>
      </c>
      <c r="J79" s="13" t="str">
        <f t="shared" si="5"/>
        <v/>
      </c>
    </row>
    <row r="80" spans="1:10" ht="15.6">
      <c r="A80" s="26" t="str">
        <v>Glen Mary 1</v>
      </c>
      <c r="B80" s="27" t="str">
        <v>NY</v>
      </c>
      <c r="C80" s="27" t="str">
        <f>Sites[[#This Row],[SOL'#]]</f>
        <v>SOL-10993</v>
      </c>
      <c r="D80" s="9">
        <f>SUM(Oct!D80, Nov!D80, Dec!D80)</f>
        <v>0</v>
      </c>
      <c r="E80" s="14">
        <f>SUM(Oct!E80, Nov!E80, Dec!E80)</f>
        <v>0</v>
      </c>
      <c r="F80" s="14">
        <f t="shared" si="3"/>
        <v>0</v>
      </c>
      <c r="G80" s="15" t="str">
        <f t="shared" si="4"/>
        <v/>
      </c>
      <c r="H80" s="16">
        <f>SUM(Oct!H80,Nov!H80,Dec!H80)</f>
        <v>0</v>
      </c>
      <c r="I80" s="16">
        <f>SUM(Oct!I80, Nov!I80, Dec!I80)</f>
        <v>0</v>
      </c>
      <c r="J80" s="15" t="str">
        <f t="shared" si="5"/>
        <v/>
      </c>
    </row>
    <row r="81" spans="1:10" ht="15.6">
      <c r="A81" s="24" t="str">
        <v>Glen Mary 2</v>
      </c>
      <c r="B81" s="25" t="str">
        <v>NY</v>
      </c>
      <c r="C81" s="25" t="str">
        <f>Sites[[#This Row],[SOL'#]]</f>
        <v>SOL-10994</v>
      </c>
      <c r="D81" s="20">
        <f>SUM(Oct!D81, Nov!D81, Dec!D81)</f>
        <v>0</v>
      </c>
      <c r="E81" s="10">
        <f>SUM(Oct!E81, Nov!E81, Dec!E81)</f>
        <v>0</v>
      </c>
      <c r="F81" s="10">
        <f t="shared" si="3"/>
        <v>0</v>
      </c>
      <c r="G81" s="11" t="str">
        <f t="shared" si="4"/>
        <v/>
      </c>
      <c r="H81" s="12">
        <f>SUM(Oct!H81,Nov!H81,Dec!H81)</f>
        <v>0</v>
      </c>
      <c r="I81" s="12">
        <f>SUM(Oct!I81, Nov!I81, Dec!I81)</f>
        <v>0</v>
      </c>
      <c r="J81" s="13" t="str">
        <f t="shared" si="5"/>
        <v/>
      </c>
    </row>
    <row r="82" spans="1:10" ht="15.6">
      <c r="A82" s="26" t="str">
        <v>Telegraph 1</v>
      </c>
      <c r="B82" s="27" t="str">
        <v>NY</v>
      </c>
      <c r="C82" s="27" t="str">
        <f>Sites[[#This Row],[SOL'#]]</f>
        <v>SOL-11003</v>
      </c>
      <c r="D82" s="9">
        <f>SUM(Oct!D82, Nov!D82, Dec!D82)</f>
        <v>0</v>
      </c>
      <c r="E82" s="14">
        <f>SUM(Oct!E82, Nov!E82, Dec!E82)</f>
        <v>0</v>
      </c>
      <c r="F82" s="14">
        <f t="shared" si="3"/>
        <v>0</v>
      </c>
      <c r="G82" s="15" t="str">
        <f t="shared" si="4"/>
        <v/>
      </c>
      <c r="H82" s="16">
        <f>SUM(Oct!H82,Nov!H82,Dec!H82)</f>
        <v>0</v>
      </c>
      <c r="I82" s="16">
        <f>SUM(Oct!I82, Nov!I82, Dec!I82)</f>
        <v>0</v>
      </c>
      <c r="J82" s="15" t="str">
        <f t="shared" si="5"/>
        <v/>
      </c>
    </row>
    <row r="83" spans="1:10" ht="15.6">
      <c r="A83" s="24" t="str">
        <v>Telegraph 2</v>
      </c>
      <c r="B83" s="25" t="str">
        <v>NY</v>
      </c>
      <c r="C83" s="25" t="str">
        <f>Sites[[#This Row],[SOL'#]]</f>
        <v>SOL-11004</v>
      </c>
      <c r="D83" s="20">
        <f>SUM(Oct!D83, Nov!D83, Dec!D83)</f>
        <v>0</v>
      </c>
      <c r="E83" s="10">
        <f>SUM(Oct!E83, Nov!E83, Dec!E83)</f>
        <v>0</v>
      </c>
      <c r="F83" s="10">
        <f t="shared" si="3"/>
        <v>0</v>
      </c>
      <c r="G83" s="11" t="str">
        <f t="shared" si="4"/>
        <v/>
      </c>
      <c r="H83" s="12">
        <f>SUM(Oct!H83,Nov!H83,Dec!H83)</f>
        <v>0</v>
      </c>
      <c r="I83" s="12">
        <f>SUM(Oct!I83, Nov!I83, Dec!I83)</f>
        <v>0</v>
      </c>
      <c r="J83" s="13" t="str">
        <f t="shared" si="5"/>
        <v/>
      </c>
    </row>
    <row r="84" spans="1:10" ht="15.6">
      <c r="A84" s="26" t="str">
        <v>Cafferty Hill</v>
      </c>
      <c r="B84" s="27" t="str">
        <v>NY</v>
      </c>
      <c r="C84" s="27" t="str">
        <f>Sites[[#This Row],[SOL'#]]</f>
        <v>SOL-10996</v>
      </c>
      <c r="D84" s="9">
        <f>SUM(Oct!D84, Nov!D84, Dec!D84)</f>
        <v>0</v>
      </c>
      <c r="E84" s="14">
        <f>SUM(Oct!E84, Nov!E84, Dec!E84)</f>
        <v>0</v>
      </c>
      <c r="F84" s="14">
        <f t="shared" si="3"/>
        <v>0</v>
      </c>
      <c r="G84" s="15" t="str">
        <f t="shared" si="4"/>
        <v/>
      </c>
      <c r="H84" s="16">
        <f>SUM(Oct!H84,Nov!H84,Dec!H84)</f>
        <v>0</v>
      </c>
      <c r="I84" s="16">
        <f>SUM(Oct!I84, Nov!I84, Dec!I84)</f>
        <v>0</v>
      </c>
      <c r="J84" s="15" t="str">
        <f t="shared" si="5"/>
        <v/>
      </c>
    </row>
    <row r="85" spans="1:10" ht="15.6">
      <c r="A85" s="24" t="str">
        <v>Dunkleman</v>
      </c>
      <c r="B85" s="25" t="str">
        <v>NY</v>
      </c>
      <c r="C85" s="25" t="str">
        <f>Sites[[#This Row],[SOL'#]]</f>
        <v>SOL-11008</v>
      </c>
      <c r="D85" s="20">
        <f>SUM(Oct!D85, Nov!D85, Dec!D85)</f>
        <v>0</v>
      </c>
      <c r="E85" s="10">
        <f>SUM(Oct!E85, Nov!E85, Dec!E85)</f>
        <v>0</v>
      </c>
      <c r="F85" s="10">
        <f t="shared" si="3"/>
        <v>0</v>
      </c>
      <c r="G85" s="11" t="str">
        <f t="shared" si="4"/>
        <v/>
      </c>
      <c r="H85" s="12">
        <f>SUM(Oct!H85,Nov!H85,Dec!H85)</f>
        <v>0</v>
      </c>
      <c r="I85" s="12">
        <f>SUM(Oct!I85, Nov!I85, Dec!I85)</f>
        <v>0</v>
      </c>
      <c r="J85" s="13" t="str">
        <f t="shared" si="5"/>
        <v/>
      </c>
    </row>
    <row r="86" spans="1:10" ht="15.6">
      <c r="A86" s="26" t="str">
        <v>Route 19 1</v>
      </c>
      <c r="B86" s="27" t="str">
        <v>NY</v>
      </c>
      <c r="C86" s="27" t="str">
        <f>Sites[[#This Row],[SOL'#]]</f>
        <v>SOL-11001</v>
      </c>
      <c r="D86" s="9">
        <f>SUM(Oct!D86, Nov!D86, Dec!D86)</f>
        <v>0</v>
      </c>
      <c r="E86" s="14">
        <f>SUM(Oct!E86, Nov!E86, Dec!E86)</f>
        <v>0</v>
      </c>
      <c r="F86" s="14">
        <f t="shared" si="3"/>
        <v>0</v>
      </c>
      <c r="G86" s="15" t="str">
        <f t="shared" si="4"/>
        <v/>
      </c>
      <c r="H86" s="16">
        <f>SUM(Oct!H86,Nov!H86,Dec!H86)</f>
        <v>0</v>
      </c>
      <c r="I86" s="16">
        <f>SUM(Oct!I86, Nov!I86, Dec!I86)</f>
        <v>0</v>
      </c>
      <c r="J86" s="15" t="str">
        <f t="shared" si="5"/>
        <v/>
      </c>
    </row>
    <row r="87" spans="1:10" ht="15.6">
      <c r="A87" s="24" t="str">
        <v>Route 19 2</v>
      </c>
      <c r="B87" s="25" t="str">
        <v>NY</v>
      </c>
      <c r="C87" s="25" t="str">
        <f>Sites[[#This Row],[SOL'#]]</f>
        <v>SOL-11002</v>
      </c>
      <c r="D87" s="20">
        <f>SUM(Oct!D87, Nov!D87, Dec!D87)</f>
        <v>0</v>
      </c>
      <c r="E87" s="10">
        <f>SUM(Oct!E87, Nov!E87, Dec!E87)</f>
        <v>0</v>
      </c>
      <c r="F87" s="10">
        <f t="shared" si="3"/>
        <v>0</v>
      </c>
      <c r="G87" s="11" t="str">
        <f t="shared" si="4"/>
        <v/>
      </c>
      <c r="H87" s="12">
        <f>SUM(Oct!H87,Nov!H87,Dec!H87)</f>
        <v>0</v>
      </c>
      <c r="I87" s="12">
        <f>SUM(Oct!I87, Nov!I87, Dec!I87)</f>
        <v>0</v>
      </c>
      <c r="J87" s="13" t="str">
        <f t="shared" si="5"/>
        <v/>
      </c>
    </row>
    <row r="88" spans="1:10" ht="15.6">
      <c r="A88" s="26" t="str">
        <v>Yellow Mills 1</v>
      </c>
      <c r="B88" s="27" t="str">
        <v>NY</v>
      </c>
      <c r="C88" s="27" t="str">
        <f>Sites[[#This Row],[SOL'#]]</f>
        <v>SOL-11006</v>
      </c>
      <c r="D88" s="9">
        <f>SUM(Oct!D88, Nov!D88, Dec!D88)</f>
        <v>0</v>
      </c>
      <c r="E88" s="14">
        <f>SUM(Oct!E88, Nov!E88, Dec!E88)</f>
        <v>0</v>
      </c>
      <c r="F88" s="14">
        <f t="shared" si="3"/>
        <v>0</v>
      </c>
      <c r="G88" s="15" t="str">
        <f t="shared" si="4"/>
        <v/>
      </c>
      <c r="H88" s="16">
        <f>SUM(Oct!H88,Nov!H88,Dec!H88)</f>
        <v>0</v>
      </c>
      <c r="I88" s="16">
        <f>SUM(Oct!I88, Nov!I88, Dec!I88)</f>
        <v>0</v>
      </c>
      <c r="J88" s="15" t="str">
        <f t="shared" si="5"/>
        <v/>
      </c>
    </row>
    <row r="89" spans="1:10" ht="15.6">
      <c r="A89" s="24" t="str">
        <v>Yellow Mills 2</v>
      </c>
      <c r="B89" s="25" t="str">
        <v>NY</v>
      </c>
      <c r="C89" s="25" t="str">
        <f>Sites[[#This Row],[SOL'#]]</f>
        <v>SOL-11005</v>
      </c>
      <c r="D89" s="20">
        <f>SUM(Oct!D89, Nov!D89, Dec!D89)</f>
        <v>0</v>
      </c>
      <c r="E89" s="10">
        <f>SUM(Oct!E89, Nov!E89, Dec!E89)</f>
        <v>0</v>
      </c>
      <c r="F89" s="10">
        <f t="shared" si="3"/>
        <v>0</v>
      </c>
      <c r="G89" s="11" t="str">
        <f t="shared" si="4"/>
        <v/>
      </c>
      <c r="H89" s="12">
        <f>SUM(Oct!H89,Nov!H89,Dec!H89)</f>
        <v>0</v>
      </c>
      <c r="I89" s="12">
        <f>SUM(Oct!I89, Nov!I89, Dec!I89)</f>
        <v>0</v>
      </c>
      <c r="J89" s="13" t="str">
        <f t="shared" si="5"/>
        <v/>
      </c>
    </row>
    <row r="90" spans="1:10" ht="15.6">
      <c r="A90" s="26" t="str">
        <v>Yellow Mills 3</v>
      </c>
      <c r="B90" s="27" t="str">
        <v>NY</v>
      </c>
      <c r="C90" s="27" t="str">
        <f>Sites[[#This Row],[SOL'#]]</f>
        <v>SOL-11007</v>
      </c>
      <c r="D90" s="9">
        <f>SUM(Oct!D90, Nov!D90, Dec!D90)</f>
        <v>0</v>
      </c>
      <c r="E90" s="14">
        <f>SUM(Oct!E90, Nov!E90, Dec!E90)</f>
        <v>0</v>
      </c>
      <c r="F90" s="14">
        <f t="shared" si="3"/>
        <v>0</v>
      </c>
      <c r="G90" s="15" t="str">
        <f t="shared" si="4"/>
        <v/>
      </c>
      <c r="H90" s="16">
        <f>SUM(Oct!H90,Nov!H90,Dec!H90)</f>
        <v>0</v>
      </c>
      <c r="I90" s="16">
        <f>SUM(Oct!I90, Nov!I90, Dec!I90)</f>
        <v>0</v>
      </c>
      <c r="J90" s="15" t="str">
        <f t="shared" si="5"/>
        <v/>
      </c>
    </row>
    <row r="91" spans="1:10" ht="15.6">
      <c r="A91" s="24" t="str">
        <v>Catskill</v>
      </c>
      <c r="B91" s="25" t="str">
        <v>NY</v>
      </c>
      <c r="C91" s="25" t="str">
        <f>Sites[[#This Row],[SOL'#]]</f>
        <v>SOL-11021</v>
      </c>
      <c r="D91" s="20">
        <f>SUM(Oct!D91, Nov!D91, Dec!D91)</f>
        <v>0</v>
      </c>
      <c r="E91" s="10">
        <f>SUM(Oct!E91, Nov!E91, Dec!E91)</f>
        <v>0</v>
      </c>
      <c r="F91" s="10">
        <f t="shared" si="3"/>
        <v>0</v>
      </c>
      <c r="G91" s="11" t="str">
        <f t="shared" si="4"/>
        <v/>
      </c>
      <c r="H91" s="12">
        <f>SUM(Oct!H91,Nov!H91,Dec!H91)</f>
        <v>0</v>
      </c>
      <c r="I91" s="12">
        <f>SUM(Oct!I91, Nov!I91, Dec!I91)</f>
        <v>0</v>
      </c>
      <c r="J91" s="13" t="str">
        <f t="shared" si="5"/>
        <v/>
      </c>
    </row>
    <row r="92" spans="1:10" ht="15.6">
      <c r="A92" s="26" t="str">
        <v>Eddy Ridge</v>
      </c>
      <c r="B92" s="27" t="str">
        <v>NY</v>
      </c>
      <c r="C92" s="27" t="str">
        <f>Sites[[#This Row],[SOL'#]]</f>
        <v>SOL-11054</v>
      </c>
      <c r="D92" s="9">
        <f>SUM(Oct!D92, Nov!D92, Dec!D92)</f>
        <v>0</v>
      </c>
      <c r="E92" s="14">
        <f>SUM(Oct!E92, Nov!E92, Dec!E92)</f>
        <v>0</v>
      </c>
      <c r="F92" s="14">
        <f t="shared" si="3"/>
        <v>0</v>
      </c>
      <c r="G92" s="15" t="str">
        <f t="shared" si="4"/>
        <v/>
      </c>
      <c r="H92" s="16">
        <f>SUM(Oct!H92,Nov!H92,Dec!H92)</f>
        <v>0</v>
      </c>
      <c r="I92" s="16">
        <f>SUM(Oct!I92, Nov!I92, Dec!I92)</f>
        <v>0</v>
      </c>
      <c r="J92" s="15" t="str">
        <f t="shared" si="5"/>
        <v/>
      </c>
    </row>
    <row r="93" spans="1:10" ht="15.6">
      <c r="A93" s="24" t="str">
        <v>Ridgeway #1</v>
      </c>
      <c r="B93" s="25" t="str">
        <v>NY</v>
      </c>
      <c r="C93" s="25" t="str">
        <f>Sites[[#This Row],[SOL'#]]</f>
        <v>SOL-11018</v>
      </c>
      <c r="D93" s="20">
        <f>SUM(Oct!D93, Nov!D93, Dec!D93)</f>
        <v>0</v>
      </c>
      <c r="E93" s="10">
        <f>SUM(Oct!E93, Nov!E93, Dec!E93)</f>
        <v>0</v>
      </c>
      <c r="F93" s="10">
        <f t="shared" si="3"/>
        <v>0</v>
      </c>
      <c r="G93" s="11" t="str">
        <f t="shared" si="4"/>
        <v/>
      </c>
      <c r="H93" s="12">
        <f>SUM(Oct!H93,Nov!H93,Dec!H93)</f>
        <v>0</v>
      </c>
      <c r="I93" s="12">
        <f>SUM(Oct!I93, Nov!I93, Dec!I93)</f>
        <v>0</v>
      </c>
      <c r="J93" s="13" t="str">
        <f t="shared" si="5"/>
        <v/>
      </c>
    </row>
    <row r="94" spans="1:10" ht="15.6">
      <c r="A94" s="26" t="str">
        <v>Rivard 1</v>
      </c>
      <c r="B94" s="27" t="str">
        <v>NY</v>
      </c>
      <c r="C94" s="27" t="str">
        <f>Sites[[#This Row],[SOL'#]]</f>
        <v>SOL-11011</v>
      </c>
      <c r="D94" s="9">
        <f>SUM(Oct!D94, Nov!D94, Dec!D94)</f>
        <v>0</v>
      </c>
      <c r="E94" s="14">
        <f>SUM(Oct!E94, Nov!E94, Dec!E94)</f>
        <v>0</v>
      </c>
      <c r="F94" s="14">
        <f t="shared" si="3"/>
        <v>0</v>
      </c>
      <c r="G94" s="15" t="str">
        <f t="shared" si="4"/>
        <v/>
      </c>
      <c r="H94" s="16">
        <f>SUM(Oct!H94,Nov!H94,Dec!H94)</f>
        <v>0</v>
      </c>
      <c r="I94" s="16">
        <f>SUM(Oct!I94, Nov!I94, Dec!I94)</f>
        <v>0</v>
      </c>
      <c r="J94" s="15" t="str">
        <f t="shared" si="5"/>
        <v/>
      </c>
    </row>
    <row r="95" spans="1:10" ht="15.6">
      <c r="A95" s="24" t="str">
        <v>Rivard 2</v>
      </c>
      <c r="B95" s="25" t="str">
        <v>NY</v>
      </c>
      <c r="C95" s="25" t="str">
        <f>Sites[[#This Row],[SOL'#]]</f>
        <v>SOL-11012</v>
      </c>
      <c r="D95" s="20">
        <f>SUM(Oct!D95, Nov!D95, Dec!D95)</f>
        <v>0</v>
      </c>
      <c r="E95" s="10">
        <f>SUM(Oct!E95, Nov!E95, Dec!E95)</f>
        <v>0</v>
      </c>
      <c r="F95" s="10">
        <f t="shared" si="3"/>
        <v>0</v>
      </c>
      <c r="G95" s="11" t="str">
        <f t="shared" si="4"/>
        <v/>
      </c>
      <c r="H95" s="12">
        <f>SUM(Oct!H95,Nov!H95,Dec!H95)</f>
        <v>0</v>
      </c>
      <c r="I95" s="12">
        <f>SUM(Oct!I95, Nov!I95, Dec!I95)</f>
        <v>0</v>
      </c>
      <c r="J95" s="13" t="str">
        <f t="shared" si="5"/>
        <v/>
      </c>
    </row>
    <row r="96" spans="1:10" ht="15.6">
      <c r="A96" s="24" t="str">
        <v>Ridgeway #2</v>
      </c>
      <c r="B96" s="25" t="str">
        <v>NY</v>
      </c>
      <c r="C96" s="25" t="str">
        <f>Sites[[#This Row],[SOL'#]]</f>
        <v>SOL-11027</v>
      </c>
      <c r="D96" s="20">
        <f>SUM(Oct!D96, Nov!D96, Dec!D96)</f>
        <v>0</v>
      </c>
      <c r="E96" s="10">
        <f>SUM(Oct!E96, Nov!E96, Dec!E96)</f>
        <v>0</v>
      </c>
      <c r="F96" s="10">
        <f t="shared" si="3"/>
        <v>0</v>
      </c>
      <c r="G96" s="11" t="str">
        <f t="shared" si="4"/>
        <v/>
      </c>
      <c r="H96" s="12">
        <f>SUM(Oct!H96,Nov!H96,Dec!H96)</f>
        <v>0</v>
      </c>
      <c r="I96" s="12">
        <f>SUM(Oct!I96, Nov!I96, Dec!I96)</f>
        <v>0</v>
      </c>
      <c r="J96" s="13" t="str">
        <f t="shared" si="5"/>
        <v/>
      </c>
    </row>
    <row r="97" spans="1:10" ht="15.6">
      <c r="A97" s="26" t="str">
        <v>Spencer</v>
      </c>
      <c r="B97" s="27" t="str">
        <v>NY</v>
      </c>
      <c r="C97" s="27" t="str">
        <f>Sites[[#This Row],[SOL'#]]</f>
        <v>SOL-11017</v>
      </c>
      <c r="D97" s="9">
        <f>SUM(Oct!D97, Nov!D97, Dec!D97)</f>
        <v>0</v>
      </c>
      <c r="E97" s="14">
        <f>SUM(Oct!E97, Nov!E97, Dec!E97)</f>
        <v>0</v>
      </c>
      <c r="F97" s="14">
        <f t="shared" si="3"/>
        <v>0</v>
      </c>
      <c r="G97" s="15" t="str">
        <f t="shared" si="4"/>
        <v/>
      </c>
      <c r="H97" s="16">
        <f>SUM(Oct!H97,Nov!H97,Dec!H97)</f>
        <v>0</v>
      </c>
      <c r="I97" s="16">
        <f>SUM(Oct!I97, Nov!I97, Dec!I97)</f>
        <v>0</v>
      </c>
      <c r="J97" s="15" t="str">
        <f t="shared" si="5"/>
        <v/>
      </c>
    </row>
    <row r="98" spans="1:10" ht="15.6">
      <c r="A98" s="24" t="str">
        <v>Reisender</v>
      </c>
      <c r="B98" s="25" t="str">
        <v>NY</v>
      </c>
      <c r="C98" s="25" t="str">
        <f>Sites[[#This Row],[SOL'#]]</f>
        <v>SOL-10886</v>
      </c>
      <c r="D98" s="20">
        <f>SUM(Oct!D98, Nov!D98, Dec!D98)</f>
        <v>0</v>
      </c>
      <c r="E98" s="10">
        <f>SUM(Oct!E98, Nov!E98, Dec!E98)</f>
        <v>0</v>
      </c>
      <c r="F98" s="10">
        <f t="shared" si="3"/>
        <v>0</v>
      </c>
      <c r="G98" s="11" t="str">
        <f t="shared" si="4"/>
        <v/>
      </c>
      <c r="H98" s="12">
        <f>SUM(Oct!H98,Nov!H98,Dec!H98)</f>
        <v>0</v>
      </c>
      <c r="I98" s="12">
        <f>SUM(Oct!I98, Nov!I98, Dec!I98)</f>
        <v>0</v>
      </c>
      <c r="J98" s="13" t="str">
        <f t="shared" si="5"/>
        <v/>
      </c>
    </row>
    <row r="99" spans="1:10" ht="15.6">
      <c r="A99" s="26" t="str">
        <v>Finney</v>
      </c>
      <c r="B99" s="27" t="str">
        <v>NY</v>
      </c>
      <c r="C99" s="27" t="str">
        <f>Sites[[#This Row],[SOL'#]]</f>
        <v>SOL-10999</v>
      </c>
      <c r="D99" s="9">
        <f>SUM(Oct!D99, Nov!D99, Dec!D99)</f>
        <v>0</v>
      </c>
      <c r="E99" s="14">
        <f>SUM(Oct!E99, Nov!E99, Dec!E99)</f>
        <v>0</v>
      </c>
      <c r="F99" s="14">
        <f t="shared" si="3"/>
        <v>0</v>
      </c>
      <c r="G99" s="15" t="str">
        <f t="shared" si="4"/>
        <v/>
      </c>
      <c r="H99" s="16">
        <f>SUM(Oct!H99,Nov!H99,Dec!H99)</f>
        <v>0</v>
      </c>
      <c r="I99" s="16">
        <f>SUM(Oct!I99, Nov!I99, Dec!I99)</f>
        <v>0</v>
      </c>
      <c r="J99" s="15" t="str">
        <f t="shared" si="5"/>
        <v/>
      </c>
    </row>
    <row r="100" spans="1:10" ht="15.6">
      <c r="A100" s="24" t="str">
        <v>Davis Solar</v>
      </c>
      <c r="B100" s="25" t="str">
        <v>NY</v>
      </c>
      <c r="C100" s="25" t="str">
        <f>Sites[[#This Row],[SOL'#]]</f>
        <v>SOL-10958</v>
      </c>
      <c r="D100" s="20">
        <f>SUM(Oct!D100, Nov!D100, Dec!D100)</f>
        <v>0</v>
      </c>
      <c r="E100" s="10">
        <f>SUM(Oct!E100, Nov!E100, Dec!E100)</f>
        <v>0</v>
      </c>
      <c r="F100" s="10">
        <f t="shared" si="3"/>
        <v>0</v>
      </c>
      <c r="G100" s="11" t="str">
        <f t="shared" si="4"/>
        <v/>
      </c>
      <c r="H100" s="12">
        <f>SUM(Oct!H100,Nov!H100,Dec!H100)</f>
        <v>0</v>
      </c>
      <c r="I100" s="12">
        <f>SUM(Oct!I100, Nov!I100, Dec!I100)</f>
        <v>0</v>
      </c>
      <c r="J100" s="13" t="str">
        <f t="shared" si="5"/>
        <v/>
      </c>
    </row>
    <row r="101" spans="1:10" ht="15.6">
      <c r="A101" s="26" t="str">
        <v>Genesee</v>
      </c>
      <c r="B101" s="27" t="str">
        <v>NY</v>
      </c>
      <c r="C101" s="27" t="str">
        <f>Sites[[#This Row],[SOL'#]]</f>
        <v>SOL-10951</v>
      </c>
      <c r="D101" s="9">
        <f>SUM(Oct!D101, Nov!D101, Dec!D101)</f>
        <v>0</v>
      </c>
      <c r="E101" s="14">
        <f>SUM(Oct!E101, Nov!E101, Dec!E101)</f>
        <v>0</v>
      </c>
      <c r="F101" s="14">
        <f t="shared" si="3"/>
        <v>0</v>
      </c>
      <c r="G101" s="15" t="str">
        <f t="shared" si="4"/>
        <v/>
      </c>
      <c r="H101" s="16">
        <f>SUM(Oct!H101,Nov!H101,Dec!H101)</f>
        <v>0</v>
      </c>
      <c r="I101" s="16">
        <f>SUM(Oct!I101, Nov!I101, Dec!I101)</f>
        <v>0</v>
      </c>
      <c r="J101" s="15" t="str">
        <f t="shared" si="5"/>
        <v/>
      </c>
    </row>
    <row r="102" spans="1:10" ht="15.6">
      <c r="A102" s="24" t="str">
        <v>Landau I</v>
      </c>
      <c r="B102" s="25" t="str">
        <v>NY</v>
      </c>
      <c r="C102" s="25" t="str">
        <f>Sites[[#This Row],[SOL'#]]</f>
        <v>SOL-10891</v>
      </c>
      <c r="D102" s="20">
        <f>SUM(Oct!D102, Nov!D102, Dec!D102)</f>
        <v>0</v>
      </c>
      <c r="E102" s="10">
        <f>SUM(Oct!E102, Nov!E102, Dec!E102)</f>
        <v>0</v>
      </c>
      <c r="F102" s="10">
        <f t="shared" ref="F102:F119" si="6">IF(AND(ISNUMBER(D102),ISNUMBER(E102)), D102-E102, "")</f>
        <v>0</v>
      </c>
      <c r="G102" s="11" t="str">
        <f t="shared" ref="G102:G119" si="7">IFERROR(F102/E102, "")</f>
        <v/>
      </c>
      <c r="H102" s="12">
        <f>SUM(Oct!H102,Nov!H102,Dec!H102)</f>
        <v>0</v>
      </c>
      <c r="I102" s="12">
        <f>SUM(Oct!I102, Nov!I102, Dec!I102)</f>
        <v>0</v>
      </c>
      <c r="J102" s="13" t="str">
        <f t="shared" si="5"/>
        <v/>
      </c>
    </row>
    <row r="103" spans="1:10" ht="15.6">
      <c r="A103" s="26" t="str">
        <v>Landau II</v>
      </c>
      <c r="B103" s="27" t="str">
        <v>NY</v>
      </c>
      <c r="C103" s="27" t="str">
        <f>Sites[[#This Row],[SOL'#]]</f>
        <v>SOL-10895</v>
      </c>
      <c r="D103" s="9">
        <f>SUM(Oct!D103, Nov!D103, Dec!D103)</f>
        <v>0</v>
      </c>
      <c r="E103" s="14">
        <f>SUM(Oct!E103, Nov!E103, Dec!E103)</f>
        <v>0</v>
      </c>
      <c r="F103" s="14">
        <f t="shared" si="6"/>
        <v>0</v>
      </c>
      <c r="G103" s="15" t="str">
        <f t="shared" si="7"/>
        <v/>
      </c>
      <c r="H103" s="16">
        <f>SUM(Oct!H103,Nov!H103,Dec!H103)</f>
        <v>0</v>
      </c>
      <c r="I103" s="16">
        <f>SUM(Oct!I103, Nov!I103, Dec!I103)</f>
        <v>0</v>
      </c>
      <c r="J103" s="15" t="str">
        <f t="shared" si="5"/>
        <v/>
      </c>
    </row>
    <row r="104" spans="1:10" ht="15.6">
      <c r="A104" s="24" t="str">
        <v>New Beginnings</v>
      </c>
      <c r="B104" s="25" t="str">
        <v>NY</v>
      </c>
      <c r="C104" s="25" t="str">
        <f>Sites[[#This Row],[SOL'#]]</f>
        <v>SOL-10890</v>
      </c>
      <c r="D104" s="20">
        <f>SUM(Oct!D104, Nov!D104, Dec!D104)</f>
        <v>0</v>
      </c>
      <c r="E104" s="10">
        <f>SUM(Oct!E104, Nov!E104, Dec!E104)</f>
        <v>0</v>
      </c>
      <c r="F104" s="10">
        <f t="shared" si="6"/>
        <v>0</v>
      </c>
      <c r="G104" s="11" t="str">
        <f t="shared" si="7"/>
        <v/>
      </c>
      <c r="H104" s="12">
        <f>SUM(Oct!H104,Nov!H104,Dec!H104)</f>
        <v>0</v>
      </c>
      <c r="I104" s="12">
        <f>SUM(Oct!I104, Nov!I104, Dec!I104)</f>
        <v>0</v>
      </c>
      <c r="J104" s="13" t="str">
        <f t="shared" si="5"/>
        <v/>
      </c>
    </row>
    <row r="105" spans="1:10" ht="15.6">
      <c r="A105" s="26" t="str">
        <v>Bullitt Farm Solar, LLC</v>
      </c>
      <c r="B105" s="27" t="str">
        <v>NY</v>
      </c>
      <c r="C105" s="27" t="str">
        <f>Sites[[#This Row],[SOL'#]]</f>
        <v>SOL-10998</v>
      </c>
      <c r="D105" s="9">
        <f>SUM(Oct!D105, Nov!D105, Dec!D105)</f>
        <v>0</v>
      </c>
      <c r="E105" s="14">
        <f>SUM(Oct!E105, Nov!E105, Dec!E105)</f>
        <v>0</v>
      </c>
      <c r="F105" s="14">
        <f t="shared" si="6"/>
        <v>0</v>
      </c>
      <c r="G105" s="15" t="str">
        <f t="shared" si="7"/>
        <v/>
      </c>
      <c r="H105" s="16">
        <f>SUM(Oct!H105,Nov!H105,Dec!H105)</f>
        <v>0</v>
      </c>
      <c r="I105" s="16">
        <f>SUM(Oct!I105, Nov!I105, Dec!I105)</f>
        <v>0</v>
      </c>
      <c r="J105" s="15" t="str">
        <f t="shared" si="5"/>
        <v/>
      </c>
    </row>
    <row r="106" spans="1:10" ht="15.6">
      <c r="A106" s="24" t="str">
        <v>Brodhead Solar, LLC</v>
      </c>
      <c r="B106" s="25" t="str">
        <v>NY</v>
      </c>
      <c r="C106" s="25" t="str">
        <f>Sites[[#This Row],[SOL'#]]</f>
        <v>SOL-10899</v>
      </c>
      <c r="D106" s="20">
        <f>SUM(Oct!D106, Nov!D106, Dec!D106)</f>
        <v>0</v>
      </c>
      <c r="E106" s="10">
        <f>SUM(Oct!E106, Nov!E106, Dec!E106)</f>
        <v>0</v>
      </c>
      <c r="F106" s="10">
        <f t="shared" si="6"/>
        <v>0</v>
      </c>
      <c r="G106" s="11" t="str">
        <f t="shared" si="7"/>
        <v/>
      </c>
      <c r="H106" s="12">
        <f>SUM(Oct!H106,Nov!H106,Dec!H106)</f>
        <v>0</v>
      </c>
      <c r="I106" s="12">
        <f>SUM(Oct!I106, Nov!I106, Dec!I106)</f>
        <v>0</v>
      </c>
      <c r="J106" s="13" t="str">
        <f t="shared" si="5"/>
        <v/>
      </c>
    </row>
    <row r="107" spans="1:10" ht="15.6">
      <c r="A107" s="26" t="str">
        <v>Svenski</v>
      </c>
      <c r="B107" s="27" t="str">
        <v>NY</v>
      </c>
      <c r="C107" s="27" t="str">
        <f>Sites[[#This Row],[SOL'#]]</f>
        <v>SOL-10894</v>
      </c>
      <c r="D107" s="9">
        <f>SUM(Oct!D107, Nov!D107, Dec!D107)</f>
        <v>0</v>
      </c>
      <c r="E107" s="14">
        <f>SUM(Oct!E107, Nov!E107, Dec!E107)</f>
        <v>0</v>
      </c>
      <c r="F107" s="14">
        <f t="shared" si="6"/>
        <v>0</v>
      </c>
      <c r="G107" s="15" t="str">
        <f t="shared" si="7"/>
        <v/>
      </c>
      <c r="H107" s="16">
        <f>SUM(Oct!H107,Nov!H107,Dec!H107)</f>
        <v>0</v>
      </c>
      <c r="I107" s="16">
        <f>SUM(Oct!I107, Nov!I107, Dec!I107)</f>
        <v>0</v>
      </c>
      <c r="J107" s="15" t="str">
        <f t="shared" si="5"/>
        <v/>
      </c>
    </row>
    <row r="108" spans="1:10" ht="15.6">
      <c r="A108" s="24" t="str">
        <v>Bantam</v>
      </c>
      <c r="B108" s="25" t="str">
        <v>NY</v>
      </c>
      <c r="C108" s="25" t="str">
        <f>Sites[[#This Row],[SOL'#]]</f>
        <v>SOL-10986</v>
      </c>
      <c r="D108" s="20">
        <f>SUM(Oct!D108, Nov!D108, Dec!D108)</f>
        <v>0</v>
      </c>
      <c r="E108" s="10">
        <f>SUM(Oct!E108, Nov!E108, Dec!E108)</f>
        <v>0</v>
      </c>
      <c r="F108" s="10">
        <f t="shared" si="6"/>
        <v>0</v>
      </c>
      <c r="G108" s="11" t="str">
        <f t="shared" si="7"/>
        <v/>
      </c>
      <c r="H108" s="12">
        <f>SUM(Oct!H108,Nov!H108,Dec!H108)</f>
        <v>0</v>
      </c>
      <c r="I108" s="12">
        <f>SUM(Oct!I108, Nov!I108, Dec!I108)</f>
        <v>0</v>
      </c>
      <c r="J108" s="13" t="str">
        <f t="shared" si="5"/>
        <v/>
      </c>
    </row>
    <row r="109" spans="1:10" ht="15.6">
      <c r="A109" s="26" t="str">
        <v>Bogart</v>
      </c>
      <c r="B109" s="27" t="str">
        <v>NY</v>
      </c>
      <c r="C109" s="27" t="str">
        <f>Sites[[#This Row],[SOL'#]]</f>
        <v>SOL-10887</v>
      </c>
      <c r="D109" s="9">
        <f>SUM(Oct!D109, Nov!D109, Dec!D109)</f>
        <v>0</v>
      </c>
      <c r="E109" s="14">
        <f>SUM(Oct!E109, Nov!E109, Dec!E109)</f>
        <v>0</v>
      </c>
      <c r="F109" s="14">
        <f t="shared" si="6"/>
        <v>0</v>
      </c>
      <c r="G109" s="15" t="str">
        <f t="shared" si="7"/>
        <v/>
      </c>
      <c r="H109" s="16">
        <f>SUM(Oct!H109,Nov!H109,Dec!H109)</f>
        <v>0</v>
      </c>
      <c r="I109" s="16">
        <f>SUM(Oct!I109, Nov!I109, Dec!I109)</f>
        <v>0</v>
      </c>
      <c r="J109" s="15" t="str">
        <f t="shared" si="5"/>
        <v/>
      </c>
    </row>
    <row r="110" spans="1:10" ht="15.6">
      <c r="A110" s="24" t="str">
        <v>Dubois</v>
      </c>
      <c r="B110" s="25" t="str">
        <v>NY</v>
      </c>
      <c r="C110" s="25" t="str">
        <f>Sites[[#This Row],[SOL'#]]</f>
        <v>SOL-10892</v>
      </c>
      <c r="D110" s="20">
        <f>SUM(Oct!D110, Nov!D110, Dec!D110)</f>
        <v>0</v>
      </c>
      <c r="E110" s="10">
        <f>SUM(Oct!E110, Nov!E110, Dec!E110)</f>
        <v>0</v>
      </c>
      <c r="F110" s="10">
        <f t="shared" si="6"/>
        <v>0</v>
      </c>
      <c r="G110" s="11" t="str">
        <f t="shared" si="7"/>
        <v/>
      </c>
      <c r="H110" s="12">
        <f>SUM(Oct!H110,Nov!H110,Dec!H110)</f>
        <v>0</v>
      </c>
      <c r="I110" s="12">
        <f>SUM(Oct!I110, Nov!I110, Dec!I110)</f>
        <v>0</v>
      </c>
      <c r="J110" s="13" t="str">
        <f t="shared" si="5"/>
        <v/>
      </c>
    </row>
    <row r="111" spans="1:10" ht="15.6">
      <c r="A111" s="26" t="str">
        <v>Salt Point</v>
      </c>
      <c r="B111" s="27" t="str">
        <v>NY</v>
      </c>
      <c r="C111" s="27" t="str">
        <f>Sites[[#This Row],[SOL'#]]</f>
        <v>SOL-10888</v>
      </c>
      <c r="D111" s="9">
        <f>SUM(Oct!D111, Nov!D111, Dec!D111)</f>
        <v>0</v>
      </c>
      <c r="E111" s="14">
        <f>SUM(Oct!E111, Nov!E111, Dec!E111)</f>
        <v>0</v>
      </c>
      <c r="F111" s="14">
        <f t="shared" si="6"/>
        <v>0</v>
      </c>
      <c r="G111" s="15" t="str">
        <f t="shared" si="7"/>
        <v/>
      </c>
      <c r="H111" s="16">
        <f>SUM(Oct!H111,Nov!H111,Dec!H111)</f>
        <v>0</v>
      </c>
      <c r="I111" s="16">
        <f>SUM(Oct!I111, Nov!I111, Dec!I111)</f>
        <v>0</v>
      </c>
      <c r="J111" s="15" t="str">
        <f t="shared" si="5"/>
        <v/>
      </c>
    </row>
    <row r="112" spans="1:10" ht="15.6">
      <c r="A112" s="24" t="str">
        <v>Wheatland 2A</v>
      </c>
      <c r="B112" s="25" t="str">
        <v>NY</v>
      </c>
      <c r="C112" s="25" t="str">
        <f>Sites[[#This Row],[SOL'#]]</f>
        <v>SOL-10971</v>
      </c>
      <c r="D112" s="20">
        <f>SUM(Oct!D112, Nov!D112, Dec!D112)</f>
        <v>0</v>
      </c>
      <c r="E112" s="10">
        <f>SUM(Oct!E112, Nov!E112, Dec!E112)</f>
        <v>0</v>
      </c>
      <c r="F112" s="10">
        <f t="shared" si="6"/>
        <v>0</v>
      </c>
      <c r="G112" s="11" t="str">
        <f t="shared" si="7"/>
        <v/>
      </c>
      <c r="H112" s="12">
        <f>SUM(Oct!H112,Nov!H112,Dec!H112)</f>
        <v>0</v>
      </c>
      <c r="I112" s="12">
        <f>SUM(Oct!I112, Nov!I112, Dec!I112)</f>
        <v>0</v>
      </c>
      <c r="J112" s="13" t="str">
        <f t="shared" si="5"/>
        <v/>
      </c>
    </row>
    <row r="113" spans="1:10" ht="15.6">
      <c r="A113" s="26" t="str">
        <v>Wheatland 2B</v>
      </c>
      <c r="B113" s="27" t="str">
        <v>NY</v>
      </c>
      <c r="C113" s="27" t="str">
        <f>Sites[[#This Row],[SOL'#]]</f>
        <v>SOL-10961</v>
      </c>
      <c r="D113" s="9">
        <f>SUM(Oct!D113, Nov!D113, Dec!D113)</f>
        <v>0</v>
      </c>
      <c r="E113" s="14">
        <f>SUM(Oct!E113, Nov!E113, Dec!E113)</f>
        <v>0</v>
      </c>
      <c r="F113" s="14">
        <f t="shared" si="6"/>
        <v>0</v>
      </c>
      <c r="G113" s="15" t="str">
        <f t="shared" si="7"/>
        <v/>
      </c>
      <c r="H113" s="16">
        <f>SUM(Oct!H113,Nov!H113,Dec!H113)</f>
        <v>0</v>
      </c>
      <c r="I113" s="16">
        <f>SUM(Oct!I113, Nov!I113, Dec!I113)</f>
        <v>0</v>
      </c>
      <c r="J113" s="15" t="str">
        <f t="shared" si="5"/>
        <v/>
      </c>
    </row>
    <row r="114" spans="1:10" ht="15.6">
      <c r="A114" s="24" t="str">
        <v>Brickchurch</v>
      </c>
      <c r="B114" s="25" t="str">
        <v>NY</v>
      </c>
      <c r="C114" s="25" t="str">
        <f>Sites[[#This Row],[SOL'#]]</f>
        <v>SOL-10889</v>
      </c>
      <c r="D114" s="20">
        <f>SUM(Oct!D114, Nov!D114, Dec!D114)</f>
        <v>0</v>
      </c>
      <c r="E114" s="10">
        <f>SUM(Oct!E114, Nov!E114, Dec!E114)</f>
        <v>0</v>
      </c>
      <c r="F114" s="10">
        <f t="shared" si="6"/>
        <v>0</v>
      </c>
      <c r="G114" s="11" t="str">
        <f t="shared" si="7"/>
        <v/>
      </c>
      <c r="H114" s="12">
        <f>SUM(Oct!H114,Nov!H114,Dec!H114)</f>
        <v>0</v>
      </c>
      <c r="I114" s="12">
        <f>SUM(Oct!I114, Nov!I114, Dec!I114)</f>
        <v>0</v>
      </c>
      <c r="J114" s="13" t="str">
        <f t="shared" si="5"/>
        <v/>
      </c>
    </row>
    <row r="115" spans="1:10" ht="15.6">
      <c r="A115" s="26" t="str">
        <v>McCarthy Solar</v>
      </c>
      <c r="B115" s="27" t="str">
        <v>NY</v>
      </c>
      <c r="C115" s="27" t="str">
        <f>Sites[[#This Row],[SOL'#]]</f>
        <v>SOL-10992</v>
      </c>
      <c r="D115" s="9">
        <f>SUM(Oct!D115, Nov!D115, Dec!D115)</f>
        <v>0</v>
      </c>
      <c r="E115" s="14">
        <f>SUM(Oct!E115, Nov!E115, Dec!E115)</f>
        <v>0</v>
      </c>
      <c r="F115" s="14">
        <f t="shared" si="6"/>
        <v>0</v>
      </c>
      <c r="G115" s="15" t="str">
        <f t="shared" si="7"/>
        <v/>
      </c>
      <c r="H115" s="16">
        <f>SUM(Oct!H115,Nov!H115,Dec!H115)</f>
        <v>0</v>
      </c>
      <c r="I115" s="16">
        <f>SUM(Oct!I115, Nov!I115, Dec!I115)</f>
        <v>0</v>
      </c>
      <c r="J115" s="15" t="str">
        <f t="shared" si="5"/>
        <v/>
      </c>
    </row>
    <row r="116" spans="1:10" ht="15.6">
      <c r="A116" s="24" t="str">
        <v>Costanza</v>
      </c>
      <c r="B116" s="25" t="str">
        <v>NY</v>
      </c>
      <c r="C116" s="25" t="str">
        <f>Sites[[#This Row],[SOL'#]]</f>
        <v>SOL-10907</v>
      </c>
      <c r="D116" s="20">
        <f>SUM(Oct!D116, Nov!D116, Dec!D116)</f>
        <v>0</v>
      </c>
      <c r="E116" s="10">
        <f>SUM(Oct!E116, Nov!E116, Dec!E116)</f>
        <v>0</v>
      </c>
      <c r="F116" s="10">
        <f t="shared" si="6"/>
        <v>0</v>
      </c>
      <c r="G116" s="11" t="str">
        <f t="shared" si="7"/>
        <v/>
      </c>
      <c r="H116" s="12">
        <f>SUM(Oct!H116,Nov!H116,Dec!H116)</f>
        <v>0</v>
      </c>
      <c r="I116" s="12">
        <f>SUM(Oct!I116, Nov!I116, Dec!I116)</f>
        <v>0</v>
      </c>
      <c r="J116" s="13" t="str">
        <f t="shared" si="5"/>
        <v/>
      </c>
    </row>
    <row r="117" spans="1:10" ht="15.6">
      <c r="A117" s="26" t="str">
        <v>Lockenhurst Pond</v>
      </c>
      <c r="B117" s="27" t="str">
        <v>NY</v>
      </c>
      <c r="C117" s="27" t="str">
        <f>Sites[[#This Row],[SOL'#]]</f>
        <v>SOL-11000</v>
      </c>
      <c r="D117" s="9">
        <f>SUM(Oct!D117, Nov!D117, Dec!D117)</f>
        <v>0</v>
      </c>
      <c r="E117" s="14">
        <f>SUM(Oct!E117, Nov!E117, Dec!E117)</f>
        <v>0</v>
      </c>
      <c r="F117" s="14">
        <f t="shared" si="6"/>
        <v>0</v>
      </c>
      <c r="G117" s="15" t="str">
        <f t="shared" si="7"/>
        <v/>
      </c>
      <c r="H117" s="16">
        <f>SUM(Oct!H117,Nov!H117,Dec!H117)</f>
        <v>0</v>
      </c>
      <c r="I117" s="16">
        <f>SUM(Oct!I117, Nov!I117, Dec!I117)</f>
        <v>0</v>
      </c>
      <c r="J117" s="15" t="str">
        <f t="shared" si="5"/>
        <v/>
      </c>
    </row>
    <row r="118" spans="1:10" ht="15.6">
      <c r="A118" s="24" t="str">
        <v>Drinkwater</v>
      </c>
      <c r="B118" s="25" t="str">
        <v>NY</v>
      </c>
      <c r="C118" s="25" t="str">
        <f>Sites[[#This Row],[SOL'#]]</f>
        <v>SOL-10896</v>
      </c>
      <c r="D118" s="20">
        <f>SUM(Oct!D118, Nov!D118, Dec!D118)</f>
        <v>0</v>
      </c>
      <c r="E118" s="10">
        <f>SUM(Oct!E118, Nov!E118, Dec!E118)</f>
        <v>0</v>
      </c>
      <c r="F118" s="10">
        <f t="shared" si="6"/>
        <v>0</v>
      </c>
      <c r="G118" s="11" t="str">
        <f t="shared" si="7"/>
        <v/>
      </c>
      <c r="H118" s="12">
        <f>SUM(Oct!H118,Nov!H118,Dec!H118)</f>
        <v>0</v>
      </c>
      <c r="I118" s="12">
        <f>SUM(Oct!I118, Nov!I118, Dec!I118)</f>
        <v>0</v>
      </c>
      <c r="J118" s="13" t="str">
        <f t="shared" si="5"/>
        <v/>
      </c>
    </row>
    <row r="119" spans="1:10" ht="15.6">
      <c r="A119" s="26" t="str">
        <v>Altamont</v>
      </c>
      <c r="B119" s="27" t="str">
        <v>NY</v>
      </c>
      <c r="C119" s="27" t="str">
        <f>Sites[[#This Row],[SOL'#]]</f>
        <v>SOL-11085</v>
      </c>
      <c r="D119" s="9">
        <f>SUM(Oct!D119, Nov!D119, Dec!D119)</f>
        <v>0</v>
      </c>
      <c r="E119" s="14">
        <f>SUM(Oct!E119, Nov!E119, Dec!E119)</f>
        <v>0</v>
      </c>
      <c r="F119" s="14">
        <f t="shared" si="6"/>
        <v>0</v>
      </c>
      <c r="G119" s="15" t="str">
        <f t="shared" si="7"/>
        <v/>
      </c>
      <c r="H119" s="16">
        <f>SUM(Oct!H119,Nov!H119,Dec!H119)</f>
        <v>0</v>
      </c>
      <c r="I119" s="16">
        <f>SUM(Oct!I119, Nov!I119, Dec!I119)</f>
        <v>0</v>
      </c>
      <c r="J119" s="15" t="str">
        <f t="shared" si="5"/>
        <v/>
      </c>
    </row>
    <row r="120" spans="1:10" ht="15.6">
      <c r="A120" s="24" t="str">
        <v>Krumkill North</v>
      </c>
      <c r="B120" s="25" t="str">
        <v>NY</v>
      </c>
      <c r="C120" s="25" t="str">
        <f>Sites[[#This Row],[SOL'#]]</f>
        <v>SOL-11086</v>
      </c>
      <c r="D120" s="20">
        <f>SUM(Oct!D120, Nov!D120, Dec!D120)</f>
        <v>0</v>
      </c>
      <c r="E120" s="10">
        <f>SUM(Oct!E120, Nov!E120, Dec!E120)</f>
        <v>0</v>
      </c>
      <c r="F120" s="10">
        <f t="shared" ref="F120:F143" si="8">IF(AND(ISNUMBER(D120),ISNUMBER(E120)), D120-E120, "")</f>
        <v>0</v>
      </c>
      <c r="G120" s="11" t="str">
        <f t="shared" ref="G120:G173" si="9">IFERROR(F120/E120, "")</f>
        <v/>
      </c>
      <c r="H120" s="12">
        <f>SUM(Oct!H120,Nov!H120,Dec!H120)</f>
        <v>0</v>
      </c>
      <c r="I120" s="12">
        <f>SUM(Oct!I120, Nov!I120, Dec!I120)</f>
        <v>0</v>
      </c>
      <c r="J120" s="13" t="str">
        <f t="shared" si="5"/>
        <v/>
      </c>
    </row>
    <row r="121" spans="1:10" ht="15.6">
      <c r="A121" s="26" t="str">
        <v>Krumkill South</v>
      </c>
      <c r="B121" s="27" t="str">
        <v>NY</v>
      </c>
      <c r="C121" s="27" t="str">
        <f>Sites[[#This Row],[SOL'#]]</f>
        <v>SOL-11087</v>
      </c>
      <c r="D121" s="9">
        <f>SUM(Oct!D121, Nov!D121, Dec!D121)</f>
        <v>0</v>
      </c>
      <c r="E121" s="14">
        <f>SUM(Oct!E121, Nov!E121, Dec!E121)</f>
        <v>0</v>
      </c>
      <c r="F121" s="14">
        <f t="shared" si="8"/>
        <v>0</v>
      </c>
      <c r="G121" s="15" t="str">
        <f t="shared" si="9"/>
        <v/>
      </c>
      <c r="H121" s="16">
        <f>SUM(Oct!H121,Nov!H121,Dec!H121)</f>
        <v>0</v>
      </c>
      <c r="I121" s="16">
        <f>SUM(Oct!I121, Nov!I121, Dec!I121)</f>
        <v>0</v>
      </c>
      <c r="J121" s="15" t="str">
        <f t="shared" si="5"/>
        <v/>
      </c>
    </row>
    <row r="122" spans="1:10" ht="15.6">
      <c r="A122" s="24" t="str">
        <v>X092</v>
      </c>
      <c r="B122" s="25" t="str">
        <v>NY</v>
      </c>
      <c r="C122" s="25" t="str">
        <f>Sites[[#This Row],[SOL'#]]</f>
        <v>SOL-11189</v>
      </c>
      <c r="D122" s="20">
        <f>SUM(Oct!D122, Nov!D122, Dec!D122)</f>
        <v>0</v>
      </c>
      <c r="E122" s="10">
        <f>SUM(Oct!E122, Nov!E122, Dec!E122)</f>
        <v>0</v>
      </c>
      <c r="F122" s="10">
        <f t="shared" si="8"/>
        <v>0</v>
      </c>
      <c r="G122" s="11" t="str">
        <f t="shared" si="9"/>
        <v/>
      </c>
      <c r="H122" s="12">
        <f>SUM(Oct!H122,Nov!H122,Dec!H122)</f>
        <v>0</v>
      </c>
      <c r="I122" s="12">
        <f>SUM(Oct!I122, Nov!I122, Dec!I122)</f>
        <v>0</v>
      </c>
      <c r="J122" s="13" t="str">
        <f t="shared" si="5"/>
        <v/>
      </c>
    </row>
    <row r="123" spans="1:10" ht="15.6">
      <c r="A123" s="26" t="str">
        <v>X093</v>
      </c>
      <c r="B123" s="27" t="str">
        <v>NY</v>
      </c>
      <c r="C123" s="27" t="str">
        <f>Sites[[#This Row],[SOL'#]]</f>
        <v>SOL-10932</v>
      </c>
      <c r="D123" s="9">
        <f>SUM(Oct!D123, Nov!D123, Dec!D123)</f>
        <v>0</v>
      </c>
      <c r="E123" s="14">
        <f>SUM(Oct!E123, Nov!E123, Dec!E123)</f>
        <v>0</v>
      </c>
      <c r="F123" s="14">
        <f t="shared" si="8"/>
        <v>0</v>
      </c>
      <c r="G123" s="15" t="str">
        <f t="shared" si="9"/>
        <v/>
      </c>
      <c r="H123" s="16">
        <f>SUM(Oct!H123,Nov!H123,Dec!H123)</f>
        <v>0</v>
      </c>
      <c r="I123" s="16">
        <f>SUM(Oct!I123, Nov!I123, Dec!I123)</f>
        <v>0</v>
      </c>
      <c r="J123" s="15" t="str">
        <f t="shared" si="5"/>
        <v/>
      </c>
    </row>
    <row r="124" spans="1:10" ht="15.6">
      <c r="A124" s="24" t="str">
        <v>X095</v>
      </c>
      <c r="B124" s="25" t="str">
        <v>NY</v>
      </c>
      <c r="C124" s="25" t="str">
        <f>Sites[[#This Row],[SOL'#]]</f>
        <v>SOL-10929</v>
      </c>
      <c r="D124" s="20">
        <f>SUM(Oct!D124, Nov!D124, Dec!D124)</f>
        <v>0</v>
      </c>
      <c r="E124" s="10">
        <f>SUM(Oct!E124, Nov!E124, Dec!E124)</f>
        <v>0</v>
      </c>
      <c r="F124" s="10">
        <f t="shared" si="8"/>
        <v>0</v>
      </c>
      <c r="G124" s="11" t="str">
        <f t="shared" si="9"/>
        <v/>
      </c>
      <c r="H124" s="12">
        <f>SUM(Oct!H124,Nov!H124,Dec!H124)</f>
        <v>0</v>
      </c>
      <c r="I124" s="12">
        <f>SUM(Oct!I124, Nov!I124, Dec!I124)</f>
        <v>0</v>
      </c>
      <c r="J124" s="13" t="str">
        <f t="shared" si="5"/>
        <v/>
      </c>
    </row>
    <row r="125" spans="1:10" ht="15.6">
      <c r="A125" s="26" t="str">
        <v>X181</v>
      </c>
      <c r="B125" s="27" t="str">
        <v>NY</v>
      </c>
      <c r="C125" s="27" t="str">
        <f>Sites[[#This Row],[SOL'#]]</f>
        <v>SOL-10428</v>
      </c>
      <c r="D125" s="9">
        <f>SUM(Oct!D125, Nov!D125, Dec!D125)</f>
        <v>0</v>
      </c>
      <c r="E125" s="14">
        <f>SUM(Oct!E125, Nov!E125, Dec!E125)</f>
        <v>0</v>
      </c>
      <c r="F125" s="14">
        <f t="shared" si="8"/>
        <v>0</v>
      </c>
      <c r="G125" s="15" t="str">
        <f t="shared" si="9"/>
        <v/>
      </c>
      <c r="H125" s="16">
        <f>SUM(Oct!H125,Nov!H125,Dec!H125)</f>
        <v>0</v>
      </c>
      <c r="I125" s="16">
        <f>SUM(Oct!I125, Nov!I125, Dec!I125)</f>
        <v>0</v>
      </c>
      <c r="J125" s="15" t="str">
        <f t="shared" si="5"/>
        <v/>
      </c>
    </row>
    <row r="126" spans="1:10" ht="15.6">
      <c r="A126" s="24" t="str">
        <v>X415</v>
      </c>
      <c r="B126" s="25" t="str">
        <v>NY</v>
      </c>
      <c r="C126" s="25" t="str">
        <f>Sites[[#This Row],[SOL'#]]</f>
        <v>SOL-10429</v>
      </c>
      <c r="D126" s="20">
        <f>SUM(Oct!D126, Nov!D126, Dec!D126)</f>
        <v>0</v>
      </c>
      <c r="E126" s="10">
        <f>SUM(Oct!E126, Nov!E126, Dec!E126)</f>
        <v>0</v>
      </c>
      <c r="F126" s="10">
        <f t="shared" si="8"/>
        <v>0</v>
      </c>
      <c r="G126" s="11" t="str">
        <f t="shared" si="9"/>
        <v/>
      </c>
      <c r="H126" s="12">
        <f>SUM(Oct!H126,Nov!H126,Dec!H126)</f>
        <v>0</v>
      </c>
      <c r="I126" s="12">
        <f>SUM(Oct!I126, Nov!I126, Dec!I126)</f>
        <v>0</v>
      </c>
      <c r="J126" s="13" t="str">
        <f t="shared" si="5"/>
        <v/>
      </c>
    </row>
    <row r="127" spans="1:10" ht="15.6">
      <c r="A127" s="26" t="str">
        <v>K198</v>
      </c>
      <c r="B127" s="27" t="str">
        <v>NY</v>
      </c>
      <c r="C127" s="27" t="str">
        <f>Sites[[#This Row],[SOL'#]]</f>
        <v>SOL-10930</v>
      </c>
      <c r="D127" s="9">
        <f>SUM(Oct!D127, Nov!D127, Dec!D127)</f>
        <v>0</v>
      </c>
      <c r="E127" s="14">
        <f>SUM(Oct!E127, Nov!E127, Dec!E127)</f>
        <v>0</v>
      </c>
      <c r="F127" s="14">
        <f t="shared" si="8"/>
        <v>0</v>
      </c>
      <c r="G127" s="15" t="str">
        <f t="shared" si="9"/>
        <v/>
      </c>
      <c r="H127" s="16">
        <f>SUM(Oct!H127,Nov!H127,Dec!H127)</f>
        <v>0</v>
      </c>
      <c r="I127" s="16">
        <f>SUM(Oct!I127, Nov!I127, Dec!I127)</f>
        <v>0</v>
      </c>
      <c r="J127" s="15" t="str">
        <f t="shared" si="5"/>
        <v/>
      </c>
    </row>
    <row r="128" spans="1:10" ht="15.6">
      <c r="A128" s="24" t="str">
        <v>K203</v>
      </c>
      <c r="B128" s="25" t="str">
        <v>NY</v>
      </c>
      <c r="C128" s="25" t="str">
        <f>Sites[[#This Row],[SOL'#]]</f>
        <v>SOL-11190</v>
      </c>
      <c r="D128" s="20">
        <f>SUM(Oct!D128, Nov!D128, Dec!D128)</f>
        <v>0</v>
      </c>
      <c r="E128" s="10">
        <f>SUM(Oct!E128, Nov!E128, Dec!E128)</f>
        <v>0</v>
      </c>
      <c r="F128" s="10">
        <f t="shared" si="8"/>
        <v>0</v>
      </c>
      <c r="G128" s="11" t="str">
        <f t="shared" si="9"/>
        <v/>
      </c>
      <c r="H128" s="12">
        <f>SUM(Oct!H128,Nov!H128,Dec!H128)</f>
        <v>0</v>
      </c>
      <c r="I128" s="12">
        <f>SUM(Oct!I128, Nov!I128, Dec!I128)</f>
        <v>0</v>
      </c>
      <c r="J128" s="13" t="str">
        <f t="shared" si="5"/>
        <v/>
      </c>
    </row>
    <row r="129" spans="1:10" ht="15.6">
      <c r="A129" s="26" t="str">
        <v>K213</v>
      </c>
      <c r="B129" s="27" t="str">
        <v>NY</v>
      </c>
      <c r="C129" s="27" t="str">
        <f>Sites[[#This Row],[SOL'#]]</f>
        <v>SOL-11191</v>
      </c>
      <c r="D129" s="9">
        <f>SUM(Oct!D129, Nov!D129, Dec!D129)</f>
        <v>0</v>
      </c>
      <c r="E129" s="14">
        <f>SUM(Oct!E129, Nov!E129, Dec!E129)</f>
        <v>0</v>
      </c>
      <c r="F129" s="14">
        <f t="shared" si="8"/>
        <v>0</v>
      </c>
      <c r="G129" s="15" t="str">
        <f t="shared" si="9"/>
        <v/>
      </c>
      <c r="H129" s="16">
        <f>SUM(Oct!H129,Nov!H129,Dec!H129)</f>
        <v>0</v>
      </c>
      <c r="I129" s="16">
        <f>SUM(Oct!I129, Nov!I129, Dec!I129)</f>
        <v>0</v>
      </c>
      <c r="J129" s="15" t="str">
        <f t="shared" si="5"/>
        <v/>
      </c>
    </row>
    <row r="130" spans="1:10" ht="15.6">
      <c r="A130" s="24" t="str">
        <v>K217</v>
      </c>
      <c r="B130" s="25" t="str">
        <v>NY</v>
      </c>
      <c r="C130" s="25" t="str">
        <f>Sites[[#This Row],[SOL'#]]</f>
        <v>SOL-10933</v>
      </c>
      <c r="D130" s="20">
        <f>SUM(Oct!D130, Nov!D130, Dec!D130)</f>
        <v>0</v>
      </c>
      <c r="E130" s="10">
        <f>SUM(Oct!E130, Nov!E130, Dec!E130)</f>
        <v>0</v>
      </c>
      <c r="F130" s="10">
        <f t="shared" si="8"/>
        <v>0</v>
      </c>
      <c r="G130" s="11" t="str">
        <f t="shared" si="9"/>
        <v/>
      </c>
      <c r="H130" s="12">
        <f>SUM(Oct!H130,Nov!H130,Dec!H130)</f>
        <v>0</v>
      </c>
      <c r="I130" s="12">
        <f>SUM(Oct!I130, Nov!I130, Dec!I130)</f>
        <v>0</v>
      </c>
      <c r="J130" s="13" t="str">
        <f t="shared" si="5"/>
        <v/>
      </c>
    </row>
    <row r="131" spans="1:10" ht="15.6">
      <c r="A131" s="26" t="str">
        <v>K307</v>
      </c>
      <c r="B131" s="27" t="str">
        <v>NY</v>
      </c>
      <c r="C131" s="27" t="str">
        <f>Sites[[#This Row],[SOL'#]]</f>
        <v>SOL-10876</v>
      </c>
      <c r="D131" s="9">
        <f>SUM(Oct!D131, Nov!D131, Dec!D131)</f>
        <v>0</v>
      </c>
      <c r="E131" s="14">
        <f>SUM(Oct!E131, Nov!E131, Dec!E131)</f>
        <v>0</v>
      </c>
      <c r="F131" s="14">
        <f t="shared" si="8"/>
        <v>0</v>
      </c>
      <c r="G131" s="15" t="str">
        <f t="shared" si="9"/>
        <v/>
      </c>
      <c r="H131" s="16">
        <f>SUM(Oct!H131,Nov!H131,Dec!H131)</f>
        <v>0</v>
      </c>
      <c r="I131" s="16">
        <f>SUM(Oct!I131, Nov!I131, Dec!I131)</f>
        <v>0</v>
      </c>
      <c r="J131" s="15" t="str">
        <f t="shared" si="5"/>
        <v/>
      </c>
    </row>
    <row r="132" spans="1:10" ht="15.6">
      <c r="A132" s="24" t="str">
        <v>K610</v>
      </c>
      <c r="B132" s="25" t="str">
        <v>NY</v>
      </c>
      <c r="C132" s="25" t="str">
        <f>Sites[[#This Row],[SOL'#]]</f>
        <v>SOL-11158</v>
      </c>
      <c r="D132" s="20">
        <f>SUM(Oct!D132, Nov!D132, Dec!D132)</f>
        <v>0</v>
      </c>
      <c r="E132" s="10">
        <f>SUM(Oct!E132, Nov!E132, Dec!E132)</f>
        <v>0</v>
      </c>
      <c r="F132" s="10">
        <f t="shared" si="8"/>
        <v>0</v>
      </c>
      <c r="G132" s="11" t="str">
        <f t="shared" si="9"/>
        <v/>
      </c>
      <c r="H132" s="12">
        <f>SUM(Oct!H132,Nov!H132,Dec!H132)</f>
        <v>0</v>
      </c>
      <c r="I132" s="12">
        <f>SUM(Oct!I132, Nov!I132, Dec!I132)</f>
        <v>0</v>
      </c>
      <c r="J132" s="13" t="str">
        <f t="shared" ref="J132:J173" si="10">IFERROR(I132/H132, "")</f>
        <v/>
      </c>
    </row>
    <row r="133" spans="1:10" ht="15.6">
      <c r="A133" s="26" t="str">
        <v>M025</v>
      </c>
      <c r="B133" s="27" t="str">
        <v>NY</v>
      </c>
      <c r="C133" s="27" t="str">
        <f>Sites[[#This Row],[SOL'#]]</f>
        <v>SOL-10392</v>
      </c>
      <c r="D133" s="9">
        <f>SUM(Oct!D133, Nov!D133, Dec!D133)</f>
        <v>0</v>
      </c>
      <c r="E133" s="14">
        <f>SUM(Oct!E133, Nov!E133, Dec!E133)</f>
        <v>0</v>
      </c>
      <c r="F133" s="14">
        <f t="shared" si="8"/>
        <v>0</v>
      </c>
      <c r="G133" s="15" t="str">
        <f t="shared" si="9"/>
        <v/>
      </c>
      <c r="H133" s="16">
        <f>SUM(Oct!H133,Nov!H133,Dec!H133)</f>
        <v>0</v>
      </c>
      <c r="I133" s="16">
        <f>SUM(Oct!I133, Nov!I133, Dec!I133)</f>
        <v>0</v>
      </c>
      <c r="J133" s="15" t="str">
        <f t="shared" si="10"/>
        <v/>
      </c>
    </row>
    <row r="134" spans="1:10" ht="15.6">
      <c r="A134" s="24" t="str">
        <v>M028</v>
      </c>
      <c r="B134" s="25" t="str">
        <v>NY</v>
      </c>
      <c r="C134" s="25" t="str">
        <f>Sites[[#This Row],[SOL'#]]</f>
        <v>SOL-10381</v>
      </c>
      <c r="D134" s="20">
        <f>SUM(Oct!D134, Nov!D134, Dec!D134)</f>
        <v>0</v>
      </c>
      <c r="E134" s="10">
        <f>SUM(Oct!E134, Nov!E134, Dec!E134)</f>
        <v>0</v>
      </c>
      <c r="F134" s="10">
        <f t="shared" si="8"/>
        <v>0</v>
      </c>
      <c r="G134" s="11" t="str">
        <f t="shared" si="9"/>
        <v/>
      </c>
      <c r="H134" s="12">
        <f>SUM(Oct!H134,Nov!H134,Dec!H134)</f>
        <v>0</v>
      </c>
      <c r="I134" s="12">
        <f>SUM(Oct!I134, Nov!I134, Dec!I134)</f>
        <v>0</v>
      </c>
      <c r="J134" s="13" t="str">
        <f t="shared" si="10"/>
        <v/>
      </c>
    </row>
    <row r="135" spans="1:10" ht="15.6">
      <c r="A135" s="26" t="str">
        <v>Q030</v>
      </c>
      <c r="B135" s="27" t="str">
        <v>NY</v>
      </c>
      <c r="C135" s="27" t="str">
        <f>Sites[[#This Row],[SOL'#]]</f>
        <v>SOL-10878</v>
      </c>
      <c r="D135" s="9">
        <f>SUM(Oct!D135, Nov!D135, Dec!D135)</f>
        <v>0</v>
      </c>
      <c r="E135" s="14">
        <f>SUM(Oct!E135, Nov!E135, Dec!E135)</f>
        <v>0</v>
      </c>
      <c r="F135" s="14">
        <f t="shared" si="8"/>
        <v>0</v>
      </c>
      <c r="G135" s="15" t="str">
        <f t="shared" si="9"/>
        <v/>
      </c>
      <c r="H135" s="16">
        <f>SUM(Oct!H135,Nov!H135,Dec!H135)</f>
        <v>0</v>
      </c>
      <c r="I135" s="16">
        <f>SUM(Oct!I135, Nov!I135, Dec!I135)</f>
        <v>0</v>
      </c>
      <c r="J135" s="15" t="str">
        <f t="shared" si="10"/>
        <v/>
      </c>
    </row>
    <row r="136" spans="1:10" ht="15.6">
      <c r="A136" s="24" t="str">
        <v>Q130</v>
      </c>
      <c r="B136" s="25" t="str">
        <v>NY</v>
      </c>
      <c r="C136" s="25" t="str">
        <f>Sites[[#This Row],[SOL'#]]</f>
        <v>SOL-10877</v>
      </c>
      <c r="D136" s="20">
        <f>SUM(Oct!D136, Nov!D136, Dec!D136)</f>
        <v>0</v>
      </c>
      <c r="E136" s="10">
        <f>SUM(Oct!E136, Nov!E136, Dec!E136)</f>
        <v>0</v>
      </c>
      <c r="F136" s="10">
        <f t="shared" si="8"/>
        <v>0</v>
      </c>
      <c r="G136" s="11" t="str">
        <f t="shared" si="9"/>
        <v/>
      </c>
      <c r="H136" s="12">
        <f>SUM(Oct!H136,Nov!H136,Dec!H136)</f>
        <v>0</v>
      </c>
      <c r="I136" s="12">
        <f>SUM(Oct!I136, Nov!I136, Dec!I136)</f>
        <v>0</v>
      </c>
      <c r="J136" s="13" t="str">
        <f t="shared" si="10"/>
        <v/>
      </c>
    </row>
    <row r="137" spans="1:10" ht="15.6">
      <c r="A137" s="26" t="str">
        <v>Q196</v>
      </c>
      <c r="B137" s="27" t="str">
        <v>NY</v>
      </c>
      <c r="C137" s="27" t="str">
        <f>Sites[[#This Row],[SOL'#]]</f>
        <v>SOL-10879</v>
      </c>
      <c r="D137" s="9">
        <f>SUM(Oct!D137, Nov!D137, Dec!D137)</f>
        <v>0</v>
      </c>
      <c r="E137" s="14">
        <f>SUM(Oct!E137, Nov!E137, Dec!E137)</f>
        <v>0</v>
      </c>
      <c r="F137" s="14">
        <f t="shared" si="8"/>
        <v>0</v>
      </c>
      <c r="G137" s="15" t="str">
        <f t="shared" si="9"/>
        <v/>
      </c>
      <c r="H137" s="16">
        <f>SUM(Oct!H137,Nov!H137,Dec!H137)</f>
        <v>0</v>
      </c>
      <c r="I137" s="16">
        <f>SUM(Oct!I137, Nov!I137, Dec!I137)</f>
        <v>0</v>
      </c>
      <c r="J137" s="15" t="str">
        <f t="shared" si="10"/>
        <v/>
      </c>
    </row>
    <row r="138" spans="1:10" ht="15.6">
      <c r="A138" s="24" t="str">
        <v>Q220</v>
      </c>
      <c r="B138" s="25" t="str">
        <v>NY</v>
      </c>
      <c r="C138" s="25" t="str">
        <f>Sites[[#This Row],[SOL'#]]</f>
        <v>SOL-10873</v>
      </c>
      <c r="D138" s="20">
        <f>SUM(Oct!D138, Nov!D138, Dec!D138)</f>
        <v>0</v>
      </c>
      <c r="E138" s="10">
        <f>SUM(Oct!E138, Nov!E138, Dec!E138)</f>
        <v>0</v>
      </c>
      <c r="F138" s="10">
        <f t="shared" si="8"/>
        <v>0</v>
      </c>
      <c r="G138" s="11" t="str">
        <f t="shared" si="9"/>
        <v/>
      </c>
      <c r="H138" s="12">
        <f>SUM(Oct!H138,Nov!H138,Dec!H138)</f>
        <v>0</v>
      </c>
      <c r="I138" s="12">
        <f>SUM(Oct!I138, Nov!I138, Dec!I138)</f>
        <v>0</v>
      </c>
      <c r="J138" s="13" t="str">
        <f t="shared" si="10"/>
        <v/>
      </c>
    </row>
    <row r="139" spans="1:10" ht="15.6">
      <c r="A139" s="26" t="str">
        <v>Q205</v>
      </c>
      <c r="B139" s="27" t="str">
        <v>NY</v>
      </c>
      <c r="C139" s="27" t="str">
        <f>Sites[[#This Row],[SOL'#]]</f>
        <v>SOL-10922</v>
      </c>
      <c r="D139" s="9">
        <f>SUM(Oct!D139, Nov!D139, Dec!D139)</f>
        <v>0</v>
      </c>
      <c r="E139" s="14">
        <f>SUM(Oct!E139, Nov!E139, Dec!E139)</f>
        <v>0</v>
      </c>
      <c r="F139" s="14">
        <f t="shared" si="8"/>
        <v>0</v>
      </c>
      <c r="G139" s="15" t="str">
        <f t="shared" si="9"/>
        <v/>
      </c>
      <c r="H139" s="16">
        <f>SUM(Oct!H139,Nov!H139,Dec!H139)</f>
        <v>0</v>
      </c>
      <c r="I139" s="16">
        <f>SUM(Oct!I139, Nov!I139, Dec!I139)</f>
        <v>0</v>
      </c>
      <c r="J139" s="15" t="str">
        <f t="shared" si="10"/>
        <v/>
      </c>
    </row>
    <row r="140" spans="1:10" ht="15.6">
      <c r="A140" s="24" t="str">
        <v>Q400</v>
      </c>
      <c r="B140" s="25" t="str">
        <v>NY</v>
      </c>
      <c r="C140" s="25" t="str">
        <f>Sites[[#This Row],[SOL'#]]</f>
        <v>SOL-10871</v>
      </c>
      <c r="D140" s="20">
        <f>SUM(Oct!D140, Nov!D140, Dec!D140)</f>
        <v>0</v>
      </c>
      <c r="E140" s="10">
        <f>SUM(Oct!E140, Nov!E140, Dec!E140)</f>
        <v>0</v>
      </c>
      <c r="F140" s="10">
        <f t="shared" si="8"/>
        <v>0</v>
      </c>
      <c r="G140" s="11" t="str">
        <f t="shared" si="9"/>
        <v/>
      </c>
      <c r="H140" s="12">
        <f>SUM(Oct!H140,Nov!H140,Dec!H140)</f>
        <v>0</v>
      </c>
      <c r="I140" s="12">
        <f>SUM(Oct!I140, Nov!I140, Dec!I140)</f>
        <v>0</v>
      </c>
      <c r="J140" s="13" t="str">
        <f t="shared" si="10"/>
        <v/>
      </c>
    </row>
    <row r="141" spans="1:10" ht="15.6">
      <c r="A141" s="26" t="str">
        <v>R003</v>
      </c>
      <c r="B141" s="27" t="str">
        <v>NY</v>
      </c>
      <c r="C141" s="27" t="str">
        <f>Sites[[#This Row],[SOL'#]]</f>
        <v>SOL-10416</v>
      </c>
      <c r="D141" s="9">
        <f>SUM(Oct!D141, Nov!D141, Dec!D141)</f>
        <v>0</v>
      </c>
      <c r="E141" s="14">
        <f>SUM(Oct!E141, Nov!E141, Dec!E141)</f>
        <v>0</v>
      </c>
      <c r="F141" s="14">
        <f t="shared" si="8"/>
        <v>0</v>
      </c>
      <c r="G141" s="15" t="str">
        <f t="shared" si="9"/>
        <v/>
      </c>
      <c r="H141" s="16">
        <f>SUM(Oct!H141,Nov!H141,Dec!H141)</f>
        <v>0</v>
      </c>
      <c r="I141" s="16">
        <f>SUM(Oct!I141, Nov!I141, Dec!I141)</f>
        <v>0</v>
      </c>
      <c r="J141" s="15" t="str">
        <f t="shared" si="10"/>
        <v/>
      </c>
    </row>
    <row r="142" spans="1:10" ht="15.6">
      <c r="A142" s="24" t="str">
        <v>R007</v>
      </c>
      <c r="B142" s="25" t="str">
        <v>NY</v>
      </c>
      <c r="C142" s="25" t="str">
        <f>Sites[[#This Row],[SOL'#]]</f>
        <v>SOL-10417</v>
      </c>
      <c r="D142" s="20">
        <f>SUM(Oct!D142, Nov!D142, Dec!D142)</f>
        <v>0</v>
      </c>
      <c r="E142" s="10">
        <f>SUM(Oct!E142, Nov!E142, Dec!E142)</f>
        <v>0</v>
      </c>
      <c r="F142" s="10">
        <f t="shared" si="8"/>
        <v>0</v>
      </c>
      <c r="G142" s="11" t="str">
        <f t="shared" si="9"/>
        <v/>
      </c>
      <c r="H142" s="12">
        <f>SUM(Oct!H142,Nov!H142,Dec!H142)</f>
        <v>0</v>
      </c>
      <c r="I142" s="12">
        <f>SUM(Oct!I142, Nov!I142, Dec!I142)</f>
        <v>0</v>
      </c>
      <c r="J142" s="13" t="str">
        <f t="shared" si="10"/>
        <v/>
      </c>
    </row>
    <row r="143" spans="1:10" ht="15.6">
      <c r="A143" s="26" t="str">
        <v>BK16</v>
      </c>
      <c r="B143" s="27" t="str">
        <v>NY</v>
      </c>
      <c r="C143" s="27" t="str">
        <f>Sites[[#This Row],[SOL'#]]</f>
        <v>SOL-11093</v>
      </c>
      <c r="D143" s="9">
        <f>SUM(Oct!D143, Nov!D143, Dec!D143)</f>
        <v>0</v>
      </c>
      <c r="E143" s="14">
        <f>SUM(Oct!E143, Nov!E143, Dec!E143)</f>
        <v>0</v>
      </c>
      <c r="F143" s="14">
        <f t="shared" si="8"/>
        <v>0</v>
      </c>
      <c r="G143" s="15" t="str">
        <f t="shared" si="9"/>
        <v/>
      </c>
      <c r="H143" s="16">
        <f>SUM(Oct!H143,Nov!H143,Dec!H143)</f>
        <v>0</v>
      </c>
      <c r="I143" s="16">
        <f>SUM(Oct!I143, Nov!I143, Dec!I143)</f>
        <v>0</v>
      </c>
      <c r="J143" s="15" t="str">
        <f t="shared" si="10"/>
        <v/>
      </c>
    </row>
    <row r="144" spans="1:10" ht="15.6">
      <c r="A144" s="24" t="str">
        <v>Trenton - Trenton East</v>
      </c>
      <c r="B144" s="25" t="str">
        <v>IL</v>
      </c>
      <c r="C144" s="25" t="str">
        <f>Sites[[#This Row],[SOL'#]]</f>
        <v>SOL-11060</v>
      </c>
      <c r="D144" s="20">
        <f>SUM(Oct!D144, Nov!D144, Dec!D144)</f>
        <v>0</v>
      </c>
      <c r="E144" s="10">
        <f>SUM(Oct!E144, Nov!E144, Dec!E144)</f>
        <v>0</v>
      </c>
      <c r="F144" s="10">
        <f>IF(AND(ISNUMBER(D144),ISNUMBER(E144)), D144-E144, "")</f>
        <v>0</v>
      </c>
      <c r="G144" s="11" t="str">
        <f t="shared" si="9"/>
        <v/>
      </c>
      <c r="H144" s="12">
        <f>SUM(Oct!H144,Nov!H144,Dec!H144)</f>
        <v>0</v>
      </c>
      <c r="I144" s="12">
        <f>SUM(Oct!I144, Nov!I144, Dec!I144)</f>
        <v>0</v>
      </c>
      <c r="J144" s="13" t="str">
        <f t="shared" si="10"/>
        <v/>
      </c>
    </row>
    <row r="145" spans="1:10" ht="15.6">
      <c r="A145" s="26" t="str">
        <v>Trenton - Trenton West</v>
      </c>
      <c r="B145" s="27" t="str">
        <v>IL</v>
      </c>
      <c r="C145" s="27" t="str">
        <f>Sites[[#This Row],[SOL'#]]</f>
        <v>SOL-11061</v>
      </c>
      <c r="D145" s="9">
        <f>SUM(Oct!D145, Nov!D145, Dec!D145)</f>
        <v>0</v>
      </c>
      <c r="E145" s="14">
        <f>SUM(Oct!E145, Nov!E145, Dec!E145)</f>
        <v>0</v>
      </c>
      <c r="F145" s="14">
        <f>IF(AND(ISNUMBER(D145),ISNUMBER(E145)), D145-E145, "")</f>
        <v>0</v>
      </c>
      <c r="G145" s="15" t="str">
        <f t="shared" si="9"/>
        <v/>
      </c>
      <c r="H145" s="16">
        <f>SUM(Oct!H145,Nov!H145,Dec!H145)</f>
        <v>0</v>
      </c>
      <c r="I145" s="16">
        <f>SUM(Oct!I145, Nov!I145, Dec!I145)</f>
        <v>0</v>
      </c>
      <c r="J145" s="15" t="str">
        <f t="shared" si="10"/>
        <v/>
      </c>
    </row>
    <row r="146" spans="1:10" ht="15.6">
      <c r="A146" s="24" t="str">
        <v>Dakota - Dakota Solar 1</v>
      </c>
      <c r="B146" s="25" t="str">
        <v>IL</v>
      </c>
      <c r="C146" s="25" t="str">
        <f>Sites[[#This Row],[SOL'#]]</f>
        <v>SOL-11113</v>
      </c>
      <c r="D146" s="20">
        <f>SUM(Oct!D146, Nov!D146, Dec!D146)</f>
        <v>0</v>
      </c>
      <c r="E146" s="10">
        <f>SUM(Oct!E146, Nov!E146, Dec!E146)</f>
        <v>0</v>
      </c>
      <c r="F146" s="10">
        <f>IF(AND(ISNUMBER(D146),ISNUMBER(E146)), D146-E146, "")</f>
        <v>0</v>
      </c>
      <c r="G146" s="11" t="str">
        <f t="shared" si="9"/>
        <v/>
      </c>
      <c r="H146" s="12">
        <f>SUM(Oct!H146,Nov!H146,Dec!H146)</f>
        <v>0</v>
      </c>
      <c r="I146" s="12">
        <f>SUM(Oct!I146, Nov!I146, Dec!I146)</f>
        <v>0</v>
      </c>
      <c r="J146" s="13" t="str">
        <f t="shared" si="10"/>
        <v/>
      </c>
    </row>
    <row r="147" spans="1:10" ht="15.6">
      <c r="A147" s="26" t="str">
        <v>X018</v>
      </c>
      <c r="B147" s="27" t="str">
        <v>NY</v>
      </c>
      <c r="C147" s="27" t="str">
        <f>Sites[[#This Row],[SOL'#]]</f>
        <v>SOL-10418</v>
      </c>
      <c r="D147" s="9">
        <f>SUM(Oct!D147, Nov!D147, Dec!D147)</f>
        <v>0</v>
      </c>
      <c r="E147" s="14">
        <f>SUM(Oct!E147, Nov!E147, Dec!E147)</f>
        <v>0</v>
      </c>
      <c r="F147" s="14">
        <f>IF(AND(ISNUMBER(D147),ISNUMBER(E147)), D147-E147, "")</f>
        <v>0</v>
      </c>
      <c r="G147" s="15" t="str">
        <f t="shared" si="9"/>
        <v/>
      </c>
      <c r="H147" s="16">
        <f>SUM(Oct!H147,Nov!H147,Dec!H147)</f>
        <v>0</v>
      </c>
      <c r="I147" s="16">
        <f>SUM(Oct!I147, Nov!I147, Dec!I147)</f>
        <v>0</v>
      </c>
      <c r="J147" s="15" t="str">
        <f t="shared" si="10"/>
        <v/>
      </c>
    </row>
    <row r="148" spans="1:10" ht="15.6">
      <c r="A148" s="24" t="str">
        <v>Janiak Solar</v>
      </c>
      <c r="B148" s="25" t="str">
        <v>NY</v>
      </c>
      <c r="C148" s="25" t="str">
        <f>Sites[[#This Row],[SOL'#]]</f>
        <v>SOL-10898</v>
      </c>
      <c r="D148" s="20">
        <f>SUM(Oct!D148, Nov!D148, Dec!D148)</f>
        <v>0</v>
      </c>
      <c r="E148" s="10">
        <f>SUM(Oct!E148, Nov!E148, Dec!E148)</f>
        <v>0</v>
      </c>
      <c r="F148" s="10">
        <f t="shared" ref="F148:F173" si="11">IF(AND(ISNUMBER(D148),ISNUMBER(E148)), D148-E148, "")</f>
        <v>0</v>
      </c>
      <c r="G148" s="11" t="str">
        <f t="shared" si="9"/>
        <v/>
      </c>
      <c r="H148" s="12">
        <f>SUM(Oct!H148,Nov!H148,Dec!H148)</f>
        <v>0</v>
      </c>
      <c r="I148" s="12">
        <f>SUM(Oct!I148, Nov!I148, Dec!I148)</f>
        <v>0</v>
      </c>
      <c r="J148" s="13" t="str">
        <f t="shared" si="10"/>
        <v/>
      </c>
    </row>
    <row r="149" spans="1:10" ht="15.6">
      <c r="A149" s="26" t="str">
        <v>County Route 11B</v>
      </c>
      <c r="B149" s="27" t="str">
        <v>NY</v>
      </c>
      <c r="C149" s="27" t="str">
        <f>Sites[[#This Row],[SOL'#]]</f>
        <v>SOL-10983</v>
      </c>
      <c r="D149" s="9">
        <f>SUM(Oct!D149, Nov!D149, Dec!D149)</f>
        <v>0</v>
      </c>
      <c r="E149" s="14">
        <f>SUM(Oct!E149, Nov!E149, Dec!E149)</f>
        <v>0</v>
      </c>
      <c r="F149" s="14">
        <f t="shared" si="11"/>
        <v>0</v>
      </c>
      <c r="G149" s="15" t="str">
        <f t="shared" si="9"/>
        <v/>
      </c>
      <c r="H149" s="16">
        <f>SUM(Oct!H149,Nov!H149,Dec!H149)</f>
        <v>0</v>
      </c>
      <c r="I149" s="16">
        <f>SUM(Oct!I149, Nov!I149, Dec!I149)</f>
        <v>0</v>
      </c>
      <c r="J149" s="15" t="str">
        <f t="shared" si="10"/>
        <v/>
      </c>
    </row>
    <row r="150" spans="1:10" ht="15.6">
      <c r="A150" s="24" t="str">
        <v>Barone</v>
      </c>
      <c r="B150" s="25" t="str">
        <v>NY</v>
      </c>
      <c r="C150" s="25" t="str">
        <f>Sites[[#This Row],[SOL'#]]</f>
        <v>SOL-11034</v>
      </c>
      <c r="D150" s="20">
        <f>SUM(Oct!D150, Nov!D150, Dec!D150)</f>
        <v>0</v>
      </c>
      <c r="E150" s="10">
        <f>SUM(Oct!E150, Nov!E150, Dec!E150)</f>
        <v>0</v>
      </c>
      <c r="F150" s="10">
        <f t="shared" si="11"/>
        <v>0</v>
      </c>
      <c r="G150" s="11" t="str">
        <f t="shared" si="9"/>
        <v/>
      </c>
      <c r="H150" s="12">
        <f>SUM(Oct!H150,Nov!H150,Dec!H150)</f>
        <v>0</v>
      </c>
      <c r="I150" s="12">
        <f>SUM(Oct!I150, Nov!I150, Dec!I150)</f>
        <v>0</v>
      </c>
      <c r="J150" s="13" t="str">
        <f t="shared" si="10"/>
        <v/>
      </c>
    </row>
    <row r="151" spans="1:10" ht="15.6">
      <c r="A151" s="26" t="str">
        <v>Cedarville</v>
      </c>
      <c r="B151" s="27" t="str">
        <v>IL</v>
      </c>
      <c r="C151" s="27" t="str">
        <f>Sites[[#This Row],[SOL'#]]</f>
        <v>SOL-11069</v>
      </c>
      <c r="D151" s="9">
        <f>SUM(Oct!D151, Nov!D151, Dec!D151)</f>
        <v>0</v>
      </c>
      <c r="E151" s="14">
        <f>SUM(Oct!E151, Nov!E151, Dec!E151)</f>
        <v>0</v>
      </c>
      <c r="F151" s="14">
        <f t="shared" si="11"/>
        <v>0</v>
      </c>
      <c r="G151" s="15" t="str">
        <f t="shared" si="9"/>
        <v/>
      </c>
      <c r="H151" s="16">
        <f>SUM(Oct!H151,Nov!H151,Dec!H151)</f>
        <v>0</v>
      </c>
      <c r="I151" s="16">
        <f>SUM(Oct!I151, Nov!I151, Dec!I151)</f>
        <v>0</v>
      </c>
      <c r="J151" s="15" t="str">
        <f t="shared" si="10"/>
        <v/>
      </c>
    </row>
    <row r="152" spans="1:10" ht="15.6">
      <c r="A152" s="24" t="str">
        <v xml:space="preserve"> O'Brien Hill #1</v>
      </c>
      <c r="B152" s="25" t="str">
        <v>NY</v>
      </c>
      <c r="C152" s="25" t="str">
        <f>Sites[[#This Row],[SOL'#]]</f>
        <v>SOL-11098</v>
      </c>
      <c r="D152" s="20">
        <f>SUM(Oct!D152, Nov!D152, Dec!D152)</f>
        <v>0</v>
      </c>
      <c r="E152" s="10">
        <f>SUM(Oct!E152, Nov!E152, Dec!E152)</f>
        <v>0</v>
      </c>
      <c r="F152" s="10">
        <f t="shared" si="11"/>
        <v>0</v>
      </c>
      <c r="G152" s="11" t="str">
        <f t="shared" si="9"/>
        <v/>
      </c>
      <c r="H152" s="12">
        <f>SUM(Oct!H152,Nov!H152,Dec!H152)</f>
        <v>0</v>
      </c>
      <c r="I152" s="12">
        <f>SUM(Oct!I152, Nov!I152, Dec!I152)</f>
        <v>0</v>
      </c>
      <c r="J152" s="13" t="str">
        <f t="shared" si="10"/>
        <v/>
      </c>
    </row>
    <row r="153" spans="1:10" ht="15.6">
      <c r="A153" s="26" t="str">
        <v xml:space="preserve"> O'Brien Hill #2</v>
      </c>
      <c r="B153" s="27" t="str">
        <v>NY</v>
      </c>
      <c r="C153" s="27" t="str">
        <f>Sites[[#This Row],[SOL'#]]</f>
        <v>SOL-11099</v>
      </c>
      <c r="D153" s="9">
        <f>SUM(Oct!D153, Nov!D153, Dec!D153)</f>
        <v>0</v>
      </c>
      <c r="E153" s="14">
        <f>SUM(Oct!E153, Nov!E153, Dec!E153)</f>
        <v>0</v>
      </c>
      <c r="F153" s="14">
        <f t="shared" si="11"/>
        <v>0</v>
      </c>
      <c r="G153" s="15" t="str">
        <f t="shared" si="9"/>
        <v/>
      </c>
      <c r="H153" s="16">
        <f>SUM(Oct!H153,Nov!H153,Dec!H153)</f>
        <v>0</v>
      </c>
      <c r="I153" s="16">
        <f>SUM(Oct!I153, Nov!I153, Dec!I153)</f>
        <v>0</v>
      </c>
      <c r="J153" s="15" t="str">
        <f t="shared" si="10"/>
        <v/>
      </c>
    </row>
    <row r="154" spans="1:10" ht="15.6">
      <c r="A154" s="24" t="str">
        <v>Trinity - Freeport</v>
      </c>
      <c r="B154" s="25" t="str">
        <v>IL</v>
      </c>
      <c r="C154" s="25" t="str">
        <f>Sites[[#This Row],[SOL'#]]</f>
        <v>SOL-11057</v>
      </c>
      <c r="D154" s="20">
        <f>SUM(Oct!D154, Nov!D154, Dec!D154)</f>
        <v>0</v>
      </c>
      <c r="E154" s="10">
        <f>SUM(Oct!E154, Nov!E154, Dec!E154)</f>
        <v>0</v>
      </c>
      <c r="F154" s="10">
        <f t="shared" si="11"/>
        <v>0</v>
      </c>
      <c r="G154" s="11" t="str">
        <f t="shared" si="9"/>
        <v/>
      </c>
      <c r="H154" s="12">
        <f>SUM(Oct!H154,Nov!H154,Dec!H154)</f>
        <v>0</v>
      </c>
      <c r="I154" s="12">
        <f>SUM(Oct!I154, Nov!I154, Dec!I154)</f>
        <v>0</v>
      </c>
      <c r="J154" s="13" t="str">
        <f t="shared" si="10"/>
        <v/>
      </c>
    </row>
    <row r="155" spans="1:10" ht="15.6">
      <c r="A155" s="26" t="str">
        <v>Ransom</v>
      </c>
      <c r="B155" s="27" t="str">
        <v>NY</v>
      </c>
      <c r="C155" s="27" t="str">
        <f>Sites[[#This Row],[SOL'#]]</f>
        <v>SOL-11157</v>
      </c>
      <c r="D155" s="9">
        <f>SUM(Oct!D155, Nov!D155, Dec!D155)</f>
        <v>0</v>
      </c>
      <c r="E155" s="14">
        <f>SUM(Oct!E155, Nov!E155, Dec!E155)</f>
        <v>0</v>
      </c>
      <c r="F155" s="14">
        <f t="shared" si="11"/>
        <v>0</v>
      </c>
      <c r="G155" s="15" t="str">
        <f t="shared" si="9"/>
        <v/>
      </c>
      <c r="H155" s="16">
        <f>SUM(Oct!H155,Nov!H155,Dec!H155)</f>
        <v>0</v>
      </c>
      <c r="I155" s="16">
        <f>SUM(Oct!I155, Nov!I155, Dec!I155)</f>
        <v>0</v>
      </c>
      <c r="J155" s="15" t="str">
        <f t="shared" si="10"/>
        <v/>
      </c>
    </row>
    <row r="156" spans="1:10" ht="15.6">
      <c r="A156" s="24" t="str">
        <v>Horseheads - Wedge</v>
      </c>
      <c r="B156" s="25" t="str">
        <v>NY</v>
      </c>
      <c r="C156" s="25" t="str">
        <f>Sites[[#This Row],[SOL'#]]</f>
        <v>SOL-11160</v>
      </c>
      <c r="D156" s="20">
        <f>SUM(Oct!D156, Nov!D156, Dec!D156)</f>
        <v>0</v>
      </c>
      <c r="E156" s="10">
        <f>SUM(Oct!E156, Nov!E156, Dec!E156)</f>
        <v>0</v>
      </c>
      <c r="F156" s="10">
        <f t="shared" si="11"/>
        <v>0</v>
      </c>
      <c r="G156" s="11" t="str">
        <f t="shared" si="9"/>
        <v/>
      </c>
      <c r="H156" s="12">
        <f>SUM(Oct!H156,Nov!H156,Dec!H156)</f>
        <v>0</v>
      </c>
      <c r="I156" s="12">
        <f>SUM(Oct!I156, Nov!I156, Dec!I156)</f>
        <v>0</v>
      </c>
      <c r="J156" s="13" t="str">
        <f t="shared" si="10"/>
        <v/>
      </c>
    </row>
    <row r="157" spans="1:10" ht="15.6">
      <c r="A157" s="26" t="str">
        <v>Otisville - Shoddy Hollow</v>
      </c>
      <c r="B157" s="27" t="str">
        <v>NY</v>
      </c>
      <c r="C157" s="27" t="str">
        <f>Sites[[#This Row],[SOL'#]]</f>
        <v>SOL-11185</v>
      </c>
      <c r="D157" s="9">
        <f>SUM(Oct!D157, Nov!D157, Dec!D157)</f>
        <v>0</v>
      </c>
      <c r="E157" s="14">
        <f>SUM(Oct!E157, Nov!E157, Dec!E157)</f>
        <v>0</v>
      </c>
      <c r="F157" s="14">
        <f t="shared" si="11"/>
        <v>0</v>
      </c>
      <c r="G157" s="15" t="str">
        <f t="shared" si="9"/>
        <v/>
      </c>
      <c r="H157" s="16">
        <f>SUM(Oct!H157,Nov!H157,Dec!H157)</f>
        <v>0</v>
      </c>
      <c r="I157" s="16">
        <f>SUM(Oct!I157, Nov!I157, Dec!I157)</f>
        <v>0</v>
      </c>
      <c r="J157" s="15" t="str">
        <f t="shared" si="10"/>
        <v/>
      </c>
    </row>
    <row r="158" spans="1:10" ht="15.6">
      <c r="A158" s="24" t="str">
        <v>Wellsville - Chenunda Creek</v>
      </c>
      <c r="B158" s="25" t="str">
        <v>NY</v>
      </c>
      <c r="C158" s="25" t="str">
        <f>Sites[[#This Row],[SOL'#]]</f>
        <v>SOL-11187</v>
      </c>
      <c r="D158" s="20">
        <f>SUM(Oct!D158, Nov!D158, Dec!D158)</f>
        <v>0</v>
      </c>
      <c r="E158" s="10">
        <f>SUM(Oct!E158, Nov!E158, Dec!E158)</f>
        <v>0</v>
      </c>
      <c r="F158" s="10">
        <f t="shared" si="11"/>
        <v>0</v>
      </c>
      <c r="G158" s="11" t="str">
        <f t="shared" si="9"/>
        <v/>
      </c>
      <c r="H158" s="12">
        <f>SUM(Oct!H158,Nov!H158,Dec!H158)</f>
        <v>0</v>
      </c>
      <c r="I158" s="12">
        <f>SUM(Oct!I158, Nov!I158, Dec!I158)</f>
        <v>0</v>
      </c>
      <c r="J158" s="13" t="str">
        <f t="shared" si="10"/>
        <v/>
      </c>
    </row>
    <row r="159" spans="1:10" ht="15.6">
      <c r="A159" s="26" t="str">
        <v>DC: Washington - Essex Condominium</v>
      </c>
      <c r="B159" s="27" t="str">
        <v>DC</v>
      </c>
      <c r="C159" s="27" t="str">
        <f>Sites[[#This Row],[SOL'#]]</f>
        <v>SOL-10036</v>
      </c>
      <c r="D159" s="9">
        <f>SUM(Oct!D159, Nov!D159, Dec!D159)</f>
        <v>0</v>
      </c>
      <c r="E159" s="14">
        <f>SUM(Oct!E159, Nov!E159, Dec!E159)</f>
        <v>0</v>
      </c>
      <c r="F159" s="14">
        <f t="shared" si="11"/>
        <v>0</v>
      </c>
      <c r="G159" s="15" t="str">
        <f t="shared" si="9"/>
        <v/>
      </c>
      <c r="H159" s="16">
        <f>SUM(Oct!H159,Nov!H159,Dec!H159)</f>
        <v>0</v>
      </c>
      <c r="I159" s="16">
        <f>SUM(Oct!I159, Nov!I159, Dec!I159)</f>
        <v>0</v>
      </c>
      <c r="J159" s="15" t="str">
        <f t="shared" si="10"/>
        <v/>
      </c>
    </row>
    <row r="160" spans="1:10" ht="15.6">
      <c r="A160" s="24" t="str">
        <v>HI: Waipahu - 94-246 Leoku St - E.F.G.</v>
      </c>
      <c r="B160" s="25" t="str">
        <v>HI</v>
      </c>
      <c r="C160" s="25" t="str">
        <f>Sites[[#This Row],[SOL'#]]</f>
        <v>SOL-10071</v>
      </c>
      <c r="D160" s="20">
        <f>SUM(Oct!D160, Nov!D160, Dec!D160)</f>
        <v>0</v>
      </c>
      <c r="E160" s="10">
        <f>SUM(Oct!E160, Nov!E160, Dec!E160)</f>
        <v>0</v>
      </c>
      <c r="F160" s="10">
        <f t="shared" si="11"/>
        <v>0</v>
      </c>
      <c r="G160" s="11" t="str">
        <f t="shared" si="9"/>
        <v/>
      </c>
      <c r="H160" s="12">
        <f>SUM(Oct!H160,Nov!H160,Dec!H160)</f>
        <v>0</v>
      </c>
      <c r="I160" s="12">
        <f>SUM(Oct!I160, Nov!I160, Dec!I160)</f>
        <v>0</v>
      </c>
      <c r="J160" s="13" t="str">
        <f t="shared" si="10"/>
        <v/>
      </c>
    </row>
    <row r="161" spans="1:10" ht="15.6">
      <c r="A161" s="26" t="str">
        <v>HI: Waipahu - 94-099 Waipahu St - PV</v>
      </c>
      <c r="B161" s="27" t="str">
        <v>HI</v>
      </c>
      <c r="C161" s="27" t="str">
        <f>Sites[[#This Row],[SOL'#]]</f>
        <v>SOL-10068</v>
      </c>
      <c r="D161" s="9">
        <f>SUM(Oct!D161, Nov!D161, Dec!D161)</f>
        <v>0</v>
      </c>
      <c r="E161" s="14">
        <f>SUM(Oct!E161, Nov!E161, Dec!E161)</f>
        <v>0</v>
      </c>
      <c r="F161" s="14">
        <f t="shared" si="11"/>
        <v>0</v>
      </c>
      <c r="G161" s="15" t="str">
        <f t="shared" si="9"/>
        <v/>
      </c>
      <c r="H161" s="16">
        <f>SUM(Oct!H161,Nov!H161,Dec!H161)</f>
        <v>0</v>
      </c>
      <c r="I161" s="16">
        <f>SUM(Oct!I161, Nov!I161, Dec!I161)</f>
        <v>0</v>
      </c>
      <c r="J161" s="15" t="str">
        <f t="shared" si="10"/>
        <v/>
      </c>
    </row>
    <row r="162" spans="1:10" ht="15.6">
      <c r="A162" s="24" t="str">
        <v>IL: Prophetstown - 5170 Yager Road (PW)</v>
      </c>
      <c r="B162" s="25" t="str">
        <v>IL</v>
      </c>
      <c r="C162" s="25" t="str">
        <f>Sites[[#This Row],[SOL'#]]</f>
        <v>SOL-11149</v>
      </c>
      <c r="D162" s="20">
        <f>SUM(Oct!D162, Nov!D162, Dec!D162)</f>
        <v>0</v>
      </c>
      <c r="E162" s="10">
        <f>SUM(Oct!E162, Nov!E162, Dec!E162)</f>
        <v>0</v>
      </c>
      <c r="F162" s="10">
        <f t="shared" si="11"/>
        <v>0</v>
      </c>
      <c r="G162" s="11" t="str">
        <f t="shared" si="9"/>
        <v/>
      </c>
      <c r="H162" s="12">
        <f>SUM(Oct!H162,Nov!H162,Dec!H162)</f>
        <v>0</v>
      </c>
      <c r="I162" s="12">
        <f>SUM(Oct!I162, Nov!I162, Dec!I162)</f>
        <v>0</v>
      </c>
      <c r="J162" s="13" t="str">
        <f t="shared" si="10"/>
        <v/>
      </c>
    </row>
    <row r="163" spans="1:10" ht="15.6">
      <c r="A163" s="26" t="str">
        <v>IL: Viola - Goldenrod - (PW)</v>
      </c>
      <c r="B163" s="27" t="str">
        <v>IL</v>
      </c>
      <c r="C163" s="27" t="str">
        <f>Sites[[#This Row],[SOL'#]]</f>
        <v>SOL-11132</v>
      </c>
      <c r="D163" s="9">
        <f>SUM(Oct!D163, Nov!D163, Dec!D163)</f>
        <v>0</v>
      </c>
      <c r="E163" s="14">
        <f>SUM(Oct!E163, Nov!E163, Dec!E163)</f>
        <v>0</v>
      </c>
      <c r="F163" s="14">
        <f t="shared" si="11"/>
        <v>0</v>
      </c>
      <c r="G163" s="15" t="str">
        <f t="shared" si="9"/>
        <v/>
      </c>
      <c r="H163" s="16">
        <f>SUM(Oct!H163,Nov!H163,Dec!H163)</f>
        <v>0</v>
      </c>
      <c r="I163" s="16">
        <f>SUM(Oct!I163, Nov!I163, Dec!I163)</f>
        <v>0</v>
      </c>
      <c r="J163" s="15" t="str">
        <f t="shared" si="10"/>
        <v/>
      </c>
    </row>
    <row r="164" spans="1:10" ht="15.6">
      <c r="A164" s="24" t="str">
        <v>IL: Marengo - Grant - (PW)</v>
      </c>
      <c r="B164" s="25" t="str">
        <v>IL</v>
      </c>
      <c r="C164" s="25" t="str">
        <f>Sites[[#This Row],[SOL'#]]</f>
        <v>SOL-11147</v>
      </c>
      <c r="D164" s="20">
        <f>SUM(Oct!D164, Nov!D164, Dec!D164)</f>
        <v>0</v>
      </c>
      <c r="E164" s="10">
        <f>SUM(Oct!E164, Nov!E164, Dec!E164)</f>
        <v>0</v>
      </c>
      <c r="F164" s="10">
        <f t="shared" si="11"/>
        <v>0</v>
      </c>
      <c r="G164" s="11" t="str">
        <f t="shared" si="9"/>
        <v/>
      </c>
      <c r="H164" s="12">
        <f>SUM(Oct!H164,Nov!H164,Dec!H164)</f>
        <v>0</v>
      </c>
      <c r="I164" s="12">
        <f>SUM(Oct!I164, Nov!I164, Dec!I164)</f>
        <v>0</v>
      </c>
      <c r="J164" s="13" t="str">
        <f t="shared" si="10"/>
        <v/>
      </c>
    </row>
    <row r="165" spans="1:10" ht="15.6">
      <c r="A165" s="26" t="str">
        <v>NY: Cambridge - Cambridge (PW)</v>
      </c>
      <c r="B165" s="27" t="str">
        <v>NY</v>
      </c>
      <c r="C165" s="27" t="str">
        <f>Sites[[#This Row],[SOL'#]]</f>
        <v>SOL-11126</v>
      </c>
      <c r="D165" s="9">
        <f>SUM(Oct!D165, Nov!D165, Dec!D165)</f>
        <v>0</v>
      </c>
      <c r="E165" s="14">
        <f>SUM(Oct!E165, Nov!E165, Dec!E165)</f>
        <v>0</v>
      </c>
      <c r="F165" s="14">
        <f t="shared" si="11"/>
        <v>0</v>
      </c>
      <c r="G165" s="15" t="str">
        <f t="shared" si="9"/>
        <v/>
      </c>
      <c r="H165" s="16">
        <f>SUM(Oct!H165,Nov!H165,Dec!H165)</f>
        <v>0</v>
      </c>
      <c r="I165" s="16">
        <f>SUM(Oct!I165, Nov!I165, Dec!I165)</f>
        <v>0</v>
      </c>
      <c r="J165" s="15" t="str">
        <f t="shared" si="10"/>
        <v/>
      </c>
    </row>
    <row r="166" spans="1:10" ht="15.6">
      <c r="A166" s="24" t="str">
        <v>NY: Whitesville - Independence North</v>
      </c>
      <c r="B166" s="25" t="str">
        <v>NY</v>
      </c>
      <c r="C166" s="25" t="str">
        <f>Sites[[#This Row],[SOL'#]]</f>
        <v>SOL-11186</v>
      </c>
      <c r="D166" s="20">
        <f>SUM(Oct!D166, Nov!D166, Dec!D166)</f>
        <v>0</v>
      </c>
      <c r="E166" s="10">
        <f>SUM(Oct!E166, Nov!E166, Dec!E166)</f>
        <v>0</v>
      </c>
      <c r="F166" s="10">
        <f t="shared" si="11"/>
        <v>0</v>
      </c>
      <c r="G166" s="11" t="str">
        <f t="shared" si="9"/>
        <v/>
      </c>
      <c r="H166" s="12">
        <f>SUM(Oct!H166,Nov!H166,Dec!H166)</f>
        <v>0</v>
      </c>
      <c r="I166" s="12">
        <f>SUM(Oct!I166, Nov!I166, Dec!I166)</f>
        <v>0</v>
      </c>
      <c r="J166" s="13" t="str">
        <f t="shared" si="10"/>
        <v/>
      </c>
    </row>
    <row r="167" spans="1:10" ht="15.6">
      <c r="A167" s="26" t="str">
        <v>IL: Beecher - Cottage Grove North (PW)</v>
      </c>
      <c r="B167" s="27" t="str">
        <v>IL</v>
      </c>
      <c r="C167" s="27" t="str">
        <f>Sites[[#This Row],[SOL'#]]</f>
        <v>SOL-11114</v>
      </c>
      <c r="D167" s="9">
        <f>SUM(Oct!D167, Nov!D167, Dec!D167)</f>
        <v>0</v>
      </c>
      <c r="E167" s="14">
        <f>SUM(Oct!E167, Nov!E167, Dec!E167)</f>
        <v>0</v>
      </c>
      <c r="F167" s="14">
        <f t="shared" si="11"/>
        <v>0</v>
      </c>
      <c r="G167" s="15" t="str">
        <f t="shared" si="9"/>
        <v/>
      </c>
      <c r="H167" s="16">
        <f>SUM(Oct!H167,Nov!H167,Dec!H167)</f>
        <v>0</v>
      </c>
      <c r="I167" s="16">
        <f>SUM(Oct!I167, Nov!I167, Dec!I167)</f>
        <v>0</v>
      </c>
      <c r="J167" s="15" t="str">
        <f t="shared" si="10"/>
        <v/>
      </c>
    </row>
    <row r="168" spans="1:10" ht="15.6">
      <c r="A168" s="24" t="str">
        <v>IL: Beecher - Cottage Grove South (PW)</v>
      </c>
      <c r="B168" s="25" t="str">
        <v>IL</v>
      </c>
      <c r="C168" s="25" t="str">
        <f>Sites[[#This Row],[SOL'#]]</f>
        <v>SOL-11115</v>
      </c>
      <c r="D168" s="20">
        <f>SUM(Oct!D168, Nov!D168, Dec!D168)</f>
        <v>0</v>
      </c>
      <c r="E168" s="10">
        <f>SUM(Oct!E168, Nov!E168, Dec!E168)</f>
        <v>0</v>
      </c>
      <c r="F168" s="10">
        <f t="shared" si="11"/>
        <v>0</v>
      </c>
      <c r="G168" s="11" t="str">
        <f t="shared" si="9"/>
        <v/>
      </c>
      <c r="H168" s="12">
        <f>SUM(Oct!H168,Nov!H168,Dec!H168)</f>
        <v>0</v>
      </c>
      <c r="I168" s="12">
        <f>SUM(Oct!I168, Nov!I168, Dec!I168)</f>
        <v>0</v>
      </c>
      <c r="J168" s="13" t="str">
        <f t="shared" si="10"/>
        <v/>
      </c>
    </row>
    <row r="169" spans="1:10" ht="15.6">
      <c r="A169" s="26" t="str">
        <v>IL: Harvard - 9618 US HWY 14 (PW)</v>
      </c>
      <c r="B169" s="27" t="str">
        <v>IL</v>
      </c>
      <c r="C169" s="27" t="str">
        <f>Sites[[#This Row],[SOL'#]]</f>
        <v>SOL-11110</v>
      </c>
      <c r="D169" s="9">
        <f>SUM(Oct!D169, Nov!D169, Dec!D169)</f>
        <v>0</v>
      </c>
      <c r="E169" s="14">
        <f>SUM(Oct!E169, Nov!E169, Dec!E169)</f>
        <v>0</v>
      </c>
      <c r="F169" s="14">
        <f t="shared" si="11"/>
        <v>0</v>
      </c>
      <c r="G169" s="15" t="str">
        <f t="shared" si="9"/>
        <v/>
      </c>
      <c r="H169" s="16">
        <f>SUM(Oct!H169,Nov!H169,Dec!H169)</f>
        <v>0</v>
      </c>
      <c r="I169" s="16">
        <f>SUM(Oct!I169, Nov!I169, Dec!I169)</f>
        <v>0</v>
      </c>
      <c r="J169" s="15" t="str">
        <f t="shared" si="10"/>
        <v/>
      </c>
    </row>
    <row r="170" spans="1:10" ht="15.6">
      <c r="A170" s="24" t="str">
        <v>IL: Beecher - 701 E Goodenow Rd (PW)</v>
      </c>
      <c r="B170" s="25" t="str">
        <v>IL</v>
      </c>
      <c r="C170" s="25" t="str">
        <f>Sites[[#This Row],[SOL'#]]</f>
        <v>SOL-11112</v>
      </c>
      <c r="D170" s="20">
        <f>SUM(Oct!D170, Nov!D170, Dec!D170)</f>
        <v>0</v>
      </c>
      <c r="E170" s="10">
        <f>SUM(Oct!E170, Nov!E170, Dec!E170)</f>
        <v>0</v>
      </c>
      <c r="F170" s="10">
        <f t="shared" si="11"/>
        <v>0</v>
      </c>
      <c r="G170" s="11" t="str">
        <f t="shared" si="9"/>
        <v/>
      </c>
      <c r="H170" s="12">
        <f>SUM(Oct!H170,Nov!H170,Dec!H170)</f>
        <v>0</v>
      </c>
      <c r="I170" s="12">
        <f>SUM(Oct!I170, Nov!I170, Dec!I170)</f>
        <v>0</v>
      </c>
      <c r="J170" s="13" t="str">
        <f t="shared" si="10"/>
        <v/>
      </c>
    </row>
    <row r="171" spans="1:10" ht="15.6">
      <c r="A171" s="26" t="str">
        <v>NY: Stormville - Green Haven - (IRA)</v>
      </c>
      <c r="B171" s="27" t="str">
        <v>NY</v>
      </c>
      <c r="C171" s="27" t="str">
        <f>Sites[[#This Row],[SOL'#]]</f>
        <v>SOL-11151</v>
      </c>
      <c r="D171" s="9">
        <f>SUM(Oct!D171, Nov!D171, Dec!D171)</f>
        <v>0</v>
      </c>
      <c r="E171" s="14">
        <f>SUM(Oct!E171, Nov!E171, Dec!E171)</f>
        <v>0</v>
      </c>
      <c r="F171" s="14">
        <f t="shared" si="11"/>
        <v>0</v>
      </c>
      <c r="G171" s="15" t="str">
        <f t="shared" si="9"/>
        <v/>
      </c>
      <c r="H171" s="16">
        <f>SUM(Oct!H171,Nov!H171,Dec!H171)</f>
        <v>0</v>
      </c>
      <c r="I171" s="16">
        <f>SUM(Oct!I171, Nov!I171, Dec!I171)</f>
        <v>0</v>
      </c>
      <c r="J171" s="15" t="str">
        <f t="shared" si="10"/>
        <v/>
      </c>
    </row>
    <row r="172" spans="1:10" ht="15.6">
      <c r="A172" s="24" t="str">
        <v>IL: Hillsboro - Anacott (PW)</v>
      </c>
      <c r="B172" s="25" t="str">
        <v>IL</v>
      </c>
      <c r="C172" s="25" t="str">
        <f>Sites[[#This Row],[SOL'#]]</f>
        <v>SOL-11134</v>
      </c>
      <c r="D172" s="20">
        <f>SUM(Oct!D172, Nov!D172, Dec!D172)</f>
        <v>0</v>
      </c>
      <c r="E172" s="10">
        <f>SUM(Oct!E172, Nov!E172, Dec!E172)</f>
        <v>0</v>
      </c>
      <c r="F172" s="10">
        <f t="shared" si="11"/>
        <v>0</v>
      </c>
      <c r="G172" s="11" t="str">
        <f t="shared" si="9"/>
        <v/>
      </c>
      <c r="H172" s="12">
        <f>SUM(Oct!H172,Nov!H172,Dec!H172)</f>
        <v>0</v>
      </c>
      <c r="I172" s="12">
        <f>SUM(Oct!I172, Nov!I172, Dec!I172)</f>
        <v>0</v>
      </c>
      <c r="J172" s="13" t="str">
        <f t="shared" si="10"/>
        <v/>
      </c>
    </row>
    <row r="173" spans="1:10" ht="15.6">
      <c r="A173" s="26" t="str">
        <v>IL: Manhattan - Gougar (PW)</v>
      </c>
      <c r="B173" s="27" t="str">
        <v>IL</v>
      </c>
      <c r="C173" s="27" t="str">
        <f>Sites[[#This Row],[SOL'#]]</f>
        <v>SOL-11148</v>
      </c>
      <c r="D173" s="9">
        <f>SUM(Oct!D173, Nov!D173, Dec!D173)</f>
        <v>0</v>
      </c>
      <c r="E173" s="14">
        <f>SUM(Oct!E173, Nov!E173, Dec!E173)</f>
        <v>0</v>
      </c>
      <c r="F173" s="14">
        <f t="shared" si="11"/>
        <v>0</v>
      </c>
      <c r="G173" s="15" t="str">
        <f t="shared" si="9"/>
        <v/>
      </c>
      <c r="H173" s="16">
        <f>SUM(Oct!H173,Nov!H173,Dec!H173)</f>
        <v>0</v>
      </c>
      <c r="I173" s="16">
        <f>SUM(Oct!I173, Nov!I173, Dec!I173)</f>
        <v>0</v>
      </c>
      <c r="J173" s="15" t="str">
        <f t="shared" si="10"/>
        <v/>
      </c>
    </row>
    <row r="174" spans="1:10" ht="15.75">
      <c r="A174" s="24" t="str">
        <v>IL: Morrison - Sawyer (PW)</v>
      </c>
      <c r="B174" s="25" t="str">
        <v>IL</v>
      </c>
      <c r="C174" s="25" t="s">
        <v>11</v>
      </c>
      <c r="D174" s="20"/>
      <c r="E174" s="10"/>
      <c r="F174" s="10"/>
      <c r="G174" s="11"/>
      <c r="H174" s="12"/>
      <c r="I174" s="12"/>
      <c r="J174" s="13"/>
    </row>
    <row r="175" spans="1:10" ht="15.75">
      <c r="A175" s="26" t="str">
        <v>IL: Kankakee - Jeffery (PW)</v>
      </c>
      <c r="B175" s="27" t="str">
        <v>IL</v>
      </c>
      <c r="C175" s="27" t="s">
        <v>12</v>
      </c>
      <c r="D175" s="9"/>
      <c r="E175" s="14"/>
      <c r="F175" s="14"/>
      <c r="G175" s="15"/>
      <c r="H175" s="16"/>
      <c r="I175" s="16"/>
      <c r="J175" s="15"/>
    </row>
    <row r="176" spans="1:10" ht="15.75">
      <c r="A176" s="24" t="str">
        <v>IL: Freeport - 2240 South 18th Ave (PW)</v>
      </c>
      <c r="B176" s="25" t="str">
        <v>IL</v>
      </c>
      <c r="C176" s="25" t="s">
        <v>13</v>
      </c>
      <c r="D176" s="20"/>
      <c r="E176" s="10"/>
      <c r="F176" s="10"/>
      <c r="G176" s="11"/>
      <c r="H176" s="12"/>
      <c r="I176" s="12"/>
      <c r="J176" s="13"/>
    </row>
  </sheetData>
  <mergeCells count="4">
    <mergeCell ref="H1:J1"/>
    <mergeCell ref="A1:D1"/>
    <mergeCell ref="E1:G1"/>
    <mergeCell ref="A2:B2"/>
  </mergeCells>
  <conditionalFormatting sqref="G2 J2 G4:G176 J4:J176">
    <cfRule type="cellIs" dxfId="44" priority="23" stopIfTrue="1" operator="lessThanOrEqual">
      <formula>-0.1</formula>
    </cfRule>
    <cfRule type="expression" dxfId="43" priority="24">
      <formula>AND(ISNUMBER(G2), G2&gt;=0.1)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U176"/>
  <sheetViews>
    <sheetView tabSelected="1" zoomScale="83" zoomScaleNormal="83" workbookViewId="0">
      <pane xSplit="2" ySplit="3" topLeftCell="C169" activePane="bottomRight" state="frozen"/>
      <selection pane="bottomRight" activeCell="F189" sqref="F189"/>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4.140625" customWidth="1"/>
    <col min="12" max="12" width="22.85546875" customWidth="1"/>
    <col min="13" max="13" width="16.42578125" customWidth="1"/>
  </cols>
  <sheetData>
    <row r="1" spans="1:21" ht="19.5" customHeight="1">
      <c r="A1" s="195" t="str" cm="1">
        <f t="array" ref="A1">portfolio</f>
        <v>Generate Capital</v>
      </c>
      <c r="B1" s="195"/>
      <c r="C1" s="195"/>
      <c r="D1" s="195"/>
      <c r="E1" s="196" t="s">
        <v>22</v>
      </c>
      <c r="F1" s="196"/>
      <c r="G1" s="196"/>
      <c r="H1" s="194" t="s">
        <v>23</v>
      </c>
      <c r="I1" s="194"/>
      <c r="J1" s="194"/>
      <c r="K1" s="4"/>
      <c r="L1" s="4"/>
      <c r="M1" s="4"/>
    </row>
    <row r="2" spans="1:21" ht="19.5" customHeight="1">
      <c r="A2" s="197" t="s">
        <v>2</v>
      </c>
      <c r="B2" s="197"/>
      <c r="C2" s="57"/>
      <c r="D2" s="5">
        <f>SUM(D4:D95)</f>
        <v>6351649.279534</v>
      </c>
      <c r="E2" s="5">
        <f>SUM(E4:E95)</f>
        <v>4972201.0810000002</v>
      </c>
      <c r="F2" s="5">
        <f>D2-E2</f>
        <v>1379448.1985339997</v>
      </c>
      <c r="G2" s="6">
        <f>IFERROR(F2/E2, 0)</f>
        <v>0.27743210221429088</v>
      </c>
      <c r="H2" s="5">
        <f>SUM(H4:H95)</f>
        <v>10776605.211074498</v>
      </c>
      <c r="I2" s="7">
        <f>D2-H2</f>
        <v>-4424955.9315404976</v>
      </c>
      <c r="J2" s="6">
        <f>IFERROR(I2/H2, 0)</f>
        <v>-0.41060759347416986</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2"/>
      <c r="M2" s="22"/>
    </row>
    <row r="3" spans="1:21" ht="14.25" customHeight="1">
      <c r="A3" s="23" t="s">
        <v>3</v>
      </c>
      <c r="B3" s="8" t="s">
        <v>4</v>
      </c>
      <c r="C3" s="8" t="s">
        <v>5</v>
      </c>
      <c r="D3" s="19" t="s">
        <v>6</v>
      </c>
      <c r="E3" s="31" t="s">
        <v>7</v>
      </c>
      <c r="F3" s="31" t="s">
        <v>8</v>
      </c>
      <c r="G3" s="32" t="s">
        <v>9</v>
      </c>
      <c r="H3" s="36" t="s">
        <v>10</v>
      </c>
      <c r="I3" s="34" t="s">
        <v>8</v>
      </c>
      <c r="J3" s="35" t="s">
        <v>9</v>
      </c>
      <c r="K3" s="21" t="s">
        <v>24</v>
      </c>
      <c r="L3" s="21" t="s">
        <v>25</v>
      </c>
      <c r="M3" s="21" t="s">
        <v>26</v>
      </c>
    </row>
    <row r="4" spans="1:21" ht="28.9">
      <c r="A4" s="26" t="str" cm="1">
        <f t="array" ref="A4:A176">Sites[Site]</f>
        <v>K026</v>
      </c>
      <c r="B4" s="27" t="str" cm="1">
        <f t="array" ref="B4:B176">Sites[State]</f>
        <v>NY</v>
      </c>
      <c r="C4" s="27" t="str">
        <f>Sites[[#This Row],[SOL'#]]</f>
        <v>SOL-10356</v>
      </c>
      <c r="D4" s="9">
        <v>8328.1080000000002</v>
      </c>
      <c r="E4" s="14">
        <v>12159.88</v>
      </c>
      <c r="F4" s="14">
        <f t="shared" ref="F4:F62" si="0">IF(AND(ISNUMBER(D4),ISNUMBER(E4)), D4-E4, "")</f>
        <v>-3831.771999999999</v>
      </c>
      <c r="G4" s="15">
        <f t="shared" ref="G4:G62" si="1">IFERROR(F4/E4, "")</f>
        <v>-0.31511593864413129</v>
      </c>
      <c r="H4" s="16">
        <v>11055.95</v>
      </c>
      <c r="I4" s="16">
        <f>IF(AND(ISNUMBER(D4),ISNUMBER(H4)), D4-H4, "")</f>
        <v>-2727.8420000000006</v>
      </c>
      <c r="J4" s="15">
        <f t="shared" ref="J4:J64" si="2">IFERROR(I4/H4, "")</f>
        <v>-0.24673067443322377</v>
      </c>
      <c r="K4" s="50" t="s">
        <v>27</v>
      </c>
      <c r="L4" s="110" t="s">
        <v>28</v>
      </c>
      <c r="M4" s="50" t="s">
        <v>29</v>
      </c>
      <c r="N4" s="111" t="s">
        <v>30</v>
      </c>
      <c r="O4" s="103"/>
      <c r="P4" s="103"/>
      <c r="Q4" s="103"/>
      <c r="R4" s="103"/>
      <c r="S4" s="103"/>
      <c r="T4" s="103"/>
      <c r="U4" s="103"/>
    </row>
    <row r="5" spans="1:21" ht="28.9">
      <c r="A5" s="24" t="str">
        <v>K041</v>
      </c>
      <c r="B5" s="25" t="str">
        <v>NY</v>
      </c>
      <c r="C5" s="25" t="str">
        <f>Sites[[#This Row],[SOL'#]]</f>
        <v>SOL-10357</v>
      </c>
      <c r="D5" s="20">
        <v>5871.53125</v>
      </c>
      <c r="E5" s="10">
        <v>9407.4670000000006</v>
      </c>
      <c r="F5" s="10">
        <f t="shared" si="0"/>
        <v>-3535.9357500000006</v>
      </c>
      <c r="G5" s="11">
        <f t="shared" si="1"/>
        <v>-0.37586480505326253</v>
      </c>
      <c r="H5" s="12">
        <v>9924</v>
      </c>
      <c r="I5" s="12">
        <f>IF(AND(ISNUMBER(D5),ISNUMBER(H5)), D5-H5, "")</f>
        <v>-4052.46875</v>
      </c>
      <c r="J5" s="13">
        <f t="shared" si="2"/>
        <v>-0.40835033756549777</v>
      </c>
      <c r="K5" s="37" t="s">
        <v>31</v>
      </c>
      <c r="L5" s="37"/>
      <c r="M5" s="37"/>
      <c r="O5" s="103"/>
      <c r="P5" s="103"/>
      <c r="Q5" s="103"/>
      <c r="R5" s="103"/>
      <c r="S5" s="103"/>
      <c r="T5" s="103"/>
      <c r="U5" s="103"/>
    </row>
    <row r="6" spans="1:21" ht="28.9">
      <c r="A6" s="26" t="str">
        <v>K043</v>
      </c>
      <c r="B6" s="27" t="str">
        <v>NY</v>
      </c>
      <c r="C6" s="27" t="str">
        <f>Sites[[#This Row],[SOL'#]]</f>
        <v>SOL-10358</v>
      </c>
      <c r="D6" s="9">
        <v>7527.0625</v>
      </c>
      <c r="E6" s="14">
        <v>10861.06</v>
      </c>
      <c r="F6" s="14">
        <f t="shared" si="0"/>
        <v>-3333.9974999999995</v>
      </c>
      <c r="G6" s="15">
        <f t="shared" si="1"/>
        <v>-0.30696796629426593</v>
      </c>
      <c r="H6" s="16">
        <v>2303</v>
      </c>
      <c r="I6" s="16">
        <f t="shared" ref="I6:I64" si="3">IF(AND(ISNUMBER(D6),ISNUMBER(H6)), D6-H6, "")</f>
        <v>5224.0625</v>
      </c>
      <c r="J6" s="15">
        <f t="shared" si="2"/>
        <v>2.2683727746417714</v>
      </c>
      <c r="K6" s="50" t="s">
        <v>32</v>
      </c>
      <c r="L6" s="50"/>
      <c r="M6" s="50"/>
      <c r="O6" s="103"/>
      <c r="P6" s="103"/>
      <c r="Q6" s="103"/>
      <c r="R6" s="103"/>
      <c r="S6" s="103"/>
      <c r="T6" s="103"/>
      <c r="U6" s="103"/>
    </row>
    <row r="7" spans="1:21" ht="15.6">
      <c r="A7" s="24" t="str">
        <v>K058</v>
      </c>
      <c r="B7" s="25" t="str">
        <v>NY</v>
      </c>
      <c r="C7" s="25" t="str">
        <f>Sites[[#This Row],[SOL'#]]</f>
        <v>SOL-10360</v>
      </c>
      <c r="D7" s="20">
        <v>5490.6875</v>
      </c>
      <c r="E7" s="10">
        <v>8437.1679999999997</v>
      </c>
      <c r="F7" s="10">
        <f t="shared" si="0"/>
        <v>-2946.4804999999997</v>
      </c>
      <c r="G7" s="11">
        <f t="shared" si="1"/>
        <v>-0.34922624510973349</v>
      </c>
      <c r="H7" s="12">
        <v>9101.3259999999991</v>
      </c>
      <c r="I7" s="12">
        <f t="shared" si="3"/>
        <v>-3610.6384999999991</v>
      </c>
      <c r="J7" s="13">
        <f t="shared" si="2"/>
        <v>-0.39671565440024886</v>
      </c>
      <c r="K7" s="49" t="s">
        <v>33</v>
      </c>
      <c r="L7" s="49"/>
      <c r="M7" s="49"/>
      <c r="O7" s="103"/>
      <c r="P7" s="103"/>
      <c r="Q7" s="103"/>
      <c r="R7" s="103"/>
      <c r="S7" s="103"/>
      <c r="T7" s="103"/>
      <c r="U7" s="103"/>
    </row>
    <row r="8" spans="1:21" ht="15.6">
      <c r="A8" s="26" t="str">
        <v>K115</v>
      </c>
      <c r="B8" s="27" t="str">
        <v>NY</v>
      </c>
      <c r="C8" s="27" t="str">
        <f>Sites[[#This Row],[SOL'#]]</f>
        <v>SOL-10361</v>
      </c>
      <c r="D8" s="9">
        <v>3483.875</v>
      </c>
      <c r="E8" s="14">
        <v>7300.8069999999998</v>
      </c>
      <c r="F8" s="14">
        <f t="shared" si="0"/>
        <v>-3816.9319999999998</v>
      </c>
      <c r="G8" s="15">
        <f t="shared" si="1"/>
        <v>-0.52280960173306867</v>
      </c>
      <c r="H8" s="16">
        <v>5565.8819999999996</v>
      </c>
      <c r="I8" s="16">
        <f t="shared" si="3"/>
        <v>-2082.0069999999996</v>
      </c>
      <c r="J8" s="15">
        <f t="shared" si="2"/>
        <v>-0.37406596115404528</v>
      </c>
      <c r="K8" s="185" t="s">
        <v>34</v>
      </c>
      <c r="L8" s="185"/>
      <c r="M8" s="185"/>
      <c r="O8" s="103"/>
      <c r="P8" s="103"/>
      <c r="Q8" s="103"/>
      <c r="R8" s="103"/>
      <c r="S8" s="103"/>
      <c r="T8" s="103"/>
      <c r="U8" s="103"/>
    </row>
    <row r="9" spans="1:21" ht="28.9">
      <c r="A9" s="24" t="str">
        <v>K152</v>
      </c>
      <c r="B9" s="25" t="str">
        <v>NY</v>
      </c>
      <c r="C9" s="25" t="str">
        <f>Sites[[#This Row],[SOL'#]]</f>
        <v>SOL-10362</v>
      </c>
      <c r="D9" s="20">
        <v>2067.4375</v>
      </c>
      <c r="E9" s="10">
        <v>4344.8900000000003</v>
      </c>
      <c r="F9" s="10">
        <f t="shared" si="0"/>
        <v>-2277.4525000000003</v>
      </c>
      <c r="G9" s="11">
        <f t="shared" si="1"/>
        <v>-0.52416804568124853</v>
      </c>
      <c r="H9" s="12">
        <v>3567</v>
      </c>
      <c r="I9" s="12">
        <f t="shared" si="3"/>
        <v>-1499.5625</v>
      </c>
      <c r="J9" s="13">
        <f t="shared" si="2"/>
        <v>-0.42039879450518641</v>
      </c>
      <c r="K9" s="37" t="s">
        <v>35</v>
      </c>
      <c r="L9" s="109" t="s">
        <v>36</v>
      </c>
      <c r="M9" s="37" t="s">
        <v>37</v>
      </c>
      <c r="O9" s="103"/>
      <c r="P9" s="103"/>
      <c r="Q9" s="103"/>
      <c r="R9" s="103"/>
      <c r="S9" s="103"/>
      <c r="T9" s="103"/>
      <c r="U9" s="103"/>
    </row>
    <row r="10" spans="1:21" ht="28.9">
      <c r="A10" s="26" t="str">
        <v>K166</v>
      </c>
      <c r="B10" s="27" t="str">
        <v>NY</v>
      </c>
      <c r="C10" s="27" t="str">
        <f>Sites[[#This Row],[SOL'#]]</f>
        <v>SOL-10363</v>
      </c>
      <c r="D10" s="9">
        <v>7527.75</v>
      </c>
      <c r="E10" s="14">
        <v>16102.59</v>
      </c>
      <c r="F10" s="14">
        <f t="shared" si="0"/>
        <v>-8574.84</v>
      </c>
      <c r="G10" s="15">
        <f t="shared" si="1"/>
        <v>-0.53251309261429369</v>
      </c>
      <c r="H10" s="16">
        <v>12064.56</v>
      </c>
      <c r="I10" s="16">
        <f t="shared" si="3"/>
        <v>-4536.8099999999995</v>
      </c>
      <c r="J10" s="15">
        <f t="shared" si="2"/>
        <v>-0.37604438122898803</v>
      </c>
      <c r="K10" s="50" t="s">
        <v>38</v>
      </c>
      <c r="L10" s="110" t="s">
        <v>39</v>
      </c>
      <c r="M10" s="50" t="s">
        <v>37</v>
      </c>
      <c r="O10" s="103"/>
      <c r="P10" s="103"/>
      <c r="Q10" s="103"/>
      <c r="R10" s="103"/>
      <c r="S10" s="103"/>
      <c r="T10" s="103"/>
      <c r="U10" s="103"/>
    </row>
    <row r="11" spans="1:21" ht="15.6">
      <c r="A11" s="24" t="str">
        <v>K206</v>
      </c>
      <c r="B11" s="25" t="str">
        <v>NY</v>
      </c>
      <c r="C11" s="25" t="str">
        <f>Sites[[#This Row],[SOL'#]]</f>
        <v>SOL-10927</v>
      </c>
      <c r="D11" s="20">
        <v>5243.875</v>
      </c>
      <c r="E11" s="10">
        <v>5255.2420000000002</v>
      </c>
      <c r="F11" s="10">
        <f t="shared" si="0"/>
        <v>-11.367000000000189</v>
      </c>
      <c r="G11" s="11">
        <f t="shared" si="1"/>
        <v>-2.1629831699473E-3</v>
      </c>
      <c r="H11" s="12">
        <v>6894</v>
      </c>
      <c r="I11" s="12">
        <f t="shared" si="3"/>
        <v>-1650.125</v>
      </c>
      <c r="J11" s="13">
        <f t="shared" si="2"/>
        <v>-0.23935668697418044</v>
      </c>
      <c r="K11" s="37" t="s">
        <v>40</v>
      </c>
      <c r="L11" s="37"/>
      <c r="M11" s="37"/>
      <c r="O11" s="103"/>
      <c r="P11" s="103"/>
      <c r="Q11" s="103"/>
      <c r="R11" s="103"/>
      <c r="S11" s="103"/>
      <c r="T11" s="103"/>
      <c r="U11" s="103"/>
    </row>
    <row r="12" spans="1:21" ht="33" customHeight="1">
      <c r="A12" s="26" t="str">
        <v>K251</v>
      </c>
      <c r="B12" s="27" t="str">
        <v>NY</v>
      </c>
      <c r="C12" s="27" t="str">
        <f>Sites[[#This Row],[SOL'#]]</f>
        <v>SOL-10365</v>
      </c>
      <c r="D12" s="9">
        <v>5285.5625</v>
      </c>
      <c r="E12" s="14">
        <v>0</v>
      </c>
      <c r="F12" s="14">
        <f t="shared" si="0"/>
        <v>5285.5625</v>
      </c>
      <c r="G12" s="15" t="str">
        <f t="shared" si="1"/>
        <v/>
      </c>
      <c r="H12" s="16">
        <v>8483.0939999999991</v>
      </c>
      <c r="I12" s="16">
        <f t="shared" si="3"/>
        <v>-3197.5314999999991</v>
      </c>
      <c r="J12" s="15">
        <f t="shared" si="2"/>
        <v>-0.37692986780530774</v>
      </c>
      <c r="K12" s="50" t="s">
        <v>41</v>
      </c>
      <c r="L12" s="110" t="s">
        <v>42</v>
      </c>
      <c r="M12" s="50" t="s">
        <v>43</v>
      </c>
      <c r="N12" s="111" t="s">
        <v>44</v>
      </c>
      <c r="O12" s="103"/>
      <c r="P12" s="103"/>
      <c r="Q12" s="103"/>
      <c r="R12" s="103"/>
      <c r="S12" s="103"/>
      <c r="T12" s="103"/>
      <c r="U12" s="103"/>
    </row>
    <row r="13" spans="1:21" ht="57.6">
      <c r="A13" s="24" t="str">
        <v>K269</v>
      </c>
      <c r="B13" s="25" t="str">
        <v>NY</v>
      </c>
      <c r="C13" s="25" t="str">
        <f>Sites[[#This Row],[SOL'#]]</f>
        <v>SOL-10366</v>
      </c>
      <c r="D13" s="20">
        <v>4482.4375</v>
      </c>
      <c r="E13" s="10">
        <v>7734.4859999999999</v>
      </c>
      <c r="F13" s="10">
        <f t="shared" si="0"/>
        <v>-3252.0484999999999</v>
      </c>
      <c r="G13" s="11">
        <f t="shared" si="1"/>
        <v>-0.42046084251752475</v>
      </c>
      <c r="H13" s="12">
        <v>7723.1490000000003</v>
      </c>
      <c r="I13" s="12">
        <f t="shared" si="3"/>
        <v>-3240.7115000000003</v>
      </c>
      <c r="J13" s="13">
        <f t="shared" si="2"/>
        <v>-0.41961012276210136</v>
      </c>
      <c r="K13" s="37" t="s">
        <v>45</v>
      </c>
      <c r="L13" s="109" t="s">
        <v>46</v>
      </c>
      <c r="M13" s="37" t="s">
        <v>47</v>
      </c>
      <c r="O13" s="103"/>
      <c r="P13" s="103"/>
      <c r="Q13" s="103"/>
      <c r="R13" s="103"/>
      <c r="S13" s="103"/>
      <c r="T13" s="103"/>
      <c r="U13" s="103"/>
    </row>
    <row r="14" spans="1:21" ht="43.15">
      <c r="A14" s="26" t="str">
        <v>K273</v>
      </c>
      <c r="B14" s="27" t="str">
        <v>NY</v>
      </c>
      <c r="C14" s="27" t="str">
        <f>Sites[[#This Row],[SOL'#]]</f>
        <v>SOL-10367</v>
      </c>
      <c r="D14" s="9">
        <v>4816.2672739999998</v>
      </c>
      <c r="E14" s="14">
        <v>0</v>
      </c>
      <c r="F14" s="14">
        <f t="shared" si="0"/>
        <v>4816.2672739999998</v>
      </c>
      <c r="G14" s="15" t="str">
        <f t="shared" si="1"/>
        <v/>
      </c>
      <c r="H14" s="16">
        <v>9546</v>
      </c>
      <c r="I14" s="16">
        <f t="shared" si="3"/>
        <v>-4729.7327260000002</v>
      </c>
      <c r="J14" s="15">
        <f t="shared" si="2"/>
        <v>-0.49546749696207837</v>
      </c>
      <c r="K14" s="50" t="s">
        <v>48</v>
      </c>
      <c r="L14" s="110" t="s">
        <v>49</v>
      </c>
      <c r="M14" s="50" t="s">
        <v>50</v>
      </c>
      <c r="N14" s="111" t="s">
        <v>51</v>
      </c>
      <c r="O14" s="103"/>
      <c r="P14" s="103"/>
      <c r="Q14" s="103"/>
      <c r="R14" s="103"/>
      <c r="S14" s="103"/>
      <c r="T14" s="103"/>
      <c r="U14" s="103"/>
    </row>
    <row r="15" spans="1:21" ht="15.6">
      <c r="A15" s="24" t="str">
        <v>K287</v>
      </c>
      <c r="B15" s="25" t="str">
        <v>NY</v>
      </c>
      <c r="C15" s="25" t="str">
        <f>Sites[[#This Row],[SOL'#]]</f>
        <v>SOL-10919</v>
      </c>
      <c r="D15" s="20">
        <v>4113.1875</v>
      </c>
      <c r="E15" s="10">
        <v>5386.8280000000004</v>
      </c>
      <c r="F15" s="10">
        <f t="shared" si="0"/>
        <v>-1273.6405000000004</v>
      </c>
      <c r="G15" s="11">
        <f t="shared" si="1"/>
        <v>-0.23643608075104688</v>
      </c>
      <c r="H15" s="12">
        <v>7303</v>
      </c>
      <c r="I15" s="12">
        <f t="shared" si="3"/>
        <v>-3189.8125</v>
      </c>
      <c r="J15" s="13">
        <f t="shared" si="2"/>
        <v>-0.43678111734903463</v>
      </c>
      <c r="K15" s="37" t="s">
        <v>33</v>
      </c>
      <c r="L15" s="37"/>
      <c r="M15" s="37"/>
      <c r="O15" s="103"/>
      <c r="P15" s="103"/>
      <c r="Q15" s="103"/>
      <c r="R15" s="103"/>
      <c r="S15" s="103"/>
      <c r="T15" s="103"/>
      <c r="U15" s="103"/>
    </row>
    <row r="16" spans="1:21" ht="18" customHeight="1">
      <c r="A16" s="26" t="str">
        <v>K298</v>
      </c>
      <c r="B16" s="27" t="str">
        <v>NY</v>
      </c>
      <c r="C16" s="27" t="str">
        <f>Sites[[#This Row],[SOL'#]]</f>
        <v>SOL-10368</v>
      </c>
      <c r="D16" s="9">
        <v>3551.375</v>
      </c>
      <c r="E16" s="14">
        <v>6917.152</v>
      </c>
      <c r="F16" s="14">
        <f t="shared" si="0"/>
        <v>-3365.777</v>
      </c>
      <c r="G16" s="15">
        <f t="shared" si="1"/>
        <v>-0.48658421847604333</v>
      </c>
      <c r="H16" s="16">
        <v>6119</v>
      </c>
      <c r="I16" s="16">
        <f t="shared" si="3"/>
        <v>-2567.625</v>
      </c>
      <c r="J16" s="15">
        <f t="shared" si="2"/>
        <v>-0.41961513319169796</v>
      </c>
      <c r="K16" s="129" t="s">
        <v>33</v>
      </c>
      <c r="L16" s="129"/>
      <c r="M16" s="129"/>
      <c r="O16" s="103"/>
      <c r="P16" s="103"/>
      <c r="Q16" s="103"/>
      <c r="R16" s="103"/>
      <c r="S16" s="103"/>
      <c r="T16" s="103"/>
      <c r="U16" s="103"/>
    </row>
    <row r="17" spans="1:21" ht="28.9">
      <c r="A17" s="24" t="str">
        <v>K335</v>
      </c>
      <c r="B17" s="25" t="str">
        <v>NY</v>
      </c>
      <c r="C17" s="25" t="str">
        <f>Sites[[#This Row],[SOL'#]]</f>
        <v>SOL-10370</v>
      </c>
      <c r="D17" s="20">
        <v>4369.8125</v>
      </c>
      <c r="E17" s="10">
        <v>7302.4170000000004</v>
      </c>
      <c r="F17" s="10">
        <f t="shared" si="0"/>
        <v>-2932.6045000000004</v>
      </c>
      <c r="G17" s="11">
        <f t="shared" si="1"/>
        <v>-0.40159367781927546</v>
      </c>
      <c r="H17" s="12">
        <v>8179</v>
      </c>
      <c r="I17" s="12">
        <f t="shared" si="3"/>
        <v>-3809.1875</v>
      </c>
      <c r="J17" s="13">
        <f t="shared" si="2"/>
        <v>-0.46572777845702407</v>
      </c>
      <c r="K17" s="37" t="s">
        <v>52</v>
      </c>
      <c r="L17" s="37"/>
      <c r="M17" s="37"/>
      <c r="O17" s="103"/>
      <c r="P17" s="103"/>
      <c r="Q17" s="103"/>
      <c r="R17" s="103"/>
      <c r="S17" s="103"/>
      <c r="T17" s="103"/>
      <c r="U17" s="103"/>
    </row>
    <row r="18" spans="1:21" ht="15.6">
      <c r="A18" s="26" t="str">
        <v>K345</v>
      </c>
      <c r="B18" s="27" t="str">
        <v>NY</v>
      </c>
      <c r="C18" s="27" t="str">
        <f>Sites[[#This Row],[SOL'#]]</f>
        <v>SOL-10920</v>
      </c>
      <c r="D18" s="9">
        <v>5288.71875</v>
      </c>
      <c r="E18" s="14">
        <v>5418.4340000000002</v>
      </c>
      <c r="F18" s="14">
        <f t="shared" si="0"/>
        <v>-129.7152500000002</v>
      </c>
      <c r="G18" s="15">
        <f t="shared" si="1"/>
        <v>-2.3939619823735086E-2</v>
      </c>
      <c r="H18" s="16">
        <v>6910</v>
      </c>
      <c r="I18" s="16">
        <f t="shared" si="3"/>
        <v>-1621.28125</v>
      </c>
      <c r="J18" s="15">
        <f t="shared" si="2"/>
        <v>-0.2346282561505065</v>
      </c>
      <c r="K18" s="50" t="s">
        <v>33</v>
      </c>
      <c r="L18" s="50"/>
      <c r="M18" s="50"/>
      <c r="O18" s="103"/>
      <c r="P18" s="103"/>
      <c r="Q18" s="103"/>
      <c r="R18" s="103"/>
      <c r="S18" s="103"/>
      <c r="T18" s="103"/>
      <c r="U18" s="103"/>
    </row>
    <row r="19" spans="1:21" ht="15.6">
      <c r="A19" s="24" t="str">
        <v>K445</v>
      </c>
      <c r="B19" s="25" t="str">
        <v>NY</v>
      </c>
      <c r="C19" s="25" t="str">
        <f>Sites[[#This Row],[SOL'#]]</f>
        <v>SOL-10373</v>
      </c>
      <c r="D19" s="20">
        <v>4901</v>
      </c>
      <c r="E19" s="10">
        <v>7406.31</v>
      </c>
      <c r="F19" s="10">
        <f t="shared" si="0"/>
        <v>-2505.3100000000004</v>
      </c>
      <c r="G19" s="11">
        <f t="shared" si="1"/>
        <v>-0.33826696425075381</v>
      </c>
      <c r="H19" s="12">
        <v>6782.6149999999998</v>
      </c>
      <c r="I19" s="12">
        <f t="shared" si="3"/>
        <v>-1881.6149999999998</v>
      </c>
      <c r="J19" s="13">
        <f t="shared" si="2"/>
        <v>-0.27741733829798682</v>
      </c>
      <c r="K19" s="37" t="s">
        <v>53</v>
      </c>
      <c r="L19" s="37"/>
      <c r="M19" s="37"/>
      <c r="O19" s="103"/>
      <c r="P19" s="103"/>
      <c r="Q19" s="103"/>
      <c r="R19" s="103"/>
      <c r="S19" s="103"/>
      <c r="T19" s="103"/>
      <c r="U19" s="103"/>
    </row>
    <row r="20" spans="1:21" ht="28.9">
      <c r="A20" s="26" t="str">
        <v>K495</v>
      </c>
      <c r="B20" s="27" t="str">
        <v>NY</v>
      </c>
      <c r="C20" s="27" t="str">
        <f>Sites[[#This Row],[SOL'#]]</f>
        <v>SOL-10374</v>
      </c>
      <c r="D20" s="9">
        <v>20126.75</v>
      </c>
      <c r="E20" s="14">
        <v>28959.78</v>
      </c>
      <c r="F20" s="14">
        <f t="shared" si="0"/>
        <v>-8833.0299999999988</v>
      </c>
      <c r="G20" s="15">
        <f t="shared" si="1"/>
        <v>-0.30501025905583534</v>
      </c>
      <c r="H20" s="16">
        <v>49040.59</v>
      </c>
      <c r="I20" s="16">
        <f t="shared" si="3"/>
        <v>-28913.839999999997</v>
      </c>
      <c r="J20" s="15">
        <f t="shared" si="2"/>
        <v>-0.58958997026748661</v>
      </c>
      <c r="K20" s="50" t="s">
        <v>54</v>
      </c>
      <c r="L20" s="110" t="s">
        <v>55</v>
      </c>
      <c r="M20" s="50" t="s">
        <v>47</v>
      </c>
      <c r="O20" s="103"/>
      <c r="P20" s="103"/>
      <c r="Q20" s="103"/>
      <c r="R20" s="103"/>
      <c r="S20" s="103"/>
      <c r="T20" s="103"/>
      <c r="U20" s="103"/>
    </row>
    <row r="21" spans="1:21" ht="15.6">
      <c r="A21" s="24" t="str">
        <v>M020</v>
      </c>
      <c r="B21" s="25" t="str">
        <v>NY</v>
      </c>
      <c r="C21" s="25" t="str">
        <f>Sites[[#This Row],[SOL'#]]</f>
        <v>SOL-10380</v>
      </c>
      <c r="D21" s="20">
        <v>5231.96875</v>
      </c>
      <c r="E21" s="10">
        <v>7045.7389999999996</v>
      </c>
      <c r="F21" s="10">
        <f t="shared" si="0"/>
        <v>-1813.7702499999996</v>
      </c>
      <c r="G21" s="11">
        <f t="shared" si="1"/>
        <v>-0.25742796461804784</v>
      </c>
      <c r="H21" s="12">
        <v>9125</v>
      </c>
      <c r="I21" s="12">
        <f t="shared" si="3"/>
        <v>-3893.03125</v>
      </c>
      <c r="J21" s="13">
        <f t="shared" si="2"/>
        <v>-0.42663356164383559</v>
      </c>
      <c r="K21" s="37" t="s">
        <v>33</v>
      </c>
      <c r="L21" s="37"/>
      <c r="M21" s="37"/>
      <c r="O21" s="103"/>
      <c r="P21" s="103"/>
      <c r="Q21" s="103"/>
      <c r="R21" s="103"/>
      <c r="S21" s="103"/>
      <c r="T21" s="103"/>
      <c r="U21" s="103"/>
    </row>
    <row r="22" spans="1:21" ht="15.6">
      <c r="A22" s="26" t="str">
        <v>M092</v>
      </c>
      <c r="B22" s="27" t="str">
        <v>NY</v>
      </c>
      <c r="C22" s="27" t="str">
        <f>Sites[[#This Row],[SOL'#]]</f>
        <v>SOL-10383</v>
      </c>
      <c r="D22" s="9">
        <v>4773.3125</v>
      </c>
      <c r="E22" s="14">
        <v>7344.2849999999999</v>
      </c>
      <c r="F22" s="14">
        <f t="shared" si="0"/>
        <v>-2570.9724999999999</v>
      </c>
      <c r="G22" s="15">
        <f t="shared" si="1"/>
        <v>-0.35006436977867822</v>
      </c>
      <c r="H22" s="16">
        <v>8137.5959999999995</v>
      </c>
      <c r="I22" s="16">
        <f t="shared" si="3"/>
        <v>-3364.2834999999995</v>
      </c>
      <c r="J22" s="15">
        <f t="shared" si="2"/>
        <v>-0.41342473870661556</v>
      </c>
      <c r="K22" s="50" t="s">
        <v>33</v>
      </c>
      <c r="L22" s="50"/>
      <c r="M22" s="50"/>
      <c r="O22" s="103"/>
      <c r="P22" s="103"/>
      <c r="Q22" s="103"/>
      <c r="R22" s="103"/>
      <c r="S22" s="103"/>
      <c r="T22" s="103"/>
      <c r="U22" s="103"/>
    </row>
    <row r="23" spans="1:21" ht="15.6">
      <c r="A23" s="24" t="str">
        <v>M143</v>
      </c>
      <c r="B23" s="25" t="str">
        <v>NY</v>
      </c>
      <c r="C23" s="25" t="str">
        <f>Sites[[#This Row],[SOL'#]]</f>
        <v>SOL-10384</v>
      </c>
      <c r="D23" s="20">
        <v>4837.8125</v>
      </c>
      <c r="E23" s="10">
        <v>7607.8310000000001</v>
      </c>
      <c r="F23" s="10">
        <f t="shared" si="0"/>
        <v>-2770.0185000000001</v>
      </c>
      <c r="G23" s="11">
        <f t="shared" si="1"/>
        <v>-0.36410095071775384</v>
      </c>
      <c r="H23" s="12">
        <v>8659.26</v>
      </c>
      <c r="I23" s="12">
        <f t="shared" si="3"/>
        <v>-3821.4475000000002</v>
      </c>
      <c r="J23" s="13">
        <f t="shared" si="2"/>
        <v>-0.44131340322383206</v>
      </c>
      <c r="K23" s="37" t="s">
        <v>33</v>
      </c>
      <c r="L23" s="37"/>
      <c r="M23" s="37"/>
      <c r="O23" s="103"/>
      <c r="P23" s="103"/>
      <c r="Q23" s="103"/>
      <c r="R23" s="103"/>
      <c r="S23" s="103"/>
      <c r="T23" s="103"/>
      <c r="U23" s="103"/>
    </row>
    <row r="24" spans="1:21" ht="28.9">
      <c r="A24" s="26" t="str">
        <v>M144</v>
      </c>
      <c r="B24" s="27" t="str">
        <v>NY</v>
      </c>
      <c r="C24" s="27" t="str">
        <f>Sites[[#This Row],[SOL'#]]</f>
        <v>SOL-10385</v>
      </c>
      <c r="D24" s="9">
        <v>7799.625</v>
      </c>
      <c r="E24" s="14">
        <v>13319.92</v>
      </c>
      <c r="F24" s="14">
        <f t="shared" si="0"/>
        <v>-5520.2950000000001</v>
      </c>
      <c r="G24" s="15">
        <f t="shared" si="1"/>
        <v>-0.4144390506849891</v>
      </c>
      <c r="H24" s="16">
        <v>23584.05</v>
      </c>
      <c r="I24" s="16">
        <f t="shared" si="3"/>
        <v>-15784.424999999999</v>
      </c>
      <c r="J24" s="15">
        <f t="shared" si="2"/>
        <v>-0.66928390161995077</v>
      </c>
      <c r="K24" s="50" t="s">
        <v>56</v>
      </c>
      <c r="L24" s="50"/>
      <c r="M24" s="50"/>
      <c r="O24" s="103"/>
      <c r="P24" s="103"/>
      <c r="Q24" s="103"/>
      <c r="R24" s="103"/>
      <c r="S24" s="103"/>
      <c r="T24" s="103"/>
      <c r="U24" s="103"/>
    </row>
    <row r="25" spans="1:21" ht="15.6">
      <c r="A25" s="24" t="str">
        <v>M167</v>
      </c>
      <c r="B25" s="25" t="str">
        <v>NY</v>
      </c>
      <c r="C25" s="25" t="str">
        <f>Sites[[#This Row],[SOL'#]]</f>
        <v>SOL-10386</v>
      </c>
      <c r="D25" s="20">
        <v>4931.21875</v>
      </c>
      <c r="E25" s="10">
        <v>5726.7839999999997</v>
      </c>
      <c r="F25" s="10">
        <f t="shared" si="0"/>
        <v>-795.56524999999965</v>
      </c>
      <c r="G25" s="11">
        <f t="shared" si="1"/>
        <v>-0.13892007276684432</v>
      </c>
      <c r="H25" s="12">
        <v>8065.7079999999996</v>
      </c>
      <c r="I25" s="12">
        <f t="shared" si="3"/>
        <v>-3134.4892499999996</v>
      </c>
      <c r="J25" s="13">
        <f t="shared" si="2"/>
        <v>-0.38861923218643668</v>
      </c>
      <c r="K25" s="37" t="s">
        <v>57</v>
      </c>
      <c r="L25" s="37"/>
      <c r="M25" s="37"/>
      <c r="O25" s="103"/>
      <c r="P25" s="103"/>
      <c r="Q25" s="103"/>
      <c r="R25" s="103"/>
      <c r="S25" s="103"/>
      <c r="T25" s="103"/>
      <c r="U25" s="103"/>
    </row>
    <row r="26" spans="1:21" ht="28.9">
      <c r="A26" s="26" t="str">
        <v>M188</v>
      </c>
      <c r="B26" s="27" t="str">
        <v>NY</v>
      </c>
      <c r="C26" s="27" t="str">
        <f>Sites[[#This Row],[SOL'#]]</f>
        <v>SOL-10387</v>
      </c>
      <c r="D26" s="9">
        <v>4259.361406</v>
      </c>
      <c r="E26" s="14">
        <v>6602.9440000000004</v>
      </c>
      <c r="F26" s="14">
        <f t="shared" si="0"/>
        <v>-2343.5825940000004</v>
      </c>
      <c r="G26" s="15">
        <f t="shared" si="1"/>
        <v>-0.3549299515488849</v>
      </c>
      <c r="H26" s="16">
        <v>12343.55</v>
      </c>
      <c r="I26" s="16">
        <f t="shared" si="3"/>
        <v>-8084.1885939999993</v>
      </c>
      <c r="J26" s="15">
        <f t="shared" si="2"/>
        <v>-0.65493221917519673</v>
      </c>
      <c r="K26" s="50" t="s">
        <v>56</v>
      </c>
      <c r="L26" s="50"/>
      <c r="M26" s="50"/>
      <c r="O26" s="103"/>
      <c r="P26" s="103"/>
      <c r="Q26" s="103"/>
      <c r="R26" s="103"/>
      <c r="S26" s="103"/>
      <c r="T26" s="103"/>
      <c r="U26" s="103"/>
    </row>
    <row r="27" spans="1:21" ht="15.6">
      <c r="A27" s="24" t="str">
        <v>EMHC</v>
      </c>
      <c r="B27" s="25" t="str">
        <v>NY</v>
      </c>
      <c r="C27" s="25" t="str">
        <f>Sites[[#This Row],[SOL'#]]</f>
        <v>SOL-10351</v>
      </c>
      <c r="D27" s="20">
        <v>1375.359375</v>
      </c>
      <c r="E27" s="10">
        <v>1501.0419999999999</v>
      </c>
      <c r="F27" s="10">
        <f t="shared" si="0"/>
        <v>-125.68262499999992</v>
      </c>
      <c r="G27" s="11">
        <f t="shared" si="1"/>
        <v>-8.3730252051574791E-2</v>
      </c>
      <c r="H27" s="12">
        <v>2307.806</v>
      </c>
      <c r="I27" s="12">
        <f t="shared" si="3"/>
        <v>-932.44662500000004</v>
      </c>
      <c r="J27" s="13">
        <f t="shared" si="2"/>
        <v>-0.40404029844796313</v>
      </c>
      <c r="K27" s="37" t="s">
        <v>58</v>
      </c>
      <c r="L27" s="109" t="s">
        <v>59</v>
      </c>
      <c r="M27" s="37" t="s">
        <v>29</v>
      </c>
      <c r="O27" s="103"/>
      <c r="P27" s="103"/>
      <c r="Q27" s="103"/>
      <c r="R27" s="103"/>
      <c r="S27" s="103"/>
      <c r="T27" s="103"/>
      <c r="U27" s="103"/>
    </row>
    <row r="28" spans="1:21" ht="15.6">
      <c r="A28" s="26" t="str">
        <v>Q008</v>
      </c>
      <c r="B28" s="27" t="str">
        <v>NY</v>
      </c>
      <c r="C28" s="27" t="str">
        <f>Sites[[#This Row],[SOL'#]]</f>
        <v>SOL-10397</v>
      </c>
      <c r="D28" s="9">
        <v>7064.75</v>
      </c>
      <c r="E28" s="14">
        <v>10490.4</v>
      </c>
      <c r="F28" s="14">
        <f t="shared" si="0"/>
        <v>-3425.6499999999996</v>
      </c>
      <c r="G28" s="15">
        <f t="shared" si="1"/>
        <v>-0.32655094181346755</v>
      </c>
      <c r="H28" s="16">
        <v>10992</v>
      </c>
      <c r="I28" s="16">
        <f t="shared" si="3"/>
        <v>-3927.25</v>
      </c>
      <c r="J28" s="15">
        <f t="shared" si="2"/>
        <v>-0.35728256914119361</v>
      </c>
      <c r="K28" s="50" t="s">
        <v>33</v>
      </c>
      <c r="L28" s="50"/>
      <c r="M28" s="50"/>
      <c r="O28" s="103"/>
      <c r="P28" s="103"/>
      <c r="Q28" s="103"/>
      <c r="R28" s="103"/>
      <c r="S28" s="103"/>
      <c r="T28" s="103"/>
      <c r="U28" s="103"/>
    </row>
    <row r="29" spans="1:21" ht="15.6">
      <c r="A29" s="24" t="str">
        <v>Q018</v>
      </c>
      <c r="B29" s="25" t="str">
        <v>NY</v>
      </c>
      <c r="C29" s="25" t="str">
        <f>Sites[[#This Row],[SOL'#]]</f>
        <v>SOL-10398</v>
      </c>
      <c r="D29" s="20">
        <v>4452.3125</v>
      </c>
      <c r="E29" s="10">
        <v>6553.9470000000001</v>
      </c>
      <c r="F29" s="10">
        <f t="shared" si="0"/>
        <v>-2101.6345000000001</v>
      </c>
      <c r="G29" s="11">
        <f t="shared" si="1"/>
        <v>-0.32066699654421987</v>
      </c>
      <c r="H29" s="12">
        <v>6648.9219999999996</v>
      </c>
      <c r="I29" s="12">
        <f t="shared" si="3"/>
        <v>-2196.6094999999996</v>
      </c>
      <c r="J29" s="13">
        <f t="shared" si="2"/>
        <v>-0.33037077288619116</v>
      </c>
      <c r="K29" s="37" t="s">
        <v>33</v>
      </c>
      <c r="L29" s="37"/>
      <c r="M29" s="37"/>
      <c r="O29" s="103"/>
      <c r="P29" s="103"/>
      <c r="Q29" s="103"/>
      <c r="R29" s="103"/>
      <c r="S29" s="103"/>
      <c r="T29" s="103"/>
      <c r="U29" s="103"/>
    </row>
    <row r="30" spans="1:21" ht="15.6">
      <c r="A30" s="26" t="str">
        <v>Q021</v>
      </c>
      <c r="B30" s="27" t="str">
        <v>NY</v>
      </c>
      <c r="C30" s="27" t="str">
        <f>Sites[[#This Row],[SOL'#]]</f>
        <v>SOL-10399</v>
      </c>
      <c r="D30" s="9">
        <v>3531.9375</v>
      </c>
      <c r="E30" s="14">
        <v>8384.7279999999992</v>
      </c>
      <c r="F30" s="14">
        <f t="shared" si="0"/>
        <v>-4852.7904999999992</v>
      </c>
      <c r="G30" s="15">
        <f t="shared" si="1"/>
        <v>-0.57876540538941745</v>
      </c>
      <c r="H30" s="16">
        <v>5197.5469999999996</v>
      </c>
      <c r="I30" s="16">
        <f t="shared" si="3"/>
        <v>-1665.6094999999996</v>
      </c>
      <c r="J30" s="15">
        <f t="shared" si="2"/>
        <v>-0.32046069039875918</v>
      </c>
      <c r="K30" s="50" t="s">
        <v>33</v>
      </c>
      <c r="L30" s="50"/>
      <c r="M30" s="50"/>
      <c r="O30" s="103"/>
      <c r="P30" s="103"/>
      <c r="Q30" s="103"/>
      <c r="R30" s="103"/>
      <c r="S30" s="103"/>
      <c r="T30" s="103"/>
      <c r="U30" s="103"/>
    </row>
    <row r="31" spans="1:21" ht="43.15">
      <c r="A31" s="24" t="str">
        <v>Q025</v>
      </c>
      <c r="B31" s="25" t="str">
        <v>NY</v>
      </c>
      <c r="C31" s="25" t="str">
        <f>Sites[[#This Row],[SOL'#]]</f>
        <v>SOL-10400</v>
      </c>
      <c r="D31" s="20">
        <v>6147.875</v>
      </c>
      <c r="E31" s="10">
        <v>8484.7350000000006</v>
      </c>
      <c r="F31" s="10">
        <f t="shared" si="0"/>
        <v>-2336.8600000000006</v>
      </c>
      <c r="G31" s="11">
        <f t="shared" si="1"/>
        <v>-0.27541932659063606</v>
      </c>
      <c r="H31" s="12">
        <v>7767</v>
      </c>
      <c r="I31" s="12">
        <f t="shared" si="3"/>
        <v>-1619.125</v>
      </c>
      <c r="J31" s="13">
        <f t="shared" si="2"/>
        <v>-0.20846208317239603</v>
      </c>
      <c r="K31" s="37" t="s">
        <v>60</v>
      </c>
      <c r="L31" s="37"/>
      <c r="M31" s="37"/>
      <c r="O31" s="103"/>
      <c r="P31" s="103"/>
      <c r="Q31" s="103"/>
      <c r="R31" s="103"/>
      <c r="S31" s="103"/>
      <c r="T31" s="103"/>
      <c r="U31" s="103"/>
    </row>
    <row r="32" spans="1:21" ht="15.6">
      <c r="A32" s="26" t="str">
        <v>Q074</v>
      </c>
      <c r="B32" s="27" t="str">
        <v>NY</v>
      </c>
      <c r="C32" s="27" t="str">
        <f>Sites[[#This Row],[SOL'#]]</f>
        <v>SOL-10402</v>
      </c>
      <c r="D32" s="9">
        <v>0</v>
      </c>
      <c r="E32" s="14">
        <v>0</v>
      </c>
      <c r="F32" s="14">
        <f t="shared" si="0"/>
        <v>0</v>
      </c>
      <c r="G32" s="15" t="str">
        <f t="shared" si="1"/>
        <v/>
      </c>
      <c r="H32" s="16">
        <v>0</v>
      </c>
      <c r="I32" s="16">
        <f t="shared" si="3"/>
        <v>0</v>
      </c>
      <c r="J32" s="15" t="str">
        <f t="shared" si="2"/>
        <v/>
      </c>
      <c r="K32" s="50" t="s">
        <v>61</v>
      </c>
      <c r="L32" s="110" t="s">
        <v>62</v>
      </c>
      <c r="M32" s="50" t="s">
        <v>29</v>
      </c>
      <c r="O32" s="103"/>
      <c r="P32" s="103"/>
      <c r="Q32" s="103"/>
      <c r="R32" s="103"/>
      <c r="S32" s="103"/>
      <c r="T32" s="103"/>
      <c r="U32" s="103"/>
    </row>
    <row r="33" spans="1:21" ht="15.6">
      <c r="A33" s="24" t="str">
        <v>Q115</v>
      </c>
      <c r="B33" s="25" t="str">
        <v>NY</v>
      </c>
      <c r="C33" s="25" t="str">
        <f>Sites[[#This Row],[SOL'#]]</f>
        <v>SOL-10872</v>
      </c>
      <c r="D33" s="20">
        <v>4946.6875</v>
      </c>
      <c r="E33" s="10">
        <v>7759.4960000000001</v>
      </c>
      <c r="F33" s="10">
        <f t="shared" si="0"/>
        <v>-2812.8085000000001</v>
      </c>
      <c r="G33" s="11">
        <f t="shared" si="1"/>
        <v>-0.36249886590572378</v>
      </c>
      <c r="H33" s="12">
        <v>8113.7629999999999</v>
      </c>
      <c r="I33" s="12">
        <f t="shared" si="3"/>
        <v>-3167.0754999999999</v>
      </c>
      <c r="J33" s="13">
        <f t="shared" si="2"/>
        <v>-0.3903337452671467</v>
      </c>
      <c r="K33" s="56" t="s">
        <v>33</v>
      </c>
      <c r="L33" s="56"/>
      <c r="M33" s="56"/>
      <c r="O33" s="103"/>
      <c r="P33" s="103"/>
      <c r="Q33" s="103"/>
      <c r="R33" s="103"/>
      <c r="S33" s="103"/>
      <c r="T33" s="103"/>
      <c r="U33" s="103"/>
    </row>
    <row r="34" spans="1:21" ht="72">
      <c r="A34" s="26" t="str">
        <v>Q139</v>
      </c>
      <c r="B34" s="27" t="str">
        <v>NY</v>
      </c>
      <c r="C34" s="27" t="str">
        <f>Sites[[#This Row],[SOL'#]]</f>
        <v>SOL-10403</v>
      </c>
      <c r="D34" s="9">
        <v>2738.25</v>
      </c>
      <c r="E34" s="14">
        <v>5967.6580000000004</v>
      </c>
      <c r="F34" s="14">
        <f t="shared" si="0"/>
        <v>-3229.4080000000004</v>
      </c>
      <c r="G34" s="15">
        <f t="shared" si="1"/>
        <v>-0.54115165446813474</v>
      </c>
      <c r="H34" s="16">
        <v>5168</v>
      </c>
      <c r="I34" s="16">
        <f t="shared" si="3"/>
        <v>-2429.75</v>
      </c>
      <c r="J34" s="15">
        <f t="shared" si="2"/>
        <v>-0.47015286377708976</v>
      </c>
      <c r="K34" s="50" t="s">
        <v>63</v>
      </c>
      <c r="L34" s="110" t="s">
        <v>64</v>
      </c>
      <c r="M34" s="50" t="s">
        <v>65</v>
      </c>
      <c r="N34" s="111" t="s">
        <v>66</v>
      </c>
      <c r="O34" s="103"/>
      <c r="P34" s="103"/>
      <c r="Q34" s="103"/>
      <c r="R34" s="103"/>
      <c r="S34" s="103"/>
      <c r="T34" s="103"/>
      <c r="U34" s="103"/>
    </row>
    <row r="35" spans="1:21" ht="15.6">
      <c r="A35" s="24" t="str">
        <v>Q157</v>
      </c>
      <c r="B35" s="25" t="str">
        <v>NY</v>
      </c>
      <c r="C35" s="25" t="str">
        <f>Sites[[#This Row],[SOL'#]]</f>
        <v>SOL-10404</v>
      </c>
      <c r="D35" s="20">
        <v>5387.076521</v>
      </c>
      <c r="E35" s="10">
        <v>13435.68</v>
      </c>
      <c r="F35" s="10">
        <f t="shared" si="0"/>
        <v>-8048.6034790000003</v>
      </c>
      <c r="G35" s="11">
        <f t="shared" si="1"/>
        <v>-0.5990469763346552</v>
      </c>
      <c r="H35" s="12">
        <v>9154.3019999999997</v>
      </c>
      <c r="I35" s="12">
        <f t="shared" si="3"/>
        <v>-3767.2254789999997</v>
      </c>
      <c r="J35" s="13">
        <f t="shared" si="2"/>
        <v>-0.41152514730232842</v>
      </c>
      <c r="K35" s="37" t="s">
        <v>67</v>
      </c>
      <c r="L35" s="109" t="s">
        <v>68</v>
      </c>
      <c r="M35" s="37" t="s">
        <v>29</v>
      </c>
      <c r="O35" s="103"/>
      <c r="P35" s="103"/>
      <c r="Q35" s="103"/>
      <c r="R35" s="103"/>
      <c r="S35" s="103"/>
      <c r="T35" s="103"/>
      <c r="U35" s="103"/>
    </row>
    <row r="36" spans="1:21" ht="28.9">
      <c r="A36" s="26" t="str">
        <v>Q192</v>
      </c>
      <c r="B36" s="27" t="str">
        <v>NY</v>
      </c>
      <c r="C36" s="27" t="str">
        <f>Sites[[#This Row],[SOL'#]]</f>
        <v>SOL-10406</v>
      </c>
      <c r="D36" s="9">
        <v>8066.875</v>
      </c>
      <c r="E36" s="14">
        <v>13154.35</v>
      </c>
      <c r="F36" s="14">
        <f t="shared" si="0"/>
        <v>-5087.4750000000004</v>
      </c>
      <c r="G36" s="15">
        <f t="shared" si="1"/>
        <v>-0.38675229106721354</v>
      </c>
      <c r="H36" s="16">
        <v>13840.9</v>
      </c>
      <c r="I36" s="16">
        <f t="shared" si="3"/>
        <v>-5774.0249999999996</v>
      </c>
      <c r="J36" s="15">
        <f t="shared" si="2"/>
        <v>-0.41717120996466989</v>
      </c>
      <c r="K36" s="50" t="s">
        <v>69</v>
      </c>
      <c r="L36" s="110" t="s">
        <v>70</v>
      </c>
      <c r="M36" s="50" t="s">
        <v>47</v>
      </c>
      <c r="O36" s="103"/>
      <c r="P36" s="103"/>
      <c r="Q36" s="103"/>
      <c r="R36" s="103"/>
      <c r="S36" s="103"/>
      <c r="T36" s="103"/>
      <c r="U36" s="103"/>
    </row>
    <row r="37" spans="1:21" ht="15.6">
      <c r="A37" s="24" t="str">
        <v>Q210</v>
      </c>
      <c r="B37" s="25" t="str">
        <v>NY</v>
      </c>
      <c r="C37" s="25" t="str">
        <f>Sites[[#This Row],[SOL'#]]</f>
        <v>SOL-10407</v>
      </c>
      <c r="D37" s="20">
        <v>7166</v>
      </c>
      <c r="E37" s="10">
        <v>9278.7729999999992</v>
      </c>
      <c r="F37" s="10">
        <f t="shared" si="0"/>
        <v>-2112.7729999999992</v>
      </c>
      <c r="G37" s="11">
        <f t="shared" si="1"/>
        <v>-0.22769961071361478</v>
      </c>
      <c r="H37" s="12">
        <v>11622</v>
      </c>
      <c r="I37" s="12">
        <f t="shared" si="3"/>
        <v>-4456</v>
      </c>
      <c r="J37" s="13">
        <f t="shared" si="2"/>
        <v>-0.38341077267251766</v>
      </c>
      <c r="K37" s="37" t="s">
        <v>53</v>
      </c>
      <c r="L37" s="37"/>
      <c r="M37" s="37"/>
      <c r="O37" s="103"/>
      <c r="P37" s="103"/>
      <c r="Q37" s="103"/>
      <c r="R37" s="103"/>
      <c r="S37" s="103"/>
      <c r="T37" s="103"/>
      <c r="U37" s="103"/>
    </row>
    <row r="38" spans="1:21" ht="15.6">
      <c r="A38" s="26" t="str">
        <v>Q229</v>
      </c>
      <c r="B38" s="27" t="str">
        <v>NY</v>
      </c>
      <c r="C38" s="27" t="str">
        <f>Sites[[#This Row],[SOL'#]]</f>
        <v>SOL-10408</v>
      </c>
      <c r="D38" s="9">
        <v>2652.625</v>
      </c>
      <c r="E38" s="14">
        <v>6651.4849999999997</v>
      </c>
      <c r="F38" s="14">
        <f t="shared" si="0"/>
        <v>-3998.8599999999997</v>
      </c>
      <c r="G38" s="15">
        <f t="shared" si="1"/>
        <v>-0.60119807832386296</v>
      </c>
      <c r="H38" s="16">
        <v>3668.6909999999998</v>
      </c>
      <c r="I38" s="16">
        <f t="shared" si="3"/>
        <v>-1016.0659999999998</v>
      </c>
      <c r="J38" s="15">
        <f t="shared" si="2"/>
        <v>-0.27695600419877275</v>
      </c>
      <c r="K38" s="97" t="s">
        <v>71</v>
      </c>
      <c r="L38" s="113" t="s">
        <v>72</v>
      </c>
      <c r="M38" s="97" t="s">
        <v>29</v>
      </c>
      <c r="O38" s="103"/>
      <c r="P38" s="103"/>
      <c r="Q38" s="103"/>
      <c r="R38" s="103"/>
      <c r="S38" s="103"/>
      <c r="T38" s="103"/>
      <c r="U38" s="103"/>
    </row>
    <row r="39" spans="1:21" ht="28.9">
      <c r="A39" s="24" t="str">
        <v>Q231</v>
      </c>
      <c r="B39" s="25" t="str">
        <v>NY</v>
      </c>
      <c r="C39" s="25" t="str">
        <f>Sites[[#This Row],[SOL'#]]</f>
        <v>SOL-10870</v>
      </c>
      <c r="D39" s="20">
        <v>11856.375</v>
      </c>
      <c r="E39" s="10">
        <v>20736.96</v>
      </c>
      <c r="F39" s="10">
        <f t="shared" si="0"/>
        <v>-8880.5849999999991</v>
      </c>
      <c r="G39" s="11">
        <f t="shared" si="1"/>
        <v>-0.42824912619786121</v>
      </c>
      <c r="H39" s="12">
        <v>16899</v>
      </c>
      <c r="I39" s="12">
        <f t="shared" si="3"/>
        <v>-5042.625</v>
      </c>
      <c r="J39" s="13">
        <f t="shared" si="2"/>
        <v>-0.29839783419137228</v>
      </c>
      <c r="K39" s="37" t="s">
        <v>73</v>
      </c>
      <c r="L39" s="37"/>
      <c r="M39" s="37"/>
      <c r="O39" s="103"/>
      <c r="P39" s="103"/>
      <c r="Q39" s="103"/>
      <c r="R39" s="103"/>
      <c r="S39" s="103"/>
      <c r="T39" s="103"/>
      <c r="U39" s="103"/>
    </row>
    <row r="40" spans="1:21" ht="15.6">
      <c r="A40" s="26" t="str">
        <v>Q405</v>
      </c>
      <c r="B40" s="27" t="str">
        <v>NY</v>
      </c>
      <c r="C40" s="27" t="str">
        <f>Sites[[#This Row],[SOL'#]]</f>
        <v>SOL-10409</v>
      </c>
      <c r="D40" s="9">
        <v>13574</v>
      </c>
      <c r="E40" s="14">
        <v>20233.849999999999</v>
      </c>
      <c r="F40" s="14">
        <f t="shared" si="0"/>
        <v>-6659.8499999999985</v>
      </c>
      <c r="G40" s="15">
        <f t="shared" si="1"/>
        <v>-0.32914398396746042</v>
      </c>
      <c r="H40" s="16">
        <v>20674.02</v>
      </c>
      <c r="I40" s="16">
        <f t="shared" si="3"/>
        <v>-7100.02</v>
      </c>
      <c r="J40" s="15">
        <f t="shared" si="2"/>
        <v>-0.34342716123908174</v>
      </c>
      <c r="K40" s="50" t="s">
        <v>74</v>
      </c>
      <c r="L40" s="110" t="s">
        <v>75</v>
      </c>
      <c r="M40" s="50" t="s">
        <v>29</v>
      </c>
      <c r="N40" s="111" t="s">
        <v>76</v>
      </c>
      <c r="O40" s="103"/>
      <c r="P40" s="103"/>
      <c r="Q40" s="103"/>
      <c r="R40" s="103"/>
      <c r="S40" s="103"/>
      <c r="T40" s="103"/>
      <c r="U40" s="103"/>
    </row>
    <row r="41" spans="1:21" ht="15.6">
      <c r="A41" s="24" t="str">
        <v>Q435</v>
      </c>
      <c r="B41" s="25" t="str">
        <v>NY</v>
      </c>
      <c r="C41" s="25" t="str">
        <f>Sites[[#This Row],[SOL'#]]</f>
        <v>SOL-10923</v>
      </c>
      <c r="D41" s="20">
        <v>17258.625</v>
      </c>
      <c r="E41" s="10">
        <v>15813.72</v>
      </c>
      <c r="F41" s="10">
        <f t="shared" si="0"/>
        <v>1444.9050000000007</v>
      </c>
      <c r="G41" s="11">
        <f t="shared" si="1"/>
        <v>9.1370341703280483E-2</v>
      </c>
      <c r="H41" s="12">
        <v>25692</v>
      </c>
      <c r="I41" s="12">
        <f t="shared" si="3"/>
        <v>-8433.375</v>
      </c>
      <c r="J41" s="13">
        <f t="shared" si="2"/>
        <v>-0.32824906585707614</v>
      </c>
      <c r="K41" s="37" t="s">
        <v>77</v>
      </c>
      <c r="L41" s="37"/>
      <c r="M41" s="37"/>
      <c r="O41" s="103"/>
      <c r="P41" s="103"/>
      <c r="Q41" s="103"/>
      <c r="R41" s="103"/>
      <c r="S41" s="103"/>
      <c r="T41" s="103"/>
      <c r="U41" s="103"/>
    </row>
    <row r="42" spans="1:21" ht="15.6">
      <c r="A42" s="26" t="str">
        <v>Q485</v>
      </c>
      <c r="B42" s="27" t="str">
        <v>NY</v>
      </c>
      <c r="C42" s="27" t="str">
        <f>Sites[[#This Row],[SOL'#]]</f>
        <v>SOL-10869</v>
      </c>
      <c r="D42" s="9">
        <v>14504.25</v>
      </c>
      <c r="E42" s="14">
        <v>17360.88</v>
      </c>
      <c r="F42" s="14">
        <f t="shared" si="0"/>
        <v>-2856.630000000001</v>
      </c>
      <c r="G42" s="15">
        <f t="shared" si="1"/>
        <v>-0.16454407841077184</v>
      </c>
      <c r="H42" s="16">
        <v>23708.84</v>
      </c>
      <c r="I42" s="16">
        <f t="shared" si="3"/>
        <v>-9204.59</v>
      </c>
      <c r="J42" s="15">
        <f t="shared" si="2"/>
        <v>-0.38823451505851825</v>
      </c>
      <c r="K42" s="50" t="s">
        <v>33</v>
      </c>
      <c r="L42" s="50"/>
      <c r="M42" s="50"/>
      <c r="O42" s="103"/>
      <c r="P42" s="103"/>
      <c r="Q42" s="103"/>
      <c r="R42" s="103"/>
      <c r="S42" s="103"/>
      <c r="T42" s="103"/>
      <c r="U42" s="103"/>
    </row>
    <row r="43" spans="1:21" ht="28.9">
      <c r="A43" s="24" t="str">
        <v>Q490</v>
      </c>
      <c r="B43" s="25" t="str">
        <v>NY</v>
      </c>
      <c r="C43" s="25" t="str">
        <f>Sites[[#This Row],[SOL'#]]</f>
        <v>SOL-10411</v>
      </c>
      <c r="D43" s="20">
        <v>10624.25</v>
      </c>
      <c r="E43" s="10" t="s">
        <v>78</v>
      </c>
      <c r="F43" s="10" t="str">
        <f t="shared" si="0"/>
        <v/>
      </c>
      <c r="G43" s="11" t="str">
        <f t="shared" si="1"/>
        <v/>
      </c>
      <c r="H43" s="12">
        <v>16762.39</v>
      </c>
      <c r="I43" s="12">
        <f t="shared" si="3"/>
        <v>-6138.1399999999994</v>
      </c>
      <c r="J43" s="13">
        <f t="shared" si="2"/>
        <v>-0.36618525162581228</v>
      </c>
      <c r="K43" s="37" t="s">
        <v>79</v>
      </c>
      <c r="L43" s="109" t="s">
        <v>80</v>
      </c>
      <c r="M43" s="37" t="s">
        <v>29</v>
      </c>
      <c r="N43" s="111" t="s">
        <v>81</v>
      </c>
      <c r="O43" s="103"/>
      <c r="P43" s="103"/>
      <c r="Q43" s="103"/>
      <c r="R43" s="103"/>
      <c r="S43" s="103"/>
      <c r="T43" s="103"/>
      <c r="U43" s="103"/>
    </row>
    <row r="44" spans="1:21" ht="28.9">
      <c r="A44" s="26" t="str">
        <v>Q620</v>
      </c>
      <c r="B44" s="27" t="str">
        <v>NY</v>
      </c>
      <c r="C44" s="27" t="str">
        <f>Sites[[#This Row],[SOL'#]]</f>
        <v>SOL-10867</v>
      </c>
      <c r="D44" s="9">
        <v>16495</v>
      </c>
      <c r="E44" s="14">
        <v>22544.46</v>
      </c>
      <c r="F44" s="14">
        <f t="shared" si="0"/>
        <v>-6049.4599999999991</v>
      </c>
      <c r="G44" s="15">
        <f t="shared" si="1"/>
        <v>-0.26833465960151626</v>
      </c>
      <c r="H44" s="16">
        <v>27145.16</v>
      </c>
      <c r="I44" s="16">
        <f t="shared" si="3"/>
        <v>-10650.16</v>
      </c>
      <c r="J44" s="15">
        <f t="shared" si="2"/>
        <v>-0.39234102875061339</v>
      </c>
      <c r="K44" s="50" t="s">
        <v>82</v>
      </c>
      <c r="L44" s="110" t="s">
        <v>83</v>
      </c>
      <c r="M44" s="50" t="s">
        <v>29</v>
      </c>
      <c r="O44" s="103"/>
      <c r="P44" s="103"/>
      <c r="Q44" s="103"/>
      <c r="R44" s="103"/>
      <c r="S44" s="103"/>
      <c r="T44" s="103"/>
      <c r="U44" s="103"/>
    </row>
    <row r="45" spans="1:21" ht="15.6">
      <c r="A45" s="24" t="str">
        <v>QMOA</v>
      </c>
      <c r="B45" s="25" t="str">
        <v>NY</v>
      </c>
      <c r="C45" s="25" t="str">
        <f>Sites[[#This Row],[SOL'#]]</f>
        <v>SOL-10415</v>
      </c>
      <c r="D45" s="20">
        <v>1603.1</v>
      </c>
      <c r="E45" s="10">
        <v>0</v>
      </c>
      <c r="F45" s="10">
        <f t="shared" si="0"/>
        <v>1603.1</v>
      </c>
      <c r="G45" s="11" t="str">
        <f t="shared" si="1"/>
        <v/>
      </c>
      <c r="H45" s="12">
        <v>2917.413</v>
      </c>
      <c r="I45" s="12">
        <f t="shared" si="3"/>
        <v>-1314.3130000000001</v>
      </c>
      <c r="J45" s="13">
        <f t="shared" si="2"/>
        <v>-0.45050632186803857</v>
      </c>
      <c r="K45" s="37" t="s">
        <v>33</v>
      </c>
      <c r="L45" s="37"/>
      <c r="M45" s="37"/>
      <c r="O45" s="103"/>
      <c r="P45" s="103"/>
      <c r="Q45" s="103"/>
      <c r="R45" s="103"/>
      <c r="S45" s="103"/>
      <c r="T45" s="103"/>
      <c r="U45" s="103"/>
    </row>
    <row r="46" spans="1:21" ht="28.9">
      <c r="A46" s="26" t="str">
        <v>X024</v>
      </c>
      <c r="B46" s="27" t="str">
        <v>NY</v>
      </c>
      <c r="C46" s="27" t="str">
        <f>Sites[[#This Row],[SOL'#]]</f>
        <v>SOL-10419</v>
      </c>
      <c r="D46" s="9">
        <v>4890.84375</v>
      </c>
      <c r="E46" s="14">
        <v>8802.6849999999995</v>
      </c>
      <c r="F46" s="14">
        <f t="shared" si="0"/>
        <v>-3911.8412499999995</v>
      </c>
      <c r="G46" s="15">
        <f t="shared" si="1"/>
        <v>-0.44439182476710226</v>
      </c>
      <c r="H46" s="16">
        <v>8671</v>
      </c>
      <c r="I46" s="16">
        <f t="shared" si="3"/>
        <v>-3780.15625</v>
      </c>
      <c r="J46" s="15">
        <f t="shared" si="2"/>
        <v>-0.43595389805097451</v>
      </c>
      <c r="K46" s="50" t="s">
        <v>84</v>
      </c>
      <c r="L46" s="110" t="s">
        <v>85</v>
      </c>
      <c r="M46" s="50" t="s">
        <v>86</v>
      </c>
      <c r="N46" s="111" t="s">
        <v>87</v>
      </c>
      <c r="O46" s="103"/>
      <c r="P46" s="103"/>
      <c r="Q46" s="103"/>
      <c r="R46" s="103"/>
      <c r="S46" s="103"/>
      <c r="T46" s="103"/>
      <c r="U46" s="103"/>
    </row>
    <row r="47" spans="1:21" ht="15.6">
      <c r="A47" s="24" t="str">
        <v>X026</v>
      </c>
      <c r="B47" s="25" t="str">
        <v>NY</v>
      </c>
      <c r="C47" s="25" t="str">
        <f>Sites[[#This Row],[SOL'#]]</f>
        <v>SOL-10420</v>
      </c>
      <c r="D47" s="54">
        <v>4731.6000000000004</v>
      </c>
      <c r="E47" s="10">
        <v>10554.32</v>
      </c>
      <c r="F47" s="10">
        <f t="shared" ref="F47:F52" si="4">IF(AND(ISNUMBER(D47),ISNUMBER(E47)), D47-E47, "")</f>
        <v>-5822.7199999999993</v>
      </c>
      <c r="G47" s="11">
        <f t="shared" si="1"/>
        <v>-0.55169068210931638</v>
      </c>
      <c r="H47" s="12">
        <v>11071.89</v>
      </c>
      <c r="I47" s="12">
        <f t="shared" ref="I47:I52" si="5">IF(AND(ISNUMBER(D47),ISNUMBER(H47)), D47-H47, "")</f>
        <v>-6340.2899999999991</v>
      </c>
      <c r="J47" s="13">
        <f t="shared" si="2"/>
        <v>-0.57264748836919432</v>
      </c>
      <c r="K47" s="37" t="s">
        <v>88</v>
      </c>
      <c r="L47" s="109" t="s">
        <v>89</v>
      </c>
      <c r="M47" s="37" t="s">
        <v>29</v>
      </c>
      <c r="O47" s="103"/>
      <c r="P47" s="103"/>
      <c r="Q47" s="103"/>
      <c r="R47" s="103"/>
      <c r="S47" s="103"/>
      <c r="T47" s="103"/>
      <c r="U47" s="103"/>
    </row>
    <row r="48" spans="1:21" ht="28.9">
      <c r="A48" s="26" t="str">
        <v>X090</v>
      </c>
      <c r="B48" s="27" t="str">
        <v>NY</v>
      </c>
      <c r="C48" s="27" t="str">
        <f>Sites[[#This Row],[SOL'#]]</f>
        <v>SOL-10925</v>
      </c>
      <c r="D48" s="66">
        <v>4833.5625</v>
      </c>
      <c r="E48" s="14">
        <v>4545.3639999999996</v>
      </c>
      <c r="F48" s="14">
        <f t="shared" si="4"/>
        <v>288.19850000000042</v>
      </c>
      <c r="G48" s="15">
        <f t="shared" si="1"/>
        <v>6.3404933026265986E-2</v>
      </c>
      <c r="H48" s="16">
        <v>7353</v>
      </c>
      <c r="I48" s="16">
        <f t="shared" si="5"/>
        <v>-2519.4375</v>
      </c>
      <c r="J48" s="15">
        <f t="shared" si="2"/>
        <v>-0.34264075887392903</v>
      </c>
      <c r="K48" s="50" t="s">
        <v>90</v>
      </c>
      <c r="L48" s="50"/>
      <c r="M48" s="50"/>
      <c r="O48" s="103"/>
      <c r="P48" s="103"/>
      <c r="Q48" s="103"/>
      <c r="R48" s="103"/>
      <c r="S48" s="103"/>
      <c r="T48" s="103"/>
      <c r="U48" s="103"/>
    </row>
    <row r="49" spans="1:21" ht="15.6">
      <c r="A49" s="24" t="str">
        <v>X117</v>
      </c>
      <c r="B49" s="25" t="str">
        <v>NY</v>
      </c>
      <c r="C49" s="25" t="str">
        <f>Sites[[#This Row],[SOL'#]]</f>
        <v>SOL-10422</v>
      </c>
      <c r="D49" s="20">
        <v>3511.7</v>
      </c>
      <c r="E49" s="10">
        <v>8875.3150000000005</v>
      </c>
      <c r="F49" s="10">
        <f t="shared" si="4"/>
        <v>-5363.6150000000007</v>
      </c>
      <c r="G49" s="11">
        <f t="shared" si="1"/>
        <v>-0.60432953647278997</v>
      </c>
      <c r="H49" s="12">
        <v>6501.3770000000004</v>
      </c>
      <c r="I49" s="12">
        <f t="shared" si="5"/>
        <v>-2989.6770000000006</v>
      </c>
      <c r="J49" s="13">
        <f t="shared" si="2"/>
        <v>-0.45985288962630538</v>
      </c>
      <c r="K49" s="37" t="s">
        <v>91</v>
      </c>
      <c r="L49" s="37"/>
      <c r="M49" s="37"/>
      <c r="O49" s="103"/>
      <c r="P49" s="103"/>
      <c r="Q49" s="103"/>
      <c r="R49" s="103"/>
      <c r="S49" s="103"/>
      <c r="T49" s="103"/>
      <c r="U49" s="103"/>
    </row>
    <row r="50" spans="1:21" ht="15.6">
      <c r="A50" s="26" t="str">
        <v>X125</v>
      </c>
      <c r="B50" s="27" t="str">
        <v>NY</v>
      </c>
      <c r="C50" s="27" t="str">
        <f>Sites[[#This Row],[SOL'#]]</f>
        <v>SOL-10423</v>
      </c>
      <c r="D50" s="9">
        <v>7310.875</v>
      </c>
      <c r="E50" s="14">
        <v>11094.59</v>
      </c>
      <c r="F50" s="14">
        <f t="shared" si="4"/>
        <v>-3783.7150000000001</v>
      </c>
      <c r="G50" s="15">
        <f t="shared" si="1"/>
        <v>-0.34104144452386254</v>
      </c>
      <c r="H50" s="16">
        <v>11925.9</v>
      </c>
      <c r="I50" s="16">
        <f t="shared" si="5"/>
        <v>-4615.0249999999996</v>
      </c>
      <c r="J50" s="15">
        <f t="shared" si="2"/>
        <v>-0.38697498721270512</v>
      </c>
      <c r="K50" s="50" t="s">
        <v>92</v>
      </c>
      <c r="L50" s="50"/>
      <c r="M50" s="50"/>
      <c r="O50" s="103"/>
      <c r="P50" s="103"/>
      <c r="Q50" s="103"/>
      <c r="R50" s="103"/>
      <c r="S50" s="103"/>
      <c r="T50" s="103"/>
      <c r="U50" s="103"/>
    </row>
    <row r="51" spans="1:21" ht="28.9">
      <c r="A51" s="24" t="str">
        <v>X134</v>
      </c>
      <c r="B51" s="25" t="str">
        <v>NY</v>
      </c>
      <c r="C51" s="25" t="str">
        <f>Sites[[#This Row],[SOL'#]]</f>
        <v>SOL-10424</v>
      </c>
      <c r="D51" s="20">
        <v>3410.9613690000001</v>
      </c>
      <c r="E51" s="10">
        <v>11836.37</v>
      </c>
      <c r="F51" s="10">
        <f t="shared" si="4"/>
        <v>-8425.4086310000002</v>
      </c>
      <c r="G51" s="11">
        <f t="shared" si="1"/>
        <v>-0.71182369518695343</v>
      </c>
      <c r="H51" s="12">
        <v>10182</v>
      </c>
      <c r="I51" s="12">
        <f t="shared" si="5"/>
        <v>-6771.0386309999994</v>
      </c>
      <c r="J51" s="13">
        <f t="shared" si="2"/>
        <v>-0.66500084767236289</v>
      </c>
      <c r="K51" s="191" t="s">
        <v>93</v>
      </c>
      <c r="L51" s="193" t="s">
        <v>94</v>
      </c>
      <c r="M51" s="191" t="s">
        <v>95</v>
      </c>
      <c r="N51" s="111" t="s">
        <v>96</v>
      </c>
      <c r="O51" s="103"/>
      <c r="P51" s="103"/>
      <c r="Q51" s="103"/>
      <c r="R51" s="103"/>
      <c r="S51" s="103"/>
      <c r="T51" s="103"/>
      <c r="U51" s="103"/>
    </row>
    <row r="52" spans="1:21" ht="15.6">
      <c r="A52" s="26" t="str">
        <v>X135</v>
      </c>
      <c r="B52" s="27" t="str">
        <v>NY</v>
      </c>
      <c r="C52" s="27" t="str">
        <f>Sites[[#This Row],[SOL'#]]</f>
        <v>SOL-10425</v>
      </c>
      <c r="D52" s="9">
        <v>5787.375</v>
      </c>
      <c r="E52" s="14">
        <v>10788.78</v>
      </c>
      <c r="F52" s="14">
        <f t="shared" si="4"/>
        <v>-5001.4050000000007</v>
      </c>
      <c r="G52" s="15">
        <f t="shared" si="1"/>
        <v>-0.46357465811704385</v>
      </c>
      <c r="H52" s="16">
        <v>9790</v>
      </c>
      <c r="I52" s="16">
        <f t="shared" si="5"/>
        <v>-4002.625</v>
      </c>
      <c r="J52" s="15">
        <f t="shared" si="2"/>
        <v>-0.40884831460674159</v>
      </c>
      <c r="K52" s="192" t="s">
        <v>97</v>
      </c>
      <c r="L52" s="192"/>
      <c r="M52" s="192"/>
      <c r="O52" s="103"/>
      <c r="P52" s="103"/>
      <c r="Q52" s="103"/>
      <c r="R52" s="103"/>
      <c r="S52" s="103"/>
      <c r="T52" s="103"/>
      <c r="U52" s="103"/>
    </row>
    <row r="53" spans="1:21" ht="15.6">
      <c r="A53" s="24" t="str">
        <v>X139 JHS 222</v>
      </c>
      <c r="B53" s="25" t="str">
        <v>NY</v>
      </c>
      <c r="C53" s="25" t="str">
        <f>Sites[[#This Row],[SOL'#]]</f>
        <v>SOL-10426</v>
      </c>
      <c r="D53" s="20">
        <v>8569.5006890000004</v>
      </c>
      <c r="E53" s="10">
        <v>11357.54</v>
      </c>
      <c r="F53" s="10">
        <f t="shared" si="0"/>
        <v>-2788.0393110000005</v>
      </c>
      <c r="G53" s="11">
        <f t="shared" si="1"/>
        <v>-0.24547915402455112</v>
      </c>
      <c r="H53" s="12">
        <v>12346</v>
      </c>
      <c r="I53" s="12">
        <f t="shared" si="3"/>
        <v>-3776.4993109999996</v>
      </c>
      <c r="J53" s="13">
        <f t="shared" si="2"/>
        <v>-0.30588849109023164</v>
      </c>
      <c r="K53" s="37" t="s">
        <v>33</v>
      </c>
      <c r="L53" s="37"/>
      <c r="M53" s="37"/>
      <c r="O53" s="103"/>
      <c r="P53" s="103"/>
      <c r="Q53" s="103"/>
      <c r="R53" s="103"/>
      <c r="S53" s="103"/>
      <c r="T53" s="103"/>
      <c r="U53" s="103"/>
    </row>
    <row r="54" spans="1:21" ht="15.6">
      <c r="A54" s="26" t="str">
        <v>X140</v>
      </c>
      <c r="B54" s="27" t="str">
        <v>NY</v>
      </c>
      <c r="C54" s="27" t="str">
        <f>Sites[[#This Row],[SOL'#]]</f>
        <v>SOL-10926</v>
      </c>
      <c r="D54" s="9">
        <v>5337.15625</v>
      </c>
      <c r="E54" s="14">
        <v>8083.3050000000003</v>
      </c>
      <c r="F54" s="14">
        <f t="shared" si="0"/>
        <v>-2746.1487500000003</v>
      </c>
      <c r="G54" s="15">
        <f t="shared" si="1"/>
        <v>-0.33973093307749741</v>
      </c>
      <c r="H54" s="16">
        <v>8234</v>
      </c>
      <c r="I54" s="16">
        <f t="shared" si="3"/>
        <v>-2896.84375</v>
      </c>
      <c r="J54" s="15">
        <f t="shared" si="2"/>
        <v>-0.35181488341025019</v>
      </c>
      <c r="K54" s="50" t="s">
        <v>33</v>
      </c>
      <c r="L54" s="50"/>
      <c r="M54" s="50"/>
      <c r="O54" s="103"/>
      <c r="P54" s="103"/>
      <c r="Q54" s="103"/>
      <c r="R54" s="103"/>
      <c r="S54" s="103"/>
      <c r="T54" s="103"/>
      <c r="U54" s="103"/>
    </row>
    <row r="55" spans="1:21" ht="15.6">
      <c r="A55" s="24" t="str">
        <v>X166</v>
      </c>
      <c r="B55" s="25" t="str">
        <v>NY</v>
      </c>
      <c r="C55" s="25" t="str">
        <f>Sites[[#This Row],[SOL'#]]</f>
        <v>SOL-10427</v>
      </c>
      <c r="D55" s="20">
        <v>5113.3</v>
      </c>
      <c r="E55" s="10">
        <v>8835.4339999999993</v>
      </c>
      <c r="F55" s="10">
        <f t="shared" si="0"/>
        <v>-3722.1339999999991</v>
      </c>
      <c r="G55" s="11">
        <f t="shared" si="1"/>
        <v>-0.42127347677544752</v>
      </c>
      <c r="H55" s="12">
        <v>7246</v>
      </c>
      <c r="I55" s="12">
        <f t="shared" si="3"/>
        <v>-2132.6999999999998</v>
      </c>
      <c r="J55" s="13">
        <f t="shared" si="2"/>
        <v>-0.29432790505106265</v>
      </c>
      <c r="K55" s="37" t="s">
        <v>98</v>
      </c>
      <c r="L55" s="37"/>
      <c r="M55" s="37"/>
      <c r="O55" s="103"/>
      <c r="P55" s="103"/>
      <c r="Q55" s="103"/>
      <c r="R55" s="103"/>
      <c r="S55" s="103"/>
      <c r="T55" s="103"/>
      <c r="U55" s="103"/>
    </row>
    <row r="56" spans="1:21" ht="54.75" customHeight="1">
      <c r="A56" s="26" t="str">
        <v>Murphy</v>
      </c>
      <c r="B56" s="27" t="str">
        <v>MN</v>
      </c>
      <c r="C56" s="27" t="str">
        <f>Sites[[#This Row],[SOL'#]]</f>
        <v>SOL-10094</v>
      </c>
      <c r="D56" s="9">
        <v>513600</v>
      </c>
      <c r="E56" s="14">
        <v>606225.69999999995</v>
      </c>
      <c r="F56" s="14">
        <f t="shared" si="0"/>
        <v>-92625.699999999953</v>
      </c>
      <c r="G56" s="15">
        <f t="shared" si="1"/>
        <v>-0.15279078402647719</v>
      </c>
      <c r="H56" s="16">
        <v>512282.9</v>
      </c>
      <c r="I56" s="16">
        <f t="shared" si="3"/>
        <v>1317.0999999999767</v>
      </c>
      <c r="J56" s="15">
        <f t="shared" si="2"/>
        <v>2.5710403372823428E-3</v>
      </c>
      <c r="K56" s="50" t="s">
        <v>99</v>
      </c>
      <c r="L56" s="110" t="s">
        <v>100</v>
      </c>
      <c r="M56" s="50" t="s">
        <v>101</v>
      </c>
      <c r="N56" s="111" t="s">
        <v>102</v>
      </c>
      <c r="O56" s="102"/>
      <c r="P56" s="102"/>
      <c r="Q56" s="102"/>
      <c r="R56" s="102"/>
      <c r="S56" s="103"/>
      <c r="T56" s="103"/>
      <c r="U56" s="103"/>
    </row>
    <row r="57" spans="1:21" ht="66.75" customHeight="1">
      <c r="A57" s="24" t="str">
        <v>Terning</v>
      </c>
      <c r="B57" s="25" t="str">
        <v>MN</v>
      </c>
      <c r="C57" s="25" t="str">
        <f>Sites[[#This Row],[SOL'#]]</f>
        <v>SOL-10093</v>
      </c>
      <c r="D57" s="20">
        <v>496936.065</v>
      </c>
      <c r="E57" s="10">
        <v>602550.69999999995</v>
      </c>
      <c r="F57" s="10">
        <f t="shared" si="0"/>
        <v>-105614.63499999995</v>
      </c>
      <c r="G57" s="11">
        <f t="shared" si="1"/>
        <v>-0.17527925036017708</v>
      </c>
      <c r="H57" s="12">
        <v>464176.1</v>
      </c>
      <c r="I57" s="12">
        <f t="shared" si="3"/>
        <v>32759.965000000026</v>
      </c>
      <c r="J57" s="13">
        <f t="shared" si="2"/>
        <v>7.0576587204726884E-2</v>
      </c>
      <c r="K57" s="37" t="s">
        <v>103</v>
      </c>
      <c r="L57" s="109" t="s">
        <v>104</v>
      </c>
      <c r="M57" s="37" t="s">
        <v>105</v>
      </c>
      <c r="N57" s="111" t="s">
        <v>106</v>
      </c>
      <c r="O57" s="103"/>
      <c r="P57" s="103"/>
      <c r="Q57" s="103"/>
      <c r="R57" s="103"/>
      <c r="S57" s="103"/>
      <c r="T57" s="103"/>
      <c r="U57" s="103"/>
    </row>
    <row r="58" spans="1:21" ht="40.5" customHeight="1">
      <c r="A58" s="26" t="str">
        <v>Boas Road 04</v>
      </c>
      <c r="B58" s="27" t="str">
        <v>NY</v>
      </c>
      <c r="C58" s="27" t="str">
        <f>Sites[[#This Row],[SOL'#]]</f>
        <v>SOL-10908</v>
      </c>
      <c r="D58" s="9">
        <v>72330</v>
      </c>
      <c r="E58" s="14">
        <v>31962</v>
      </c>
      <c r="F58" s="14">
        <f t="shared" si="0"/>
        <v>40368</v>
      </c>
      <c r="G58" s="15">
        <f t="shared" si="1"/>
        <v>1.2629998122770791</v>
      </c>
      <c r="H58" s="16">
        <v>152897</v>
      </c>
      <c r="I58" s="16">
        <f t="shared" si="3"/>
        <v>-80567</v>
      </c>
      <c r="J58" s="15">
        <f t="shared" si="2"/>
        <v>-0.52693643433160886</v>
      </c>
      <c r="K58" s="50" t="s">
        <v>107</v>
      </c>
      <c r="L58" s="110" t="s">
        <v>108</v>
      </c>
      <c r="M58" s="50" t="s">
        <v>109</v>
      </c>
      <c r="O58" s="103"/>
      <c r="P58" s="103"/>
      <c r="Q58" s="103"/>
      <c r="R58" s="103"/>
      <c r="S58" s="103"/>
      <c r="T58" s="103"/>
      <c r="U58" s="103"/>
    </row>
    <row r="59" spans="1:21" ht="59.25" customHeight="1">
      <c r="A59" s="24" t="str">
        <v>Kelly Bridge Farm</v>
      </c>
      <c r="B59" s="25" t="str">
        <v>NY</v>
      </c>
      <c r="C59" s="25" t="str">
        <f>Sites[[#This Row],[SOL'#]]</f>
        <v>SOL-10911</v>
      </c>
      <c r="D59" s="20">
        <v>77050</v>
      </c>
      <c r="E59" s="10" t="s">
        <v>78</v>
      </c>
      <c r="F59" s="10" t="str">
        <f t="shared" si="0"/>
        <v/>
      </c>
      <c r="G59" s="11" t="str">
        <f t="shared" si="1"/>
        <v/>
      </c>
      <c r="H59" s="12">
        <v>143468.69</v>
      </c>
      <c r="I59" s="12">
        <f t="shared" si="3"/>
        <v>-66418.69</v>
      </c>
      <c r="J59" s="13">
        <f t="shared" si="2"/>
        <v>-0.46294902392989024</v>
      </c>
      <c r="K59" s="37" t="s">
        <v>110</v>
      </c>
      <c r="L59" s="37"/>
      <c r="M59" s="37"/>
      <c r="O59" s="102"/>
      <c r="P59" s="102"/>
      <c r="Q59" s="102"/>
      <c r="R59" s="103"/>
      <c r="S59" s="103"/>
      <c r="T59" s="103"/>
      <c r="U59" s="103"/>
    </row>
    <row r="60" spans="1:21" ht="28.9">
      <c r="A60" s="26" t="str">
        <v>Pool Brook Road</v>
      </c>
      <c r="B60" s="27" t="str">
        <v>NY</v>
      </c>
      <c r="C60" s="27" t="str">
        <f>Sites[[#This Row],[SOL'#]]</f>
        <v>SOL-10909</v>
      </c>
      <c r="D60" s="9">
        <v>59326</v>
      </c>
      <c r="E60" s="14">
        <v>59325</v>
      </c>
      <c r="F60" s="14">
        <f t="shared" si="0"/>
        <v>1</v>
      </c>
      <c r="G60" s="15">
        <f t="shared" si="1"/>
        <v>1.685630004214075E-5</v>
      </c>
      <c r="H60" s="16">
        <v>140415.70000000001</v>
      </c>
      <c r="I60" s="16">
        <f t="shared" si="3"/>
        <v>-81089.700000000012</v>
      </c>
      <c r="J60" s="15">
        <f t="shared" si="2"/>
        <v>-0.57749738811258289</v>
      </c>
      <c r="K60" s="70" t="s">
        <v>111</v>
      </c>
      <c r="L60" s="70"/>
      <c r="M60" s="70"/>
      <c r="O60" s="103"/>
      <c r="P60" s="103"/>
      <c r="Q60" s="103"/>
      <c r="R60" s="103"/>
      <c r="S60" s="103"/>
      <c r="T60" s="103"/>
      <c r="U60" s="103"/>
    </row>
    <row r="61" spans="1:21" ht="46.5" customHeight="1">
      <c r="A61" s="24" t="str">
        <v>Sackett Lake</v>
      </c>
      <c r="B61" s="25" t="str">
        <v>NY</v>
      </c>
      <c r="C61" s="25" t="str">
        <f>Sites[[#This Row],[SOL'#]]</f>
        <v>SOL-10910</v>
      </c>
      <c r="D61" s="20">
        <v>132767</v>
      </c>
      <c r="E61" s="10" t="s">
        <v>78</v>
      </c>
      <c r="F61" s="10" t="str">
        <f t="shared" si="0"/>
        <v/>
      </c>
      <c r="G61" s="11" t="str">
        <f t="shared" si="1"/>
        <v/>
      </c>
      <c r="H61" s="12">
        <v>165948.84</v>
      </c>
      <c r="I61" s="12">
        <f t="shared" si="3"/>
        <v>-33181.839999999997</v>
      </c>
      <c r="J61" s="13">
        <f t="shared" si="2"/>
        <v>-0.19995222624032802</v>
      </c>
      <c r="K61" s="37" t="s">
        <v>112</v>
      </c>
      <c r="L61" s="109" t="s">
        <v>113</v>
      </c>
      <c r="M61" s="37" t="s">
        <v>114</v>
      </c>
      <c r="N61" s="111" t="s">
        <v>115</v>
      </c>
      <c r="O61" s="103"/>
      <c r="P61" s="103"/>
      <c r="Q61" s="103"/>
      <c r="R61" s="103"/>
      <c r="S61" s="103"/>
      <c r="T61" s="103"/>
      <c r="U61" s="103"/>
    </row>
    <row r="62" spans="1:21" ht="36" customHeight="1">
      <c r="A62" s="26" t="str">
        <v>Burritt Road</v>
      </c>
      <c r="B62" s="27" t="str">
        <v>NY</v>
      </c>
      <c r="C62" s="27" t="str">
        <f>Sites[[#This Row],[SOL'#]]</f>
        <v>SOL-10913</v>
      </c>
      <c r="D62" s="9">
        <v>58980</v>
      </c>
      <c r="E62" s="14" t="s">
        <v>78</v>
      </c>
      <c r="F62" s="14" t="str">
        <f t="shared" si="0"/>
        <v/>
      </c>
      <c r="G62" s="15" t="str">
        <f t="shared" si="1"/>
        <v/>
      </c>
      <c r="H62" s="16">
        <v>110519.08</v>
      </c>
      <c r="I62" s="16">
        <f t="shared" si="3"/>
        <v>-51539.08</v>
      </c>
      <c r="J62" s="15">
        <f t="shared" si="2"/>
        <v>-0.4663364914003989</v>
      </c>
      <c r="K62" s="50" t="s">
        <v>116</v>
      </c>
      <c r="L62" s="50"/>
      <c r="M62" s="50"/>
      <c r="O62" s="103"/>
      <c r="P62" s="103"/>
      <c r="Q62" s="103"/>
      <c r="R62" s="103"/>
      <c r="S62" s="103"/>
      <c r="T62" s="103"/>
      <c r="U62" s="103"/>
    </row>
    <row r="63" spans="1:21" ht="24.75" customHeight="1">
      <c r="A63" s="24" t="str">
        <v>Villa Roma 1</v>
      </c>
      <c r="B63" s="25" t="str">
        <v>NY</v>
      </c>
      <c r="C63" s="25" t="str">
        <f>Sites[[#This Row],[SOL'#]]</f>
        <v>SOL-10914</v>
      </c>
      <c r="D63" s="20">
        <v>93005</v>
      </c>
      <c r="E63" s="10" t="s">
        <v>78</v>
      </c>
      <c r="F63" s="10" t="str">
        <f t="shared" ref="F63:F101" si="6">IF(AND(ISNUMBER(D63),ISNUMBER(E63)), D63-E63, "")</f>
        <v/>
      </c>
      <c r="G63" s="11" t="str">
        <f t="shared" ref="G63:G101" si="7">IFERROR(F63/E63, "")</f>
        <v/>
      </c>
      <c r="H63" s="12">
        <v>117697.64</v>
      </c>
      <c r="I63" s="12">
        <f t="shared" si="3"/>
        <v>-24692.639999999999</v>
      </c>
      <c r="J63" s="13">
        <f t="shared" si="2"/>
        <v>-0.20979723977473125</v>
      </c>
      <c r="K63" s="37" t="s">
        <v>117</v>
      </c>
      <c r="L63" s="37"/>
      <c r="M63" s="37"/>
      <c r="O63" s="102"/>
      <c r="P63" s="102"/>
      <c r="Q63" s="102"/>
      <c r="R63" s="103"/>
      <c r="S63" s="103"/>
      <c r="T63" s="103"/>
      <c r="U63" s="103"/>
    </row>
    <row r="64" spans="1:21" ht="15.6">
      <c r="A64" s="26" t="str">
        <v>Villa Roma 2</v>
      </c>
      <c r="B64" s="27" t="str">
        <v>NY</v>
      </c>
      <c r="C64" s="27" t="str">
        <f>Sites[[#This Row],[SOL'#]]</f>
        <v>SOL-10915</v>
      </c>
      <c r="D64" s="9">
        <v>77763</v>
      </c>
      <c r="E64" s="14" t="s">
        <v>78</v>
      </c>
      <c r="F64" s="14" t="str">
        <f t="shared" si="6"/>
        <v/>
      </c>
      <c r="G64" s="15" t="str">
        <f t="shared" si="7"/>
        <v/>
      </c>
      <c r="H64" s="16">
        <v>114722.46</v>
      </c>
      <c r="I64" s="16">
        <f t="shared" si="3"/>
        <v>-36959.460000000006</v>
      </c>
      <c r="J64" s="15">
        <f t="shared" si="2"/>
        <v>-0.32216411677364665</v>
      </c>
      <c r="K64" s="50" t="s">
        <v>118</v>
      </c>
      <c r="L64" s="50"/>
      <c r="M64" s="50"/>
      <c r="O64" s="103"/>
      <c r="P64" s="103"/>
      <c r="Q64" s="103"/>
      <c r="R64" s="103"/>
      <c r="S64" s="103"/>
      <c r="T64" s="103"/>
      <c r="U64" s="103"/>
    </row>
    <row r="65" spans="1:21" ht="18.75" customHeight="1">
      <c r="A65" s="24" t="str">
        <v>Washington 1</v>
      </c>
      <c r="B65" s="25" t="str">
        <v>NY</v>
      </c>
      <c r="C65" s="25" t="str">
        <f>Sites[[#This Row],[SOL'#]]</f>
        <v>SOL-10912</v>
      </c>
      <c r="D65" s="20">
        <v>82840</v>
      </c>
      <c r="E65" s="10" t="s">
        <v>78</v>
      </c>
      <c r="F65" s="10" t="str">
        <f t="shared" si="6"/>
        <v/>
      </c>
      <c r="G65" s="11" t="str">
        <f t="shared" si="7"/>
        <v/>
      </c>
      <c r="H65" s="12">
        <v>106348.65</v>
      </c>
      <c r="I65" s="12">
        <f t="shared" ref="I65:I103" si="8">IF(AND(ISNUMBER(D65),ISNUMBER(H65)), D65-H65, "")</f>
        <v>-23508.649999999994</v>
      </c>
      <c r="J65" s="13">
        <f t="shared" ref="J65:J103" si="9">IFERROR(I65/H65, "")</f>
        <v>-0.22105264147687814</v>
      </c>
      <c r="K65" s="37" t="s">
        <v>119</v>
      </c>
      <c r="L65" s="109" t="s">
        <v>120</v>
      </c>
      <c r="M65" s="37" t="s">
        <v>47</v>
      </c>
      <c r="O65" s="103"/>
      <c r="P65" s="103"/>
      <c r="Q65" s="103"/>
      <c r="R65" s="103"/>
      <c r="S65" s="103"/>
      <c r="T65" s="103"/>
      <c r="U65" s="103"/>
    </row>
    <row r="66" spans="1:21" ht="30.75" customHeight="1">
      <c r="A66" s="26" t="str">
        <v>Washington 3</v>
      </c>
      <c r="B66" s="27" t="str">
        <v>NY</v>
      </c>
      <c r="C66" s="27" t="str">
        <f>Sites[[#This Row],[SOL'#]]</f>
        <v>SOL-10828</v>
      </c>
      <c r="D66" s="9">
        <v>0</v>
      </c>
      <c r="E66" s="14" t="s">
        <v>78</v>
      </c>
      <c r="F66" s="14" t="str">
        <f t="shared" si="6"/>
        <v/>
      </c>
      <c r="G66" s="15" t="str">
        <f t="shared" si="7"/>
        <v/>
      </c>
      <c r="H66" s="16">
        <v>129625.05</v>
      </c>
      <c r="I66" s="16">
        <f t="shared" si="8"/>
        <v>-129625.05</v>
      </c>
      <c r="J66" s="15">
        <f t="shared" si="9"/>
        <v>-1</v>
      </c>
      <c r="K66" s="50" t="s">
        <v>121</v>
      </c>
      <c r="L66" s="110" t="s">
        <v>122</v>
      </c>
      <c r="M66" s="50" t="s">
        <v>123</v>
      </c>
      <c r="N66" s="111" t="s">
        <v>124</v>
      </c>
      <c r="O66" s="102" t="s">
        <v>125</v>
      </c>
      <c r="P66" s="103"/>
      <c r="Q66" s="103"/>
      <c r="R66" s="103"/>
      <c r="S66" s="103"/>
      <c r="T66" s="103"/>
      <c r="U66" s="103"/>
    </row>
    <row r="67" spans="1:21" ht="15.6">
      <c r="A67" s="24" t="str">
        <v>Washington 4</v>
      </c>
      <c r="B67" s="25" t="str">
        <v>NY</v>
      </c>
      <c r="C67" s="25" t="str">
        <f>Sites[[#This Row],[SOL'#]]</f>
        <v>SOL-10829</v>
      </c>
      <c r="D67" s="20">
        <v>129117</v>
      </c>
      <c r="E67" s="10" t="s">
        <v>78</v>
      </c>
      <c r="F67" s="10" t="str">
        <f t="shared" si="6"/>
        <v/>
      </c>
      <c r="G67" s="11" t="str">
        <f t="shared" si="7"/>
        <v/>
      </c>
      <c r="H67" s="12">
        <v>130089.75</v>
      </c>
      <c r="I67" s="12">
        <f t="shared" si="8"/>
        <v>-972.75</v>
      </c>
      <c r="J67" s="13">
        <f t="shared" si="9"/>
        <v>-7.4775299360633719E-3</v>
      </c>
      <c r="K67" s="53"/>
      <c r="L67" s="53"/>
      <c r="M67" s="53"/>
      <c r="O67" s="103"/>
      <c r="P67" s="103"/>
      <c r="Q67" s="103"/>
      <c r="R67" s="103"/>
      <c r="S67" s="103"/>
      <c r="T67" s="103"/>
      <c r="U67" s="103"/>
    </row>
    <row r="68" spans="1:21" ht="15.6">
      <c r="A68" s="26" t="str">
        <v>Big Tree</v>
      </c>
      <c r="B68" s="27" t="str">
        <v>NY</v>
      </c>
      <c r="C68" s="27" t="str">
        <f>Sites[[#This Row],[SOL'#]]</f>
        <v>SOL-10966</v>
      </c>
      <c r="D68" s="9">
        <v>34020</v>
      </c>
      <c r="E68" s="14">
        <v>34070</v>
      </c>
      <c r="F68" s="14">
        <f t="shared" si="6"/>
        <v>-50</v>
      </c>
      <c r="G68" s="15">
        <f t="shared" si="7"/>
        <v>-1.4675667742882301E-3</v>
      </c>
      <c r="H68" s="16">
        <v>116825.90007449406</v>
      </c>
      <c r="I68" s="16">
        <f t="shared" si="8"/>
        <v>-82805.900074494057</v>
      </c>
      <c r="J68" s="15">
        <f t="shared" si="9"/>
        <v>-0.70879745006623407</v>
      </c>
      <c r="K68" s="106" t="s">
        <v>126</v>
      </c>
      <c r="L68" s="106"/>
      <c r="M68" s="106"/>
      <c r="O68" s="103"/>
      <c r="P68" s="103"/>
      <c r="Q68" s="103"/>
      <c r="R68" s="103"/>
      <c r="S68" s="103"/>
      <c r="T68" s="103"/>
      <c r="U68" s="103"/>
    </row>
    <row r="69" spans="1:21" ht="51" customHeight="1">
      <c r="A69" s="24" t="str">
        <v>Canoga</v>
      </c>
      <c r="B69" s="25" t="str">
        <v>NY</v>
      </c>
      <c r="C69" s="25" t="str">
        <f>Sites[[#This Row],[SOL'#]]</f>
        <v>SOL-10965</v>
      </c>
      <c r="D69" s="20">
        <v>271610</v>
      </c>
      <c r="E69" s="10">
        <v>0</v>
      </c>
      <c r="F69" s="10">
        <f t="shared" si="6"/>
        <v>271610</v>
      </c>
      <c r="G69" s="11" t="str">
        <f t="shared" si="7"/>
        <v/>
      </c>
      <c r="H69" s="12">
        <v>381970.76</v>
      </c>
      <c r="I69" s="12">
        <f t="shared" si="8"/>
        <v>-110360.76000000001</v>
      </c>
      <c r="J69" s="13">
        <f t="shared" si="9"/>
        <v>-0.28892462868100166</v>
      </c>
      <c r="K69" s="37" t="s">
        <v>127</v>
      </c>
      <c r="L69" s="109" t="s">
        <v>128</v>
      </c>
      <c r="M69" s="37" t="s">
        <v>129</v>
      </c>
      <c r="O69" s="102"/>
      <c r="P69" s="102"/>
      <c r="Q69" s="102"/>
      <c r="R69" s="103"/>
      <c r="S69" s="103"/>
      <c r="T69" s="103"/>
      <c r="U69" s="103"/>
    </row>
    <row r="70" spans="1:21" ht="15.6">
      <c r="A70" s="26" t="str">
        <v>County Route 84</v>
      </c>
      <c r="B70" s="27" t="str">
        <v>NY</v>
      </c>
      <c r="C70" s="27" t="str">
        <f>Sites[[#This Row],[SOL'#]]</f>
        <v>SOL-10967</v>
      </c>
      <c r="D70" s="9">
        <v>372470</v>
      </c>
      <c r="E70" s="14">
        <v>370150</v>
      </c>
      <c r="F70" s="14">
        <f t="shared" si="6"/>
        <v>2320</v>
      </c>
      <c r="G70" s="15">
        <f t="shared" si="7"/>
        <v>6.2677292989328651E-3</v>
      </c>
      <c r="H70" s="16">
        <v>472285.7</v>
      </c>
      <c r="I70" s="16">
        <f t="shared" si="8"/>
        <v>-99815.700000000012</v>
      </c>
      <c r="J70" s="15">
        <f t="shared" si="9"/>
        <v>-0.21134601365232952</v>
      </c>
      <c r="K70" s="50" t="s">
        <v>130</v>
      </c>
      <c r="L70" s="110" t="s">
        <v>131</v>
      </c>
      <c r="M70" s="50" t="s">
        <v>29</v>
      </c>
      <c r="O70" s="103"/>
      <c r="P70" s="103"/>
      <c r="Q70" s="103"/>
      <c r="R70" s="103"/>
      <c r="S70" s="103"/>
      <c r="T70" s="103"/>
      <c r="U70" s="103"/>
    </row>
    <row r="71" spans="1:21" ht="43.15">
      <c r="A71" s="24" t="str">
        <v>Donati</v>
      </c>
      <c r="B71" s="25" t="str">
        <v>NY</v>
      </c>
      <c r="C71" s="25" t="str">
        <f>Sites[[#This Row],[SOL'#]]</f>
        <v>SOL-10968</v>
      </c>
      <c r="D71" s="20">
        <v>89520</v>
      </c>
      <c r="E71" s="10">
        <v>87440</v>
      </c>
      <c r="F71" s="10">
        <f t="shared" si="6"/>
        <v>2080</v>
      </c>
      <c r="G71" s="11">
        <f t="shared" si="7"/>
        <v>2.3787740164684355E-2</v>
      </c>
      <c r="H71" s="12">
        <v>156570.4</v>
      </c>
      <c r="I71" s="12">
        <f t="shared" si="8"/>
        <v>-67050.399999999994</v>
      </c>
      <c r="J71" s="13">
        <f t="shared" si="9"/>
        <v>-0.42824441912392125</v>
      </c>
      <c r="K71" s="37" t="s">
        <v>132</v>
      </c>
      <c r="L71" s="109" t="s">
        <v>133</v>
      </c>
      <c r="M71" s="37" t="s">
        <v>29</v>
      </c>
      <c r="O71" s="103"/>
      <c r="P71" s="103"/>
      <c r="Q71" s="103"/>
      <c r="R71" s="103"/>
      <c r="S71" s="103"/>
      <c r="T71" s="103"/>
      <c r="U71" s="103"/>
    </row>
    <row r="72" spans="1:21" ht="43.15">
      <c r="A72" s="26" t="str">
        <v>Henrietta</v>
      </c>
      <c r="B72" s="27" t="str">
        <v>NY</v>
      </c>
      <c r="C72" s="27" t="str">
        <f>Sites[[#This Row],[SOL'#]]</f>
        <v>SOL-10972</v>
      </c>
      <c r="D72" s="9">
        <v>136180</v>
      </c>
      <c r="E72" s="14">
        <v>133860</v>
      </c>
      <c r="F72" s="14">
        <f t="shared" si="6"/>
        <v>2320</v>
      </c>
      <c r="G72" s="15">
        <f t="shared" si="7"/>
        <v>1.733154041535933E-2</v>
      </c>
      <c r="H72" s="16">
        <v>268925.40000000002</v>
      </c>
      <c r="I72" s="16">
        <f t="shared" si="8"/>
        <v>-132745.40000000002</v>
      </c>
      <c r="J72" s="15">
        <f t="shared" si="9"/>
        <v>-0.49361421420215423</v>
      </c>
      <c r="K72" s="50" t="s">
        <v>134</v>
      </c>
      <c r="L72" s="110" t="s">
        <v>135</v>
      </c>
      <c r="M72" s="50" t="s">
        <v>136</v>
      </c>
      <c r="N72" s="111" t="s">
        <v>137</v>
      </c>
      <c r="O72" s="102" t="s">
        <v>138</v>
      </c>
      <c r="P72" s="103"/>
      <c r="Q72" s="103"/>
      <c r="R72" s="103"/>
      <c r="S72" s="103"/>
      <c r="T72" s="103"/>
      <c r="U72" s="103"/>
    </row>
    <row r="73" spans="1:21" ht="43.15">
      <c r="A73" s="24" t="str">
        <v>NY 70</v>
      </c>
      <c r="B73" s="25" t="str">
        <v>NY</v>
      </c>
      <c r="C73" s="25" t="str">
        <f>Sites[[#This Row],[SOL'#]]</f>
        <v>SOL-10970</v>
      </c>
      <c r="D73" s="20">
        <v>176660</v>
      </c>
      <c r="E73" s="10">
        <v>174120</v>
      </c>
      <c r="F73" s="10">
        <f t="shared" si="6"/>
        <v>2540</v>
      </c>
      <c r="G73" s="11">
        <f t="shared" si="7"/>
        <v>1.4587640707558006E-2</v>
      </c>
      <c r="H73" s="12">
        <v>386450</v>
      </c>
      <c r="I73" s="12">
        <f t="shared" si="8"/>
        <v>-209790</v>
      </c>
      <c r="J73" s="13">
        <f t="shared" si="9"/>
        <v>-0.54286453616250485</v>
      </c>
      <c r="K73" s="37" t="s">
        <v>139</v>
      </c>
      <c r="L73" s="109" t="s">
        <v>140</v>
      </c>
      <c r="M73" s="37" t="s">
        <v>65</v>
      </c>
      <c r="N73" s="111" t="s">
        <v>141</v>
      </c>
      <c r="O73" s="103"/>
      <c r="P73" s="103"/>
      <c r="Q73" s="103"/>
      <c r="R73" s="103"/>
      <c r="S73" s="103"/>
      <c r="T73" s="103"/>
      <c r="U73" s="103"/>
    </row>
    <row r="74" spans="1:21" ht="28.9">
      <c r="A74" s="26" t="str">
        <v>Reid</v>
      </c>
      <c r="B74" s="27" t="str">
        <v>NY</v>
      </c>
      <c r="C74" s="27" t="str">
        <f>Sites[[#This Row],[SOL'#]]</f>
        <v>SOL-10991</v>
      </c>
      <c r="D74" s="9">
        <v>137656.92480000001</v>
      </c>
      <c r="E74" s="14">
        <v>284559.7</v>
      </c>
      <c r="F74" s="14">
        <f t="shared" si="6"/>
        <v>-146902.7752</v>
      </c>
      <c r="G74" s="15">
        <f t="shared" si="7"/>
        <v>-0.51624588864832233</v>
      </c>
      <c r="H74" s="16">
        <v>265223</v>
      </c>
      <c r="I74" s="16">
        <f t="shared" si="8"/>
        <v>-127566.07519999999</v>
      </c>
      <c r="J74" s="15">
        <f t="shared" si="9"/>
        <v>-0.48097666944420353</v>
      </c>
      <c r="K74" s="50" t="s">
        <v>142</v>
      </c>
      <c r="L74" s="50"/>
      <c r="M74" s="50"/>
      <c r="O74" s="103"/>
      <c r="P74" s="103"/>
      <c r="Q74" s="103"/>
      <c r="R74" s="103"/>
      <c r="S74" s="103"/>
      <c r="T74" s="103"/>
      <c r="U74" s="103"/>
    </row>
    <row r="75" spans="1:21" ht="187.15">
      <c r="A75" s="24" t="str">
        <v>Sangolqui</v>
      </c>
      <c r="B75" s="25" t="str">
        <v>NY</v>
      </c>
      <c r="C75" s="25" t="str">
        <f>Sites[[#This Row],[SOL'#]]</f>
        <v>SOL-10975</v>
      </c>
      <c r="D75" s="20">
        <v>93160</v>
      </c>
      <c r="E75" s="10">
        <v>66700</v>
      </c>
      <c r="F75" s="10">
        <f t="shared" si="6"/>
        <v>26460</v>
      </c>
      <c r="G75" s="11">
        <f t="shared" si="7"/>
        <v>0.39670164917541229</v>
      </c>
      <c r="H75" s="12">
        <v>151974.9</v>
      </c>
      <c r="I75" s="12">
        <f t="shared" si="8"/>
        <v>-58814.899999999994</v>
      </c>
      <c r="J75" s="13">
        <f t="shared" si="9"/>
        <v>-0.38700403816682882</v>
      </c>
      <c r="K75" s="37" t="s">
        <v>143</v>
      </c>
      <c r="L75" s="109" t="s">
        <v>144</v>
      </c>
      <c r="M75" s="37" t="s">
        <v>65</v>
      </c>
      <c r="N75" s="111" t="s">
        <v>145</v>
      </c>
      <c r="O75" s="102" t="s">
        <v>146</v>
      </c>
      <c r="P75" s="103"/>
      <c r="Q75" s="103"/>
      <c r="R75" s="103"/>
      <c r="S75" s="103"/>
      <c r="T75" s="103"/>
      <c r="U75" s="103"/>
    </row>
    <row r="76" spans="1:21" ht="28.9">
      <c r="A76" s="26" t="str">
        <v>State Highway 17B</v>
      </c>
      <c r="B76" s="27" t="str">
        <v>NY</v>
      </c>
      <c r="C76" s="27" t="str">
        <f>Sites[[#This Row],[SOL'#]]</f>
        <v>SOL-10988</v>
      </c>
      <c r="D76" s="9">
        <v>0</v>
      </c>
      <c r="E76" s="14">
        <v>0</v>
      </c>
      <c r="F76" s="14">
        <f t="shared" si="6"/>
        <v>0</v>
      </c>
      <c r="G76" s="15" t="str">
        <f t="shared" si="7"/>
        <v/>
      </c>
      <c r="H76" s="16">
        <v>384984</v>
      </c>
      <c r="I76" s="16">
        <f t="shared" si="8"/>
        <v>-384984</v>
      </c>
      <c r="J76" s="15">
        <f t="shared" si="9"/>
        <v>-1</v>
      </c>
      <c r="K76" s="50" t="s">
        <v>147</v>
      </c>
      <c r="L76" s="110" t="s">
        <v>148</v>
      </c>
      <c r="M76" s="50" t="s">
        <v>149</v>
      </c>
      <c r="N76" s="111" t="s">
        <v>150</v>
      </c>
      <c r="O76" s="103"/>
      <c r="P76" s="103"/>
      <c r="Q76" s="103"/>
      <c r="R76" s="103"/>
      <c r="S76" s="103"/>
      <c r="T76" s="103"/>
      <c r="U76" s="103"/>
    </row>
    <row r="77" spans="1:21" ht="78.75" customHeight="1">
      <c r="A77" s="24" t="str">
        <v>State Route 14A</v>
      </c>
      <c r="B77" s="25" t="str">
        <v>NY</v>
      </c>
      <c r="C77" s="25" t="str">
        <f>Sites[[#This Row],[SOL'#]]</f>
        <v>SOL-10997</v>
      </c>
      <c r="D77" s="20">
        <v>0</v>
      </c>
      <c r="E77" s="10">
        <v>0</v>
      </c>
      <c r="F77" s="10">
        <f t="shared" si="6"/>
        <v>0</v>
      </c>
      <c r="G77" s="11" t="str">
        <f t="shared" si="7"/>
        <v/>
      </c>
      <c r="H77" s="12">
        <v>427147.4</v>
      </c>
      <c r="I77" s="12">
        <f t="shared" si="8"/>
        <v>-427147.4</v>
      </c>
      <c r="J77" s="13">
        <f t="shared" si="9"/>
        <v>-1</v>
      </c>
      <c r="K77" s="37" t="s">
        <v>151</v>
      </c>
      <c r="L77" s="109" t="s">
        <v>152</v>
      </c>
      <c r="M77" s="37" t="s">
        <v>29</v>
      </c>
      <c r="O77" s="103"/>
      <c r="P77" s="103"/>
      <c r="Q77" s="103"/>
      <c r="R77" s="103"/>
      <c r="S77" s="103"/>
      <c r="T77" s="103"/>
      <c r="U77" s="103"/>
    </row>
    <row r="78" spans="1:21" ht="15.6">
      <c r="A78" s="26" t="str">
        <v>West Creek</v>
      </c>
      <c r="B78" s="27" t="str">
        <v>NY</v>
      </c>
      <c r="C78" s="27" t="str">
        <f>Sites[[#This Row],[SOL'#]]</f>
        <v>SOL-10995</v>
      </c>
      <c r="D78" s="9">
        <v>265730</v>
      </c>
      <c r="E78" s="14">
        <v>230210</v>
      </c>
      <c r="F78" s="14">
        <f t="shared" si="6"/>
        <v>35520</v>
      </c>
      <c r="G78" s="15">
        <f t="shared" si="7"/>
        <v>0.15429390556448461</v>
      </c>
      <c r="H78" s="16">
        <v>397925.5</v>
      </c>
      <c r="I78" s="16">
        <f t="shared" si="8"/>
        <v>-132195.5</v>
      </c>
      <c r="J78" s="15">
        <f t="shared" si="9"/>
        <v>-0.33221168284012964</v>
      </c>
      <c r="K78" s="50" t="s">
        <v>153</v>
      </c>
      <c r="L78" s="50" t="s">
        <v>154</v>
      </c>
      <c r="M78" s="50"/>
      <c r="O78" s="103"/>
      <c r="P78" s="103"/>
      <c r="Q78" s="103"/>
      <c r="R78" s="103"/>
      <c r="S78" s="103"/>
      <c r="T78" s="103"/>
      <c r="U78" s="103"/>
    </row>
    <row r="79" spans="1:21" ht="129.75" customHeight="1">
      <c r="A79" s="24" t="str">
        <v>Wildflower</v>
      </c>
      <c r="B79" s="25" t="str">
        <v>NY</v>
      </c>
      <c r="C79" s="25" t="str">
        <f>Sites[[#This Row],[SOL'#]]</f>
        <v>SOL-10982</v>
      </c>
      <c r="D79" s="20">
        <v>246984</v>
      </c>
      <c r="E79" s="10">
        <v>188692</v>
      </c>
      <c r="F79" s="10">
        <f t="shared" si="6"/>
        <v>58292</v>
      </c>
      <c r="G79" s="11">
        <f t="shared" si="7"/>
        <v>0.30892671655396098</v>
      </c>
      <c r="H79" s="12">
        <v>433603.2</v>
      </c>
      <c r="I79" s="12">
        <f t="shared" si="8"/>
        <v>-186619.2</v>
      </c>
      <c r="J79" s="13">
        <f t="shared" si="9"/>
        <v>-0.43039165762614301</v>
      </c>
      <c r="K79" s="56" t="s">
        <v>155</v>
      </c>
      <c r="L79" s="116" t="s">
        <v>156</v>
      </c>
      <c r="M79" s="56" t="s">
        <v>157</v>
      </c>
      <c r="N79" s="111" t="s">
        <v>158</v>
      </c>
      <c r="O79" s="102" t="s">
        <v>159</v>
      </c>
      <c r="P79" s="102" t="s">
        <v>160</v>
      </c>
      <c r="Q79" s="102" t="s">
        <v>161</v>
      </c>
      <c r="R79" s="103"/>
      <c r="S79" s="103"/>
      <c r="T79" s="103"/>
      <c r="U79" s="103"/>
    </row>
    <row r="80" spans="1:21" ht="28.9">
      <c r="A80" s="26" t="str">
        <v>Glen Mary 1</v>
      </c>
      <c r="B80" s="27" t="str">
        <v>NY</v>
      </c>
      <c r="C80" s="27" t="str">
        <f>Sites[[#This Row],[SOL'#]]</f>
        <v>SOL-10993</v>
      </c>
      <c r="D80" s="9">
        <v>164340</v>
      </c>
      <c r="E80" s="14">
        <v>146450</v>
      </c>
      <c r="F80" s="14">
        <f t="shared" si="6"/>
        <v>17890</v>
      </c>
      <c r="G80" s="15">
        <f t="shared" si="7"/>
        <v>0.12215773301468077</v>
      </c>
      <c r="H80" s="16">
        <v>420494.8</v>
      </c>
      <c r="I80" s="16">
        <f t="shared" si="8"/>
        <v>-256154.8</v>
      </c>
      <c r="J80" s="15">
        <f t="shared" si="9"/>
        <v>-0.60917471512132848</v>
      </c>
      <c r="K80" s="50" t="s">
        <v>162</v>
      </c>
      <c r="L80" s="110" t="s">
        <v>163</v>
      </c>
      <c r="M80" s="50" t="s">
        <v>164</v>
      </c>
      <c r="O80" s="103"/>
      <c r="P80" s="103"/>
      <c r="Q80" s="103"/>
      <c r="R80" s="103"/>
      <c r="S80" s="103"/>
      <c r="T80" s="103"/>
      <c r="U80" s="103"/>
    </row>
    <row r="81" spans="1:21" ht="43.15">
      <c r="A81" s="24" t="str">
        <v>Glen Mary 2</v>
      </c>
      <c r="B81" s="25" t="str">
        <v>NY</v>
      </c>
      <c r="C81" s="25" t="str">
        <f>Sites[[#This Row],[SOL'#]]</f>
        <v>SOL-10994</v>
      </c>
      <c r="D81" s="20">
        <v>138160</v>
      </c>
      <c r="E81" s="10">
        <v>0</v>
      </c>
      <c r="F81" s="10">
        <f t="shared" si="6"/>
        <v>138160</v>
      </c>
      <c r="G81" s="11" t="str">
        <f t="shared" si="7"/>
        <v/>
      </c>
      <c r="H81" s="12">
        <v>171573.9</v>
      </c>
      <c r="I81" s="12">
        <f t="shared" si="8"/>
        <v>-33413.899999999994</v>
      </c>
      <c r="J81" s="13">
        <f t="shared" si="9"/>
        <v>-0.19474931793238945</v>
      </c>
      <c r="K81" s="37" t="s">
        <v>165</v>
      </c>
      <c r="L81" s="109" t="s">
        <v>166</v>
      </c>
      <c r="M81" s="37" t="s">
        <v>167</v>
      </c>
      <c r="O81" s="103"/>
      <c r="P81" s="103"/>
      <c r="Q81" s="103"/>
      <c r="R81" s="103"/>
      <c r="S81" s="103"/>
      <c r="T81" s="103"/>
      <c r="U81" s="103"/>
    </row>
    <row r="82" spans="1:21" ht="28.9">
      <c r="A82" s="26" t="str">
        <v>Telegraph 1</v>
      </c>
      <c r="B82" s="27" t="str">
        <v>NY</v>
      </c>
      <c r="C82" s="27" t="str">
        <f>Sites[[#This Row],[SOL'#]]</f>
        <v>SOL-11003</v>
      </c>
      <c r="D82" s="9">
        <v>153680</v>
      </c>
      <c r="E82" s="14" t="s">
        <v>78</v>
      </c>
      <c r="F82" s="14" t="str">
        <f t="shared" si="6"/>
        <v/>
      </c>
      <c r="G82" s="15" t="str">
        <f t="shared" si="7"/>
        <v/>
      </c>
      <c r="H82" s="16">
        <v>286022.2</v>
      </c>
      <c r="I82" s="16">
        <f t="shared" si="8"/>
        <v>-132342.20000000001</v>
      </c>
      <c r="J82" s="15">
        <f t="shared" si="9"/>
        <v>-0.46269904923463984</v>
      </c>
      <c r="K82" s="50" t="s">
        <v>168</v>
      </c>
      <c r="L82" s="50"/>
      <c r="M82" s="50"/>
      <c r="O82" s="102"/>
      <c r="P82" s="103"/>
      <c r="Q82" s="103"/>
      <c r="R82" s="103"/>
      <c r="S82" s="103"/>
      <c r="T82" s="103"/>
      <c r="U82" s="103"/>
    </row>
    <row r="83" spans="1:21" ht="15.6">
      <c r="A83" s="24" t="str">
        <v>Telegraph 2</v>
      </c>
      <c r="B83" s="25" t="str">
        <v>NY</v>
      </c>
      <c r="C83" s="25" t="str">
        <f>Sites[[#This Row],[SOL'#]]</f>
        <v>SOL-11004</v>
      </c>
      <c r="D83" s="20">
        <v>97060</v>
      </c>
      <c r="E83" s="10" t="s">
        <v>78</v>
      </c>
      <c r="F83" s="10" t="str">
        <f t="shared" si="6"/>
        <v/>
      </c>
      <c r="G83" s="11" t="str">
        <f t="shared" si="7"/>
        <v/>
      </c>
      <c r="H83" s="12">
        <v>146627.1</v>
      </c>
      <c r="I83" s="12">
        <f t="shared" si="8"/>
        <v>-49567.100000000006</v>
      </c>
      <c r="J83" s="13">
        <f t="shared" si="9"/>
        <v>-0.33804869631875695</v>
      </c>
      <c r="K83" s="37" t="s">
        <v>169</v>
      </c>
      <c r="L83" s="109" t="s">
        <v>170</v>
      </c>
      <c r="M83" s="37" t="s">
        <v>47</v>
      </c>
      <c r="O83" s="102"/>
      <c r="P83" s="103"/>
      <c r="Q83" s="103"/>
      <c r="R83" s="103"/>
      <c r="S83" s="103"/>
      <c r="T83" s="103"/>
      <c r="U83" s="103"/>
    </row>
    <row r="84" spans="1:21" ht="15.6">
      <c r="A84" s="26" t="str">
        <v>Cafferty Hill</v>
      </c>
      <c r="B84" s="27" t="str">
        <v>NY</v>
      </c>
      <c r="C84" s="27" t="str">
        <f>Sites[[#This Row],[SOL'#]]</f>
        <v>SOL-10996</v>
      </c>
      <c r="D84" s="9">
        <v>82990</v>
      </c>
      <c r="E84" s="14">
        <v>85880</v>
      </c>
      <c r="F84" s="14">
        <f t="shared" si="6"/>
        <v>-2890</v>
      </c>
      <c r="G84" s="15">
        <f t="shared" si="7"/>
        <v>-3.3651606893339542E-2</v>
      </c>
      <c r="H84" s="16">
        <v>373143.4</v>
      </c>
      <c r="I84" s="16">
        <f t="shared" si="8"/>
        <v>-290153.40000000002</v>
      </c>
      <c r="J84" s="15">
        <f t="shared" si="9"/>
        <v>-0.77759220717825905</v>
      </c>
      <c r="K84" s="50" t="s">
        <v>171</v>
      </c>
      <c r="L84" s="110" t="s">
        <v>172</v>
      </c>
      <c r="M84" s="50" t="s">
        <v>47</v>
      </c>
      <c r="N84" s="111" t="s">
        <v>173</v>
      </c>
      <c r="O84" s="103"/>
      <c r="P84" s="103"/>
      <c r="Q84" s="103"/>
      <c r="R84" s="103"/>
      <c r="S84" s="103"/>
      <c r="T84" s="103"/>
      <c r="U84" s="103"/>
    </row>
    <row r="85" spans="1:21" ht="57.6">
      <c r="A85" s="24" t="str">
        <v>Dunkleman</v>
      </c>
      <c r="B85" s="25" t="str">
        <v>NY</v>
      </c>
      <c r="C85" s="25" t="str">
        <f>Sites[[#This Row],[SOL'#]]</f>
        <v>SOL-11008</v>
      </c>
      <c r="D85" s="20">
        <v>191990</v>
      </c>
      <c r="E85" s="10">
        <v>157970</v>
      </c>
      <c r="F85" s="10">
        <f t="shared" si="6"/>
        <v>34020</v>
      </c>
      <c r="G85" s="11">
        <f t="shared" si="7"/>
        <v>0.21535734633158193</v>
      </c>
      <c r="H85" s="12">
        <v>369715.73</v>
      </c>
      <c r="I85" s="12">
        <f t="shared" si="8"/>
        <v>-177725.72999999998</v>
      </c>
      <c r="J85" s="13">
        <f t="shared" si="9"/>
        <v>-0.4807091383425855</v>
      </c>
      <c r="K85" s="37" t="s">
        <v>174</v>
      </c>
      <c r="L85" s="109" t="s">
        <v>175</v>
      </c>
      <c r="M85" s="37" t="s">
        <v>176</v>
      </c>
      <c r="N85" s="111" t="s">
        <v>177</v>
      </c>
      <c r="O85" s="102" t="s">
        <v>178</v>
      </c>
      <c r="P85" s="103"/>
      <c r="Q85" s="103"/>
      <c r="R85" s="103"/>
      <c r="S85" s="103"/>
      <c r="T85" s="103"/>
      <c r="U85" s="103"/>
    </row>
    <row r="86" spans="1:21" ht="28.9">
      <c r="A86" s="26" t="str">
        <v>Route 19 1</v>
      </c>
      <c r="B86" s="27" t="str">
        <v>NY</v>
      </c>
      <c r="C86" s="27" t="str">
        <f>Sites[[#This Row],[SOL'#]]</f>
        <v>SOL-11001</v>
      </c>
      <c r="D86" s="9">
        <v>96365</v>
      </c>
      <c r="E86" s="14">
        <v>81568.2</v>
      </c>
      <c r="F86" s="14">
        <f t="shared" si="6"/>
        <v>14796.800000000003</v>
      </c>
      <c r="G86" s="15">
        <f t="shared" si="7"/>
        <v>0.18140402754995211</v>
      </c>
      <c r="H86" s="16">
        <v>154567.79999999999</v>
      </c>
      <c r="I86" s="16">
        <f t="shared" si="8"/>
        <v>-58202.799999999988</v>
      </c>
      <c r="J86" s="15">
        <f t="shared" si="9"/>
        <v>-0.37655190796530708</v>
      </c>
      <c r="K86" s="50" t="s">
        <v>179</v>
      </c>
      <c r="L86" s="50"/>
      <c r="M86" s="50"/>
      <c r="O86" s="103"/>
      <c r="P86" s="103"/>
      <c r="Q86" s="103"/>
      <c r="R86" s="103"/>
      <c r="S86" s="103"/>
      <c r="T86" s="103"/>
      <c r="U86" s="103"/>
    </row>
    <row r="87" spans="1:21" ht="15.6">
      <c r="A87" s="24" t="str">
        <v>Route 19 2</v>
      </c>
      <c r="B87" s="25" t="str">
        <v>NY</v>
      </c>
      <c r="C87" s="25" t="str">
        <f>Sites[[#This Row],[SOL'#]]</f>
        <v>SOL-11002</v>
      </c>
      <c r="D87" s="20">
        <v>249670</v>
      </c>
      <c r="E87" s="10">
        <v>246010</v>
      </c>
      <c r="F87" s="10">
        <f t="shared" si="6"/>
        <v>3660</v>
      </c>
      <c r="G87" s="11">
        <f t="shared" si="7"/>
        <v>1.4877444006341205E-2</v>
      </c>
      <c r="H87" s="12">
        <v>409574.6</v>
      </c>
      <c r="I87" s="12">
        <f t="shared" si="8"/>
        <v>-159904.59999999998</v>
      </c>
      <c r="J87" s="13">
        <f t="shared" si="9"/>
        <v>-0.3904163002295552</v>
      </c>
      <c r="K87" s="37" t="s">
        <v>180</v>
      </c>
      <c r="L87" s="109" t="s">
        <v>181</v>
      </c>
      <c r="M87" s="37" t="s">
        <v>47</v>
      </c>
      <c r="O87" s="103"/>
      <c r="P87" s="103"/>
      <c r="Q87" s="103"/>
      <c r="R87" s="103"/>
      <c r="S87" s="103"/>
      <c r="T87" s="103"/>
      <c r="U87" s="103"/>
    </row>
    <row r="88" spans="1:21" ht="15.6">
      <c r="A88" s="26" t="str">
        <v>Yellow Mills 1</v>
      </c>
      <c r="B88" s="27" t="str">
        <v>NY</v>
      </c>
      <c r="C88" s="27" t="str">
        <f>Sites[[#This Row],[SOL'#]]</f>
        <v>SOL-11006</v>
      </c>
      <c r="D88" s="9">
        <v>107464</v>
      </c>
      <c r="E88" s="14">
        <v>105508</v>
      </c>
      <c r="F88" s="14">
        <f t="shared" si="6"/>
        <v>1956</v>
      </c>
      <c r="G88" s="15">
        <f t="shared" si="7"/>
        <v>1.8538878568449785E-2</v>
      </c>
      <c r="H88" s="16">
        <v>123508.6</v>
      </c>
      <c r="I88" s="16">
        <f t="shared" si="8"/>
        <v>-16044.600000000006</v>
      </c>
      <c r="J88" s="15">
        <f t="shared" si="9"/>
        <v>-0.12990674333609162</v>
      </c>
      <c r="K88" s="50" t="s">
        <v>182</v>
      </c>
      <c r="L88" s="50"/>
      <c r="M88" s="50"/>
      <c r="O88" s="102"/>
      <c r="P88" s="103"/>
      <c r="Q88" s="103"/>
      <c r="R88" s="103"/>
      <c r="S88" s="103"/>
      <c r="T88" s="103"/>
      <c r="U88" s="103"/>
    </row>
    <row r="89" spans="1:21" ht="43.15">
      <c r="A89" s="24" t="str">
        <v>Yellow Mills 2</v>
      </c>
      <c r="B89" s="25" t="str">
        <v>NY</v>
      </c>
      <c r="C89" s="25" t="str">
        <f>Sites[[#This Row],[SOL'#]]</f>
        <v>SOL-11005</v>
      </c>
      <c r="D89" s="20">
        <v>196674</v>
      </c>
      <c r="E89" s="10">
        <v>0</v>
      </c>
      <c r="F89" s="10">
        <f t="shared" si="6"/>
        <v>196674</v>
      </c>
      <c r="G89" s="11" t="str">
        <f t="shared" si="7"/>
        <v/>
      </c>
      <c r="H89" s="12">
        <v>126216.1</v>
      </c>
      <c r="I89" s="12">
        <f t="shared" si="8"/>
        <v>70457.899999999994</v>
      </c>
      <c r="J89" s="13">
        <f t="shared" si="9"/>
        <v>0.55823226989266816</v>
      </c>
      <c r="K89" s="37" t="s">
        <v>183</v>
      </c>
      <c r="L89" s="109" t="s">
        <v>184</v>
      </c>
      <c r="M89" s="37" t="s">
        <v>129</v>
      </c>
      <c r="N89" s="111" t="s">
        <v>185</v>
      </c>
      <c r="O89" s="103"/>
      <c r="P89" s="103"/>
      <c r="Q89" s="103"/>
      <c r="R89" s="103"/>
      <c r="S89" s="103"/>
      <c r="T89" s="103"/>
      <c r="U89" s="103"/>
    </row>
    <row r="90" spans="1:21" ht="15.6">
      <c r="A90" s="26" t="str">
        <v>Yellow Mills 3</v>
      </c>
      <c r="B90" s="27" t="str">
        <v>NY</v>
      </c>
      <c r="C90" s="27" t="str">
        <f>Sites[[#This Row],[SOL'#]]</f>
        <v>SOL-11007</v>
      </c>
      <c r="D90" s="9">
        <v>95437</v>
      </c>
      <c r="E90" s="14">
        <v>93389</v>
      </c>
      <c r="F90" s="14">
        <f t="shared" si="6"/>
        <v>2048</v>
      </c>
      <c r="G90" s="15">
        <f t="shared" si="7"/>
        <v>2.1929777596933257E-2</v>
      </c>
      <c r="H90" s="16">
        <v>111400.8</v>
      </c>
      <c r="I90" s="16">
        <f t="shared" si="8"/>
        <v>-15963.800000000003</v>
      </c>
      <c r="J90" s="15">
        <f t="shared" si="9"/>
        <v>-0.14330058671032886</v>
      </c>
      <c r="K90" s="50" t="s">
        <v>182</v>
      </c>
      <c r="L90" s="50"/>
      <c r="M90" s="50"/>
      <c r="O90" s="103"/>
      <c r="P90" s="103"/>
      <c r="Q90" s="103"/>
      <c r="R90" s="103"/>
      <c r="S90" s="103"/>
      <c r="T90" s="103"/>
      <c r="U90" s="103"/>
    </row>
    <row r="91" spans="1:21" ht="28.9">
      <c r="A91" s="24" t="str">
        <v>Catskill</v>
      </c>
      <c r="B91" s="25" t="str">
        <v>NY</v>
      </c>
      <c r="C91" s="25" t="str">
        <f>Sites[[#This Row],[SOL'#]]</f>
        <v>SOL-11021</v>
      </c>
      <c r="D91" s="20">
        <v>207977</v>
      </c>
      <c r="E91" s="10">
        <v>0</v>
      </c>
      <c r="F91" s="10">
        <f t="shared" si="6"/>
        <v>207977</v>
      </c>
      <c r="G91" s="11" t="str">
        <f t="shared" si="7"/>
        <v/>
      </c>
      <c r="H91" s="12">
        <v>295119.31</v>
      </c>
      <c r="I91" s="12">
        <f t="shared" si="8"/>
        <v>-87142.31</v>
      </c>
      <c r="J91" s="13">
        <f t="shared" si="9"/>
        <v>-0.29527823848598722</v>
      </c>
      <c r="K91" s="37" t="s">
        <v>186</v>
      </c>
      <c r="L91" s="109" t="s">
        <v>187</v>
      </c>
      <c r="M91" s="37" t="s">
        <v>188</v>
      </c>
      <c r="N91" s="111" t="s">
        <v>189</v>
      </c>
      <c r="O91" s="103"/>
      <c r="P91" s="103"/>
      <c r="Q91" s="103"/>
      <c r="R91" s="103"/>
      <c r="S91" s="103"/>
      <c r="T91" s="103"/>
      <c r="U91" s="103"/>
    </row>
    <row r="92" spans="1:21" ht="15.6">
      <c r="A92" s="26" t="str">
        <v>Eddy Ridge</v>
      </c>
      <c r="B92" s="27" t="str">
        <v>NY</v>
      </c>
      <c r="C92" s="27" t="str">
        <f>Sites[[#This Row],[SOL'#]]</f>
        <v>SOL-11054</v>
      </c>
      <c r="D92" s="9">
        <v>89230</v>
      </c>
      <c r="E92" s="14">
        <v>87456</v>
      </c>
      <c r="F92" s="14">
        <f t="shared" si="6"/>
        <v>1774</v>
      </c>
      <c r="G92" s="15">
        <f t="shared" si="7"/>
        <v>2.0284485912916209E-2</v>
      </c>
      <c r="H92" s="16">
        <v>176115</v>
      </c>
      <c r="I92" s="16">
        <f t="shared" si="8"/>
        <v>-86885</v>
      </c>
      <c r="J92" s="15">
        <f t="shared" si="9"/>
        <v>-0.49334241830622039</v>
      </c>
      <c r="K92" s="50" t="s">
        <v>190</v>
      </c>
      <c r="L92" s="110" t="s">
        <v>191</v>
      </c>
      <c r="M92" s="50" t="s">
        <v>47</v>
      </c>
      <c r="O92" s="103"/>
      <c r="P92" s="103"/>
      <c r="Q92" s="103"/>
      <c r="R92" s="103"/>
      <c r="S92" s="103"/>
      <c r="T92" s="103"/>
      <c r="U92" s="103"/>
    </row>
    <row r="93" spans="1:21" ht="15.6">
      <c r="A93" s="24" t="str">
        <v>Ridgeway #1</v>
      </c>
      <c r="B93" s="25" t="str">
        <v>NY</v>
      </c>
      <c r="C93" s="25" t="str">
        <f>Sites[[#This Row],[SOL'#]]</f>
        <v>SOL-11018</v>
      </c>
      <c r="D93" s="20">
        <v>244376</v>
      </c>
      <c r="E93" s="10">
        <v>148377</v>
      </c>
      <c r="F93" s="10">
        <f t="shared" si="6"/>
        <v>95999</v>
      </c>
      <c r="G93" s="11">
        <f t="shared" si="7"/>
        <v>0.64699380631769077</v>
      </c>
      <c r="H93" s="12">
        <v>426059</v>
      </c>
      <c r="I93" s="12">
        <f t="shared" si="8"/>
        <v>-181683</v>
      </c>
      <c r="J93" s="13">
        <f t="shared" si="9"/>
        <v>-0.4264268563743519</v>
      </c>
      <c r="K93" s="53" t="s">
        <v>192</v>
      </c>
      <c r="L93" s="98" t="s">
        <v>193</v>
      </c>
      <c r="M93" s="53" t="s">
        <v>194</v>
      </c>
      <c r="O93" s="103"/>
      <c r="P93" s="103"/>
      <c r="Q93" s="103"/>
      <c r="R93" s="103"/>
      <c r="S93" s="103"/>
      <c r="T93" s="103"/>
      <c r="U93" s="103"/>
    </row>
    <row r="94" spans="1:21" ht="15.6">
      <c r="A94" s="26" t="str">
        <v>Rivard 1</v>
      </c>
      <c r="B94" s="27" t="str">
        <v>NY</v>
      </c>
      <c r="C94" s="27" t="str">
        <f>Sites[[#This Row],[SOL'#]]</f>
        <v>SOL-11011</v>
      </c>
      <c r="D94" s="9">
        <v>148338.33009999999</v>
      </c>
      <c r="E94" s="14">
        <v>270906.90000000002</v>
      </c>
      <c r="F94" s="14">
        <f t="shared" si="6"/>
        <v>-122568.56990000003</v>
      </c>
      <c r="G94" s="15">
        <f t="shared" si="7"/>
        <v>-0.45243797740109248</v>
      </c>
      <c r="H94" s="16">
        <v>257064.8</v>
      </c>
      <c r="I94" s="16">
        <f t="shared" si="8"/>
        <v>-108726.4699</v>
      </c>
      <c r="J94" s="15">
        <f t="shared" si="9"/>
        <v>-0.42295355062225554</v>
      </c>
      <c r="K94" s="106" t="s">
        <v>195</v>
      </c>
      <c r="L94" s="106"/>
      <c r="M94" s="106"/>
      <c r="O94" s="103"/>
      <c r="P94" s="103"/>
      <c r="Q94" s="103"/>
      <c r="R94" s="103"/>
      <c r="S94" s="103"/>
      <c r="T94" s="103"/>
      <c r="U94" s="103"/>
    </row>
    <row r="95" spans="1:21" ht="15.6">
      <c r="A95" s="24" t="str">
        <v>Rivard 2</v>
      </c>
      <c r="B95" s="25" t="str">
        <v>NY</v>
      </c>
      <c r="C95" s="25" t="str">
        <f>Sites[[#This Row],[SOL'#]]</f>
        <v>SOL-11012</v>
      </c>
      <c r="D95" s="20">
        <v>142942</v>
      </c>
      <c r="E95" s="10">
        <v>205053</v>
      </c>
      <c r="F95" s="10">
        <f t="shared" si="6"/>
        <v>-62111</v>
      </c>
      <c r="G95" s="11">
        <f t="shared" si="7"/>
        <v>-0.30290217651046314</v>
      </c>
      <c r="H95" s="12">
        <v>245245.8</v>
      </c>
      <c r="I95" s="12">
        <f t="shared" si="8"/>
        <v>-102303.79999999999</v>
      </c>
      <c r="J95" s="13">
        <f t="shared" si="9"/>
        <v>-0.41714802047578387</v>
      </c>
      <c r="K95" s="37" t="s">
        <v>196</v>
      </c>
      <c r="L95" s="37"/>
      <c r="M95" s="37"/>
      <c r="O95" s="103"/>
      <c r="P95" s="103"/>
      <c r="Q95" s="103"/>
      <c r="R95" s="103"/>
      <c r="S95" s="103"/>
      <c r="T95" s="103"/>
      <c r="U95" s="103"/>
    </row>
    <row r="96" spans="1:21" ht="15.6">
      <c r="A96" s="24" t="str">
        <v>Ridgeway #2</v>
      </c>
      <c r="B96" s="25" t="str">
        <v>NY</v>
      </c>
      <c r="C96" s="25" t="str">
        <f>Sites[[#This Row],[SOL'#]]</f>
        <v>SOL-11027</v>
      </c>
      <c r="D96" s="20">
        <v>124718</v>
      </c>
      <c r="E96" s="10">
        <v>121762</v>
      </c>
      <c r="F96" s="10">
        <f t="shared" si="6"/>
        <v>2956</v>
      </c>
      <c r="G96" s="11">
        <f t="shared" si="7"/>
        <v>2.4276867988370757E-2</v>
      </c>
      <c r="H96" s="12">
        <v>219945.25</v>
      </c>
      <c r="I96" s="12">
        <f t="shared" si="8"/>
        <v>-95227.25</v>
      </c>
      <c r="J96" s="13">
        <f t="shared" si="9"/>
        <v>-0.43295888408592592</v>
      </c>
      <c r="K96" s="37" t="s">
        <v>197</v>
      </c>
      <c r="L96" s="109" t="s">
        <v>198</v>
      </c>
      <c r="M96" s="37" t="s">
        <v>29</v>
      </c>
      <c r="O96" s="103"/>
      <c r="P96" s="103"/>
      <c r="Q96" s="103"/>
      <c r="R96" s="103"/>
      <c r="S96" s="103"/>
      <c r="T96" s="103"/>
      <c r="U96" s="103"/>
    </row>
    <row r="97" spans="1:21" ht="28.9">
      <c r="A97" s="26" t="str">
        <v>Spencer</v>
      </c>
      <c r="B97" s="27" t="str">
        <v>NY</v>
      </c>
      <c r="C97" s="27" t="str">
        <f>Sites[[#This Row],[SOL'#]]</f>
        <v>SOL-11017</v>
      </c>
      <c r="D97" s="9">
        <v>366895.2</v>
      </c>
      <c r="E97" s="14">
        <v>362740</v>
      </c>
      <c r="F97" s="14">
        <f t="shared" si="6"/>
        <v>4155.2000000000116</v>
      </c>
      <c r="G97" s="15">
        <f t="shared" si="7"/>
        <v>1.1455036665380194E-2</v>
      </c>
      <c r="H97" s="16">
        <v>306010.64</v>
      </c>
      <c r="I97" s="16">
        <f t="shared" si="8"/>
        <v>60884.56</v>
      </c>
      <c r="J97" s="15">
        <f t="shared" si="9"/>
        <v>0.19896223216290779</v>
      </c>
      <c r="K97" s="50" t="s">
        <v>199</v>
      </c>
      <c r="L97" s="110" t="s">
        <v>200</v>
      </c>
      <c r="M97" s="50" t="s">
        <v>29</v>
      </c>
      <c r="O97" s="103"/>
      <c r="P97" s="103"/>
      <c r="Q97" s="103"/>
      <c r="R97" s="103"/>
      <c r="S97" s="103"/>
      <c r="T97" s="103"/>
      <c r="U97" s="103"/>
    </row>
    <row r="98" spans="1:21" ht="15.6">
      <c r="A98" s="28" t="str">
        <v>Reisender</v>
      </c>
      <c r="B98" s="25" t="str">
        <v>NY</v>
      </c>
      <c r="C98" s="25" t="str">
        <f>Sites[[#This Row],[SOL'#]]</f>
        <v>SOL-10886</v>
      </c>
      <c r="D98" s="54">
        <v>55170</v>
      </c>
      <c r="E98" s="10">
        <v>54780</v>
      </c>
      <c r="F98" s="10">
        <f t="shared" si="6"/>
        <v>390</v>
      </c>
      <c r="G98" s="11">
        <f t="shared" si="7"/>
        <v>7.1193866374589269E-3</v>
      </c>
      <c r="H98" s="67">
        <v>139255.92000000001</v>
      </c>
      <c r="I98" s="12">
        <f t="shared" si="8"/>
        <v>-84085.920000000013</v>
      </c>
      <c r="J98" s="13">
        <f t="shared" si="9"/>
        <v>-0.60382294698853745</v>
      </c>
      <c r="K98" s="56" t="s">
        <v>201</v>
      </c>
      <c r="L98" s="116" t="s">
        <v>202</v>
      </c>
      <c r="M98" s="56" t="s">
        <v>47</v>
      </c>
      <c r="O98" s="103"/>
      <c r="P98" s="103"/>
      <c r="Q98" s="103"/>
      <c r="R98" s="103"/>
      <c r="S98" s="103"/>
      <c r="T98" s="103"/>
      <c r="U98" s="103"/>
    </row>
    <row r="99" spans="1:21" ht="15.6">
      <c r="A99" s="26" t="str">
        <v>Finney</v>
      </c>
      <c r="B99" s="27" t="str">
        <v>NY</v>
      </c>
      <c r="C99" s="27" t="str">
        <f>Sites[[#This Row],[SOL'#]]</f>
        <v>SOL-10999</v>
      </c>
      <c r="D99" s="66">
        <v>423780</v>
      </c>
      <c r="E99" s="14">
        <v>421430</v>
      </c>
      <c r="F99" s="14">
        <f t="shared" si="6"/>
        <v>2350</v>
      </c>
      <c r="G99" s="15">
        <f t="shared" si="7"/>
        <v>5.5762522838905633E-3</v>
      </c>
      <c r="H99" s="69">
        <v>423916.47</v>
      </c>
      <c r="I99" s="16">
        <f t="shared" si="8"/>
        <v>-136.46999999997206</v>
      </c>
      <c r="J99" s="15">
        <f t="shared" si="9"/>
        <v>-3.2192662861146225E-4</v>
      </c>
      <c r="K99" s="50" t="s">
        <v>203</v>
      </c>
      <c r="L99" s="50"/>
      <c r="M99" s="50"/>
      <c r="O99" s="103"/>
      <c r="P99" s="103"/>
      <c r="Q99" s="103"/>
      <c r="R99" s="103"/>
      <c r="S99" s="103"/>
      <c r="T99" s="103"/>
      <c r="U99" s="103"/>
    </row>
    <row r="100" spans="1:21" ht="72">
      <c r="A100" s="24" t="str">
        <v>Davis Solar</v>
      </c>
      <c r="B100" s="25" t="str">
        <v>NY</v>
      </c>
      <c r="C100" s="25" t="str">
        <f>Sites[[#This Row],[SOL'#]]</f>
        <v>SOL-10958</v>
      </c>
      <c r="D100" s="54">
        <v>98174</v>
      </c>
      <c r="E100" s="10">
        <v>222749.1</v>
      </c>
      <c r="F100" s="10">
        <f t="shared" si="6"/>
        <v>-124575.1</v>
      </c>
      <c r="G100" s="11">
        <f t="shared" si="7"/>
        <v>-0.55926196783735604</v>
      </c>
      <c r="H100" s="67">
        <v>182746</v>
      </c>
      <c r="I100" s="12">
        <f t="shared" si="8"/>
        <v>-84572</v>
      </c>
      <c r="J100" s="13">
        <f t="shared" si="9"/>
        <v>-0.46278441114990204</v>
      </c>
      <c r="K100" s="56" t="s">
        <v>204</v>
      </c>
      <c r="L100" s="116" t="s">
        <v>205</v>
      </c>
      <c r="M100" s="56" t="s">
        <v>206</v>
      </c>
      <c r="N100" s="111" t="s">
        <v>207</v>
      </c>
      <c r="O100" s="102" t="s">
        <v>208</v>
      </c>
      <c r="P100" s="103"/>
      <c r="Q100" s="103"/>
      <c r="R100" s="103"/>
      <c r="S100" s="103"/>
      <c r="T100" s="103"/>
      <c r="U100" s="103"/>
    </row>
    <row r="101" spans="1:21" ht="28.9">
      <c r="A101" s="26" t="str">
        <v>Genesee</v>
      </c>
      <c r="B101" s="27" t="str">
        <v>NY</v>
      </c>
      <c r="C101" s="27" t="str">
        <f>Sites[[#This Row],[SOL'#]]</f>
        <v>SOL-10951</v>
      </c>
      <c r="D101" s="66">
        <v>71876</v>
      </c>
      <c r="E101" s="14">
        <v>71030.2</v>
      </c>
      <c r="F101" s="14">
        <f t="shared" si="6"/>
        <v>845.80000000000291</v>
      </c>
      <c r="G101" s="15">
        <f t="shared" si="7"/>
        <v>1.1907611128787516E-2</v>
      </c>
      <c r="H101" s="69">
        <v>223003.43</v>
      </c>
      <c r="I101" s="16">
        <f t="shared" si="8"/>
        <v>-151127.43</v>
      </c>
      <c r="J101" s="15">
        <f t="shared" si="9"/>
        <v>-0.67769105614205127</v>
      </c>
      <c r="K101" s="50" t="s">
        <v>209</v>
      </c>
      <c r="L101" s="110" t="s">
        <v>210</v>
      </c>
      <c r="M101" s="50" t="s">
        <v>65</v>
      </c>
      <c r="N101" s="111" t="s">
        <v>211</v>
      </c>
      <c r="O101" s="102" t="s">
        <v>212</v>
      </c>
      <c r="P101" s="103"/>
      <c r="Q101" s="103"/>
      <c r="R101" s="103"/>
      <c r="S101" s="103"/>
      <c r="T101" s="103"/>
      <c r="U101" s="103"/>
    </row>
    <row r="102" spans="1:21" ht="28.9">
      <c r="A102" s="24" t="str">
        <v>Landau I</v>
      </c>
      <c r="B102" s="25" t="str">
        <v>NY</v>
      </c>
      <c r="C102" s="25" t="str">
        <f>Sites[[#This Row],[SOL'#]]</f>
        <v>SOL-10891</v>
      </c>
      <c r="D102" s="54">
        <v>76220</v>
      </c>
      <c r="E102" s="10" t="s">
        <v>78</v>
      </c>
      <c r="F102" s="10" t="str">
        <f t="shared" ref="F102:F143" si="10">IF(AND(ISNUMBER(D102),ISNUMBER(E102)), D102-E102, "")</f>
        <v/>
      </c>
      <c r="G102" s="11" t="str">
        <f t="shared" ref="G102:G143" si="11">IFERROR(F102/E102, "")</f>
        <v/>
      </c>
      <c r="H102" s="67">
        <v>183280</v>
      </c>
      <c r="I102" s="12">
        <f t="shared" si="8"/>
        <v>-107060</v>
      </c>
      <c r="J102" s="13">
        <f t="shared" si="9"/>
        <v>-0.58413356612832823</v>
      </c>
      <c r="K102" s="56" t="s">
        <v>213</v>
      </c>
      <c r="L102" s="116" t="s">
        <v>214</v>
      </c>
      <c r="M102" s="56" t="s">
        <v>47</v>
      </c>
      <c r="N102" s="111" t="s">
        <v>215</v>
      </c>
      <c r="O102" s="103"/>
      <c r="P102" s="103"/>
      <c r="Q102" s="103"/>
      <c r="R102" s="103"/>
      <c r="S102" s="103"/>
      <c r="T102" s="103"/>
      <c r="U102" s="103"/>
    </row>
    <row r="103" spans="1:21" ht="15.6">
      <c r="A103" s="26" t="str">
        <v>Landau II</v>
      </c>
      <c r="B103" s="27" t="str">
        <v>NY</v>
      </c>
      <c r="C103" s="27" t="str">
        <f>Sites[[#This Row],[SOL'#]]</f>
        <v>SOL-10895</v>
      </c>
      <c r="D103" s="66"/>
      <c r="E103" s="14" t="s">
        <v>78</v>
      </c>
      <c r="F103" s="14" t="str">
        <f t="shared" si="10"/>
        <v/>
      </c>
      <c r="G103" s="15" t="str">
        <f t="shared" si="11"/>
        <v/>
      </c>
      <c r="H103" s="69">
        <v>345100.3</v>
      </c>
      <c r="I103" s="16" t="str">
        <f t="shared" si="8"/>
        <v/>
      </c>
      <c r="J103" s="15" t="str">
        <f t="shared" si="9"/>
        <v/>
      </c>
      <c r="K103" s="50" t="s">
        <v>216</v>
      </c>
      <c r="L103" s="50"/>
      <c r="M103" s="50"/>
      <c r="O103" s="103"/>
      <c r="P103" s="103"/>
      <c r="Q103" s="103"/>
      <c r="R103" s="103"/>
      <c r="S103" s="103"/>
      <c r="T103" s="103"/>
      <c r="U103" s="103"/>
    </row>
    <row r="104" spans="1:21" ht="15.6">
      <c r="A104" s="24" t="str">
        <v>New Beginnings</v>
      </c>
      <c r="B104" s="25" t="str">
        <v>NY</v>
      </c>
      <c r="C104" s="25" t="str">
        <f>Sites[[#This Row],[SOL'#]]</f>
        <v>SOL-10890</v>
      </c>
      <c r="D104" s="54">
        <v>92270</v>
      </c>
      <c r="E104" s="10">
        <v>92270</v>
      </c>
      <c r="F104" s="10">
        <f t="shared" si="10"/>
        <v>0</v>
      </c>
      <c r="G104" s="11">
        <f t="shared" si="11"/>
        <v>0</v>
      </c>
      <c r="H104" s="67">
        <v>179886.74</v>
      </c>
      <c r="I104" s="12">
        <f t="shared" ref="I104:I121" si="12">IF(AND(ISNUMBER(D104),ISNUMBER(H104)), D104-H104, "")</f>
        <v>-87616.739999999991</v>
      </c>
      <c r="J104" s="13">
        <f t="shared" ref="J104:J121" si="13">IFERROR(I104/H104, "")</f>
        <v>-0.48706613950533539</v>
      </c>
      <c r="K104" s="56" t="s">
        <v>216</v>
      </c>
      <c r="L104" s="56"/>
      <c r="M104" s="56"/>
      <c r="O104" s="103"/>
      <c r="P104" s="103"/>
      <c r="Q104" s="103"/>
      <c r="R104" s="103"/>
      <c r="S104" s="103"/>
      <c r="T104" s="103"/>
      <c r="U104" s="103"/>
    </row>
    <row r="105" spans="1:21" ht="15.6">
      <c r="A105" s="26" t="str">
        <v>Bullitt Farm Solar, LLC</v>
      </c>
      <c r="B105" s="27" t="str">
        <v>NY</v>
      </c>
      <c r="C105" s="27" t="str">
        <f>Sites[[#This Row],[SOL'#]]</f>
        <v>SOL-10998</v>
      </c>
      <c r="D105" s="66">
        <v>58980</v>
      </c>
      <c r="E105" s="14"/>
      <c r="F105" s="14" t="str">
        <f t="shared" si="10"/>
        <v/>
      </c>
      <c r="G105" s="15" t="str">
        <f t="shared" si="11"/>
        <v/>
      </c>
      <c r="H105" s="69">
        <v>110519.08</v>
      </c>
      <c r="I105" s="16">
        <f t="shared" si="12"/>
        <v>-51539.08</v>
      </c>
      <c r="J105" s="15">
        <f t="shared" si="13"/>
        <v>-0.4663364914003989</v>
      </c>
      <c r="K105" s="50" t="s">
        <v>217</v>
      </c>
      <c r="L105" s="50"/>
      <c r="M105" s="50"/>
      <c r="O105" s="103"/>
      <c r="P105" s="103"/>
      <c r="Q105" s="103"/>
      <c r="R105" s="103"/>
      <c r="S105" s="103"/>
      <c r="T105" s="103"/>
      <c r="U105" s="103"/>
    </row>
    <row r="106" spans="1:21" ht="15.6">
      <c r="A106" s="24" t="str">
        <v>Brodhead Solar, LLC</v>
      </c>
      <c r="B106" s="25" t="str">
        <v>NY</v>
      </c>
      <c r="C106" s="25" t="str">
        <f>Sites[[#This Row],[SOL'#]]</f>
        <v>SOL-10899</v>
      </c>
      <c r="D106" s="54">
        <v>177618</v>
      </c>
      <c r="E106" s="10">
        <v>190253</v>
      </c>
      <c r="F106" s="10">
        <f t="shared" si="10"/>
        <v>-12635</v>
      </c>
      <c r="G106" s="11">
        <f t="shared" si="11"/>
        <v>-6.6411567754516357E-2</v>
      </c>
      <c r="H106" s="67">
        <v>215650.8</v>
      </c>
      <c r="I106" s="12">
        <f t="shared" si="12"/>
        <v>-38032.799999999988</v>
      </c>
      <c r="J106" s="13">
        <f t="shared" si="13"/>
        <v>-0.17636289779588107</v>
      </c>
      <c r="K106" s="56" t="s">
        <v>218</v>
      </c>
      <c r="L106" s="116" t="s">
        <v>219</v>
      </c>
      <c r="M106" s="56" t="s">
        <v>29</v>
      </c>
      <c r="O106" s="103"/>
      <c r="P106" s="103"/>
      <c r="Q106" s="103"/>
      <c r="R106" s="103"/>
      <c r="S106" s="103"/>
      <c r="T106" s="103"/>
      <c r="U106" s="103"/>
    </row>
    <row r="107" spans="1:21" ht="15.6">
      <c r="A107" s="26" t="str">
        <v>Svenski</v>
      </c>
      <c r="B107" s="27" t="str">
        <v>NY</v>
      </c>
      <c r="C107" s="27" t="str">
        <f>Sites[[#This Row],[SOL'#]]</f>
        <v>SOL-10894</v>
      </c>
      <c r="D107" s="66">
        <v>30220</v>
      </c>
      <c r="E107" s="14" t="s">
        <v>78</v>
      </c>
      <c r="F107" s="14" t="str">
        <f t="shared" si="10"/>
        <v/>
      </c>
      <c r="G107" s="15" t="str">
        <f t="shared" si="11"/>
        <v/>
      </c>
      <c r="H107" s="69">
        <v>143761.47</v>
      </c>
      <c r="I107" s="16">
        <f t="shared" si="12"/>
        <v>-113541.47</v>
      </c>
      <c r="J107" s="15">
        <f t="shared" si="13"/>
        <v>-0.78979068591883483</v>
      </c>
      <c r="K107" s="106" t="s">
        <v>220</v>
      </c>
      <c r="L107" s="111" t="s">
        <v>221</v>
      </c>
      <c r="M107" s="106" t="s">
        <v>29</v>
      </c>
      <c r="O107" s="103"/>
      <c r="P107" s="103"/>
      <c r="Q107" s="103"/>
      <c r="R107" s="103"/>
      <c r="S107" s="103"/>
      <c r="T107" s="103"/>
      <c r="U107" s="103"/>
    </row>
    <row r="108" spans="1:21" ht="72.75" customHeight="1">
      <c r="A108" s="24" t="str">
        <v>Bantam</v>
      </c>
      <c r="B108" s="25" t="str">
        <v>NY</v>
      </c>
      <c r="C108" s="25" t="str">
        <f>Sites[[#This Row],[SOL'#]]</f>
        <v>SOL-10986</v>
      </c>
      <c r="D108" s="54">
        <v>159790</v>
      </c>
      <c r="E108" s="10">
        <v>190990</v>
      </c>
      <c r="F108" s="10">
        <f t="shared" si="10"/>
        <v>-31200</v>
      </c>
      <c r="G108" s="11">
        <f t="shared" si="11"/>
        <v>-0.16335933818524531</v>
      </c>
      <c r="H108" s="67">
        <v>384649.18246464652</v>
      </c>
      <c r="I108" s="12">
        <f t="shared" si="12"/>
        <v>-224859.18246464652</v>
      </c>
      <c r="J108" s="13">
        <f t="shared" si="13"/>
        <v>-0.58458250456651772</v>
      </c>
      <c r="K108" s="56" t="s">
        <v>222</v>
      </c>
      <c r="L108" s="116" t="s">
        <v>223</v>
      </c>
      <c r="M108" s="56" t="s">
        <v>224</v>
      </c>
      <c r="N108" s="111" t="s">
        <v>225</v>
      </c>
      <c r="O108" s="102" t="s">
        <v>226</v>
      </c>
      <c r="P108" s="103"/>
      <c r="Q108" s="103"/>
      <c r="R108" s="103"/>
      <c r="S108" s="103"/>
      <c r="T108" s="103"/>
      <c r="U108" s="103"/>
    </row>
    <row r="109" spans="1:21" ht="21" customHeight="1">
      <c r="A109" s="26" t="str">
        <v>Bogart</v>
      </c>
      <c r="B109" s="27" t="str">
        <v>NY</v>
      </c>
      <c r="C109" s="27" t="str">
        <f>Sites[[#This Row],[SOL'#]]</f>
        <v>SOL-10887</v>
      </c>
      <c r="D109" s="66">
        <v>99550</v>
      </c>
      <c r="E109" s="14">
        <v>70660</v>
      </c>
      <c r="F109" s="14">
        <f t="shared" si="10"/>
        <v>28890</v>
      </c>
      <c r="G109" s="15">
        <f t="shared" si="11"/>
        <v>0.4088593263515426</v>
      </c>
      <c r="H109" s="69">
        <v>164078.57</v>
      </c>
      <c r="I109" s="16">
        <f t="shared" si="12"/>
        <v>-64528.570000000007</v>
      </c>
      <c r="J109" s="15">
        <f t="shared" si="13"/>
        <v>-0.39327847628121093</v>
      </c>
      <c r="K109" s="50" t="s">
        <v>227</v>
      </c>
      <c r="L109" s="110" t="s">
        <v>228</v>
      </c>
      <c r="M109" s="50" t="s">
        <v>194</v>
      </c>
      <c r="O109" s="103"/>
      <c r="P109" s="103"/>
      <c r="Q109" s="103"/>
      <c r="R109" s="103"/>
      <c r="S109" s="103"/>
      <c r="T109" s="103"/>
      <c r="U109" s="103"/>
    </row>
    <row r="110" spans="1:21" ht="15.6">
      <c r="A110" s="24" t="str">
        <v>Dubois</v>
      </c>
      <c r="B110" s="25" t="str">
        <v>NY</v>
      </c>
      <c r="C110" s="25" t="str">
        <f>Sites[[#This Row],[SOL'#]]</f>
        <v>SOL-10892</v>
      </c>
      <c r="D110" s="54">
        <v>90300</v>
      </c>
      <c r="E110" s="10">
        <v>90343</v>
      </c>
      <c r="F110" s="10">
        <f t="shared" si="10"/>
        <v>-43</v>
      </c>
      <c r="G110" s="11">
        <f t="shared" si="11"/>
        <v>-4.7596382674916705E-4</v>
      </c>
      <c r="H110" s="67"/>
      <c r="I110" s="12" t="str">
        <f t="shared" si="12"/>
        <v/>
      </c>
      <c r="J110" s="13" t="str">
        <f t="shared" si="13"/>
        <v/>
      </c>
      <c r="K110" s="56" t="s">
        <v>229</v>
      </c>
      <c r="L110" s="56"/>
      <c r="M110" s="56"/>
      <c r="O110" s="103"/>
      <c r="P110" s="103"/>
      <c r="Q110" s="103"/>
      <c r="R110" s="103"/>
      <c r="S110" s="103"/>
      <c r="T110" s="103"/>
      <c r="U110" s="103"/>
    </row>
    <row r="111" spans="1:21" ht="28.9">
      <c r="A111" s="26" t="str">
        <v>Salt Point</v>
      </c>
      <c r="B111" s="27" t="str">
        <v>NY</v>
      </c>
      <c r="C111" s="27" t="str">
        <f>Sites[[#This Row],[SOL'#]]</f>
        <v>SOL-10888</v>
      </c>
      <c r="D111" s="66">
        <v>124160</v>
      </c>
      <c r="E111" s="14">
        <v>124160</v>
      </c>
      <c r="F111" s="14">
        <f t="shared" si="10"/>
        <v>0</v>
      </c>
      <c r="G111" s="15">
        <f t="shared" si="11"/>
        <v>0</v>
      </c>
      <c r="H111" s="69">
        <v>135218.23000000001</v>
      </c>
      <c r="I111" s="16">
        <f t="shared" si="12"/>
        <v>-11058.23000000001</v>
      </c>
      <c r="J111" s="15">
        <f t="shared" si="13"/>
        <v>-8.17806149363145E-2</v>
      </c>
      <c r="K111" s="185" t="s">
        <v>230</v>
      </c>
      <c r="L111" s="110" t="s">
        <v>231</v>
      </c>
      <c r="M111" s="185" t="s">
        <v>29</v>
      </c>
      <c r="N111" s="111" t="s">
        <v>232</v>
      </c>
      <c r="O111" s="103"/>
      <c r="P111" s="103"/>
      <c r="Q111" s="103"/>
      <c r="R111" s="103"/>
      <c r="S111" s="103"/>
      <c r="T111" s="103"/>
      <c r="U111" s="103"/>
    </row>
    <row r="112" spans="1:21" ht="43.15">
      <c r="A112" s="24" t="str">
        <v>Wheatland 2A</v>
      </c>
      <c r="B112" s="25" t="str">
        <v>NY</v>
      </c>
      <c r="C112" s="25" t="str">
        <f>Sites[[#This Row],[SOL'#]]</f>
        <v>SOL-10971</v>
      </c>
      <c r="D112" s="54">
        <v>160740</v>
      </c>
      <c r="E112" s="10">
        <v>159600</v>
      </c>
      <c r="F112" s="10">
        <f t="shared" si="10"/>
        <v>1140</v>
      </c>
      <c r="G112" s="11">
        <f t="shared" si="11"/>
        <v>7.1428571428571426E-3</v>
      </c>
      <c r="H112" s="67">
        <v>282852.59999999998</v>
      </c>
      <c r="I112" s="12">
        <f t="shared" si="12"/>
        <v>-122112.59999999998</v>
      </c>
      <c r="J112" s="13">
        <f t="shared" si="13"/>
        <v>-0.43171814577628059</v>
      </c>
      <c r="K112" s="37" t="s">
        <v>233</v>
      </c>
      <c r="L112" s="109" t="s">
        <v>234</v>
      </c>
      <c r="M112" s="56" t="s">
        <v>29</v>
      </c>
      <c r="N112" s="111" t="s">
        <v>235</v>
      </c>
      <c r="O112" s="103"/>
      <c r="P112" s="103"/>
      <c r="Q112" s="103"/>
      <c r="R112" s="103"/>
      <c r="S112" s="103"/>
      <c r="T112" s="103"/>
      <c r="U112" s="103"/>
    </row>
    <row r="113" spans="1:21" ht="43.15">
      <c r="A113" s="26" t="str">
        <v>Wheatland 2B</v>
      </c>
      <c r="B113" s="27" t="str">
        <v>NY</v>
      </c>
      <c r="C113" s="27" t="str">
        <f>Sites[[#This Row],[SOL'#]]</f>
        <v>SOL-10961</v>
      </c>
      <c r="D113" s="66">
        <v>164520</v>
      </c>
      <c r="E113" s="14">
        <v>0</v>
      </c>
      <c r="F113" s="14">
        <f t="shared" si="10"/>
        <v>164520</v>
      </c>
      <c r="G113" s="15" t="str">
        <f t="shared" si="11"/>
        <v/>
      </c>
      <c r="H113" s="69">
        <v>279044.7</v>
      </c>
      <c r="I113" s="16">
        <f t="shared" si="12"/>
        <v>-114524.70000000001</v>
      </c>
      <c r="J113" s="15">
        <f t="shared" si="13"/>
        <v>-0.41041704071068186</v>
      </c>
      <c r="K113" s="50" t="s">
        <v>236</v>
      </c>
      <c r="L113" s="110" t="s">
        <v>237</v>
      </c>
      <c r="M113" s="50" t="s">
        <v>238</v>
      </c>
      <c r="N113" s="111" t="s">
        <v>239</v>
      </c>
      <c r="O113" s="102" t="s">
        <v>240</v>
      </c>
      <c r="P113" s="102" t="s">
        <v>241</v>
      </c>
      <c r="Q113" s="103"/>
      <c r="R113" s="103"/>
      <c r="S113" s="103"/>
      <c r="T113" s="103"/>
      <c r="U113" s="103"/>
    </row>
    <row r="114" spans="1:21" ht="43.15">
      <c r="A114" s="24" t="str">
        <v>Brickchurch</v>
      </c>
      <c r="B114" s="25" t="str">
        <v>NY</v>
      </c>
      <c r="C114" s="25" t="str">
        <f>Sites[[#This Row],[SOL'#]]</f>
        <v>SOL-10889</v>
      </c>
      <c r="D114" s="54">
        <v>51400</v>
      </c>
      <c r="E114" s="10">
        <v>52570</v>
      </c>
      <c r="F114" s="10">
        <f t="shared" si="10"/>
        <v>-1170</v>
      </c>
      <c r="G114" s="11">
        <f t="shared" si="11"/>
        <v>-2.2256039566292563E-2</v>
      </c>
      <c r="H114" s="67">
        <v>77601.11</v>
      </c>
      <c r="I114" s="12">
        <f t="shared" si="12"/>
        <v>-26201.11</v>
      </c>
      <c r="J114" s="13">
        <f t="shared" si="13"/>
        <v>-0.33763834048250085</v>
      </c>
      <c r="K114" s="56" t="s">
        <v>242</v>
      </c>
      <c r="L114" s="116" t="s">
        <v>243</v>
      </c>
      <c r="M114" s="56" t="s">
        <v>136</v>
      </c>
      <c r="N114" s="111" t="s">
        <v>244</v>
      </c>
      <c r="O114" s="102" t="s">
        <v>245</v>
      </c>
      <c r="P114" s="103"/>
      <c r="Q114" s="103"/>
      <c r="R114" s="103"/>
      <c r="S114" s="103"/>
      <c r="T114" s="103"/>
      <c r="U114" s="103"/>
    </row>
    <row r="115" spans="1:21" ht="15.6">
      <c r="A115" s="26" t="str">
        <v>McCarthy Solar</v>
      </c>
      <c r="B115" s="27" t="str">
        <v>NY</v>
      </c>
      <c r="C115" s="27" t="str">
        <f>Sites[[#This Row],[SOL'#]]</f>
        <v>SOL-10992</v>
      </c>
      <c r="D115" s="66">
        <v>132470</v>
      </c>
      <c r="E115" s="14">
        <v>0</v>
      </c>
      <c r="F115" s="14">
        <f t="shared" si="10"/>
        <v>132470</v>
      </c>
      <c r="G115" s="15" t="str">
        <f t="shared" si="11"/>
        <v/>
      </c>
      <c r="H115" s="69">
        <v>199506.06</v>
      </c>
      <c r="I115" s="16">
        <f t="shared" si="12"/>
        <v>-67036.06</v>
      </c>
      <c r="J115" s="15">
        <f t="shared" si="13"/>
        <v>-0.33601014425326226</v>
      </c>
      <c r="K115" s="50" t="s">
        <v>246</v>
      </c>
      <c r="L115" s="110" t="s">
        <v>247</v>
      </c>
      <c r="M115" s="50" t="s">
        <v>167</v>
      </c>
      <c r="N115" s="111" t="s">
        <v>248</v>
      </c>
      <c r="O115" s="103"/>
      <c r="P115" s="103"/>
      <c r="Q115" s="103"/>
      <c r="R115" s="103"/>
      <c r="S115" s="103"/>
      <c r="T115" s="103"/>
      <c r="U115" s="103"/>
    </row>
    <row r="116" spans="1:21" ht="28.9">
      <c r="A116" s="24" t="str">
        <v>Costanza</v>
      </c>
      <c r="B116" s="25" t="str">
        <v>NY</v>
      </c>
      <c r="C116" s="25" t="str">
        <f>Sites[[#This Row],[SOL'#]]</f>
        <v>SOL-10907</v>
      </c>
      <c r="D116" s="54">
        <v>80480</v>
      </c>
      <c r="E116" s="10">
        <v>80582.429999999993</v>
      </c>
      <c r="F116" s="10">
        <f t="shared" si="10"/>
        <v>-102.42999999999302</v>
      </c>
      <c r="G116" s="11">
        <f t="shared" si="11"/>
        <v>-1.2711207641664941E-3</v>
      </c>
      <c r="H116" s="67">
        <v>161660.63</v>
      </c>
      <c r="I116" s="12">
        <f t="shared" si="12"/>
        <v>-81180.63</v>
      </c>
      <c r="J116" s="13">
        <f t="shared" si="13"/>
        <v>-0.50216697782261521</v>
      </c>
      <c r="K116" s="56" t="s">
        <v>249</v>
      </c>
      <c r="L116" s="116" t="s">
        <v>250</v>
      </c>
      <c r="M116" s="56" t="s">
        <v>114</v>
      </c>
      <c r="N116" s="111" t="s">
        <v>251</v>
      </c>
      <c r="O116" s="102"/>
      <c r="P116" s="103"/>
      <c r="Q116" s="103"/>
      <c r="R116" s="103"/>
      <c r="S116" s="103"/>
      <c r="T116" s="103"/>
      <c r="U116" s="103"/>
    </row>
    <row r="117" spans="1:21" ht="15.6">
      <c r="A117" s="26" t="str">
        <v>Lockenhurst Pond</v>
      </c>
      <c r="B117" s="27" t="str">
        <v>NY</v>
      </c>
      <c r="C117" s="27" t="str">
        <f>Sites[[#This Row],[SOL'#]]</f>
        <v>SOL-11000</v>
      </c>
      <c r="D117" s="66">
        <v>175704</v>
      </c>
      <c r="E117" s="14">
        <v>203514.2</v>
      </c>
      <c r="F117" s="14">
        <f t="shared" si="10"/>
        <v>-27810.200000000012</v>
      </c>
      <c r="G117" s="15">
        <f t="shared" si="11"/>
        <v>-0.13664992418219471</v>
      </c>
      <c r="H117" s="69">
        <v>160367</v>
      </c>
      <c r="I117" s="16">
        <f t="shared" si="12"/>
        <v>15337</v>
      </c>
      <c r="J117" s="15">
        <f t="shared" si="13"/>
        <v>9.5636882899848466E-2</v>
      </c>
      <c r="K117" s="50" t="s">
        <v>252</v>
      </c>
      <c r="L117" s="50"/>
      <c r="M117" s="50"/>
      <c r="O117" s="103"/>
      <c r="P117" s="103"/>
      <c r="Q117" s="103"/>
      <c r="R117" s="103"/>
      <c r="S117" s="103"/>
      <c r="T117" s="103"/>
      <c r="U117" s="103"/>
    </row>
    <row r="118" spans="1:21" ht="15.6">
      <c r="A118" s="24" t="str">
        <v>Drinkwater</v>
      </c>
      <c r="B118" s="25" t="str">
        <v>NY</v>
      </c>
      <c r="C118" s="25" t="str">
        <f>Sites[[#This Row],[SOL'#]]</f>
        <v>SOL-10896</v>
      </c>
      <c r="D118" s="54">
        <v>92100</v>
      </c>
      <c r="E118" s="10">
        <v>0</v>
      </c>
      <c r="F118" s="10">
        <f t="shared" si="10"/>
        <v>92100</v>
      </c>
      <c r="G118" s="11" t="str">
        <f t="shared" si="11"/>
        <v/>
      </c>
      <c r="H118" s="67">
        <v>167148.09</v>
      </c>
      <c r="I118" s="12">
        <f t="shared" si="12"/>
        <v>-75048.09</v>
      </c>
      <c r="J118" s="13">
        <f t="shared" si="13"/>
        <v>-0.44899160977549907</v>
      </c>
      <c r="K118" s="53" t="s">
        <v>253</v>
      </c>
      <c r="L118" s="98" t="s">
        <v>254</v>
      </c>
      <c r="M118" s="53" t="s">
        <v>194</v>
      </c>
      <c r="N118" s="111" t="s">
        <v>255</v>
      </c>
      <c r="O118" s="103"/>
      <c r="P118" s="103"/>
      <c r="Q118" s="103"/>
      <c r="R118" s="103"/>
      <c r="S118" s="103"/>
      <c r="T118" s="103"/>
      <c r="U118" s="103"/>
    </row>
    <row r="119" spans="1:21" ht="15.6">
      <c r="A119" s="26" t="str">
        <v>Altamont</v>
      </c>
      <c r="B119" s="27" t="str">
        <v>NY</v>
      </c>
      <c r="C119" s="27" t="s">
        <v>256</v>
      </c>
      <c r="D119" s="66">
        <v>214086</v>
      </c>
      <c r="E119" s="14">
        <v>414723.4</v>
      </c>
      <c r="F119" s="14">
        <f t="shared" si="10"/>
        <v>-200637.40000000002</v>
      </c>
      <c r="G119" s="15">
        <f t="shared" si="11"/>
        <v>-0.48378606078171621</v>
      </c>
      <c r="H119" s="69">
        <v>346402.7</v>
      </c>
      <c r="I119" s="16">
        <f t="shared" si="12"/>
        <v>-132316.70000000001</v>
      </c>
      <c r="J119" s="15">
        <f t="shared" si="13"/>
        <v>-0.38197363935096351</v>
      </c>
      <c r="K119" s="106"/>
      <c r="L119" s="106"/>
      <c r="M119" s="106"/>
      <c r="O119" s="103"/>
      <c r="P119" s="103"/>
      <c r="Q119" s="103"/>
      <c r="R119" s="103"/>
      <c r="S119" s="103"/>
      <c r="T119" s="103"/>
      <c r="U119" s="103"/>
    </row>
    <row r="120" spans="1:21" ht="15.6">
      <c r="A120" s="24" t="str">
        <v>Krumkill North</v>
      </c>
      <c r="B120" s="25" t="str">
        <v>NY</v>
      </c>
      <c r="C120" s="25" t="str">
        <f>Sites[[#This Row],[SOL'#]]</f>
        <v>SOL-11086</v>
      </c>
      <c r="D120" s="54">
        <v>178706</v>
      </c>
      <c r="E120" s="10">
        <v>333810.59999999998</v>
      </c>
      <c r="F120" s="10">
        <f t="shared" si="10"/>
        <v>-155104.59999999998</v>
      </c>
      <c r="G120" s="11">
        <f t="shared" si="11"/>
        <v>-0.46464851625442688</v>
      </c>
      <c r="H120" s="67">
        <v>463900.5</v>
      </c>
      <c r="I120" s="12">
        <f t="shared" si="12"/>
        <v>-285194.5</v>
      </c>
      <c r="J120" s="13">
        <f t="shared" si="13"/>
        <v>-0.61477515113693559</v>
      </c>
      <c r="K120" s="53" t="s">
        <v>257</v>
      </c>
      <c r="L120" s="53"/>
      <c r="M120" s="53"/>
      <c r="O120" s="103"/>
      <c r="P120" s="103"/>
      <c r="Q120" s="103"/>
      <c r="R120" s="103"/>
      <c r="S120" s="103"/>
      <c r="T120" s="103"/>
      <c r="U120" s="103"/>
    </row>
    <row r="121" spans="1:21" ht="28.9">
      <c r="A121" s="26" t="str">
        <v>Krumkill South</v>
      </c>
      <c r="B121" s="27" t="str">
        <v>NY</v>
      </c>
      <c r="C121" s="27" t="str">
        <f>Sites[[#This Row],[SOL'#]]</f>
        <v>SOL-11087</v>
      </c>
      <c r="D121" s="66">
        <v>174363</v>
      </c>
      <c r="E121" s="14">
        <v>315721.3</v>
      </c>
      <c r="F121" s="14">
        <f t="shared" si="10"/>
        <v>-141358.29999999999</v>
      </c>
      <c r="G121" s="15">
        <f t="shared" si="11"/>
        <v>-0.4477312743866188</v>
      </c>
      <c r="H121" s="69">
        <v>363684</v>
      </c>
      <c r="I121" s="16">
        <f t="shared" si="12"/>
        <v>-189321</v>
      </c>
      <c r="J121" s="15">
        <f t="shared" si="13"/>
        <v>-0.52056455604315832</v>
      </c>
      <c r="K121" s="70" t="s">
        <v>258</v>
      </c>
      <c r="L121" s="70"/>
      <c r="M121" s="70"/>
      <c r="O121" s="103"/>
      <c r="P121" s="103"/>
      <c r="Q121" s="103"/>
      <c r="R121" s="103"/>
      <c r="S121" s="103"/>
      <c r="T121" s="103"/>
      <c r="U121" s="103"/>
    </row>
    <row r="122" spans="1:21" ht="28.9">
      <c r="A122" s="24" t="str">
        <v>X092</v>
      </c>
      <c r="B122" s="25" t="str">
        <v>NY</v>
      </c>
      <c r="C122" s="25" t="str">
        <f>Sites[[#This Row],[SOL'#]]</f>
        <v>SOL-11189</v>
      </c>
      <c r="D122" s="54">
        <v>4003.3</v>
      </c>
      <c r="E122" s="10">
        <v>6290.3819999999996</v>
      </c>
      <c r="F122" s="10">
        <f t="shared" si="10"/>
        <v>-2287.0819999999994</v>
      </c>
      <c r="G122" s="11">
        <f t="shared" si="11"/>
        <v>-0.36358396040176888</v>
      </c>
      <c r="H122" s="67">
        <v>8237</v>
      </c>
      <c r="I122" s="12">
        <f t="shared" ref="I122:I153" si="14">IF(AND(ISNUMBER(D122),ISNUMBER(H122)), D122-H122, "")</f>
        <v>-4233.7</v>
      </c>
      <c r="J122" s="13">
        <f t="shared" ref="J122:J152" si="15">IFERROR(I122/H122, "")</f>
        <v>-0.51398567439601794</v>
      </c>
      <c r="K122" s="56" t="s">
        <v>259</v>
      </c>
      <c r="L122" s="56"/>
      <c r="M122" s="56"/>
      <c r="O122" s="103"/>
      <c r="P122" s="103"/>
      <c r="Q122" s="103"/>
      <c r="R122" s="103"/>
      <c r="S122" s="103"/>
      <c r="T122" s="103"/>
      <c r="U122" s="103"/>
    </row>
    <row r="123" spans="1:21" ht="15.6">
      <c r="A123" s="26" t="str">
        <v>X093</v>
      </c>
      <c r="B123" s="27" t="str">
        <v>NY</v>
      </c>
      <c r="C123" s="27" t="str">
        <f>Sites[[#This Row],[SOL'#]]</f>
        <v>SOL-10932</v>
      </c>
      <c r="D123" s="66">
        <v>2882.4081740000001</v>
      </c>
      <c r="E123" s="14">
        <v>4009.5050000000001</v>
      </c>
      <c r="F123" s="14">
        <f t="shared" si="10"/>
        <v>-1127.096826</v>
      </c>
      <c r="G123" s="15">
        <f t="shared" si="11"/>
        <v>-0.28110622782612815</v>
      </c>
      <c r="H123" s="69">
        <v>4845</v>
      </c>
      <c r="I123" s="16">
        <f t="shared" si="14"/>
        <v>-1962.5918259999999</v>
      </c>
      <c r="J123" s="15">
        <f t="shared" si="15"/>
        <v>-0.40507571228070172</v>
      </c>
      <c r="K123" s="50" t="s">
        <v>260</v>
      </c>
      <c r="L123" s="50"/>
      <c r="M123" s="50"/>
      <c r="O123" s="103"/>
      <c r="P123" s="103"/>
      <c r="Q123" s="103"/>
      <c r="R123" s="103"/>
      <c r="S123" s="103"/>
      <c r="T123" s="103"/>
      <c r="U123" s="103"/>
    </row>
    <row r="124" spans="1:21" ht="15.6">
      <c r="A124" s="24" t="str">
        <v>X095</v>
      </c>
      <c r="B124" s="25" t="str">
        <v>NY</v>
      </c>
      <c r="C124" s="25" t="str">
        <f>Sites[[#This Row],[SOL'#]]</f>
        <v>SOL-10929</v>
      </c>
      <c r="D124" s="54">
        <v>3943.578125</v>
      </c>
      <c r="E124" s="10">
        <v>7896.8329999999996</v>
      </c>
      <c r="F124" s="10">
        <f t="shared" si="10"/>
        <v>-3953.2548749999996</v>
      </c>
      <c r="G124" s="11">
        <f t="shared" si="11"/>
        <v>-0.50061269815380416</v>
      </c>
      <c r="H124" s="67">
        <v>6901</v>
      </c>
      <c r="I124" s="12">
        <f t="shared" si="14"/>
        <v>-2957.421875</v>
      </c>
      <c r="J124" s="13">
        <f t="shared" si="15"/>
        <v>-0.42854975728155342</v>
      </c>
      <c r="K124" s="56" t="s">
        <v>261</v>
      </c>
      <c r="L124" s="56"/>
      <c r="M124" s="56"/>
      <c r="O124" s="103"/>
      <c r="P124" s="103"/>
      <c r="Q124" s="103"/>
      <c r="R124" s="103"/>
      <c r="S124" s="103"/>
      <c r="T124" s="103"/>
      <c r="U124" s="103"/>
    </row>
    <row r="125" spans="1:21" ht="15.6">
      <c r="A125" s="26" t="str">
        <v>X181</v>
      </c>
      <c r="B125" s="27" t="str">
        <v>NY</v>
      </c>
      <c r="C125" s="27" t="str">
        <f>Sites[[#This Row],[SOL'#]]</f>
        <v>SOL-10428</v>
      </c>
      <c r="D125" s="66">
        <v>7292.90625</v>
      </c>
      <c r="E125" s="14">
        <v>14591.35</v>
      </c>
      <c r="F125" s="14">
        <f t="shared" si="10"/>
        <v>-7298.4437500000004</v>
      </c>
      <c r="G125" s="15">
        <f t="shared" si="11"/>
        <v>-0.50018975283301415</v>
      </c>
      <c r="H125" s="69">
        <v>11497</v>
      </c>
      <c r="I125" s="16">
        <f t="shared" si="14"/>
        <v>-4204.09375</v>
      </c>
      <c r="J125" s="15">
        <f t="shared" si="15"/>
        <v>-0.36566876141602156</v>
      </c>
      <c r="K125" s="50" t="s">
        <v>261</v>
      </c>
      <c r="L125" s="50"/>
      <c r="M125" s="50"/>
      <c r="O125" s="103"/>
      <c r="P125" s="103"/>
      <c r="Q125" s="103"/>
      <c r="R125" s="103"/>
      <c r="S125" s="103"/>
      <c r="T125" s="103"/>
      <c r="U125" s="103"/>
    </row>
    <row r="126" spans="1:21" ht="15.6">
      <c r="A126" s="24" t="str">
        <v>X415</v>
      </c>
      <c r="B126" s="25" t="str">
        <v>NY</v>
      </c>
      <c r="C126" s="25" t="str">
        <f>Sites[[#This Row],[SOL'#]]</f>
        <v>SOL-10429</v>
      </c>
      <c r="D126" s="54">
        <v>4703.953125</v>
      </c>
      <c r="E126" s="10">
        <v>7354.1880000000001</v>
      </c>
      <c r="F126" s="10">
        <f t="shared" si="10"/>
        <v>-2650.2348750000001</v>
      </c>
      <c r="G126" s="11">
        <f t="shared" si="11"/>
        <v>-0.36037083563814254</v>
      </c>
      <c r="H126" s="67">
        <v>6299</v>
      </c>
      <c r="I126" s="12">
        <f t="shared" si="14"/>
        <v>-1595.046875</v>
      </c>
      <c r="J126" s="13">
        <f t="shared" si="15"/>
        <v>-0.25322223765677093</v>
      </c>
      <c r="K126" s="56" t="s">
        <v>261</v>
      </c>
      <c r="L126" s="56"/>
      <c r="M126" s="56"/>
      <c r="O126" s="103"/>
      <c r="P126" s="103"/>
      <c r="Q126" s="103"/>
      <c r="R126" s="103"/>
      <c r="S126" s="103"/>
      <c r="T126" s="103"/>
      <c r="U126" s="103"/>
    </row>
    <row r="127" spans="1:21" ht="28.5" customHeight="1">
      <c r="A127" s="26" t="str">
        <v>K198</v>
      </c>
      <c r="B127" s="27" t="str">
        <v>NY</v>
      </c>
      <c r="C127" s="27" t="str">
        <f>Sites[[#This Row],[SOL'#]]</f>
        <v>SOL-10930</v>
      </c>
      <c r="D127" s="66">
        <v>3744.796875</v>
      </c>
      <c r="E127" s="14">
        <v>5314.616</v>
      </c>
      <c r="F127" s="14">
        <f t="shared" si="10"/>
        <v>-1569.819125</v>
      </c>
      <c r="G127" s="15">
        <f t="shared" si="11"/>
        <v>-0.29537771402487029</v>
      </c>
      <c r="H127" s="69">
        <v>5807</v>
      </c>
      <c r="I127" s="16">
        <f t="shared" si="14"/>
        <v>-2062.203125</v>
      </c>
      <c r="J127" s="15">
        <f t="shared" si="15"/>
        <v>-0.35512366540382295</v>
      </c>
      <c r="K127" s="50" t="s">
        <v>261</v>
      </c>
      <c r="L127" s="50"/>
      <c r="M127" s="50"/>
      <c r="O127" s="103"/>
      <c r="P127" s="103"/>
      <c r="Q127" s="103"/>
      <c r="R127" s="103"/>
      <c r="S127" s="103"/>
      <c r="T127" s="103"/>
      <c r="U127" s="103"/>
    </row>
    <row r="128" spans="1:21" ht="15.6">
      <c r="A128" s="24" t="str">
        <v>K203</v>
      </c>
      <c r="B128" s="25" t="str">
        <v>NY</v>
      </c>
      <c r="C128" s="25" t="str">
        <f>Sites[[#This Row],[SOL'#]]</f>
        <v>SOL-11190</v>
      </c>
      <c r="D128" s="54">
        <v>5244.2</v>
      </c>
      <c r="E128" s="10">
        <v>7024.09</v>
      </c>
      <c r="F128" s="10">
        <f t="shared" si="10"/>
        <v>-1779.8900000000003</v>
      </c>
      <c r="G128" s="11">
        <f t="shared" si="11"/>
        <v>-0.25339794905816987</v>
      </c>
      <c r="H128" s="67">
        <v>9142</v>
      </c>
      <c r="I128" s="12">
        <f t="shared" si="14"/>
        <v>-3897.8</v>
      </c>
      <c r="J128" s="13">
        <f t="shared" si="15"/>
        <v>-0.42636184642310221</v>
      </c>
      <c r="K128" s="56" t="s">
        <v>262</v>
      </c>
      <c r="L128" s="56"/>
      <c r="M128" s="56"/>
      <c r="O128" s="103"/>
      <c r="P128" s="103"/>
      <c r="Q128" s="103"/>
      <c r="R128" s="103"/>
      <c r="S128" s="103"/>
      <c r="T128" s="103"/>
      <c r="U128" s="103"/>
    </row>
    <row r="129" spans="1:21" ht="28.9">
      <c r="A129" s="26" t="str">
        <v>K213</v>
      </c>
      <c r="B129" s="27" t="str">
        <v>NY</v>
      </c>
      <c r="C129" s="27" t="str">
        <f>Sites[[#This Row],[SOL'#]]</f>
        <v>SOL-11191</v>
      </c>
      <c r="D129" s="66">
        <v>5406.9</v>
      </c>
      <c r="E129" s="14">
        <v>7582.6570000000002</v>
      </c>
      <c r="F129" s="14">
        <f t="shared" si="10"/>
        <v>-2175.7570000000005</v>
      </c>
      <c r="G129" s="15">
        <f t="shared" si="11"/>
        <v>-0.28693860212851519</v>
      </c>
      <c r="H129" s="69">
        <v>9570</v>
      </c>
      <c r="I129" s="16">
        <f t="shared" si="14"/>
        <v>-4163.1000000000004</v>
      </c>
      <c r="J129" s="15">
        <f t="shared" si="15"/>
        <v>-0.43501567398119129</v>
      </c>
      <c r="K129" s="51" t="s">
        <v>263</v>
      </c>
      <c r="L129" s="51"/>
      <c r="M129" s="51"/>
      <c r="O129" s="103"/>
      <c r="P129" s="103"/>
      <c r="Q129" s="103"/>
      <c r="R129" s="103"/>
      <c r="S129" s="103"/>
      <c r="T129" s="103"/>
      <c r="U129" s="103"/>
    </row>
    <row r="130" spans="1:21" ht="15.6">
      <c r="A130" s="24" t="str">
        <v>K217</v>
      </c>
      <c r="B130" s="25" t="str">
        <v>NY</v>
      </c>
      <c r="C130" s="25" t="str">
        <f>Sites[[#This Row],[SOL'#]]</f>
        <v>SOL-10933</v>
      </c>
      <c r="D130" s="54">
        <v>2473.8203130000002</v>
      </c>
      <c r="E130" s="10">
        <v>4075.625</v>
      </c>
      <c r="F130" s="10">
        <f t="shared" si="10"/>
        <v>-1601.8046869999998</v>
      </c>
      <c r="G130" s="11">
        <f t="shared" si="11"/>
        <v>-0.39302062554822875</v>
      </c>
      <c r="H130" s="67">
        <v>3879</v>
      </c>
      <c r="I130" s="12">
        <f t="shared" si="14"/>
        <v>-1405.1796869999998</v>
      </c>
      <c r="J130" s="13">
        <f t="shared" si="15"/>
        <v>-0.36225307733952045</v>
      </c>
      <c r="K130" s="56" t="s">
        <v>264</v>
      </c>
      <c r="L130" s="56"/>
      <c r="M130" s="56"/>
      <c r="O130" s="103"/>
      <c r="P130" s="103"/>
      <c r="Q130" s="103"/>
      <c r="R130" s="103"/>
      <c r="S130" s="103"/>
      <c r="T130" s="103"/>
      <c r="U130" s="103"/>
    </row>
    <row r="131" spans="1:21" ht="28.9">
      <c r="A131" s="26" t="str">
        <v>K307</v>
      </c>
      <c r="B131" s="27" t="str">
        <v>NY</v>
      </c>
      <c r="C131" s="27" t="str">
        <f>Sites[[#This Row],[SOL'#]]</f>
        <v>SOL-10876</v>
      </c>
      <c r="D131" s="66">
        <v>5876.796875</v>
      </c>
      <c r="E131" s="14">
        <v>13060.53</v>
      </c>
      <c r="F131" s="14">
        <f t="shared" si="10"/>
        <v>-7183.7331250000007</v>
      </c>
      <c r="G131" s="15">
        <f t="shared" si="11"/>
        <v>-0.550033813712001</v>
      </c>
      <c r="H131" s="69">
        <v>7468</v>
      </c>
      <c r="I131" s="16">
        <f t="shared" si="14"/>
        <v>-1591.203125</v>
      </c>
      <c r="J131" s="15">
        <f t="shared" si="15"/>
        <v>-0.21306951325656132</v>
      </c>
      <c r="K131" s="50" t="s">
        <v>265</v>
      </c>
      <c r="L131" s="50"/>
      <c r="M131" s="50"/>
      <c r="O131" s="103"/>
      <c r="P131" s="103"/>
      <c r="Q131" s="103"/>
      <c r="R131" s="103"/>
      <c r="S131" s="103"/>
      <c r="T131" s="103"/>
      <c r="U131" s="103"/>
    </row>
    <row r="132" spans="1:21" ht="15.6">
      <c r="A132" s="24" t="str">
        <v>K610</v>
      </c>
      <c r="B132" s="25" t="str">
        <v>NY</v>
      </c>
      <c r="C132" s="25" t="str">
        <f>Sites[[#This Row],[SOL'#]]</f>
        <v>SOL-11158</v>
      </c>
      <c r="D132" s="54">
        <v>7256.1</v>
      </c>
      <c r="E132" s="10">
        <v>9685.5640000000003</v>
      </c>
      <c r="F132" s="10">
        <f t="shared" si="10"/>
        <v>-2429.4639999999999</v>
      </c>
      <c r="G132" s="11">
        <f t="shared" si="11"/>
        <v>-0.25083350850812608</v>
      </c>
      <c r="H132" s="67">
        <v>12467</v>
      </c>
      <c r="I132" s="12">
        <f t="shared" si="14"/>
        <v>-5210.8999999999996</v>
      </c>
      <c r="J132" s="13">
        <f t="shared" si="15"/>
        <v>-0.41797545520173257</v>
      </c>
      <c r="K132" s="56" t="s">
        <v>261</v>
      </c>
      <c r="L132" s="56"/>
      <c r="M132" s="56"/>
      <c r="O132" s="103"/>
      <c r="P132" s="103"/>
      <c r="Q132" s="103"/>
      <c r="R132" s="103"/>
      <c r="S132" s="103"/>
      <c r="T132" s="103"/>
      <c r="U132" s="103"/>
    </row>
    <row r="133" spans="1:21" ht="15.6">
      <c r="A133" s="26" t="str">
        <v>M025</v>
      </c>
      <c r="B133" s="27" t="str">
        <v>NY</v>
      </c>
      <c r="C133" s="27" t="str">
        <f>Sites[[#This Row],[SOL'#]]</f>
        <v>SOL-10392</v>
      </c>
      <c r="D133" s="66">
        <v>4989.125</v>
      </c>
      <c r="E133" s="14">
        <v>14236.48</v>
      </c>
      <c r="F133" s="14">
        <f t="shared" si="10"/>
        <v>-9247.3549999999996</v>
      </c>
      <c r="G133" s="15">
        <f t="shared" si="11"/>
        <v>-0.64955347108273953</v>
      </c>
      <c r="H133" s="69">
        <v>9891</v>
      </c>
      <c r="I133" s="16">
        <f t="shared" si="14"/>
        <v>-4901.875</v>
      </c>
      <c r="J133" s="15">
        <f t="shared" si="15"/>
        <v>-0.49558942472955214</v>
      </c>
      <c r="K133" s="50" t="s">
        <v>266</v>
      </c>
      <c r="L133" s="110" t="s">
        <v>267</v>
      </c>
      <c r="M133" s="50" t="s">
        <v>268</v>
      </c>
      <c r="O133" s="103"/>
      <c r="P133" s="103"/>
      <c r="Q133" s="103"/>
      <c r="R133" s="103"/>
      <c r="S133" s="103"/>
      <c r="T133" s="103"/>
      <c r="U133" s="103"/>
    </row>
    <row r="134" spans="1:21" ht="15.6">
      <c r="A134" s="24" t="str">
        <v>M028</v>
      </c>
      <c r="B134" s="25" t="str">
        <v>NY</v>
      </c>
      <c r="C134" s="25" t="str">
        <f>Sites[[#This Row],[SOL'#]]</f>
        <v>SOL-10381</v>
      </c>
      <c r="D134" s="54">
        <v>4642.046875</v>
      </c>
      <c r="E134" s="10">
        <v>6572.8249999999998</v>
      </c>
      <c r="F134" s="10">
        <f t="shared" si="10"/>
        <v>-1930.7781249999998</v>
      </c>
      <c r="G134" s="11">
        <f t="shared" si="11"/>
        <v>-0.29375164027644124</v>
      </c>
      <c r="H134" s="67">
        <v>6540</v>
      </c>
      <c r="I134" s="12">
        <f t="shared" si="14"/>
        <v>-1897.953125</v>
      </c>
      <c r="J134" s="13">
        <f t="shared" si="15"/>
        <v>-0.2902068998470948</v>
      </c>
      <c r="K134" s="56" t="s">
        <v>261</v>
      </c>
      <c r="L134" s="56"/>
      <c r="M134" s="56"/>
      <c r="O134" s="103"/>
      <c r="P134" s="103"/>
      <c r="Q134" s="103"/>
      <c r="R134" s="103"/>
      <c r="S134" s="103"/>
      <c r="T134" s="103"/>
      <c r="U134" s="103"/>
    </row>
    <row r="135" spans="1:21" ht="15.6">
      <c r="A135" s="26" t="str">
        <v>Q030</v>
      </c>
      <c r="B135" s="27" t="str">
        <v>NY</v>
      </c>
      <c r="C135" s="27" t="str">
        <f>Sites[[#This Row],[SOL'#]]</f>
        <v>SOL-10878</v>
      </c>
      <c r="D135" s="66">
        <v>1390.234375</v>
      </c>
      <c r="E135" s="14">
        <v>3019.2640000000001</v>
      </c>
      <c r="F135" s="14">
        <f t="shared" si="10"/>
        <v>-1629.0296250000001</v>
      </c>
      <c r="G135" s="15">
        <f t="shared" si="11"/>
        <v>-0.53954527494117777</v>
      </c>
      <c r="H135" s="69">
        <v>8785</v>
      </c>
      <c r="I135" s="16">
        <f t="shared" si="14"/>
        <v>-7394.765625</v>
      </c>
      <c r="J135" s="15">
        <f t="shared" si="15"/>
        <v>-0.84174907512805919</v>
      </c>
      <c r="K135" s="50" t="s">
        <v>269</v>
      </c>
      <c r="L135" s="110" t="s">
        <v>270</v>
      </c>
      <c r="M135" s="50" t="s">
        <v>271</v>
      </c>
      <c r="O135" s="103"/>
      <c r="P135" s="103"/>
      <c r="Q135" s="103"/>
      <c r="R135" s="103"/>
      <c r="S135" s="103"/>
      <c r="T135" s="103"/>
      <c r="U135" s="103"/>
    </row>
    <row r="136" spans="1:21" ht="36" customHeight="1">
      <c r="A136" s="24" t="str">
        <v>Q130</v>
      </c>
      <c r="B136" s="25" t="str">
        <v>NY</v>
      </c>
      <c r="C136" s="25" t="str">
        <f>Sites[[#This Row],[SOL'#]]</f>
        <v>SOL-10877</v>
      </c>
      <c r="D136" s="54">
        <v>2955.9609380000002</v>
      </c>
      <c r="E136" s="10">
        <v>6868.7219999999998</v>
      </c>
      <c r="F136" s="10">
        <f t="shared" si="10"/>
        <v>-3912.7610619999996</v>
      </c>
      <c r="G136" s="11">
        <f t="shared" si="11"/>
        <v>-0.56964906455669628</v>
      </c>
      <c r="H136" s="67">
        <v>4243.4309999999996</v>
      </c>
      <c r="I136" s="12">
        <f t="shared" si="14"/>
        <v>-1287.4700619999994</v>
      </c>
      <c r="J136" s="13">
        <f t="shared" si="15"/>
        <v>-0.30340308632330759</v>
      </c>
      <c r="K136" s="56" t="s">
        <v>272</v>
      </c>
      <c r="L136" s="56"/>
      <c r="M136" s="56"/>
      <c r="O136" s="103"/>
      <c r="P136" s="103"/>
      <c r="Q136" s="103"/>
      <c r="R136" s="103"/>
      <c r="S136" s="103"/>
      <c r="T136" s="103"/>
      <c r="U136" s="103"/>
    </row>
    <row r="137" spans="1:21" ht="28.9">
      <c r="A137" s="26" t="str">
        <v>Q196</v>
      </c>
      <c r="B137" s="27" t="str">
        <v>NY</v>
      </c>
      <c r="C137" s="27" t="str">
        <f>Sites[[#This Row],[SOL'#]]</f>
        <v>SOL-10879</v>
      </c>
      <c r="D137" s="66">
        <v>3733.796875</v>
      </c>
      <c r="E137" s="14">
        <v>7942.1859999999997</v>
      </c>
      <c r="F137" s="14">
        <f t="shared" si="10"/>
        <v>-4208.3891249999997</v>
      </c>
      <c r="G137" s="15">
        <f t="shared" si="11"/>
        <v>-0.52987793599898059</v>
      </c>
      <c r="H137" s="69">
        <v>5931</v>
      </c>
      <c r="I137" s="16">
        <f t="shared" si="14"/>
        <v>-2197.203125</v>
      </c>
      <c r="J137" s="15">
        <f t="shared" si="15"/>
        <v>-0.37046082026639687</v>
      </c>
      <c r="K137" s="50" t="s">
        <v>273</v>
      </c>
      <c r="L137" s="50"/>
      <c r="M137" s="50"/>
      <c r="O137" s="103"/>
      <c r="P137" s="103"/>
      <c r="Q137" s="103"/>
      <c r="R137" s="103"/>
      <c r="S137" s="103"/>
      <c r="T137" s="103"/>
      <c r="U137" s="103"/>
    </row>
    <row r="138" spans="1:21" ht="15.6">
      <c r="A138" s="24" t="str">
        <v>Q220</v>
      </c>
      <c r="B138" s="25" t="str">
        <v>NY</v>
      </c>
      <c r="C138" s="25" t="str">
        <f>Sites[[#This Row],[SOL'#]]</f>
        <v>SOL-10873</v>
      </c>
      <c r="D138" s="54">
        <v>4377.875</v>
      </c>
      <c r="E138" s="10">
        <v>10716.8</v>
      </c>
      <c r="F138" s="10">
        <f t="shared" si="10"/>
        <v>-6338.9249999999993</v>
      </c>
      <c r="G138" s="11">
        <f t="shared" si="11"/>
        <v>-0.59149419602866526</v>
      </c>
      <c r="H138" s="67">
        <v>5740</v>
      </c>
      <c r="I138" s="12">
        <f t="shared" si="14"/>
        <v>-1362.125</v>
      </c>
      <c r="J138" s="13">
        <f t="shared" si="15"/>
        <v>-0.23730400696864112</v>
      </c>
      <c r="K138" s="56" t="s">
        <v>274</v>
      </c>
      <c r="L138" s="116" t="s">
        <v>275</v>
      </c>
      <c r="M138" s="56" t="s">
        <v>276</v>
      </c>
      <c r="O138" s="103"/>
      <c r="P138" s="103"/>
      <c r="Q138" s="103"/>
      <c r="R138" s="103"/>
      <c r="S138" s="103"/>
      <c r="T138" s="103"/>
      <c r="U138" s="103"/>
    </row>
    <row r="139" spans="1:21" ht="15.6">
      <c r="A139" s="26" t="str">
        <v>Q205</v>
      </c>
      <c r="B139" s="27" t="str">
        <v>NY</v>
      </c>
      <c r="C139" s="27" t="str">
        <f>Sites[[#This Row],[SOL'#]]</f>
        <v>SOL-10922</v>
      </c>
      <c r="D139" s="66">
        <v>5970.640625</v>
      </c>
      <c r="E139" s="14">
        <v>13482.7</v>
      </c>
      <c r="F139" s="14">
        <f t="shared" si="10"/>
        <v>-7512.0593750000007</v>
      </c>
      <c r="G139" s="15">
        <f t="shared" si="11"/>
        <v>-0.55716283644967257</v>
      </c>
      <c r="H139" s="69">
        <v>8522</v>
      </c>
      <c r="I139" s="16">
        <f t="shared" si="14"/>
        <v>-2551.359375</v>
      </c>
      <c r="J139" s="15">
        <f t="shared" si="15"/>
        <v>-0.29938504752405537</v>
      </c>
      <c r="K139" s="50" t="s">
        <v>261</v>
      </c>
      <c r="L139" s="50"/>
      <c r="M139" s="50"/>
      <c r="O139" s="103"/>
      <c r="P139" s="103"/>
      <c r="Q139" s="103"/>
      <c r="R139" s="103"/>
      <c r="S139" s="103"/>
      <c r="T139" s="103"/>
      <c r="U139" s="103"/>
    </row>
    <row r="140" spans="1:21" ht="15.6">
      <c r="A140" s="24" t="str">
        <v>Q400</v>
      </c>
      <c r="B140" s="25" t="str">
        <v>NY</v>
      </c>
      <c r="C140" s="25" t="str">
        <f>Sites[[#This Row],[SOL'#]]</f>
        <v>SOL-10871</v>
      </c>
      <c r="D140" s="54">
        <v>8726.2524709999998</v>
      </c>
      <c r="E140" s="10" t="s">
        <v>78</v>
      </c>
      <c r="F140" s="10" t="str">
        <f t="shared" si="10"/>
        <v/>
      </c>
      <c r="G140" s="11" t="str">
        <f t="shared" si="11"/>
        <v/>
      </c>
      <c r="H140" s="67">
        <v>12985</v>
      </c>
      <c r="I140" s="12">
        <f t="shared" si="14"/>
        <v>-4258.7475290000002</v>
      </c>
      <c r="J140" s="13">
        <f t="shared" si="15"/>
        <v>-0.32797439576434351</v>
      </c>
      <c r="K140" s="56"/>
      <c r="L140" s="56"/>
      <c r="M140" s="56"/>
      <c r="O140" s="103"/>
      <c r="P140" s="103"/>
      <c r="Q140" s="103"/>
      <c r="R140" s="103"/>
      <c r="S140" s="103"/>
      <c r="T140" s="103"/>
      <c r="U140" s="103"/>
    </row>
    <row r="141" spans="1:21" ht="15.6">
      <c r="A141" s="26" t="str">
        <v>R003</v>
      </c>
      <c r="B141" s="27" t="str">
        <v>NY</v>
      </c>
      <c r="C141" s="27" t="str">
        <f>Sites[[#This Row],[SOL'#]]</f>
        <v>SOL-10416</v>
      </c>
      <c r="D141" s="66">
        <v>8987.25</v>
      </c>
      <c r="E141" s="14">
        <v>11551.87</v>
      </c>
      <c r="F141" s="14">
        <f t="shared" si="10"/>
        <v>-2564.6200000000008</v>
      </c>
      <c r="G141" s="15">
        <f t="shared" si="11"/>
        <v>-0.22200907731821778</v>
      </c>
      <c r="H141" s="69">
        <v>13336</v>
      </c>
      <c r="I141" s="16">
        <f t="shared" si="14"/>
        <v>-4348.75</v>
      </c>
      <c r="J141" s="15">
        <f t="shared" si="15"/>
        <v>-0.32609103179364129</v>
      </c>
      <c r="K141" s="50" t="s">
        <v>261</v>
      </c>
      <c r="L141" s="50"/>
      <c r="M141" s="50"/>
      <c r="O141" s="103"/>
      <c r="P141" s="103"/>
      <c r="Q141" s="103"/>
      <c r="R141" s="103"/>
      <c r="S141" s="103"/>
      <c r="T141" s="103"/>
      <c r="U141" s="103"/>
    </row>
    <row r="142" spans="1:21" ht="15.6">
      <c r="A142" s="24" t="str">
        <v>R007</v>
      </c>
      <c r="B142" s="25" t="str">
        <v>NY</v>
      </c>
      <c r="C142" s="25" t="str">
        <f>Sites[[#This Row],[SOL'#]]</f>
        <v>SOL-10417</v>
      </c>
      <c r="D142" s="54">
        <v>9489.96875</v>
      </c>
      <c r="E142" s="10">
        <v>13976.96</v>
      </c>
      <c r="F142" s="10">
        <f t="shared" si="10"/>
        <v>-4486.9912499999991</v>
      </c>
      <c r="G142" s="11">
        <f t="shared" si="11"/>
        <v>-0.32102769486354682</v>
      </c>
      <c r="H142" s="67">
        <v>22783.34</v>
      </c>
      <c r="I142" s="12">
        <f t="shared" si="14"/>
        <v>-13293.37125</v>
      </c>
      <c r="J142" s="13">
        <f t="shared" si="15"/>
        <v>-0.58346894046263631</v>
      </c>
      <c r="K142" s="56" t="s">
        <v>261</v>
      </c>
      <c r="L142" s="56"/>
      <c r="M142" s="56"/>
      <c r="O142" s="103"/>
      <c r="P142" s="103"/>
      <c r="Q142" s="103"/>
      <c r="R142" s="103"/>
      <c r="S142" s="103"/>
      <c r="T142" s="103"/>
      <c r="U142" s="103"/>
    </row>
    <row r="143" spans="1:21" ht="15.6">
      <c r="A143" s="26" t="str">
        <v>BK16</v>
      </c>
      <c r="B143" s="27" t="str">
        <v>NY</v>
      </c>
      <c r="C143" s="27" t="str">
        <f>Sites[[#This Row],[SOL'#]]</f>
        <v>SOL-11093</v>
      </c>
      <c r="D143" s="66">
        <v>9596</v>
      </c>
      <c r="E143" s="14">
        <v>12915.56</v>
      </c>
      <c r="F143" s="14">
        <f t="shared" si="10"/>
        <v>-3319.5599999999995</v>
      </c>
      <c r="G143" s="15">
        <f t="shared" si="11"/>
        <v>-0.25702021437707695</v>
      </c>
      <c r="H143" s="69">
        <v>13947</v>
      </c>
      <c r="I143" s="16">
        <f t="shared" si="14"/>
        <v>-4351</v>
      </c>
      <c r="J143" s="15">
        <f t="shared" si="15"/>
        <v>-0.31196673119667312</v>
      </c>
      <c r="K143" s="50" t="s">
        <v>261</v>
      </c>
      <c r="L143" s="50"/>
      <c r="M143" s="50"/>
      <c r="O143" s="103"/>
      <c r="P143" s="103"/>
      <c r="Q143" s="103"/>
      <c r="R143" s="103"/>
      <c r="S143" s="103"/>
      <c r="T143" s="103"/>
      <c r="U143" s="103"/>
    </row>
    <row r="144" spans="1:21" ht="28.9">
      <c r="A144" s="24" t="str">
        <v>Trenton - Trenton East</v>
      </c>
      <c r="B144" s="25" t="str">
        <v>IL</v>
      </c>
      <c r="C144" s="25" t="str">
        <f>Sites[[#This Row],[SOL'#]]</f>
        <v>SOL-11060</v>
      </c>
      <c r="D144" s="54">
        <v>268098</v>
      </c>
      <c r="E144" s="10">
        <v>277362.40000000002</v>
      </c>
      <c r="F144" s="10">
        <f t="shared" ref="F144:F153" si="16">IF(AND(ISNUMBER(D144),ISNUMBER(E144)), D144-E144, "")</f>
        <v>-9264.4000000000233</v>
      </c>
      <c r="G144" s="11">
        <f t="shared" ref="G144:G152" si="17">IFERROR(F144/E144, "")</f>
        <v>-3.3401787697251044E-2</v>
      </c>
      <c r="H144" s="67">
        <v>211713</v>
      </c>
      <c r="I144" s="12">
        <f t="shared" si="14"/>
        <v>56385</v>
      </c>
      <c r="J144" s="13">
        <f t="shared" si="15"/>
        <v>0.26632752830482775</v>
      </c>
      <c r="K144" s="56" t="s">
        <v>277</v>
      </c>
      <c r="L144" s="116" t="s">
        <v>278</v>
      </c>
      <c r="M144" s="56" t="s">
        <v>279</v>
      </c>
      <c r="N144" s="111" t="s">
        <v>280</v>
      </c>
      <c r="O144" s="103"/>
      <c r="P144" s="103"/>
      <c r="Q144" s="103"/>
      <c r="R144" s="103"/>
      <c r="S144" s="103"/>
      <c r="T144" s="103"/>
      <c r="U144" s="103"/>
    </row>
    <row r="145" spans="1:21" ht="28.9">
      <c r="A145" s="26" t="str">
        <v>Trenton - Trenton West</v>
      </c>
      <c r="B145" s="27" t="str">
        <v>IL</v>
      </c>
      <c r="C145" s="27" t="str">
        <f>Sites[[#This Row],[SOL'#]]</f>
        <v>SOL-11061</v>
      </c>
      <c r="D145" s="66">
        <v>268153</v>
      </c>
      <c r="E145" s="14">
        <v>240078.6</v>
      </c>
      <c r="F145" s="14">
        <f t="shared" si="16"/>
        <v>28074.399999999994</v>
      </c>
      <c r="G145" s="15">
        <f t="shared" si="17"/>
        <v>0.11693836935070429</v>
      </c>
      <c r="H145" s="69">
        <v>215152</v>
      </c>
      <c r="I145" s="16">
        <f t="shared" si="14"/>
        <v>53001</v>
      </c>
      <c r="J145" s="15">
        <f t="shared" si="15"/>
        <v>0.24634212091916413</v>
      </c>
      <c r="K145" s="50" t="s">
        <v>281</v>
      </c>
      <c r="L145" s="110" t="s">
        <v>282</v>
      </c>
      <c r="M145" s="50" t="s">
        <v>283</v>
      </c>
      <c r="N145" s="111" t="s">
        <v>284</v>
      </c>
      <c r="O145" s="103"/>
      <c r="P145" s="103"/>
      <c r="Q145" s="103"/>
      <c r="R145" s="103"/>
      <c r="S145" s="103"/>
      <c r="T145" s="103"/>
      <c r="U145" s="103"/>
    </row>
    <row r="146" spans="1:21" ht="45" customHeight="1">
      <c r="A146" s="24" t="str">
        <v>Dakota - Dakota Solar 1</v>
      </c>
      <c r="B146" s="25" t="str">
        <v>IL</v>
      </c>
      <c r="C146" s="25" t="str">
        <f>Sites[[#This Row],[SOL'#]]</f>
        <v>SOL-11113</v>
      </c>
      <c r="D146" s="54">
        <v>214508</v>
      </c>
      <c r="E146" s="10" t="s">
        <v>78</v>
      </c>
      <c r="F146" s="10" t="str">
        <f t="shared" si="16"/>
        <v/>
      </c>
      <c r="G146" s="11" t="str">
        <f t="shared" si="17"/>
        <v/>
      </c>
      <c r="H146" s="67">
        <v>220248</v>
      </c>
      <c r="I146" s="12">
        <f t="shared" si="14"/>
        <v>-5740</v>
      </c>
      <c r="J146" s="13">
        <f t="shared" si="15"/>
        <v>-2.6061530638189678E-2</v>
      </c>
      <c r="K146" s="56" t="s">
        <v>285</v>
      </c>
      <c r="L146" s="116" t="s">
        <v>286</v>
      </c>
      <c r="M146" s="56" t="s">
        <v>287</v>
      </c>
      <c r="N146" s="111" t="s">
        <v>288</v>
      </c>
      <c r="O146" s="103"/>
      <c r="P146" s="103"/>
      <c r="Q146" s="103"/>
      <c r="R146" s="103"/>
      <c r="S146" s="103"/>
      <c r="T146" s="103"/>
      <c r="U146" s="103"/>
    </row>
    <row r="147" spans="1:21" ht="28.9">
      <c r="A147" s="26" t="str">
        <v>X018</v>
      </c>
      <c r="B147" s="27" t="str">
        <v>NY</v>
      </c>
      <c r="C147" s="27" t="str">
        <f>Sites[[#This Row],[SOL'#]]</f>
        <v>SOL-10418</v>
      </c>
      <c r="D147" s="66">
        <v>4430.75</v>
      </c>
      <c r="E147" s="14">
        <v>5815.83</v>
      </c>
      <c r="F147" s="14">
        <f t="shared" si="16"/>
        <v>-1385.08</v>
      </c>
      <c r="G147" s="15">
        <f t="shared" si="17"/>
        <v>-0.23815689248138269</v>
      </c>
      <c r="H147" s="69">
        <v>7520</v>
      </c>
      <c r="I147" s="16">
        <f t="shared" si="14"/>
        <v>-3089.25</v>
      </c>
      <c r="J147" s="15">
        <f t="shared" si="15"/>
        <v>-0.41080452127659572</v>
      </c>
      <c r="K147" s="50" t="s">
        <v>289</v>
      </c>
      <c r="L147" s="50"/>
      <c r="M147" s="50"/>
      <c r="O147" s="103"/>
      <c r="P147" s="103"/>
      <c r="Q147" s="103"/>
      <c r="R147" s="103"/>
      <c r="S147" s="103"/>
      <c r="T147" s="103"/>
      <c r="U147" s="103"/>
    </row>
    <row r="148" spans="1:21" ht="43.15">
      <c r="A148" s="24" t="str">
        <v>Janiak Solar</v>
      </c>
      <c r="B148" s="25" t="str">
        <v>NY</v>
      </c>
      <c r="C148" s="25" t="str">
        <f>Sites[[#This Row],[SOL'#]]</f>
        <v>SOL-10898</v>
      </c>
      <c r="D148" s="54">
        <v>105163</v>
      </c>
      <c r="E148" s="10">
        <v>129742.5</v>
      </c>
      <c r="F148" s="10">
        <f t="shared" si="16"/>
        <v>-24579.5</v>
      </c>
      <c r="G148" s="11">
        <f t="shared" si="17"/>
        <v>-0.18944833034664818</v>
      </c>
      <c r="H148" s="67">
        <v>203943</v>
      </c>
      <c r="I148" s="12">
        <f t="shared" si="14"/>
        <v>-98780</v>
      </c>
      <c r="J148" s="13">
        <f t="shared" si="15"/>
        <v>-0.48435101964764665</v>
      </c>
      <c r="K148" s="53" t="s">
        <v>290</v>
      </c>
      <c r="L148" s="98" t="s">
        <v>291</v>
      </c>
      <c r="M148" s="53" t="s">
        <v>136</v>
      </c>
      <c r="N148" s="111" t="s">
        <v>292</v>
      </c>
      <c r="O148" s="111" t="s">
        <v>293</v>
      </c>
    </row>
    <row r="149" spans="1:21" ht="15.6">
      <c r="A149" s="26" t="str">
        <v>County Route 11B</v>
      </c>
      <c r="B149" s="27" t="str">
        <v>NY</v>
      </c>
      <c r="C149" s="27" t="str">
        <f>Sites[[#This Row],[SOL'#]]</f>
        <v>SOL-10983</v>
      </c>
      <c r="D149" s="66">
        <v>259418.8</v>
      </c>
      <c r="E149" s="14">
        <v>254569.60000000001</v>
      </c>
      <c r="F149" s="14">
        <f t="shared" si="16"/>
        <v>4849.1999999999825</v>
      </c>
      <c r="G149" s="15">
        <f t="shared" si="17"/>
        <v>1.9048621673601177E-2</v>
      </c>
      <c r="H149" s="166" t="s">
        <v>78</v>
      </c>
      <c r="I149" s="16" t="str">
        <f t="shared" si="14"/>
        <v/>
      </c>
      <c r="J149" s="15" t="str">
        <f t="shared" si="15"/>
        <v/>
      </c>
      <c r="K149" s="81" t="s">
        <v>294</v>
      </c>
      <c r="L149" s="115" t="s">
        <v>295</v>
      </c>
      <c r="M149" s="81" t="s">
        <v>29</v>
      </c>
    </row>
    <row r="150" spans="1:21" ht="57.6">
      <c r="A150" s="24" t="str">
        <v>Barone</v>
      </c>
      <c r="B150" s="25" t="str">
        <v>NY</v>
      </c>
      <c r="C150" s="25" t="str">
        <f>Sites[[#This Row],[SOL'#]]</f>
        <v>SOL-11034</v>
      </c>
      <c r="D150" s="54">
        <v>162889</v>
      </c>
      <c r="E150" s="10">
        <v>160342</v>
      </c>
      <c r="F150" s="10">
        <f t="shared" si="16"/>
        <v>2547</v>
      </c>
      <c r="G150" s="11">
        <f t="shared" si="17"/>
        <v>1.5884796248019858E-2</v>
      </c>
      <c r="H150" s="67">
        <v>210690.02059307948</v>
      </c>
      <c r="I150" s="12">
        <f t="shared" si="14"/>
        <v>-47801.020593079476</v>
      </c>
      <c r="J150" s="13">
        <f t="shared" si="15"/>
        <v>-0.22687842764703586</v>
      </c>
      <c r="K150" s="56" t="s">
        <v>296</v>
      </c>
      <c r="L150" s="116" t="s">
        <v>297</v>
      </c>
      <c r="M150" s="56" t="s">
        <v>298</v>
      </c>
      <c r="N150" s="111" t="s">
        <v>299</v>
      </c>
      <c r="O150" s="111" t="s">
        <v>300</v>
      </c>
      <c r="P150" s="111" t="s">
        <v>301</v>
      </c>
      <c r="Q150" s="111" t="s">
        <v>302</v>
      </c>
    </row>
    <row r="151" spans="1:21" ht="15.6">
      <c r="A151" s="26" t="str">
        <v>Cedarville</v>
      </c>
      <c r="B151" s="27" t="str">
        <v>IL</v>
      </c>
      <c r="C151" s="27" t="str">
        <f>Sites[[#This Row],[SOL'#]]</f>
        <v>SOL-11069</v>
      </c>
      <c r="D151" s="66">
        <v>156820</v>
      </c>
      <c r="E151" s="14">
        <v>203303</v>
      </c>
      <c r="F151" s="14">
        <f t="shared" si="16"/>
        <v>-46483</v>
      </c>
      <c r="G151" s="15">
        <f t="shared" si="17"/>
        <v>-0.22863902647772044</v>
      </c>
      <c r="H151" s="69">
        <v>185269.1</v>
      </c>
      <c r="I151" s="16">
        <f t="shared" si="14"/>
        <v>-28449.100000000006</v>
      </c>
      <c r="J151" s="15">
        <f t="shared" si="15"/>
        <v>-0.1535555578345229</v>
      </c>
      <c r="K151" s="50" t="s">
        <v>303</v>
      </c>
      <c r="L151" s="50"/>
      <c r="M151" s="50"/>
    </row>
    <row r="152" spans="1:21" ht="15.6">
      <c r="A152" s="24" t="str">
        <v xml:space="preserve"> O'Brien Hill #1</v>
      </c>
      <c r="B152" s="25" t="str">
        <v>NY</v>
      </c>
      <c r="C152" s="25" t="str">
        <f>Sites[[#This Row],[SOL'#]]</f>
        <v>SOL-11098</v>
      </c>
      <c r="D152" s="54">
        <v>0</v>
      </c>
      <c r="E152" s="10">
        <v>0</v>
      </c>
      <c r="F152" s="10">
        <f t="shared" si="16"/>
        <v>0</v>
      </c>
      <c r="G152" s="11" t="str">
        <f t="shared" si="17"/>
        <v/>
      </c>
      <c r="H152" s="146" t="s">
        <v>78</v>
      </c>
      <c r="I152" s="12" t="str">
        <f t="shared" si="14"/>
        <v/>
      </c>
      <c r="J152" s="13" t="str">
        <f t="shared" si="15"/>
        <v/>
      </c>
      <c r="K152" s="56" t="s">
        <v>304</v>
      </c>
      <c r="L152" s="116" t="s">
        <v>305</v>
      </c>
      <c r="M152" s="56" t="s">
        <v>29</v>
      </c>
      <c r="N152" s="111" t="s">
        <v>306</v>
      </c>
    </row>
    <row r="153" spans="1:21" ht="43.15">
      <c r="A153" s="26" t="str">
        <v xml:space="preserve"> O'Brien Hill #2</v>
      </c>
      <c r="B153" s="27" t="str">
        <v>NY</v>
      </c>
      <c r="C153" s="27" t="str">
        <f>Sites[[#This Row],[SOL'#]]</f>
        <v>SOL-11099</v>
      </c>
      <c r="D153" s="66">
        <v>230537</v>
      </c>
      <c r="E153" s="14">
        <v>230436</v>
      </c>
      <c r="F153" s="14">
        <f t="shared" si="16"/>
        <v>101</v>
      </c>
      <c r="G153" s="15">
        <f t="shared" ref="G153:G164" si="18">IFERROR(F153/E153, "")</f>
        <v>4.3829957124754814E-4</v>
      </c>
      <c r="H153" s="125" t="s">
        <v>78</v>
      </c>
      <c r="I153" s="16" t="str">
        <f t="shared" si="14"/>
        <v/>
      </c>
      <c r="J153" s="15" t="str">
        <f t="shared" ref="J153:J164" si="19">IFERROR(I153/H153, "")</f>
        <v/>
      </c>
      <c r="K153" s="50" t="s">
        <v>307</v>
      </c>
      <c r="L153" s="110" t="s">
        <v>308</v>
      </c>
      <c r="M153" s="50" t="s">
        <v>95</v>
      </c>
      <c r="N153" s="111" t="s">
        <v>309</v>
      </c>
      <c r="O153" s="111"/>
      <c r="P153" s="111"/>
    </row>
    <row r="154" spans="1:21" ht="15.6">
      <c r="A154" s="24" t="str">
        <v>Trinity - Freeport</v>
      </c>
      <c r="B154" s="25" t="str">
        <v>IL</v>
      </c>
      <c r="C154" s="25" t="str">
        <f>Sites[[#This Row],[SOL'#]]</f>
        <v>SOL-11057</v>
      </c>
      <c r="D154" s="54">
        <v>197770</v>
      </c>
      <c r="E154" s="10">
        <v>191173.8</v>
      </c>
      <c r="F154" s="10">
        <f t="shared" ref="F154:F164" si="20">IF(AND(ISNUMBER(D154),ISNUMBER(E154)), D154-E154, "")</f>
        <v>6596.2000000000116</v>
      </c>
      <c r="G154" s="11">
        <f t="shared" si="18"/>
        <v>3.4503681989896166E-2</v>
      </c>
      <c r="H154" s="67">
        <v>182784</v>
      </c>
      <c r="I154" s="12">
        <f t="shared" ref="I154:I164" si="21">IF(AND(ISNUMBER(D154),ISNUMBER(H154)), D154-H154, "")</f>
        <v>14986</v>
      </c>
      <c r="J154" s="13">
        <f t="shared" si="19"/>
        <v>8.1987482492997199E-2</v>
      </c>
      <c r="K154" s="56"/>
      <c r="L154" s="56"/>
      <c r="M154" s="56"/>
    </row>
    <row r="155" spans="1:21" ht="43.15">
      <c r="A155" s="26" t="str">
        <v>Ransom</v>
      </c>
      <c r="B155" s="27" t="str">
        <v>NY</v>
      </c>
      <c r="C155" s="27" t="str">
        <f>Sites[[#This Row],[SOL'#]]</f>
        <v>SOL-11157</v>
      </c>
      <c r="D155" s="66">
        <v>262100</v>
      </c>
      <c r="E155" s="14">
        <v>257255</v>
      </c>
      <c r="F155" s="14">
        <f t="shared" si="20"/>
        <v>4845</v>
      </c>
      <c r="G155" s="15">
        <f t="shared" si="18"/>
        <v>1.8833453188470583E-2</v>
      </c>
      <c r="H155" s="125" t="s">
        <v>78</v>
      </c>
      <c r="I155" s="16" t="str">
        <f t="shared" si="21"/>
        <v/>
      </c>
      <c r="J155" s="15" t="str">
        <f t="shared" si="19"/>
        <v/>
      </c>
      <c r="K155" s="50" t="s">
        <v>310</v>
      </c>
      <c r="L155" s="50" t="s">
        <v>311</v>
      </c>
      <c r="M155" s="50" t="s">
        <v>312</v>
      </c>
      <c r="N155" s="111" t="s">
        <v>313</v>
      </c>
    </row>
    <row r="156" spans="1:21" ht="15.6">
      <c r="A156" s="24" t="str">
        <v>Horseheads - Wedge</v>
      </c>
      <c r="B156" s="25" t="str">
        <v>NY</v>
      </c>
      <c r="C156" s="25" t="str">
        <f>Sites[[#This Row],[SOL'#]]</f>
        <v>SOL-11160</v>
      </c>
      <c r="D156" s="54">
        <v>153909</v>
      </c>
      <c r="E156" s="10">
        <v>151921</v>
      </c>
      <c r="F156" s="10">
        <f t="shared" si="20"/>
        <v>1988</v>
      </c>
      <c r="G156" s="11">
        <f t="shared" si="18"/>
        <v>1.3085748514030318E-2</v>
      </c>
      <c r="H156" s="146" t="s">
        <v>78</v>
      </c>
      <c r="I156" s="12" t="str">
        <f t="shared" si="21"/>
        <v/>
      </c>
      <c r="J156" s="13" t="str">
        <f t="shared" si="19"/>
        <v/>
      </c>
      <c r="K156" s="56"/>
      <c r="L156" s="56"/>
      <c r="M156" s="56"/>
    </row>
    <row r="157" spans="1:21" ht="129.6">
      <c r="A157" s="26" t="str">
        <v>Otisville - Shoddy Hollow</v>
      </c>
      <c r="B157" s="27" t="str">
        <v>NY</v>
      </c>
      <c r="C157" s="27" t="str">
        <f>Sites[[#This Row],[SOL'#]]</f>
        <v>SOL-11185</v>
      </c>
      <c r="D157" s="66">
        <v>228031</v>
      </c>
      <c r="E157" s="14">
        <v>224988</v>
      </c>
      <c r="F157" s="14">
        <f t="shared" si="20"/>
        <v>3043</v>
      </c>
      <c r="G157" s="15">
        <f t="shared" si="18"/>
        <v>1.3525165786619732E-2</v>
      </c>
      <c r="H157" s="125" t="s">
        <v>78</v>
      </c>
      <c r="I157" s="16" t="str">
        <f t="shared" si="21"/>
        <v/>
      </c>
      <c r="J157" s="15" t="str">
        <f t="shared" si="19"/>
        <v/>
      </c>
      <c r="K157" s="50" t="s">
        <v>314</v>
      </c>
      <c r="L157" s="110" t="s">
        <v>315</v>
      </c>
      <c r="M157" s="50" t="s">
        <v>316</v>
      </c>
      <c r="N157" s="111" t="s">
        <v>317</v>
      </c>
      <c r="O157" s="111" t="s">
        <v>318</v>
      </c>
      <c r="P157" s="111" t="s">
        <v>319</v>
      </c>
      <c r="Q157" s="111" t="s">
        <v>320</v>
      </c>
    </row>
    <row r="158" spans="1:21" ht="92.25" customHeight="1">
      <c r="A158" s="24" t="str">
        <v>Wellsville - Chenunda Creek</v>
      </c>
      <c r="B158" s="25" t="str">
        <v>NY</v>
      </c>
      <c r="C158" s="25" t="str">
        <f>Sites[[#This Row],[SOL'#]]</f>
        <v>SOL-11187</v>
      </c>
      <c r="D158" s="54">
        <v>112266</v>
      </c>
      <c r="E158" s="10">
        <v>111257</v>
      </c>
      <c r="F158" s="10">
        <f t="shared" si="20"/>
        <v>1009</v>
      </c>
      <c r="G158" s="11">
        <f t="shared" si="18"/>
        <v>9.0690922818339528E-3</v>
      </c>
      <c r="H158" s="146" t="s">
        <v>78</v>
      </c>
      <c r="I158" s="12" t="str">
        <f t="shared" si="21"/>
        <v/>
      </c>
      <c r="J158" s="13" t="str">
        <f t="shared" si="19"/>
        <v/>
      </c>
      <c r="K158" s="56" t="s">
        <v>321</v>
      </c>
      <c r="L158" s="116" t="s">
        <v>322</v>
      </c>
      <c r="M158" s="56" t="s">
        <v>323</v>
      </c>
      <c r="N158" s="111" t="s">
        <v>324</v>
      </c>
    </row>
    <row r="159" spans="1:21" ht="43.15">
      <c r="A159" s="26" t="str">
        <v>DC: Washington - Essex Condominium</v>
      </c>
      <c r="B159" s="27" t="str">
        <v>DC</v>
      </c>
      <c r="C159" s="27" t="str">
        <f>Sites[[#This Row],[SOL'#]]</f>
        <v>SOL-10036</v>
      </c>
      <c r="D159" s="66">
        <v>1208</v>
      </c>
      <c r="E159" s="14">
        <v>1601.9770000000001</v>
      </c>
      <c r="F159" s="14">
        <f t="shared" si="20"/>
        <v>-393.97700000000009</v>
      </c>
      <c r="G159" s="68">
        <f t="shared" si="18"/>
        <v>-0.24593174558685929</v>
      </c>
      <c r="H159" s="69">
        <v>2142.3989999999999</v>
      </c>
      <c r="I159" s="69">
        <f t="shared" si="21"/>
        <v>-934.39899999999989</v>
      </c>
      <c r="J159" s="68">
        <f t="shared" si="19"/>
        <v>-0.4361461147059908</v>
      </c>
      <c r="K159" s="50" t="s">
        <v>325</v>
      </c>
      <c r="L159" s="50"/>
      <c r="M159" s="50"/>
    </row>
    <row r="160" spans="1:21" ht="52.9">
      <c r="A160" s="24" t="str">
        <v>HI: Waipahu - 94-246 Leoku St - E.F.G.</v>
      </c>
      <c r="B160" s="25" t="str">
        <v>HI</v>
      </c>
      <c r="C160" s="25" t="str">
        <f>Sites[[#This Row],[SOL'#]]</f>
        <v>SOL-10071</v>
      </c>
      <c r="D160" s="54">
        <v>7951.027</v>
      </c>
      <c r="E160" s="10">
        <v>8242.1200000000008</v>
      </c>
      <c r="F160" s="10">
        <f t="shared" si="20"/>
        <v>-291.09300000000076</v>
      </c>
      <c r="G160" s="55">
        <f t="shared" si="18"/>
        <v>-3.53177337869384E-2</v>
      </c>
      <c r="H160" s="67">
        <v>9757.33</v>
      </c>
      <c r="I160" s="67">
        <f t="shared" si="21"/>
        <v>-1806.3029999999999</v>
      </c>
      <c r="J160" s="64">
        <f t="shared" si="19"/>
        <v>-0.18512267187847495</v>
      </c>
      <c r="K160" s="56" t="s">
        <v>326</v>
      </c>
      <c r="L160" s="116" t="s">
        <v>327</v>
      </c>
      <c r="M160" s="56" t="s">
        <v>176</v>
      </c>
      <c r="N160" s="111" t="s">
        <v>328</v>
      </c>
      <c r="O160" s="111" t="s">
        <v>329</v>
      </c>
      <c r="P160" s="111" t="s">
        <v>328</v>
      </c>
    </row>
    <row r="161" spans="1:17" ht="15.6">
      <c r="A161" s="26" t="str">
        <v>HI: Waipahu - 94-099 Waipahu St - PV</v>
      </c>
      <c r="B161" s="27" t="str">
        <v>HI</v>
      </c>
      <c r="C161" s="27" t="str">
        <f>Sites[[#This Row],[SOL'#]]</f>
        <v>SOL-10068</v>
      </c>
      <c r="D161" s="66">
        <v>9375</v>
      </c>
      <c r="E161" s="14">
        <v>7407.4750000000004</v>
      </c>
      <c r="F161" s="14">
        <f t="shared" si="20"/>
        <v>1967.5249999999996</v>
      </c>
      <c r="G161" s="68">
        <f t="shared" si="18"/>
        <v>0.26561345127725705</v>
      </c>
      <c r="H161" s="69">
        <v>9752.1090000000004</v>
      </c>
      <c r="I161" s="69">
        <f t="shared" si="21"/>
        <v>-377.10900000000038</v>
      </c>
      <c r="J161" s="68">
        <f t="shared" si="19"/>
        <v>-3.8669481647508282E-2</v>
      </c>
      <c r="K161" s="50"/>
      <c r="L161" s="50"/>
      <c r="M161" s="50"/>
    </row>
    <row r="162" spans="1:17" ht="26.45">
      <c r="A162" s="24" t="str">
        <v>IL: Prophetstown - 5170 Yager Road (PW)</v>
      </c>
      <c r="B162" s="25" t="str">
        <v>IL</v>
      </c>
      <c r="C162" s="25" t="str">
        <f>Sites[[#This Row],[SOL'#]]</f>
        <v>SOL-11149</v>
      </c>
      <c r="D162" s="54">
        <v>0</v>
      </c>
      <c r="E162" s="10">
        <v>0</v>
      </c>
      <c r="F162" s="10">
        <f t="shared" si="20"/>
        <v>0</v>
      </c>
      <c r="G162" s="55" t="str">
        <f t="shared" si="18"/>
        <v/>
      </c>
      <c r="H162" s="67">
        <v>0</v>
      </c>
      <c r="I162" s="67">
        <f t="shared" si="21"/>
        <v>0</v>
      </c>
      <c r="J162" s="64" t="str">
        <f t="shared" si="19"/>
        <v/>
      </c>
      <c r="K162" s="56" t="s">
        <v>330</v>
      </c>
      <c r="L162" s="116" t="s">
        <v>331</v>
      </c>
      <c r="M162" s="56" t="s">
        <v>29</v>
      </c>
      <c r="N162" s="111" t="s">
        <v>332</v>
      </c>
      <c r="O162" s="111" t="s">
        <v>333</v>
      </c>
    </row>
    <row r="163" spans="1:17" ht="28.9">
      <c r="A163" s="26" t="str">
        <v>IL: Viola - Goldenrod - (PW)</v>
      </c>
      <c r="B163" s="27" t="str">
        <v>IL</v>
      </c>
      <c r="C163" s="27" t="str">
        <f>Sites[[#This Row],[SOL'#]]</f>
        <v>SOL-11132</v>
      </c>
      <c r="D163" s="66">
        <v>574985</v>
      </c>
      <c r="E163" s="14">
        <v>508651.7</v>
      </c>
      <c r="F163" s="14">
        <f t="shared" si="20"/>
        <v>66333.299999999988</v>
      </c>
      <c r="G163" s="68">
        <f t="shared" si="18"/>
        <v>0.1304100625241201</v>
      </c>
      <c r="H163" s="69">
        <v>518040</v>
      </c>
      <c r="I163" s="69">
        <f t="shared" si="21"/>
        <v>56945</v>
      </c>
      <c r="J163" s="68">
        <f t="shared" si="19"/>
        <v>0.10992394409698093</v>
      </c>
      <c r="K163" s="50" t="s">
        <v>334</v>
      </c>
      <c r="L163" s="110" t="s">
        <v>335</v>
      </c>
      <c r="M163" s="50" t="s">
        <v>287</v>
      </c>
      <c r="N163" s="111" t="s">
        <v>336</v>
      </c>
    </row>
    <row r="164" spans="1:17" ht="28.9">
      <c r="A164" s="24" t="str">
        <v>IL: Marengo - Grant - (PW)</v>
      </c>
      <c r="B164" s="25" t="str">
        <v>IL</v>
      </c>
      <c r="C164" s="25" t="str">
        <f>Sites[[#This Row],[SOL'#]]</f>
        <v>SOL-11147</v>
      </c>
      <c r="D164" s="54">
        <v>224264</v>
      </c>
      <c r="E164" s="10">
        <v>0</v>
      </c>
      <c r="F164" s="10">
        <f t="shared" si="20"/>
        <v>224264</v>
      </c>
      <c r="G164" s="55" t="str">
        <f t="shared" si="18"/>
        <v/>
      </c>
      <c r="H164" s="67">
        <v>193523.20000000001</v>
      </c>
      <c r="I164" s="67">
        <f t="shared" si="21"/>
        <v>30740.799999999988</v>
      </c>
      <c r="J164" s="64">
        <f t="shared" si="19"/>
        <v>0.1588481381043719</v>
      </c>
      <c r="K164" s="56" t="s">
        <v>337</v>
      </c>
      <c r="L164" s="116" t="s">
        <v>338</v>
      </c>
      <c r="M164" s="56" t="s">
        <v>339</v>
      </c>
    </row>
    <row r="165" spans="1:17" ht="94.5" customHeight="1">
      <c r="A165" s="26" t="str">
        <v>NY: Cambridge - Cambridge (PW)</v>
      </c>
      <c r="B165" s="27" t="str">
        <v>NY</v>
      </c>
      <c r="C165" s="27" t="str">
        <f>Sites[[#This Row],[SOL'#]]</f>
        <v>SOL-11126</v>
      </c>
      <c r="D165" s="66">
        <v>112395.156</v>
      </c>
      <c r="E165" s="14">
        <v>100094.105</v>
      </c>
      <c r="F165" s="14">
        <f t="shared" ref="F165:F173" si="22">IF(AND(ISNUMBER(D165),ISNUMBER(E165)), D165-E165, "")</f>
        <v>12301.051000000007</v>
      </c>
      <c r="G165" s="68">
        <f t="shared" ref="G165:G173" si="23">IFERROR(F165/E165, "")</f>
        <v>0.12289485979219263</v>
      </c>
      <c r="H165" s="69">
        <v>537994</v>
      </c>
      <c r="I165" s="69">
        <f t="shared" ref="I165:I173" si="24">IF(AND(ISNUMBER(D165),ISNUMBER(H165)), D165-H165, "")</f>
        <v>-425598.84399999998</v>
      </c>
      <c r="J165" s="68">
        <f t="shared" ref="J165:J173" si="25">IFERROR(I165/H165, "")</f>
        <v>-0.7910847407220154</v>
      </c>
      <c r="K165" s="50" t="s">
        <v>340</v>
      </c>
      <c r="L165" s="110" t="s">
        <v>341</v>
      </c>
      <c r="M165" s="50" t="s">
        <v>342</v>
      </c>
      <c r="N165" s="111" t="s">
        <v>343</v>
      </c>
      <c r="O165" s="111" t="s">
        <v>344</v>
      </c>
      <c r="P165" s="111" t="s">
        <v>345</v>
      </c>
      <c r="Q165" s="111" t="s">
        <v>344</v>
      </c>
    </row>
    <row r="166" spans="1:17" ht="15.6">
      <c r="A166" s="24" t="str">
        <v>NY: Whitesville - Independence North</v>
      </c>
      <c r="B166" s="25" t="str">
        <v>NY</v>
      </c>
      <c r="C166" s="25" t="str">
        <f>Sites[[#This Row],[SOL'#]]</f>
        <v>SOL-11186</v>
      </c>
      <c r="D166" s="54">
        <v>276854</v>
      </c>
      <c r="E166" s="10" t="s">
        <v>78</v>
      </c>
      <c r="F166" s="10" t="str">
        <f t="shared" si="22"/>
        <v/>
      </c>
      <c r="G166" s="55" t="str">
        <f t="shared" si="23"/>
        <v/>
      </c>
      <c r="H166" s="146" t="s">
        <v>78</v>
      </c>
      <c r="I166" s="67" t="str">
        <f t="shared" si="24"/>
        <v/>
      </c>
      <c r="J166" s="64" t="str">
        <f t="shared" si="25"/>
        <v/>
      </c>
      <c r="K166" s="56"/>
      <c r="L166" s="56"/>
      <c r="M166" s="56"/>
    </row>
    <row r="167" spans="1:17" ht="15.6">
      <c r="A167" s="26" t="str">
        <v>IL: Beecher - Cottage Grove North (PW)</v>
      </c>
      <c r="B167" s="27" t="str">
        <v>IL</v>
      </c>
      <c r="C167" s="27" t="str">
        <f>Sites[[#This Row],[SOL'#]]</f>
        <v>SOL-11114</v>
      </c>
      <c r="D167" s="66">
        <v>213014</v>
      </c>
      <c r="E167" s="14">
        <v>231407.5</v>
      </c>
      <c r="F167" s="14">
        <f t="shared" si="22"/>
        <v>-18393.5</v>
      </c>
      <c r="G167" s="68">
        <f t="shared" si="23"/>
        <v>-7.9485323509393607E-2</v>
      </c>
      <c r="H167" s="69">
        <v>186272</v>
      </c>
      <c r="I167" s="69">
        <f t="shared" si="24"/>
        <v>26742</v>
      </c>
      <c r="J167" s="68">
        <f t="shared" si="25"/>
        <v>0.14356425012884383</v>
      </c>
      <c r="K167" s="50" t="s">
        <v>346</v>
      </c>
      <c r="L167" s="110" t="s">
        <v>347</v>
      </c>
      <c r="M167" s="50" t="s">
        <v>348</v>
      </c>
      <c r="N167" s="111" t="s">
        <v>349</v>
      </c>
    </row>
    <row r="168" spans="1:17" ht="15.6">
      <c r="A168" s="24" t="str">
        <v>IL: Beecher - Cottage Grove South (PW)</v>
      </c>
      <c r="B168" s="25" t="str">
        <v>IL</v>
      </c>
      <c r="C168" s="25" t="str">
        <f>Sites[[#This Row],[SOL'#]]</f>
        <v>SOL-11115</v>
      </c>
      <c r="D168" s="54">
        <v>225299</v>
      </c>
      <c r="E168" s="10">
        <v>297560.09999999998</v>
      </c>
      <c r="F168" s="10">
        <f t="shared" si="22"/>
        <v>-72261.099999999977</v>
      </c>
      <c r="G168" s="55">
        <f t="shared" si="23"/>
        <v>-0.24284539493030141</v>
      </c>
      <c r="H168" s="67">
        <v>174687</v>
      </c>
      <c r="I168" s="67">
        <f t="shared" si="24"/>
        <v>50612</v>
      </c>
      <c r="J168" s="64">
        <f t="shared" si="25"/>
        <v>0.28972963071092867</v>
      </c>
      <c r="K168" s="56" t="s">
        <v>350</v>
      </c>
      <c r="L168" s="56"/>
      <c r="M168" s="56"/>
    </row>
    <row r="169" spans="1:17" ht="15.6">
      <c r="A169" s="26" t="str">
        <v>IL: Harvard - 9618 US HWY 14 (PW)</v>
      </c>
      <c r="B169" s="27" t="str">
        <v>IL</v>
      </c>
      <c r="C169" s="27" t="str">
        <f>Sites[[#This Row],[SOL'#]]</f>
        <v>SOL-11110</v>
      </c>
      <c r="D169" s="66">
        <v>182768</v>
      </c>
      <c r="E169" s="14">
        <v>396799.6</v>
      </c>
      <c r="F169" s="14">
        <f t="shared" si="22"/>
        <v>-214031.59999999998</v>
      </c>
      <c r="G169" s="68">
        <f t="shared" si="23"/>
        <v>-0.53939469697046061</v>
      </c>
      <c r="H169" s="69">
        <v>172612</v>
      </c>
      <c r="I169" s="69">
        <f t="shared" si="24"/>
        <v>10156</v>
      </c>
      <c r="J169" s="68">
        <f t="shared" si="25"/>
        <v>5.8837160799944381E-2</v>
      </c>
      <c r="K169" s="50" t="s">
        <v>351</v>
      </c>
      <c r="L169" s="50"/>
      <c r="M169" s="50"/>
    </row>
    <row r="170" spans="1:17" ht="48" customHeight="1">
      <c r="A170" s="24" t="str">
        <v>IL: Beecher - 701 E Goodenow Rd (PW)</v>
      </c>
      <c r="B170" s="25" t="str">
        <v>IL</v>
      </c>
      <c r="C170" s="25" t="str">
        <f>Sites[[#This Row],[SOL'#]]</f>
        <v>SOL-11112</v>
      </c>
      <c r="D170" s="54">
        <v>26786</v>
      </c>
      <c r="E170" s="10">
        <v>28958.46</v>
      </c>
      <c r="F170" s="10">
        <f t="shared" si="22"/>
        <v>-2172.4599999999991</v>
      </c>
      <c r="G170" s="55">
        <f t="shared" si="23"/>
        <v>-7.5019873294367143E-2</v>
      </c>
      <c r="H170" s="67">
        <v>178720</v>
      </c>
      <c r="I170" s="67">
        <f t="shared" si="24"/>
        <v>-151934</v>
      </c>
      <c r="J170" s="64">
        <f t="shared" si="25"/>
        <v>-0.85012309758281113</v>
      </c>
      <c r="K170" s="56" t="s">
        <v>352</v>
      </c>
      <c r="L170" s="116" t="s">
        <v>353</v>
      </c>
      <c r="M170" s="56" t="s">
        <v>348</v>
      </c>
      <c r="N170" s="111" t="s">
        <v>354</v>
      </c>
    </row>
    <row r="171" spans="1:17" ht="15.6">
      <c r="A171" s="26" t="str">
        <v>NY: Stormville - Green Haven - (IRA)</v>
      </c>
      <c r="B171" s="27" t="str">
        <v>NY</v>
      </c>
      <c r="C171" s="27" t="str">
        <f>Sites[[#This Row],[SOL'#]]</f>
        <v>SOL-11151</v>
      </c>
      <c r="D171" s="66">
        <v>160195.6</v>
      </c>
      <c r="E171" s="14" t="s">
        <v>78</v>
      </c>
      <c r="F171" s="14" t="str">
        <f t="shared" si="22"/>
        <v/>
      </c>
      <c r="G171" s="68" t="str">
        <f t="shared" si="23"/>
        <v/>
      </c>
      <c r="H171" s="125" t="s">
        <v>78</v>
      </c>
      <c r="I171" s="69" t="str">
        <f t="shared" si="24"/>
        <v/>
      </c>
      <c r="J171" s="68" t="str">
        <f t="shared" si="25"/>
        <v/>
      </c>
      <c r="K171" s="50" t="s">
        <v>355</v>
      </c>
      <c r="L171" s="110" t="s">
        <v>356</v>
      </c>
      <c r="M171" s="50" t="s">
        <v>357</v>
      </c>
    </row>
    <row r="172" spans="1:17" ht="28.9">
      <c r="A172" s="24" t="str">
        <v>IL: Hillsboro - Anacott (PW)</v>
      </c>
      <c r="B172" s="25" t="str">
        <v>IL</v>
      </c>
      <c r="C172" s="25" t="str">
        <f>Sites[[#This Row],[SOL'#]]</f>
        <v>SOL-11134</v>
      </c>
      <c r="D172" s="54">
        <v>634429</v>
      </c>
      <c r="E172" s="10" t="s">
        <v>78</v>
      </c>
      <c r="F172" s="10" t="str">
        <f t="shared" si="22"/>
        <v/>
      </c>
      <c r="G172" s="55" t="str">
        <f t="shared" si="23"/>
        <v/>
      </c>
      <c r="H172" s="67">
        <v>553720</v>
      </c>
      <c r="I172" s="67">
        <f t="shared" si="24"/>
        <v>80709</v>
      </c>
      <c r="J172" s="64">
        <f t="shared" si="25"/>
        <v>0.14575778371740231</v>
      </c>
      <c r="K172" s="56" t="s">
        <v>358</v>
      </c>
      <c r="L172" s="116" t="s">
        <v>359</v>
      </c>
      <c r="M172" s="56" t="s">
        <v>360</v>
      </c>
      <c r="N172" s="111" t="s">
        <v>361</v>
      </c>
    </row>
    <row r="173" spans="1:17" ht="54.75" customHeight="1">
      <c r="A173" s="26" t="str">
        <v>IL: Manhattan - Gougar (PW)</v>
      </c>
      <c r="B173" s="27" t="str">
        <v>IL</v>
      </c>
      <c r="C173" s="27" t="str">
        <f>Sites[[#This Row],[SOL'#]]</f>
        <v>SOL-11148</v>
      </c>
      <c r="D173" s="66">
        <v>121126</v>
      </c>
      <c r="E173" s="14">
        <v>145932.1</v>
      </c>
      <c r="F173" s="14">
        <f t="shared" si="22"/>
        <v>-24806.100000000006</v>
      </c>
      <c r="G173" s="68">
        <f t="shared" si="23"/>
        <v>-0.16998384865290095</v>
      </c>
      <c r="H173" s="69">
        <v>208326.7</v>
      </c>
      <c r="I173" s="69">
        <f t="shared" si="24"/>
        <v>-87200.700000000012</v>
      </c>
      <c r="J173" s="68">
        <f t="shared" si="25"/>
        <v>-0.41857668748172944</v>
      </c>
      <c r="K173" s="50" t="s">
        <v>362</v>
      </c>
      <c r="L173" s="110" t="s">
        <v>363</v>
      </c>
      <c r="M173" s="50" t="s">
        <v>364</v>
      </c>
      <c r="N173" s="111" t="s">
        <v>365</v>
      </c>
      <c r="O173" s="111" t="s">
        <v>366</v>
      </c>
      <c r="P173" s="111" t="s">
        <v>367</v>
      </c>
    </row>
    <row r="174" spans="1:17" ht="15.6">
      <c r="A174" s="24" t="str">
        <v>IL: Morrison - Sawyer (PW)</v>
      </c>
      <c r="B174" s="25" t="str">
        <v>IL</v>
      </c>
      <c r="C174" s="25" t="str">
        <f>Sites[[#This Row],[SOL'#]]</f>
        <v>SOL-11176</v>
      </c>
      <c r="D174" s="54">
        <v>482576</v>
      </c>
      <c r="E174" s="10">
        <v>453421.50199999998</v>
      </c>
      <c r="F174" s="10">
        <f>IF(AND(ISNUMBER(D174),ISNUMBER(E174)), D174-E174, "")</f>
        <v>29154.498000000021</v>
      </c>
      <c r="G174" s="55">
        <f>IFERROR(F174/E174, "")</f>
        <v>6.4298887175403566E-2</v>
      </c>
      <c r="H174" s="67">
        <v>528786.47</v>
      </c>
      <c r="I174" s="67">
        <f>IF(AND(ISNUMBER(D174),ISNUMBER(H174)), D174-H174, "")</f>
        <v>-46210.469999999972</v>
      </c>
      <c r="J174" s="64">
        <f>IFERROR(I174/H174, "")</f>
        <v>-8.7389660329244001E-2</v>
      </c>
      <c r="K174" s="56"/>
      <c r="L174" s="56"/>
      <c r="M174" s="56"/>
    </row>
    <row r="175" spans="1:17" ht="57.6">
      <c r="A175" s="26" t="str">
        <v>IL: Kankakee - Jeffery (PW)</v>
      </c>
      <c r="B175" s="27" t="str">
        <v>IL</v>
      </c>
      <c r="C175" s="27" t="str">
        <f>Sites[[#This Row],[SOL'#]]</f>
        <v>SOL-11173</v>
      </c>
      <c r="D175" s="66">
        <v>518695</v>
      </c>
      <c r="E175" s="14">
        <v>651180.89899999998</v>
      </c>
      <c r="F175" s="14">
        <f>IF(AND(ISNUMBER(D175),ISNUMBER(E175)), D175-E175, "")</f>
        <v>-132485.89899999998</v>
      </c>
      <c r="G175" s="68">
        <f>IFERROR(F175/E175, "")</f>
        <v>-0.20345482983830579</v>
      </c>
      <c r="H175" s="69">
        <v>556108.27</v>
      </c>
      <c r="I175" s="69">
        <f>IF(AND(ISNUMBER(D175),ISNUMBER(H175)), D175-H175, "")</f>
        <v>-37413.270000000019</v>
      </c>
      <c r="J175" s="68">
        <f>IFERROR(I175/H175, "")</f>
        <v>-6.727695310123695E-2</v>
      </c>
      <c r="K175" s="50" t="s">
        <v>368</v>
      </c>
      <c r="L175" s="110" t="s">
        <v>369</v>
      </c>
      <c r="M175" s="50" t="s">
        <v>279</v>
      </c>
      <c r="N175" s="111" t="s">
        <v>370</v>
      </c>
    </row>
    <row r="176" spans="1:17" ht="15.75">
      <c r="A176" s="24" t="str">
        <v>IL: Freeport - 2240 South 18th Ave (PW)</v>
      </c>
      <c r="B176" s="25" t="str">
        <v>IL</v>
      </c>
      <c r="C176" s="25" t="s">
        <v>13</v>
      </c>
      <c r="D176" s="54" t="s">
        <v>371</v>
      </c>
      <c r="E176" s="10" t="s">
        <v>78</v>
      </c>
      <c r="F176" s="10"/>
      <c r="G176" s="55"/>
      <c r="H176" s="67" t="s">
        <v>78</v>
      </c>
      <c r="I176" s="67"/>
      <c r="J176" s="64"/>
      <c r="K176" s="56"/>
      <c r="L176" s="56"/>
      <c r="M176" s="56"/>
    </row>
  </sheetData>
  <mergeCells count="4">
    <mergeCell ref="E1:G1"/>
    <mergeCell ref="A1:D1"/>
    <mergeCell ref="H1:J1"/>
    <mergeCell ref="A2:B2"/>
  </mergeCells>
  <phoneticPr fontId="40" type="noConversion"/>
  <conditionalFormatting sqref="G2 J2 G4:G176 J4:J176">
    <cfRule type="cellIs" dxfId="42" priority="18" stopIfTrue="1" operator="lessThanOrEqual">
      <formula>-0.1</formula>
    </cfRule>
    <cfRule type="expression" dxfId="41" priority="19">
      <formula>AND(ISNUMBER(G2), G2&gt;=0.1)</formula>
    </cfRule>
  </conditionalFormatting>
  <conditionalFormatting sqref="W156:W158 AE156:AE158 AH156:AH158">
    <cfRule type="cellIs" dxfId="40" priority="1" stopIfTrue="1" operator="lessThanOrEqual">
      <formula>-0.1</formula>
    </cfRule>
    <cfRule type="expression" dxfId="39" priority="2">
      <formula>AND(ISNUMBER(W156), W156&gt;=0.1)</formula>
    </cfRule>
  </conditionalFormatting>
  <hyperlinks>
    <hyperlink ref="L153" r:id="rId1" display="https://us3.assetplanner.com/service_request?ID=115348" xr:uid="{9315D382-7880-4BE6-BBC3-960EC1194C6A}"/>
    <hyperlink ref="L4" r:id="rId2" display="https://us3.assetplanner.com/service_request?ID=107464" xr:uid="{E01C825E-B813-491B-A661-C03E1C1389CA}"/>
    <hyperlink ref="N4" r:id="rId3" display="https://us3.assetplanner.com/service_request?ID=113666" xr:uid="{7B672EB8-41D8-4BFF-9737-C55D94B529C0}"/>
    <hyperlink ref="L9" r:id="rId4" display="https://us3.assetplanner.com/service_request?ID=110236" xr:uid="{75B30FD0-29E2-4876-83BA-DEC6303B4788}"/>
    <hyperlink ref="L10" r:id="rId5" display="https://us3.assetplanner.com/service_request?ID=095666" xr:uid="{3D818B1A-75C2-4AE5-B80B-0769347C3FDD}"/>
    <hyperlink ref="L12" r:id="rId6" display="https://us3.assetplanner.com/service_request?ID=093633" xr:uid="{8E405DD2-FFA2-4B6B-BD68-656303E8899F}"/>
    <hyperlink ref="N12" r:id="rId7" display="https://us3.assetplanner.com/service_request?ID=110369" xr:uid="{8B355AD3-B699-4788-8D7C-D0CADBC8C45F}"/>
    <hyperlink ref="L13" r:id="rId8" display="https://us3.assetplanner.com/service_request?ID=114232" xr:uid="{477DD842-2812-41C3-B50B-1B82040018C8}"/>
    <hyperlink ref="L14" r:id="rId9" display="https://us3.assetplanner.com/service_request?ID=093924" xr:uid="{8CA0ED25-FE8F-4B3B-B57C-1F443D217C02}"/>
    <hyperlink ref="N14" r:id="rId10" display="https://us3.assetplanner.com/service_request?ID=086842" xr:uid="{6127A4E8-7DA1-42FF-9EC3-98D2639C47DE}"/>
    <hyperlink ref="L20" r:id="rId11" display="https://us3.assetplanner.com/service_request?ID=112416" xr:uid="{BE4DF1FB-0317-40D6-9FBB-C28FC16BDCF6}"/>
    <hyperlink ref="L27" r:id="rId12" display="https://us3.assetplanner.com/service_request?ID=093236" xr:uid="{D7847BED-4E81-482A-BB35-850EBB21A404}"/>
    <hyperlink ref="L32" r:id="rId13" display="https://us3.assetplanner.com/service_request?ID=102529" xr:uid="{3E4ACF1E-0545-49D0-95FD-5DC90E0DECB7}"/>
    <hyperlink ref="L34" r:id="rId14" display="https://us3.assetplanner.com/service_request?ID=114229" xr:uid="{BBBA0C1C-D7D7-4AA3-9A59-08CBE16566CC}"/>
    <hyperlink ref="N34" r:id="rId15" display="https://us3.assetplanner.com/service_request?ID=088282" xr:uid="{22E820A3-3802-4F1F-A083-F1CE168607F0}"/>
    <hyperlink ref="L35" r:id="rId16" display="https://us3.assetplanner.com/service_request?ID=114558" xr:uid="{0D349795-098E-432E-8C21-B1C817ADA0EB}"/>
    <hyperlink ref="L36" r:id="rId17" display="https://us3.assetplanner.com/service_request?ID=112392" xr:uid="{187B9CBD-82B7-475E-9397-F14341A0B80F}"/>
    <hyperlink ref="L38" r:id="rId18" display="https://us3.assetplanner.com/service_request?ID=088813" xr:uid="{FDC5A045-F758-4ACD-A81B-F5EED9E9A7F7}"/>
    <hyperlink ref="L40" r:id="rId19" display="https://us3.assetplanner.com/service_request?ID=093324" xr:uid="{906C814B-515F-416B-A909-01BAEA6CBD2A}"/>
    <hyperlink ref="N40" r:id="rId20" display="https://us3.assetplanner.com/service_request?ID=110370" xr:uid="{C58AF9B0-C237-4602-8787-BF6FE9B82C43}"/>
    <hyperlink ref="L43" r:id="rId21" display="https://us3.assetplanner.com/service_request?ID=093326" xr:uid="{FA290737-3CE5-4216-83B4-CCFC5EF941F0}"/>
    <hyperlink ref="N43" r:id="rId22" display="https://us3.assetplanner.com/service_request?ID=110229" xr:uid="{2851EF73-543A-402B-82A3-DCB5ADD9DF84}"/>
    <hyperlink ref="L44" r:id="rId23" display="https://us3.assetplanner.com/service_request?ID=093327" xr:uid="{C070403D-B399-4A36-87FA-915DAA086185}"/>
    <hyperlink ref="L46" r:id="rId24" display="https://us3.assetplanner.com/service_request?ID=112764" xr:uid="{5A8B3A6F-F955-494E-A688-EC5E6A07EEB5}"/>
    <hyperlink ref="N46" r:id="rId25" display="https://us3.assetplanner.com/service_request?ID=114236" xr:uid="{0C214BDE-2965-4EE3-92E4-3723E47ACDAD}"/>
    <hyperlink ref="L47" r:id="rId26" display="https://us3.assetplanner.com/service_request?ID=109950" xr:uid="{6CACD0F2-4AF2-4FC9-A86B-7BE566CE90D9}"/>
    <hyperlink ref="L51" r:id="rId27" display="https://us3.assetplanner.com/service_request?ID=098241" xr:uid="{E10EA09D-1C41-4749-A6A6-044F825D2BB0}"/>
    <hyperlink ref="N51" r:id="rId28" display="https://us3.assetplanner.com/service_request?ID=111775" xr:uid="{48AF83C9-89FC-4F2A-AF0F-5B9A957DF416}"/>
    <hyperlink ref="L56" r:id="rId29" display="https://us3.assetplanner.com/service_request?ID=114086" xr:uid="{1A317ED9-4546-47CB-9F4D-EB93C12E35AE}"/>
    <hyperlink ref="N56" r:id="rId30" display="https://us3.assetplanner.com/service_request?ID=114571" xr:uid="{F2EA0535-4793-4D1D-936E-D7F4B30031D3}"/>
    <hyperlink ref="L57" r:id="rId31" display="https://us3.assetplanner.com/service_request?ID=114637" xr:uid="{C4B72B1D-DBB1-490C-81EC-9FF63B56DB5F}"/>
    <hyperlink ref="N57" r:id="rId32" display="https://us3.assetplanner.com/service_request?ID=115340" xr:uid="{DDDBA84F-CDB2-4A8D-B4E6-7E209B4F19D1}"/>
    <hyperlink ref="L58" r:id="rId33" display="https://us3.assetplanner.com/service_request?ID=115465" xr:uid="{0BE50509-E64B-4AF4-B62C-60524B4C8F7D}"/>
    <hyperlink ref="L61" r:id="rId34" display="https://us3.assetplanner.com/service_request?ID=114057" xr:uid="{A95D3E0F-C8E8-44B4-86BD-1E0BAA62E771}"/>
    <hyperlink ref="N61" r:id="rId35" display="https://us3.assetplanner.com/service_request?ID=114807" xr:uid="{DC0ADEBA-FE96-4CA3-A792-B1D169D4CE96}"/>
    <hyperlink ref="L65" r:id="rId36" display="https://us3.assetplanner.com/service_request?ID=114704" xr:uid="{D17E5C1E-4EBC-4EA6-BEFB-D5DE78274078}"/>
    <hyperlink ref="L66" r:id="rId37" display="https://us3.assetplanner.com/service_request?ID=105816" xr:uid="{48F36451-7E33-4CBC-8F7D-FBBC2BB07C3A}"/>
    <hyperlink ref="N66" r:id="rId38" display="https://us3.assetplanner.com/service_request?ID=113584" xr:uid="{93FB6994-AFA2-4E55-9E30-110DE3BE909B}"/>
    <hyperlink ref="O66" r:id="rId39" display="https://us3.assetplanner.com/service_request?ID=114827" xr:uid="{D09771BE-4930-45CB-8A84-8F48CBAC99F1}"/>
    <hyperlink ref="L69" r:id="rId40" display="https://us3.assetplanner.com/service_request?ID=111378" xr:uid="{4707049D-8A25-4799-8E0D-9646E187D178}"/>
    <hyperlink ref="L70" r:id="rId41" display="https://us3.assetplanner.com/service_request?ID=113456" xr:uid="{8497A525-886E-4BC5-82A4-335F7E4A9376}"/>
    <hyperlink ref="L71" r:id="rId42" display="https://us3.assetplanner.com/service_request?ID=113372" xr:uid="{18007AD3-A263-4579-85FF-DB901076525C}"/>
    <hyperlink ref="L72" r:id="rId43" display="https://us3.assetplanner.com/service_request?ID=114045" xr:uid="{8D865333-5642-4425-8B1E-380A99231A63}"/>
    <hyperlink ref="N72" r:id="rId44" display="https://us3.assetplanner.com/service_request?ID=106622" xr:uid="{19B9447F-FC94-44A5-A221-9A497C6DA025}"/>
    <hyperlink ref="O72" r:id="rId45" display="https://us3.assetplanner.com/service_request?ID=114038" xr:uid="{4A0872FA-7289-4E69-BC50-168545B8E658}"/>
    <hyperlink ref="L73" r:id="rId46" display="https://us3.assetplanner.com/service_request?ID=114370" xr:uid="{D0BEE08F-C5D7-4912-8C9B-1B450FAE07FB}"/>
    <hyperlink ref="N73" r:id="rId47" display="https://us3.assetplanner.com/service_request?ID=114654" xr:uid="{304DBF1D-F24A-4F7F-90D4-56A426294FBC}"/>
    <hyperlink ref="L75" r:id="rId48" display="https://us3.assetplanner.com/service_request?ID=114201" xr:uid="{550F5EFA-6F5F-4067-9A62-312AC1C8A703}"/>
    <hyperlink ref="N75" r:id="rId49" display="https://us3.assetplanner.com/service_request?ID=114202" xr:uid="{84FDBCD6-6590-4BA0-A027-C1AE0651CCB8}"/>
    <hyperlink ref="O75" r:id="rId50" display="https://us3.assetplanner.com/service_request?ID=114181" xr:uid="{1CCE6376-5DBA-43FB-964B-93DD2A565C41}"/>
    <hyperlink ref="L76" r:id="rId51" display="https://us3.assetplanner.com/service_request?ID=112948" xr:uid="{1B27BC55-20A9-41E1-BC5F-A9D9F46D59FE}"/>
    <hyperlink ref="N76" r:id="rId52" display="https://us3.assetplanner.com/service_request?ID=114957" xr:uid="{FACB27F3-EA3D-42C6-82E0-23EB5833A4C6}"/>
    <hyperlink ref="L77" r:id="rId53" display="https://us3.assetplanner.com/service_request?ID=101820" xr:uid="{E474B67F-6C05-4FDF-A827-63FC7CCDFEA2}"/>
    <hyperlink ref="L79" r:id="rId54" display="https://us3.assetplanner.com/service_request?ID=112202" xr:uid="{2982E2DF-3970-4B8E-898E-34B0E791900F}"/>
    <hyperlink ref="N79" r:id="rId55" display="https://us3.assetplanner.com/service_request?ID=113983" xr:uid="{EE838F50-6E11-442F-BD63-8DDEF0C6CE05}"/>
    <hyperlink ref="O79" r:id="rId56" display="https://us3.assetplanner.com/service_request?ID=114059" xr:uid="{5ED72D3B-F7C4-42EE-9BCE-140E7CD1C3F3}"/>
    <hyperlink ref="P79" r:id="rId57" display="https://us3.assetplanner.com/service_request?ID=114167" xr:uid="{528776E3-E893-48AB-8D02-2998CBA6D11A}"/>
    <hyperlink ref="Q79" r:id="rId58" display="https://us3.assetplanner.com/service_request?ID=115416" xr:uid="{5BBC3C78-28DD-4A7D-8B29-5D221A3E1BF5}"/>
    <hyperlink ref="L80" r:id="rId59" display="https://us3.assetplanner.com/service_request?ID=114994" xr:uid="{31801D3B-E3C9-49FC-93DC-FBB3C8C463D2}"/>
    <hyperlink ref="L81" r:id="rId60" display="https://us3.assetplanner.com/service_request?ID=105649" xr:uid="{9F768BA8-F82F-4633-A7C6-857D36D8B4E9}"/>
    <hyperlink ref="L83" r:id="rId61" display="https://us3.assetplanner.com/service_request?ID=114382" xr:uid="{828771A0-C451-481B-AC6B-8598D0C4216C}"/>
    <hyperlink ref="L84" r:id="rId62" display="https://us3.assetplanner.com/service_request?ID=114092" xr:uid="{F4BEBABB-C400-4A09-9CA8-05474BF4140F}"/>
    <hyperlink ref="N84" r:id="rId63" display="https://us3.assetplanner.com/service_request?ID=115258" xr:uid="{9AE6FF06-B92F-4425-B10E-E6F6ED7D5E7B}"/>
    <hyperlink ref="L85" r:id="rId64" display="https://us3.assetplanner.com/service_request?ID=113860" xr:uid="{4AC52E2D-2271-4022-8540-2E83ED4651AB}"/>
    <hyperlink ref="N85" r:id="rId65" display="https://us3.assetplanner.com/service_request?ID=113861" xr:uid="{651AE3C4-FAB9-4BC1-A605-3F11670BFBD9}"/>
    <hyperlink ref="O85" r:id="rId66" display="https://us3.assetplanner.com/service_request?ID=111019" xr:uid="{A28FE822-BDFF-4EC7-8B32-47C8F2AF8FC4}"/>
    <hyperlink ref="L87" r:id="rId67" display="https://us3.assetplanner.com/service_request?ID=114240" xr:uid="{F96E6193-1A59-466F-8962-9F71808F7F3A}"/>
    <hyperlink ref="L89" r:id="rId68" display="https://us3.assetplanner.com/service_request?ID=107450" xr:uid="{78955CA2-DA73-47A4-B31F-1E4379E56035}"/>
    <hyperlink ref="N89" r:id="rId69" display="https://us3.assetplanner.com/service_request?ID=107667" xr:uid="{82FBC6BB-FE00-4D15-A011-EF55A50F6034}"/>
    <hyperlink ref="L91" r:id="rId70" display="https://us3.assetplanner.com/service_request?ID=113809" xr:uid="{E945A7DE-50E1-40F8-846B-9A907403A8A6}"/>
    <hyperlink ref="N91" r:id="rId71" display="https://us3.assetplanner.com/service_request?ID=106739" xr:uid="{32A7E551-FB84-4929-92CA-D0E88A592686}"/>
    <hyperlink ref="L92" r:id="rId72" display="https://us3.assetplanner.com/service_request?ID=114896" xr:uid="{E5D07D3E-3F20-42E8-8111-2D555C15C527}"/>
    <hyperlink ref="L93" r:id="rId73" display="https://us3.assetplanner.com/service_request?ID=115453" xr:uid="{6F6A0332-35ED-4C2C-8ADB-955402BC4A35}"/>
    <hyperlink ref="L96" r:id="rId74" display="https://us3.assetplanner.com/service_request?ID=114769" xr:uid="{E817E503-C32C-4FC4-B08A-4E7EF2BA7751}"/>
    <hyperlink ref="L97" r:id="rId75" display="https://us3.assetplanner.com/service_request?ID=114186" xr:uid="{A9810DFA-BE38-4E7C-A854-84977EBBABA8}"/>
    <hyperlink ref="L98" r:id="rId76" display="https://us3.assetplanner.com/service_request?ID=113106" xr:uid="{6E186514-C35A-45C1-8096-E55C0D5B382A}"/>
    <hyperlink ref="L100" r:id="rId77" display="https://us3.assetplanner.com/service_request?ID=113924" xr:uid="{6B80C6A9-8CB1-4708-A6E2-EF106884EA65}"/>
    <hyperlink ref="N100" r:id="rId78" display="https://us3.assetplanner.com/service_request?ID=114283" xr:uid="{158380A9-983C-46D2-8DFE-DA001F97FC25}"/>
    <hyperlink ref="O100" r:id="rId79" display="https://us3.assetplanner.com/service_request?ID=114502" xr:uid="{86AFDF65-78E0-4665-94D0-832094ECF2AC}"/>
    <hyperlink ref="L101" r:id="rId80" display="https://us3.assetplanner.com/service_request?ID=113201" xr:uid="{BAB942EA-45A9-4728-90AC-20AA80FCC4AF}"/>
    <hyperlink ref="N101" r:id="rId81" display="https://us3.assetplanner.com/service_request?ID=112035" xr:uid="{493512DB-BD08-4A7C-95F1-E082E5165EAD}"/>
    <hyperlink ref="O101" r:id="rId82" display="https://us3.assetplanner.com/service_request?ID=113433" xr:uid="{E174D721-6A24-43E1-8F63-EF2CFF7D7E2E}"/>
    <hyperlink ref="L102" r:id="rId83" display="https://us3.assetplanner.com/service_request?ID=112199" xr:uid="{EAA3603E-C322-4324-822D-F84A6080DE40}"/>
    <hyperlink ref="N102" r:id="rId84" display="https://us3.assetplanner.com/service_request?ID=105387" xr:uid="{6C03D1C8-D947-4DAF-8DFE-54DC3BE8D4DE}"/>
    <hyperlink ref="L106" r:id="rId85" display="https://us3.assetplanner.com/service_request?ID=114834" xr:uid="{7FB1E205-E7CB-4B00-B6B2-68DFAA4AC53D}"/>
    <hyperlink ref="L107" r:id="rId86" display="https://us3.assetplanner.com/service_request?ID=114380" xr:uid="{A00A96DF-2DE1-44F6-9CE1-D377D16A2D1B}"/>
    <hyperlink ref="L108" r:id="rId87" display="https://us3.assetplanner.com/service_request?ID=113716" xr:uid="{486AB0EB-770B-4D48-9841-DAFA05B9F744}"/>
    <hyperlink ref="N108" r:id="rId88" display="https://us3.assetplanner.com/service_request?ID=108248" xr:uid="{10E5622A-F512-4157-BDA9-BEDDC84FFE8F}"/>
    <hyperlink ref="O108" r:id="rId89" display="https://us3.assetplanner.com/service_request?ID=108120" xr:uid="{27160823-5614-40B6-B26A-7884DFF93DBB}"/>
    <hyperlink ref="L109" r:id="rId90" display="https://us3.assetplanner.com/service_request?ID=115466" xr:uid="{2C057BE0-903E-4E56-B3A8-02B9AEC96974}"/>
    <hyperlink ref="L111" r:id="rId91" display="https://us3.assetplanner.com/service_request?ID=114176" xr:uid="{7B32A543-3ED7-4599-9AE3-12F8E1805A04}"/>
    <hyperlink ref="N111" r:id="rId92" display="https://us3.assetplanner.com/service_request?ID=114605" xr:uid="{87CF6C44-1E71-4CB5-B2AC-27B7516B291E}"/>
    <hyperlink ref="L112" r:id="rId93" display="https://us3.assetplanner.com/service_request?ID=110135" xr:uid="{123E983B-16FC-4FB5-A80D-5CD61C467C3B}"/>
    <hyperlink ref="N112" r:id="rId94" display="https://us3.assetplanner.com/service_request?ID=113865" xr:uid="{CB4865DE-6D45-418C-9DF2-EF46EFBADD7D}"/>
    <hyperlink ref="L113" r:id="rId95" display="https://us3.assetplanner.com/service_request?ID=098860" xr:uid="{08A094BD-F9B7-472B-986F-7BADF8755D5F}"/>
    <hyperlink ref="N113" r:id="rId96" display="https://us3.assetplanner.com/service_request?ID=099264" xr:uid="{5788B0AA-C32D-49F2-9579-E245DAF6B914}"/>
    <hyperlink ref="O113" r:id="rId97" display="https://us3.assetplanner.com/service_request?ID=113864" xr:uid="{275AEC52-8986-433D-B66B-C4AB90A56D07}"/>
    <hyperlink ref="P113" r:id="rId98" display="https://us3.assetplanner.com/service_request?ID=112216" xr:uid="{346F1785-24E3-4ACC-A7D2-B6839D3B24A4}"/>
    <hyperlink ref="L114" r:id="rId99" display="https://us3.assetplanner.com/service_request?ID=113815" xr:uid="{91080A94-235E-4692-A1EF-F90FE376BF69}"/>
    <hyperlink ref="N114" r:id="rId100" display="https://us3.assetplanner.com/service_request?ID=114375" xr:uid="{37F2C8CF-157D-4F27-95D8-07CCEBFAC8BF}"/>
    <hyperlink ref="O114" r:id="rId101" display="https://us3.assetplanner.com/service_request?ID=109998" xr:uid="{427AA06C-7C00-4F35-9666-F8E1CE7FA92D}"/>
    <hyperlink ref="L115" r:id="rId102" display="https://us3.assetplanner.com/service_request?ID=109079" xr:uid="{978C72B2-C7AB-4546-97D1-9F8473122F53}"/>
    <hyperlink ref="N115" r:id="rId103" display="https://us3.assetplanner.com/service_request?ID=110746" xr:uid="{0A2243B4-A159-4DEB-A988-73E9628A89DE}"/>
    <hyperlink ref="L116" r:id="rId104" display="https://us3.assetplanner.com/service_request?ID=113817" xr:uid="{23513445-68BA-47A1-A6F3-7BC44F205CF1}"/>
    <hyperlink ref="N116" r:id="rId105" display="https://us3.assetplanner.com/service_request?ID=114585" xr:uid="{C60BE38B-810F-4AF1-BFFE-FC4C9879DE32}"/>
    <hyperlink ref="L118" r:id="rId106" display="https://us3.assetplanner.com/service_request?ID=113818" xr:uid="{F42AC4B0-AC77-4863-8F9A-305EA450EF65}"/>
    <hyperlink ref="N118" r:id="rId107" display="https://us3.assetplanner.com/service_request?ID=115462" xr:uid="{3F5A8EDC-51FF-4C9E-A590-8867F7323223}"/>
    <hyperlink ref="L133" r:id="rId108" display="https://us3.assetplanner.com/service_request?ID=114464" xr:uid="{9FEF8A3A-8AB0-471D-9114-56A63B5A58A9}"/>
    <hyperlink ref="L135" r:id="rId109" display="https://us3.assetplanner.com/service_request?ID=113237" xr:uid="{079AC583-0EF8-4B39-868A-986D5911675E}"/>
    <hyperlink ref="L138" r:id="rId110" display="https://us3.assetplanner.com/service_request?ID=112357" xr:uid="{62AAC827-F333-48B7-AAC9-319281B77F4C}"/>
    <hyperlink ref="L144" r:id="rId111" display="https://us3.assetplanner.com/service_request?ID=113901" xr:uid="{6E63BBD9-85DC-48DB-9470-7CE31EFBC0EB}"/>
    <hyperlink ref="N144" r:id="rId112" display="https://us3.assetplanner.com/service_request?ID=114216" xr:uid="{657B07D0-4BE1-4CF8-B171-5A187FC9A9F5}"/>
    <hyperlink ref="L145" r:id="rId113" display="https://us3.assetplanner.com/service_request?ID=114216" xr:uid="{0FFC745D-1FDF-4574-8A3C-7051349D68BC}"/>
    <hyperlink ref="N145" r:id="rId114" display="https://us3.assetplanner.com/service_request?ID=109332" xr:uid="{4F855829-439D-4AC9-BDCC-6D273A0554A8}"/>
    <hyperlink ref="L146" r:id="rId115" display="https://us3.assetplanner.com/service_request?ID=113926" xr:uid="{5433AC14-57C2-49FA-974B-81E9FAC33960}"/>
    <hyperlink ref="N146" r:id="rId116" display="https://us3.assetplanner.com/service_request?ID=115301" xr:uid="{B530878A-647F-405F-B6AC-BCB056293F3C}"/>
    <hyperlink ref="L148" r:id="rId117" display="https://us3.assetplanner.com/service_request?ID=114051" xr:uid="{270D2D41-B9F9-415C-A735-551526E7B487}"/>
    <hyperlink ref="N148" r:id="rId118" display="https://us3.assetplanner.com/service_request?ID=114488" xr:uid="{80F1E35D-1923-45B2-838A-2B8F4FAC3C00}"/>
    <hyperlink ref="O148" r:id="rId119" display="https://us3.assetplanner.com/service_request?ID=114640" xr:uid="{A5E3DE58-1573-47FD-8FB9-810AE7EC5D49}"/>
    <hyperlink ref="L149" r:id="rId120" display="https://us3.assetplanner.com/service_request?ID=113247" xr:uid="{8D3D0946-C377-40FA-8D81-499CF97B01FA}"/>
    <hyperlink ref="L150" r:id="rId121" display="https://us3.assetplanner.com/service_request?ID=115287" xr:uid="{425240FC-5D3A-4339-B782-91CB8F843E9E}"/>
    <hyperlink ref="N150" r:id="rId122" display="https://us3.assetplanner.com/service_request?ID=113692" xr:uid="{86EFB8B4-2C42-4E8B-8239-CB76E9C5709F}"/>
    <hyperlink ref="O150" r:id="rId123" display="https://us3.assetplanner.com/service_request?ID=114790" xr:uid="{E5F9B503-6DBE-4A66-819D-76AE8801FC39}"/>
    <hyperlink ref="P150" r:id="rId124" display="https://us3.assetplanner.com/service_request?ID=115363" xr:uid="{A0C92AF4-2A44-4E40-8EDB-262719E92324}"/>
    <hyperlink ref="Q150" r:id="rId125" display="https://us3.assetplanner.com/service_request?ID=114177" xr:uid="{3A6D19A6-AA2E-49A4-B0BD-DFC2C66E95F6}"/>
    <hyperlink ref="L152" r:id="rId126" display="https://us3.assetplanner.com/service_request?ID=098278" xr:uid="{92C8FC9D-A068-4BB9-BE5B-315DAF8C031C}"/>
    <hyperlink ref="N152" r:id="rId127" display="https://us3.assetplanner.com/service_request?ID=098670" xr:uid="{9191EC9F-EDE3-4C61-B1D2-98AADEE264A0}"/>
    <hyperlink ref="N153" r:id="rId128" display="https://us3.assetplanner.com/service_request?ID=112774" xr:uid="{9BD88B26-B85D-43BE-BC5A-E9BA16D318DD}"/>
    <hyperlink ref="N155" r:id="rId129" display="https://us3.assetplanner.com/service_request?ID=114179" xr:uid="{D084B41D-B638-4929-A60C-37EDD43609F1}"/>
    <hyperlink ref="L157" r:id="rId130" display="https://us3.assetplanner.com/service_request?ID=111863" xr:uid="{1CC27B6F-E5B6-439F-ADD4-645FC06A6DF8}"/>
    <hyperlink ref="N157" r:id="rId131" display="https://us3.assetplanner.com/service_request?ID=113917" xr:uid="{A3A109B5-0D49-4072-A1A3-87B73AB9BB50}"/>
    <hyperlink ref="O157" r:id="rId132" display="https://us3.assetplanner.com/service_request?ID=114056" xr:uid="{45BC2689-595B-4460-B654-673404C8FA15}"/>
    <hyperlink ref="P157" r:id="rId133" display="https://us3.assetplanner.com/service_request?ID=114169" xr:uid="{563C5835-E3AB-466B-B4F3-560BCF789945}"/>
    <hyperlink ref="Q157" r:id="rId134" display="https://us3.assetplanner.com/service_request?ID=114193" xr:uid="{CC5E362C-3953-4B04-A869-98D2A49C0AF0}"/>
    <hyperlink ref="L158" r:id="rId135" display="https://us3.assetplanner.com/service_request?ID=114084" xr:uid="{7ED1AD07-1422-42C8-B33B-032DD62A0863}"/>
    <hyperlink ref="N158" r:id="rId136" display="https://us3.assetplanner.com/service_request?ID=114889" xr:uid="{6F4B13C3-96FA-4B6C-83C3-543F96630F82}"/>
    <hyperlink ref="L160" r:id="rId137" display="https://us3.assetplanner.com/service_request?ID=109524" xr:uid="{0CF8FDD5-AD3E-4276-AC79-843CC46A1EF3}"/>
    <hyperlink ref="N160" r:id="rId138" display="https://us3.assetplanner.com/service_request?ID=114651" xr:uid="{A7A2072E-F82E-4847-8291-FC450E85795F}"/>
    <hyperlink ref="O160" r:id="rId139" display="https://us3.assetplanner.com/service_request?ID=100771" xr:uid="{C3CF0D2C-75B1-4D9E-8EAC-B2C79E2E2A84}"/>
    <hyperlink ref="P160" r:id="rId140" display="https://us3.assetplanner.com/service_request?ID=114651" xr:uid="{7FCB6474-A3D7-4F9B-B4B2-3ED3FECA67B1}"/>
    <hyperlink ref="L162" r:id="rId141" display="https://us3.assetplanner.com/service_request?ID=114034" xr:uid="{9E15A003-BC89-4D7B-830D-8FA98822D887}"/>
    <hyperlink ref="N162" r:id="rId142" display="https://us3.assetplanner.com/service_request?ID=110863" xr:uid="{4D3C700E-B6BA-4FC6-A54E-8CEE14279A43}"/>
    <hyperlink ref="O162" r:id="rId143" display="https://us3.assetplanner.com/service_request?ID=114857" xr:uid="{CBA086A5-BAF6-4BE5-A369-C35ED1C82171}"/>
    <hyperlink ref="L163" r:id="rId144" display="https://us3.assetplanner.com/service_request?ID=113569" xr:uid="{E3E7CCC6-ED90-43A7-A2A8-2CAC0CC8E9CB}"/>
    <hyperlink ref="N163" r:id="rId145" display="https://us3.assetplanner.com/service_request?ID=112384" xr:uid="{CA53705C-0D59-44AE-80DA-6819D199C312}"/>
    <hyperlink ref="L164" r:id="rId146" display="https://us3.assetplanner.com/service_request?ID=108392" xr:uid="{43079C41-410B-4D9C-BF8B-8D18CE7A0FCA}"/>
    <hyperlink ref="L165" r:id="rId147" display="https://us3.assetplanner.com/service_request?ID=113003" xr:uid="{D9C8364A-7FA3-4D1A-A8B2-74BB7F8C2FE9}"/>
    <hyperlink ref="N165" r:id="rId148" display="https://us3.assetplanner.com/service_request?ID=111163" xr:uid="{0BFBA777-6E34-423F-A417-29B27290C175}"/>
    <hyperlink ref="O165" r:id="rId149" display="https://us3.assetplanner.com/service_request?ID=114420" xr:uid="{5C25A2DE-700D-4961-A6A9-339CE380259F}"/>
    <hyperlink ref="P165" r:id="rId150" display="https://us3.assetplanner.com/service_request?ID=113452" xr:uid="{EDE5A226-6F33-406B-9B50-696BACAD92F7}"/>
    <hyperlink ref="Q165" r:id="rId151" display="https://us3.assetplanner.com/service_request?ID=114420" xr:uid="{14C8464F-9A78-4A4C-A81F-C58F998EFD2B}"/>
    <hyperlink ref="L167" r:id="rId152" display="https://us3.assetplanner.com/service_request?ID=113455" xr:uid="{9B11DD05-90EE-4634-ACEC-CC931819355B}"/>
    <hyperlink ref="N167" r:id="rId153" display="https://us3.assetplanner.com/service_request?ID=113185" xr:uid="{3F8A65DD-B21D-4530-BFFC-8C931058FAD6}"/>
    <hyperlink ref="L170" r:id="rId154" display="https://us3.assetplanner.com/service_request?ID=114035" xr:uid="{EA1F06CB-6FA6-478F-BF52-4216EC70AD50}"/>
    <hyperlink ref="N170" r:id="rId155" display="https://us3.assetplanner.com/service_request?ID=113743" xr:uid="{CF7414A3-86DC-4222-9CB7-04E455491FBB}"/>
    <hyperlink ref="L171" r:id="rId156" display="https://us3.assetplanner.com/service_request?ID=112320" xr:uid="{17257FA2-03ED-4AE4-8522-7065895BF97D}"/>
    <hyperlink ref="L172" r:id="rId157" display="https://us3.assetplanner.com/service_request?ID=114325" xr:uid="{15FF4C32-9B3D-403A-A147-4EDF5B8355D6}"/>
    <hyperlink ref="N172" r:id="rId158" display="https://us3.assetplanner.com/service_request?ID=115342" xr:uid="{E5187DBC-EE19-4CCF-B2A2-DF919816B8C9}"/>
    <hyperlink ref="L173" r:id="rId159" display="https://us3.assetplanner.com/service_request?ID=114209" xr:uid="{7F6148D2-C83E-4C97-8027-9DED66B4C99E}"/>
    <hyperlink ref="N173" r:id="rId160" display="https://us3.assetplanner.com/service_request?ID=112908" xr:uid="{93A3B57A-6B52-489A-ABBF-E56600BF57FD}"/>
    <hyperlink ref="O173" r:id="rId161" display="https://us3.assetplanner.com/service_request?ID=114820" xr:uid="{B4F9231E-0E62-4560-951B-20B46F86E762}"/>
    <hyperlink ref="P173" r:id="rId162" display="https://us3.assetplanner.com/service_request?ID=114849" xr:uid="{9F9FBABE-6529-46DF-9FD7-D521C4362324}"/>
    <hyperlink ref="L175" r:id="rId163" display="https://us3.assetplanner.com/service_request?ID=114686" xr:uid="{813CCF89-BE41-4433-B3E0-200771D91D21}"/>
    <hyperlink ref="N175" r:id="rId164" display="https://us3.assetplanner.com/service_request?ID=114541" xr:uid="{A7975EF0-1367-4A79-BE25-EF3905A78767}"/>
  </hyperlinks>
  <pageMargins left="0.4" right="0.7" top="0.25" bottom="0.25" header="0.3" footer="0.3"/>
  <pageSetup fitToHeight="99" orientation="landscape" r:id="rId16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176"/>
  <sheetViews>
    <sheetView zoomScale="40" zoomScaleNormal="40" workbookViewId="0">
      <pane xSplit="2" ySplit="3" topLeftCell="I88" activePane="bottomRight" state="frozen"/>
      <selection pane="bottomRight" activeCell="I187" sqref="I187"/>
      <selection pane="bottomLeft" activeCell="S101" sqref="S101"/>
      <selection pane="topRight" activeCell="S101" sqref="S101"/>
    </sheetView>
  </sheetViews>
  <sheetFormatPr defaultRowHeight="14.45"/>
  <cols>
    <col min="1" max="1" width="26.71093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48" customWidth="1"/>
    <col min="12" max="12" width="22.85546875" customWidth="1"/>
    <col min="13" max="15" width="22.85546875" style="103" customWidth="1"/>
    <col min="16" max="22" width="22.85546875" customWidth="1"/>
  </cols>
  <sheetData>
    <row r="1" spans="1:13" ht="15.6">
      <c r="A1" s="195" t="str" cm="1">
        <f t="array" ref="A1">portfolio</f>
        <v>Generate Capital</v>
      </c>
      <c r="B1" s="195"/>
      <c r="C1" s="195"/>
      <c r="D1" s="195"/>
      <c r="E1" s="196" t="s">
        <v>372</v>
      </c>
      <c r="F1" s="196"/>
      <c r="G1" s="196"/>
      <c r="H1" s="194" t="s">
        <v>373</v>
      </c>
      <c r="I1" s="194"/>
      <c r="J1" s="194"/>
      <c r="K1" s="44"/>
      <c r="L1" s="4"/>
    </row>
    <row r="2" spans="1:13" ht="15.6">
      <c r="A2" s="197" t="s">
        <v>2</v>
      </c>
      <c r="B2" s="197"/>
      <c r="C2" s="57"/>
      <c r="D2" s="5">
        <f>SUM(D4:D95)</f>
        <v>0</v>
      </c>
      <c r="E2" s="5">
        <f>SUM(E4:E95)</f>
        <v>0</v>
      </c>
      <c r="F2" s="5">
        <f>D2-E2</f>
        <v>0</v>
      </c>
      <c r="G2" s="6">
        <f>IFERROR(F2/E2, 0)</f>
        <v>0</v>
      </c>
      <c r="H2" s="5">
        <f>SUM(H4:H95)</f>
        <v>0</v>
      </c>
      <c r="I2" s="7">
        <f>D2-H2</f>
        <v>0</v>
      </c>
      <c r="J2" s="6">
        <f>IFERROR(I2/H2, 0)</f>
        <v>0</v>
      </c>
      <c r="K2" s="45"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3" ht="15.6">
      <c r="A3" s="8" t="s">
        <v>3</v>
      </c>
      <c r="B3" s="8" t="s">
        <v>4</v>
      </c>
      <c r="C3" s="8" t="s">
        <v>5</v>
      </c>
      <c r="D3" s="19" t="s">
        <v>6</v>
      </c>
      <c r="E3" s="31" t="s">
        <v>7</v>
      </c>
      <c r="F3" s="31" t="s">
        <v>8</v>
      </c>
      <c r="G3" s="32" t="s">
        <v>9</v>
      </c>
      <c r="H3" s="33" t="s">
        <v>10</v>
      </c>
      <c r="I3" s="34" t="s">
        <v>8</v>
      </c>
      <c r="J3" s="35" t="s">
        <v>9</v>
      </c>
      <c r="K3" s="46" t="s">
        <v>24</v>
      </c>
      <c r="L3" s="21" t="s">
        <v>25</v>
      </c>
    </row>
    <row r="4" spans="1:13" ht="15.6">
      <c r="A4" s="26" t="str" cm="1">
        <f t="array" ref="A4:A176">Sites[Site]</f>
        <v>K026</v>
      </c>
      <c r="B4" s="27" t="str" cm="1">
        <f t="array" ref="B4:B176">Sites[State]</f>
        <v>NY</v>
      </c>
      <c r="C4" s="27" t="str">
        <f>Sites[[#This Row],[SOL'#]]</f>
        <v>SOL-10356</v>
      </c>
      <c r="D4" s="9"/>
      <c r="E4" s="14"/>
      <c r="F4" s="14" t="str">
        <f t="shared" ref="F4:F64" si="0">IF(AND(ISNUMBER(D4),ISNUMBER(E4)), D4-E4, "")</f>
        <v/>
      </c>
      <c r="G4" s="15" t="str">
        <f t="shared" ref="G4:G64" si="1">IFERROR(F4/E4, "")</f>
        <v/>
      </c>
      <c r="H4" s="16"/>
      <c r="I4" s="16" t="str">
        <f t="shared" ref="I4:I64" si="2">IF(AND(ISNUMBER(D4),ISNUMBER(H4)), D4-H4, "")</f>
        <v/>
      </c>
      <c r="J4" s="15" t="str">
        <f t="shared" ref="J4:J50" si="3">IFERROR(I4/H4, "")</f>
        <v/>
      </c>
      <c r="K4" s="38"/>
      <c r="L4" s="187"/>
    </row>
    <row r="5" spans="1:13" ht="15.6">
      <c r="A5" s="24" t="str">
        <v>K041</v>
      </c>
      <c r="B5" s="25" t="str">
        <v>NY</v>
      </c>
      <c r="C5" s="25" t="str">
        <f>Sites[[#This Row],[SOL'#]]</f>
        <v>SOL-10357</v>
      </c>
      <c r="D5" s="20"/>
      <c r="E5" s="10"/>
      <c r="F5" s="10" t="str">
        <f t="shared" si="0"/>
        <v/>
      </c>
      <c r="G5" s="11" t="str">
        <f t="shared" si="1"/>
        <v/>
      </c>
      <c r="H5" s="12"/>
      <c r="I5" s="12" t="str">
        <f t="shared" si="2"/>
        <v/>
      </c>
      <c r="J5" s="13" t="str">
        <f t="shared" ref="J5:J64" si="4">IFERROR(I5/H5, "")</f>
        <v/>
      </c>
      <c r="K5" s="47"/>
      <c r="L5" s="49"/>
    </row>
    <row r="6" spans="1:13" ht="15.6">
      <c r="A6" s="26" t="str">
        <v>K043</v>
      </c>
      <c r="B6" s="27" t="str">
        <v>NY</v>
      </c>
      <c r="C6" s="27" t="str">
        <f>Sites[[#This Row],[SOL'#]]</f>
        <v>SOL-10358</v>
      </c>
      <c r="D6" s="9"/>
      <c r="E6" s="14"/>
      <c r="F6" s="14" t="str">
        <f t="shared" si="0"/>
        <v/>
      </c>
      <c r="G6" s="15" t="str">
        <f t="shared" si="1"/>
        <v/>
      </c>
      <c r="H6" s="16"/>
      <c r="I6" s="16" t="str">
        <f t="shared" si="2"/>
        <v/>
      </c>
      <c r="J6" s="15" t="str">
        <f t="shared" si="3"/>
        <v/>
      </c>
      <c r="K6" s="50"/>
      <c r="L6" s="187"/>
    </row>
    <row r="7" spans="1:13" ht="73.5" customHeight="1">
      <c r="A7" s="24" t="str">
        <v>K058</v>
      </c>
      <c r="B7" s="25" t="str">
        <v>NY</v>
      </c>
      <c r="C7" s="25" t="str">
        <f>Sites[[#This Row],[SOL'#]]</f>
        <v>SOL-10360</v>
      </c>
      <c r="D7" s="20"/>
      <c r="E7" s="10"/>
      <c r="F7" s="10" t="str">
        <f t="shared" si="0"/>
        <v/>
      </c>
      <c r="G7" s="11" t="str">
        <f t="shared" si="1"/>
        <v/>
      </c>
      <c r="H7" s="12"/>
      <c r="I7" s="12" t="str">
        <f t="shared" si="2"/>
        <v/>
      </c>
      <c r="J7" s="13" t="str">
        <f t="shared" si="4"/>
        <v/>
      </c>
      <c r="K7" s="47"/>
      <c r="L7" s="109"/>
    </row>
    <row r="8" spans="1:13" ht="15.6">
      <c r="A8" s="26" t="str">
        <v>K115</v>
      </c>
      <c r="B8" s="27" t="str">
        <v>NY</v>
      </c>
      <c r="C8" s="27" t="str">
        <f>Sites[[#This Row],[SOL'#]]</f>
        <v>SOL-10361</v>
      </c>
      <c r="D8" s="9"/>
      <c r="E8" s="14"/>
      <c r="F8" s="14" t="str">
        <f t="shared" si="0"/>
        <v/>
      </c>
      <c r="G8" s="15" t="str">
        <f t="shared" si="1"/>
        <v/>
      </c>
      <c r="H8" s="16"/>
      <c r="I8" s="16" t="str">
        <f t="shared" si="2"/>
        <v/>
      </c>
      <c r="J8" s="15" t="str">
        <f t="shared" si="3"/>
        <v/>
      </c>
      <c r="K8" s="186"/>
      <c r="L8" s="112"/>
    </row>
    <row r="9" spans="1:13" ht="15.6">
      <c r="A9" s="24" t="str">
        <v>K152</v>
      </c>
      <c r="B9" s="25" t="str">
        <v>NY</v>
      </c>
      <c r="C9" s="25" t="str">
        <f>Sites[[#This Row],[SOL'#]]</f>
        <v>SOL-10362</v>
      </c>
      <c r="D9" s="20"/>
      <c r="E9" s="10"/>
      <c r="F9" s="10" t="str">
        <f t="shared" si="0"/>
        <v/>
      </c>
      <c r="G9" s="11" t="str">
        <f t="shared" si="1"/>
        <v/>
      </c>
      <c r="H9" s="12"/>
      <c r="I9" s="12" t="str">
        <f t="shared" si="2"/>
        <v/>
      </c>
      <c r="J9" s="13" t="str">
        <f t="shared" si="4"/>
        <v/>
      </c>
      <c r="K9" s="47"/>
      <c r="L9" s="49"/>
    </row>
    <row r="10" spans="1:13" ht="15.6">
      <c r="A10" s="26" t="str">
        <v>K166</v>
      </c>
      <c r="B10" s="27" t="str">
        <v>NY</v>
      </c>
      <c r="C10" s="27" t="str">
        <f>Sites[[#This Row],[SOL'#]]</f>
        <v>SOL-10363</v>
      </c>
      <c r="D10" s="9"/>
      <c r="E10" s="14"/>
      <c r="F10" s="14" t="str">
        <f t="shared" si="0"/>
        <v/>
      </c>
      <c r="G10" s="15" t="str">
        <f t="shared" si="1"/>
        <v/>
      </c>
      <c r="H10" s="16"/>
      <c r="I10" s="16" t="str">
        <f t="shared" si="2"/>
        <v/>
      </c>
      <c r="J10" s="15" t="str">
        <f t="shared" si="3"/>
        <v/>
      </c>
      <c r="K10" s="186"/>
      <c r="L10" s="187"/>
    </row>
    <row r="11" spans="1:13" ht="15.6">
      <c r="A11" s="24" t="str">
        <v>K206</v>
      </c>
      <c r="B11" s="25" t="str">
        <v>NY</v>
      </c>
      <c r="C11" s="25" t="str">
        <f>Sites[[#This Row],[SOL'#]]</f>
        <v>SOL-10927</v>
      </c>
      <c r="D11" s="20"/>
      <c r="E11" s="10"/>
      <c r="F11" s="10" t="str">
        <f t="shared" si="0"/>
        <v/>
      </c>
      <c r="G11" s="11" t="str">
        <f t="shared" si="1"/>
        <v/>
      </c>
      <c r="H11" s="12"/>
      <c r="I11" s="12" t="str">
        <f t="shared" si="2"/>
        <v/>
      </c>
      <c r="J11" s="13" t="str">
        <f t="shared" si="4"/>
        <v/>
      </c>
      <c r="K11" s="47"/>
      <c r="L11" s="49"/>
    </row>
    <row r="12" spans="1:13" ht="15.6">
      <c r="A12" s="26" t="str">
        <v>K251</v>
      </c>
      <c r="B12" s="27" t="str">
        <v>NY</v>
      </c>
      <c r="C12" s="27" t="str">
        <f>Sites[[#This Row],[SOL'#]]</f>
        <v>SOL-10365</v>
      </c>
      <c r="D12" s="9"/>
      <c r="E12" s="14"/>
      <c r="F12" s="14" t="str">
        <f t="shared" si="0"/>
        <v/>
      </c>
      <c r="G12" s="15" t="str">
        <f t="shared" si="1"/>
        <v/>
      </c>
      <c r="H12" s="16"/>
      <c r="I12" s="16" t="str">
        <f t="shared" si="2"/>
        <v/>
      </c>
      <c r="J12" s="15" t="str">
        <f t="shared" si="3"/>
        <v/>
      </c>
      <c r="K12" s="97"/>
      <c r="L12" s="113"/>
    </row>
    <row r="13" spans="1:13" ht="15.6">
      <c r="A13" s="24" t="str">
        <v>K269</v>
      </c>
      <c r="B13" s="25" t="str">
        <v>NY</v>
      </c>
      <c r="C13" s="25" t="str">
        <f>Sites[[#This Row],[SOL'#]]</f>
        <v>SOL-10366</v>
      </c>
      <c r="D13" s="20"/>
      <c r="E13" s="10"/>
      <c r="F13" s="10" t="str">
        <f t="shared" si="0"/>
        <v/>
      </c>
      <c r="G13" s="11" t="str">
        <f t="shared" si="1"/>
        <v/>
      </c>
      <c r="H13" s="12"/>
      <c r="I13" s="12" t="str">
        <f t="shared" si="2"/>
        <v/>
      </c>
      <c r="J13" s="13" t="str">
        <f t="shared" si="4"/>
        <v/>
      </c>
      <c r="K13" s="47"/>
      <c r="L13" s="49"/>
    </row>
    <row r="14" spans="1:13" ht="52.5" customHeight="1">
      <c r="A14" s="26" t="str">
        <v>K273</v>
      </c>
      <c r="B14" s="27" t="str">
        <v>NY</v>
      </c>
      <c r="C14" s="27" t="str">
        <f>Sites[[#This Row],[SOL'#]]</f>
        <v>SOL-10367</v>
      </c>
      <c r="D14" s="9"/>
      <c r="E14" s="14"/>
      <c r="F14" s="14" t="str">
        <f t="shared" si="0"/>
        <v/>
      </c>
      <c r="G14" s="15" t="str">
        <f t="shared" si="1"/>
        <v/>
      </c>
      <c r="H14" s="16"/>
      <c r="I14" s="16" t="str">
        <f t="shared" si="2"/>
        <v/>
      </c>
      <c r="J14" s="15" t="str">
        <f t="shared" si="3"/>
        <v/>
      </c>
      <c r="K14" s="50"/>
      <c r="L14" s="110"/>
      <c r="M14" s="102"/>
    </row>
    <row r="15" spans="1:13" ht="15.6">
      <c r="A15" s="24" t="str">
        <v>K287</v>
      </c>
      <c r="B15" s="25" t="str">
        <v>NY</v>
      </c>
      <c r="C15" s="25" t="str">
        <f>Sites[[#This Row],[SOL'#]]</f>
        <v>SOL-10919</v>
      </c>
      <c r="D15" s="20"/>
      <c r="E15" s="10"/>
      <c r="F15" s="10" t="str">
        <f t="shared" si="0"/>
        <v/>
      </c>
      <c r="G15" s="11" t="str">
        <f t="shared" si="1"/>
        <v/>
      </c>
      <c r="H15" s="12"/>
      <c r="I15" s="12" t="str">
        <f t="shared" si="2"/>
        <v/>
      </c>
      <c r="J15" s="13" t="str">
        <f t="shared" si="4"/>
        <v/>
      </c>
      <c r="K15" s="47"/>
      <c r="L15" s="49"/>
    </row>
    <row r="16" spans="1:13" ht="15.6">
      <c r="A16" s="26" t="str">
        <v>K298</v>
      </c>
      <c r="B16" s="27" t="str">
        <v>NY</v>
      </c>
      <c r="C16" s="27" t="str">
        <f>Sites[[#This Row],[SOL'#]]</f>
        <v>SOL-10368</v>
      </c>
      <c r="D16" s="9"/>
      <c r="E16" s="14"/>
      <c r="F16" s="14" t="str">
        <f t="shared" si="0"/>
        <v/>
      </c>
      <c r="G16" s="15" t="str">
        <f t="shared" si="1"/>
        <v/>
      </c>
      <c r="H16" s="16"/>
      <c r="I16" s="16" t="str">
        <f t="shared" si="2"/>
        <v/>
      </c>
      <c r="J16" s="15" t="str">
        <f t="shared" si="3"/>
        <v/>
      </c>
      <c r="K16" s="106"/>
      <c r="L16" s="187"/>
    </row>
    <row r="17" spans="1:19" ht="15.6">
      <c r="A17" s="24" t="str">
        <v>K335</v>
      </c>
      <c r="B17" s="25" t="str">
        <v>NY</v>
      </c>
      <c r="C17" s="25" t="str">
        <f>Sites[[#This Row],[SOL'#]]</f>
        <v>SOL-10370</v>
      </c>
      <c r="D17" s="20"/>
      <c r="E17" s="10"/>
      <c r="F17" s="10" t="str">
        <f t="shared" si="0"/>
        <v/>
      </c>
      <c r="G17" s="11" t="str">
        <f t="shared" si="1"/>
        <v/>
      </c>
      <c r="H17" s="12"/>
      <c r="I17" s="12" t="str">
        <f t="shared" si="2"/>
        <v/>
      </c>
      <c r="J17" s="13" t="str">
        <f t="shared" si="4"/>
        <v/>
      </c>
      <c r="K17" s="47"/>
      <c r="L17" s="49"/>
    </row>
    <row r="18" spans="1:19" ht="15.6">
      <c r="A18" s="26" t="str">
        <v>K345</v>
      </c>
      <c r="B18" s="27" t="str">
        <v>NY</v>
      </c>
      <c r="C18" s="27" t="str">
        <f>Sites[[#This Row],[SOL'#]]</f>
        <v>SOL-10920</v>
      </c>
      <c r="D18" s="9"/>
      <c r="E18" s="14"/>
      <c r="F18" s="14" t="str">
        <f t="shared" si="0"/>
        <v/>
      </c>
      <c r="G18" s="15" t="str">
        <f t="shared" si="1"/>
        <v/>
      </c>
      <c r="H18" s="16"/>
      <c r="I18" s="16" t="str">
        <f t="shared" si="2"/>
        <v/>
      </c>
      <c r="J18" s="15" t="str">
        <f t="shared" si="3"/>
        <v/>
      </c>
      <c r="K18" s="186"/>
      <c r="L18" s="187"/>
    </row>
    <row r="19" spans="1:19" ht="15.6">
      <c r="A19" s="24" t="str">
        <v>K445</v>
      </c>
      <c r="B19" s="25" t="str">
        <v>NY</v>
      </c>
      <c r="C19" s="25" t="str">
        <f>Sites[[#This Row],[SOL'#]]</f>
        <v>SOL-10373</v>
      </c>
      <c r="D19" s="20"/>
      <c r="E19" s="10"/>
      <c r="F19" s="10" t="str">
        <f t="shared" si="0"/>
        <v/>
      </c>
      <c r="G19" s="11" t="str">
        <f t="shared" si="1"/>
        <v/>
      </c>
      <c r="H19" s="12"/>
      <c r="I19" s="12" t="str">
        <f t="shared" si="2"/>
        <v/>
      </c>
      <c r="J19" s="13" t="str">
        <f t="shared" si="4"/>
        <v/>
      </c>
      <c r="K19" s="47"/>
      <c r="L19" s="49"/>
      <c r="P19" s="24"/>
      <c r="Q19" s="25"/>
      <c r="R19" s="25"/>
      <c r="S19" s="20"/>
    </row>
    <row r="20" spans="1:19" ht="66.75" customHeight="1">
      <c r="A20" s="26" t="str">
        <v>K495</v>
      </c>
      <c r="B20" s="27" t="str">
        <v>NY</v>
      </c>
      <c r="C20" s="27" t="str">
        <f>Sites[[#This Row],[SOL'#]]</f>
        <v>SOL-10374</v>
      </c>
      <c r="D20" s="9"/>
      <c r="E20" s="14"/>
      <c r="F20" s="14" t="str">
        <f t="shared" si="0"/>
        <v/>
      </c>
      <c r="G20" s="15" t="str">
        <f t="shared" si="1"/>
        <v/>
      </c>
      <c r="H20" s="16"/>
      <c r="I20" s="16" t="str">
        <f t="shared" si="2"/>
        <v/>
      </c>
      <c r="J20" s="15" t="str">
        <f t="shared" si="3"/>
        <v/>
      </c>
      <c r="K20" s="83"/>
      <c r="L20" s="110"/>
    </row>
    <row r="21" spans="1:19" ht="15.6">
      <c r="A21" s="24" t="str">
        <v>M020</v>
      </c>
      <c r="B21" s="25" t="str">
        <v>NY</v>
      </c>
      <c r="C21" s="25" t="str">
        <f>Sites[[#This Row],[SOL'#]]</f>
        <v>SOL-10380</v>
      </c>
      <c r="D21" s="20"/>
      <c r="E21" s="10"/>
      <c r="F21" s="10" t="str">
        <f t="shared" si="0"/>
        <v/>
      </c>
      <c r="G21" s="11" t="str">
        <f t="shared" si="1"/>
        <v/>
      </c>
      <c r="H21" s="12"/>
      <c r="I21" s="12" t="str">
        <f t="shared" si="2"/>
        <v/>
      </c>
      <c r="J21" s="13" t="str">
        <f t="shared" si="4"/>
        <v/>
      </c>
      <c r="K21" s="47"/>
      <c r="L21" s="49"/>
    </row>
    <row r="22" spans="1:19" ht="15.6">
      <c r="A22" s="26" t="str">
        <v>M092</v>
      </c>
      <c r="B22" s="27" t="str">
        <v>NY</v>
      </c>
      <c r="C22" s="27" t="str">
        <f>Sites[[#This Row],[SOL'#]]</f>
        <v>SOL-10383</v>
      </c>
      <c r="D22" s="9"/>
      <c r="E22" s="14"/>
      <c r="F22" s="14" t="str">
        <f t="shared" si="0"/>
        <v/>
      </c>
      <c r="G22" s="15" t="str">
        <f t="shared" si="1"/>
        <v/>
      </c>
      <c r="H22" s="16"/>
      <c r="I22" s="16" t="str">
        <f t="shared" si="2"/>
        <v/>
      </c>
      <c r="J22" s="15" t="str">
        <f t="shared" si="3"/>
        <v/>
      </c>
      <c r="K22" s="38"/>
      <c r="L22" s="187"/>
    </row>
    <row r="23" spans="1:19" ht="15.6">
      <c r="A23" s="24" t="str">
        <v>M143</v>
      </c>
      <c r="B23" s="25" t="str">
        <v>NY</v>
      </c>
      <c r="C23" s="25" t="str">
        <f>Sites[[#This Row],[SOL'#]]</f>
        <v>SOL-10384</v>
      </c>
      <c r="D23" s="20"/>
      <c r="E23" s="10"/>
      <c r="F23" s="10" t="str">
        <f t="shared" si="0"/>
        <v/>
      </c>
      <c r="G23" s="11" t="str">
        <f t="shared" si="1"/>
        <v/>
      </c>
      <c r="H23" s="12"/>
      <c r="I23" s="12" t="str">
        <f t="shared" si="2"/>
        <v/>
      </c>
      <c r="J23" s="13" t="str">
        <f t="shared" si="4"/>
        <v/>
      </c>
      <c r="K23" s="47"/>
      <c r="L23" s="49"/>
    </row>
    <row r="24" spans="1:19" ht="15.6">
      <c r="A24" s="26" t="str">
        <v>M144</v>
      </c>
      <c r="B24" s="27" t="str">
        <v>NY</v>
      </c>
      <c r="C24" s="27" t="str">
        <f>Sites[[#This Row],[SOL'#]]</f>
        <v>SOL-10385</v>
      </c>
      <c r="D24" s="9"/>
      <c r="E24" s="14"/>
      <c r="F24" s="14" t="str">
        <f t="shared" si="0"/>
        <v/>
      </c>
      <c r="G24" s="15" t="str">
        <f t="shared" si="1"/>
        <v/>
      </c>
      <c r="H24" s="16"/>
      <c r="I24" s="16" t="str">
        <f t="shared" si="2"/>
        <v/>
      </c>
      <c r="J24" s="15" t="str">
        <f t="shared" si="3"/>
        <v/>
      </c>
      <c r="K24" s="186"/>
      <c r="L24" s="187"/>
    </row>
    <row r="25" spans="1:19" ht="15.6">
      <c r="A25" s="24" t="str">
        <v>M167</v>
      </c>
      <c r="B25" s="25" t="str">
        <v>NY</v>
      </c>
      <c r="C25" s="25" t="str">
        <f>Sites[[#This Row],[SOL'#]]</f>
        <v>SOL-10386</v>
      </c>
      <c r="D25" s="20"/>
      <c r="E25" s="10"/>
      <c r="F25" s="10" t="str">
        <f t="shared" si="0"/>
        <v/>
      </c>
      <c r="G25" s="11" t="str">
        <f t="shared" si="1"/>
        <v/>
      </c>
      <c r="H25" s="12"/>
      <c r="I25" s="12" t="str">
        <f t="shared" si="2"/>
        <v/>
      </c>
      <c r="J25" s="13" t="str">
        <f t="shared" si="4"/>
        <v/>
      </c>
      <c r="K25" s="47"/>
      <c r="L25" s="49"/>
    </row>
    <row r="26" spans="1:19" ht="15.6">
      <c r="A26" s="26" t="str">
        <v>M188</v>
      </c>
      <c r="B26" s="27" t="str">
        <v>NY</v>
      </c>
      <c r="C26" s="27" t="str">
        <f>Sites[[#This Row],[SOL'#]]</f>
        <v>SOL-10387</v>
      </c>
      <c r="D26" s="9"/>
      <c r="E26" s="14"/>
      <c r="F26" s="14" t="str">
        <f t="shared" si="0"/>
        <v/>
      </c>
      <c r="G26" s="15" t="str">
        <f t="shared" si="1"/>
        <v/>
      </c>
      <c r="H26" s="16"/>
      <c r="I26" s="16" t="str">
        <f t="shared" si="2"/>
        <v/>
      </c>
      <c r="J26" s="15" t="str">
        <f t="shared" si="3"/>
        <v/>
      </c>
      <c r="K26" s="186"/>
      <c r="L26" s="187"/>
    </row>
    <row r="27" spans="1:19" ht="15.6">
      <c r="A27" s="24" t="str">
        <v>EMHC</v>
      </c>
      <c r="B27" s="25" t="str">
        <v>NY</v>
      </c>
      <c r="C27" s="25" t="str">
        <f>Sites[[#This Row],[SOL'#]]</f>
        <v>SOL-10351</v>
      </c>
      <c r="D27" s="20"/>
      <c r="E27" s="10"/>
      <c r="F27" s="10" t="str">
        <f t="shared" si="0"/>
        <v/>
      </c>
      <c r="G27" s="11" t="str">
        <f t="shared" si="1"/>
        <v/>
      </c>
      <c r="H27" s="12"/>
      <c r="I27" s="12" t="str">
        <f t="shared" si="2"/>
        <v/>
      </c>
      <c r="J27" s="13" t="str">
        <f t="shared" si="4"/>
        <v/>
      </c>
      <c r="K27" s="47"/>
      <c r="L27" s="49"/>
    </row>
    <row r="28" spans="1:19" ht="15.6">
      <c r="A28" s="26" t="str">
        <v>Q008</v>
      </c>
      <c r="B28" s="27" t="str">
        <v>NY</v>
      </c>
      <c r="C28" s="27" t="str">
        <f>Sites[[#This Row],[SOL'#]]</f>
        <v>SOL-10397</v>
      </c>
      <c r="D28" s="9"/>
      <c r="E28" s="14"/>
      <c r="F28" s="14" t="str">
        <f t="shared" si="0"/>
        <v/>
      </c>
      <c r="G28" s="15" t="str">
        <f t="shared" si="1"/>
        <v/>
      </c>
      <c r="H28" s="16"/>
      <c r="I28" s="16" t="str">
        <f t="shared" si="2"/>
        <v/>
      </c>
      <c r="J28" s="15" t="str">
        <f t="shared" si="3"/>
        <v/>
      </c>
      <c r="K28" s="85"/>
      <c r="L28" s="110"/>
      <c r="M28" s="102"/>
    </row>
    <row r="29" spans="1:19" ht="15.6">
      <c r="A29" s="24" t="str">
        <v>Q018</v>
      </c>
      <c r="B29" s="25" t="str">
        <v>NY</v>
      </c>
      <c r="C29" s="25" t="str">
        <f>Sites[[#This Row],[SOL'#]]</f>
        <v>SOL-10398</v>
      </c>
      <c r="D29" s="20"/>
      <c r="E29" s="10"/>
      <c r="F29" s="10" t="str">
        <f t="shared" si="0"/>
        <v/>
      </c>
      <c r="G29" s="11" t="str">
        <f t="shared" si="1"/>
        <v/>
      </c>
      <c r="H29" s="12"/>
      <c r="I29" s="12" t="str">
        <f t="shared" si="2"/>
        <v/>
      </c>
      <c r="J29" s="13" t="str">
        <f t="shared" si="4"/>
        <v/>
      </c>
      <c r="K29" s="47"/>
      <c r="L29" s="49"/>
    </row>
    <row r="30" spans="1:19" ht="15.6">
      <c r="A30" s="26" t="str">
        <v>Q021</v>
      </c>
      <c r="B30" s="27" t="str">
        <v>NY</v>
      </c>
      <c r="C30" s="27" t="str">
        <f>Sites[[#This Row],[SOL'#]]</f>
        <v>SOL-10399</v>
      </c>
      <c r="D30" s="9"/>
      <c r="E30" s="14"/>
      <c r="F30" s="14" t="str">
        <f t="shared" si="0"/>
        <v/>
      </c>
      <c r="G30" s="15" t="str">
        <f t="shared" si="1"/>
        <v/>
      </c>
      <c r="H30" s="16"/>
      <c r="I30" s="16" t="str">
        <f t="shared" si="2"/>
        <v/>
      </c>
      <c r="J30" s="15" t="str">
        <f t="shared" si="3"/>
        <v/>
      </c>
      <c r="K30" s="186"/>
      <c r="L30" s="187"/>
    </row>
    <row r="31" spans="1:19" ht="15.6">
      <c r="A31" s="24" t="str">
        <v>Q025</v>
      </c>
      <c r="B31" s="25" t="str">
        <v>NY</v>
      </c>
      <c r="C31" s="25" t="str">
        <f>Sites[[#This Row],[SOL'#]]</f>
        <v>SOL-10400</v>
      </c>
      <c r="D31" s="20"/>
      <c r="E31" s="10"/>
      <c r="F31" s="10" t="str">
        <f t="shared" si="0"/>
        <v/>
      </c>
      <c r="G31" s="11" t="str">
        <f t="shared" si="1"/>
        <v/>
      </c>
      <c r="H31" s="12"/>
      <c r="I31" s="12" t="str">
        <f t="shared" si="2"/>
        <v/>
      </c>
      <c r="J31" s="13" t="str">
        <f t="shared" si="4"/>
        <v/>
      </c>
      <c r="K31" s="47"/>
      <c r="L31" s="49"/>
    </row>
    <row r="32" spans="1:19" ht="15.6">
      <c r="A32" s="26" t="str">
        <v>Q074</v>
      </c>
      <c r="B32" s="27" t="str">
        <v>NY</v>
      </c>
      <c r="C32" s="27" t="str">
        <f>Sites[[#This Row],[SOL'#]]</f>
        <v>SOL-10402</v>
      </c>
      <c r="D32" s="9"/>
      <c r="E32" s="14"/>
      <c r="F32" s="14" t="str">
        <f t="shared" si="0"/>
        <v/>
      </c>
      <c r="G32" s="15" t="str">
        <f t="shared" si="1"/>
        <v/>
      </c>
      <c r="H32" s="16"/>
      <c r="I32" s="16" t="str">
        <f t="shared" si="2"/>
        <v/>
      </c>
      <c r="J32" s="15" t="str">
        <f t="shared" si="3"/>
        <v/>
      </c>
      <c r="K32" s="186"/>
      <c r="L32" s="186"/>
    </row>
    <row r="33" spans="1:12" ht="15.6">
      <c r="A33" s="24" t="str">
        <v>Q115</v>
      </c>
      <c r="B33" s="25" t="str">
        <v>NY</v>
      </c>
      <c r="C33" s="25" t="str">
        <f>Sites[[#This Row],[SOL'#]]</f>
        <v>SOL-10872</v>
      </c>
      <c r="D33" s="20"/>
      <c r="E33" s="10"/>
      <c r="F33" s="10" t="str">
        <f t="shared" si="0"/>
        <v/>
      </c>
      <c r="G33" s="11" t="str">
        <f t="shared" si="1"/>
        <v/>
      </c>
      <c r="H33" s="12"/>
      <c r="I33" s="12" t="str">
        <f t="shared" si="2"/>
        <v/>
      </c>
      <c r="J33" s="13" t="str">
        <f t="shared" si="4"/>
        <v/>
      </c>
      <c r="K33" s="47"/>
      <c r="L33" s="49"/>
    </row>
    <row r="34" spans="1:12" ht="15.6">
      <c r="A34" s="26" t="str">
        <v>Q139</v>
      </c>
      <c r="B34" s="27" t="str">
        <v>NY</v>
      </c>
      <c r="C34" s="27" t="str">
        <f>Sites[[#This Row],[SOL'#]]</f>
        <v>SOL-10403</v>
      </c>
      <c r="D34" s="9"/>
      <c r="E34" s="14"/>
      <c r="F34" s="14" t="str">
        <f t="shared" si="0"/>
        <v/>
      </c>
      <c r="G34" s="15" t="str">
        <f t="shared" si="1"/>
        <v/>
      </c>
      <c r="H34" s="16"/>
      <c r="I34" s="16" t="str">
        <f t="shared" si="2"/>
        <v/>
      </c>
      <c r="J34" s="15" t="str">
        <f t="shared" si="3"/>
        <v/>
      </c>
      <c r="K34" s="186"/>
      <c r="L34" s="187"/>
    </row>
    <row r="35" spans="1:12" ht="15.6">
      <c r="A35" s="24" t="str">
        <v>Q157</v>
      </c>
      <c r="B35" s="25" t="str">
        <v>NY</v>
      </c>
      <c r="C35" s="25" t="str">
        <f>Sites[[#This Row],[SOL'#]]</f>
        <v>SOL-10404</v>
      </c>
      <c r="D35" s="20"/>
      <c r="E35" s="10"/>
      <c r="F35" s="10" t="str">
        <f t="shared" si="0"/>
        <v/>
      </c>
      <c r="G35" s="11" t="str">
        <f t="shared" si="1"/>
        <v/>
      </c>
      <c r="H35" s="12"/>
      <c r="I35" s="12" t="str">
        <f t="shared" si="2"/>
        <v/>
      </c>
      <c r="J35" s="13" t="str">
        <f t="shared" si="4"/>
        <v/>
      </c>
      <c r="K35" s="47"/>
      <c r="L35" s="49"/>
    </row>
    <row r="36" spans="1:12" ht="15.6">
      <c r="A36" s="26" t="str">
        <v>Q192</v>
      </c>
      <c r="B36" s="27" t="str">
        <v>NY</v>
      </c>
      <c r="C36" s="27" t="str">
        <f>Sites[[#This Row],[SOL'#]]</f>
        <v>SOL-10406</v>
      </c>
      <c r="D36" s="9"/>
      <c r="E36" s="14"/>
      <c r="F36" s="14" t="str">
        <f t="shared" si="0"/>
        <v/>
      </c>
      <c r="G36" s="15" t="str">
        <f t="shared" si="1"/>
        <v/>
      </c>
      <c r="H36" s="16"/>
      <c r="I36" s="16" t="str">
        <f t="shared" si="2"/>
        <v/>
      </c>
      <c r="J36" s="15" t="str">
        <f t="shared" si="3"/>
        <v/>
      </c>
      <c r="K36" s="186"/>
      <c r="L36" s="187"/>
    </row>
    <row r="37" spans="1:12" ht="15.6">
      <c r="A37" s="24" t="str">
        <v>Q210</v>
      </c>
      <c r="B37" s="25" t="str">
        <v>NY</v>
      </c>
      <c r="C37" s="25" t="str">
        <f>Sites[[#This Row],[SOL'#]]</f>
        <v>SOL-10407</v>
      </c>
      <c r="D37" s="20"/>
      <c r="E37" s="10"/>
      <c r="F37" s="10" t="str">
        <f t="shared" si="0"/>
        <v/>
      </c>
      <c r="G37" s="11" t="str">
        <f t="shared" si="1"/>
        <v/>
      </c>
      <c r="H37" s="12"/>
      <c r="I37" s="12" t="str">
        <f t="shared" si="2"/>
        <v/>
      </c>
      <c r="J37" s="13" t="str">
        <f t="shared" si="4"/>
        <v/>
      </c>
      <c r="K37" s="47"/>
      <c r="L37" s="49"/>
    </row>
    <row r="38" spans="1:12" ht="15.6">
      <c r="A38" s="26" t="str">
        <v>Q229</v>
      </c>
      <c r="B38" s="27" t="str">
        <v>NY</v>
      </c>
      <c r="C38" s="27" t="str">
        <f>Sites[[#This Row],[SOL'#]]</f>
        <v>SOL-10408</v>
      </c>
      <c r="D38" s="9"/>
      <c r="E38" s="14"/>
      <c r="F38" s="14" t="str">
        <f t="shared" si="0"/>
        <v/>
      </c>
      <c r="G38" s="15" t="str">
        <f t="shared" si="1"/>
        <v/>
      </c>
      <c r="H38" s="16"/>
      <c r="I38" s="16" t="str">
        <f t="shared" si="2"/>
        <v/>
      </c>
      <c r="J38" s="15" t="str">
        <f t="shared" si="3"/>
        <v/>
      </c>
      <c r="K38" s="38"/>
      <c r="L38" s="187"/>
    </row>
    <row r="39" spans="1:12" ht="15.6">
      <c r="A39" s="24" t="str">
        <v>Q231</v>
      </c>
      <c r="B39" s="25" t="str">
        <v>NY</v>
      </c>
      <c r="C39" s="25" t="str">
        <f>Sites[[#This Row],[SOL'#]]</f>
        <v>SOL-10870</v>
      </c>
      <c r="D39" s="20"/>
      <c r="E39" s="10"/>
      <c r="F39" s="10" t="str">
        <f t="shared" si="0"/>
        <v/>
      </c>
      <c r="G39" s="11" t="str">
        <f t="shared" si="1"/>
        <v/>
      </c>
      <c r="H39" s="12"/>
      <c r="I39" s="12" t="str">
        <f t="shared" si="2"/>
        <v/>
      </c>
      <c r="J39" s="13" t="str">
        <f t="shared" si="4"/>
        <v/>
      </c>
      <c r="K39" s="47"/>
      <c r="L39" s="49"/>
    </row>
    <row r="40" spans="1:12" ht="15.6">
      <c r="A40" s="26" t="str">
        <v>Q405</v>
      </c>
      <c r="B40" s="27" t="str">
        <v>NY</v>
      </c>
      <c r="C40" s="27" t="str">
        <f>Sites[[#This Row],[SOL'#]]</f>
        <v>SOL-10409</v>
      </c>
      <c r="D40" s="9"/>
      <c r="E40" s="14"/>
      <c r="F40" s="14" t="str">
        <f t="shared" si="0"/>
        <v/>
      </c>
      <c r="G40" s="15" t="str">
        <f t="shared" si="1"/>
        <v/>
      </c>
      <c r="H40" s="16"/>
      <c r="I40" s="16" t="str">
        <f t="shared" si="2"/>
        <v/>
      </c>
      <c r="J40" s="15" t="str">
        <f t="shared" si="3"/>
        <v/>
      </c>
      <c r="K40" s="186"/>
      <c r="L40" s="187"/>
    </row>
    <row r="41" spans="1:12" ht="15.6">
      <c r="A41" s="24" t="str">
        <v>Q435</v>
      </c>
      <c r="B41" s="25" t="str">
        <v>NY</v>
      </c>
      <c r="C41" s="25" t="str">
        <f>Sites[[#This Row],[SOL'#]]</f>
        <v>SOL-10923</v>
      </c>
      <c r="D41" s="20"/>
      <c r="E41" s="10"/>
      <c r="F41" s="10" t="str">
        <f t="shared" si="0"/>
        <v/>
      </c>
      <c r="G41" s="11" t="str">
        <f t="shared" si="1"/>
        <v/>
      </c>
      <c r="H41" s="12"/>
      <c r="I41" s="12" t="str">
        <f t="shared" si="2"/>
        <v/>
      </c>
      <c r="J41" s="13" t="str">
        <f t="shared" si="4"/>
        <v/>
      </c>
      <c r="K41" s="47"/>
      <c r="L41" s="49"/>
    </row>
    <row r="42" spans="1:12" ht="15.6">
      <c r="A42" s="26" t="str">
        <v>Q485</v>
      </c>
      <c r="B42" s="27" t="str">
        <v>NY</v>
      </c>
      <c r="C42" s="27" t="str">
        <f>Sites[[#This Row],[SOL'#]]</f>
        <v>SOL-10869</v>
      </c>
      <c r="D42" s="9"/>
      <c r="E42" s="14"/>
      <c r="F42" s="14" t="str">
        <f t="shared" si="0"/>
        <v/>
      </c>
      <c r="G42" s="15" t="str">
        <f t="shared" si="1"/>
        <v/>
      </c>
      <c r="H42" s="16"/>
      <c r="I42" s="16" t="str">
        <f t="shared" si="2"/>
        <v/>
      </c>
      <c r="J42" s="15" t="str">
        <f t="shared" si="3"/>
        <v/>
      </c>
      <c r="K42" s="186"/>
      <c r="L42" s="99"/>
    </row>
    <row r="43" spans="1:12" ht="15.6">
      <c r="A43" s="24" t="str">
        <v>Q490</v>
      </c>
      <c r="B43" s="25" t="str">
        <v>NY</v>
      </c>
      <c r="C43" s="25" t="str">
        <f>Sites[[#This Row],[SOL'#]]</f>
        <v>SOL-10411</v>
      </c>
      <c r="D43" s="20"/>
      <c r="E43" s="10"/>
      <c r="F43" s="10" t="str">
        <f t="shared" si="0"/>
        <v/>
      </c>
      <c r="G43" s="11" t="str">
        <f t="shared" si="1"/>
        <v/>
      </c>
      <c r="H43" s="12"/>
      <c r="I43" s="12" t="str">
        <f t="shared" si="2"/>
        <v/>
      </c>
      <c r="J43" s="13" t="str">
        <f t="shared" si="4"/>
        <v/>
      </c>
      <c r="K43" s="47"/>
      <c r="L43" s="109"/>
    </row>
    <row r="44" spans="1:12" ht="15.6">
      <c r="A44" s="26" t="str">
        <v>Q620</v>
      </c>
      <c r="B44" s="27" t="str">
        <v>NY</v>
      </c>
      <c r="C44" s="27" t="str">
        <f>Sites[[#This Row],[SOL'#]]</f>
        <v>SOL-10867</v>
      </c>
      <c r="D44" s="9"/>
      <c r="E44" s="14"/>
      <c r="F44" s="14" t="str">
        <f t="shared" si="0"/>
        <v/>
      </c>
      <c r="G44" s="15" t="str">
        <f t="shared" si="1"/>
        <v/>
      </c>
      <c r="H44" s="16"/>
      <c r="I44" s="16" t="str">
        <f t="shared" si="2"/>
        <v/>
      </c>
      <c r="J44" s="15" t="str">
        <f t="shared" si="3"/>
        <v/>
      </c>
      <c r="K44" s="186"/>
      <c r="L44" s="187"/>
    </row>
    <row r="45" spans="1:12" ht="15.6">
      <c r="A45" s="24" t="str">
        <v>QMOA</v>
      </c>
      <c r="B45" s="25" t="str">
        <v>NY</v>
      </c>
      <c r="C45" s="25" t="str">
        <f>Sites[[#This Row],[SOL'#]]</f>
        <v>SOL-10415</v>
      </c>
      <c r="D45" s="20"/>
      <c r="E45" s="10"/>
      <c r="F45" s="10" t="str">
        <f t="shared" si="0"/>
        <v/>
      </c>
      <c r="G45" s="11" t="str">
        <f t="shared" si="1"/>
        <v/>
      </c>
      <c r="H45" s="12"/>
      <c r="I45" s="12" t="str">
        <f t="shared" si="2"/>
        <v/>
      </c>
      <c r="J45" s="13" t="str">
        <f t="shared" si="4"/>
        <v/>
      </c>
      <c r="K45" s="47"/>
      <c r="L45" s="49"/>
    </row>
    <row r="46" spans="1:12" ht="15.6">
      <c r="A46" s="26" t="str">
        <v>X024</v>
      </c>
      <c r="B46" s="27" t="str">
        <v>NY</v>
      </c>
      <c r="C46" s="27" t="str">
        <f>Sites[[#This Row],[SOL'#]]</f>
        <v>SOL-10419</v>
      </c>
      <c r="D46" s="9"/>
      <c r="E46" s="14"/>
      <c r="F46" s="14" t="str">
        <f t="shared" si="0"/>
        <v/>
      </c>
      <c r="G46" s="15" t="str">
        <f t="shared" si="1"/>
        <v/>
      </c>
      <c r="H46" s="16"/>
      <c r="I46" s="16" t="str">
        <f t="shared" si="2"/>
        <v/>
      </c>
      <c r="J46" s="15" t="str">
        <f t="shared" si="3"/>
        <v/>
      </c>
      <c r="K46" s="186"/>
      <c r="L46" s="112"/>
    </row>
    <row r="47" spans="1:12" ht="15.6">
      <c r="A47" s="24" t="str">
        <v>X026</v>
      </c>
      <c r="B47" s="25" t="str">
        <v>NY</v>
      </c>
      <c r="C47" s="25" t="str">
        <f>Sites[[#This Row],[SOL'#]]</f>
        <v>SOL-10420</v>
      </c>
      <c r="D47" s="20"/>
      <c r="E47" s="10"/>
      <c r="F47" s="10" t="str">
        <f t="shared" si="0"/>
        <v/>
      </c>
      <c r="G47" s="11" t="str">
        <f t="shared" si="1"/>
        <v/>
      </c>
      <c r="H47" s="12"/>
      <c r="I47" s="12" t="str">
        <f t="shared" si="2"/>
        <v/>
      </c>
      <c r="J47" s="13" t="str">
        <f t="shared" si="4"/>
        <v/>
      </c>
      <c r="K47" s="47"/>
      <c r="L47" s="109"/>
    </row>
    <row r="48" spans="1:12" ht="15.6">
      <c r="A48" s="26" t="str">
        <v>X090</v>
      </c>
      <c r="B48" s="27" t="str">
        <v>NY</v>
      </c>
      <c r="C48" s="27" t="str">
        <f>Sites[[#This Row],[SOL'#]]</f>
        <v>SOL-10925</v>
      </c>
      <c r="D48" s="9"/>
      <c r="E48" s="14"/>
      <c r="F48" s="14" t="str">
        <f t="shared" si="0"/>
        <v/>
      </c>
      <c r="G48" s="15" t="str">
        <f t="shared" si="1"/>
        <v/>
      </c>
      <c r="H48" s="16"/>
      <c r="I48" s="16" t="str">
        <f t="shared" si="2"/>
        <v/>
      </c>
      <c r="J48" s="15" t="str">
        <f t="shared" si="3"/>
        <v/>
      </c>
      <c r="K48" s="186"/>
      <c r="L48" s="187"/>
    </row>
    <row r="49" spans="1:16" ht="15.6">
      <c r="A49" s="24" t="str">
        <v>X117</v>
      </c>
      <c r="B49" s="25" t="str">
        <v>NY</v>
      </c>
      <c r="C49" s="25" t="str">
        <f>Sites[[#This Row],[SOL'#]]</f>
        <v>SOL-10422</v>
      </c>
      <c r="D49" s="20"/>
      <c r="E49" s="10"/>
      <c r="F49" s="10" t="str">
        <f t="shared" si="0"/>
        <v/>
      </c>
      <c r="G49" s="11" t="str">
        <f t="shared" si="1"/>
        <v/>
      </c>
      <c r="H49" s="12"/>
      <c r="I49" s="12" t="str">
        <f t="shared" si="2"/>
        <v/>
      </c>
      <c r="J49" s="13" t="str">
        <f t="shared" si="4"/>
        <v/>
      </c>
      <c r="K49" s="47"/>
      <c r="L49" s="109"/>
    </row>
    <row r="50" spans="1:16" ht="15.6">
      <c r="A50" s="26" t="str">
        <v>X125</v>
      </c>
      <c r="B50" s="27" t="str">
        <v>NY</v>
      </c>
      <c r="C50" s="27" t="str">
        <f>Sites[[#This Row],[SOL'#]]</f>
        <v>SOL-10423</v>
      </c>
      <c r="D50" s="9"/>
      <c r="E50" s="14"/>
      <c r="F50" s="14" t="str">
        <f t="shared" si="0"/>
        <v/>
      </c>
      <c r="G50" s="15" t="str">
        <f t="shared" si="1"/>
        <v/>
      </c>
      <c r="H50" s="16"/>
      <c r="I50" s="16" t="str">
        <f t="shared" si="2"/>
        <v/>
      </c>
      <c r="J50" s="15" t="str">
        <f t="shared" si="3"/>
        <v/>
      </c>
      <c r="K50" s="186"/>
      <c r="L50" s="187"/>
    </row>
    <row r="51" spans="1:16" ht="15.6">
      <c r="A51" s="24" t="str">
        <v>X134</v>
      </c>
      <c r="B51" s="25" t="str">
        <v>NY</v>
      </c>
      <c r="C51" s="25" t="str">
        <f>Sites[[#This Row],[SOL'#]]</f>
        <v>SOL-10424</v>
      </c>
      <c r="D51" s="20"/>
      <c r="E51" s="10"/>
      <c r="F51" s="10" t="str">
        <f t="shared" si="0"/>
        <v/>
      </c>
      <c r="G51" s="11" t="str">
        <f t="shared" si="1"/>
        <v/>
      </c>
      <c r="H51" s="12"/>
      <c r="I51" s="12" t="str">
        <f t="shared" si="2"/>
        <v/>
      </c>
      <c r="J51" s="13" t="str">
        <f t="shared" si="4"/>
        <v/>
      </c>
      <c r="K51" s="47"/>
      <c r="L51" s="49"/>
    </row>
    <row r="52" spans="1:16" ht="15.6">
      <c r="A52" s="26" t="str">
        <v>X135</v>
      </c>
      <c r="B52" s="27" t="str">
        <v>NY</v>
      </c>
      <c r="C52" s="27" t="str">
        <f>Sites[[#This Row],[SOL'#]]</f>
        <v>SOL-10425</v>
      </c>
      <c r="D52" s="9"/>
      <c r="E52" s="14"/>
      <c r="F52" s="14" t="str">
        <f t="shared" si="0"/>
        <v/>
      </c>
      <c r="G52" s="15" t="str">
        <f t="shared" si="1"/>
        <v/>
      </c>
      <c r="H52" s="16"/>
      <c r="I52" s="16" t="str">
        <f t="shared" si="2"/>
        <v/>
      </c>
      <c r="J52" s="15" t="str">
        <f t="shared" si="4"/>
        <v/>
      </c>
      <c r="K52" s="186"/>
      <c r="L52" s="187"/>
    </row>
    <row r="53" spans="1:16" ht="15.6">
      <c r="A53" s="24" t="str">
        <v>X139 JHS 222</v>
      </c>
      <c r="B53" s="25" t="str">
        <v>NY</v>
      </c>
      <c r="C53" s="25" t="str">
        <f>Sites[[#This Row],[SOL'#]]</f>
        <v>SOL-10426</v>
      </c>
      <c r="D53" s="20"/>
      <c r="E53" s="10"/>
      <c r="F53" s="10" t="str">
        <f t="shared" si="0"/>
        <v/>
      </c>
      <c r="G53" s="11" t="str">
        <f t="shared" si="1"/>
        <v/>
      </c>
      <c r="H53" s="12"/>
      <c r="I53" s="12" t="str">
        <f t="shared" si="2"/>
        <v/>
      </c>
      <c r="J53" s="13" t="str">
        <f t="shared" si="4"/>
        <v/>
      </c>
      <c r="K53" s="47"/>
      <c r="L53" s="49"/>
    </row>
    <row r="54" spans="1:16" ht="15.6">
      <c r="A54" s="26" t="str">
        <v>X140</v>
      </c>
      <c r="B54" s="27" t="str">
        <v>NY</v>
      </c>
      <c r="C54" s="27" t="str">
        <f>Sites[[#This Row],[SOL'#]]</f>
        <v>SOL-10926</v>
      </c>
      <c r="D54" s="9"/>
      <c r="E54" s="14"/>
      <c r="F54" s="14" t="str">
        <f t="shared" si="0"/>
        <v/>
      </c>
      <c r="G54" s="15" t="str">
        <f t="shared" si="1"/>
        <v/>
      </c>
      <c r="H54" s="16"/>
      <c r="I54" s="16" t="str">
        <f t="shared" si="2"/>
        <v/>
      </c>
      <c r="J54" s="15" t="str">
        <f t="shared" si="4"/>
        <v/>
      </c>
      <c r="K54" s="186"/>
      <c r="L54" s="186"/>
    </row>
    <row r="55" spans="1:16" ht="15.6">
      <c r="A55" s="24" t="str">
        <v>X166</v>
      </c>
      <c r="B55" s="25" t="str">
        <v>NY</v>
      </c>
      <c r="C55" s="25" t="str">
        <f>Sites[[#This Row],[SOL'#]]</f>
        <v>SOL-10427</v>
      </c>
      <c r="D55" s="20"/>
      <c r="E55" s="10"/>
      <c r="F55" s="10" t="str">
        <f t="shared" si="0"/>
        <v/>
      </c>
      <c r="G55" s="11" t="str">
        <f t="shared" si="1"/>
        <v/>
      </c>
      <c r="H55" s="12"/>
      <c r="I55" s="12" t="str">
        <f t="shared" si="2"/>
        <v/>
      </c>
      <c r="J55" s="13" t="str">
        <f t="shared" si="4"/>
        <v/>
      </c>
      <c r="K55" s="47"/>
      <c r="L55" s="49"/>
    </row>
    <row r="56" spans="1:16" ht="15.6">
      <c r="A56" s="26" t="str">
        <v>Murphy</v>
      </c>
      <c r="B56" s="27" t="str">
        <v>MN</v>
      </c>
      <c r="C56" s="27" t="str">
        <f>Sites[[#This Row],[SOL'#]]</f>
        <v>SOL-10094</v>
      </c>
      <c r="D56" s="9"/>
      <c r="E56" s="14"/>
      <c r="F56" s="14" t="str">
        <f t="shared" si="0"/>
        <v/>
      </c>
      <c r="G56" s="15" t="str">
        <f t="shared" si="1"/>
        <v/>
      </c>
      <c r="H56" s="16"/>
      <c r="I56" s="16" t="str">
        <f t="shared" si="2"/>
        <v/>
      </c>
      <c r="J56" s="15" t="str">
        <f t="shared" si="4"/>
        <v/>
      </c>
      <c r="K56" s="38"/>
      <c r="L56" s="186"/>
    </row>
    <row r="57" spans="1:16" ht="15.6">
      <c r="A57" s="24" t="str">
        <v>Terning</v>
      </c>
      <c r="B57" s="25" t="str">
        <v>MN</v>
      </c>
      <c r="C57" s="25" t="str">
        <f>Sites[[#This Row],[SOL'#]]</f>
        <v>SOL-10093</v>
      </c>
      <c r="D57" s="20"/>
      <c r="E57" s="10"/>
      <c r="F57" s="10" t="str">
        <f t="shared" si="0"/>
        <v/>
      </c>
      <c r="G57" s="11" t="str">
        <f t="shared" si="1"/>
        <v/>
      </c>
      <c r="H57" s="12"/>
      <c r="I57" s="12" t="str">
        <f t="shared" si="2"/>
        <v/>
      </c>
      <c r="J57" s="13" t="str">
        <f t="shared" si="4"/>
        <v/>
      </c>
      <c r="K57" s="47"/>
      <c r="L57" s="49"/>
    </row>
    <row r="58" spans="1:16" ht="40.5" customHeight="1">
      <c r="A58" s="26" t="str">
        <v>Boas Road 04</v>
      </c>
      <c r="B58" s="27" t="str">
        <v>NY</v>
      </c>
      <c r="C58" s="27" t="str">
        <f>Sites[[#This Row],[SOL'#]]</f>
        <v>SOL-10908</v>
      </c>
      <c r="D58" s="9"/>
      <c r="E58" s="14"/>
      <c r="F58" s="14" t="str">
        <f t="shared" si="0"/>
        <v/>
      </c>
      <c r="G58" s="15" t="str">
        <f t="shared" si="1"/>
        <v/>
      </c>
      <c r="H58" s="16"/>
      <c r="I58" s="16" t="str">
        <f t="shared" si="2"/>
        <v/>
      </c>
      <c r="J58" s="15" t="str">
        <f t="shared" si="4"/>
        <v/>
      </c>
      <c r="K58" s="186"/>
      <c r="L58" s="99"/>
    </row>
    <row r="59" spans="1:16" ht="71.25" customHeight="1">
      <c r="A59" s="24" t="str">
        <v>Kelly Bridge Farm</v>
      </c>
      <c r="B59" s="25" t="str">
        <v>NY</v>
      </c>
      <c r="C59" s="25" t="str">
        <f>Sites[[#This Row],[SOL'#]]</f>
        <v>SOL-10911</v>
      </c>
      <c r="D59" s="20"/>
      <c r="E59" s="10"/>
      <c r="F59" s="10" t="str">
        <f t="shared" si="0"/>
        <v/>
      </c>
      <c r="G59" s="11" t="str">
        <f t="shared" si="1"/>
        <v/>
      </c>
      <c r="H59" s="12"/>
      <c r="I59" s="12" t="str">
        <f t="shared" si="2"/>
        <v/>
      </c>
      <c r="J59" s="13" t="str">
        <f t="shared" si="4"/>
        <v/>
      </c>
      <c r="K59" s="47"/>
      <c r="L59" s="109"/>
      <c r="M59" s="102"/>
    </row>
    <row r="60" spans="1:16" ht="15.6">
      <c r="A60" s="26" t="str">
        <v>Pool Brook Road</v>
      </c>
      <c r="B60" s="27" t="str">
        <v>NY</v>
      </c>
      <c r="C60" s="27" t="str">
        <f>Sites[[#This Row],[SOL'#]]</f>
        <v>SOL-10909</v>
      </c>
      <c r="D60" s="9"/>
      <c r="E60" s="14"/>
      <c r="F60" s="14" t="str">
        <f t="shared" si="0"/>
        <v/>
      </c>
      <c r="G60" s="15" t="str">
        <f t="shared" si="1"/>
        <v/>
      </c>
      <c r="H60" s="16"/>
      <c r="I60" s="16" t="str">
        <f t="shared" si="2"/>
        <v/>
      </c>
      <c r="J60" s="15" t="str">
        <f t="shared" si="4"/>
        <v/>
      </c>
      <c r="K60" s="186"/>
      <c r="L60" s="112"/>
    </row>
    <row r="61" spans="1:16" ht="124.5" customHeight="1">
      <c r="A61" s="24" t="str">
        <v>Sackett Lake</v>
      </c>
      <c r="B61" s="25" t="str">
        <v>NY</v>
      </c>
      <c r="C61" s="25" t="str">
        <f>Sites[[#This Row],[SOL'#]]</f>
        <v>SOL-10910</v>
      </c>
      <c r="D61" s="20"/>
      <c r="E61" s="10"/>
      <c r="F61" s="10" t="str">
        <f t="shared" si="0"/>
        <v/>
      </c>
      <c r="G61" s="11" t="str">
        <f t="shared" si="1"/>
        <v/>
      </c>
      <c r="H61" s="12"/>
      <c r="I61" s="12" t="str">
        <f t="shared" si="2"/>
        <v/>
      </c>
      <c r="J61" s="13" t="str">
        <f t="shared" si="4"/>
        <v/>
      </c>
      <c r="K61" s="47"/>
      <c r="L61" s="109"/>
    </row>
    <row r="62" spans="1:16" ht="48" customHeight="1">
      <c r="A62" s="26" t="str">
        <v>Burritt Road</v>
      </c>
      <c r="B62" s="27" t="str">
        <v>NY</v>
      </c>
      <c r="C62" s="27" t="str">
        <f>Sites[[#This Row],[SOL'#]]</f>
        <v>SOL-10913</v>
      </c>
      <c r="D62" s="9"/>
      <c r="E62" s="14"/>
      <c r="F62" s="14" t="str">
        <f t="shared" si="0"/>
        <v/>
      </c>
      <c r="G62" s="15" t="str">
        <f t="shared" si="1"/>
        <v/>
      </c>
      <c r="H62" s="16"/>
      <c r="I62" s="16" t="str">
        <f t="shared" si="2"/>
        <v/>
      </c>
      <c r="J62" s="15" t="str">
        <f t="shared" si="4"/>
        <v/>
      </c>
      <c r="K62" s="50"/>
      <c r="L62" s="99"/>
    </row>
    <row r="63" spans="1:16" ht="205.5" customHeight="1">
      <c r="A63" s="24" t="str">
        <v>Villa Roma 1</v>
      </c>
      <c r="B63" s="25" t="str">
        <v>NY</v>
      </c>
      <c r="C63" s="25" t="str">
        <f>Sites[[#This Row],[SOL'#]]</f>
        <v>SOL-10914</v>
      </c>
      <c r="D63" s="20"/>
      <c r="E63" s="10"/>
      <c r="F63" s="10" t="str">
        <f t="shared" si="0"/>
        <v/>
      </c>
      <c r="G63" s="11" t="str">
        <f t="shared" si="1"/>
        <v/>
      </c>
      <c r="H63" s="12"/>
      <c r="I63" s="12" t="str">
        <f t="shared" si="2"/>
        <v/>
      </c>
      <c r="J63" s="13" t="str">
        <f t="shared" si="4"/>
        <v/>
      </c>
      <c r="K63" s="47"/>
      <c r="L63" s="109"/>
      <c r="M63" s="102"/>
      <c r="N63" s="102"/>
      <c r="O63" s="102"/>
      <c r="P63" s="111"/>
    </row>
    <row r="64" spans="1:16" ht="33" customHeight="1">
      <c r="A64" s="26" t="str">
        <v>Villa Roma 2</v>
      </c>
      <c r="B64" s="27" t="str">
        <v>NY</v>
      </c>
      <c r="C64" s="27" t="str">
        <f>Sites[[#This Row],[SOL'#]]</f>
        <v>SOL-10915</v>
      </c>
      <c r="D64" s="9"/>
      <c r="E64" s="14"/>
      <c r="F64" s="14" t="str">
        <f t="shared" si="0"/>
        <v/>
      </c>
      <c r="G64" s="15" t="str">
        <f t="shared" si="1"/>
        <v/>
      </c>
      <c r="H64" s="16"/>
      <c r="I64" s="16" t="str">
        <f t="shared" si="2"/>
        <v/>
      </c>
      <c r="J64" s="15" t="str">
        <f t="shared" si="4"/>
        <v/>
      </c>
      <c r="K64" s="186"/>
      <c r="L64" s="187"/>
    </row>
    <row r="65" spans="1:17" ht="98.25" customHeight="1">
      <c r="A65" s="24" t="str">
        <v>Washington 1</v>
      </c>
      <c r="B65" s="25" t="str">
        <v>NY</v>
      </c>
      <c r="C65" s="25" t="str">
        <f>Sites[[#This Row],[SOL'#]]</f>
        <v>SOL-10912</v>
      </c>
      <c r="D65" s="20"/>
      <c r="E65" s="10"/>
      <c r="F65" s="10" t="str">
        <f t="shared" ref="F65:F103" si="5">IF(AND(ISNUMBER(D65),ISNUMBER(E65)), D65-E65, "")</f>
        <v/>
      </c>
      <c r="G65" s="11" t="str">
        <f t="shared" ref="G65:G103" si="6">IFERROR(F65/E65, "")</f>
        <v/>
      </c>
      <c r="H65" s="12"/>
      <c r="I65" s="12" t="str">
        <f t="shared" ref="I65:I95" si="7">IF(AND(ISNUMBER(D65),ISNUMBER(H65)), D65-H65, "")</f>
        <v/>
      </c>
      <c r="J65" s="13" t="str">
        <f t="shared" ref="J65:J103" si="8">IFERROR(I65/H65, "")</f>
        <v/>
      </c>
      <c r="K65" s="47"/>
      <c r="L65" s="109"/>
      <c r="M65" s="102"/>
    </row>
    <row r="66" spans="1:17" ht="125.25" customHeight="1">
      <c r="A66" s="26" t="str">
        <v>Washington 3</v>
      </c>
      <c r="B66" s="27" t="str">
        <v>NY</v>
      </c>
      <c r="C66" s="27" t="str">
        <f>Sites[[#This Row],[SOL'#]]</f>
        <v>SOL-10828</v>
      </c>
      <c r="D66" s="9"/>
      <c r="E66" s="14"/>
      <c r="F66" s="14" t="str">
        <f t="shared" si="5"/>
        <v/>
      </c>
      <c r="G66" s="15" t="str">
        <f t="shared" si="6"/>
        <v/>
      </c>
      <c r="H66" s="16"/>
      <c r="I66" s="16" t="str">
        <f t="shared" si="7"/>
        <v/>
      </c>
      <c r="J66" s="15" t="str">
        <f t="shared" si="8"/>
        <v/>
      </c>
      <c r="K66" s="186"/>
      <c r="L66" s="99"/>
      <c r="M66" s="102"/>
      <c r="N66" s="102"/>
    </row>
    <row r="67" spans="1:17" ht="195.75" customHeight="1">
      <c r="A67" s="24" t="str">
        <v>Washington 4</v>
      </c>
      <c r="B67" s="25" t="str">
        <v>NY</v>
      </c>
      <c r="C67" s="25" t="str">
        <f>Sites[[#This Row],[SOL'#]]</f>
        <v>SOL-10829</v>
      </c>
      <c r="D67" s="20"/>
      <c r="E67" s="10"/>
      <c r="F67" s="10" t="str">
        <f t="shared" si="5"/>
        <v/>
      </c>
      <c r="G67" s="11" t="str">
        <f t="shared" si="6"/>
        <v/>
      </c>
      <c r="H67" s="12"/>
      <c r="I67" s="12" t="str">
        <f t="shared" si="7"/>
        <v/>
      </c>
      <c r="J67" s="13" t="str">
        <f t="shared" si="8"/>
        <v/>
      </c>
      <c r="K67" s="47"/>
      <c r="L67" s="109"/>
      <c r="M67" s="102"/>
      <c r="N67" s="102"/>
      <c r="O67" s="102"/>
      <c r="P67" s="114"/>
      <c r="Q67" s="111"/>
    </row>
    <row r="68" spans="1:17" ht="15.6">
      <c r="A68" s="26" t="str">
        <v>Big Tree</v>
      </c>
      <c r="B68" s="27" t="str">
        <v>NY</v>
      </c>
      <c r="C68" s="27" t="str">
        <f>Sites[[#This Row],[SOL'#]]</f>
        <v>SOL-10966</v>
      </c>
      <c r="D68" s="9"/>
      <c r="E68" s="14"/>
      <c r="F68" s="14" t="str">
        <f t="shared" si="5"/>
        <v/>
      </c>
      <c r="G68" s="15" t="str">
        <f t="shared" si="6"/>
        <v/>
      </c>
      <c r="H68" s="16"/>
      <c r="I68" s="16" t="str">
        <f t="shared" si="7"/>
        <v/>
      </c>
      <c r="J68" s="15" t="str">
        <f t="shared" si="8"/>
        <v/>
      </c>
      <c r="K68" s="186"/>
      <c r="L68" s="186"/>
    </row>
    <row r="69" spans="1:17" ht="15.6">
      <c r="A69" s="24" t="str">
        <v>Canoga</v>
      </c>
      <c r="B69" s="25" t="str">
        <v>NY</v>
      </c>
      <c r="C69" s="25" t="str">
        <f>Sites[[#This Row],[SOL'#]]</f>
        <v>SOL-10965</v>
      </c>
      <c r="D69" s="20"/>
      <c r="E69" s="10"/>
      <c r="F69" s="10" t="str">
        <f t="shared" si="5"/>
        <v/>
      </c>
      <c r="G69" s="11" t="str">
        <f t="shared" si="6"/>
        <v/>
      </c>
      <c r="H69" s="12"/>
      <c r="I69" s="12" t="str">
        <f t="shared" si="7"/>
        <v/>
      </c>
      <c r="J69" s="13" t="str">
        <f t="shared" si="8"/>
        <v/>
      </c>
      <c r="K69" s="47"/>
      <c r="L69" s="98"/>
      <c r="M69" s="102"/>
      <c r="N69" s="102"/>
    </row>
    <row r="70" spans="1:17" ht="41.25" customHeight="1">
      <c r="A70" s="26" t="str">
        <v>County Route 84</v>
      </c>
      <c r="B70" s="27" t="str">
        <v>NY</v>
      </c>
      <c r="C70" s="27" t="str">
        <f>Sites[[#This Row],[SOL'#]]</f>
        <v>SOL-10967</v>
      </c>
      <c r="D70" s="9"/>
      <c r="E70" s="14"/>
      <c r="F70" s="14" t="str">
        <f t="shared" si="5"/>
        <v/>
      </c>
      <c r="G70" s="15" t="str">
        <f t="shared" si="6"/>
        <v/>
      </c>
      <c r="H70" s="16"/>
      <c r="I70" s="16" t="str">
        <f t="shared" si="7"/>
        <v/>
      </c>
      <c r="J70" s="15" t="str">
        <f t="shared" si="8"/>
        <v/>
      </c>
      <c r="K70" s="186"/>
      <c r="L70" s="99"/>
    </row>
    <row r="71" spans="1:17" ht="93" customHeight="1">
      <c r="A71" s="24" t="str">
        <v>Donati</v>
      </c>
      <c r="B71" s="25" t="str">
        <v>NY</v>
      </c>
      <c r="C71" s="25" t="str">
        <f>Sites[[#This Row],[SOL'#]]</f>
        <v>SOL-10968</v>
      </c>
      <c r="D71" s="20"/>
      <c r="E71" s="10"/>
      <c r="F71" s="10" t="str">
        <f t="shared" si="5"/>
        <v/>
      </c>
      <c r="G71" s="11" t="str">
        <f t="shared" si="6"/>
        <v/>
      </c>
      <c r="H71" s="12"/>
      <c r="I71" s="12" t="str">
        <f t="shared" si="7"/>
        <v/>
      </c>
      <c r="J71" s="13" t="str">
        <f t="shared" si="8"/>
        <v/>
      </c>
      <c r="K71" s="47"/>
      <c r="L71" s="98"/>
      <c r="M71" s="102"/>
      <c r="N71" s="102"/>
    </row>
    <row r="72" spans="1:17" ht="51.75" customHeight="1">
      <c r="A72" s="26" t="str">
        <v>Henrietta</v>
      </c>
      <c r="B72" s="27" t="str">
        <v>NY</v>
      </c>
      <c r="C72" s="27" t="str">
        <f>Sites[[#This Row],[SOL'#]]</f>
        <v>SOL-10972</v>
      </c>
      <c r="D72" s="9"/>
      <c r="E72" s="14"/>
      <c r="F72" s="14" t="str">
        <f t="shared" si="5"/>
        <v/>
      </c>
      <c r="G72" s="15" t="str">
        <f t="shared" si="6"/>
        <v/>
      </c>
      <c r="H72" s="16"/>
      <c r="I72" s="16" t="str">
        <f t="shared" si="7"/>
        <v/>
      </c>
      <c r="J72" s="15" t="str">
        <f t="shared" si="8"/>
        <v/>
      </c>
      <c r="K72" s="186"/>
      <c r="L72" s="99"/>
    </row>
    <row r="73" spans="1:17" ht="111" customHeight="1">
      <c r="A73" s="24" t="str">
        <v>NY 70</v>
      </c>
      <c r="B73" s="25" t="str">
        <v>NY</v>
      </c>
      <c r="C73" s="25" t="str">
        <f>Sites[[#This Row],[SOL'#]]</f>
        <v>SOL-10970</v>
      </c>
      <c r="D73" s="20"/>
      <c r="E73" s="10"/>
      <c r="F73" s="10" t="str">
        <f t="shared" si="5"/>
        <v/>
      </c>
      <c r="G73" s="11" t="str">
        <f t="shared" si="6"/>
        <v/>
      </c>
      <c r="H73" s="12"/>
      <c r="I73" s="12" t="str">
        <f t="shared" si="7"/>
        <v/>
      </c>
      <c r="J73" s="13" t="str">
        <f t="shared" si="8"/>
        <v/>
      </c>
      <c r="K73" s="47"/>
      <c r="L73" s="98"/>
      <c r="M73" s="102"/>
      <c r="N73" s="102"/>
      <c r="O73" s="102"/>
      <c r="P73" s="111"/>
    </row>
    <row r="74" spans="1:17" ht="15.6">
      <c r="A74" s="26" t="str">
        <v>Reid</v>
      </c>
      <c r="B74" s="27" t="str">
        <v>NY</v>
      </c>
      <c r="C74" s="27" t="str">
        <f>Sites[[#This Row],[SOL'#]]</f>
        <v>SOL-10991</v>
      </c>
      <c r="D74" s="9"/>
      <c r="E74" s="14"/>
      <c r="F74" s="14" t="str">
        <f t="shared" si="5"/>
        <v/>
      </c>
      <c r="G74" s="15" t="str">
        <f t="shared" si="6"/>
        <v/>
      </c>
      <c r="H74" s="16"/>
      <c r="I74" s="16" t="str">
        <f t="shared" si="7"/>
        <v/>
      </c>
      <c r="J74" s="15" t="str">
        <f t="shared" si="8"/>
        <v/>
      </c>
      <c r="K74" s="186"/>
      <c r="L74" s="99"/>
      <c r="M74" s="102"/>
    </row>
    <row r="75" spans="1:17" ht="100.5" customHeight="1">
      <c r="A75" s="24" t="str">
        <v>Sangolqui</v>
      </c>
      <c r="B75" s="25" t="str">
        <v>NY</v>
      </c>
      <c r="C75" s="25" t="str">
        <f>Sites[[#This Row],[SOL'#]]</f>
        <v>SOL-10975</v>
      </c>
      <c r="D75" s="20"/>
      <c r="E75" s="10"/>
      <c r="F75" s="10" t="str">
        <f t="shared" si="5"/>
        <v/>
      </c>
      <c r="G75" s="11" t="str">
        <f t="shared" si="6"/>
        <v/>
      </c>
      <c r="H75" s="12"/>
      <c r="I75" s="12" t="str">
        <f t="shared" si="7"/>
        <v/>
      </c>
      <c r="J75" s="13" t="str">
        <f t="shared" si="8"/>
        <v/>
      </c>
      <c r="K75" s="47"/>
      <c r="L75" s="109"/>
      <c r="M75" s="102"/>
      <c r="N75" s="102"/>
    </row>
    <row r="76" spans="1:17" ht="15.6">
      <c r="A76" s="26" t="str">
        <v>State Highway 17B</v>
      </c>
      <c r="B76" s="27" t="str">
        <v>NY</v>
      </c>
      <c r="C76" s="27" t="str">
        <f>Sites[[#This Row],[SOL'#]]</f>
        <v>SOL-10988</v>
      </c>
      <c r="D76" s="9"/>
      <c r="E76" s="14"/>
      <c r="F76" s="14" t="str">
        <f t="shared" si="5"/>
        <v/>
      </c>
      <c r="G76" s="15" t="str">
        <f t="shared" si="6"/>
        <v/>
      </c>
      <c r="H76" s="16"/>
      <c r="I76" s="16" t="str">
        <f t="shared" si="7"/>
        <v/>
      </c>
      <c r="J76" s="15" t="str">
        <f t="shared" si="8"/>
        <v/>
      </c>
      <c r="K76" s="186"/>
      <c r="L76" s="99"/>
    </row>
    <row r="77" spans="1:17" ht="15.6">
      <c r="A77" s="24" t="str">
        <v>State Route 14A</v>
      </c>
      <c r="B77" s="25" t="str">
        <v>NY</v>
      </c>
      <c r="C77" s="25" t="str">
        <f>Sites[[#This Row],[SOL'#]]</f>
        <v>SOL-10997</v>
      </c>
      <c r="D77" s="20"/>
      <c r="E77" s="10"/>
      <c r="F77" s="10" t="str">
        <f t="shared" si="5"/>
        <v/>
      </c>
      <c r="G77" s="11" t="str">
        <f t="shared" si="6"/>
        <v/>
      </c>
      <c r="H77" s="12"/>
      <c r="I77" s="12" t="str">
        <f t="shared" si="7"/>
        <v/>
      </c>
      <c r="J77" s="13" t="str">
        <f t="shared" si="8"/>
        <v/>
      </c>
      <c r="K77" s="47"/>
      <c r="L77" s="109"/>
    </row>
    <row r="78" spans="1:17" ht="15.6">
      <c r="A78" s="26" t="str">
        <v>West Creek</v>
      </c>
      <c r="B78" s="27" t="str">
        <v>NY</v>
      </c>
      <c r="C78" s="27" t="str">
        <f>Sites[[#This Row],[SOL'#]]</f>
        <v>SOL-10995</v>
      </c>
      <c r="D78" s="9"/>
      <c r="E78" s="14"/>
      <c r="F78" s="14" t="str">
        <f t="shared" si="5"/>
        <v/>
      </c>
      <c r="G78" s="15" t="str">
        <f t="shared" si="6"/>
        <v/>
      </c>
      <c r="H78" s="16"/>
      <c r="I78" s="16" t="str">
        <f t="shared" si="7"/>
        <v/>
      </c>
      <c r="J78" s="15" t="str">
        <f t="shared" si="8"/>
        <v/>
      </c>
      <c r="K78" s="186"/>
      <c r="L78" s="186"/>
    </row>
    <row r="79" spans="1:17" ht="15.6">
      <c r="A79" s="24" t="str">
        <v>Wildflower</v>
      </c>
      <c r="B79" s="25" t="str">
        <v>NY</v>
      </c>
      <c r="C79" s="25" t="str">
        <f>Sites[[#This Row],[SOL'#]]</f>
        <v>SOL-10982</v>
      </c>
      <c r="D79" s="20"/>
      <c r="E79" s="10"/>
      <c r="F79" s="10" t="str">
        <f t="shared" si="5"/>
        <v/>
      </c>
      <c r="G79" s="11" t="str">
        <f t="shared" si="6"/>
        <v/>
      </c>
      <c r="H79" s="12"/>
      <c r="I79" s="12" t="str">
        <f t="shared" si="7"/>
        <v/>
      </c>
      <c r="J79" s="13" t="str">
        <f t="shared" si="8"/>
        <v/>
      </c>
      <c r="K79" s="47"/>
      <c r="L79" s="109"/>
      <c r="M79" s="102"/>
      <c r="N79" s="102"/>
    </row>
    <row r="80" spans="1:17" ht="15.6">
      <c r="A80" s="26" t="str">
        <v>Glen Mary 1</v>
      </c>
      <c r="B80" s="27" t="str">
        <v>NY</v>
      </c>
      <c r="C80" s="27" t="str">
        <f>Sites[[#This Row],[SOL'#]]</f>
        <v>SOL-10993</v>
      </c>
      <c r="D80" s="9"/>
      <c r="E80" s="14"/>
      <c r="F80" s="14" t="str">
        <f t="shared" si="5"/>
        <v/>
      </c>
      <c r="G80" s="15" t="str">
        <f t="shared" si="6"/>
        <v/>
      </c>
      <c r="H80" s="16"/>
      <c r="I80" s="16" t="str">
        <f t="shared" si="7"/>
        <v/>
      </c>
      <c r="J80" s="15" t="str">
        <f t="shared" si="8"/>
        <v/>
      </c>
      <c r="K80" s="105"/>
      <c r="L80" s="187"/>
    </row>
    <row r="81" spans="1:14" ht="15.6">
      <c r="A81" s="24" t="str">
        <v>Glen Mary 2</v>
      </c>
      <c r="B81" s="25" t="str">
        <v>NY</v>
      </c>
      <c r="C81" s="25" t="str">
        <f>Sites[[#This Row],[SOL'#]]</f>
        <v>SOL-10994</v>
      </c>
      <c r="D81" s="20"/>
      <c r="E81" s="10"/>
      <c r="F81" s="10" t="str">
        <f t="shared" si="5"/>
        <v/>
      </c>
      <c r="G81" s="11" t="str">
        <f t="shared" si="6"/>
        <v/>
      </c>
      <c r="H81" s="12"/>
      <c r="I81" s="12" t="str">
        <f t="shared" si="7"/>
        <v/>
      </c>
      <c r="J81" s="13" t="str">
        <f t="shared" si="8"/>
        <v/>
      </c>
      <c r="K81" s="47"/>
      <c r="L81" s="109"/>
    </row>
    <row r="82" spans="1:14" ht="15.6">
      <c r="A82" s="26" t="str">
        <v>Telegraph 1</v>
      </c>
      <c r="B82" s="27" t="str">
        <v>NY</v>
      </c>
      <c r="C82" s="27" t="str">
        <f>Sites[[#This Row],[SOL'#]]</f>
        <v>SOL-11003</v>
      </c>
      <c r="D82" s="9"/>
      <c r="E82" s="14"/>
      <c r="F82" s="14" t="str">
        <f t="shared" si="5"/>
        <v/>
      </c>
      <c r="G82" s="15" t="str">
        <f t="shared" si="6"/>
        <v/>
      </c>
      <c r="H82" s="16"/>
      <c r="I82" s="16" t="str">
        <f t="shared" si="7"/>
        <v/>
      </c>
      <c r="J82" s="15" t="str">
        <f t="shared" si="8"/>
        <v/>
      </c>
      <c r="K82" s="186"/>
      <c r="L82" s="112"/>
    </row>
    <row r="83" spans="1:14" ht="15.6">
      <c r="A83" s="24" t="str">
        <v>Telegraph 2</v>
      </c>
      <c r="B83" s="25" t="str">
        <v>NY</v>
      </c>
      <c r="C83" s="25" t="str">
        <f>Sites[[#This Row],[SOL'#]]</f>
        <v>SOL-11004</v>
      </c>
      <c r="D83" s="20"/>
      <c r="E83" s="10"/>
      <c r="F83" s="10" t="str">
        <f t="shared" si="5"/>
        <v/>
      </c>
      <c r="G83" s="11" t="str">
        <f t="shared" si="6"/>
        <v/>
      </c>
      <c r="H83" s="12"/>
      <c r="I83" s="12" t="str">
        <f t="shared" si="7"/>
        <v/>
      </c>
      <c r="J83" s="13" t="str">
        <f t="shared" si="8"/>
        <v/>
      </c>
      <c r="K83" s="47"/>
      <c r="L83" s="109"/>
      <c r="M83" s="118"/>
    </row>
    <row r="84" spans="1:14" ht="15.6">
      <c r="A84" s="26" t="str">
        <v>Cafferty Hill</v>
      </c>
      <c r="B84" s="27" t="str">
        <v>NY</v>
      </c>
      <c r="C84" s="27" t="str">
        <f>Sites[[#This Row],[SOL'#]]</f>
        <v>SOL-10996</v>
      </c>
      <c r="D84" s="9"/>
      <c r="E84" s="14"/>
      <c r="F84" s="14" t="str">
        <f t="shared" si="5"/>
        <v/>
      </c>
      <c r="G84" s="15" t="str">
        <f t="shared" si="6"/>
        <v/>
      </c>
      <c r="H84" s="16"/>
      <c r="I84" s="16" t="str">
        <f t="shared" si="7"/>
        <v/>
      </c>
      <c r="J84" s="15" t="str">
        <f t="shared" si="8"/>
        <v/>
      </c>
      <c r="K84" s="186"/>
      <c r="L84" s="187"/>
    </row>
    <row r="85" spans="1:14" ht="75.75" customHeight="1">
      <c r="A85" s="24" t="str">
        <v>Dunkleman</v>
      </c>
      <c r="B85" s="25" t="str">
        <v>NY</v>
      </c>
      <c r="C85" s="25" t="str">
        <f>Sites[[#This Row],[SOL'#]]</f>
        <v>SOL-11008</v>
      </c>
      <c r="D85" s="20"/>
      <c r="E85" s="10"/>
      <c r="F85" s="10" t="str">
        <f t="shared" si="5"/>
        <v/>
      </c>
      <c r="G85" s="11" t="str">
        <f t="shared" si="6"/>
        <v/>
      </c>
      <c r="H85" s="12"/>
      <c r="I85" s="12" t="str">
        <f t="shared" si="7"/>
        <v/>
      </c>
      <c r="J85" s="13" t="str">
        <f t="shared" si="8"/>
        <v/>
      </c>
      <c r="K85" s="47"/>
      <c r="L85" s="109"/>
    </row>
    <row r="86" spans="1:14" ht="15.6">
      <c r="A86" s="26" t="str">
        <v>Route 19 1</v>
      </c>
      <c r="B86" s="27" t="str">
        <v>NY</v>
      </c>
      <c r="C86" s="27" t="str">
        <f>Sites[[#This Row],[SOL'#]]</f>
        <v>SOL-11001</v>
      </c>
      <c r="D86" s="9"/>
      <c r="E86" s="14"/>
      <c r="F86" s="14" t="str">
        <f t="shared" si="5"/>
        <v/>
      </c>
      <c r="G86" s="15" t="str">
        <f t="shared" si="6"/>
        <v/>
      </c>
      <c r="H86" s="16"/>
      <c r="I86" s="16" t="str">
        <f t="shared" si="7"/>
        <v/>
      </c>
      <c r="J86" s="15" t="str">
        <f t="shared" si="8"/>
        <v/>
      </c>
      <c r="K86" s="186"/>
      <c r="L86" s="99"/>
    </row>
    <row r="87" spans="1:14" ht="15.6">
      <c r="A87" s="24" t="str">
        <v>Route 19 2</v>
      </c>
      <c r="B87" s="25" t="str">
        <v>NY</v>
      </c>
      <c r="C87" s="25" t="str">
        <f>Sites[[#This Row],[SOL'#]]</f>
        <v>SOL-11002</v>
      </c>
      <c r="D87" s="20"/>
      <c r="E87" s="10"/>
      <c r="F87" s="10" t="str">
        <f t="shared" si="5"/>
        <v/>
      </c>
      <c r="G87" s="11" t="str">
        <f t="shared" si="6"/>
        <v/>
      </c>
      <c r="H87" s="12"/>
      <c r="I87" s="12" t="str">
        <f t="shared" si="7"/>
        <v/>
      </c>
      <c r="J87" s="13" t="str">
        <f t="shared" si="8"/>
        <v/>
      </c>
      <c r="K87" s="47"/>
      <c r="L87" s="109"/>
      <c r="M87" s="102"/>
    </row>
    <row r="88" spans="1:14" ht="43.5" customHeight="1">
      <c r="A88" s="26" t="str">
        <v>Yellow Mills 1</v>
      </c>
      <c r="B88" s="27" t="str">
        <v>NY</v>
      </c>
      <c r="C88" s="27" t="str">
        <f>Sites[[#This Row],[SOL'#]]</f>
        <v>SOL-11006</v>
      </c>
      <c r="D88" s="9"/>
      <c r="E88" s="14"/>
      <c r="F88" s="14" t="str">
        <f t="shared" si="5"/>
        <v/>
      </c>
      <c r="G88" s="15" t="str">
        <f t="shared" si="6"/>
        <v/>
      </c>
      <c r="H88" s="16"/>
      <c r="I88" s="16" t="str">
        <f t="shared" si="7"/>
        <v/>
      </c>
      <c r="J88" s="15" t="str">
        <f t="shared" si="8"/>
        <v/>
      </c>
      <c r="K88" s="186"/>
      <c r="L88" s="99"/>
      <c r="M88" s="102"/>
    </row>
    <row r="89" spans="1:14" ht="22.5" customHeight="1">
      <c r="A89" s="24" t="str">
        <v>Yellow Mills 2</v>
      </c>
      <c r="B89" s="25" t="str">
        <v>NY</v>
      </c>
      <c r="C89" s="25" t="str">
        <f>Sites[[#This Row],[SOL'#]]</f>
        <v>SOL-11005</v>
      </c>
      <c r="D89" s="20"/>
      <c r="E89" s="10"/>
      <c r="F89" s="10" t="str">
        <f t="shared" si="5"/>
        <v/>
      </c>
      <c r="G89" s="11" t="str">
        <f t="shared" si="6"/>
        <v/>
      </c>
      <c r="H89" s="12"/>
      <c r="I89" s="12" t="str">
        <f t="shared" si="7"/>
        <v/>
      </c>
      <c r="J89" s="13" t="str">
        <f t="shared" si="8"/>
        <v/>
      </c>
      <c r="K89" s="47"/>
      <c r="L89" s="49"/>
    </row>
    <row r="90" spans="1:14" ht="39.75" customHeight="1">
      <c r="A90" s="26" t="str">
        <v>Yellow Mills 3</v>
      </c>
      <c r="B90" s="27" t="str">
        <v>NY</v>
      </c>
      <c r="C90" s="27" t="str">
        <f>Sites[[#This Row],[SOL'#]]</f>
        <v>SOL-11007</v>
      </c>
      <c r="D90" s="9"/>
      <c r="E90" s="14"/>
      <c r="F90" s="14" t="str">
        <f t="shared" si="5"/>
        <v/>
      </c>
      <c r="G90" s="15" t="str">
        <f t="shared" si="6"/>
        <v/>
      </c>
      <c r="H90" s="16"/>
      <c r="I90" s="16" t="str">
        <f t="shared" si="7"/>
        <v/>
      </c>
      <c r="J90" s="15" t="str">
        <f t="shared" si="8"/>
        <v/>
      </c>
      <c r="K90" s="186"/>
      <c r="L90" s="99"/>
    </row>
    <row r="91" spans="1:14" ht="68.25" customHeight="1">
      <c r="A91" s="24" t="str">
        <v>Catskill</v>
      </c>
      <c r="B91" s="25" t="str">
        <v>NY</v>
      </c>
      <c r="C91" s="25" t="str">
        <f>Sites[[#This Row],[SOL'#]]</f>
        <v>SOL-11021</v>
      </c>
      <c r="D91" s="20"/>
      <c r="E91" s="10"/>
      <c r="F91" s="10" t="str">
        <f t="shared" si="5"/>
        <v/>
      </c>
      <c r="G91" s="11" t="str">
        <f t="shared" si="6"/>
        <v/>
      </c>
      <c r="H91" s="12"/>
      <c r="I91" s="12" t="str">
        <f t="shared" si="7"/>
        <v/>
      </c>
      <c r="J91" s="13" t="str">
        <f t="shared" si="8"/>
        <v/>
      </c>
      <c r="K91" s="47"/>
      <c r="L91" s="109"/>
      <c r="M91" s="102"/>
    </row>
    <row r="92" spans="1:14" ht="15.6">
      <c r="A92" s="26" t="str">
        <v>Eddy Ridge</v>
      </c>
      <c r="B92" s="27" t="str">
        <v>NY</v>
      </c>
      <c r="C92" s="27" t="str">
        <f>Sites[[#This Row],[SOL'#]]</f>
        <v>SOL-11054</v>
      </c>
      <c r="D92" s="9"/>
      <c r="E92" s="14"/>
      <c r="F92" s="14" t="str">
        <f t="shared" si="5"/>
        <v/>
      </c>
      <c r="G92" s="15" t="str">
        <f t="shared" si="6"/>
        <v/>
      </c>
      <c r="H92" s="16"/>
      <c r="I92" s="16" t="str">
        <f t="shared" si="7"/>
        <v/>
      </c>
      <c r="J92" s="15" t="str">
        <f t="shared" si="8"/>
        <v/>
      </c>
      <c r="K92" s="186"/>
      <c r="L92" s="187"/>
    </row>
    <row r="93" spans="1:14" ht="33" customHeight="1">
      <c r="A93" s="24" t="str">
        <v>Ridgeway #1</v>
      </c>
      <c r="B93" s="25" t="str">
        <v>NY</v>
      </c>
      <c r="C93" s="25" t="str">
        <f>Sites[[#This Row],[SOL'#]]</f>
        <v>SOL-11018</v>
      </c>
      <c r="D93" s="20"/>
      <c r="E93" s="10"/>
      <c r="F93" s="10" t="str">
        <f t="shared" si="5"/>
        <v/>
      </c>
      <c r="G93" s="11" t="str">
        <f t="shared" si="6"/>
        <v/>
      </c>
      <c r="H93" s="12"/>
      <c r="I93" s="12" t="str">
        <f t="shared" si="7"/>
        <v/>
      </c>
      <c r="J93" s="13" t="str">
        <f t="shared" si="8"/>
        <v/>
      </c>
      <c r="K93" s="49"/>
      <c r="L93" s="109"/>
    </row>
    <row r="94" spans="1:14" ht="23.25" customHeight="1">
      <c r="A94" s="26" t="str">
        <v>Rivard 1</v>
      </c>
      <c r="B94" s="27" t="str">
        <v>NY</v>
      </c>
      <c r="C94" s="27" t="str">
        <f>Sites[[#This Row],[SOL'#]]</f>
        <v>SOL-11011</v>
      </c>
      <c r="D94" s="9"/>
      <c r="E94" s="14"/>
      <c r="F94" s="14" t="str">
        <f t="shared" si="5"/>
        <v/>
      </c>
      <c r="G94" s="15" t="str">
        <f t="shared" si="6"/>
        <v/>
      </c>
      <c r="H94" s="16"/>
      <c r="I94" s="16" t="str">
        <f t="shared" si="7"/>
        <v/>
      </c>
      <c r="J94" s="15" t="str">
        <f t="shared" si="8"/>
        <v/>
      </c>
      <c r="K94" s="186"/>
      <c r="L94" s="186"/>
    </row>
    <row r="95" spans="1:14" ht="84.75" customHeight="1">
      <c r="A95" s="24" t="str">
        <v>Rivard 2</v>
      </c>
      <c r="B95" s="25" t="str">
        <v>NY</v>
      </c>
      <c r="C95" s="25" t="str">
        <f>Sites[[#This Row],[SOL'#]]</f>
        <v>SOL-11012</v>
      </c>
      <c r="D95" s="20"/>
      <c r="E95" s="10"/>
      <c r="F95" s="10" t="str">
        <f t="shared" si="5"/>
        <v/>
      </c>
      <c r="G95" s="11" t="str">
        <f t="shared" si="6"/>
        <v/>
      </c>
      <c r="H95" s="12"/>
      <c r="I95" s="12" t="str">
        <f t="shared" si="7"/>
        <v/>
      </c>
      <c r="J95" s="13" t="str">
        <f t="shared" si="8"/>
        <v/>
      </c>
      <c r="K95" s="47"/>
      <c r="L95" s="109"/>
    </row>
    <row r="96" spans="1:14" ht="15.6">
      <c r="A96" s="24" t="str">
        <v>Ridgeway #2</v>
      </c>
      <c r="B96" s="25" t="str">
        <v>NY</v>
      </c>
      <c r="C96" s="25" t="str">
        <f>Sites[[#This Row],[SOL'#]]</f>
        <v>SOL-11027</v>
      </c>
      <c r="D96" s="20"/>
      <c r="E96" s="10"/>
      <c r="F96" s="10" t="str">
        <f t="shared" si="5"/>
        <v/>
      </c>
      <c r="G96" s="11" t="str">
        <f t="shared" si="6"/>
        <v/>
      </c>
      <c r="H96" s="12"/>
      <c r="I96" s="12" t="str">
        <f t="shared" ref="I96:I127" si="9">IF(AND(ISNUMBER(D96),ISNUMBER(H96)), D96-H96, "")</f>
        <v/>
      </c>
      <c r="J96" s="13" t="str">
        <f t="shared" si="8"/>
        <v/>
      </c>
      <c r="K96" s="47"/>
      <c r="L96" s="109"/>
      <c r="M96" s="102"/>
      <c r="N96" s="102"/>
    </row>
    <row r="97" spans="1:14" ht="15.6">
      <c r="A97" s="26" t="str">
        <v>Spencer</v>
      </c>
      <c r="B97" s="27" t="str">
        <v>NY</v>
      </c>
      <c r="C97" s="27" t="str">
        <f>Sites[[#This Row],[SOL'#]]</f>
        <v>SOL-11017</v>
      </c>
      <c r="D97" s="9"/>
      <c r="E97" s="14"/>
      <c r="F97" s="14" t="str">
        <f t="shared" si="5"/>
        <v/>
      </c>
      <c r="G97" s="15" t="str">
        <f t="shared" si="6"/>
        <v/>
      </c>
      <c r="H97" s="16"/>
      <c r="I97" s="16" t="str">
        <f t="shared" si="9"/>
        <v/>
      </c>
      <c r="J97" s="15" t="str">
        <f t="shared" si="8"/>
        <v/>
      </c>
      <c r="K97" s="186"/>
      <c r="L97" s="112"/>
      <c r="M97" s="102"/>
      <c r="N97" s="102"/>
    </row>
    <row r="98" spans="1:14" ht="15.6">
      <c r="A98" s="28" t="str">
        <v>Reisender</v>
      </c>
      <c r="B98" s="25" t="str">
        <v>NY</v>
      </c>
      <c r="C98" s="25" t="str">
        <f>Sites[[#This Row],[SOL'#]]</f>
        <v>SOL-10886</v>
      </c>
      <c r="D98" s="54"/>
      <c r="E98" s="10"/>
      <c r="F98" s="10" t="str">
        <f t="shared" si="5"/>
        <v/>
      </c>
      <c r="G98" s="11" t="str">
        <f t="shared" si="6"/>
        <v/>
      </c>
      <c r="H98" s="67"/>
      <c r="I98" s="67" t="str">
        <f t="shared" si="9"/>
        <v/>
      </c>
      <c r="J98" s="13" t="str">
        <f t="shared" si="8"/>
        <v/>
      </c>
      <c r="K98" s="56"/>
      <c r="L98" s="37"/>
    </row>
    <row r="99" spans="1:14" ht="15.6">
      <c r="A99" s="26" t="str">
        <v>Finney</v>
      </c>
      <c r="B99" s="27" t="str">
        <v>NY</v>
      </c>
      <c r="C99" s="27" t="str">
        <f>Sites[[#This Row],[SOL'#]]</f>
        <v>SOL-10999</v>
      </c>
      <c r="D99" s="66"/>
      <c r="E99" s="14"/>
      <c r="F99" s="14" t="str">
        <f t="shared" si="5"/>
        <v/>
      </c>
      <c r="G99" s="15" t="str">
        <f t="shared" si="6"/>
        <v/>
      </c>
      <c r="H99" s="69"/>
      <c r="I99" s="69" t="str">
        <f t="shared" si="9"/>
        <v/>
      </c>
      <c r="J99" s="15" t="str">
        <f t="shared" si="8"/>
        <v/>
      </c>
      <c r="K99" s="38"/>
      <c r="L99" s="17"/>
    </row>
    <row r="100" spans="1:14" ht="15.6">
      <c r="A100" s="24" t="str">
        <v>Davis Solar</v>
      </c>
      <c r="B100" s="25" t="str">
        <v>NY</v>
      </c>
      <c r="C100" s="25" t="str">
        <f>Sites[[#This Row],[SOL'#]]</f>
        <v>SOL-10958</v>
      </c>
      <c r="D100" s="20"/>
      <c r="E100" s="10"/>
      <c r="F100" s="10" t="str">
        <f t="shared" si="5"/>
        <v/>
      </c>
      <c r="G100" s="11" t="str">
        <f t="shared" si="6"/>
        <v/>
      </c>
      <c r="H100" s="12"/>
      <c r="I100" s="12" t="str">
        <f t="shared" si="9"/>
        <v/>
      </c>
      <c r="J100" s="13" t="str">
        <f t="shared" si="8"/>
        <v/>
      </c>
      <c r="K100" s="47"/>
      <c r="L100" s="109"/>
      <c r="M100" s="102"/>
      <c r="N100" s="102"/>
    </row>
    <row r="101" spans="1:14" ht="15.6">
      <c r="A101" s="26" t="str">
        <v>Genesee</v>
      </c>
      <c r="B101" s="27" t="str">
        <v>NY</v>
      </c>
      <c r="C101" s="27" t="str">
        <f>Sites[[#This Row],[SOL'#]]</f>
        <v>SOL-10951</v>
      </c>
      <c r="D101" s="66"/>
      <c r="E101" s="14"/>
      <c r="F101" s="14" t="str">
        <f t="shared" si="5"/>
        <v/>
      </c>
      <c r="G101" s="15" t="str">
        <f t="shared" si="6"/>
        <v/>
      </c>
      <c r="H101" s="69"/>
      <c r="I101" s="69" t="str">
        <f t="shared" si="9"/>
        <v/>
      </c>
      <c r="J101" s="15" t="str">
        <f t="shared" si="8"/>
        <v/>
      </c>
      <c r="K101" s="38"/>
      <c r="L101" s="114"/>
    </row>
    <row r="102" spans="1:14" ht="15.6">
      <c r="A102" s="24" t="str">
        <v>Landau I</v>
      </c>
      <c r="B102" s="25" t="str">
        <v>NY</v>
      </c>
      <c r="C102" s="25" t="str">
        <f>Sites[[#This Row],[SOL'#]]</f>
        <v>SOL-10891</v>
      </c>
      <c r="D102" s="54"/>
      <c r="E102" s="10"/>
      <c r="F102" s="10" t="str">
        <f t="shared" si="5"/>
        <v/>
      </c>
      <c r="G102" s="11" t="str">
        <f t="shared" si="6"/>
        <v/>
      </c>
      <c r="H102" s="67"/>
      <c r="I102" s="67" t="str">
        <f t="shared" si="9"/>
        <v/>
      </c>
      <c r="J102" s="13" t="str">
        <f t="shared" si="8"/>
        <v/>
      </c>
      <c r="K102" s="56"/>
      <c r="L102" s="37"/>
    </row>
    <row r="103" spans="1:14" ht="15.6">
      <c r="A103" s="26" t="str">
        <v>Landau II</v>
      </c>
      <c r="B103" s="27" t="str">
        <v>NY</v>
      </c>
      <c r="C103" s="27" t="str">
        <f>Sites[[#This Row],[SOL'#]]</f>
        <v>SOL-10895</v>
      </c>
      <c r="D103" s="66"/>
      <c r="E103" s="14"/>
      <c r="F103" s="14" t="str">
        <f t="shared" si="5"/>
        <v/>
      </c>
      <c r="G103" s="15" t="str">
        <f t="shared" si="6"/>
        <v/>
      </c>
      <c r="H103" s="69"/>
      <c r="I103" s="69" t="str">
        <f t="shared" si="9"/>
        <v/>
      </c>
      <c r="J103" s="15" t="str">
        <f t="shared" si="8"/>
        <v/>
      </c>
      <c r="K103" s="38"/>
      <c r="L103" s="17"/>
    </row>
    <row r="104" spans="1:14" ht="15.6">
      <c r="A104" s="24" t="str">
        <v>New Beginnings</v>
      </c>
      <c r="B104" s="25" t="str">
        <v>NY</v>
      </c>
      <c r="C104" s="25" t="str">
        <f>Sites[[#This Row],[SOL'#]]</f>
        <v>SOL-10890</v>
      </c>
      <c r="D104" s="54"/>
      <c r="E104" s="10"/>
      <c r="F104" s="10" t="str">
        <f t="shared" ref="F104:F145" si="10">IF(AND(ISNUMBER(D104),ISNUMBER(E104)), D104-E104, "")</f>
        <v/>
      </c>
      <c r="G104" s="11" t="str">
        <f t="shared" ref="G104:G121" si="11">IFERROR(F104/E104, "")</f>
        <v/>
      </c>
      <c r="H104" s="67"/>
      <c r="I104" s="67" t="str">
        <f t="shared" si="9"/>
        <v/>
      </c>
      <c r="J104" s="13" t="str">
        <f t="shared" ref="J104:J151" si="12">IFERROR(I104/H104, "")</f>
        <v/>
      </c>
      <c r="K104" s="56"/>
      <c r="L104" s="37"/>
    </row>
    <row r="105" spans="1:14" ht="15.6">
      <c r="A105" s="26" t="str">
        <v>Bullitt Farm Solar, LLC</v>
      </c>
      <c r="B105" s="27" t="str">
        <v>NY</v>
      </c>
      <c r="C105" s="27" t="str">
        <f>Sites[[#This Row],[SOL'#]]</f>
        <v>SOL-10998</v>
      </c>
      <c r="D105" s="66"/>
      <c r="E105" s="14"/>
      <c r="F105" s="14" t="str">
        <f t="shared" si="10"/>
        <v/>
      </c>
      <c r="G105" s="15" t="str">
        <f t="shared" si="11"/>
        <v/>
      </c>
      <c r="H105" s="69"/>
      <c r="I105" s="69" t="str">
        <f t="shared" si="9"/>
        <v/>
      </c>
      <c r="J105" s="15" t="str">
        <f t="shared" si="12"/>
        <v/>
      </c>
      <c r="K105" s="38"/>
      <c r="L105" s="17"/>
    </row>
    <row r="106" spans="1:14" ht="15.6">
      <c r="A106" s="24" t="str">
        <v>Brodhead Solar, LLC</v>
      </c>
      <c r="B106" s="25" t="str">
        <v>NY</v>
      </c>
      <c r="C106" s="25" t="str">
        <f>Sites[[#This Row],[SOL'#]]</f>
        <v>SOL-10899</v>
      </c>
      <c r="D106" s="54"/>
      <c r="E106" s="10"/>
      <c r="F106" s="10" t="str">
        <f t="shared" si="10"/>
        <v/>
      </c>
      <c r="G106" s="11" t="str">
        <f t="shared" si="11"/>
        <v/>
      </c>
      <c r="H106" s="67"/>
      <c r="I106" s="67" t="str">
        <f t="shared" si="9"/>
        <v/>
      </c>
      <c r="J106" s="13" t="str">
        <f t="shared" si="12"/>
        <v/>
      </c>
      <c r="K106" s="56"/>
      <c r="L106" s="109"/>
      <c r="M106" s="102"/>
    </row>
    <row r="107" spans="1:14" ht="15.6">
      <c r="A107" s="26" t="str">
        <v>Svenski</v>
      </c>
      <c r="B107" s="27" t="str">
        <v>NY</v>
      </c>
      <c r="C107" s="27" t="str">
        <f>Sites[[#This Row],[SOL'#]]</f>
        <v>SOL-10894</v>
      </c>
      <c r="D107" s="66"/>
      <c r="E107" s="14"/>
      <c r="F107" s="14" t="str">
        <f t="shared" si="10"/>
        <v/>
      </c>
      <c r="G107" s="15" t="str">
        <f t="shared" si="11"/>
        <v/>
      </c>
      <c r="H107" s="69"/>
      <c r="I107" s="69" t="str">
        <f t="shared" si="9"/>
        <v/>
      </c>
      <c r="J107" s="15" t="str">
        <f t="shared" si="12"/>
        <v/>
      </c>
      <c r="K107" s="38"/>
      <c r="L107" s="17"/>
    </row>
    <row r="108" spans="1:14" ht="15.6">
      <c r="A108" s="24" t="str">
        <v>Bantam</v>
      </c>
      <c r="B108" s="25" t="str">
        <v>NY</v>
      </c>
      <c r="C108" s="25" t="str">
        <f>Sites[[#This Row],[SOL'#]]</f>
        <v>SOL-10986</v>
      </c>
      <c r="D108" s="54"/>
      <c r="E108" s="10"/>
      <c r="F108" s="10" t="str">
        <f t="shared" si="10"/>
        <v/>
      </c>
      <c r="G108" s="11" t="str">
        <f t="shared" si="11"/>
        <v/>
      </c>
      <c r="H108" s="67"/>
      <c r="I108" s="67" t="str">
        <f t="shared" si="9"/>
        <v/>
      </c>
      <c r="J108" s="13" t="str">
        <f t="shared" si="12"/>
        <v/>
      </c>
      <c r="K108" s="56"/>
      <c r="L108" s="109"/>
      <c r="M108" s="102"/>
    </row>
    <row r="109" spans="1:14" ht="15.6">
      <c r="A109" s="26" t="str">
        <v>Bogart</v>
      </c>
      <c r="B109" s="27" t="str">
        <v>NY</v>
      </c>
      <c r="C109" s="27" t="str">
        <f>Sites[[#This Row],[SOL'#]]</f>
        <v>SOL-10887</v>
      </c>
      <c r="D109" s="66"/>
      <c r="E109" s="14"/>
      <c r="F109" s="14" t="str">
        <f t="shared" si="10"/>
        <v/>
      </c>
      <c r="G109" s="15" t="str">
        <f t="shared" si="11"/>
        <v/>
      </c>
      <c r="H109" s="69"/>
      <c r="I109" s="69" t="str">
        <f t="shared" si="9"/>
        <v/>
      </c>
      <c r="J109" s="15" t="str">
        <f t="shared" si="12"/>
        <v/>
      </c>
      <c r="K109" s="38"/>
      <c r="L109" s="114"/>
    </row>
    <row r="110" spans="1:14" ht="15.6">
      <c r="A110" s="24" t="str">
        <v>Dubois</v>
      </c>
      <c r="B110" s="25" t="str">
        <v>NY</v>
      </c>
      <c r="C110" s="25" t="str">
        <f>Sites[[#This Row],[SOL'#]]</f>
        <v>SOL-10892</v>
      </c>
      <c r="D110" s="54"/>
      <c r="E110" s="10"/>
      <c r="F110" s="10" t="str">
        <f t="shared" si="10"/>
        <v/>
      </c>
      <c r="G110" s="11" t="str">
        <f t="shared" si="11"/>
        <v/>
      </c>
      <c r="H110" s="67"/>
      <c r="I110" s="67" t="str">
        <f t="shared" si="9"/>
        <v/>
      </c>
      <c r="J110" s="13" t="str">
        <f t="shared" si="12"/>
        <v/>
      </c>
      <c r="K110" s="56"/>
      <c r="L110" s="109"/>
    </row>
    <row r="111" spans="1:14" ht="15.6">
      <c r="A111" s="26" t="str">
        <v>Salt Point</v>
      </c>
      <c r="B111" s="27" t="str">
        <v>NY</v>
      </c>
      <c r="C111" s="27" t="str">
        <f>Sites[[#This Row],[SOL'#]]</f>
        <v>SOL-10888</v>
      </c>
      <c r="D111" s="66"/>
      <c r="E111" s="14"/>
      <c r="F111" s="14" t="str">
        <f t="shared" si="10"/>
        <v/>
      </c>
      <c r="G111" s="15" t="str">
        <f t="shared" si="11"/>
        <v/>
      </c>
      <c r="H111" s="69"/>
      <c r="I111" s="69" t="str">
        <f t="shared" si="9"/>
        <v/>
      </c>
      <c r="J111" s="15" t="str">
        <f t="shared" si="12"/>
        <v/>
      </c>
      <c r="K111" s="186"/>
      <c r="L111" s="111"/>
    </row>
    <row r="112" spans="1:14" ht="40.5" customHeight="1">
      <c r="A112" s="24" t="str">
        <v>Wheatland 2A</v>
      </c>
      <c r="B112" s="25" t="str">
        <v>NY</v>
      </c>
      <c r="C112" s="25" t="str">
        <f>Sites[[#This Row],[SOL'#]]</f>
        <v>SOL-10971</v>
      </c>
      <c r="D112" s="54"/>
      <c r="E112" s="10"/>
      <c r="F112" s="10" t="str">
        <f t="shared" si="10"/>
        <v/>
      </c>
      <c r="G112" s="11" t="str">
        <f t="shared" si="11"/>
        <v/>
      </c>
      <c r="H112" s="67"/>
      <c r="I112" s="67" t="str">
        <f t="shared" si="9"/>
        <v/>
      </c>
      <c r="J112" s="13" t="str">
        <f t="shared" si="12"/>
        <v/>
      </c>
      <c r="K112" s="56"/>
      <c r="L112" s="109"/>
    </row>
    <row r="113" spans="1:14" ht="53.25" customHeight="1">
      <c r="A113" s="26" t="str">
        <v>Wheatland 2B</v>
      </c>
      <c r="B113" s="27" t="str">
        <v>NY</v>
      </c>
      <c r="C113" s="27" t="str">
        <f>Sites[[#This Row],[SOL'#]]</f>
        <v>SOL-10961</v>
      </c>
      <c r="D113" s="66"/>
      <c r="E113" s="14"/>
      <c r="F113" s="14" t="str">
        <f t="shared" si="10"/>
        <v/>
      </c>
      <c r="G113" s="15" t="str">
        <f t="shared" si="11"/>
        <v/>
      </c>
      <c r="H113" s="69"/>
      <c r="I113" s="69" t="str">
        <f t="shared" si="9"/>
        <v/>
      </c>
      <c r="J113" s="15" t="str">
        <f t="shared" si="12"/>
        <v/>
      </c>
      <c r="K113" s="38"/>
      <c r="L113" s="114"/>
    </row>
    <row r="114" spans="1:14" ht="61.5" customHeight="1">
      <c r="A114" s="24" t="str">
        <v>Brickchurch</v>
      </c>
      <c r="B114" s="25" t="str">
        <v>NY</v>
      </c>
      <c r="C114" s="25" t="str">
        <f>Sites[[#This Row],[SOL'#]]</f>
        <v>SOL-10889</v>
      </c>
      <c r="D114" s="54"/>
      <c r="E114" s="10"/>
      <c r="F114" s="10" t="str">
        <f t="shared" si="10"/>
        <v/>
      </c>
      <c r="G114" s="11" t="str">
        <f t="shared" si="11"/>
        <v/>
      </c>
      <c r="H114" s="67"/>
      <c r="I114" s="67" t="str">
        <f t="shared" si="9"/>
        <v/>
      </c>
      <c r="J114" s="13" t="str">
        <f t="shared" si="12"/>
        <v/>
      </c>
      <c r="K114" s="56"/>
      <c r="L114" s="109"/>
      <c r="M114" s="102"/>
    </row>
    <row r="115" spans="1:14" ht="15.6">
      <c r="A115" s="26" t="str">
        <v>McCarthy Solar</v>
      </c>
      <c r="B115" s="27" t="str">
        <v>NY</v>
      </c>
      <c r="C115" s="27" t="str">
        <f>Sites[[#This Row],[SOL'#]]</f>
        <v>SOL-10992</v>
      </c>
      <c r="D115" s="66"/>
      <c r="E115" s="14"/>
      <c r="F115" s="14" t="str">
        <f t="shared" si="10"/>
        <v/>
      </c>
      <c r="G115" s="15" t="str">
        <f t="shared" si="11"/>
        <v/>
      </c>
      <c r="H115" s="69"/>
      <c r="I115" s="69" t="str">
        <f t="shared" si="9"/>
        <v/>
      </c>
      <c r="J115" s="15" t="str">
        <f t="shared" si="12"/>
        <v/>
      </c>
      <c r="K115" s="38"/>
      <c r="L115" s="114"/>
    </row>
    <row r="116" spans="1:14" ht="96.75" customHeight="1">
      <c r="A116" s="24" t="str">
        <v>Costanza</v>
      </c>
      <c r="B116" s="25" t="str">
        <v>NY</v>
      </c>
      <c r="C116" s="25" t="str">
        <f>Sites[[#This Row],[SOL'#]]</f>
        <v>SOL-10907</v>
      </c>
      <c r="D116" s="54"/>
      <c r="E116" s="10"/>
      <c r="F116" s="10" t="str">
        <f t="shared" si="10"/>
        <v/>
      </c>
      <c r="G116" s="11" t="str">
        <f t="shared" si="11"/>
        <v/>
      </c>
      <c r="H116" s="67"/>
      <c r="I116" s="67" t="str">
        <f t="shared" si="9"/>
        <v/>
      </c>
      <c r="J116" s="13" t="str">
        <f t="shared" si="12"/>
        <v/>
      </c>
      <c r="K116" s="56"/>
      <c r="L116" s="109"/>
      <c r="M116" s="102"/>
      <c r="N116" s="102"/>
    </row>
    <row r="117" spans="1:14" ht="15.6">
      <c r="A117" s="26" t="str">
        <v>Lockenhurst Pond</v>
      </c>
      <c r="B117" s="27" t="str">
        <v>NY</v>
      </c>
      <c r="C117" s="27" t="str">
        <f>Sites[[#This Row],[SOL'#]]</f>
        <v>SOL-11000</v>
      </c>
      <c r="D117" s="66"/>
      <c r="E117" s="14"/>
      <c r="F117" s="14" t="str">
        <f t="shared" si="10"/>
        <v/>
      </c>
      <c r="G117" s="15" t="str">
        <f t="shared" si="11"/>
        <v/>
      </c>
      <c r="H117" s="69"/>
      <c r="I117" s="69" t="str">
        <f t="shared" si="9"/>
        <v/>
      </c>
      <c r="J117" s="15" t="str">
        <f t="shared" si="12"/>
        <v/>
      </c>
      <c r="K117" s="38"/>
      <c r="L117" s="17"/>
    </row>
    <row r="118" spans="1:14" ht="15.6">
      <c r="A118" s="24" t="str">
        <v>Drinkwater</v>
      </c>
      <c r="B118" s="25" t="str">
        <v>NY</v>
      </c>
      <c r="C118" s="25" t="str">
        <f>Sites[[#This Row],[SOL'#]]</f>
        <v>SOL-10896</v>
      </c>
      <c r="D118" s="54"/>
      <c r="E118" s="10"/>
      <c r="F118" s="10" t="str">
        <f t="shared" si="10"/>
        <v/>
      </c>
      <c r="G118" s="11" t="str">
        <f t="shared" si="11"/>
        <v/>
      </c>
      <c r="H118" s="67"/>
      <c r="I118" s="67" t="str">
        <f t="shared" si="9"/>
        <v/>
      </c>
      <c r="J118" s="13" t="str">
        <f t="shared" si="12"/>
        <v/>
      </c>
      <c r="K118" s="56"/>
      <c r="L118" s="37"/>
    </row>
    <row r="119" spans="1:14" ht="15.6">
      <c r="A119" s="26" t="str">
        <v>Altamont</v>
      </c>
      <c r="B119" s="27" t="str">
        <v>NY</v>
      </c>
      <c r="C119" s="27" t="str">
        <f>Sites[[#This Row],[SOL'#]]</f>
        <v>SOL-11085</v>
      </c>
      <c r="D119" s="66"/>
      <c r="E119" s="14"/>
      <c r="F119" s="14" t="str">
        <f t="shared" si="10"/>
        <v/>
      </c>
      <c r="G119" s="15" t="str">
        <f t="shared" si="11"/>
        <v/>
      </c>
      <c r="H119" s="69"/>
      <c r="I119" s="69" t="str">
        <f t="shared" si="9"/>
        <v/>
      </c>
      <c r="J119" s="15" t="str">
        <f t="shared" si="12"/>
        <v/>
      </c>
      <c r="K119" s="38"/>
      <c r="L119" s="115"/>
      <c r="M119" s="102"/>
    </row>
    <row r="120" spans="1:14" ht="15.6">
      <c r="A120" s="24" t="str">
        <v>Krumkill North</v>
      </c>
      <c r="B120" s="25" t="str">
        <v>NY</v>
      </c>
      <c r="C120" s="25" t="str">
        <f>Sites[[#This Row],[SOL'#]]</f>
        <v>SOL-11086</v>
      </c>
      <c r="D120" s="54"/>
      <c r="E120" s="10"/>
      <c r="F120" s="10" t="str">
        <f t="shared" si="10"/>
        <v/>
      </c>
      <c r="G120" s="11" t="str">
        <f t="shared" si="11"/>
        <v/>
      </c>
      <c r="H120" s="67"/>
      <c r="I120" s="67" t="str">
        <f t="shared" si="9"/>
        <v/>
      </c>
      <c r="J120" s="13" t="str">
        <f t="shared" si="12"/>
        <v/>
      </c>
      <c r="K120" s="56"/>
      <c r="L120" s="37"/>
    </row>
    <row r="121" spans="1:14" ht="15.6">
      <c r="A121" s="26" t="str">
        <v>Krumkill South</v>
      </c>
      <c r="B121" s="27" t="str">
        <v>NY</v>
      </c>
      <c r="C121" s="27" t="str">
        <f>Sites[[#This Row],[SOL'#]]</f>
        <v>SOL-11087</v>
      </c>
      <c r="D121" s="66"/>
      <c r="E121" s="14"/>
      <c r="F121" s="14" t="str">
        <f t="shared" si="10"/>
        <v/>
      </c>
      <c r="G121" s="15" t="str">
        <f t="shared" si="11"/>
        <v/>
      </c>
      <c r="H121" s="69"/>
      <c r="I121" s="69" t="str">
        <f t="shared" si="9"/>
        <v/>
      </c>
      <c r="J121" s="15" t="str">
        <f t="shared" si="12"/>
        <v/>
      </c>
      <c r="K121" s="38"/>
      <c r="L121" s="17"/>
    </row>
    <row r="122" spans="1:14" ht="15.6">
      <c r="A122" s="24" t="str">
        <v>X092</v>
      </c>
      <c r="B122" s="25" t="str">
        <v>NY</v>
      </c>
      <c r="C122" s="25" t="str">
        <f>Sites[[#This Row],[SOL'#]]</f>
        <v>SOL-11189</v>
      </c>
      <c r="D122" s="54"/>
      <c r="E122" s="10"/>
      <c r="F122" s="10" t="str">
        <f t="shared" si="10"/>
        <v/>
      </c>
      <c r="G122" s="11" t="str">
        <f t="shared" ref="G122:G147" si="13">IFERROR(F122/E122, "")</f>
        <v/>
      </c>
      <c r="H122" s="67"/>
      <c r="I122" s="67" t="str">
        <f t="shared" si="9"/>
        <v/>
      </c>
      <c r="J122" s="13" t="str">
        <f t="shared" si="12"/>
        <v/>
      </c>
      <c r="K122" s="56"/>
      <c r="L122" s="37"/>
    </row>
    <row r="123" spans="1:14" ht="15.6">
      <c r="A123" s="26" t="str">
        <v>X093</v>
      </c>
      <c r="B123" s="27" t="str">
        <v>NY</v>
      </c>
      <c r="C123" s="27" t="str">
        <f>Sites[[#This Row],[SOL'#]]</f>
        <v>SOL-10932</v>
      </c>
      <c r="D123" s="66"/>
      <c r="E123" s="14"/>
      <c r="F123" s="14" t="str">
        <f t="shared" si="10"/>
        <v/>
      </c>
      <c r="G123" s="15" t="str">
        <f t="shared" si="13"/>
        <v/>
      </c>
      <c r="H123" s="69"/>
      <c r="I123" s="69" t="str">
        <f t="shared" si="9"/>
        <v/>
      </c>
      <c r="J123" s="15" t="str">
        <f t="shared" si="12"/>
        <v/>
      </c>
      <c r="K123" s="38"/>
      <c r="L123" s="115"/>
      <c r="M123" s="102"/>
    </row>
    <row r="124" spans="1:14" ht="15.6">
      <c r="A124" s="24" t="str">
        <v>X095</v>
      </c>
      <c r="B124" s="25" t="str">
        <v>NY</v>
      </c>
      <c r="C124" s="25" t="str">
        <f>Sites[[#This Row],[SOL'#]]</f>
        <v>SOL-10929</v>
      </c>
      <c r="D124" s="54"/>
      <c r="E124" s="10"/>
      <c r="F124" s="10" t="str">
        <f t="shared" si="10"/>
        <v/>
      </c>
      <c r="G124" s="11" t="str">
        <f t="shared" si="13"/>
        <v/>
      </c>
      <c r="H124" s="67"/>
      <c r="I124" s="67" t="str">
        <f t="shared" si="9"/>
        <v/>
      </c>
      <c r="J124" s="13" t="str">
        <f t="shared" si="12"/>
        <v/>
      </c>
      <c r="K124" s="56"/>
      <c r="L124" s="109"/>
    </row>
    <row r="125" spans="1:14" ht="15.6">
      <c r="A125" s="26" t="str">
        <v>X181</v>
      </c>
      <c r="B125" s="27" t="str">
        <v>NY</v>
      </c>
      <c r="C125" s="27" t="str">
        <f>Sites[[#This Row],[SOL'#]]</f>
        <v>SOL-10428</v>
      </c>
      <c r="D125" s="66"/>
      <c r="E125" s="14"/>
      <c r="F125" s="14" t="str">
        <f t="shared" si="10"/>
        <v/>
      </c>
      <c r="G125" s="15" t="str">
        <f t="shared" si="13"/>
        <v/>
      </c>
      <c r="H125" s="69"/>
      <c r="I125" s="69" t="str">
        <f t="shared" si="9"/>
        <v/>
      </c>
      <c r="J125" s="15" t="str">
        <f t="shared" si="12"/>
        <v/>
      </c>
      <c r="K125" s="38"/>
      <c r="L125" s="111"/>
    </row>
    <row r="126" spans="1:14" ht="15.6">
      <c r="A126" s="24" t="str">
        <v>X415</v>
      </c>
      <c r="B126" s="25" t="str">
        <v>NY</v>
      </c>
      <c r="C126" s="25" t="str">
        <f>Sites[[#This Row],[SOL'#]]</f>
        <v>SOL-10429</v>
      </c>
      <c r="D126" s="54"/>
      <c r="E126" s="10"/>
      <c r="F126" s="10" t="str">
        <f t="shared" si="10"/>
        <v/>
      </c>
      <c r="G126" s="11" t="str">
        <f t="shared" si="13"/>
        <v/>
      </c>
      <c r="H126" s="67"/>
      <c r="I126" s="67" t="str">
        <f t="shared" si="9"/>
        <v/>
      </c>
      <c r="J126" s="13" t="str">
        <f t="shared" si="12"/>
        <v/>
      </c>
      <c r="K126" s="56"/>
      <c r="L126" s="109"/>
    </row>
    <row r="127" spans="1:14" ht="15.6">
      <c r="A127" s="26" t="str">
        <v>K198</v>
      </c>
      <c r="B127" s="27" t="str">
        <v>NY</v>
      </c>
      <c r="C127" s="27" t="str">
        <f>Sites[[#This Row],[SOL'#]]</f>
        <v>SOL-10930</v>
      </c>
      <c r="D127" s="66"/>
      <c r="E127" s="14"/>
      <c r="F127" s="14" t="str">
        <f t="shared" si="10"/>
        <v/>
      </c>
      <c r="G127" s="15" t="str">
        <f t="shared" si="13"/>
        <v/>
      </c>
      <c r="H127" s="69"/>
      <c r="I127" s="69" t="str">
        <f t="shared" si="9"/>
        <v/>
      </c>
      <c r="J127" s="15" t="str">
        <f t="shared" si="12"/>
        <v/>
      </c>
      <c r="K127" s="38"/>
      <c r="L127" s="111"/>
    </row>
    <row r="128" spans="1:14" ht="15.6">
      <c r="A128" s="24" t="str">
        <v>K203</v>
      </c>
      <c r="B128" s="25" t="str">
        <v>NY</v>
      </c>
      <c r="C128" s="25" t="str">
        <f>Sites[[#This Row],[SOL'#]]</f>
        <v>SOL-11190</v>
      </c>
      <c r="D128" s="119"/>
      <c r="E128" s="10"/>
      <c r="F128" s="10" t="str">
        <f t="shared" si="10"/>
        <v/>
      </c>
      <c r="G128" s="11" t="str">
        <f t="shared" si="13"/>
        <v/>
      </c>
      <c r="H128" s="67"/>
      <c r="I128" s="67" t="str">
        <f t="shared" ref="I128:I146" si="14">IF(AND(ISNUMBER(D128),ISNUMBER(H128)), D128-H128, "")</f>
        <v/>
      </c>
      <c r="J128" s="13" t="str">
        <f t="shared" si="12"/>
        <v/>
      </c>
      <c r="K128" s="56"/>
      <c r="L128" s="109"/>
    </row>
    <row r="129" spans="1:14" ht="15.6">
      <c r="A129" s="26" t="str">
        <v>K213</v>
      </c>
      <c r="B129" s="27" t="str">
        <v>NY</v>
      </c>
      <c r="C129" s="27" t="str">
        <f>Sites[[#This Row],[SOL'#]]</f>
        <v>SOL-11191</v>
      </c>
      <c r="D129" s="66"/>
      <c r="E129" s="14"/>
      <c r="F129" s="14" t="str">
        <f t="shared" si="10"/>
        <v/>
      </c>
      <c r="G129" s="15" t="str">
        <f t="shared" si="13"/>
        <v/>
      </c>
      <c r="H129" s="69"/>
      <c r="I129" s="69" t="str">
        <f t="shared" si="14"/>
        <v/>
      </c>
      <c r="J129" s="15"/>
      <c r="K129" s="38"/>
      <c r="L129" s="17"/>
    </row>
    <row r="130" spans="1:14" ht="15.6">
      <c r="A130" s="24" t="str">
        <v>K217</v>
      </c>
      <c r="B130" s="25" t="str">
        <v>NY</v>
      </c>
      <c r="C130" s="25" t="str">
        <f>Sites[[#This Row],[SOL'#]]</f>
        <v>SOL-10933</v>
      </c>
      <c r="D130" s="54"/>
      <c r="E130" s="10"/>
      <c r="F130" s="10" t="str">
        <f t="shared" si="10"/>
        <v/>
      </c>
      <c r="G130" s="11" t="str">
        <f t="shared" si="13"/>
        <v/>
      </c>
      <c r="H130" s="67"/>
      <c r="I130" s="67" t="str">
        <f t="shared" si="14"/>
        <v/>
      </c>
      <c r="J130" s="13" t="str">
        <f t="shared" si="12"/>
        <v/>
      </c>
      <c r="K130" s="56"/>
      <c r="L130" s="109"/>
    </row>
    <row r="131" spans="1:14" ht="15.6">
      <c r="A131" s="26" t="str">
        <v>K307</v>
      </c>
      <c r="B131" s="27" t="str">
        <v>NY</v>
      </c>
      <c r="C131" s="27" t="str">
        <f>Sites[[#This Row],[SOL'#]]</f>
        <v>SOL-10876</v>
      </c>
      <c r="D131" s="66"/>
      <c r="E131" s="14"/>
      <c r="F131" s="14" t="str">
        <f t="shared" si="10"/>
        <v/>
      </c>
      <c r="G131" s="15" t="str">
        <f t="shared" si="13"/>
        <v/>
      </c>
      <c r="H131" s="69"/>
      <c r="I131" s="69" t="str">
        <f t="shared" si="14"/>
        <v/>
      </c>
      <c r="J131" s="15" t="str">
        <f t="shared" si="12"/>
        <v/>
      </c>
      <c r="K131" s="38"/>
      <c r="L131" s="17"/>
    </row>
    <row r="132" spans="1:14" ht="15.6">
      <c r="A132" s="24" t="str">
        <v>K610</v>
      </c>
      <c r="B132" s="25" t="str">
        <v>NY</v>
      </c>
      <c r="C132" s="25" t="str">
        <f>Sites[[#This Row],[SOL'#]]</f>
        <v>SOL-11158</v>
      </c>
      <c r="D132" s="54"/>
      <c r="E132" s="10"/>
      <c r="F132" s="10" t="str">
        <f t="shared" si="10"/>
        <v/>
      </c>
      <c r="G132" s="11" t="str">
        <f t="shared" si="13"/>
        <v/>
      </c>
      <c r="H132" s="67"/>
      <c r="I132" s="67" t="str">
        <f t="shared" si="14"/>
        <v/>
      </c>
      <c r="J132" s="13" t="str">
        <f t="shared" si="12"/>
        <v/>
      </c>
      <c r="K132" s="56"/>
      <c r="L132" s="37"/>
    </row>
    <row r="133" spans="1:14" ht="15.6">
      <c r="A133" s="26" t="str">
        <v>M025</v>
      </c>
      <c r="B133" s="27" t="str">
        <v>NY</v>
      </c>
      <c r="C133" s="27" t="str">
        <f>Sites[[#This Row],[SOL'#]]</f>
        <v>SOL-10392</v>
      </c>
      <c r="D133" s="66"/>
      <c r="E133" s="14"/>
      <c r="F133" s="14" t="str">
        <f t="shared" si="10"/>
        <v/>
      </c>
      <c r="G133" s="15" t="str">
        <f t="shared" si="13"/>
        <v/>
      </c>
      <c r="H133" s="69"/>
      <c r="I133" s="69" t="str">
        <f t="shared" si="14"/>
        <v/>
      </c>
      <c r="J133" s="15" t="str">
        <f t="shared" si="12"/>
        <v/>
      </c>
      <c r="K133" s="38"/>
      <c r="L133" s="115"/>
      <c r="M133" s="102"/>
    </row>
    <row r="134" spans="1:14" ht="15.6">
      <c r="A134" s="24" t="str">
        <v>M028</v>
      </c>
      <c r="B134" s="25" t="str">
        <v>NY</v>
      </c>
      <c r="C134" s="25" t="str">
        <f>Sites[[#This Row],[SOL'#]]</f>
        <v>SOL-10381</v>
      </c>
      <c r="D134" s="54"/>
      <c r="E134" s="10"/>
      <c r="F134" s="10" t="str">
        <f t="shared" si="10"/>
        <v/>
      </c>
      <c r="G134" s="11" t="str">
        <f t="shared" si="13"/>
        <v/>
      </c>
      <c r="H134" s="67"/>
      <c r="I134" s="67" t="str">
        <f t="shared" si="14"/>
        <v/>
      </c>
      <c r="J134" s="13" t="str">
        <f t="shared" si="12"/>
        <v/>
      </c>
      <c r="K134" s="56"/>
      <c r="L134" s="109"/>
    </row>
    <row r="135" spans="1:14" ht="15.6">
      <c r="A135" s="26" t="str">
        <v>Q030</v>
      </c>
      <c r="B135" s="27" t="str">
        <v>NY</v>
      </c>
      <c r="C135" s="27" t="str">
        <f>Sites[[#This Row],[SOL'#]]</f>
        <v>SOL-10878</v>
      </c>
      <c r="D135" s="66"/>
      <c r="E135" s="14"/>
      <c r="F135" s="14" t="str">
        <f t="shared" si="10"/>
        <v/>
      </c>
      <c r="G135" s="15" t="str">
        <f t="shared" si="13"/>
        <v/>
      </c>
      <c r="H135" s="69"/>
      <c r="I135" s="69" t="str">
        <f t="shared" si="14"/>
        <v/>
      </c>
      <c r="J135" s="15" t="str">
        <f t="shared" si="12"/>
        <v/>
      </c>
      <c r="K135" s="38"/>
      <c r="L135" s="17"/>
    </row>
    <row r="136" spans="1:14" ht="15.6">
      <c r="A136" s="24" t="str">
        <v>Q130</v>
      </c>
      <c r="B136" s="25" t="str">
        <v>NY</v>
      </c>
      <c r="C136" s="25" t="str">
        <f>Sites[[#This Row],[SOL'#]]</f>
        <v>SOL-10877</v>
      </c>
      <c r="D136" s="54"/>
      <c r="E136" s="10"/>
      <c r="F136" s="10" t="str">
        <f t="shared" si="10"/>
        <v/>
      </c>
      <c r="G136" s="11" t="str">
        <f t="shared" si="13"/>
        <v/>
      </c>
      <c r="H136" s="67"/>
      <c r="I136" s="67" t="str">
        <f t="shared" si="14"/>
        <v/>
      </c>
      <c r="J136" s="13" t="str">
        <f t="shared" si="12"/>
        <v/>
      </c>
      <c r="K136" s="56"/>
      <c r="L136" s="109"/>
    </row>
    <row r="137" spans="1:14" ht="15.6">
      <c r="A137" s="26" t="str">
        <v>Q196</v>
      </c>
      <c r="B137" s="27" t="str">
        <v>NY</v>
      </c>
      <c r="C137" s="27" t="str">
        <f>Sites[[#This Row],[SOL'#]]</f>
        <v>SOL-10879</v>
      </c>
      <c r="D137" s="66"/>
      <c r="E137" s="14"/>
      <c r="F137" s="14" t="str">
        <f t="shared" si="10"/>
        <v/>
      </c>
      <c r="G137" s="15" t="str">
        <f t="shared" si="13"/>
        <v/>
      </c>
      <c r="H137" s="69"/>
      <c r="I137" s="69" t="str">
        <f t="shared" si="14"/>
        <v/>
      </c>
      <c r="J137" s="15" t="str">
        <f t="shared" si="12"/>
        <v/>
      </c>
      <c r="K137" s="38"/>
      <c r="L137" s="111"/>
    </row>
    <row r="138" spans="1:14" ht="15.6">
      <c r="A138" s="24" t="str">
        <v>Q220</v>
      </c>
      <c r="B138" s="25" t="str">
        <v>NY</v>
      </c>
      <c r="C138" s="25" t="str">
        <f>Sites[[#This Row],[SOL'#]]</f>
        <v>SOL-10873</v>
      </c>
      <c r="D138" s="54"/>
      <c r="E138" s="10"/>
      <c r="F138" s="10" t="str">
        <f t="shared" si="10"/>
        <v/>
      </c>
      <c r="G138" s="11" t="str">
        <f t="shared" si="13"/>
        <v/>
      </c>
      <c r="H138" s="67"/>
      <c r="I138" s="67" t="str">
        <f t="shared" si="14"/>
        <v/>
      </c>
      <c r="J138" s="13" t="str">
        <f t="shared" si="12"/>
        <v/>
      </c>
      <c r="K138" s="56"/>
      <c r="L138" s="109"/>
    </row>
    <row r="139" spans="1:14" ht="15.6">
      <c r="A139" s="26" t="str">
        <v>Q205</v>
      </c>
      <c r="B139" s="27" t="str">
        <v>NY</v>
      </c>
      <c r="C139" s="27" t="str">
        <f>Sites[[#This Row],[SOL'#]]</f>
        <v>SOL-10922</v>
      </c>
      <c r="D139" s="66"/>
      <c r="E139" s="14"/>
      <c r="F139" s="14" t="str">
        <f t="shared" si="10"/>
        <v/>
      </c>
      <c r="G139" s="15" t="str">
        <f t="shared" si="13"/>
        <v/>
      </c>
      <c r="H139" s="69"/>
      <c r="I139" s="69" t="str">
        <f t="shared" si="14"/>
        <v/>
      </c>
      <c r="J139" s="15" t="str">
        <f t="shared" si="12"/>
        <v/>
      </c>
      <c r="K139" s="38"/>
      <c r="L139" s="17"/>
    </row>
    <row r="140" spans="1:14" ht="15.6">
      <c r="A140" s="24" t="str">
        <v>Q400</v>
      </c>
      <c r="B140" s="25" t="str">
        <v>NY</v>
      </c>
      <c r="C140" s="25" t="str">
        <f>Sites[[#This Row],[SOL'#]]</f>
        <v>SOL-10871</v>
      </c>
      <c r="D140" s="54"/>
      <c r="E140" s="10"/>
      <c r="F140" s="10" t="str">
        <f t="shared" si="10"/>
        <v/>
      </c>
      <c r="G140" s="11" t="str">
        <f t="shared" si="13"/>
        <v/>
      </c>
      <c r="H140" s="67"/>
      <c r="I140" s="67" t="str">
        <f t="shared" si="14"/>
        <v/>
      </c>
      <c r="J140" s="13" t="str">
        <f t="shared" si="12"/>
        <v/>
      </c>
      <c r="K140" s="56"/>
      <c r="L140" s="109"/>
      <c r="M140" s="102"/>
      <c r="N140" s="102"/>
    </row>
    <row r="141" spans="1:14" ht="15.6">
      <c r="A141" s="26" t="str">
        <v>R003</v>
      </c>
      <c r="B141" s="27" t="str">
        <v>NY</v>
      </c>
      <c r="C141" s="27" t="str">
        <f>Sites[[#This Row],[SOL'#]]</f>
        <v>SOL-10416</v>
      </c>
      <c r="D141" s="66"/>
      <c r="E141" s="14"/>
      <c r="F141" s="14" t="str">
        <f t="shared" si="10"/>
        <v/>
      </c>
      <c r="G141" s="15" t="str">
        <f t="shared" si="13"/>
        <v/>
      </c>
      <c r="H141" s="69"/>
      <c r="I141" s="69" t="str">
        <f t="shared" si="14"/>
        <v/>
      </c>
      <c r="J141" s="15" t="str">
        <f t="shared" si="12"/>
        <v/>
      </c>
      <c r="K141" s="38"/>
      <c r="L141" s="111"/>
    </row>
    <row r="142" spans="1:14" ht="15.6">
      <c r="A142" s="24" t="str">
        <v>R007</v>
      </c>
      <c r="B142" s="25" t="str">
        <v>NY</v>
      </c>
      <c r="C142" s="25" t="str">
        <f>Sites[[#This Row],[SOL'#]]</f>
        <v>SOL-10417</v>
      </c>
      <c r="D142" s="54"/>
      <c r="E142" s="10"/>
      <c r="F142" s="10" t="str">
        <f t="shared" si="10"/>
        <v/>
      </c>
      <c r="G142" s="11" t="str">
        <f t="shared" si="13"/>
        <v/>
      </c>
      <c r="H142" s="67"/>
      <c r="I142" s="67" t="str">
        <f t="shared" si="14"/>
        <v/>
      </c>
      <c r="J142" s="13" t="str">
        <f t="shared" si="12"/>
        <v/>
      </c>
      <c r="K142" s="56"/>
      <c r="L142" s="37"/>
    </row>
    <row r="143" spans="1:14" ht="15.6">
      <c r="A143" s="26" t="str">
        <v>BK16</v>
      </c>
      <c r="B143" s="27" t="str">
        <v>NY</v>
      </c>
      <c r="C143" s="27" t="str">
        <f>Sites[[#This Row],[SOL'#]]</f>
        <v>SOL-11093</v>
      </c>
      <c r="D143" s="66"/>
      <c r="E143" s="14"/>
      <c r="F143" s="14" t="str">
        <f t="shared" si="10"/>
        <v/>
      </c>
      <c r="G143" s="15" t="str">
        <f t="shared" si="13"/>
        <v/>
      </c>
      <c r="H143" s="69"/>
      <c r="I143" s="69" t="str">
        <f t="shared" si="14"/>
        <v/>
      </c>
      <c r="J143" s="15" t="str">
        <f t="shared" si="12"/>
        <v/>
      </c>
      <c r="K143" s="38"/>
      <c r="L143" s="115"/>
      <c r="M143" s="102"/>
    </row>
    <row r="144" spans="1:14" ht="15.6">
      <c r="A144" s="24" t="str">
        <v>Trenton - Trenton East</v>
      </c>
      <c r="B144" s="25" t="str">
        <v>IL</v>
      </c>
      <c r="C144" s="25" t="str">
        <f>Sites[[#This Row],[SOL'#]]</f>
        <v>SOL-11060</v>
      </c>
      <c r="D144" s="54"/>
      <c r="E144" s="10"/>
      <c r="F144" s="10" t="str">
        <f t="shared" si="10"/>
        <v/>
      </c>
      <c r="G144" s="11" t="str">
        <f t="shared" si="13"/>
        <v/>
      </c>
      <c r="H144" s="67"/>
      <c r="I144" s="67" t="str">
        <f t="shared" si="14"/>
        <v/>
      </c>
      <c r="J144" s="13" t="str">
        <f t="shared" si="12"/>
        <v/>
      </c>
      <c r="K144" s="56"/>
      <c r="L144" s="116"/>
    </row>
    <row r="145" spans="1:13" ht="15.6">
      <c r="A145" s="26" t="str">
        <v>Trenton - Trenton West</v>
      </c>
      <c r="B145" s="27" t="str">
        <v>IL</v>
      </c>
      <c r="C145" s="27" t="str">
        <f>Sites[[#This Row],[SOL'#]]</f>
        <v>SOL-11061</v>
      </c>
      <c r="D145" s="66"/>
      <c r="E145" s="14"/>
      <c r="F145" s="14" t="str">
        <f t="shared" si="10"/>
        <v/>
      </c>
      <c r="G145" s="68" t="str">
        <f t="shared" si="13"/>
        <v/>
      </c>
      <c r="H145" s="69"/>
      <c r="I145" s="69" t="str">
        <f t="shared" si="14"/>
        <v/>
      </c>
      <c r="J145" s="15" t="str">
        <f t="shared" si="12"/>
        <v/>
      </c>
      <c r="K145" s="38"/>
      <c r="L145" s="104"/>
    </row>
    <row r="146" spans="1:13" ht="15.6">
      <c r="A146" s="24" t="str">
        <v>Dakota - Dakota Solar 1</v>
      </c>
      <c r="B146" s="25" t="str">
        <v>IL</v>
      </c>
      <c r="C146" s="25" t="str">
        <f>Sites[[#This Row],[SOL'#]]</f>
        <v>SOL-11113</v>
      </c>
      <c r="D146" s="54"/>
      <c r="E146" s="10"/>
      <c r="F146" s="10" t="str">
        <f>IF(AND(ISNUMBER(D146),ISNUMBER(E146)), D146-E146, "")</f>
        <v/>
      </c>
      <c r="G146" s="11" t="str">
        <f t="shared" si="13"/>
        <v/>
      </c>
      <c r="H146" s="67"/>
      <c r="I146" s="67" t="str">
        <f t="shared" si="14"/>
        <v/>
      </c>
      <c r="J146" s="13" t="str">
        <f t="shared" si="12"/>
        <v/>
      </c>
      <c r="K146" s="56"/>
      <c r="L146" s="116"/>
      <c r="M146" s="102"/>
    </row>
    <row r="147" spans="1:13" ht="15.6">
      <c r="A147" s="26" t="str">
        <v>X018</v>
      </c>
      <c r="B147" s="27" t="str">
        <v>NY</v>
      </c>
      <c r="C147" s="27" t="str">
        <f>Sites[[#This Row],[SOL'#]]</f>
        <v>SOL-10418</v>
      </c>
      <c r="D147" s="66"/>
      <c r="E147" s="14"/>
      <c r="F147" s="14" t="str">
        <f>IF(AND(ISNUMBER(D147),ISNUMBER(E147)), D147-E147, "")</f>
        <v/>
      </c>
      <c r="G147" s="68" t="str">
        <f t="shared" si="13"/>
        <v/>
      </c>
      <c r="H147" s="69"/>
      <c r="I147" s="69" t="str">
        <f t="shared" ref="I147:I153" si="15">IF(AND(ISNUMBER(D147),ISNUMBER(H147)), D147-H147, "")</f>
        <v/>
      </c>
      <c r="J147" s="15" t="str">
        <f t="shared" si="12"/>
        <v/>
      </c>
      <c r="K147" s="82"/>
      <c r="L147" s="115"/>
    </row>
    <row r="148" spans="1:13" ht="15.6">
      <c r="A148" s="24" t="str">
        <v>Janiak Solar</v>
      </c>
      <c r="B148" s="25" t="str">
        <v>NY</v>
      </c>
      <c r="C148" s="25" t="str">
        <f>Sites[[#This Row],[SOL'#]]</f>
        <v>SOL-10898</v>
      </c>
      <c r="D148" s="54"/>
      <c r="E148" s="10"/>
      <c r="F148" s="10" t="str">
        <f t="shared" ref="F148:F153" si="16">IF(AND(ISNUMBER(D148),ISNUMBER(E148)), D148-E148, "")</f>
        <v/>
      </c>
      <c r="G148" s="11" t="str">
        <f t="shared" ref="G148:G151" si="17">IFERROR(F148/E148, "")</f>
        <v/>
      </c>
      <c r="H148" s="67"/>
      <c r="I148" s="67" t="str">
        <f t="shared" si="15"/>
        <v/>
      </c>
      <c r="J148" s="13" t="str">
        <f t="shared" si="12"/>
        <v/>
      </c>
      <c r="K148" s="56"/>
      <c r="L148" s="116"/>
    </row>
    <row r="149" spans="1:13" ht="15.6">
      <c r="A149" s="26" t="str">
        <v>County Route 11B</v>
      </c>
      <c r="B149" s="27" t="str">
        <v>NY</v>
      </c>
      <c r="C149" s="27" t="str">
        <f>Sites[[#This Row],[SOL'#]]</f>
        <v>SOL-10983</v>
      </c>
      <c r="D149" s="66"/>
      <c r="E149" s="14"/>
      <c r="F149" s="14" t="str">
        <f t="shared" si="16"/>
        <v/>
      </c>
      <c r="G149" s="68" t="str">
        <f t="shared" si="17"/>
        <v/>
      </c>
      <c r="H149" s="69"/>
      <c r="I149" s="69" t="str">
        <f t="shared" si="15"/>
        <v/>
      </c>
      <c r="J149" s="15" t="str">
        <f t="shared" si="12"/>
        <v/>
      </c>
      <c r="L149" s="111"/>
    </row>
    <row r="150" spans="1:13" ht="15.6">
      <c r="A150" s="24" t="str">
        <v>Barone</v>
      </c>
      <c r="B150" s="25" t="str">
        <v>NY</v>
      </c>
      <c r="C150" s="25" t="str">
        <f>Sites[[#This Row],[SOL'#]]</f>
        <v>SOL-11034</v>
      </c>
      <c r="D150" s="54"/>
      <c r="E150" s="10"/>
      <c r="F150" s="10" t="str">
        <f t="shared" si="16"/>
        <v/>
      </c>
      <c r="G150" s="11" t="str">
        <f t="shared" si="17"/>
        <v/>
      </c>
      <c r="H150" s="67"/>
      <c r="I150" s="67" t="str">
        <f t="shared" si="15"/>
        <v/>
      </c>
      <c r="J150" s="13" t="str">
        <f t="shared" si="12"/>
        <v/>
      </c>
      <c r="K150" s="56"/>
      <c r="L150" s="116"/>
      <c r="M150" s="102"/>
    </row>
    <row r="151" spans="1:13" ht="15.6">
      <c r="A151" s="26" t="str">
        <v>Cedarville</v>
      </c>
      <c r="B151" s="27" t="str">
        <v>IL</v>
      </c>
      <c r="C151" s="27" t="str">
        <f>Sites[[#This Row],[SOL'#]]</f>
        <v>SOL-11069</v>
      </c>
      <c r="D151" s="66"/>
      <c r="E151" s="14"/>
      <c r="F151" s="14" t="str">
        <f t="shared" si="16"/>
        <v/>
      </c>
      <c r="G151" s="68" t="str">
        <f t="shared" si="17"/>
        <v/>
      </c>
      <c r="H151" s="69"/>
      <c r="I151" s="69" t="str">
        <f t="shared" si="15"/>
        <v/>
      </c>
      <c r="J151" s="15" t="str">
        <f t="shared" si="12"/>
        <v/>
      </c>
      <c r="K151" s="81"/>
      <c r="L151" s="115"/>
    </row>
    <row r="152" spans="1:13" ht="15.6">
      <c r="A152" s="24" t="str">
        <v xml:space="preserve"> O'Brien Hill #1</v>
      </c>
      <c r="B152" s="25" t="str">
        <v>NY</v>
      </c>
      <c r="C152" s="25" t="str">
        <f>Sites[[#This Row],[SOL'#]]</f>
        <v>SOL-11098</v>
      </c>
      <c r="D152" s="54"/>
      <c r="E152" s="10"/>
      <c r="F152" s="10" t="str">
        <f t="shared" si="16"/>
        <v/>
      </c>
      <c r="G152" s="11" t="str">
        <f t="shared" ref="G152:G164" si="18">IFERROR(F152/E152, "")</f>
        <v/>
      </c>
      <c r="H152" s="67"/>
      <c r="I152" s="67" t="str">
        <f t="shared" si="15"/>
        <v/>
      </c>
      <c r="J152" s="13" t="str">
        <f t="shared" ref="J152:J164" si="19">IFERROR(I152/H152, "")</f>
        <v/>
      </c>
      <c r="K152" s="56"/>
      <c r="L152" s="116"/>
    </row>
    <row r="153" spans="1:13" ht="15.6">
      <c r="A153" s="26" t="str">
        <v xml:space="preserve"> O'Brien Hill #2</v>
      </c>
      <c r="B153" s="27" t="str">
        <v>NY</v>
      </c>
      <c r="C153" s="27" t="str">
        <f>Sites[[#This Row],[SOL'#]]</f>
        <v>SOL-11099</v>
      </c>
      <c r="D153" s="66"/>
      <c r="E153" s="14"/>
      <c r="F153" s="14" t="str">
        <f t="shared" si="16"/>
        <v/>
      </c>
      <c r="G153" s="68" t="str">
        <f t="shared" si="18"/>
        <v/>
      </c>
      <c r="H153" s="69"/>
      <c r="I153" s="69" t="str">
        <f t="shared" si="15"/>
        <v/>
      </c>
      <c r="J153" s="15" t="str">
        <f t="shared" si="19"/>
        <v/>
      </c>
      <c r="K153" s="81"/>
      <c r="L153" s="115"/>
    </row>
    <row r="154" spans="1:13" ht="15.6">
      <c r="A154" s="24" t="str">
        <v>Trinity - Freeport</v>
      </c>
      <c r="B154" s="25" t="str">
        <v>IL</v>
      </c>
      <c r="C154" s="25" t="str">
        <f>Sites[[#This Row],[SOL'#]]</f>
        <v>SOL-11057</v>
      </c>
      <c r="D154" s="54"/>
      <c r="E154" s="10"/>
      <c r="F154" s="10" t="str">
        <f t="shared" ref="F154:F164" si="20">IF(AND(ISNUMBER(D154),ISNUMBER(E154)), D154-E154, "")</f>
        <v/>
      </c>
      <c r="G154" s="11" t="str">
        <f t="shared" si="18"/>
        <v/>
      </c>
      <c r="H154" s="67"/>
      <c r="I154" s="67" t="str">
        <f t="shared" ref="I154:I164" si="21">IF(AND(ISNUMBER(D154),ISNUMBER(H154)), D154-H154, "")</f>
        <v/>
      </c>
      <c r="J154" s="64" t="str">
        <f t="shared" si="19"/>
        <v/>
      </c>
      <c r="K154" s="56"/>
      <c r="L154" s="116"/>
    </row>
    <row r="155" spans="1:13" ht="15.6">
      <c r="A155" s="26" t="str">
        <v>Ransom</v>
      </c>
      <c r="B155" s="27" t="str">
        <v>NY</v>
      </c>
      <c r="C155" s="27" t="str">
        <f>Sites[[#This Row],[SOL'#]]</f>
        <v>SOL-11157</v>
      </c>
      <c r="D155" s="66"/>
      <c r="E155" s="14"/>
      <c r="F155" s="14" t="str">
        <f t="shared" si="20"/>
        <v/>
      </c>
      <c r="G155" s="68" t="str">
        <f t="shared" si="18"/>
        <v/>
      </c>
      <c r="H155" s="69"/>
      <c r="I155" s="69" t="str">
        <f t="shared" si="21"/>
        <v/>
      </c>
      <c r="J155" s="68" t="str">
        <f t="shared" si="19"/>
        <v/>
      </c>
      <c r="K155" s="81"/>
      <c r="L155" s="115"/>
    </row>
    <row r="156" spans="1:13" ht="15.6">
      <c r="A156" s="24" t="str">
        <v>Horseheads - Wedge</v>
      </c>
      <c r="B156" s="25" t="str">
        <v>NY</v>
      </c>
      <c r="C156" s="25" t="str">
        <f>Sites[[#This Row],[SOL'#]]</f>
        <v>SOL-11160</v>
      </c>
      <c r="D156" s="54"/>
      <c r="E156" s="10"/>
      <c r="F156" s="10" t="str">
        <f t="shared" si="20"/>
        <v/>
      </c>
      <c r="G156" s="11" t="str">
        <f t="shared" si="18"/>
        <v/>
      </c>
      <c r="H156" s="67"/>
      <c r="I156" s="67" t="str">
        <f t="shared" si="21"/>
        <v/>
      </c>
      <c r="J156" s="64" t="str">
        <f t="shared" si="19"/>
        <v/>
      </c>
      <c r="K156" s="56"/>
      <c r="L156" s="116"/>
    </row>
    <row r="157" spans="1:13" ht="15.6">
      <c r="A157" s="26" t="str">
        <v>Otisville - Shoddy Hollow</v>
      </c>
      <c r="B157" s="27" t="str">
        <v>NY</v>
      </c>
      <c r="C157" s="27" t="str">
        <f>Sites[[#This Row],[SOL'#]]</f>
        <v>SOL-11185</v>
      </c>
      <c r="D157" s="66"/>
      <c r="E157" s="14"/>
      <c r="F157" s="14" t="str">
        <f t="shared" si="20"/>
        <v/>
      </c>
      <c r="G157" s="68" t="str">
        <f t="shared" si="18"/>
        <v/>
      </c>
      <c r="H157" s="69"/>
      <c r="I157" s="69" t="str">
        <f t="shared" si="21"/>
        <v/>
      </c>
      <c r="J157" s="68" t="str">
        <f t="shared" si="19"/>
        <v/>
      </c>
      <c r="K157" s="81"/>
      <c r="L157" s="115"/>
    </row>
    <row r="158" spans="1:13" ht="15.6">
      <c r="A158" s="24" t="str">
        <v>Wellsville - Chenunda Creek</v>
      </c>
      <c r="B158" s="25" t="str">
        <v>NY</v>
      </c>
      <c r="C158" s="25" t="str">
        <f>Sites[[#This Row],[SOL'#]]</f>
        <v>SOL-11187</v>
      </c>
      <c r="D158" s="54"/>
      <c r="E158" s="10"/>
      <c r="F158" s="10" t="str">
        <f t="shared" si="20"/>
        <v/>
      </c>
      <c r="G158" s="11" t="str">
        <f t="shared" si="18"/>
        <v/>
      </c>
      <c r="H158" s="67"/>
      <c r="I158" s="67" t="str">
        <f t="shared" si="21"/>
        <v/>
      </c>
      <c r="J158" s="64" t="str">
        <f t="shared" si="19"/>
        <v/>
      </c>
      <c r="K158" s="56"/>
      <c r="L158" s="116"/>
    </row>
    <row r="159" spans="1:13" ht="15.6">
      <c r="A159" s="26" t="str">
        <v>DC: Washington - Essex Condominium</v>
      </c>
      <c r="B159" s="27" t="str">
        <v>DC</v>
      </c>
      <c r="C159" s="27" t="str">
        <f>Sites[[#This Row],[SOL'#]]</f>
        <v>SOL-10036</v>
      </c>
      <c r="D159" s="66"/>
      <c r="E159" s="14"/>
      <c r="F159" s="14" t="str">
        <f t="shared" si="20"/>
        <v/>
      </c>
      <c r="G159" s="68" t="str">
        <f t="shared" si="18"/>
        <v/>
      </c>
      <c r="H159" s="69"/>
      <c r="I159" s="69" t="str">
        <f t="shared" si="21"/>
        <v/>
      </c>
      <c r="J159" s="68" t="str">
        <f t="shared" si="19"/>
        <v/>
      </c>
      <c r="K159" s="81"/>
      <c r="L159" s="115"/>
    </row>
    <row r="160" spans="1:13" ht="15.6">
      <c r="A160" s="24" t="str">
        <v>HI: Waipahu - 94-246 Leoku St - E.F.G.</v>
      </c>
      <c r="B160" s="25" t="str">
        <v>HI</v>
      </c>
      <c r="C160" s="25" t="str">
        <f>Sites[[#This Row],[SOL'#]]</f>
        <v>SOL-10071</v>
      </c>
      <c r="D160" s="54"/>
      <c r="E160" s="10"/>
      <c r="F160" s="10" t="str">
        <f t="shared" si="20"/>
        <v/>
      </c>
      <c r="G160" s="55" t="str">
        <f t="shared" si="18"/>
        <v/>
      </c>
      <c r="H160" s="67"/>
      <c r="I160" s="67" t="str">
        <f t="shared" si="21"/>
        <v/>
      </c>
      <c r="J160" s="64" t="str">
        <f t="shared" si="19"/>
        <v/>
      </c>
      <c r="K160" s="56"/>
      <c r="L160" s="116"/>
    </row>
    <row r="161" spans="1:12" ht="15.6">
      <c r="A161" s="26" t="str">
        <v>HI: Waipahu - 94-099 Waipahu St - PV</v>
      </c>
      <c r="B161" s="27" t="str">
        <v>HI</v>
      </c>
      <c r="C161" s="27" t="str">
        <f>Sites[[#This Row],[SOL'#]]</f>
        <v>SOL-10068</v>
      </c>
      <c r="D161" s="66"/>
      <c r="E161" s="14"/>
      <c r="F161" s="14" t="str">
        <f t="shared" si="20"/>
        <v/>
      </c>
      <c r="G161" s="68" t="str">
        <f t="shared" si="18"/>
        <v/>
      </c>
      <c r="H161" s="69"/>
      <c r="I161" s="69" t="str">
        <f t="shared" si="21"/>
        <v/>
      </c>
      <c r="J161" s="68" t="str">
        <f t="shared" si="19"/>
        <v/>
      </c>
      <c r="K161" s="81"/>
      <c r="L161" s="115"/>
    </row>
    <row r="162" spans="1:12" ht="15.6">
      <c r="A162" s="24" t="str">
        <v>IL: Prophetstown - 5170 Yager Road (PW)</v>
      </c>
      <c r="B162" s="25" t="str">
        <v>IL</v>
      </c>
      <c r="C162" s="25" t="str">
        <f>Sites[[#This Row],[SOL'#]]</f>
        <v>SOL-11149</v>
      </c>
      <c r="D162" s="54"/>
      <c r="E162" s="10"/>
      <c r="F162" s="10" t="str">
        <f t="shared" si="20"/>
        <v/>
      </c>
      <c r="G162" s="55" t="str">
        <f t="shared" si="18"/>
        <v/>
      </c>
      <c r="H162" s="67"/>
      <c r="I162" s="67" t="str">
        <f t="shared" si="21"/>
        <v/>
      </c>
      <c r="J162" s="64" t="str">
        <f t="shared" si="19"/>
        <v/>
      </c>
      <c r="K162" s="56"/>
      <c r="L162" s="116"/>
    </row>
    <row r="163" spans="1:12" ht="15.6">
      <c r="A163" s="26" t="str">
        <v>IL: Viola - Goldenrod - (PW)</v>
      </c>
      <c r="B163" s="27" t="str">
        <v>IL</v>
      </c>
      <c r="C163" s="27" t="str">
        <f>Sites[[#This Row],[SOL'#]]</f>
        <v>SOL-11132</v>
      </c>
      <c r="D163" s="66"/>
      <c r="E163" s="14"/>
      <c r="F163" s="14" t="str">
        <f t="shared" si="20"/>
        <v/>
      </c>
      <c r="G163" s="68" t="str">
        <f t="shared" si="18"/>
        <v/>
      </c>
      <c r="H163" s="69"/>
      <c r="I163" s="69" t="str">
        <f t="shared" si="21"/>
        <v/>
      </c>
      <c r="J163" s="68" t="str">
        <f t="shared" si="19"/>
        <v/>
      </c>
      <c r="K163" s="81"/>
      <c r="L163" s="115"/>
    </row>
    <row r="164" spans="1:12" ht="15.6">
      <c r="A164" s="24" t="str">
        <v>IL: Marengo - Grant - (PW)</v>
      </c>
      <c r="B164" s="25" t="str">
        <v>IL</v>
      </c>
      <c r="C164" s="25" t="str">
        <f>Sites[[#This Row],[SOL'#]]</f>
        <v>SOL-11147</v>
      </c>
      <c r="D164" s="54"/>
      <c r="E164" s="10"/>
      <c r="F164" s="10" t="str">
        <f t="shared" si="20"/>
        <v/>
      </c>
      <c r="G164" s="55" t="str">
        <f t="shared" si="18"/>
        <v/>
      </c>
      <c r="H164" s="67"/>
      <c r="I164" s="67" t="str">
        <f t="shared" si="21"/>
        <v/>
      </c>
      <c r="J164" s="64" t="str">
        <f t="shared" si="19"/>
        <v/>
      </c>
      <c r="K164" s="56"/>
      <c r="L164" s="116"/>
    </row>
    <row r="165" spans="1:12" ht="15.6">
      <c r="A165" s="26" t="str">
        <v>NY: Cambridge - Cambridge (PW)</v>
      </c>
      <c r="B165" s="27" t="str">
        <v>NY</v>
      </c>
      <c r="C165" s="27" t="str">
        <f>Sites[[#This Row],[SOL'#]]</f>
        <v>SOL-11126</v>
      </c>
      <c r="D165" s="66"/>
      <c r="E165" s="14"/>
      <c r="F165" s="14" t="str">
        <f t="shared" ref="F165:F173" si="22">IF(AND(ISNUMBER(D165),ISNUMBER(E165)), D165-E165, "")</f>
        <v/>
      </c>
      <c r="G165" s="68" t="str">
        <f t="shared" ref="G165:G173" si="23">IFERROR(F165/E165, "")</f>
        <v/>
      </c>
      <c r="H165" s="69"/>
      <c r="I165" s="69" t="str">
        <f t="shared" ref="I165:I173" si="24">IF(AND(ISNUMBER(D165),ISNUMBER(H165)), D165-H165, "")</f>
        <v/>
      </c>
      <c r="J165" s="68" t="str">
        <f t="shared" ref="J165:J173" si="25">IFERROR(I165/H165, "")</f>
        <v/>
      </c>
      <c r="K165" s="81"/>
      <c r="L165" s="115"/>
    </row>
    <row r="166" spans="1:12" ht="15.6">
      <c r="A166" s="24" t="str">
        <v>NY: Whitesville - Independence North</v>
      </c>
      <c r="B166" s="25" t="str">
        <v>NY</v>
      </c>
      <c r="C166" s="25" t="str">
        <f>Sites[[#This Row],[SOL'#]]</f>
        <v>SOL-11186</v>
      </c>
      <c r="D166" s="54"/>
      <c r="E166" s="10"/>
      <c r="F166" s="10" t="str">
        <f t="shared" si="22"/>
        <v/>
      </c>
      <c r="G166" s="55" t="str">
        <f t="shared" si="23"/>
        <v/>
      </c>
      <c r="H166" s="67"/>
      <c r="I166" s="67" t="str">
        <f t="shared" si="24"/>
        <v/>
      </c>
      <c r="J166" s="64" t="str">
        <f t="shared" si="25"/>
        <v/>
      </c>
      <c r="K166" s="56"/>
      <c r="L166" s="116"/>
    </row>
    <row r="167" spans="1:12" ht="15.6">
      <c r="A167" s="26" t="str">
        <v>IL: Beecher - Cottage Grove North (PW)</v>
      </c>
      <c r="B167" s="27" t="str">
        <v>IL</v>
      </c>
      <c r="C167" s="27" t="str">
        <f>Sites[[#This Row],[SOL'#]]</f>
        <v>SOL-11114</v>
      </c>
      <c r="D167" s="66"/>
      <c r="E167" s="14"/>
      <c r="F167" s="14" t="str">
        <f t="shared" si="22"/>
        <v/>
      </c>
      <c r="G167" s="68" t="str">
        <f t="shared" si="23"/>
        <v/>
      </c>
      <c r="H167" s="69"/>
      <c r="I167" s="69" t="str">
        <f t="shared" si="24"/>
        <v/>
      </c>
      <c r="J167" s="68" t="str">
        <f t="shared" si="25"/>
        <v/>
      </c>
      <c r="K167" s="81"/>
      <c r="L167" s="115"/>
    </row>
    <row r="168" spans="1:12" ht="15.6">
      <c r="A168" s="24" t="str">
        <v>IL: Beecher - Cottage Grove South (PW)</v>
      </c>
      <c r="B168" s="25" t="str">
        <v>IL</v>
      </c>
      <c r="C168" s="25" t="str">
        <f>Sites[[#This Row],[SOL'#]]</f>
        <v>SOL-11115</v>
      </c>
      <c r="D168" s="54"/>
      <c r="E168" s="10"/>
      <c r="F168" s="10" t="str">
        <f t="shared" si="22"/>
        <v/>
      </c>
      <c r="G168" s="55" t="str">
        <f t="shared" si="23"/>
        <v/>
      </c>
      <c r="H168" s="67"/>
      <c r="I168" s="67" t="str">
        <f t="shared" si="24"/>
        <v/>
      </c>
      <c r="J168" s="64" t="str">
        <f t="shared" si="25"/>
        <v/>
      </c>
      <c r="K168" s="56"/>
      <c r="L168" s="116"/>
    </row>
    <row r="169" spans="1:12" ht="15.6">
      <c r="A169" s="26" t="str">
        <v>IL: Harvard - 9618 US HWY 14 (PW)</v>
      </c>
      <c r="B169" s="27" t="str">
        <v>IL</v>
      </c>
      <c r="C169" s="27" t="str">
        <f>Sites[[#This Row],[SOL'#]]</f>
        <v>SOL-11110</v>
      </c>
      <c r="D169" s="66"/>
      <c r="E169" s="14"/>
      <c r="F169" s="14" t="str">
        <f t="shared" si="22"/>
        <v/>
      </c>
      <c r="G169" s="68" t="str">
        <f t="shared" si="23"/>
        <v/>
      </c>
      <c r="H169" s="69"/>
      <c r="I169" s="69" t="str">
        <f t="shared" si="24"/>
        <v/>
      </c>
      <c r="J169" s="68" t="str">
        <f t="shared" si="25"/>
        <v/>
      </c>
      <c r="K169" s="81"/>
      <c r="L169" s="115"/>
    </row>
    <row r="170" spans="1:12" ht="15.6">
      <c r="A170" s="24" t="str">
        <v>IL: Beecher - 701 E Goodenow Rd (PW)</v>
      </c>
      <c r="B170" s="25" t="str">
        <v>IL</v>
      </c>
      <c r="C170" s="25" t="str">
        <f>Sites[[#This Row],[SOL'#]]</f>
        <v>SOL-11112</v>
      </c>
      <c r="D170" s="54"/>
      <c r="E170" s="10"/>
      <c r="F170" s="10" t="str">
        <f t="shared" si="22"/>
        <v/>
      </c>
      <c r="G170" s="55" t="str">
        <f t="shared" si="23"/>
        <v/>
      </c>
      <c r="H170" s="67"/>
      <c r="I170" s="67" t="str">
        <f t="shared" si="24"/>
        <v/>
      </c>
      <c r="J170" s="64" t="str">
        <f t="shared" si="25"/>
        <v/>
      </c>
      <c r="K170" s="56"/>
      <c r="L170" s="116"/>
    </row>
    <row r="171" spans="1:12" ht="15.6">
      <c r="A171" s="26" t="str">
        <v>NY: Stormville - Green Haven - (IRA)</v>
      </c>
      <c r="B171" s="27" t="str">
        <v>NY</v>
      </c>
      <c r="C171" s="27" t="str">
        <f>Sites[[#This Row],[SOL'#]]</f>
        <v>SOL-11151</v>
      </c>
      <c r="D171" s="66"/>
      <c r="E171" s="14"/>
      <c r="F171" s="14" t="str">
        <f t="shared" si="22"/>
        <v/>
      </c>
      <c r="G171" s="68" t="str">
        <f t="shared" si="23"/>
        <v/>
      </c>
      <c r="H171" s="69"/>
      <c r="I171" s="69" t="str">
        <f t="shared" si="24"/>
        <v/>
      </c>
      <c r="J171" s="68" t="str">
        <f t="shared" si="25"/>
        <v/>
      </c>
      <c r="K171" s="81"/>
      <c r="L171" s="115"/>
    </row>
    <row r="172" spans="1:12" ht="15.6">
      <c r="A172" s="24" t="str">
        <v>IL: Hillsboro - Anacott (PW)</v>
      </c>
      <c r="B172" s="25" t="str">
        <v>IL</v>
      </c>
      <c r="C172" s="25" t="str">
        <f>Sites[[#This Row],[SOL'#]]</f>
        <v>SOL-11134</v>
      </c>
      <c r="D172" s="54"/>
      <c r="E172" s="10"/>
      <c r="F172" s="10" t="str">
        <f t="shared" si="22"/>
        <v/>
      </c>
      <c r="G172" s="55" t="str">
        <f t="shared" si="23"/>
        <v/>
      </c>
      <c r="H172" s="67"/>
      <c r="I172" s="67" t="str">
        <f t="shared" si="24"/>
        <v/>
      </c>
      <c r="J172" s="64" t="str">
        <f t="shared" si="25"/>
        <v/>
      </c>
      <c r="K172" s="56"/>
      <c r="L172" s="116"/>
    </row>
    <row r="173" spans="1:12" ht="15.6">
      <c r="A173" s="26" t="str">
        <v>IL: Manhattan - Gougar (PW)</v>
      </c>
      <c r="B173" s="27" t="str">
        <v>IL</v>
      </c>
      <c r="C173" s="27" t="str">
        <f>Sites[[#This Row],[SOL'#]]</f>
        <v>SOL-11148</v>
      </c>
      <c r="D173" s="66"/>
      <c r="E173" s="14"/>
      <c r="F173" s="14" t="str">
        <f t="shared" si="22"/>
        <v/>
      </c>
      <c r="G173" s="68" t="str">
        <f t="shared" si="23"/>
        <v/>
      </c>
      <c r="H173" s="69"/>
      <c r="I173" s="69" t="str">
        <f t="shared" si="24"/>
        <v/>
      </c>
      <c r="J173" s="68" t="str">
        <f t="shared" si="25"/>
        <v/>
      </c>
      <c r="K173" s="81"/>
      <c r="L173" s="115"/>
    </row>
    <row r="174" spans="1:12">
      <c r="A174" t="str">
        <v>IL: Morrison - Sawyer (PW)</v>
      </c>
      <c r="B174" s="30" t="str">
        <v>IL</v>
      </c>
    </row>
    <row r="175" spans="1:12">
      <c r="A175" t="str">
        <v>IL: Kankakee - Jeffery (PW)</v>
      </c>
      <c r="B175" s="30" t="str">
        <v>IL</v>
      </c>
    </row>
    <row r="176" spans="1:12">
      <c r="A176" t="str">
        <v>IL: Freeport - 2240 South 18th Ave (PW)</v>
      </c>
      <c r="B176" s="30" t="str">
        <v>IL</v>
      </c>
    </row>
  </sheetData>
  <mergeCells count="4">
    <mergeCell ref="H1:J1"/>
    <mergeCell ref="A1:D1"/>
    <mergeCell ref="E1:G1"/>
    <mergeCell ref="A2:B2"/>
  </mergeCells>
  <phoneticPr fontId="40" type="noConversion"/>
  <conditionalFormatting sqref="G2 J2 G4:G173 J4:J173">
    <cfRule type="cellIs" dxfId="38" priority="17" stopIfTrue="1" operator="lessThanOrEqual">
      <formula>-0.1</formula>
    </cfRule>
    <cfRule type="expression" dxfId="37" priority="18">
      <formula>AND(ISNUMBER(G2), G2&gt;=0.1)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176"/>
  <sheetViews>
    <sheetView zoomScale="40" zoomScaleNormal="40" workbookViewId="0">
      <pane xSplit="2" ySplit="3" topLeftCell="C139"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95" t="str" cm="1">
        <f t="array" ref="A1">portfolio</f>
        <v>Generate Capital</v>
      </c>
      <c r="B1" s="195"/>
      <c r="C1" s="195"/>
      <c r="D1" s="195"/>
      <c r="E1" s="196" t="s">
        <v>374</v>
      </c>
      <c r="F1" s="196"/>
      <c r="G1" s="196"/>
      <c r="H1" s="194" t="s">
        <v>375</v>
      </c>
      <c r="I1" s="194"/>
      <c r="J1" s="194"/>
      <c r="K1" s="4"/>
      <c r="L1" s="4"/>
    </row>
    <row r="2" spans="1:17" ht="19.5" customHeight="1">
      <c r="A2" s="197" t="s">
        <v>2</v>
      </c>
      <c r="B2" s="197"/>
      <c r="C2" s="57"/>
      <c r="D2" s="5">
        <f>SUM(D4:D96)</f>
        <v>0</v>
      </c>
      <c r="E2" s="5">
        <f>SUM(E4:E96)</f>
        <v>0</v>
      </c>
      <c r="F2" s="5">
        <f>D2-E2</f>
        <v>0</v>
      </c>
      <c r="G2" s="6">
        <f>IFERROR(F2/E2, 0)</f>
        <v>0</v>
      </c>
      <c r="H2" s="5">
        <f>SUM(H4:H96)</f>
        <v>0</v>
      </c>
      <c r="I2" s="7">
        <f>D2-H2</f>
        <v>0</v>
      </c>
      <c r="J2" s="6">
        <f>IFERROR(I2/H2, 0)</f>
        <v>0</v>
      </c>
      <c r="K2" s="22"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7" ht="14.25" customHeight="1">
      <c r="A3" s="8" t="s">
        <v>3</v>
      </c>
      <c r="B3" s="8" t="s">
        <v>4</v>
      </c>
      <c r="C3" s="8" t="s">
        <v>5</v>
      </c>
      <c r="D3" s="19" t="s">
        <v>6</v>
      </c>
      <c r="E3" s="31" t="s">
        <v>7</v>
      </c>
      <c r="F3" s="31" t="s">
        <v>8</v>
      </c>
      <c r="G3" s="32" t="s">
        <v>9</v>
      </c>
      <c r="H3" s="33" t="s">
        <v>10</v>
      </c>
      <c r="I3" s="34" t="s">
        <v>8</v>
      </c>
      <c r="J3" s="35" t="s">
        <v>9</v>
      </c>
      <c r="K3" s="21" t="s">
        <v>24</v>
      </c>
      <c r="L3" s="21" t="s">
        <v>25</v>
      </c>
    </row>
    <row r="4" spans="1:17" ht="15.6">
      <c r="A4" s="26" t="str" cm="1">
        <f t="array" ref="A4:A176">Sites[Site]</f>
        <v>K026</v>
      </c>
      <c r="B4" s="27" t="str" cm="1">
        <f t="array" ref="B4:B176">Sites[State]</f>
        <v>NY</v>
      </c>
      <c r="C4" s="27" t="str">
        <f>Sites[[#This Row],[SOL'#]]</f>
        <v>SOL-10356</v>
      </c>
      <c r="D4" s="9"/>
      <c r="E4" s="14"/>
      <c r="F4" s="14" t="str">
        <f t="shared" ref="F4:F60" si="0">IF(AND(ISNUMBER(D4),ISNUMBER(E4)), D4-E4, "")</f>
        <v/>
      </c>
      <c r="G4" s="15" t="str">
        <f t="shared" ref="G4:G60" si="1">IFERROR(F4/E4, "")</f>
        <v/>
      </c>
      <c r="H4" s="16"/>
      <c r="I4" s="16" t="str">
        <f t="shared" ref="I4:I64" si="2">IF(AND(ISNUMBER(D4),ISNUMBER(H4)), D4-H4, "")</f>
        <v/>
      </c>
      <c r="J4" s="15" t="str">
        <f t="shared" ref="J4:J64" si="3">IFERROR(I4/H4, "")</f>
        <v/>
      </c>
      <c r="K4" s="38"/>
      <c r="L4" s="39"/>
      <c r="M4" s="103"/>
      <c r="N4" s="103"/>
      <c r="O4" s="103"/>
      <c r="P4" s="103"/>
      <c r="Q4" s="103"/>
    </row>
    <row r="5" spans="1:17" ht="15.6">
      <c r="A5" s="24" t="str">
        <v>K041</v>
      </c>
      <c r="B5" s="25" t="str">
        <v>NY</v>
      </c>
      <c r="C5" s="25" t="str">
        <f>Sites[[#This Row],[SOL'#]]</f>
        <v>SOL-10357</v>
      </c>
      <c r="D5" s="20"/>
      <c r="E5" s="10"/>
      <c r="F5" s="10" t="str">
        <f t="shared" si="0"/>
        <v/>
      </c>
      <c r="G5" s="11" t="str">
        <f t="shared" si="1"/>
        <v/>
      </c>
      <c r="H5" s="12"/>
      <c r="I5" s="12" t="str">
        <f t="shared" si="2"/>
        <v/>
      </c>
      <c r="J5" s="13" t="str">
        <f t="shared" si="3"/>
        <v/>
      </c>
      <c r="K5" s="37"/>
      <c r="L5" s="37"/>
      <c r="M5" s="103"/>
      <c r="N5" s="103"/>
      <c r="O5" s="103"/>
      <c r="P5" s="103"/>
      <c r="Q5" s="103"/>
    </row>
    <row r="6" spans="1:17" ht="66.75" customHeight="1">
      <c r="A6" s="26" t="str">
        <v>K043</v>
      </c>
      <c r="B6" s="27" t="str">
        <v>NY</v>
      </c>
      <c r="C6" s="27" t="str">
        <f>Sites[[#This Row],[SOL'#]]</f>
        <v>SOL-10358</v>
      </c>
      <c r="D6" s="9"/>
      <c r="E6" s="14"/>
      <c r="F6" s="14" t="str">
        <f t="shared" si="0"/>
        <v/>
      </c>
      <c r="G6" s="15" t="str">
        <f t="shared" si="1"/>
        <v/>
      </c>
      <c r="H6" s="16"/>
      <c r="I6" s="16" t="str">
        <f t="shared" si="2"/>
        <v/>
      </c>
      <c r="J6" s="15" t="str">
        <f t="shared" si="3"/>
        <v/>
      </c>
      <c r="K6" s="50"/>
      <c r="L6" s="112"/>
      <c r="M6" s="103"/>
      <c r="N6" s="103"/>
      <c r="O6" s="103"/>
      <c r="P6" s="103"/>
      <c r="Q6" s="103"/>
    </row>
    <row r="7" spans="1:17" ht="17.25" customHeight="1">
      <c r="A7" s="24" t="str">
        <v>K058</v>
      </c>
      <c r="B7" s="25" t="str">
        <v>NY</v>
      </c>
      <c r="C7" s="25" t="str">
        <f>Sites[[#This Row],[SOL'#]]</f>
        <v>SOL-10360</v>
      </c>
      <c r="D7" s="20"/>
      <c r="E7" s="10"/>
      <c r="F7" s="10" t="str">
        <f t="shared" si="0"/>
        <v/>
      </c>
      <c r="G7" s="11" t="str">
        <f t="shared" si="1"/>
        <v/>
      </c>
      <c r="H7" s="12"/>
      <c r="I7" s="12" t="str">
        <f t="shared" si="2"/>
        <v/>
      </c>
      <c r="J7" s="13" t="str">
        <f t="shared" si="3"/>
        <v/>
      </c>
      <c r="K7" s="37"/>
      <c r="L7" s="109"/>
      <c r="M7" s="103"/>
      <c r="N7" s="103"/>
      <c r="O7" s="103"/>
      <c r="P7" s="103"/>
      <c r="Q7" s="103"/>
    </row>
    <row r="8" spans="1:17" ht="15.6">
      <c r="A8" s="26" t="str">
        <v>K115</v>
      </c>
      <c r="B8" s="27" t="str">
        <v>NY</v>
      </c>
      <c r="C8" s="27" t="str">
        <f>Sites[[#This Row],[SOL'#]]</f>
        <v>SOL-10361</v>
      </c>
      <c r="D8" s="9"/>
      <c r="E8" s="14"/>
      <c r="F8" s="14" t="str">
        <f t="shared" si="0"/>
        <v/>
      </c>
      <c r="G8" s="15" t="str">
        <f t="shared" si="1"/>
        <v/>
      </c>
      <c r="H8" s="16"/>
      <c r="I8" s="16" t="str">
        <f t="shared" si="2"/>
        <v/>
      </c>
      <c r="J8" s="15" t="str">
        <f t="shared" si="3"/>
        <v/>
      </c>
      <c r="K8" s="38"/>
      <c r="L8" s="112"/>
      <c r="M8" s="103"/>
      <c r="N8" s="103"/>
      <c r="O8" s="103"/>
      <c r="P8" s="103"/>
      <c r="Q8" s="103"/>
    </row>
    <row r="9" spans="1:17" ht="15.6">
      <c r="A9" s="24" t="str">
        <v>K152</v>
      </c>
      <c r="B9" s="25" t="str">
        <v>NY</v>
      </c>
      <c r="C9" s="25" t="str">
        <f>Sites[[#This Row],[SOL'#]]</f>
        <v>SOL-10362</v>
      </c>
      <c r="D9" s="20"/>
      <c r="E9" s="10"/>
      <c r="F9" s="10" t="str">
        <f t="shared" si="0"/>
        <v/>
      </c>
      <c r="G9" s="11" t="str">
        <f t="shared" si="1"/>
        <v/>
      </c>
      <c r="H9" s="12"/>
      <c r="I9" s="12" t="str">
        <f t="shared" si="2"/>
        <v/>
      </c>
      <c r="J9" s="13" t="str">
        <f t="shared" si="3"/>
        <v/>
      </c>
      <c r="K9" s="37"/>
      <c r="L9" s="37"/>
      <c r="M9" s="103"/>
      <c r="N9" s="103"/>
      <c r="O9" s="103"/>
      <c r="P9" s="103"/>
      <c r="Q9" s="103"/>
    </row>
    <row r="10" spans="1:17" ht="15.6">
      <c r="A10" s="26" t="str">
        <v>K166</v>
      </c>
      <c r="B10" s="27" t="str">
        <v>NY</v>
      </c>
      <c r="C10" s="27" t="str">
        <f>Sites[[#This Row],[SOL'#]]</f>
        <v>SOL-10363</v>
      </c>
      <c r="D10" s="9"/>
      <c r="E10" s="14"/>
      <c r="F10" s="14" t="str">
        <f t="shared" si="0"/>
        <v/>
      </c>
      <c r="G10" s="15" t="str">
        <f t="shared" si="1"/>
        <v/>
      </c>
      <c r="H10" s="16"/>
      <c r="I10" s="16" t="str">
        <f t="shared" si="2"/>
        <v/>
      </c>
      <c r="J10" s="15" t="str">
        <f t="shared" si="3"/>
        <v/>
      </c>
      <c r="K10" s="38"/>
      <c r="L10" s="39"/>
      <c r="M10" s="103"/>
      <c r="N10" s="103"/>
      <c r="O10" s="103"/>
      <c r="P10" s="103"/>
      <c r="Q10" s="103"/>
    </row>
    <row r="11" spans="1:17" ht="15.6">
      <c r="A11" s="24" t="str">
        <v>K206</v>
      </c>
      <c r="B11" s="25" t="str">
        <v>NY</v>
      </c>
      <c r="C11" s="25" t="str">
        <f>Sites[[#This Row],[SOL'#]]</f>
        <v>SOL-10927</v>
      </c>
      <c r="D11" s="20"/>
      <c r="E11" s="10"/>
      <c r="F11" s="10" t="str">
        <f t="shared" si="0"/>
        <v/>
      </c>
      <c r="G11" s="11" t="str">
        <f t="shared" si="1"/>
        <v/>
      </c>
      <c r="H11" s="12"/>
      <c r="I11" s="12" t="str">
        <f t="shared" si="2"/>
        <v/>
      </c>
      <c r="J11" s="13" t="str">
        <f t="shared" si="3"/>
        <v/>
      </c>
      <c r="K11" s="37"/>
      <c r="L11" s="37"/>
      <c r="M11" s="103"/>
      <c r="N11" s="103"/>
      <c r="O11" s="103"/>
      <c r="P11" s="103"/>
      <c r="Q11" s="103"/>
    </row>
    <row r="12" spans="1:17" ht="15.6">
      <c r="A12" s="26" t="str">
        <v>K251</v>
      </c>
      <c r="B12" s="27" t="str">
        <v>NY</v>
      </c>
      <c r="C12" s="27" t="str">
        <f>Sites[[#This Row],[SOL'#]]</f>
        <v>SOL-10365</v>
      </c>
      <c r="D12" s="9"/>
      <c r="E12" s="14"/>
      <c r="F12" s="14" t="str">
        <f t="shared" si="0"/>
        <v/>
      </c>
      <c r="G12" s="15" t="str">
        <f t="shared" si="1"/>
        <v/>
      </c>
      <c r="H12" s="16"/>
      <c r="I12" s="16" t="str">
        <f t="shared" si="2"/>
        <v/>
      </c>
      <c r="J12" s="15" t="str">
        <f t="shared" si="3"/>
        <v/>
      </c>
      <c r="K12" s="38"/>
      <c r="L12" s="112"/>
      <c r="M12" s="103"/>
      <c r="N12" s="103"/>
      <c r="O12" s="103"/>
      <c r="P12" s="103"/>
      <c r="Q12" s="103"/>
    </row>
    <row r="13" spans="1:17" ht="15.6">
      <c r="A13" s="24" t="str">
        <v>K269</v>
      </c>
      <c r="B13" s="25" t="str">
        <v>NY</v>
      </c>
      <c r="C13" s="25" t="str">
        <f>Sites[[#This Row],[SOL'#]]</f>
        <v>SOL-10366</v>
      </c>
      <c r="D13" s="20"/>
      <c r="E13" s="10"/>
      <c r="F13" s="10" t="str">
        <f t="shared" si="0"/>
        <v/>
      </c>
      <c r="G13" s="11" t="str">
        <f t="shared" si="1"/>
        <v/>
      </c>
      <c r="H13" s="12"/>
      <c r="I13" s="12" t="str">
        <f t="shared" si="2"/>
        <v/>
      </c>
      <c r="J13" s="13" t="str">
        <f t="shared" si="3"/>
        <v/>
      </c>
      <c r="K13" s="37"/>
      <c r="L13" s="37"/>
      <c r="M13" s="103"/>
      <c r="N13" s="103"/>
      <c r="O13" s="103"/>
      <c r="P13" s="103"/>
      <c r="Q13" s="103"/>
    </row>
    <row r="14" spans="1:17" ht="15.6">
      <c r="A14" s="26" t="str">
        <v>K273</v>
      </c>
      <c r="B14" s="27" t="str">
        <v>NY</v>
      </c>
      <c r="C14" s="27" t="str">
        <f>Sites[[#This Row],[SOL'#]]</f>
        <v>SOL-10367</v>
      </c>
      <c r="D14" s="9"/>
      <c r="E14" s="14"/>
      <c r="F14" s="14" t="str">
        <f t="shared" si="0"/>
        <v/>
      </c>
      <c r="G14" s="15" t="str">
        <f t="shared" si="1"/>
        <v/>
      </c>
      <c r="H14" s="16"/>
      <c r="I14" s="16" t="str">
        <f t="shared" si="2"/>
        <v/>
      </c>
      <c r="J14" s="15" t="str">
        <f t="shared" si="3"/>
        <v/>
      </c>
      <c r="K14" s="38"/>
      <c r="L14" s="112"/>
      <c r="M14" s="102"/>
      <c r="N14" s="102"/>
      <c r="O14" s="103"/>
      <c r="P14" s="103"/>
      <c r="Q14" s="103"/>
    </row>
    <row r="15" spans="1:17" ht="15.6">
      <c r="A15" s="24" t="str">
        <v>K287</v>
      </c>
      <c r="B15" s="25" t="str">
        <v>NY</v>
      </c>
      <c r="C15" s="25" t="str">
        <f>Sites[[#This Row],[SOL'#]]</f>
        <v>SOL-10919</v>
      </c>
      <c r="D15" s="20"/>
      <c r="E15" s="10"/>
      <c r="F15" s="10" t="str">
        <f t="shared" si="0"/>
        <v/>
      </c>
      <c r="G15" s="11" t="str">
        <f t="shared" si="1"/>
        <v/>
      </c>
      <c r="H15" s="12"/>
      <c r="I15" s="12" t="str">
        <f t="shared" si="2"/>
        <v/>
      </c>
      <c r="J15" s="13" t="str">
        <f t="shared" si="3"/>
        <v/>
      </c>
      <c r="K15" s="37"/>
      <c r="L15" s="37"/>
      <c r="M15" s="103"/>
      <c r="N15" s="103"/>
      <c r="O15" s="103"/>
      <c r="P15" s="103"/>
      <c r="Q15" s="103"/>
    </row>
    <row r="16" spans="1:17" ht="15.6">
      <c r="A16" s="26" t="str">
        <v>K298</v>
      </c>
      <c r="B16" s="27" t="str">
        <v>NY</v>
      </c>
      <c r="C16" s="27" t="str">
        <f>Sites[[#This Row],[SOL'#]]</f>
        <v>SOL-10368</v>
      </c>
      <c r="D16" s="9"/>
      <c r="E16" s="14"/>
      <c r="F16" s="14" t="str">
        <f t="shared" si="0"/>
        <v/>
      </c>
      <c r="G16" s="15" t="str">
        <f t="shared" si="1"/>
        <v/>
      </c>
      <c r="H16" s="16"/>
      <c r="I16" s="16" t="str">
        <f t="shared" si="2"/>
        <v/>
      </c>
      <c r="J16" s="15" t="str">
        <f t="shared" si="3"/>
        <v/>
      </c>
      <c r="K16" s="38"/>
      <c r="L16" s="112"/>
      <c r="M16" s="102"/>
      <c r="N16" s="103"/>
      <c r="O16" s="103"/>
      <c r="P16" s="103"/>
      <c r="Q16" s="103"/>
    </row>
    <row r="17" spans="1:17" ht="15.6">
      <c r="A17" s="24" t="str">
        <v>K335</v>
      </c>
      <c r="B17" s="25" t="str">
        <v>NY</v>
      </c>
      <c r="C17" s="25" t="str">
        <f>Sites[[#This Row],[SOL'#]]</f>
        <v>SOL-10370</v>
      </c>
      <c r="D17" s="20"/>
      <c r="E17" s="10"/>
      <c r="F17" s="10" t="str">
        <f t="shared" si="0"/>
        <v/>
      </c>
      <c r="G17" s="11" t="str">
        <f t="shared" si="1"/>
        <v/>
      </c>
      <c r="H17" s="12"/>
      <c r="I17" s="12" t="str">
        <f t="shared" si="2"/>
        <v/>
      </c>
      <c r="J17" s="13" t="str">
        <f t="shared" si="3"/>
        <v/>
      </c>
      <c r="K17" s="37"/>
      <c r="L17" s="37"/>
      <c r="M17" s="103"/>
      <c r="N17" s="103"/>
      <c r="O17" s="103"/>
      <c r="P17" s="103"/>
      <c r="Q17" s="103"/>
    </row>
    <row r="18" spans="1:17" ht="15.6">
      <c r="A18" s="26" t="str">
        <v>K345</v>
      </c>
      <c r="B18" s="27" t="str">
        <v>NY</v>
      </c>
      <c r="C18" s="27" t="str">
        <f>Sites[[#This Row],[SOL'#]]</f>
        <v>SOL-10920</v>
      </c>
      <c r="D18" s="9"/>
      <c r="E18" s="14"/>
      <c r="F18" s="14" t="str">
        <f t="shared" si="0"/>
        <v/>
      </c>
      <c r="G18" s="15" t="str">
        <f t="shared" si="1"/>
        <v/>
      </c>
      <c r="H18" s="16"/>
      <c r="I18" s="16" t="str">
        <f t="shared" si="2"/>
        <v/>
      </c>
      <c r="J18" s="15" t="str">
        <f t="shared" si="3"/>
        <v/>
      </c>
      <c r="K18" s="38"/>
      <c r="L18" s="39"/>
      <c r="M18" s="103"/>
      <c r="N18" s="103"/>
      <c r="O18" s="103"/>
      <c r="P18" s="103"/>
      <c r="Q18" s="103"/>
    </row>
    <row r="19" spans="1:17" ht="15.6">
      <c r="A19" s="24" t="str">
        <v>K445</v>
      </c>
      <c r="B19" s="25" t="str">
        <v>NY</v>
      </c>
      <c r="C19" s="25" t="str">
        <f>Sites[[#This Row],[SOL'#]]</f>
        <v>SOL-10373</v>
      </c>
      <c r="D19" s="20"/>
      <c r="E19" s="10"/>
      <c r="F19" s="10" t="str">
        <f t="shared" si="0"/>
        <v/>
      </c>
      <c r="G19" s="11" t="str">
        <f t="shared" si="1"/>
        <v/>
      </c>
      <c r="H19" s="12"/>
      <c r="I19" s="12" t="str">
        <f t="shared" si="2"/>
        <v/>
      </c>
      <c r="J19" s="13" t="str">
        <f t="shared" si="3"/>
        <v/>
      </c>
      <c r="K19" s="37"/>
      <c r="L19" s="37"/>
      <c r="M19" s="103"/>
      <c r="N19" s="103"/>
      <c r="O19" s="103"/>
      <c r="P19" s="103"/>
      <c r="Q19" s="103"/>
    </row>
    <row r="20" spans="1:17" ht="51" customHeight="1">
      <c r="A20" s="26" t="str">
        <v>K495</v>
      </c>
      <c r="B20" s="27" t="str">
        <v>NY</v>
      </c>
      <c r="C20" s="27" t="str">
        <f>Sites[[#This Row],[SOL'#]]</f>
        <v>SOL-10374</v>
      </c>
      <c r="D20" s="9"/>
      <c r="E20" s="14"/>
      <c r="F20" s="14" t="str">
        <f t="shared" si="0"/>
        <v/>
      </c>
      <c r="G20" s="15" t="str">
        <f t="shared" si="1"/>
        <v/>
      </c>
      <c r="H20" s="16"/>
      <c r="I20" s="16" t="str">
        <f t="shared" si="2"/>
        <v/>
      </c>
      <c r="J20" s="15" t="str">
        <f t="shared" si="3"/>
        <v/>
      </c>
      <c r="K20" s="51"/>
      <c r="L20" s="99"/>
      <c r="M20" s="103"/>
      <c r="N20" s="103"/>
      <c r="O20" s="103"/>
      <c r="P20" s="103"/>
      <c r="Q20" s="103"/>
    </row>
    <row r="21" spans="1:17" ht="15.6">
      <c r="A21" s="24" t="str">
        <v>M020</v>
      </c>
      <c r="B21" s="25" t="str">
        <v>NY</v>
      </c>
      <c r="C21" s="25" t="str">
        <f>Sites[[#This Row],[SOL'#]]</f>
        <v>SOL-10380</v>
      </c>
      <c r="D21" s="20"/>
      <c r="E21" s="10"/>
      <c r="F21" s="10" t="str">
        <f t="shared" si="0"/>
        <v/>
      </c>
      <c r="G21" s="11" t="str">
        <f t="shared" si="1"/>
        <v/>
      </c>
      <c r="H21" s="12"/>
      <c r="I21" s="12" t="str">
        <f t="shared" si="2"/>
        <v/>
      </c>
      <c r="J21" s="13" t="str">
        <f t="shared" si="3"/>
        <v/>
      </c>
      <c r="K21" s="37"/>
      <c r="L21" s="37"/>
      <c r="M21" s="103"/>
      <c r="N21" s="103"/>
      <c r="O21" s="103"/>
      <c r="P21" s="103"/>
      <c r="Q21" s="103"/>
    </row>
    <row r="22" spans="1:17" ht="15.6">
      <c r="A22" s="26" t="str">
        <v>M092</v>
      </c>
      <c r="B22" s="27" t="str">
        <v>NY</v>
      </c>
      <c r="C22" s="27" t="str">
        <f>Sites[[#This Row],[SOL'#]]</f>
        <v>SOL-10383</v>
      </c>
      <c r="D22" s="9"/>
      <c r="E22" s="14"/>
      <c r="F22" s="14" t="str">
        <f t="shared" si="0"/>
        <v/>
      </c>
      <c r="G22" s="15" t="str">
        <f t="shared" si="1"/>
        <v/>
      </c>
      <c r="H22" s="16"/>
      <c r="I22" s="16" t="str">
        <f t="shared" si="2"/>
        <v/>
      </c>
      <c r="J22" s="15" t="str">
        <f t="shared" si="3"/>
        <v/>
      </c>
      <c r="K22" s="38"/>
      <c r="L22" s="39"/>
      <c r="M22" s="103"/>
      <c r="N22" s="103"/>
      <c r="O22" s="103"/>
      <c r="P22" s="103"/>
      <c r="Q22" s="103"/>
    </row>
    <row r="23" spans="1:17" ht="15.6">
      <c r="A23" s="24" t="str">
        <v>M143</v>
      </c>
      <c r="B23" s="25" t="str">
        <v>NY</v>
      </c>
      <c r="C23" s="25" t="str">
        <f>Sites[[#This Row],[SOL'#]]</f>
        <v>SOL-10384</v>
      </c>
      <c r="D23" s="20"/>
      <c r="E23" s="10"/>
      <c r="F23" s="10" t="str">
        <f t="shared" si="0"/>
        <v/>
      </c>
      <c r="G23" s="11" t="str">
        <f t="shared" si="1"/>
        <v/>
      </c>
      <c r="H23" s="12"/>
      <c r="I23" s="12" t="str">
        <f t="shared" si="2"/>
        <v/>
      </c>
      <c r="J23" s="13" t="str">
        <f t="shared" si="3"/>
        <v/>
      </c>
      <c r="K23" s="37"/>
      <c r="L23" s="37"/>
      <c r="M23" s="103"/>
      <c r="N23" s="103"/>
      <c r="O23" s="103"/>
      <c r="P23" s="103"/>
      <c r="Q23" s="103"/>
    </row>
    <row r="24" spans="1:17" ht="15.6">
      <c r="A24" s="26" t="str">
        <v>M144</v>
      </c>
      <c r="B24" s="27" t="str">
        <v>NY</v>
      </c>
      <c r="C24" s="27" t="str">
        <f>Sites[[#This Row],[SOL'#]]</f>
        <v>SOL-10385</v>
      </c>
      <c r="D24" s="9"/>
      <c r="E24" s="14"/>
      <c r="F24" s="14" t="str">
        <f t="shared" si="0"/>
        <v/>
      </c>
      <c r="G24" s="15" t="str">
        <f t="shared" si="1"/>
        <v/>
      </c>
      <c r="H24" s="16"/>
      <c r="I24" s="16" t="str">
        <f t="shared" si="2"/>
        <v/>
      </c>
      <c r="J24" s="15" t="str">
        <f t="shared" si="3"/>
        <v/>
      </c>
      <c r="K24" s="38"/>
      <c r="L24" s="38"/>
      <c r="M24" s="103"/>
      <c r="N24" s="103"/>
      <c r="O24" s="103"/>
      <c r="P24" s="103"/>
      <c r="Q24" s="103"/>
    </row>
    <row r="25" spans="1:17" ht="15.6">
      <c r="A25" s="24" t="str">
        <v>M167</v>
      </c>
      <c r="B25" s="25" t="str">
        <v>NY</v>
      </c>
      <c r="C25" s="25" t="str">
        <f>Sites[[#This Row],[SOL'#]]</f>
        <v>SOL-10386</v>
      </c>
      <c r="D25" s="20"/>
      <c r="E25" s="10"/>
      <c r="F25" s="10" t="str">
        <f t="shared" si="0"/>
        <v/>
      </c>
      <c r="G25" s="11" t="str">
        <f t="shared" si="1"/>
        <v/>
      </c>
      <c r="H25" s="12"/>
      <c r="I25" s="12" t="str">
        <f t="shared" si="2"/>
        <v/>
      </c>
      <c r="J25" s="13" t="str">
        <f t="shared" si="3"/>
        <v/>
      </c>
      <c r="K25" s="37"/>
      <c r="L25" s="37"/>
      <c r="M25" s="103"/>
      <c r="N25" s="103"/>
      <c r="O25" s="103"/>
      <c r="P25" s="103"/>
      <c r="Q25" s="103"/>
    </row>
    <row r="26" spans="1:17" ht="72" customHeight="1">
      <c r="A26" s="26" t="str">
        <v>M188</v>
      </c>
      <c r="B26" s="27" t="str">
        <v>NY</v>
      </c>
      <c r="C26" s="27" t="str">
        <f>Sites[[#This Row],[SOL'#]]</f>
        <v>SOL-10387</v>
      </c>
      <c r="D26" s="9"/>
      <c r="E26" s="14"/>
      <c r="F26" s="14" t="str">
        <f t="shared" si="0"/>
        <v/>
      </c>
      <c r="G26" s="15" t="str">
        <f t="shared" si="1"/>
        <v/>
      </c>
      <c r="H26" s="16"/>
      <c r="I26" s="16" t="str">
        <f t="shared" si="2"/>
        <v/>
      </c>
      <c r="J26" s="15" t="str">
        <f t="shared" si="3"/>
        <v/>
      </c>
      <c r="K26" s="38"/>
      <c r="L26" s="110"/>
      <c r="M26" s="102"/>
      <c r="N26" s="103"/>
      <c r="O26" s="103"/>
      <c r="P26" s="103"/>
      <c r="Q26" s="103"/>
    </row>
    <row r="27" spans="1:17" ht="15.6">
      <c r="A27" s="24" t="str">
        <v>EMHC</v>
      </c>
      <c r="B27" s="25" t="str">
        <v>NY</v>
      </c>
      <c r="C27" s="25" t="str">
        <f>Sites[[#This Row],[SOL'#]]</f>
        <v>SOL-10351</v>
      </c>
      <c r="D27" s="20"/>
      <c r="E27" s="10"/>
      <c r="F27" s="10" t="str">
        <f t="shared" si="0"/>
        <v/>
      </c>
      <c r="G27" s="11" t="str">
        <f t="shared" si="1"/>
        <v/>
      </c>
      <c r="H27" s="12"/>
      <c r="I27" s="12" t="str">
        <f t="shared" si="2"/>
        <v/>
      </c>
      <c r="J27" s="13" t="str">
        <f t="shared" si="3"/>
        <v/>
      </c>
      <c r="K27" s="37"/>
      <c r="L27" s="37"/>
      <c r="M27" s="103"/>
      <c r="N27" s="103"/>
      <c r="O27" s="103"/>
      <c r="P27" s="103"/>
      <c r="Q27" s="103"/>
    </row>
    <row r="28" spans="1:17" ht="15.6">
      <c r="A28" s="26" t="str">
        <v>Q008</v>
      </c>
      <c r="B28" s="27" t="str">
        <v>NY</v>
      </c>
      <c r="C28" s="27" t="str">
        <f>Sites[[#This Row],[SOL'#]]</f>
        <v>SOL-10397</v>
      </c>
      <c r="D28" s="9"/>
      <c r="E28" s="14"/>
      <c r="F28" s="14" t="str">
        <f t="shared" si="0"/>
        <v/>
      </c>
      <c r="G28" s="15" t="str">
        <f t="shared" si="1"/>
        <v/>
      </c>
      <c r="H28" s="16"/>
      <c r="I28" s="16" t="str">
        <f t="shared" si="2"/>
        <v/>
      </c>
      <c r="J28" s="15" t="str">
        <f t="shared" si="3"/>
        <v/>
      </c>
      <c r="K28" s="38"/>
      <c r="L28" s="110"/>
      <c r="M28" s="102"/>
      <c r="N28" s="103"/>
      <c r="O28" s="103"/>
      <c r="P28" s="103"/>
      <c r="Q28" s="103"/>
    </row>
    <row r="29" spans="1:17" ht="15.6">
      <c r="A29" s="24" t="str">
        <v>Q018</v>
      </c>
      <c r="B29" s="25" t="str">
        <v>NY</v>
      </c>
      <c r="C29" s="25" t="str">
        <f>Sites[[#This Row],[SOL'#]]</f>
        <v>SOL-10398</v>
      </c>
      <c r="D29" s="20"/>
      <c r="E29" s="10"/>
      <c r="F29" s="10" t="str">
        <f t="shared" si="0"/>
        <v/>
      </c>
      <c r="G29" s="11" t="str">
        <f t="shared" si="1"/>
        <v/>
      </c>
      <c r="H29" s="12"/>
      <c r="I29" s="12" t="str">
        <f t="shared" si="2"/>
        <v/>
      </c>
      <c r="J29" s="13" t="str">
        <f t="shared" si="3"/>
        <v/>
      </c>
      <c r="K29" s="37"/>
      <c r="L29" s="37"/>
      <c r="M29" s="103"/>
      <c r="N29" s="103"/>
      <c r="O29" s="103"/>
      <c r="P29" s="103"/>
      <c r="Q29" s="103"/>
    </row>
    <row r="30" spans="1:17" ht="15.6">
      <c r="A30" s="26" t="str">
        <v>Q021</v>
      </c>
      <c r="B30" s="27" t="str">
        <v>NY</v>
      </c>
      <c r="C30" s="27" t="str">
        <f>Sites[[#This Row],[SOL'#]]</f>
        <v>SOL-10399</v>
      </c>
      <c r="D30" s="9"/>
      <c r="E30" s="14"/>
      <c r="F30" s="14" t="str">
        <f t="shared" si="0"/>
        <v/>
      </c>
      <c r="G30" s="15" t="str">
        <f t="shared" si="1"/>
        <v/>
      </c>
      <c r="H30" s="16"/>
      <c r="I30" s="16" t="str">
        <f t="shared" si="2"/>
        <v/>
      </c>
      <c r="J30" s="15" t="str">
        <f t="shared" si="3"/>
        <v/>
      </c>
      <c r="K30" s="38"/>
      <c r="L30" s="39"/>
      <c r="M30" s="103"/>
      <c r="N30" s="103"/>
      <c r="O30" s="103"/>
      <c r="P30" s="103"/>
      <c r="Q30" s="103"/>
    </row>
    <row r="31" spans="1:17" ht="15.6">
      <c r="A31" s="24" t="str">
        <v>Q025</v>
      </c>
      <c r="B31" s="25" t="str">
        <v>NY</v>
      </c>
      <c r="C31" s="25" t="str">
        <f>Sites[[#This Row],[SOL'#]]</f>
        <v>SOL-10400</v>
      </c>
      <c r="D31" s="20"/>
      <c r="E31" s="10"/>
      <c r="F31" s="10" t="str">
        <f t="shared" si="0"/>
        <v/>
      </c>
      <c r="G31" s="11" t="str">
        <f t="shared" si="1"/>
        <v/>
      </c>
      <c r="H31" s="12"/>
      <c r="I31" s="12" t="str">
        <f t="shared" si="2"/>
        <v/>
      </c>
      <c r="J31" s="13" t="str">
        <f t="shared" si="3"/>
        <v/>
      </c>
      <c r="K31" s="37"/>
      <c r="L31" s="37"/>
      <c r="M31" s="103"/>
      <c r="N31" s="103"/>
      <c r="O31" s="103"/>
      <c r="P31" s="103"/>
      <c r="Q31" s="103"/>
    </row>
    <row r="32" spans="1:17" ht="15.6">
      <c r="A32" s="26" t="str">
        <v>Q074</v>
      </c>
      <c r="B32" s="27" t="str">
        <v>NY</v>
      </c>
      <c r="C32" s="27" t="str">
        <f>Sites[[#This Row],[SOL'#]]</f>
        <v>SOL-10402</v>
      </c>
      <c r="D32" s="9"/>
      <c r="E32" s="14"/>
      <c r="F32" s="14" t="str">
        <f t="shared" si="0"/>
        <v/>
      </c>
      <c r="G32" s="15" t="str">
        <f t="shared" si="1"/>
        <v/>
      </c>
      <c r="H32" s="16"/>
      <c r="I32" s="16" t="str">
        <f t="shared" si="2"/>
        <v/>
      </c>
      <c r="J32" s="15" t="str">
        <f t="shared" si="3"/>
        <v/>
      </c>
      <c r="K32" s="38"/>
      <c r="L32" s="39"/>
      <c r="M32" s="103"/>
      <c r="N32" s="103"/>
      <c r="O32" s="103"/>
      <c r="P32" s="103"/>
      <c r="Q32" s="103"/>
    </row>
    <row r="33" spans="1:17" ht="15.6">
      <c r="A33" s="24" t="str">
        <v>Q115</v>
      </c>
      <c r="B33" s="25" t="str">
        <v>NY</v>
      </c>
      <c r="C33" s="25" t="str">
        <f>Sites[[#This Row],[SOL'#]]</f>
        <v>SOL-10872</v>
      </c>
      <c r="D33" s="20"/>
      <c r="E33" s="10"/>
      <c r="F33" s="10" t="str">
        <f t="shared" si="0"/>
        <v/>
      </c>
      <c r="G33" s="11" t="str">
        <f t="shared" si="1"/>
        <v/>
      </c>
      <c r="H33" s="12"/>
      <c r="I33" s="12" t="str">
        <f t="shared" si="2"/>
        <v/>
      </c>
      <c r="J33" s="13" t="str">
        <f t="shared" si="3"/>
        <v/>
      </c>
      <c r="K33" s="37"/>
      <c r="L33" s="37"/>
      <c r="M33" s="103"/>
      <c r="N33" s="103"/>
      <c r="O33" s="103"/>
      <c r="P33" s="103"/>
      <c r="Q33" s="103"/>
    </row>
    <row r="34" spans="1:17" ht="15.6">
      <c r="A34" s="26" t="str">
        <v>Q139</v>
      </c>
      <c r="B34" s="27" t="str">
        <v>NY</v>
      </c>
      <c r="C34" s="27" t="str">
        <f>Sites[[#This Row],[SOL'#]]</f>
        <v>SOL-10403</v>
      </c>
      <c r="D34" s="9"/>
      <c r="E34" s="14"/>
      <c r="F34" s="14" t="str">
        <f t="shared" si="0"/>
        <v/>
      </c>
      <c r="G34" s="15" t="str">
        <f t="shared" si="1"/>
        <v/>
      </c>
      <c r="H34" s="16"/>
      <c r="I34" s="16" t="str">
        <f t="shared" si="2"/>
        <v/>
      </c>
      <c r="J34" s="15" t="str">
        <f t="shared" si="3"/>
        <v/>
      </c>
      <c r="K34" s="38"/>
      <c r="L34" s="39"/>
      <c r="M34" s="103"/>
      <c r="N34" s="103"/>
      <c r="O34" s="103"/>
      <c r="P34" s="103"/>
      <c r="Q34" s="103"/>
    </row>
    <row r="35" spans="1:17" ht="114" customHeight="1">
      <c r="A35" s="24" t="str">
        <v>Q157</v>
      </c>
      <c r="B35" s="25" t="str">
        <v>NY</v>
      </c>
      <c r="C35" s="25" t="str">
        <f>Sites[[#This Row],[SOL'#]]</f>
        <v>SOL-10404</v>
      </c>
      <c r="D35" s="20"/>
      <c r="E35" s="10"/>
      <c r="F35" s="10" t="str">
        <f t="shared" si="0"/>
        <v/>
      </c>
      <c r="G35" s="11" t="str">
        <f t="shared" si="1"/>
        <v/>
      </c>
      <c r="H35" s="12"/>
      <c r="I35" s="12" t="str">
        <f t="shared" si="2"/>
        <v/>
      </c>
      <c r="J35" s="13" t="str">
        <f t="shared" si="3"/>
        <v/>
      </c>
      <c r="K35" s="37"/>
      <c r="L35" s="109"/>
      <c r="M35" s="102"/>
      <c r="N35" s="103"/>
      <c r="O35" s="103"/>
      <c r="P35" s="103"/>
      <c r="Q35" s="103"/>
    </row>
    <row r="36" spans="1:17" ht="15.6">
      <c r="A36" s="26" t="str">
        <v>Q192</v>
      </c>
      <c r="B36" s="27" t="str">
        <v>NY</v>
      </c>
      <c r="C36" s="27" t="str">
        <f>Sites[[#This Row],[SOL'#]]</f>
        <v>SOL-10406</v>
      </c>
      <c r="D36" s="9"/>
      <c r="E36" s="14"/>
      <c r="F36" s="14" t="str">
        <f t="shared" si="0"/>
        <v/>
      </c>
      <c r="G36" s="15" t="str">
        <f t="shared" si="1"/>
        <v/>
      </c>
      <c r="H36" s="16"/>
      <c r="I36" s="16" t="str">
        <f t="shared" si="2"/>
        <v/>
      </c>
      <c r="J36" s="15" t="str">
        <f t="shared" si="3"/>
        <v/>
      </c>
      <c r="K36" s="38"/>
      <c r="L36" s="38"/>
      <c r="M36" s="103"/>
      <c r="N36" s="103"/>
      <c r="O36" s="103"/>
      <c r="P36" s="103"/>
      <c r="Q36" s="103"/>
    </row>
    <row r="37" spans="1:17" ht="15.6">
      <c r="A37" s="24" t="str">
        <v>Q210</v>
      </c>
      <c r="B37" s="25" t="str">
        <v>NY</v>
      </c>
      <c r="C37" s="25" t="str">
        <f>Sites[[#This Row],[SOL'#]]</f>
        <v>SOL-10407</v>
      </c>
      <c r="D37" s="20"/>
      <c r="E37" s="10"/>
      <c r="F37" s="10" t="str">
        <f t="shared" si="0"/>
        <v/>
      </c>
      <c r="G37" s="11" t="str">
        <f t="shared" si="1"/>
        <v/>
      </c>
      <c r="H37" s="12"/>
      <c r="I37" s="12" t="str">
        <f t="shared" si="2"/>
        <v/>
      </c>
      <c r="J37" s="13" t="str">
        <f t="shared" si="3"/>
        <v/>
      </c>
      <c r="K37" s="37"/>
      <c r="L37" s="37"/>
      <c r="M37" s="103"/>
      <c r="N37" s="103"/>
      <c r="O37" s="103"/>
      <c r="P37" s="103"/>
      <c r="Q37" s="103"/>
    </row>
    <row r="38" spans="1:17" ht="15.6">
      <c r="A38" s="26" t="str">
        <v>Q229</v>
      </c>
      <c r="B38" s="27" t="str">
        <v>NY</v>
      </c>
      <c r="C38" s="27" t="str">
        <f>Sites[[#This Row],[SOL'#]]</f>
        <v>SOL-10408</v>
      </c>
      <c r="D38" s="9"/>
      <c r="E38" s="14"/>
      <c r="F38" s="14" t="str">
        <f t="shared" si="0"/>
        <v/>
      </c>
      <c r="G38" s="15" t="str">
        <f t="shared" si="1"/>
        <v/>
      </c>
      <c r="H38" s="16"/>
      <c r="I38" s="16" t="str">
        <f t="shared" si="2"/>
        <v/>
      </c>
      <c r="J38" s="15" t="str">
        <f t="shared" si="3"/>
        <v/>
      </c>
      <c r="K38" s="38"/>
      <c r="L38" s="39"/>
      <c r="M38" s="103"/>
      <c r="N38" s="103"/>
      <c r="O38" s="103"/>
      <c r="P38" s="103"/>
      <c r="Q38" s="103"/>
    </row>
    <row r="39" spans="1:17" ht="15.6">
      <c r="A39" s="24" t="str">
        <v>Q231</v>
      </c>
      <c r="B39" s="25" t="str">
        <v>NY</v>
      </c>
      <c r="C39" s="25" t="str">
        <f>Sites[[#This Row],[SOL'#]]</f>
        <v>SOL-10870</v>
      </c>
      <c r="D39" s="20"/>
      <c r="E39" s="10"/>
      <c r="F39" s="10" t="str">
        <f t="shared" si="0"/>
        <v/>
      </c>
      <c r="G39" s="11" t="str">
        <f t="shared" si="1"/>
        <v/>
      </c>
      <c r="H39" s="12"/>
      <c r="I39" s="12" t="str">
        <f t="shared" si="2"/>
        <v/>
      </c>
      <c r="J39" s="13" t="str">
        <f t="shared" si="3"/>
        <v/>
      </c>
      <c r="K39" s="37"/>
      <c r="L39" s="37"/>
      <c r="M39" s="103"/>
      <c r="N39" s="103"/>
      <c r="O39" s="103"/>
      <c r="P39" s="103"/>
      <c r="Q39" s="103"/>
    </row>
    <row r="40" spans="1:17" ht="15.6">
      <c r="A40" s="26" t="str">
        <v>Q405</v>
      </c>
      <c r="B40" s="27" t="str">
        <v>NY</v>
      </c>
      <c r="C40" s="27" t="str">
        <f>Sites[[#This Row],[SOL'#]]</f>
        <v>SOL-10409</v>
      </c>
      <c r="D40" s="9"/>
      <c r="E40" s="14"/>
      <c r="F40" s="14" t="str">
        <f t="shared" si="0"/>
        <v/>
      </c>
      <c r="G40" s="15" t="str">
        <f t="shared" si="1"/>
        <v/>
      </c>
      <c r="H40" s="16"/>
      <c r="I40" s="16" t="str">
        <f t="shared" si="2"/>
        <v/>
      </c>
      <c r="J40" s="15" t="str">
        <f t="shared" si="3"/>
        <v/>
      </c>
      <c r="K40" s="38"/>
      <c r="L40" s="39"/>
      <c r="M40" s="103"/>
      <c r="N40" s="103"/>
      <c r="O40" s="103"/>
      <c r="P40" s="103"/>
      <c r="Q40" s="103"/>
    </row>
    <row r="41" spans="1:17" ht="15.6">
      <c r="A41" s="24" t="str">
        <v>Q435</v>
      </c>
      <c r="B41" s="25" t="str">
        <v>NY</v>
      </c>
      <c r="C41" s="25" t="str">
        <f>Sites[[#This Row],[SOL'#]]</f>
        <v>SOL-10923</v>
      </c>
      <c r="D41" s="20"/>
      <c r="E41" s="10"/>
      <c r="F41" s="10" t="str">
        <f t="shared" si="0"/>
        <v/>
      </c>
      <c r="G41" s="11" t="str">
        <f t="shared" si="1"/>
        <v/>
      </c>
      <c r="H41" s="12"/>
      <c r="I41" s="12" t="str">
        <f t="shared" si="2"/>
        <v/>
      </c>
      <c r="J41" s="13" t="str">
        <f t="shared" si="3"/>
        <v/>
      </c>
      <c r="K41" s="53"/>
      <c r="L41" s="98"/>
      <c r="M41" s="102"/>
      <c r="N41" s="102"/>
      <c r="O41" s="103"/>
      <c r="P41" s="103"/>
      <c r="Q41" s="103"/>
    </row>
    <row r="42" spans="1:17" ht="69" customHeight="1">
      <c r="A42" s="26" t="str">
        <v>Q485</v>
      </c>
      <c r="B42" s="27" t="str">
        <v>NY</v>
      </c>
      <c r="C42" s="27" t="str">
        <f>Sites[[#This Row],[SOL'#]]</f>
        <v>SOL-10869</v>
      </c>
      <c r="D42" s="9"/>
      <c r="E42" s="14"/>
      <c r="F42" s="14" t="str">
        <f t="shared" si="0"/>
        <v/>
      </c>
      <c r="G42" s="15" t="str">
        <f t="shared" si="1"/>
        <v/>
      </c>
      <c r="H42" s="16"/>
      <c r="I42" s="16" t="str">
        <f t="shared" si="2"/>
        <v/>
      </c>
      <c r="J42" s="15" t="str">
        <f t="shared" si="3"/>
        <v/>
      </c>
      <c r="K42" s="38"/>
      <c r="L42" s="110"/>
      <c r="M42" s="102"/>
      <c r="N42" s="103"/>
      <c r="O42" s="103"/>
      <c r="P42" s="103"/>
      <c r="Q42" s="103"/>
    </row>
    <row r="43" spans="1:17" ht="48.75" customHeight="1">
      <c r="A43" s="24" t="str">
        <v>Q490</v>
      </c>
      <c r="B43" s="25" t="str">
        <v>NY</v>
      </c>
      <c r="C43" s="25" t="str">
        <f>Sites[[#This Row],[SOL'#]]</f>
        <v>SOL-10411</v>
      </c>
      <c r="D43" s="20"/>
      <c r="E43" s="10"/>
      <c r="F43" s="10" t="str">
        <f t="shared" si="0"/>
        <v/>
      </c>
      <c r="G43" s="11" t="str">
        <f t="shared" si="1"/>
        <v/>
      </c>
      <c r="H43" s="12"/>
      <c r="I43" s="12" t="str">
        <f t="shared" si="2"/>
        <v/>
      </c>
      <c r="J43" s="13" t="str">
        <f t="shared" si="3"/>
        <v/>
      </c>
      <c r="K43" s="37"/>
      <c r="L43" s="109"/>
      <c r="M43" s="103"/>
      <c r="N43" s="103"/>
      <c r="O43" s="103"/>
      <c r="P43" s="103"/>
      <c r="Q43" s="103"/>
    </row>
    <row r="44" spans="1:17" ht="15.6">
      <c r="A44" s="26" t="str">
        <v>Q620</v>
      </c>
      <c r="B44" s="27" t="str">
        <v>NY</v>
      </c>
      <c r="C44" s="27" t="str">
        <f>Sites[[#This Row],[SOL'#]]</f>
        <v>SOL-10867</v>
      </c>
      <c r="D44" s="9"/>
      <c r="E44" s="14"/>
      <c r="F44" s="14" t="str">
        <f t="shared" si="0"/>
        <v/>
      </c>
      <c r="G44" s="15" t="str">
        <f t="shared" si="1"/>
        <v/>
      </c>
      <c r="H44" s="16"/>
      <c r="I44" s="16" t="str">
        <f t="shared" si="2"/>
        <v/>
      </c>
      <c r="J44" s="15" t="str">
        <f t="shared" si="3"/>
        <v/>
      </c>
      <c r="K44" s="38"/>
      <c r="L44" s="39"/>
      <c r="M44" s="103"/>
      <c r="N44" s="103"/>
      <c r="O44" s="103"/>
      <c r="P44" s="103"/>
      <c r="Q44" s="103"/>
    </row>
    <row r="45" spans="1:17" ht="15.6">
      <c r="A45" s="24" t="str">
        <v>QMOA</v>
      </c>
      <c r="B45" s="25" t="str">
        <v>NY</v>
      </c>
      <c r="C45" s="25" t="str">
        <f>Sites[[#This Row],[SOL'#]]</f>
        <v>SOL-10415</v>
      </c>
      <c r="D45" s="20"/>
      <c r="E45" s="10"/>
      <c r="F45" s="10" t="str">
        <f t="shared" si="0"/>
        <v/>
      </c>
      <c r="G45" s="11" t="str">
        <f t="shared" si="1"/>
        <v/>
      </c>
      <c r="H45" s="12"/>
      <c r="I45" s="12" t="str">
        <f t="shared" si="2"/>
        <v/>
      </c>
      <c r="J45" s="13" t="str">
        <f t="shared" si="3"/>
        <v/>
      </c>
      <c r="K45" s="37"/>
      <c r="L45" s="37"/>
      <c r="M45" s="103"/>
      <c r="N45" s="103"/>
      <c r="O45" s="103"/>
      <c r="P45" s="103"/>
      <c r="Q45" s="103"/>
    </row>
    <row r="46" spans="1:17" ht="15.6">
      <c r="A46" s="26" t="str">
        <v>X024</v>
      </c>
      <c r="B46" s="27" t="str">
        <v>NY</v>
      </c>
      <c r="C46" s="27" t="str">
        <f>Sites[[#This Row],[SOL'#]]</f>
        <v>SOL-10419</v>
      </c>
      <c r="D46" s="9"/>
      <c r="E46" s="14"/>
      <c r="F46" s="14" t="str">
        <f t="shared" si="0"/>
        <v/>
      </c>
      <c r="G46" s="15" t="str">
        <f t="shared" si="1"/>
        <v/>
      </c>
      <c r="H46" s="16"/>
      <c r="I46" s="16" t="str">
        <f t="shared" si="2"/>
        <v/>
      </c>
      <c r="J46" s="15" t="str">
        <f t="shared" si="3"/>
        <v/>
      </c>
      <c r="K46" s="38"/>
      <c r="L46" s="39"/>
      <c r="M46" s="103"/>
      <c r="N46" s="103"/>
      <c r="O46" s="103"/>
      <c r="P46" s="103"/>
      <c r="Q46" s="103"/>
    </row>
    <row r="47" spans="1:17" ht="15.6">
      <c r="A47" s="24" t="str">
        <v>X026</v>
      </c>
      <c r="B47" s="25" t="str">
        <v>NY</v>
      </c>
      <c r="C47" s="25" t="str">
        <f>Sites[[#This Row],[SOL'#]]</f>
        <v>SOL-10420</v>
      </c>
      <c r="D47" s="20"/>
      <c r="E47" s="10"/>
      <c r="F47" s="10" t="str">
        <f t="shared" si="0"/>
        <v/>
      </c>
      <c r="G47" s="11" t="str">
        <f t="shared" si="1"/>
        <v/>
      </c>
      <c r="H47" s="12"/>
      <c r="I47" s="12" t="str">
        <f t="shared" si="2"/>
        <v/>
      </c>
      <c r="J47" s="13" t="str">
        <f t="shared" si="3"/>
        <v/>
      </c>
      <c r="K47" s="53"/>
      <c r="L47" s="53"/>
      <c r="M47" s="103"/>
      <c r="N47" s="103"/>
      <c r="O47" s="103"/>
      <c r="P47" s="103"/>
      <c r="Q47" s="103"/>
    </row>
    <row r="48" spans="1:17" ht="15.6">
      <c r="A48" s="26" t="str">
        <v>X090</v>
      </c>
      <c r="B48" s="27" t="str">
        <v>NY</v>
      </c>
      <c r="C48" s="27" t="str">
        <f>Sites[[#This Row],[SOL'#]]</f>
        <v>SOL-10925</v>
      </c>
      <c r="D48" s="9"/>
      <c r="E48" s="14"/>
      <c r="F48" s="14" t="str">
        <f t="shared" si="0"/>
        <v/>
      </c>
      <c r="G48" s="15" t="str">
        <f t="shared" si="1"/>
        <v/>
      </c>
      <c r="H48" s="16"/>
      <c r="I48" s="16" t="str">
        <f t="shared" si="2"/>
        <v/>
      </c>
      <c r="J48" s="15" t="str">
        <f t="shared" si="3"/>
        <v/>
      </c>
      <c r="K48" s="38"/>
      <c r="L48" s="38"/>
      <c r="M48" s="103"/>
      <c r="N48" s="103"/>
      <c r="O48" s="103"/>
      <c r="P48" s="103"/>
      <c r="Q48" s="103"/>
    </row>
    <row r="49" spans="1:17" ht="15.6">
      <c r="A49" s="24" t="str">
        <v>X117</v>
      </c>
      <c r="B49" s="25" t="str">
        <v>NY</v>
      </c>
      <c r="C49" s="25" t="str">
        <f>Sites[[#This Row],[SOL'#]]</f>
        <v>SOL-10422</v>
      </c>
      <c r="D49" s="20"/>
      <c r="E49" s="10"/>
      <c r="F49" s="10" t="str">
        <f t="shared" si="0"/>
        <v/>
      </c>
      <c r="G49" s="11" t="str">
        <f t="shared" si="1"/>
        <v/>
      </c>
      <c r="H49" s="12"/>
      <c r="I49" s="12" t="str">
        <f t="shared" si="2"/>
        <v/>
      </c>
      <c r="J49" s="13" t="str">
        <f t="shared" si="3"/>
        <v/>
      </c>
      <c r="K49" s="37"/>
      <c r="L49" s="37"/>
      <c r="M49" s="103"/>
      <c r="N49" s="103"/>
      <c r="O49" s="103"/>
      <c r="P49" s="103"/>
      <c r="Q49" s="103"/>
    </row>
    <row r="50" spans="1:17" ht="15.6">
      <c r="A50" s="26" t="str">
        <v>X125</v>
      </c>
      <c r="B50" s="27" t="str">
        <v>NY</v>
      </c>
      <c r="C50" s="27" t="str">
        <f>Sites[[#This Row],[SOL'#]]</f>
        <v>SOL-10423</v>
      </c>
      <c r="D50" s="9"/>
      <c r="E50" s="14"/>
      <c r="F50" s="14" t="str">
        <f t="shared" si="0"/>
        <v/>
      </c>
      <c r="G50" s="15" t="str">
        <f t="shared" si="1"/>
        <v/>
      </c>
      <c r="H50" s="16"/>
      <c r="I50" s="16" t="str">
        <f t="shared" si="2"/>
        <v/>
      </c>
      <c r="J50" s="15" t="str">
        <f t="shared" si="3"/>
        <v/>
      </c>
      <c r="K50" s="38"/>
      <c r="L50" s="39"/>
      <c r="M50" s="103"/>
      <c r="N50" s="103"/>
      <c r="O50" s="103"/>
      <c r="P50" s="103"/>
      <c r="Q50" s="103"/>
    </row>
    <row r="51" spans="1:17" ht="15.6">
      <c r="A51" s="24" t="str">
        <v>X134</v>
      </c>
      <c r="B51" s="25" t="str">
        <v>NY</v>
      </c>
      <c r="C51" s="25" t="str">
        <f>Sites[[#This Row],[SOL'#]]</f>
        <v>SOL-10424</v>
      </c>
      <c r="D51" s="20"/>
      <c r="E51" s="10"/>
      <c r="F51" s="10" t="str">
        <f>IF(AND(ISNUMBER(D51),ISNUMBER(E51)), D51-E51, "")</f>
        <v/>
      </c>
      <c r="G51" s="11" t="str">
        <f>IFERROR(F51/E51, "")</f>
        <v/>
      </c>
      <c r="H51" s="12"/>
      <c r="I51" s="12" t="str">
        <f>IF(AND(ISNUMBER(D51),ISNUMBER(H51)), D51-H51, "")</f>
        <v/>
      </c>
      <c r="J51" s="13" t="str">
        <f>IFERROR(I51/H51, "")</f>
        <v/>
      </c>
      <c r="K51" s="37"/>
      <c r="L51" s="37"/>
      <c r="M51" s="103"/>
      <c r="N51" s="103"/>
      <c r="O51" s="103"/>
      <c r="P51" s="103"/>
      <c r="Q51" s="103"/>
    </row>
    <row r="52" spans="1:17" ht="15.6">
      <c r="A52" s="26" t="str">
        <v>X135</v>
      </c>
      <c r="B52" s="27" t="str">
        <v>NY</v>
      </c>
      <c r="C52" s="27" t="str">
        <f>Sites[[#This Row],[SOL'#]]</f>
        <v>SOL-10425</v>
      </c>
      <c r="D52" s="9"/>
      <c r="E52" s="14"/>
      <c r="F52" s="14" t="str">
        <f t="shared" si="0"/>
        <v/>
      </c>
      <c r="G52" s="15" t="str">
        <f t="shared" si="1"/>
        <v/>
      </c>
      <c r="H52" s="16"/>
      <c r="I52" s="16" t="str">
        <f t="shared" si="2"/>
        <v/>
      </c>
      <c r="J52" s="15" t="str">
        <f t="shared" si="3"/>
        <v/>
      </c>
      <c r="K52" s="38"/>
      <c r="L52" s="112"/>
      <c r="M52" s="103"/>
      <c r="N52" s="103"/>
      <c r="O52" s="103"/>
      <c r="P52" s="103"/>
      <c r="Q52" s="103"/>
    </row>
    <row r="53" spans="1:17" ht="15.6">
      <c r="A53" s="24" t="str">
        <v>X139 JHS 222</v>
      </c>
      <c r="B53" s="25" t="str">
        <v>NY</v>
      </c>
      <c r="C53" s="25" t="str">
        <f>Sites[[#This Row],[SOL'#]]</f>
        <v>SOL-10426</v>
      </c>
      <c r="D53" s="20"/>
      <c r="E53" s="10"/>
      <c r="F53" s="10" t="str">
        <f t="shared" si="0"/>
        <v/>
      </c>
      <c r="G53" s="11" t="str">
        <f t="shared" si="1"/>
        <v/>
      </c>
      <c r="H53" s="12"/>
      <c r="I53" s="12" t="str">
        <f t="shared" si="2"/>
        <v/>
      </c>
      <c r="J53" s="13" t="str">
        <f t="shared" si="3"/>
        <v/>
      </c>
      <c r="K53" s="37"/>
      <c r="L53" s="37"/>
      <c r="M53" s="103"/>
      <c r="N53" s="103"/>
      <c r="O53" s="103"/>
      <c r="P53" s="103"/>
      <c r="Q53" s="103"/>
    </row>
    <row r="54" spans="1:17" ht="15.6">
      <c r="A54" s="26" t="str">
        <v>X140</v>
      </c>
      <c r="B54" s="27" t="str">
        <v>NY</v>
      </c>
      <c r="C54" s="27" t="str">
        <f>Sites[[#This Row],[SOL'#]]</f>
        <v>SOL-10926</v>
      </c>
      <c r="D54" s="9"/>
      <c r="E54" s="14"/>
      <c r="F54" s="14" t="str">
        <f t="shared" si="0"/>
        <v/>
      </c>
      <c r="G54" s="15" t="str">
        <f t="shared" si="1"/>
        <v/>
      </c>
      <c r="H54" s="16"/>
      <c r="I54" s="16" t="str">
        <f t="shared" si="2"/>
        <v/>
      </c>
      <c r="J54" s="15" t="str">
        <f t="shared" si="3"/>
        <v/>
      </c>
      <c r="K54" s="38"/>
      <c r="L54" s="112"/>
      <c r="M54" s="103"/>
      <c r="N54" s="103"/>
      <c r="O54" s="103"/>
      <c r="P54" s="103"/>
      <c r="Q54" s="103"/>
    </row>
    <row r="55" spans="1:17" ht="15.6">
      <c r="A55" s="24" t="str">
        <v>X166</v>
      </c>
      <c r="B55" s="25" t="str">
        <v>NY</v>
      </c>
      <c r="C55" s="25" t="str">
        <f>Sites[[#This Row],[SOL'#]]</f>
        <v>SOL-10427</v>
      </c>
      <c r="D55" s="20"/>
      <c r="E55" s="10"/>
      <c r="F55" s="10" t="str">
        <f t="shared" si="0"/>
        <v/>
      </c>
      <c r="G55" s="11" t="str">
        <f t="shared" si="1"/>
        <v/>
      </c>
      <c r="H55" s="12"/>
      <c r="I55" s="12" t="str">
        <f t="shared" si="2"/>
        <v/>
      </c>
      <c r="J55" s="13" t="str">
        <f t="shared" si="3"/>
        <v/>
      </c>
      <c r="K55" s="37"/>
      <c r="L55" s="37"/>
      <c r="M55" s="103"/>
      <c r="N55" s="103"/>
      <c r="O55" s="103"/>
      <c r="P55" s="103"/>
      <c r="Q55" s="103"/>
    </row>
    <row r="56" spans="1:17" ht="53.25" customHeight="1">
      <c r="A56" s="26" t="str">
        <v>Murphy</v>
      </c>
      <c r="B56" s="27" t="str">
        <v>MN</v>
      </c>
      <c r="C56" s="27" t="str">
        <f>Sites[[#This Row],[SOL'#]]</f>
        <v>SOL-10094</v>
      </c>
      <c r="D56" s="9"/>
      <c r="E56" s="14"/>
      <c r="F56" s="14" t="str">
        <f t="shared" si="0"/>
        <v/>
      </c>
      <c r="G56" s="15" t="str">
        <f t="shared" si="1"/>
        <v/>
      </c>
      <c r="H56" s="16"/>
      <c r="I56" s="16" t="str">
        <f t="shared" si="2"/>
        <v/>
      </c>
      <c r="J56" s="15" t="str">
        <f t="shared" si="3"/>
        <v/>
      </c>
      <c r="K56" s="80"/>
      <c r="L56" s="99"/>
      <c r="M56" s="103"/>
      <c r="N56" s="103"/>
      <c r="O56" s="103"/>
      <c r="P56" s="103"/>
      <c r="Q56" s="103"/>
    </row>
    <row r="57" spans="1:17" ht="15.6">
      <c r="A57" s="24" t="str">
        <v>Terning</v>
      </c>
      <c r="B57" s="25" t="str">
        <v>MN</v>
      </c>
      <c r="C57" s="25" t="str">
        <f>Sites[[#This Row],[SOL'#]]</f>
        <v>SOL-10093</v>
      </c>
      <c r="D57" s="20"/>
      <c r="E57" s="10"/>
      <c r="F57" s="10" t="str">
        <f t="shared" si="0"/>
        <v/>
      </c>
      <c r="G57" s="11" t="str">
        <f t="shared" si="1"/>
        <v/>
      </c>
      <c r="H57" s="12"/>
      <c r="I57" s="12" t="str">
        <f t="shared" si="2"/>
        <v/>
      </c>
      <c r="J57" s="13" t="str">
        <f t="shared" si="3"/>
        <v/>
      </c>
      <c r="K57" s="37"/>
      <c r="L57" s="109"/>
      <c r="M57" s="102"/>
      <c r="N57" s="103"/>
      <c r="O57" s="103"/>
      <c r="P57" s="103"/>
      <c r="Q57" s="103"/>
    </row>
    <row r="58" spans="1:17" ht="15.6">
      <c r="A58" s="26" t="str">
        <v>Boas Road 04</v>
      </c>
      <c r="B58" s="27" t="str">
        <v>NY</v>
      </c>
      <c r="C58" s="27" t="str">
        <f>Sites[[#This Row],[SOL'#]]</f>
        <v>SOL-10908</v>
      </c>
      <c r="D58" s="59"/>
      <c r="E58" s="120"/>
      <c r="F58" s="14" t="str">
        <f t="shared" si="0"/>
        <v/>
      </c>
      <c r="G58" s="15" t="str">
        <f t="shared" si="1"/>
        <v/>
      </c>
      <c r="H58" s="69"/>
      <c r="I58" s="16" t="str">
        <f t="shared" si="2"/>
        <v/>
      </c>
      <c r="J58" s="15" t="str">
        <f t="shared" si="3"/>
        <v/>
      </c>
      <c r="K58" s="38"/>
      <c r="L58" s="99"/>
      <c r="M58" s="102"/>
      <c r="N58" s="103"/>
      <c r="O58" s="103"/>
      <c r="P58" s="103"/>
      <c r="Q58" s="103"/>
    </row>
    <row r="59" spans="1:17" ht="171" customHeight="1">
      <c r="A59" s="24" t="str">
        <v>Kelly Bridge Farm</v>
      </c>
      <c r="B59" s="25" t="str">
        <v>NY</v>
      </c>
      <c r="C59" s="25" t="str">
        <f>Sites[[#This Row],[SOL'#]]</f>
        <v>SOL-10911</v>
      </c>
      <c r="D59" s="20"/>
      <c r="E59" s="10"/>
      <c r="F59" s="10" t="str">
        <f t="shared" si="0"/>
        <v/>
      </c>
      <c r="G59" s="11" t="str">
        <f t="shared" si="1"/>
        <v/>
      </c>
      <c r="H59" s="12"/>
      <c r="I59" s="12" t="str">
        <f t="shared" si="2"/>
        <v/>
      </c>
      <c r="J59" s="13" t="str">
        <f t="shared" si="3"/>
        <v/>
      </c>
      <c r="K59" s="37"/>
      <c r="L59" s="109"/>
      <c r="M59" s="102"/>
      <c r="N59" s="102"/>
      <c r="O59" s="102"/>
      <c r="P59" s="103"/>
      <c r="Q59" s="103"/>
    </row>
    <row r="60" spans="1:17" ht="15.6">
      <c r="A60" s="26" t="str">
        <v>Pool Brook Road</v>
      </c>
      <c r="B60" s="27" t="str">
        <v>NY</v>
      </c>
      <c r="C60" s="27" t="str">
        <f>Sites[[#This Row],[SOL'#]]</f>
        <v>SOL-10909</v>
      </c>
      <c r="D60" s="72"/>
      <c r="E60" s="71"/>
      <c r="F60" s="14" t="str">
        <f t="shared" si="0"/>
        <v/>
      </c>
      <c r="G60" s="15" t="str">
        <f t="shared" si="1"/>
        <v/>
      </c>
      <c r="H60" s="72"/>
      <c r="I60" s="16" t="str">
        <f t="shared" si="2"/>
        <v/>
      </c>
      <c r="J60" s="15" t="str">
        <f t="shared" si="3"/>
        <v/>
      </c>
      <c r="K60" s="38"/>
      <c r="L60" s="38"/>
      <c r="M60" s="103"/>
      <c r="N60" s="103"/>
      <c r="O60" s="103"/>
      <c r="P60" s="103"/>
      <c r="Q60" s="103"/>
    </row>
    <row r="61" spans="1:17" ht="72.75" customHeight="1">
      <c r="A61" s="24" t="str">
        <v>Sackett Lake</v>
      </c>
      <c r="B61" s="25" t="str">
        <v>NY</v>
      </c>
      <c r="C61" s="25" t="str">
        <f>Sites[[#This Row],[SOL'#]]</f>
        <v>SOL-10910</v>
      </c>
      <c r="D61" s="20"/>
      <c r="E61" s="10"/>
      <c r="F61" s="10" t="str">
        <f t="shared" ref="F61:F101" si="4">IF(AND(ISNUMBER(D61),ISNUMBER(E61)), D61-E61, "")</f>
        <v/>
      </c>
      <c r="G61" s="11" t="str">
        <f t="shared" ref="G61:G99" si="5">IFERROR(F61/E61, "")</f>
        <v/>
      </c>
      <c r="H61" s="12"/>
      <c r="I61" s="12" t="str">
        <f t="shared" si="2"/>
        <v/>
      </c>
      <c r="J61" s="13" t="str">
        <f t="shared" si="3"/>
        <v/>
      </c>
      <c r="K61" s="37"/>
      <c r="L61" s="109"/>
      <c r="M61" s="103"/>
      <c r="N61" s="103"/>
      <c r="O61" s="103"/>
      <c r="P61" s="103"/>
      <c r="Q61" s="103"/>
    </row>
    <row r="62" spans="1:17" ht="166.5" customHeight="1">
      <c r="A62" s="26" t="str">
        <v>Burritt Road</v>
      </c>
      <c r="B62" s="27" t="str">
        <v>NY</v>
      </c>
      <c r="C62" s="27" t="str">
        <f>Sites[[#This Row],[SOL'#]]</f>
        <v>SOL-10913</v>
      </c>
      <c r="D62" s="9"/>
      <c r="E62" s="14"/>
      <c r="F62" s="14" t="str">
        <f t="shared" si="4"/>
        <v/>
      </c>
      <c r="G62" s="15" t="str">
        <f>IFERROR(F62/E62, "")</f>
        <v/>
      </c>
      <c r="H62" s="16"/>
      <c r="I62" s="16" t="str">
        <f t="shared" si="2"/>
        <v/>
      </c>
      <c r="J62" s="15" t="str">
        <f t="shared" si="3"/>
        <v/>
      </c>
      <c r="K62" s="38"/>
      <c r="L62" s="99"/>
      <c r="M62" s="102"/>
      <c r="N62" s="102"/>
      <c r="O62" s="103"/>
      <c r="P62" s="103"/>
      <c r="Q62" s="103"/>
    </row>
    <row r="63" spans="1:17" ht="97.5" customHeight="1">
      <c r="A63" s="24" t="str">
        <v>Villa Roma 1</v>
      </c>
      <c r="B63" s="25" t="str">
        <v>NY</v>
      </c>
      <c r="C63" s="25" t="str">
        <f>Sites[[#This Row],[SOL'#]]</f>
        <v>SOL-10914</v>
      </c>
      <c r="D63" s="20"/>
      <c r="E63" s="10"/>
      <c r="F63" s="10" t="str">
        <f t="shared" si="4"/>
        <v/>
      </c>
      <c r="G63" s="11" t="str">
        <f>IFERROR(F63/E63, "")</f>
        <v/>
      </c>
      <c r="H63" s="12"/>
      <c r="I63" s="12" t="str">
        <f t="shared" si="2"/>
        <v/>
      </c>
      <c r="J63" s="13" t="str">
        <f t="shared" si="3"/>
        <v/>
      </c>
      <c r="K63" s="37"/>
      <c r="L63" s="109"/>
      <c r="M63" s="102"/>
      <c r="N63" s="103"/>
      <c r="O63" s="103"/>
      <c r="P63" s="103"/>
      <c r="Q63" s="103"/>
    </row>
    <row r="64" spans="1:17" ht="15.6">
      <c r="A64" s="26" t="str">
        <v>Villa Roma 2</v>
      </c>
      <c r="B64" s="27" t="str">
        <v>NY</v>
      </c>
      <c r="C64" s="27" t="str">
        <f>Sites[[#This Row],[SOL'#]]</f>
        <v>SOL-10915</v>
      </c>
      <c r="D64" s="9"/>
      <c r="E64" s="14"/>
      <c r="F64" s="14" t="str">
        <f t="shared" si="4"/>
        <v/>
      </c>
      <c r="G64" s="15" t="str">
        <f t="shared" si="5"/>
        <v/>
      </c>
      <c r="H64" s="16"/>
      <c r="I64" s="16" t="str">
        <f t="shared" si="2"/>
        <v/>
      </c>
      <c r="J64" s="15" t="str">
        <f t="shared" si="3"/>
        <v/>
      </c>
      <c r="K64" s="38"/>
      <c r="L64" s="52"/>
      <c r="M64" s="103"/>
      <c r="N64" s="103"/>
      <c r="O64" s="103"/>
      <c r="P64" s="103"/>
      <c r="Q64" s="103"/>
    </row>
    <row r="65" spans="1:21" ht="15.6">
      <c r="A65" s="24" t="str">
        <v>Washington 1</v>
      </c>
      <c r="B65" s="25" t="str">
        <v>NY</v>
      </c>
      <c r="C65" s="25" t="str">
        <f>Sites[[#This Row],[SOL'#]]</f>
        <v>SOL-10912</v>
      </c>
      <c r="D65" s="20"/>
      <c r="E65" s="10"/>
      <c r="F65" s="10" t="str">
        <f t="shared" si="4"/>
        <v/>
      </c>
      <c r="G65" s="11" t="str">
        <f t="shared" si="5"/>
        <v/>
      </c>
      <c r="H65" s="12"/>
      <c r="I65" s="12" t="str">
        <f t="shared" ref="I65:I103" si="6">IF(AND(ISNUMBER(D65),ISNUMBER(H65)), D65-H65, "")</f>
        <v/>
      </c>
      <c r="J65" s="13" t="str">
        <f t="shared" ref="J65:J103" si="7">IFERROR(I65/H65, "")</f>
        <v/>
      </c>
      <c r="K65" s="37"/>
      <c r="L65" s="37"/>
      <c r="M65" s="103"/>
      <c r="N65" s="103"/>
      <c r="O65" s="103"/>
      <c r="P65" s="103"/>
      <c r="Q65" s="103"/>
    </row>
    <row r="66" spans="1:21" ht="79.5" customHeight="1">
      <c r="A66" s="26" t="str">
        <v>Washington 3</v>
      </c>
      <c r="B66" s="27" t="str">
        <v>NY</v>
      </c>
      <c r="C66" s="27" t="str">
        <f>Sites[[#This Row],[SOL'#]]</f>
        <v>SOL-10828</v>
      </c>
      <c r="D66" s="9"/>
      <c r="E66" s="14"/>
      <c r="F66" s="14" t="str">
        <f t="shared" si="4"/>
        <v/>
      </c>
      <c r="G66" s="15" t="str">
        <f t="shared" si="5"/>
        <v/>
      </c>
      <c r="H66" s="16"/>
      <c r="I66" s="16" t="str">
        <f t="shared" si="6"/>
        <v/>
      </c>
      <c r="J66" s="15" t="str">
        <f t="shared" si="7"/>
        <v/>
      </c>
      <c r="K66" s="50"/>
      <c r="L66" s="110"/>
      <c r="M66" s="102"/>
      <c r="N66" s="103"/>
      <c r="O66" s="103"/>
      <c r="P66" s="103"/>
      <c r="Q66" s="103"/>
    </row>
    <row r="67" spans="1:21" ht="15.6">
      <c r="A67" s="24" t="str">
        <v>Washington 4</v>
      </c>
      <c r="B67" s="25" t="str">
        <v>NY</v>
      </c>
      <c r="C67" s="25" t="str">
        <f>Sites[[#This Row],[SOL'#]]</f>
        <v>SOL-10829</v>
      </c>
      <c r="D67" s="20"/>
      <c r="E67" s="10"/>
      <c r="F67" s="10" t="str">
        <f t="shared" si="4"/>
        <v/>
      </c>
      <c r="G67" s="11" t="str">
        <f>IFERROR(F67/E67, "")</f>
        <v/>
      </c>
      <c r="H67" s="12"/>
      <c r="I67" s="12" t="str">
        <f t="shared" si="6"/>
        <v/>
      </c>
      <c r="J67" s="13" t="str">
        <f t="shared" si="7"/>
        <v/>
      </c>
      <c r="K67" s="37"/>
      <c r="L67" s="37"/>
      <c r="M67" s="103"/>
      <c r="N67" s="103"/>
      <c r="O67" s="103"/>
      <c r="P67" s="103"/>
      <c r="Q67" s="103"/>
    </row>
    <row r="68" spans="1:21" ht="45.75" customHeight="1">
      <c r="A68" s="26" t="str">
        <v>Big Tree</v>
      </c>
      <c r="B68" s="27" t="str">
        <v>NY</v>
      </c>
      <c r="C68" s="27" t="str">
        <f>Sites[[#This Row],[SOL'#]]</f>
        <v>SOL-10966</v>
      </c>
      <c r="D68" s="9"/>
      <c r="E68" s="14"/>
      <c r="F68" s="14" t="str">
        <f t="shared" si="4"/>
        <v/>
      </c>
      <c r="G68" s="15" t="str">
        <f t="shared" si="5"/>
        <v/>
      </c>
      <c r="H68" s="16"/>
      <c r="I68" s="16" t="str">
        <f t="shared" si="6"/>
        <v/>
      </c>
      <c r="J68" s="15" t="str">
        <f t="shared" si="7"/>
        <v/>
      </c>
      <c r="K68" s="50"/>
      <c r="L68" s="50"/>
      <c r="M68" s="103"/>
      <c r="N68" s="103"/>
      <c r="O68" s="103"/>
      <c r="P68" s="103"/>
      <c r="Q68" s="103"/>
    </row>
    <row r="69" spans="1:21" ht="277.5" customHeight="1">
      <c r="A69" s="24" t="str">
        <v>Canoga</v>
      </c>
      <c r="B69" s="25" t="str">
        <v>NY</v>
      </c>
      <c r="C69" s="25" t="str">
        <f>Sites[[#This Row],[SOL'#]]</f>
        <v>SOL-10965</v>
      </c>
      <c r="D69" s="20"/>
      <c r="E69" s="10"/>
      <c r="F69" s="10" t="str">
        <f t="shared" si="4"/>
        <v/>
      </c>
      <c r="G69" s="11" t="str">
        <f t="shared" si="5"/>
        <v/>
      </c>
      <c r="H69" s="12"/>
      <c r="I69" s="12" t="str">
        <f t="shared" si="6"/>
        <v/>
      </c>
      <c r="J69" s="13" t="str">
        <f t="shared" si="7"/>
        <v/>
      </c>
      <c r="K69" s="37"/>
      <c r="L69" s="109"/>
      <c r="M69" s="102"/>
      <c r="N69" s="102"/>
      <c r="O69" s="102"/>
      <c r="P69" s="102"/>
      <c r="Q69" s="102"/>
    </row>
    <row r="70" spans="1:21" ht="15.6">
      <c r="A70" s="26" t="str">
        <v>County Route 84</v>
      </c>
      <c r="B70" s="27" t="str">
        <v>NY</v>
      </c>
      <c r="C70" s="27" t="str">
        <f>Sites[[#This Row],[SOL'#]]</f>
        <v>SOL-10967</v>
      </c>
      <c r="D70" s="9"/>
      <c r="E70" s="14"/>
      <c r="F70" s="14" t="str">
        <f t="shared" si="4"/>
        <v/>
      </c>
      <c r="G70" s="15" t="str">
        <f t="shared" si="5"/>
        <v/>
      </c>
      <c r="H70" s="16"/>
      <c r="I70" s="16" t="str">
        <f t="shared" si="6"/>
        <v/>
      </c>
      <c r="J70" s="15" t="str">
        <f t="shared" si="7"/>
        <v/>
      </c>
      <c r="K70" s="50"/>
      <c r="L70" s="110"/>
      <c r="M70" s="103"/>
      <c r="N70" s="103"/>
      <c r="O70" s="103"/>
      <c r="P70" s="103"/>
      <c r="Q70" s="103"/>
    </row>
    <row r="71" spans="1:21" ht="15.6">
      <c r="A71" s="24" t="str">
        <v>Donati</v>
      </c>
      <c r="B71" s="25" t="str">
        <v>NY</v>
      </c>
      <c r="C71" s="25" t="str">
        <f>Sites[[#This Row],[SOL'#]]</f>
        <v>SOL-10968</v>
      </c>
      <c r="D71" s="20"/>
      <c r="E71" s="10"/>
      <c r="F71" s="10" t="str">
        <f t="shared" si="4"/>
        <v/>
      </c>
      <c r="G71" s="11" t="str">
        <f t="shared" si="5"/>
        <v/>
      </c>
      <c r="H71" s="12"/>
      <c r="I71" s="12" t="str">
        <f t="shared" si="6"/>
        <v/>
      </c>
      <c r="J71" s="13" t="str">
        <f t="shared" si="7"/>
        <v/>
      </c>
      <c r="K71" s="37"/>
      <c r="L71" s="109"/>
      <c r="M71" s="102"/>
      <c r="N71" s="102"/>
      <c r="O71" s="102"/>
      <c r="P71" s="102"/>
      <c r="Q71" s="102"/>
    </row>
    <row r="72" spans="1:21" ht="15.6">
      <c r="A72" s="26" t="str">
        <v>Henrietta</v>
      </c>
      <c r="B72" s="27" t="str">
        <v>NY</v>
      </c>
      <c r="C72" s="27" t="str">
        <f>Sites[[#This Row],[SOL'#]]</f>
        <v>SOL-10972</v>
      </c>
      <c r="D72" s="9"/>
      <c r="E72" s="14"/>
      <c r="F72" s="14" t="str">
        <f t="shared" si="4"/>
        <v/>
      </c>
      <c r="G72" s="15" t="str">
        <f t="shared" si="5"/>
        <v/>
      </c>
      <c r="H72" s="16"/>
      <c r="I72" s="16" t="str">
        <f t="shared" si="6"/>
        <v/>
      </c>
      <c r="J72" s="15" t="str">
        <f t="shared" si="7"/>
        <v/>
      </c>
      <c r="K72" s="50"/>
      <c r="L72" s="50"/>
      <c r="M72" s="103"/>
      <c r="N72" s="103"/>
      <c r="O72" s="103"/>
      <c r="P72" s="103"/>
      <c r="Q72" s="103"/>
    </row>
    <row r="73" spans="1:21" ht="15.6">
      <c r="A73" s="24" t="str">
        <v>NY 70</v>
      </c>
      <c r="B73" s="25" t="str">
        <v>NY</v>
      </c>
      <c r="C73" s="25" t="str">
        <f>Sites[[#This Row],[SOL'#]]</f>
        <v>SOL-10970</v>
      </c>
      <c r="D73" s="20"/>
      <c r="E73" s="10"/>
      <c r="F73" s="10" t="str">
        <f t="shared" si="4"/>
        <v/>
      </c>
      <c r="G73" s="11" t="str">
        <f t="shared" si="5"/>
        <v/>
      </c>
      <c r="H73" s="12"/>
      <c r="I73" s="12" t="str">
        <f t="shared" si="6"/>
        <v/>
      </c>
      <c r="J73" s="13" t="str">
        <f t="shared" si="7"/>
        <v/>
      </c>
      <c r="K73" s="37"/>
      <c r="L73" s="109"/>
      <c r="M73" s="102"/>
      <c r="N73" s="102"/>
      <c r="O73" s="103"/>
      <c r="P73" s="103"/>
      <c r="Q73" s="103"/>
    </row>
    <row r="74" spans="1:21" ht="317.25" customHeight="1">
      <c r="A74" s="26" t="str">
        <v>Reid</v>
      </c>
      <c r="B74" s="27" t="str">
        <v>NY</v>
      </c>
      <c r="C74" s="27" t="str">
        <f>Sites[[#This Row],[SOL'#]]</f>
        <v>SOL-10991</v>
      </c>
      <c r="D74" s="9"/>
      <c r="E74" s="14"/>
      <c r="F74" s="14" t="str">
        <f t="shared" si="4"/>
        <v/>
      </c>
      <c r="G74" s="15" t="str">
        <f t="shared" si="5"/>
        <v/>
      </c>
      <c r="H74" s="16"/>
      <c r="I74" s="16" t="str">
        <f t="shared" si="6"/>
        <v/>
      </c>
      <c r="J74" s="15" t="str">
        <f t="shared" si="7"/>
        <v/>
      </c>
      <c r="K74" s="51"/>
      <c r="L74" s="99"/>
      <c r="M74" s="102"/>
      <c r="N74" s="102"/>
      <c r="O74" s="102"/>
      <c r="P74" s="102"/>
      <c r="Q74" s="102"/>
      <c r="R74" s="111"/>
      <c r="S74" s="111"/>
      <c r="T74" s="111"/>
      <c r="U74" s="111"/>
    </row>
    <row r="75" spans="1:21" ht="15.6">
      <c r="A75" s="24" t="str">
        <v>Sangolqui</v>
      </c>
      <c r="B75" s="25" t="str">
        <v>NY</v>
      </c>
      <c r="C75" s="25" t="str">
        <f>Sites[[#This Row],[SOL'#]]</f>
        <v>SOL-10975</v>
      </c>
      <c r="D75" s="20"/>
      <c r="E75" s="10"/>
      <c r="F75" s="10" t="str">
        <f t="shared" si="4"/>
        <v/>
      </c>
      <c r="G75" s="11" t="str">
        <f t="shared" si="5"/>
        <v/>
      </c>
      <c r="H75" s="12"/>
      <c r="I75" s="12" t="str">
        <f t="shared" si="6"/>
        <v/>
      </c>
      <c r="J75" s="13" t="str">
        <f t="shared" si="7"/>
        <v/>
      </c>
      <c r="K75" s="37"/>
      <c r="L75" s="109"/>
      <c r="M75" s="102"/>
      <c r="N75" s="102"/>
      <c r="O75" s="102"/>
      <c r="P75" s="102"/>
      <c r="Q75" s="103"/>
    </row>
    <row r="76" spans="1:21" ht="15.6">
      <c r="A76" s="26" t="str">
        <v>State Highway 17B</v>
      </c>
      <c r="B76" s="27" t="str">
        <v>NY</v>
      </c>
      <c r="C76" s="27" t="str">
        <f>Sites[[#This Row],[SOL'#]]</f>
        <v>SOL-10988</v>
      </c>
      <c r="D76" s="9"/>
      <c r="E76" s="14"/>
      <c r="F76" s="14" t="str">
        <f t="shared" si="4"/>
        <v/>
      </c>
      <c r="G76" s="15" t="str">
        <f t="shared" si="5"/>
        <v/>
      </c>
      <c r="H76" s="16"/>
      <c r="I76" s="16" t="str">
        <f t="shared" si="6"/>
        <v/>
      </c>
      <c r="J76" s="15" t="str">
        <f t="shared" si="7"/>
        <v/>
      </c>
      <c r="K76" s="51"/>
      <c r="L76" s="99"/>
      <c r="M76" s="103"/>
      <c r="N76" s="103"/>
      <c r="O76" s="103"/>
      <c r="P76" s="103"/>
      <c r="Q76" s="103"/>
    </row>
    <row r="77" spans="1:21" ht="15.6">
      <c r="A77" s="24" t="str">
        <v>State Route 14A</v>
      </c>
      <c r="B77" s="25" t="str">
        <v>NY</v>
      </c>
      <c r="C77" s="25" t="str">
        <f>Sites[[#This Row],[SOL'#]]</f>
        <v>SOL-10997</v>
      </c>
      <c r="D77" s="20"/>
      <c r="E77" s="10"/>
      <c r="F77" s="10" t="str">
        <f>IF(AND(ISNUMBER(D77),ISNUMBER(E77)), D77-E77, "")</f>
        <v/>
      </c>
      <c r="G77" s="11" t="str">
        <f>IFERROR(F77/E77, "")</f>
        <v/>
      </c>
      <c r="H77" s="12"/>
      <c r="I77" s="12" t="str">
        <f>IF(AND(ISNUMBER(D77),ISNUMBER(H77)), D77-H77, "")</f>
        <v/>
      </c>
      <c r="J77" s="13" t="str">
        <f>IFERROR(I77/H77, "")</f>
        <v/>
      </c>
      <c r="K77" s="37"/>
      <c r="L77" s="37"/>
      <c r="M77" s="103"/>
      <c r="N77" s="103"/>
      <c r="O77" s="103"/>
      <c r="P77" s="103"/>
      <c r="Q77" s="103"/>
    </row>
    <row r="78" spans="1:21" ht="15.6">
      <c r="A78" s="26" t="str">
        <v>West Creek</v>
      </c>
      <c r="B78" s="27" t="str">
        <v>NY</v>
      </c>
      <c r="C78" s="27" t="str">
        <f>Sites[[#This Row],[SOL'#]]</f>
        <v>SOL-10995</v>
      </c>
      <c r="D78" s="9"/>
      <c r="E78" s="14"/>
      <c r="F78" s="14" t="str">
        <f t="shared" si="4"/>
        <v/>
      </c>
      <c r="G78" s="15" t="str">
        <f t="shared" si="5"/>
        <v/>
      </c>
      <c r="H78" s="16"/>
      <c r="I78" s="16" t="str">
        <f t="shared" si="6"/>
        <v/>
      </c>
      <c r="J78" s="15" t="str">
        <f t="shared" si="7"/>
        <v/>
      </c>
      <c r="K78" s="51"/>
      <c r="L78" s="52"/>
      <c r="M78" s="103"/>
      <c r="N78" s="103"/>
      <c r="O78" s="103"/>
      <c r="P78" s="103"/>
      <c r="Q78" s="103"/>
    </row>
    <row r="79" spans="1:21" ht="114" customHeight="1">
      <c r="A79" s="24" t="str">
        <v>Wildflower</v>
      </c>
      <c r="B79" s="25" t="str">
        <v>NY</v>
      </c>
      <c r="C79" s="25" t="str">
        <f>Sites[[#This Row],[SOL'#]]</f>
        <v>SOL-10982</v>
      </c>
      <c r="D79" s="20"/>
      <c r="E79" s="10"/>
      <c r="F79" s="10" t="str">
        <f t="shared" si="4"/>
        <v/>
      </c>
      <c r="G79" s="11" t="str">
        <f t="shared" si="5"/>
        <v/>
      </c>
      <c r="H79" s="12"/>
      <c r="I79" s="12" t="str">
        <f t="shared" si="6"/>
        <v/>
      </c>
      <c r="J79" s="13" t="str">
        <f t="shared" si="7"/>
        <v/>
      </c>
      <c r="K79" s="56"/>
      <c r="L79" s="116"/>
      <c r="M79" s="102"/>
      <c r="N79" s="103"/>
      <c r="O79" s="103"/>
      <c r="P79" s="103"/>
      <c r="Q79" s="103"/>
    </row>
    <row r="80" spans="1:21" ht="15.6">
      <c r="A80" s="26" t="str">
        <v>Glen Mary 1</v>
      </c>
      <c r="B80" s="27" t="str">
        <v>NY</v>
      </c>
      <c r="C80" s="27" t="str">
        <f>Sites[[#This Row],[SOL'#]]</f>
        <v>SOL-10993</v>
      </c>
      <c r="D80" s="9"/>
      <c r="E80" s="14"/>
      <c r="F80" s="14" t="str">
        <f t="shared" si="4"/>
        <v/>
      </c>
      <c r="G80" s="15" t="str">
        <f t="shared" si="5"/>
        <v/>
      </c>
      <c r="H80" s="16"/>
      <c r="I80" s="16" t="str">
        <f t="shared" si="6"/>
        <v/>
      </c>
      <c r="J80" s="15" t="str">
        <f t="shared" si="7"/>
        <v/>
      </c>
      <c r="K80" s="50"/>
      <c r="L80" s="50"/>
      <c r="M80" s="103"/>
      <c r="N80" s="103"/>
      <c r="O80" s="103"/>
      <c r="P80" s="103"/>
      <c r="Q80" s="103"/>
    </row>
    <row r="81" spans="1:17" ht="15.6">
      <c r="A81" s="24" t="str">
        <v>Glen Mary 2</v>
      </c>
      <c r="B81" s="25" t="str">
        <v>NY</v>
      </c>
      <c r="C81" s="25" t="str">
        <f>Sites[[#This Row],[SOL'#]]</f>
        <v>SOL-10994</v>
      </c>
      <c r="D81" s="20"/>
      <c r="E81" s="10"/>
      <c r="F81" s="10" t="str">
        <f t="shared" si="4"/>
        <v/>
      </c>
      <c r="G81" s="11" t="str">
        <f t="shared" si="5"/>
        <v/>
      </c>
      <c r="H81" s="12"/>
      <c r="I81" s="12" t="str">
        <f t="shared" si="6"/>
        <v/>
      </c>
      <c r="J81" s="13" t="str">
        <f t="shared" si="7"/>
        <v/>
      </c>
      <c r="K81" s="37"/>
      <c r="L81" s="37"/>
      <c r="M81" s="103"/>
      <c r="N81" s="103"/>
      <c r="O81" s="103"/>
      <c r="P81" s="103"/>
      <c r="Q81" s="103"/>
    </row>
    <row r="82" spans="1:17" ht="15.6">
      <c r="A82" s="26" t="str">
        <v>Telegraph 1</v>
      </c>
      <c r="B82" s="27" t="str">
        <v>NY</v>
      </c>
      <c r="C82" s="27" t="str">
        <f>Sites[[#This Row],[SOL'#]]</f>
        <v>SOL-11003</v>
      </c>
      <c r="D82" s="9"/>
      <c r="E82" s="14"/>
      <c r="F82" s="14" t="str">
        <f t="shared" si="4"/>
        <v/>
      </c>
      <c r="G82" s="15" t="str">
        <f t="shared" si="5"/>
        <v/>
      </c>
      <c r="H82" s="16"/>
      <c r="I82" s="16" t="str">
        <f t="shared" si="6"/>
        <v/>
      </c>
      <c r="J82" s="15" t="str">
        <f t="shared" si="7"/>
        <v/>
      </c>
      <c r="K82" s="38"/>
      <c r="L82" s="99"/>
      <c r="M82" s="102"/>
      <c r="N82" s="103"/>
      <c r="O82" s="103"/>
      <c r="P82" s="103"/>
      <c r="Q82" s="103"/>
    </row>
    <row r="83" spans="1:17" ht="78.75" customHeight="1">
      <c r="A83" s="24" t="str">
        <v>Telegraph 2</v>
      </c>
      <c r="B83" s="25" t="str">
        <v>NY</v>
      </c>
      <c r="C83" s="25" t="str">
        <f>Sites[[#This Row],[SOL'#]]</f>
        <v>SOL-11004</v>
      </c>
      <c r="D83" s="20"/>
      <c r="E83" s="10"/>
      <c r="F83" s="10" t="str">
        <f t="shared" si="4"/>
        <v/>
      </c>
      <c r="G83" s="11" t="str">
        <f t="shared" si="5"/>
        <v/>
      </c>
      <c r="H83" s="12"/>
      <c r="I83" s="12" t="str">
        <f t="shared" si="6"/>
        <v/>
      </c>
      <c r="J83" s="13" t="str">
        <f t="shared" si="7"/>
        <v/>
      </c>
      <c r="K83" s="56"/>
      <c r="L83" s="109"/>
      <c r="M83" s="102"/>
      <c r="N83" s="102"/>
      <c r="O83" s="103"/>
      <c r="P83" s="103"/>
      <c r="Q83" s="103"/>
    </row>
    <row r="84" spans="1:17" ht="15.6">
      <c r="A84" s="26" t="str">
        <v>Cafferty Hill</v>
      </c>
      <c r="B84" s="27" t="str">
        <v>NY</v>
      </c>
      <c r="C84" s="27" t="str">
        <f>Sites[[#This Row],[SOL'#]]</f>
        <v>SOL-10996</v>
      </c>
      <c r="D84" s="9"/>
      <c r="E84" s="14"/>
      <c r="F84" s="14" t="str">
        <f t="shared" si="4"/>
        <v/>
      </c>
      <c r="G84" s="15" t="str">
        <f t="shared" si="5"/>
        <v/>
      </c>
      <c r="H84" s="16"/>
      <c r="I84" s="16" t="str">
        <f t="shared" si="6"/>
        <v/>
      </c>
      <c r="J84" s="15" t="str">
        <f t="shared" si="7"/>
        <v/>
      </c>
      <c r="K84" s="38"/>
      <c r="L84" s="99"/>
      <c r="M84" s="103"/>
      <c r="N84" s="103"/>
      <c r="O84" s="103"/>
      <c r="P84" s="103"/>
      <c r="Q84" s="103"/>
    </row>
    <row r="85" spans="1:17" ht="15.6">
      <c r="A85" s="24" t="str">
        <v>Dunkleman</v>
      </c>
      <c r="B85" s="25" t="str">
        <v>NY</v>
      </c>
      <c r="C85" s="25" t="str">
        <f>Sites[[#This Row],[SOL'#]]</f>
        <v>SOL-11008</v>
      </c>
      <c r="D85" s="20"/>
      <c r="E85" s="10"/>
      <c r="F85" s="10" t="str">
        <f t="shared" si="4"/>
        <v/>
      </c>
      <c r="G85" s="11" t="str">
        <f t="shared" si="5"/>
        <v/>
      </c>
      <c r="H85" s="12"/>
      <c r="I85" s="12" t="str">
        <f t="shared" si="6"/>
        <v/>
      </c>
      <c r="J85" s="13" t="str">
        <f t="shared" si="7"/>
        <v/>
      </c>
      <c r="K85" s="37"/>
      <c r="L85" s="116"/>
      <c r="M85" s="102"/>
      <c r="N85" s="103"/>
      <c r="O85" s="103"/>
      <c r="P85" s="103"/>
      <c r="Q85" s="103"/>
    </row>
    <row r="86" spans="1:17" ht="15.6">
      <c r="A86" s="26" t="str">
        <v>Route 19 1</v>
      </c>
      <c r="B86" s="27" t="str">
        <v>NY</v>
      </c>
      <c r="C86" s="27" t="str">
        <f>Sites[[#This Row],[SOL'#]]</f>
        <v>SOL-11001</v>
      </c>
      <c r="D86" s="9"/>
      <c r="E86" s="14"/>
      <c r="F86" s="14" t="str">
        <f t="shared" si="4"/>
        <v/>
      </c>
      <c r="G86" s="15" t="str">
        <f t="shared" si="5"/>
        <v/>
      </c>
      <c r="H86" s="16"/>
      <c r="I86" s="16" t="str">
        <f t="shared" si="6"/>
        <v/>
      </c>
      <c r="J86" s="15" t="str">
        <f t="shared" si="7"/>
        <v/>
      </c>
      <c r="K86" s="38"/>
      <c r="L86" s="99"/>
      <c r="M86" s="102"/>
      <c r="N86" s="103"/>
      <c r="O86" s="103"/>
      <c r="P86" s="103"/>
      <c r="Q86" s="103"/>
    </row>
    <row r="87" spans="1:17" ht="15.6">
      <c r="A87" s="24" t="str">
        <v>Route 19 2</v>
      </c>
      <c r="B87" s="25" t="str">
        <v>NY</v>
      </c>
      <c r="C87" s="25" t="str">
        <f>Sites[[#This Row],[SOL'#]]</f>
        <v>SOL-11002</v>
      </c>
      <c r="D87" s="20"/>
      <c r="E87" s="10"/>
      <c r="F87" s="10" t="str">
        <f t="shared" si="4"/>
        <v/>
      </c>
      <c r="G87" s="11" t="str">
        <f t="shared" si="5"/>
        <v/>
      </c>
      <c r="H87" s="12"/>
      <c r="I87" s="12" t="str">
        <f t="shared" si="6"/>
        <v/>
      </c>
      <c r="J87" s="13" t="str">
        <f t="shared" si="7"/>
        <v/>
      </c>
      <c r="K87" s="37"/>
      <c r="L87" s="109"/>
      <c r="M87" s="102"/>
      <c r="N87" s="103"/>
      <c r="O87" s="103"/>
      <c r="P87" s="103"/>
      <c r="Q87" s="103"/>
    </row>
    <row r="88" spans="1:17" ht="15.6">
      <c r="A88" s="26" t="str">
        <v>Yellow Mills 1</v>
      </c>
      <c r="B88" s="27" t="str">
        <v>NY</v>
      </c>
      <c r="C88" s="27" t="str">
        <f>Sites[[#This Row],[SOL'#]]</f>
        <v>SOL-11006</v>
      </c>
      <c r="D88" s="9"/>
      <c r="E88" s="14"/>
      <c r="F88" s="14" t="str">
        <f t="shared" si="4"/>
        <v/>
      </c>
      <c r="G88" s="15" t="str">
        <f t="shared" si="5"/>
        <v/>
      </c>
      <c r="H88" s="16"/>
      <c r="I88" s="16" t="str">
        <f t="shared" si="6"/>
        <v/>
      </c>
      <c r="J88" s="15" t="str">
        <f t="shared" si="7"/>
        <v/>
      </c>
      <c r="K88" s="50"/>
      <c r="L88" s="110"/>
      <c r="M88" s="102"/>
      <c r="N88" s="102"/>
      <c r="O88" s="103"/>
      <c r="P88" s="103"/>
      <c r="Q88" s="103"/>
    </row>
    <row r="89" spans="1:17" ht="52.5" customHeight="1">
      <c r="A89" s="24" t="str">
        <v>Yellow Mills 2</v>
      </c>
      <c r="B89" s="25" t="str">
        <v>NY</v>
      </c>
      <c r="C89" s="25" t="str">
        <f>Sites[[#This Row],[SOL'#]]</f>
        <v>SOL-11005</v>
      </c>
      <c r="D89" s="20"/>
      <c r="E89" s="10"/>
      <c r="F89" s="10" t="str">
        <f t="shared" si="4"/>
        <v/>
      </c>
      <c r="G89" s="11" t="str">
        <f t="shared" si="5"/>
        <v/>
      </c>
      <c r="H89" s="12"/>
      <c r="I89" s="12" t="str">
        <f t="shared" si="6"/>
        <v/>
      </c>
      <c r="J89" s="13" t="str">
        <f t="shared" si="7"/>
        <v/>
      </c>
      <c r="K89" s="37"/>
      <c r="L89" s="109"/>
      <c r="M89" s="103"/>
      <c r="N89" s="103"/>
      <c r="O89" s="103"/>
      <c r="P89" s="103"/>
      <c r="Q89" s="103"/>
    </row>
    <row r="90" spans="1:17" ht="15.6">
      <c r="A90" s="26" t="str">
        <v>Yellow Mills 3</v>
      </c>
      <c r="B90" s="27" t="str">
        <v>NY</v>
      </c>
      <c r="C90" s="27" t="str">
        <f>Sites[[#This Row],[SOL'#]]</f>
        <v>SOL-11007</v>
      </c>
      <c r="D90" s="9"/>
      <c r="E90" s="14"/>
      <c r="F90" s="14" t="str">
        <f t="shared" si="4"/>
        <v/>
      </c>
      <c r="G90" s="15" t="str">
        <f t="shared" si="5"/>
        <v/>
      </c>
      <c r="H90" s="16"/>
      <c r="I90" s="16" t="str">
        <f t="shared" si="6"/>
        <v/>
      </c>
      <c r="J90" s="15" t="str">
        <f t="shared" si="7"/>
        <v/>
      </c>
      <c r="K90" s="50"/>
      <c r="L90" s="110"/>
      <c r="M90" s="102"/>
      <c r="N90" s="103"/>
      <c r="O90" s="103"/>
      <c r="P90" s="103"/>
      <c r="Q90" s="103"/>
    </row>
    <row r="91" spans="1:17" ht="15.6">
      <c r="A91" s="24" t="str">
        <v>Catskill</v>
      </c>
      <c r="B91" s="25" t="str">
        <v>NY</v>
      </c>
      <c r="C91" s="25" t="str">
        <f>Sites[[#This Row],[SOL'#]]</f>
        <v>SOL-11021</v>
      </c>
      <c r="D91" s="20"/>
      <c r="E91" s="10"/>
      <c r="F91" s="10" t="str">
        <f t="shared" si="4"/>
        <v/>
      </c>
      <c r="G91" s="11" t="str">
        <f t="shared" si="5"/>
        <v/>
      </c>
      <c r="H91" s="12"/>
      <c r="I91" s="12" t="str">
        <f t="shared" si="6"/>
        <v/>
      </c>
      <c r="J91" s="13" t="str">
        <f t="shared" si="7"/>
        <v/>
      </c>
      <c r="K91" s="56"/>
      <c r="L91" s="116"/>
      <c r="M91" s="102"/>
      <c r="N91" s="103"/>
      <c r="O91" s="103"/>
      <c r="P91" s="103"/>
      <c r="Q91" s="103"/>
    </row>
    <row r="92" spans="1:17" ht="15.6">
      <c r="A92" s="26" t="str">
        <v>Eddy Ridge</v>
      </c>
      <c r="B92" s="27" t="str">
        <v>NY</v>
      </c>
      <c r="C92" s="27" t="str">
        <f>Sites[[#This Row],[SOL'#]]</f>
        <v>SOL-11054</v>
      </c>
      <c r="D92" s="9"/>
      <c r="E92" s="14"/>
      <c r="F92" s="14" t="str">
        <f t="shared" si="4"/>
        <v/>
      </c>
      <c r="G92" s="15" t="str">
        <f t="shared" si="5"/>
        <v/>
      </c>
      <c r="H92" s="16"/>
      <c r="I92" s="16" t="str">
        <f t="shared" si="6"/>
        <v/>
      </c>
      <c r="J92" s="15" t="str">
        <f t="shared" si="7"/>
        <v/>
      </c>
      <c r="K92" s="50"/>
      <c r="L92" s="50"/>
      <c r="M92" s="103"/>
      <c r="N92" s="103"/>
      <c r="O92" s="103"/>
      <c r="P92" s="103"/>
      <c r="Q92" s="103"/>
    </row>
    <row r="93" spans="1:17" ht="15.6">
      <c r="A93" s="24" t="str">
        <v>Ridgeway #1</v>
      </c>
      <c r="B93" s="25" t="str">
        <v>NY</v>
      </c>
      <c r="C93" s="25" t="str">
        <f>Sites[[#This Row],[SOL'#]]</f>
        <v>SOL-11018</v>
      </c>
      <c r="D93" s="20"/>
      <c r="E93" s="10"/>
      <c r="F93" s="10" t="str">
        <f t="shared" si="4"/>
        <v/>
      </c>
      <c r="G93" s="11" t="str">
        <f t="shared" si="5"/>
        <v/>
      </c>
      <c r="H93" s="12"/>
      <c r="I93" s="12" t="str">
        <f t="shared" si="6"/>
        <v/>
      </c>
      <c r="J93" s="13" t="str">
        <f t="shared" si="7"/>
        <v/>
      </c>
      <c r="K93" s="56"/>
      <c r="L93" s="56"/>
      <c r="M93" s="103"/>
      <c r="N93" s="103"/>
      <c r="O93" s="103"/>
      <c r="P93" s="103"/>
      <c r="Q93" s="103"/>
    </row>
    <row r="94" spans="1:17" ht="15.6">
      <c r="A94" s="26" t="str">
        <v>Rivard 1</v>
      </c>
      <c r="B94" s="27" t="str">
        <v>NY</v>
      </c>
      <c r="C94" s="27" t="str">
        <f>Sites[[#This Row],[SOL'#]]</f>
        <v>SOL-11011</v>
      </c>
      <c r="D94" s="9"/>
      <c r="E94" s="14"/>
      <c r="F94" s="14" t="str">
        <f t="shared" si="4"/>
        <v/>
      </c>
      <c r="G94" s="15" t="str">
        <f t="shared" si="5"/>
        <v/>
      </c>
      <c r="H94" s="16"/>
      <c r="I94" s="16" t="str">
        <f t="shared" si="6"/>
        <v/>
      </c>
      <c r="J94" s="15" t="str">
        <f t="shared" si="7"/>
        <v/>
      </c>
      <c r="K94" s="38"/>
      <c r="L94" s="110"/>
      <c r="M94" s="103"/>
      <c r="N94" s="103"/>
      <c r="O94" s="103"/>
      <c r="P94" s="103"/>
      <c r="Q94" s="103"/>
    </row>
    <row r="95" spans="1:17" ht="15.6">
      <c r="A95" s="24" t="str">
        <v>Rivard 2</v>
      </c>
      <c r="B95" s="25" t="str">
        <v>NY</v>
      </c>
      <c r="C95" s="25" t="str">
        <f>Sites[[#This Row],[SOL'#]]</f>
        <v>SOL-11012</v>
      </c>
      <c r="D95" s="20"/>
      <c r="E95" s="10"/>
      <c r="F95" s="10" t="str">
        <f t="shared" si="4"/>
        <v/>
      </c>
      <c r="G95" s="11" t="str">
        <f t="shared" si="5"/>
        <v/>
      </c>
      <c r="H95" s="12"/>
      <c r="I95" s="12" t="str">
        <f t="shared" si="6"/>
        <v/>
      </c>
      <c r="J95" s="13" t="str">
        <f t="shared" si="7"/>
        <v/>
      </c>
      <c r="K95" s="107"/>
      <c r="L95" s="109"/>
      <c r="M95" s="103"/>
      <c r="N95" s="103"/>
      <c r="O95" s="103"/>
      <c r="P95" s="103"/>
      <c r="Q95" s="103"/>
    </row>
    <row r="96" spans="1:17" ht="15.6">
      <c r="A96" s="24" t="str">
        <v>Ridgeway #2</v>
      </c>
      <c r="B96" s="25" t="str">
        <v>NY</v>
      </c>
      <c r="C96" s="25" t="str">
        <f>Sites[[#This Row],[SOL'#]]</f>
        <v>SOL-11027</v>
      </c>
      <c r="D96" s="20"/>
      <c r="E96" s="10"/>
      <c r="F96" s="10" t="str">
        <f t="shared" si="4"/>
        <v/>
      </c>
      <c r="G96" s="11" t="str">
        <f t="shared" si="5"/>
        <v/>
      </c>
      <c r="H96" s="12"/>
      <c r="I96" s="12" t="str">
        <f t="shared" si="6"/>
        <v/>
      </c>
      <c r="J96" s="13" t="str">
        <f t="shared" si="7"/>
        <v/>
      </c>
      <c r="K96" s="53"/>
      <c r="L96" s="98"/>
      <c r="M96" s="102"/>
      <c r="N96" s="103"/>
      <c r="O96" s="103"/>
      <c r="P96" s="103"/>
      <c r="Q96" s="103"/>
    </row>
    <row r="97" spans="1:17" ht="61.5" customHeight="1">
      <c r="A97" s="26" t="str">
        <v>Spencer</v>
      </c>
      <c r="B97" s="27" t="str">
        <v>NY</v>
      </c>
      <c r="C97" s="27" t="str">
        <f>Sites[[#This Row],[SOL'#]]</f>
        <v>SOL-11017</v>
      </c>
      <c r="D97" s="66"/>
      <c r="E97" s="14"/>
      <c r="F97" s="14" t="str">
        <f t="shared" si="4"/>
        <v/>
      </c>
      <c r="G97" s="15" t="str">
        <f t="shared" si="5"/>
        <v/>
      </c>
      <c r="H97" s="16"/>
      <c r="I97" s="16" t="str">
        <f t="shared" si="6"/>
        <v/>
      </c>
      <c r="J97" s="15" t="str">
        <f t="shared" si="7"/>
        <v/>
      </c>
      <c r="K97" s="38"/>
      <c r="L97" s="110"/>
      <c r="M97" s="102"/>
      <c r="N97" s="103"/>
      <c r="O97" s="103"/>
      <c r="P97" s="103"/>
      <c r="Q97" s="103"/>
    </row>
    <row r="98" spans="1:17" ht="15.6">
      <c r="A98" s="28" t="str">
        <v>Reisender</v>
      </c>
      <c r="B98" s="25" t="str">
        <v>NY</v>
      </c>
      <c r="C98" s="25" t="str">
        <f>Sites[[#This Row],[SOL'#]]</f>
        <v>SOL-10886</v>
      </c>
      <c r="D98" s="54"/>
      <c r="E98" s="10"/>
      <c r="F98" s="10" t="str">
        <f t="shared" si="4"/>
        <v/>
      </c>
      <c r="G98" s="11" t="str">
        <f t="shared" si="5"/>
        <v/>
      </c>
      <c r="H98" s="67"/>
      <c r="I98" s="12" t="str">
        <f t="shared" si="6"/>
        <v/>
      </c>
      <c r="J98" s="13" t="str">
        <f t="shared" si="7"/>
        <v/>
      </c>
      <c r="K98" s="56"/>
      <c r="L98" s="37"/>
      <c r="M98" s="103"/>
      <c r="N98" s="103"/>
      <c r="O98" s="103"/>
      <c r="P98" s="103"/>
      <c r="Q98" s="103"/>
    </row>
    <row r="99" spans="1:17" ht="73.5" customHeight="1">
      <c r="A99" s="26" t="str">
        <v>Finney</v>
      </c>
      <c r="B99" s="27" t="str">
        <v>NY</v>
      </c>
      <c r="C99" s="27" t="str">
        <f>Sites[[#This Row],[SOL'#]]</f>
        <v>SOL-10999</v>
      </c>
      <c r="D99" s="66"/>
      <c r="E99" s="14"/>
      <c r="F99" s="14" t="str">
        <f t="shared" si="4"/>
        <v/>
      </c>
      <c r="G99" s="15" t="str">
        <f t="shared" si="5"/>
        <v/>
      </c>
      <c r="H99" s="69"/>
      <c r="I99" s="16" t="str">
        <f t="shared" si="6"/>
        <v/>
      </c>
      <c r="J99" s="15" t="str">
        <f t="shared" si="7"/>
        <v/>
      </c>
      <c r="K99" s="38"/>
      <c r="L99" s="121"/>
      <c r="M99" s="102"/>
      <c r="N99" s="103"/>
      <c r="O99" s="103"/>
      <c r="P99" s="103"/>
      <c r="Q99" s="103"/>
    </row>
    <row r="100" spans="1:17" ht="15.6">
      <c r="A100" s="24" t="str">
        <v>Davis Solar</v>
      </c>
      <c r="B100" s="25" t="str">
        <v>NY</v>
      </c>
      <c r="C100" s="25" t="str">
        <f>Sites[[#This Row],[SOL'#]]</f>
        <v>SOL-10958</v>
      </c>
      <c r="D100" s="54"/>
      <c r="E100" s="10"/>
      <c r="F100" s="10" t="str">
        <f t="shared" ref="F100:F158" si="8">IF(AND(ISNUMBER(D100),ISNUMBER(E100)), D100-E100, "")</f>
        <v/>
      </c>
      <c r="G100" s="11" t="str">
        <f t="shared" ref="G100:G154" si="9">IFERROR(F100/E100, "")</f>
        <v/>
      </c>
      <c r="H100" s="67"/>
      <c r="I100" s="12" t="str">
        <f t="shared" si="6"/>
        <v/>
      </c>
      <c r="J100" s="13" t="str">
        <f t="shared" si="7"/>
        <v/>
      </c>
      <c r="K100" s="56"/>
      <c r="L100" s="109"/>
      <c r="M100" s="103"/>
      <c r="N100" s="103"/>
      <c r="O100" s="103"/>
      <c r="P100" s="103"/>
      <c r="Q100" s="103"/>
    </row>
    <row r="101" spans="1:17" ht="15.6">
      <c r="A101" s="26" t="str">
        <v>Genesee</v>
      </c>
      <c r="B101" s="27" t="str">
        <v>NY</v>
      </c>
      <c r="C101" s="27" t="str">
        <f>Sites[[#This Row],[SOL'#]]</f>
        <v>SOL-10951</v>
      </c>
      <c r="D101" s="66"/>
      <c r="E101" s="14"/>
      <c r="F101" s="14" t="str">
        <f t="shared" si="4"/>
        <v/>
      </c>
      <c r="G101" s="15" t="str">
        <f t="shared" si="9"/>
        <v/>
      </c>
      <c r="H101" s="69"/>
      <c r="I101" s="16" t="str">
        <f t="shared" si="6"/>
        <v/>
      </c>
      <c r="J101" s="15" t="str">
        <f t="shared" si="7"/>
        <v/>
      </c>
      <c r="K101" s="38"/>
      <c r="L101" s="121"/>
      <c r="M101" s="102"/>
      <c r="N101" s="102"/>
      <c r="O101" s="102"/>
      <c r="P101" s="103"/>
      <c r="Q101" s="103"/>
    </row>
    <row r="102" spans="1:17" ht="15.6">
      <c r="A102" s="24" t="str">
        <v>Landau I</v>
      </c>
      <c r="B102" s="25" t="str">
        <v>NY</v>
      </c>
      <c r="C102" s="25" t="str">
        <f>Sites[[#This Row],[SOL'#]]</f>
        <v>SOL-10891</v>
      </c>
      <c r="D102" s="54"/>
      <c r="E102" s="10"/>
      <c r="F102" s="10" t="str">
        <f t="shared" si="8"/>
        <v/>
      </c>
      <c r="G102" s="11" t="str">
        <f t="shared" si="9"/>
        <v/>
      </c>
      <c r="H102" s="67"/>
      <c r="I102" s="12" t="str">
        <f t="shared" si="6"/>
        <v/>
      </c>
      <c r="J102" s="13" t="str">
        <f t="shared" si="7"/>
        <v/>
      </c>
      <c r="K102" s="56"/>
      <c r="L102" s="37"/>
      <c r="M102" s="103"/>
      <c r="N102" s="103"/>
      <c r="O102" s="103"/>
      <c r="P102" s="103"/>
      <c r="Q102" s="103"/>
    </row>
    <row r="103" spans="1:17" ht="213.75" customHeight="1">
      <c r="A103" s="26" t="str">
        <v>Landau II</v>
      </c>
      <c r="B103" s="27" t="str">
        <v>NY</v>
      </c>
      <c r="C103" s="27" t="str">
        <f>Sites[[#This Row],[SOL'#]]</f>
        <v>SOL-10895</v>
      </c>
      <c r="D103" s="66"/>
      <c r="E103" s="14"/>
      <c r="F103" s="14" t="str">
        <f t="shared" si="8"/>
        <v/>
      </c>
      <c r="G103" s="15" t="str">
        <f t="shared" si="9"/>
        <v/>
      </c>
      <c r="H103" s="69"/>
      <c r="I103" s="16" t="str">
        <f t="shared" si="6"/>
        <v/>
      </c>
      <c r="J103" s="15" t="str">
        <f t="shared" si="7"/>
        <v/>
      </c>
      <c r="K103" s="38"/>
      <c r="L103" s="121"/>
      <c r="M103" s="102"/>
      <c r="N103" s="102"/>
      <c r="O103" s="102"/>
      <c r="P103" s="103"/>
      <c r="Q103" s="103"/>
    </row>
    <row r="104" spans="1:17" ht="15.6">
      <c r="A104" s="24" t="str">
        <v>New Beginnings</v>
      </c>
      <c r="B104" s="25" t="str">
        <v>NY</v>
      </c>
      <c r="C104" s="25" t="str">
        <f>Sites[[#This Row],[SOL'#]]</f>
        <v>SOL-10890</v>
      </c>
      <c r="D104" s="54"/>
      <c r="E104" s="10"/>
      <c r="F104" s="10" t="str">
        <f t="shared" si="8"/>
        <v/>
      </c>
      <c r="G104" s="11" t="str">
        <f t="shared" si="9"/>
        <v/>
      </c>
      <c r="H104" s="67"/>
      <c r="I104" s="12" t="str">
        <f t="shared" ref="I104:I157" si="10">IF(AND(ISNUMBER(D104),ISNUMBER(H104)), D104-H104, "")</f>
        <v/>
      </c>
      <c r="J104" s="13" t="str">
        <f t="shared" ref="J104:J151" si="11">IFERROR(I104/H104, "")</f>
        <v/>
      </c>
      <c r="K104" s="56"/>
      <c r="L104" s="37"/>
      <c r="M104" s="103"/>
      <c r="N104" s="103"/>
      <c r="O104" s="103"/>
      <c r="P104" s="103"/>
      <c r="Q104" s="103"/>
    </row>
    <row r="105" spans="1:17" ht="20.25" customHeight="1">
      <c r="A105" s="26" t="str">
        <v>Bullitt Farm Solar, LLC</v>
      </c>
      <c r="B105" s="27" t="str">
        <v>NY</v>
      </c>
      <c r="C105" s="27" t="str">
        <f>Sites[[#This Row],[SOL'#]]</f>
        <v>SOL-10998</v>
      </c>
      <c r="D105" s="66"/>
      <c r="E105" s="14"/>
      <c r="F105" s="14" t="str">
        <f t="shared" si="8"/>
        <v/>
      </c>
      <c r="G105" s="15" t="str">
        <f t="shared" si="9"/>
        <v/>
      </c>
      <c r="H105" s="69"/>
      <c r="I105" s="16" t="str">
        <f t="shared" si="10"/>
        <v/>
      </c>
      <c r="J105" s="15" t="str">
        <f t="shared" si="11"/>
        <v/>
      </c>
      <c r="K105" s="38"/>
      <c r="L105" s="17"/>
      <c r="M105" s="103"/>
      <c r="N105" s="103"/>
      <c r="O105" s="103"/>
      <c r="P105" s="103"/>
      <c r="Q105" s="103"/>
    </row>
    <row r="106" spans="1:17" ht="15.6">
      <c r="A106" s="24" t="str">
        <v>Brodhead Solar, LLC</v>
      </c>
      <c r="B106" s="25" t="str">
        <v>NY</v>
      </c>
      <c r="C106" s="25" t="str">
        <f>Sites[[#This Row],[SOL'#]]</f>
        <v>SOL-10899</v>
      </c>
      <c r="D106" s="54"/>
      <c r="E106" s="10"/>
      <c r="F106" s="10" t="str">
        <f t="shared" si="8"/>
        <v/>
      </c>
      <c r="G106" s="11" t="str">
        <f t="shared" si="9"/>
        <v/>
      </c>
      <c r="H106" s="67"/>
      <c r="I106" s="12" t="str">
        <f t="shared" si="10"/>
        <v/>
      </c>
      <c r="J106" s="13" t="str">
        <f t="shared" si="11"/>
        <v/>
      </c>
      <c r="K106" s="56"/>
      <c r="L106" s="109"/>
      <c r="M106" s="102"/>
      <c r="N106" s="103"/>
      <c r="O106" s="103"/>
      <c r="P106" s="103"/>
      <c r="Q106" s="103"/>
    </row>
    <row r="107" spans="1:17" ht="18.75" customHeight="1">
      <c r="A107" s="26" t="str">
        <v>Svenski</v>
      </c>
      <c r="B107" s="27" t="str">
        <v>NY</v>
      </c>
      <c r="C107" s="27" t="str">
        <f>Sites[[#This Row],[SOL'#]]</f>
        <v>SOL-10894</v>
      </c>
      <c r="D107" s="66"/>
      <c r="E107" s="14"/>
      <c r="F107" s="14" t="str">
        <f t="shared" si="8"/>
        <v/>
      </c>
      <c r="G107" s="15" t="str">
        <f t="shared" si="9"/>
        <v/>
      </c>
      <c r="H107" s="69"/>
      <c r="I107" s="16" t="str">
        <f t="shared" si="10"/>
        <v/>
      </c>
      <c r="J107" s="15" t="str">
        <f t="shared" si="11"/>
        <v/>
      </c>
      <c r="K107" s="38"/>
      <c r="L107" s="17"/>
      <c r="M107" s="103"/>
      <c r="N107" s="103"/>
      <c r="O107" s="103"/>
      <c r="P107" s="103"/>
      <c r="Q107" s="103"/>
    </row>
    <row r="108" spans="1:17" ht="175.5" customHeight="1">
      <c r="A108" s="24" t="str">
        <v>Bantam</v>
      </c>
      <c r="B108" s="25" t="str">
        <v>NY</v>
      </c>
      <c r="C108" s="25" t="str">
        <f>Sites[[#This Row],[SOL'#]]</f>
        <v>SOL-10986</v>
      </c>
      <c r="D108" s="54"/>
      <c r="E108" s="10"/>
      <c r="F108" s="10" t="str">
        <f t="shared" si="8"/>
        <v/>
      </c>
      <c r="G108" s="11" t="str">
        <f t="shared" si="9"/>
        <v/>
      </c>
      <c r="H108" s="67"/>
      <c r="I108" s="12" t="str">
        <f t="shared" si="10"/>
        <v/>
      </c>
      <c r="J108" s="13" t="str">
        <f t="shared" si="11"/>
        <v/>
      </c>
      <c r="K108" s="56"/>
      <c r="L108" s="109"/>
      <c r="M108" s="102"/>
      <c r="N108" s="102"/>
      <c r="O108" s="102"/>
      <c r="P108" s="103"/>
      <c r="Q108" s="103"/>
    </row>
    <row r="109" spans="1:17" ht="42" customHeight="1">
      <c r="A109" s="26" t="str">
        <v>Bogart</v>
      </c>
      <c r="B109" s="27" t="str">
        <v>NY</v>
      </c>
      <c r="C109" s="27" t="str">
        <f>Sites[[#This Row],[SOL'#]]</f>
        <v>SOL-10887</v>
      </c>
      <c r="D109" s="66"/>
      <c r="E109" s="14"/>
      <c r="F109" s="14" t="str">
        <f t="shared" si="8"/>
        <v/>
      </c>
      <c r="G109" s="15" t="str">
        <f t="shared" si="9"/>
        <v/>
      </c>
      <c r="H109" s="69"/>
      <c r="I109" s="16" t="str">
        <f t="shared" si="10"/>
        <v/>
      </c>
      <c r="J109" s="15" t="str">
        <f t="shared" si="11"/>
        <v/>
      </c>
      <c r="K109" s="38"/>
      <c r="L109" s="111"/>
      <c r="M109" s="103"/>
      <c r="N109" s="103"/>
      <c r="O109" s="103"/>
      <c r="P109" s="103"/>
      <c r="Q109" s="103"/>
    </row>
    <row r="110" spans="1:17" ht="15.6">
      <c r="A110" s="24" t="str">
        <v>Dubois</v>
      </c>
      <c r="B110" s="25" t="str">
        <v>NY</v>
      </c>
      <c r="C110" s="25" t="str">
        <f>Sites[[#This Row],[SOL'#]]</f>
        <v>SOL-10892</v>
      </c>
      <c r="D110" s="54"/>
      <c r="E110" s="10"/>
      <c r="F110" s="10" t="str">
        <f t="shared" si="8"/>
        <v/>
      </c>
      <c r="G110" s="11" t="str">
        <f t="shared" si="9"/>
        <v/>
      </c>
      <c r="H110" s="67"/>
      <c r="I110" s="12" t="str">
        <f t="shared" si="10"/>
        <v/>
      </c>
      <c r="J110" s="13" t="str">
        <f t="shared" si="11"/>
        <v/>
      </c>
      <c r="K110" s="56"/>
      <c r="L110" s="37"/>
      <c r="M110" s="103"/>
      <c r="N110" s="103"/>
      <c r="O110" s="103"/>
      <c r="P110" s="103"/>
      <c r="Q110" s="103"/>
    </row>
    <row r="111" spans="1:17" ht="15.6">
      <c r="A111" s="26" t="str">
        <v>Salt Point</v>
      </c>
      <c r="B111" s="27" t="str">
        <v>NY</v>
      </c>
      <c r="C111" s="27" t="str">
        <f>Sites[[#This Row],[SOL'#]]</f>
        <v>SOL-10888</v>
      </c>
      <c r="D111" s="66"/>
      <c r="E111" s="14"/>
      <c r="F111" s="14" t="str">
        <f t="shared" si="8"/>
        <v/>
      </c>
      <c r="G111" s="15" t="str">
        <f t="shared" si="9"/>
        <v/>
      </c>
      <c r="H111" s="69"/>
      <c r="I111" s="16" t="str">
        <f t="shared" si="10"/>
        <v/>
      </c>
      <c r="J111" s="15" t="str">
        <f t="shared" si="11"/>
        <v/>
      </c>
      <c r="K111" s="186"/>
      <c r="L111" s="114"/>
      <c r="M111" s="103"/>
      <c r="N111" s="103"/>
      <c r="O111" s="103"/>
      <c r="P111" s="103"/>
      <c r="Q111" s="103"/>
    </row>
    <row r="112" spans="1:17" ht="126.75" customHeight="1">
      <c r="A112" s="24" t="str">
        <v>Wheatland 2A</v>
      </c>
      <c r="B112" s="25" t="str">
        <v>NY</v>
      </c>
      <c r="C112" s="25" t="str">
        <f>Sites[[#This Row],[SOL'#]]</f>
        <v>SOL-10971</v>
      </c>
      <c r="D112" s="54"/>
      <c r="E112" s="10"/>
      <c r="F112" s="10" t="str">
        <f t="shared" si="8"/>
        <v/>
      </c>
      <c r="G112" s="11" t="str">
        <f t="shared" si="9"/>
        <v/>
      </c>
      <c r="H112" s="67"/>
      <c r="I112" s="12" t="str">
        <f t="shared" si="10"/>
        <v/>
      </c>
      <c r="J112" s="13" t="str">
        <f t="shared" si="11"/>
        <v/>
      </c>
      <c r="K112" s="56"/>
      <c r="L112" s="109"/>
      <c r="M112" s="102"/>
      <c r="N112" s="103"/>
      <c r="O112" s="103"/>
      <c r="P112" s="103"/>
      <c r="Q112" s="103"/>
    </row>
    <row r="113" spans="1:17" ht="186" customHeight="1">
      <c r="A113" s="26" t="str">
        <v>Wheatland 2B</v>
      </c>
      <c r="B113" s="27" t="str">
        <v>NY</v>
      </c>
      <c r="C113" s="27" t="str">
        <f>Sites[[#This Row],[SOL'#]]</f>
        <v>SOL-10961</v>
      </c>
      <c r="D113" s="66"/>
      <c r="E113" s="14"/>
      <c r="F113" s="14" t="str">
        <f t="shared" si="8"/>
        <v/>
      </c>
      <c r="G113" s="15" t="str">
        <f t="shared" si="9"/>
        <v/>
      </c>
      <c r="H113" s="69"/>
      <c r="I113" s="16" t="str">
        <f t="shared" si="10"/>
        <v/>
      </c>
      <c r="J113" s="15" t="str">
        <f t="shared" si="11"/>
        <v/>
      </c>
      <c r="K113" s="51"/>
      <c r="L113" s="121"/>
      <c r="M113" s="102"/>
      <c r="N113" s="102"/>
      <c r="O113" s="102"/>
      <c r="P113" s="102"/>
      <c r="Q113" s="103"/>
    </row>
    <row r="114" spans="1:17" ht="15.6">
      <c r="A114" s="24" t="str">
        <v>Brickchurch</v>
      </c>
      <c r="B114" s="25" t="str">
        <v>NY</v>
      </c>
      <c r="C114" s="25" t="str">
        <f>Sites[[#This Row],[SOL'#]]</f>
        <v>SOL-10889</v>
      </c>
      <c r="D114" s="54"/>
      <c r="E114" s="10"/>
      <c r="F114" s="10" t="str">
        <f t="shared" si="8"/>
        <v/>
      </c>
      <c r="G114" s="11" t="str">
        <f t="shared" si="9"/>
        <v/>
      </c>
      <c r="H114" s="67"/>
      <c r="I114" s="12" t="str">
        <f t="shared" si="10"/>
        <v/>
      </c>
      <c r="J114" s="13" t="str">
        <f t="shared" si="11"/>
        <v/>
      </c>
      <c r="K114" s="56"/>
      <c r="L114" s="109"/>
      <c r="M114" s="102"/>
      <c r="N114" s="103"/>
      <c r="O114" s="103"/>
      <c r="P114" s="103"/>
      <c r="Q114" s="103"/>
    </row>
    <row r="115" spans="1:17" ht="15.6">
      <c r="A115" s="26" t="str">
        <v>McCarthy Solar</v>
      </c>
      <c r="B115" s="27" t="str">
        <v>NY</v>
      </c>
      <c r="C115" s="27" t="str">
        <f>Sites[[#This Row],[SOL'#]]</f>
        <v>SOL-10992</v>
      </c>
      <c r="D115" s="66"/>
      <c r="E115" s="14"/>
      <c r="F115" s="14" t="str">
        <f t="shared" si="8"/>
        <v/>
      </c>
      <c r="G115" s="15" t="str">
        <f t="shared" si="9"/>
        <v/>
      </c>
      <c r="H115" s="69"/>
      <c r="I115" s="16" t="str">
        <f t="shared" si="10"/>
        <v/>
      </c>
      <c r="J115" s="15" t="str">
        <f t="shared" si="11"/>
        <v/>
      </c>
      <c r="K115" s="38"/>
      <c r="L115" s="17"/>
      <c r="M115" s="103"/>
      <c r="N115" s="103"/>
      <c r="O115" s="103"/>
      <c r="P115" s="103"/>
      <c r="Q115" s="103"/>
    </row>
    <row r="116" spans="1:17" ht="15.6">
      <c r="A116" s="24" t="str">
        <v>Costanza</v>
      </c>
      <c r="B116" s="25" t="str">
        <v>NY</v>
      </c>
      <c r="C116" s="25" t="str">
        <f>Sites[[#This Row],[SOL'#]]</f>
        <v>SOL-10907</v>
      </c>
      <c r="D116" s="54"/>
      <c r="E116" s="10"/>
      <c r="F116" s="10" t="str">
        <f t="shared" si="8"/>
        <v/>
      </c>
      <c r="G116" s="11" t="str">
        <f t="shared" si="9"/>
        <v/>
      </c>
      <c r="H116" s="67"/>
      <c r="I116" s="12" t="str">
        <f t="shared" si="10"/>
        <v/>
      </c>
      <c r="J116" s="13" t="str">
        <f t="shared" si="11"/>
        <v/>
      </c>
      <c r="K116" s="56"/>
      <c r="L116" s="109"/>
      <c r="M116" s="103"/>
      <c r="N116" s="103"/>
      <c r="O116" s="103"/>
      <c r="P116" s="103"/>
      <c r="Q116" s="103"/>
    </row>
    <row r="117" spans="1:17" ht="15.6">
      <c r="A117" s="26" t="str">
        <v>Lockenhurst Pond</v>
      </c>
      <c r="B117" s="27" t="str">
        <v>NY</v>
      </c>
      <c r="C117" s="27" t="str">
        <f>Sites[[#This Row],[SOL'#]]</f>
        <v>SOL-11000</v>
      </c>
      <c r="D117" s="66"/>
      <c r="E117" s="14"/>
      <c r="F117" s="14" t="str">
        <f t="shared" si="8"/>
        <v/>
      </c>
      <c r="G117" s="15" t="str">
        <f t="shared" si="9"/>
        <v/>
      </c>
      <c r="H117" s="69"/>
      <c r="I117" s="16" t="str">
        <f t="shared" si="10"/>
        <v/>
      </c>
      <c r="J117" s="15" t="str">
        <f t="shared" si="11"/>
        <v/>
      </c>
      <c r="K117" s="38"/>
      <c r="L117" s="17"/>
      <c r="M117" s="103"/>
      <c r="N117" s="103"/>
      <c r="O117" s="103"/>
      <c r="P117" s="103"/>
      <c r="Q117" s="103"/>
    </row>
    <row r="118" spans="1:17" ht="15.6">
      <c r="A118" s="24" t="str">
        <v>Drinkwater</v>
      </c>
      <c r="B118" s="25" t="str">
        <v>NY</v>
      </c>
      <c r="C118" s="25" t="str">
        <f>Sites[[#This Row],[SOL'#]]</f>
        <v>SOL-10896</v>
      </c>
      <c r="D118" s="54"/>
      <c r="E118" s="10"/>
      <c r="F118" s="10" t="str">
        <f t="shared" si="8"/>
        <v/>
      </c>
      <c r="G118" s="11" t="str">
        <f t="shared" si="9"/>
        <v/>
      </c>
      <c r="H118" s="67"/>
      <c r="I118" s="12" t="str">
        <f t="shared" si="10"/>
        <v/>
      </c>
      <c r="J118" s="13" t="str">
        <f t="shared" si="11"/>
        <v/>
      </c>
      <c r="K118" s="56"/>
      <c r="L118" s="37"/>
      <c r="M118" s="103"/>
      <c r="N118" s="103"/>
      <c r="O118" s="103"/>
      <c r="P118" s="103"/>
      <c r="Q118" s="103"/>
    </row>
    <row r="119" spans="1:17" ht="15.6">
      <c r="A119" s="26" t="str">
        <v>Altamont</v>
      </c>
      <c r="B119" s="27" t="str">
        <v>NY</v>
      </c>
      <c r="C119" s="27" t="str">
        <f>Sites[[#This Row],[SOL'#]]</f>
        <v>SOL-11085</v>
      </c>
      <c r="D119" s="66"/>
      <c r="E119" s="14"/>
      <c r="F119" s="14" t="str">
        <f t="shared" si="8"/>
        <v/>
      </c>
      <c r="G119" s="15" t="str">
        <f t="shared" si="9"/>
        <v/>
      </c>
      <c r="H119" s="69"/>
      <c r="I119" s="16" t="str">
        <f t="shared" si="10"/>
        <v/>
      </c>
      <c r="J119" s="15" t="str">
        <f t="shared" si="11"/>
        <v/>
      </c>
      <c r="K119" s="38"/>
      <c r="L119" s="114"/>
      <c r="M119" s="103"/>
      <c r="N119" s="103"/>
      <c r="O119" s="103"/>
      <c r="P119" s="103"/>
      <c r="Q119" s="103"/>
    </row>
    <row r="120" spans="1:17" ht="19.5" customHeight="1">
      <c r="A120" s="24" t="str">
        <v>Krumkill North</v>
      </c>
      <c r="B120" s="25" t="str">
        <v>NY</v>
      </c>
      <c r="C120" s="25" t="str">
        <f>Sites[[#This Row],[SOL'#]]</f>
        <v>SOL-11086</v>
      </c>
      <c r="D120" s="54"/>
      <c r="E120" s="10"/>
      <c r="F120" s="10" t="str">
        <f t="shared" si="8"/>
        <v/>
      </c>
      <c r="G120" s="11" t="str">
        <f t="shared" si="9"/>
        <v/>
      </c>
      <c r="H120" s="67"/>
      <c r="I120" s="12" t="str">
        <f t="shared" si="10"/>
        <v/>
      </c>
      <c r="J120" s="13" t="str">
        <f t="shared" si="11"/>
        <v/>
      </c>
      <c r="K120" s="56"/>
      <c r="L120" s="37"/>
      <c r="M120" s="103"/>
      <c r="N120" s="103"/>
      <c r="O120" s="103"/>
      <c r="P120" s="103"/>
      <c r="Q120" s="103"/>
    </row>
    <row r="121" spans="1:17" ht="15.6">
      <c r="A121" s="26" t="str">
        <v>Krumkill South</v>
      </c>
      <c r="B121" s="27" t="str">
        <v>NY</v>
      </c>
      <c r="C121" s="27" t="str">
        <f>Sites[[#This Row],[SOL'#]]</f>
        <v>SOL-11087</v>
      </c>
      <c r="D121" s="66"/>
      <c r="E121" s="14"/>
      <c r="F121" s="14" t="str">
        <f t="shared" si="8"/>
        <v/>
      </c>
      <c r="G121" s="15" t="str">
        <f t="shared" si="9"/>
        <v/>
      </c>
      <c r="H121" s="69"/>
      <c r="I121" s="16" t="str">
        <f t="shared" si="10"/>
        <v/>
      </c>
      <c r="J121" s="15" t="str">
        <f t="shared" si="11"/>
        <v/>
      </c>
      <c r="K121" s="38"/>
      <c r="L121" s="17"/>
      <c r="M121" s="103"/>
      <c r="N121" s="103"/>
      <c r="O121" s="103"/>
      <c r="P121" s="103"/>
      <c r="Q121" s="103"/>
    </row>
    <row r="122" spans="1:17" ht="15.6">
      <c r="A122" s="24" t="str">
        <v>X092</v>
      </c>
      <c r="B122" s="25" t="str">
        <v>NY</v>
      </c>
      <c r="C122" s="25" t="str">
        <f>Sites[[#This Row],[SOL'#]]</f>
        <v>SOL-11189</v>
      </c>
      <c r="D122" s="54"/>
      <c r="E122" s="10"/>
      <c r="F122" s="10" t="str">
        <f t="shared" si="8"/>
        <v/>
      </c>
      <c r="G122" s="11" t="str">
        <f t="shared" si="9"/>
        <v/>
      </c>
      <c r="H122" s="67"/>
      <c r="I122" s="12" t="str">
        <f t="shared" si="10"/>
        <v/>
      </c>
      <c r="J122" s="13" t="str">
        <f t="shared" si="11"/>
        <v/>
      </c>
      <c r="K122" s="56"/>
      <c r="L122" s="37"/>
      <c r="M122" s="103"/>
      <c r="N122" s="103"/>
      <c r="O122" s="103"/>
      <c r="P122" s="103"/>
      <c r="Q122" s="103"/>
    </row>
    <row r="123" spans="1:17" ht="15.6">
      <c r="A123" s="26" t="str">
        <v>X093</v>
      </c>
      <c r="B123" s="27" t="str">
        <v>NY</v>
      </c>
      <c r="C123" s="27" t="str">
        <f>Sites[[#This Row],[SOL'#]]</f>
        <v>SOL-10932</v>
      </c>
      <c r="D123" s="66"/>
      <c r="E123" s="14"/>
      <c r="F123" s="14" t="str">
        <f t="shared" si="8"/>
        <v/>
      </c>
      <c r="G123" s="15" t="str">
        <f t="shared" si="9"/>
        <v/>
      </c>
      <c r="H123" s="69"/>
      <c r="I123" s="16" t="str">
        <f t="shared" si="10"/>
        <v/>
      </c>
      <c r="J123" s="15" t="str">
        <f t="shared" si="11"/>
        <v/>
      </c>
      <c r="K123" s="38"/>
      <c r="L123" s="121"/>
      <c r="M123" s="102"/>
      <c r="N123" s="102"/>
      <c r="O123" s="103"/>
      <c r="P123" s="103"/>
      <c r="Q123" s="103"/>
    </row>
    <row r="124" spans="1:17" ht="15.6">
      <c r="A124" s="24" t="str">
        <v>X095</v>
      </c>
      <c r="B124" s="25" t="str">
        <v>NY</v>
      </c>
      <c r="C124" s="25" t="str">
        <f>Sites[[#This Row],[SOL'#]]</f>
        <v>SOL-10929</v>
      </c>
      <c r="D124" s="54"/>
      <c r="E124" s="10"/>
      <c r="F124" s="10" t="str">
        <f t="shared" si="8"/>
        <v/>
      </c>
      <c r="G124" s="11" t="str">
        <f t="shared" si="9"/>
        <v/>
      </c>
      <c r="H124" s="67"/>
      <c r="I124" s="12" t="str">
        <f t="shared" si="10"/>
        <v/>
      </c>
      <c r="J124" s="13" t="str">
        <f t="shared" si="11"/>
        <v/>
      </c>
      <c r="K124" s="56"/>
      <c r="L124" s="109"/>
      <c r="M124" s="102"/>
      <c r="N124" s="103"/>
      <c r="O124" s="103"/>
      <c r="P124" s="103"/>
      <c r="Q124" s="103"/>
    </row>
    <row r="125" spans="1:17" ht="15.6">
      <c r="A125" s="26" t="str">
        <v>X181</v>
      </c>
      <c r="B125" s="27" t="str">
        <v>NY</v>
      </c>
      <c r="C125" s="27" t="str">
        <f>Sites[[#This Row],[SOL'#]]</f>
        <v>SOL-10428</v>
      </c>
      <c r="D125" s="66"/>
      <c r="E125" s="14"/>
      <c r="F125" s="14" t="str">
        <f t="shared" si="8"/>
        <v/>
      </c>
      <c r="G125" s="15" t="str">
        <f t="shared" si="9"/>
        <v/>
      </c>
      <c r="H125" s="69"/>
      <c r="I125" s="16" t="str">
        <f t="shared" si="10"/>
        <v/>
      </c>
      <c r="J125" s="15" t="str">
        <f t="shared" si="11"/>
        <v/>
      </c>
      <c r="K125" s="50"/>
      <c r="L125" s="115"/>
      <c r="M125" s="103"/>
      <c r="N125" s="103"/>
      <c r="O125" s="103"/>
      <c r="P125" s="103"/>
      <c r="Q125" s="103"/>
    </row>
    <row r="126" spans="1:17" ht="15.6">
      <c r="A126" s="24" t="str">
        <v>X415</v>
      </c>
      <c r="B126" s="25" t="str">
        <v>NY</v>
      </c>
      <c r="C126" s="25" t="str">
        <f>Sites[[#This Row],[SOL'#]]</f>
        <v>SOL-10429</v>
      </c>
      <c r="D126" s="54"/>
      <c r="E126" s="10"/>
      <c r="F126" s="10" t="str">
        <f t="shared" si="8"/>
        <v/>
      </c>
      <c r="G126" s="11" t="str">
        <f t="shared" si="9"/>
        <v/>
      </c>
      <c r="H126" s="67"/>
      <c r="I126" s="12" t="str">
        <f t="shared" si="10"/>
        <v/>
      </c>
      <c r="J126" s="13" t="str">
        <f t="shared" si="11"/>
        <v/>
      </c>
      <c r="K126" s="56"/>
      <c r="L126" s="109"/>
      <c r="M126" s="103"/>
      <c r="N126" s="103"/>
      <c r="O126" s="103"/>
      <c r="P126" s="103"/>
      <c r="Q126" s="103"/>
    </row>
    <row r="127" spans="1:17" ht="15.6">
      <c r="A127" s="26" t="str">
        <v>K198</v>
      </c>
      <c r="B127" s="27" t="str">
        <v>NY</v>
      </c>
      <c r="C127" s="27" t="str">
        <f>Sites[[#This Row],[SOL'#]]</f>
        <v>SOL-10930</v>
      </c>
      <c r="D127" s="66"/>
      <c r="E127" s="14"/>
      <c r="F127" s="14" t="str">
        <f t="shared" si="8"/>
        <v/>
      </c>
      <c r="G127" s="15" t="str">
        <f t="shared" si="9"/>
        <v/>
      </c>
      <c r="H127" s="69"/>
      <c r="I127" s="16" t="str">
        <f t="shared" si="10"/>
        <v/>
      </c>
      <c r="J127" s="15" t="str">
        <f t="shared" si="11"/>
        <v/>
      </c>
      <c r="K127" s="38"/>
      <c r="L127" s="111"/>
      <c r="M127" s="103"/>
      <c r="N127" s="103"/>
      <c r="O127" s="103"/>
      <c r="P127" s="103"/>
      <c r="Q127" s="103"/>
    </row>
    <row r="128" spans="1:17" ht="40.5" customHeight="1">
      <c r="A128" s="24" t="str">
        <v>K203</v>
      </c>
      <c r="B128" s="25" t="str">
        <v>NY</v>
      </c>
      <c r="C128" s="25" t="str">
        <f>Sites[[#This Row],[SOL'#]]</f>
        <v>SOL-11190</v>
      </c>
      <c r="D128" s="54"/>
      <c r="E128" s="10"/>
      <c r="F128" s="10" t="str">
        <f t="shared" si="8"/>
        <v/>
      </c>
      <c r="G128" s="11" t="str">
        <f t="shared" si="9"/>
        <v/>
      </c>
      <c r="H128" s="67"/>
      <c r="I128" s="12" t="str">
        <f t="shared" si="10"/>
        <v/>
      </c>
      <c r="J128" s="13" t="str">
        <f t="shared" si="11"/>
        <v/>
      </c>
      <c r="K128" s="56"/>
      <c r="L128" s="109"/>
      <c r="M128" s="103"/>
      <c r="N128" s="103"/>
      <c r="O128" s="103"/>
      <c r="P128" s="103"/>
      <c r="Q128" s="103"/>
    </row>
    <row r="129" spans="1:17" ht="40.5" customHeight="1">
      <c r="A129" s="26" t="str">
        <v>K213</v>
      </c>
      <c r="B129" s="27" t="str">
        <v>NY</v>
      </c>
      <c r="C129" s="27" t="str">
        <f>Sites[[#This Row],[SOL'#]]</f>
        <v>SOL-11191</v>
      </c>
      <c r="D129" s="66"/>
      <c r="E129" s="14"/>
      <c r="F129" s="14" t="str">
        <f t="shared" si="8"/>
        <v/>
      </c>
      <c r="G129" s="15" t="str">
        <f t="shared" si="9"/>
        <v/>
      </c>
      <c r="H129" s="69"/>
      <c r="I129" s="16" t="str">
        <f t="shared" si="10"/>
        <v/>
      </c>
      <c r="J129" s="15" t="str">
        <f t="shared" si="11"/>
        <v/>
      </c>
      <c r="K129" s="38"/>
      <c r="L129" s="101"/>
      <c r="M129" s="103"/>
      <c r="N129" s="103"/>
      <c r="O129" s="103"/>
      <c r="P129" s="103"/>
      <c r="Q129" s="103"/>
    </row>
    <row r="130" spans="1:17" ht="15.6">
      <c r="A130" s="24" t="str">
        <v>K217</v>
      </c>
      <c r="B130" s="25" t="str">
        <v>NY</v>
      </c>
      <c r="C130" s="25" t="str">
        <f>Sites[[#This Row],[SOL'#]]</f>
        <v>SOL-10933</v>
      </c>
      <c r="D130" s="54"/>
      <c r="E130" s="10"/>
      <c r="F130" s="10" t="str">
        <f t="shared" si="8"/>
        <v/>
      </c>
      <c r="G130" s="11" t="str">
        <f t="shared" si="9"/>
        <v/>
      </c>
      <c r="H130" s="67"/>
      <c r="I130" s="12" t="str">
        <f t="shared" si="10"/>
        <v/>
      </c>
      <c r="J130" s="13" t="str">
        <f t="shared" si="11"/>
        <v/>
      </c>
      <c r="K130" s="56"/>
      <c r="L130" s="109"/>
      <c r="M130" s="103"/>
      <c r="N130" s="103"/>
      <c r="O130" s="103"/>
      <c r="P130" s="103"/>
      <c r="Q130" s="103"/>
    </row>
    <row r="131" spans="1:17" ht="15.6">
      <c r="A131" s="26" t="str">
        <v>K307</v>
      </c>
      <c r="B131" s="27" t="str">
        <v>NY</v>
      </c>
      <c r="C131" s="27" t="str">
        <f>Sites[[#This Row],[SOL'#]]</f>
        <v>SOL-10876</v>
      </c>
      <c r="D131" s="66"/>
      <c r="E131" s="14"/>
      <c r="F131" s="14" t="str">
        <f t="shared" si="8"/>
        <v/>
      </c>
      <c r="G131" s="15" t="str">
        <f t="shared" si="9"/>
        <v/>
      </c>
      <c r="H131" s="69"/>
      <c r="I131" s="16" t="str">
        <f t="shared" si="10"/>
        <v/>
      </c>
      <c r="J131" s="15" t="str">
        <f t="shared" si="11"/>
        <v/>
      </c>
      <c r="K131" s="38"/>
      <c r="L131" s="17"/>
      <c r="M131" s="103"/>
      <c r="N131" s="103"/>
      <c r="O131" s="103"/>
      <c r="P131" s="103"/>
      <c r="Q131" s="103"/>
    </row>
    <row r="132" spans="1:17" ht="15.6">
      <c r="A132" s="24" t="str">
        <v>K610</v>
      </c>
      <c r="B132" s="25" t="str">
        <v>NY</v>
      </c>
      <c r="C132" s="25" t="str">
        <f>Sites[[#This Row],[SOL'#]]</f>
        <v>SOL-11158</v>
      </c>
      <c r="D132" s="54"/>
      <c r="E132" s="10"/>
      <c r="F132" s="10" t="str">
        <f t="shared" si="8"/>
        <v/>
      </c>
      <c r="G132" s="11" t="str">
        <f t="shared" si="9"/>
        <v/>
      </c>
      <c r="H132" s="67"/>
      <c r="I132" s="12" t="str">
        <f t="shared" si="10"/>
        <v/>
      </c>
      <c r="J132" s="13" t="str">
        <f t="shared" si="11"/>
        <v/>
      </c>
      <c r="K132" s="56"/>
      <c r="L132" s="37"/>
      <c r="M132" s="103"/>
      <c r="N132" s="103"/>
      <c r="O132" s="103"/>
      <c r="P132" s="103"/>
      <c r="Q132" s="103"/>
    </row>
    <row r="133" spans="1:17" ht="84.75" customHeight="1">
      <c r="A133" s="26" t="str">
        <v>M025</v>
      </c>
      <c r="B133" s="27" t="str">
        <v>NY</v>
      </c>
      <c r="C133" s="27" t="str">
        <f>Sites[[#This Row],[SOL'#]]</f>
        <v>SOL-10392</v>
      </c>
      <c r="D133" s="66"/>
      <c r="E133" s="14"/>
      <c r="F133" s="14" t="str">
        <f t="shared" si="8"/>
        <v/>
      </c>
      <c r="G133" s="15" t="str">
        <f t="shared" si="9"/>
        <v/>
      </c>
      <c r="H133" s="69"/>
      <c r="I133" s="16" t="str">
        <f t="shared" si="10"/>
        <v/>
      </c>
      <c r="J133" s="15" t="str">
        <f t="shared" si="11"/>
        <v/>
      </c>
      <c r="K133" s="38"/>
      <c r="L133" s="121"/>
      <c r="M133" s="102"/>
      <c r="N133" s="102"/>
      <c r="O133" s="103"/>
      <c r="P133" s="103"/>
      <c r="Q133" s="103"/>
    </row>
    <row r="134" spans="1:17" ht="15.6">
      <c r="A134" s="24" t="str">
        <v>M028</v>
      </c>
      <c r="B134" s="25" t="str">
        <v>NY</v>
      </c>
      <c r="C134" s="25" t="str">
        <f>Sites[[#This Row],[SOL'#]]</f>
        <v>SOL-10381</v>
      </c>
      <c r="D134" s="54"/>
      <c r="E134" s="10"/>
      <c r="F134" s="10" t="str">
        <f t="shared" si="8"/>
        <v/>
      </c>
      <c r="G134" s="11" t="str">
        <f t="shared" si="9"/>
        <v/>
      </c>
      <c r="H134" s="67"/>
      <c r="I134" s="12" t="str">
        <f t="shared" si="10"/>
        <v/>
      </c>
      <c r="J134" s="13" t="str">
        <f t="shared" si="11"/>
        <v/>
      </c>
      <c r="K134" s="56"/>
      <c r="L134" s="109"/>
      <c r="M134" s="103"/>
      <c r="N134" s="103"/>
      <c r="O134" s="103"/>
      <c r="P134" s="103"/>
      <c r="Q134" s="103"/>
    </row>
    <row r="135" spans="1:17" ht="15.6">
      <c r="A135" s="26" t="str">
        <v>Q030</v>
      </c>
      <c r="B135" s="27" t="str">
        <v>NY</v>
      </c>
      <c r="C135" s="27" t="str">
        <f>Sites[[#This Row],[SOL'#]]</f>
        <v>SOL-10878</v>
      </c>
      <c r="D135" s="66"/>
      <c r="E135" s="14"/>
      <c r="F135" s="14" t="str">
        <f t="shared" si="8"/>
        <v/>
      </c>
      <c r="G135" s="15" t="str">
        <f t="shared" si="9"/>
        <v/>
      </c>
      <c r="H135" s="69"/>
      <c r="I135" s="16" t="str">
        <f t="shared" si="10"/>
        <v/>
      </c>
      <c r="J135" s="15" t="str">
        <f t="shared" si="11"/>
        <v/>
      </c>
      <c r="K135" s="38"/>
      <c r="L135" s="17"/>
      <c r="M135" s="103"/>
      <c r="N135" s="103"/>
      <c r="O135" s="103"/>
      <c r="P135" s="103"/>
      <c r="Q135" s="103"/>
    </row>
    <row r="136" spans="1:17" ht="15.6">
      <c r="A136" s="24" t="str">
        <v>Q130</v>
      </c>
      <c r="B136" s="25" t="str">
        <v>NY</v>
      </c>
      <c r="C136" s="25" t="str">
        <f>Sites[[#This Row],[SOL'#]]</f>
        <v>SOL-10877</v>
      </c>
      <c r="D136" s="54"/>
      <c r="E136" s="10"/>
      <c r="F136" s="10" t="str">
        <f t="shared" si="8"/>
        <v/>
      </c>
      <c r="G136" s="11" t="str">
        <f t="shared" si="9"/>
        <v/>
      </c>
      <c r="H136" s="67"/>
      <c r="I136" s="12" t="str">
        <f t="shared" si="10"/>
        <v/>
      </c>
      <c r="J136" s="13" t="str">
        <f t="shared" si="11"/>
        <v/>
      </c>
      <c r="K136" s="56"/>
      <c r="L136" s="109"/>
      <c r="M136" s="103"/>
      <c r="N136" s="103"/>
      <c r="O136" s="103"/>
      <c r="P136" s="103"/>
      <c r="Q136" s="103"/>
    </row>
    <row r="137" spans="1:17" ht="15.6">
      <c r="A137" s="26" t="str">
        <v>Q196</v>
      </c>
      <c r="B137" s="27" t="str">
        <v>NY</v>
      </c>
      <c r="C137" s="27" t="str">
        <f>Sites[[#This Row],[SOL'#]]</f>
        <v>SOL-10879</v>
      </c>
      <c r="D137" s="66"/>
      <c r="E137" s="14"/>
      <c r="F137" s="14" t="str">
        <f t="shared" si="8"/>
        <v/>
      </c>
      <c r="G137" s="15" t="str">
        <f t="shared" si="9"/>
        <v/>
      </c>
      <c r="H137" s="69"/>
      <c r="I137" s="16" t="str">
        <f t="shared" si="10"/>
        <v/>
      </c>
      <c r="J137" s="15" t="str">
        <f t="shared" si="11"/>
        <v/>
      </c>
      <c r="K137" s="38"/>
      <c r="L137" s="111"/>
      <c r="M137" s="103"/>
      <c r="N137" s="103"/>
      <c r="O137" s="103"/>
      <c r="P137" s="103"/>
      <c r="Q137" s="103"/>
    </row>
    <row r="138" spans="1:17" ht="15.6">
      <c r="A138" s="24" t="str">
        <v>Q220</v>
      </c>
      <c r="B138" s="25" t="str">
        <v>NY</v>
      </c>
      <c r="C138" s="25" t="str">
        <f>Sites[[#This Row],[SOL'#]]</f>
        <v>SOL-10873</v>
      </c>
      <c r="D138" s="54"/>
      <c r="E138" s="10"/>
      <c r="F138" s="10" t="str">
        <f t="shared" si="8"/>
        <v/>
      </c>
      <c r="G138" s="11" t="str">
        <f t="shared" si="9"/>
        <v/>
      </c>
      <c r="H138" s="67"/>
      <c r="I138" s="12" t="str">
        <f t="shared" si="10"/>
        <v/>
      </c>
      <c r="J138" s="13" t="str">
        <f t="shared" si="11"/>
        <v/>
      </c>
      <c r="K138" s="56"/>
      <c r="L138" s="109"/>
      <c r="M138" s="103"/>
      <c r="N138" s="103"/>
      <c r="O138" s="103"/>
      <c r="P138" s="103"/>
      <c r="Q138" s="103"/>
    </row>
    <row r="139" spans="1:17" ht="15.6">
      <c r="A139" s="26" t="str">
        <v>Q205</v>
      </c>
      <c r="B139" s="27" t="str">
        <v>NY</v>
      </c>
      <c r="C139" s="27" t="str">
        <f>Sites[[#This Row],[SOL'#]]</f>
        <v>SOL-10922</v>
      </c>
      <c r="D139" s="66"/>
      <c r="E139" s="14"/>
      <c r="F139" s="14" t="str">
        <f t="shared" si="8"/>
        <v/>
      </c>
      <c r="G139" s="15" t="str">
        <f t="shared" si="9"/>
        <v/>
      </c>
      <c r="H139" s="69"/>
      <c r="I139" s="16" t="str">
        <f t="shared" si="10"/>
        <v/>
      </c>
      <c r="J139" s="15" t="str">
        <f t="shared" si="11"/>
        <v/>
      </c>
      <c r="K139" s="38"/>
      <c r="L139" s="114"/>
      <c r="M139" s="103"/>
      <c r="N139" s="103"/>
      <c r="O139" s="103"/>
      <c r="P139" s="103"/>
      <c r="Q139" s="103"/>
    </row>
    <row r="140" spans="1:17" ht="99.75" customHeight="1">
      <c r="A140" s="24" t="str">
        <v>Q400</v>
      </c>
      <c r="B140" s="25" t="str">
        <v>NY</v>
      </c>
      <c r="C140" s="25" t="str">
        <f>Sites[[#This Row],[SOL'#]]</f>
        <v>SOL-10871</v>
      </c>
      <c r="D140" s="54"/>
      <c r="E140" s="10"/>
      <c r="F140" s="10" t="str">
        <f t="shared" si="8"/>
        <v/>
      </c>
      <c r="G140" s="11" t="str">
        <f t="shared" si="9"/>
        <v/>
      </c>
      <c r="H140" s="67"/>
      <c r="I140" s="12" t="str">
        <f t="shared" si="10"/>
        <v/>
      </c>
      <c r="J140" s="13" t="str">
        <f t="shared" si="11"/>
        <v/>
      </c>
      <c r="K140" s="56"/>
      <c r="L140" s="109"/>
      <c r="M140" s="102"/>
      <c r="N140" s="102"/>
      <c r="O140" s="102"/>
      <c r="P140" s="102"/>
      <c r="Q140" s="102"/>
    </row>
    <row r="141" spans="1:17" ht="15.6">
      <c r="A141" s="26" t="str">
        <v>R003</v>
      </c>
      <c r="B141" s="27" t="str">
        <v>NY</v>
      </c>
      <c r="C141" s="27" t="str">
        <f>Sites[[#This Row],[SOL'#]]</f>
        <v>SOL-10416</v>
      </c>
      <c r="D141" s="66"/>
      <c r="E141" s="14"/>
      <c r="F141" s="14" t="str">
        <f t="shared" si="8"/>
        <v/>
      </c>
      <c r="G141" s="15" t="str">
        <f t="shared" si="9"/>
        <v/>
      </c>
      <c r="H141" s="69"/>
      <c r="I141" s="16" t="str">
        <f t="shared" si="10"/>
        <v/>
      </c>
      <c r="J141" s="15" t="str">
        <f t="shared" si="11"/>
        <v/>
      </c>
      <c r="K141" s="38"/>
      <c r="L141" s="111"/>
      <c r="M141" s="103"/>
      <c r="N141" s="103"/>
      <c r="O141" s="103"/>
      <c r="P141" s="103"/>
      <c r="Q141" s="103"/>
    </row>
    <row r="142" spans="1:17" ht="15.6">
      <c r="A142" s="24" t="str">
        <v>R007</v>
      </c>
      <c r="B142" s="25" t="str">
        <v>NY</v>
      </c>
      <c r="C142" s="25" t="str">
        <f>Sites[[#This Row],[SOL'#]]</f>
        <v>SOL-10417</v>
      </c>
      <c r="D142" s="54"/>
      <c r="E142" s="10"/>
      <c r="F142" s="10" t="str">
        <f t="shared" si="8"/>
        <v/>
      </c>
      <c r="G142" s="11" t="str">
        <f t="shared" si="9"/>
        <v/>
      </c>
      <c r="H142" s="67"/>
      <c r="I142" s="12" t="str">
        <f t="shared" si="10"/>
        <v/>
      </c>
      <c r="J142" s="13" t="str">
        <f t="shared" si="11"/>
        <v/>
      </c>
      <c r="K142" s="56"/>
      <c r="L142" s="37"/>
      <c r="M142" s="103"/>
      <c r="N142" s="103"/>
      <c r="O142" s="103"/>
      <c r="P142" s="103"/>
      <c r="Q142" s="103"/>
    </row>
    <row r="143" spans="1:17" ht="15.6">
      <c r="A143" s="26" t="str">
        <v>BK16</v>
      </c>
      <c r="B143" s="27" t="str">
        <v>NY</v>
      </c>
      <c r="C143" s="27" t="str">
        <f>Sites[[#This Row],[SOL'#]]</f>
        <v>SOL-11093</v>
      </c>
      <c r="D143" s="66"/>
      <c r="E143" s="14"/>
      <c r="F143" s="14" t="str">
        <f t="shared" si="8"/>
        <v/>
      </c>
      <c r="G143" s="15" t="str">
        <f t="shared" si="9"/>
        <v/>
      </c>
      <c r="H143" s="69"/>
      <c r="I143" s="16" t="str">
        <f t="shared" si="10"/>
        <v/>
      </c>
      <c r="J143" s="15" t="str">
        <f t="shared" si="11"/>
        <v/>
      </c>
      <c r="K143" s="38"/>
      <c r="L143" s="121"/>
      <c r="M143" s="102"/>
      <c r="N143" s="103"/>
      <c r="O143" s="103"/>
      <c r="P143" s="103"/>
      <c r="Q143" s="103"/>
    </row>
    <row r="144" spans="1:17" ht="15.6">
      <c r="A144" s="24" t="str">
        <v>Trenton - Trenton East</v>
      </c>
      <c r="B144" s="25" t="str">
        <v>IL</v>
      </c>
      <c r="C144" s="25" t="str">
        <f>Sites[[#This Row],[SOL'#]]</f>
        <v>SOL-11060</v>
      </c>
      <c r="D144" s="54"/>
      <c r="E144" s="10"/>
      <c r="F144" s="10" t="str">
        <f t="shared" si="8"/>
        <v/>
      </c>
      <c r="G144" s="11" t="str">
        <f t="shared" si="9"/>
        <v/>
      </c>
      <c r="H144" s="67"/>
      <c r="I144" s="12" t="str">
        <f t="shared" si="10"/>
        <v/>
      </c>
      <c r="J144" s="13" t="str">
        <f t="shared" si="11"/>
        <v/>
      </c>
      <c r="K144" s="56"/>
      <c r="L144" s="109"/>
      <c r="M144" s="102"/>
      <c r="N144" s="103"/>
      <c r="O144" s="103"/>
      <c r="P144" s="103"/>
      <c r="Q144" s="103"/>
    </row>
    <row r="145" spans="1:17" ht="15.6">
      <c r="A145" s="26" t="str">
        <v>Trenton - Trenton West</v>
      </c>
      <c r="B145" s="27" t="str">
        <v>IL</v>
      </c>
      <c r="C145" s="27" t="str">
        <f>Sites[[#This Row],[SOL'#]]</f>
        <v>SOL-11061</v>
      </c>
      <c r="D145" s="66"/>
      <c r="E145" s="14"/>
      <c r="F145" s="14" t="str">
        <f t="shared" si="8"/>
        <v/>
      </c>
      <c r="G145" s="15" t="str">
        <f t="shared" si="9"/>
        <v/>
      </c>
      <c r="H145" s="69"/>
      <c r="I145" s="16" t="str">
        <f t="shared" si="10"/>
        <v/>
      </c>
      <c r="J145" s="15" t="str">
        <f t="shared" si="11"/>
        <v/>
      </c>
      <c r="K145" s="38"/>
      <c r="L145" s="121"/>
      <c r="M145" s="102"/>
      <c r="N145" s="103"/>
      <c r="O145" s="103"/>
      <c r="P145" s="103"/>
      <c r="Q145" s="103"/>
    </row>
    <row r="146" spans="1:17" ht="15.6">
      <c r="A146" s="24" t="str">
        <v>Dakota - Dakota Solar 1</v>
      </c>
      <c r="B146" s="25" t="str">
        <v>IL</v>
      </c>
      <c r="C146" s="25" t="str">
        <f>Sites[[#This Row],[SOL'#]]</f>
        <v>SOL-11113</v>
      </c>
      <c r="D146" s="54"/>
      <c r="E146" s="10"/>
      <c r="F146" s="10" t="str">
        <f t="shared" si="8"/>
        <v/>
      </c>
      <c r="G146" s="11" t="str">
        <f t="shared" si="9"/>
        <v/>
      </c>
      <c r="H146" s="67"/>
      <c r="I146" s="12" t="str">
        <f t="shared" si="10"/>
        <v/>
      </c>
      <c r="J146" s="13" t="str">
        <f t="shared" si="11"/>
        <v/>
      </c>
      <c r="K146" s="56"/>
      <c r="L146" s="109"/>
      <c r="M146" s="102"/>
      <c r="N146" s="103"/>
      <c r="O146" s="103"/>
      <c r="P146" s="103"/>
      <c r="Q146" s="103"/>
    </row>
    <row r="147" spans="1:17" ht="15.6">
      <c r="A147" s="26" t="str">
        <v>X018</v>
      </c>
      <c r="B147" s="27" t="str">
        <v>NY</v>
      </c>
      <c r="C147" s="27" t="str">
        <f>Sites[[#This Row],[SOL'#]]</f>
        <v>SOL-10418</v>
      </c>
      <c r="D147" s="66"/>
      <c r="E147" s="14"/>
      <c r="F147" s="14" t="str">
        <f t="shared" si="8"/>
        <v/>
      </c>
      <c r="G147" s="15" t="str">
        <f t="shared" si="9"/>
        <v/>
      </c>
      <c r="H147" s="69"/>
      <c r="I147" s="16" t="str">
        <f t="shared" si="10"/>
        <v/>
      </c>
      <c r="J147" s="15" t="str">
        <f t="shared" si="11"/>
        <v/>
      </c>
      <c r="K147" s="38"/>
      <c r="L147" s="121"/>
      <c r="M147" s="102"/>
      <c r="N147" s="103"/>
      <c r="O147" s="103"/>
      <c r="P147" s="103"/>
      <c r="Q147" s="103"/>
    </row>
    <row r="148" spans="1:17" ht="15.6">
      <c r="A148" s="24" t="str">
        <v>Janiak Solar</v>
      </c>
      <c r="B148" s="25" t="str">
        <v>NY</v>
      </c>
      <c r="C148" s="25" t="str">
        <f>Sites[[#This Row],[SOL'#]]</f>
        <v>SOL-10898</v>
      </c>
      <c r="D148" s="54"/>
      <c r="E148" s="10"/>
      <c r="F148" s="10" t="str">
        <f t="shared" si="8"/>
        <v/>
      </c>
      <c r="G148" s="11" t="str">
        <f t="shared" si="9"/>
        <v/>
      </c>
      <c r="H148" s="67"/>
      <c r="I148" s="12" t="str">
        <f t="shared" si="10"/>
        <v/>
      </c>
      <c r="J148" s="13" t="str">
        <f t="shared" si="11"/>
        <v/>
      </c>
      <c r="K148" s="56"/>
      <c r="L148" s="109"/>
      <c r="M148" s="102"/>
      <c r="N148" s="103"/>
      <c r="O148" s="103"/>
      <c r="P148" s="103"/>
      <c r="Q148" s="103"/>
    </row>
    <row r="149" spans="1:17" ht="15.6">
      <c r="A149" s="26" t="str">
        <v>County Route 11B</v>
      </c>
      <c r="B149" s="27" t="str">
        <v>NY</v>
      </c>
      <c r="C149" s="27" t="str">
        <f>Sites[[#This Row],[SOL'#]]</f>
        <v>SOL-10983</v>
      </c>
      <c r="D149" s="66"/>
      <c r="E149" s="14"/>
      <c r="F149" s="14" t="str">
        <f t="shared" si="8"/>
        <v/>
      </c>
      <c r="G149" s="15" t="str">
        <f t="shared" si="9"/>
        <v/>
      </c>
      <c r="H149" s="69"/>
      <c r="I149" s="16" t="str">
        <f t="shared" si="10"/>
        <v/>
      </c>
      <c r="J149" s="15" t="str">
        <f t="shared" si="11"/>
        <v/>
      </c>
      <c r="K149" s="38"/>
      <c r="L149" s="114"/>
      <c r="M149" s="103"/>
      <c r="N149" s="103"/>
      <c r="O149" s="103"/>
      <c r="P149" s="103"/>
      <c r="Q149" s="103"/>
    </row>
    <row r="150" spans="1:17" ht="100.5" customHeight="1">
      <c r="A150" s="24" t="str">
        <v>Barone</v>
      </c>
      <c r="B150" s="25" t="str">
        <v>NY</v>
      </c>
      <c r="C150" s="25" t="str">
        <f>Sites[[#This Row],[SOL'#]]</f>
        <v>SOL-11034</v>
      </c>
      <c r="D150" s="54"/>
      <c r="E150" s="10"/>
      <c r="F150" s="10" t="str">
        <f t="shared" si="8"/>
        <v/>
      </c>
      <c r="G150" s="11" t="str">
        <f t="shared" si="9"/>
        <v/>
      </c>
      <c r="H150" s="67"/>
      <c r="I150" s="12" t="str">
        <f t="shared" si="10"/>
        <v/>
      </c>
      <c r="J150" s="13" t="str">
        <f t="shared" si="11"/>
        <v/>
      </c>
      <c r="K150" s="56"/>
      <c r="L150" s="109"/>
      <c r="M150" s="102"/>
      <c r="N150" s="102"/>
      <c r="O150" s="103"/>
      <c r="P150" s="103"/>
      <c r="Q150" s="103"/>
    </row>
    <row r="151" spans="1:17" ht="15.6">
      <c r="A151" s="26" t="str">
        <v>Cedarville</v>
      </c>
      <c r="B151" s="27" t="str">
        <v>IL</v>
      </c>
      <c r="C151" s="27" t="str">
        <f>Sites[[#This Row],[SOL'#]]</f>
        <v>SOL-11069</v>
      </c>
      <c r="D151" s="66"/>
      <c r="E151" s="14"/>
      <c r="F151" s="14" t="str">
        <f t="shared" si="8"/>
        <v/>
      </c>
      <c r="G151" s="15" t="str">
        <f t="shared" si="9"/>
        <v/>
      </c>
      <c r="H151" s="69"/>
      <c r="I151" s="16" t="str">
        <f t="shared" si="10"/>
        <v/>
      </c>
      <c r="J151" s="15" t="str">
        <f t="shared" si="11"/>
        <v/>
      </c>
      <c r="K151" s="38"/>
      <c r="L151" s="17"/>
      <c r="M151" s="103"/>
      <c r="N151" s="103"/>
      <c r="O151" s="103"/>
      <c r="P151" s="103"/>
      <c r="Q151" s="103"/>
    </row>
    <row r="152" spans="1:17" ht="15.6">
      <c r="A152" s="24" t="str">
        <v xml:space="preserve"> O'Brien Hill #1</v>
      </c>
      <c r="B152" s="25" t="str">
        <v>NY</v>
      </c>
      <c r="C152" s="25" t="str">
        <f>Sites[[#This Row],[SOL'#]]</f>
        <v>SOL-11098</v>
      </c>
      <c r="D152" s="54"/>
      <c r="E152" s="10"/>
      <c r="F152" s="10" t="str">
        <f t="shared" si="8"/>
        <v/>
      </c>
      <c r="G152" s="11" t="str">
        <f t="shared" si="9"/>
        <v/>
      </c>
      <c r="H152" s="67"/>
      <c r="I152" s="12" t="str">
        <f t="shared" si="10"/>
        <v/>
      </c>
      <c r="J152" s="13" t="str">
        <f t="shared" ref="J152:J164" si="12">IFERROR(I152/H152, "")</f>
        <v/>
      </c>
      <c r="K152" s="56"/>
      <c r="L152" s="109"/>
      <c r="M152" s="102"/>
      <c r="N152" s="102"/>
      <c r="O152" s="103"/>
      <c r="P152" s="103"/>
      <c r="Q152" s="103"/>
    </row>
    <row r="153" spans="1:17" ht="15.6">
      <c r="A153" s="26" t="str">
        <v xml:space="preserve"> O'Brien Hill #2</v>
      </c>
      <c r="B153" s="27" t="str">
        <v>NY</v>
      </c>
      <c r="C153" s="27" t="str">
        <f>Sites[[#This Row],[SOL'#]]</f>
        <v>SOL-11099</v>
      </c>
      <c r="D153" s="66"/>
      <c r="E153" s="14"/>
      <c r="F153" s="14" t="str">
        <f t="shared" si="8"/>
        <v/>
      </c>
      <c r="G153" s="15" t="str">
        <f t="shared" si="9"/>
        <v/>
      </c>
      <c r="H153" s="69"/>
      <c r="I153" s="16" t="str">
        <f t="shared" si="10"/>
        <v/>
      </c>
      <c r="J153" s="15" t="str">
        <f t="shared" si="12"/>
        <v/>
      </c>
      <c r="K153" s="38"/>
      <c r="L153" s="114"/>
      <c r="M153" s="103"/>
      <c r="N153" s="103"/>
      <c r="O153" s="103"/>
      <c r="P153" s="103"/>
      <c r="Q153" s="103"/>
    </row>
    <row r="154" spans="1:17" ht="15.6">
      <c r="A154" s="24" t="str">
        <v>Trinity - Freeport</v>
      </c>
      <c r="B154" s="25" t="str">
        <v>IL</v>
      </c>
      <c r="C154" s="25" t="str">
        <f>Sites[[#This Row],[SOL'#]]</f>
        <v>SOL-11057</v>
      </c>
      <c r="D154" s="54"/>
      <c r="E154" s="10"/>
      <c r="F154" s="10" t="str">
        <f t="shared" si="8"/>
        <v/>
      </c>
      <c r="G154" s="11" t="str">
        <f t="shared" si="9"/>
        <v/>
      </c>
      <c r="H154" s="67"/>
      <c r="I154" s="12" t="str">
        <f t="shared" si="10"/>
        <v/>
      </c>
      <c r="J154" s="13" t="str">
        <f t="shared" si="12"/>
        <v/>
      </c>
      <c r="K154" s="56"/>
      <c r="L154" s="109"/>
      <c r="M154" s="103"/>
      <c r="N154" s="103"/>
      <c r="O154" s="103"/>
      <c r="P154" s="103"/>
      <c r="Q154" s="103"/>
    </row>
    <row r="155" spans="1:17" ht="15.6">
      <c r="A155" s="26" t="str">
        <v>Ransom</v>
      </c>
      <c r="B155" s="27" t="str">
        <v>NY</v>
      </c>
      <c r="C155" s="27" t="str">
        <f>Sites[[#This Row],[SOL'#]]</f>
        <v>SOL-11157</v>
      </c>
      <c r="D155" s="66"/>
      <c r="E155" s="14"/>
      <c r="F155" s="14" t="str">
        <f t="shared" si="8"/>
        <v/>
      </c>
      <c r="G155" s="15" t="str">
        <f t="shared" ref="G155:G164" si="13">IFERROR(F155/E155, "")</f>
        <v/>
      </c>
      <c r="H155" s="69"/>
      <c r="I155" s="16" t="str">
        <f t="shared" si="10"/>
        <v/>
      </c>
      <c r="J155" s="15" t="str">
        <f t="shared" si="12"/>
        <v/>
      </c>
      <c r="K155" s="38"/>
      <c r="L155" s="121"/>
      <c r="M155" s="102"/>
      <c r="N155" s="103"/>
      <c r="O155" s="103"/>
      <c r="P155" s="103"/>
      <c r="Q155" s="103"/>
    </row>
    <row r="156" spans="1:17" ht="15.6">
      <c r="A156" s="24" t="str">
        <v>Horseheads - Wedge</v>
      </c>
      <c r="B156" s="25" t="str">
        <v>NY</v>
      </c>
      <c r="C156" s="25" t="str">
        <f>Sites[[#This Row],[SOL'#]]</f>
        <v>SOL-11160</v>
      </c>
      <c r="D156" s="54"/>
      <c r="E156" s="10"/>
      <c r="F156" s="10" t="str">
        <f t="shared" si="8"/>
        <v/>
      </c>
      <c r="G156" s="11" t="str">
        <f t="shared" si="13"/>
        <v/>
      </c>
      <c r="H156" s="67"/>
      <c r="I156" s="12" t="str">
        <f t="shared" si="10"/>
        <v/>
      </c>
      <c r="J156" s="13" t="str">
        <f t="shared" si="12"/>
        <v/>
      </c>
      <c r="K156" s="56"/>
      <c r="L156" s="109"/>
      <c r="M156" s="102"/>
      <c r="N156" s="103"/>
      <c r="O156" s="103"/>
      <c r="P156" s="103"/>
      <c r="Q156" s="103"/>
    </row>
    <row r="157" spans="1:17" ht="15.6">
      <c r="A157" s="26" t="str">
        <v>Otisville - Shoddy Hollow</v>
      </c>
      <c r="B157" s="27" t="str">
        <v>NY</v>
      </c>
      <c r="C157" s="27" t="str">
        <f>Sites[[#This Row],[SOL'#]]</f>
        <v>SOL-11185</v>
      </c>
      <c r="D157" s="66"/>
      <c r="E157" s="14"/>
      <c r="F157" s="14" t="str">
        <f t="shared" si="8"/>
        <v/>
      </c>
      <c r="G157" s="15" t="str">
        <f t="shared" si="13"/>
        <v/>
      </c>
      <c r="H157" s="69"/>
      <c r="I157" s="16" t="str">
        <f t="shared" si="10"/>
        <v/>
      </c>
      <c r="J157" s="15" t="str">
        <f t="shared" si="12"/>
        <v/>
      </c>
      <c r="K157" s="38"/>
      <c r="L157" s="121"/>
      <c r="M157" s="103"/>
      <c r="N157" s="103"/>
      <c r="O157" s="103"/>
      <c r="P157" s="103"/>
      <c r="Q157" s="103"/>
    </row>
    <row r="158" spans="1:17" ht="15.6">
      <c r="A158" s="24" t="str">
        <v>Wellsville - Chenunda Creek</v>
      </c>
      <c r="B158" s="25" t="str">
        <v>NY</v>
      </c>
      <c r="C158" s="25" t="str">
        <f>Sites[[#This Row],[SOL'#]]</f>
        <v>SOL-11187</v>
      </c>
      <c r="D158" s="54"/>
      <c r="E158" s="10"/>
      <c r="F158" s="10" t="str">
        <f t="shared" si="8"/>
        <v/>
      </c>
      <c r="G158" s="11" t="str">
        <f t="shared" si="13"/>
        <v/>
      </c>
      <c r="H158" s="67"/>
      <c r="I158" s="12" t="str">
        <f t="shared" ref="I158:I164" si="14">IF(AND(ISNUMBER(D158),ISNUMBER(H158)), D158-H158, "")</f>
        <v/>
      </c>
      <c r="J158" s="13" t="str">
        <f t="shared" si="12"/>
        <v/>
      </c>
      <c r="K158" s="56"/>
      <c r="L158" s="109"/>
      <c r="M158" s="103"/>
      <c r="N158" s="103"/>
      <c r="O158" s="103"/>
      <c r="P158" s="103"/>
      <c r="Q158" s="103"/>
    </row>
    <row r="159" spans="1:17" ht="15.6">
      <c r="A159" s="26" t="str">
        <v>DC: Washington - Essex Condominium</v>
      </c>
      <c r="B159" s="27" t="str">
        <v>DC</v>
      </c>
      <c r="C159" s="27" t="str">
        <f>Sites[[#This Row],[SOL'#]]</f>
        <v>SOL-10036</v>
      </c>
      <c r="D159" s="66"/>
      <c r="E159" s="14"/>
      <c r="F159" s="14" t="str">
        <f t="shared" ref="F159:F164" si="15">IF(AND(ISNUMBER(D159),ISNUMBER(E159)), D159-E159, "")</f>
        <v/>
      </c>
      <c r="G159" s="68" t="str">
        <f t="shared" si="13"/>
        <v/>
      </c>
      <c r="H159" s="69"/>
      <c r="I159" s="69" t="str">
        <f t="shared" si="14"/>
        <v/>
      </c>
      <c r="J159" s="68" t="str">
        <f t="shared" si="12"/>
        <v/>
      </c>
      <c r="K159" s="38"/>
      <c r="L159" s="121"/>
    </row>
    <row r="160" spans="1:17" ht="15.6">
      <c r="A160" s="24" t="str">
        <v>HI: Waipahu - 94-246 Leoku St - E.F.G.</v>
      </c>
      <c r="B160" s="25" t="str">
        <v>HI</v>
      </c>
      <c r="C160" s="25" t="str">
        <f>Sites[[#This Row],[SOL'#]]</f>
        <v>SOL-10071</v>
      </c>
      <c r="D160" s="54"/>
      <c r="E160" s="10"/>
      <c r="F160" s="10" t="str">
        <f t="shared" si="15"/>
        <v/>
      </c>
      <c r="G160" s="55" t="str">
        <f t="shared" si="13"/>
        <v/>
      </c>
      <c r="H160" s="67"/>
      <c r="I160" s="67" t="str">
        <f t="shared" si="14"/>
        <v/>
      </c>
      <c r="J160" s="64" t="str">
        <f t="shared" si="12"/>
        <v/>
      </c>
      <c r="K160" s="56"/>
      <c r="L160" s="116"/>
    </row>
    <row r="161" spans="1:12" ht="15.6">
      <c r="A161" s="26" t="str">
        <v>HI: Waipahu - 94-099 Waipahu St - PV</v>
      </c>
      <c r="B161" s="27" t="str">
        <v>HI</v>
      </c>
      <c r="C161" s="27" t="str">
        <f>Sites[[#This Row],[SOL'#]]</f>
        <v>SOL-10068</v>
      </c>
      <c r="D161" s="66"/>
      <c r="E161" s="14"/>
      <c r="F161" s="14" t="str">
        <f t="shared" si="15"/>
        <v/>
      </c>
      <c r="G161" s="68" t="str">
        <f t="shared" si="13"/>
        <v/>
      </c>
      <c r="H161" s="69"/>
      <c r="I161" s="69" t="str">
        <f t="shared" si="14"/>
        <v/>
      </c>
      <c r="J161" s="68" t="str">
        <f t="shared" si="12"/>
        <v/>
      </c>
      <c r="K161" s="38"/>
      <c r="L161" s="121"/>
    </row>
    <row r="162" spans="1:12" ht="15.6">
      <c r="A162" s="24" t="str">
        <v>IL: Prophetstown - 5170 Yager Road (PW)</v>
      </c>
      <c r="B162" s="25" t="str">
        <v>IL</v>
      </c>
      <c r="C162" s="25" t="str">
        <f>Sites[[#This Row],[SOL'#]]</f>
        <v>SOL-11149</v>
      </c>
      <c r="D162" s="54"/>
      <c r="E162" s="10"/>
      <c r="F162" s="10" t="str">
        <f t="shared" si="15"/>
        <v/>
      </c>
      <c r="G162" s="55" t="str">
        <f t="shared" si="13"/>
        <v/>
      </c>
      <c r="H162" s="67"/>
      <c r="I162" s="67" t="str">
        <f t="shared" si="14"/>
        <v/>
      </c>
      <c r="J162" s="64" t="str">
        <f t="shared" si="12"/>
        <v/>
      </c>
      <c r="K162" s="56"/>
      <c r="L162" s="116"/>
    </row>
    <row r="163" spans="1:12" ht="15.6">
      <c r="A163" s="26" t="str">
        <v>IL: Viola - Goldenrod - (PW)</v>
      </c>
      <c r="B163" s="27" t="str">
        <v>IL</v>
      </c>
      <c r="C163" s="27" t="str">
        <f>Sites[[#This Row],[SOL'#]]</f>
        <v>SOL-11132</v>
      </c>
      <c r="D163" s="66"/>
      <c r="E163" s="14"/>
      <c r="F163" s="14" t="str">
        <f t="shared" si="15"/>
        <v/>
      </c>
      <c r="G163" s="68" t="str">
        <f t="shared" si="13"/>
        <v/>
      </c>
      <c r="H163" s="69"/>
      <c r="I163" s="69" t="str">
        <f t="shared" si="14"/>
        <v/>
      </c>
      <c r="J163" s="68" t="str">
        <f t="shared" si="12"/>
        <v/>
      </c>
      <c r="K163" s="38"/>
      <c r="L163" s="121"/>
    </row>
    <row r="164" spans="1:12" ht="15.6">
      <c r="A164" s="24" t="str">
        <v>IL: Marengo - Grant - (PW)</v>
      </c>
      <c r="B164" s="25" t="str">
        <v>IL</v>
      </c>
      <c r="C164" s="25" t="str">
        <f>Sites[[#This Row],[SOL'#]]</f>
        <v>SOL-11147</v>
      </c>
      <c r="D164" s="54"/>
      <c r="E164" s="10"/>
      <c r="F164" s="10" t="str">
        <f t="shared" si="15"/>
        <v/>
      </c>
      <c r="G164" s="55" t="str">
        <f t="shared" si="13"/>
        <v/>
      </c>
      <c r="H164" s="67"/>
      <c r="I164" s="67" t="str">
        <f t="shared" si="14"/>
        <v/>
      </c>
      <c r="J164" s="64" t="str">
        <f t="shared" si="12"/>
        <v/>
      </c>
      <c r="K164" s="56"/>
      <c r="L164" s="116"/>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row r="174" spans="1:12">
      <c r="A174" t="str">
        <v>IL: Morrison - Sawyer (PW)</v>
      </c>
      <c r="B174" s="30" t="str">
        <v>IL</v>
      </c>
    </row>
    <row r="175" spans="1:12">
      <c r="A175" t="str">
        <v>IL: Kankakee - Jeffery (PW)</v>
      </c>
      <c r="B175" s="30" t="str">
        <v>IL</v>
      </c>
    </row>
    <row r="176" spans="1:12">
      <c r="A176" t="str">
        <v>IL: Freeport - 2240 South 18th Ave (PW)</v>
      </c>
      <c r="B176" s="30" t="str">
        <v>IL</v>
      </c>
    </row>
  </sheetData>
  <mergeCells count="4">
    <mergeCell ref="H1:J1"/>
    <mergeCell ref="A1:D1"/>
    <mergeCell ref="E1:G1"/>
    <mergeCell ref="A2:B2"/>
  </mergeCells>
  <phoneticPr fontId="40" type="noConversion"/>
  <conditionalFormatting sqref="G2 J2 G4:G164 J4:J164">
    <cfRule type="cellIs" dxfId="36" priority="35" stopIfTrue="1" operator="lessThanOrEqual">
      <formula>-0.1</formula>
    </cfRule>
    <cfRule type="expression" dxfId="35" priority="36">
      <formula>AND(ISNUMBER(G2), G2&gt;=0.1)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176"/>
  <sheetViews>
    <sheetView zoomScale="40" zoomScaleNormal="40" workbookViewId="0">
      <pane xSplit="2" ySplit="3" topLeftCell="C133"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95" t="str" cm="1">
        <f t="array" ref="A1">portfolio</f>
        <v>Generate Capital</v>
      </c>
      <c r="B1" s="195"/>
      <c r="C1" s="195"/>
      <c r="D1" s="195"/>
      <c r="E1" s="196" t="s">
        <v>376</v>
      </c>
      <c r="F1" s="196"/>
      <c r="G1" s="196"/>
      <c r="H1" s="194" t="s">
        <v>377</v>
      </c>
      <c r="I1" s="194"/>
      <c r="J1" s="194"/>
      <c r="K1" s="4"/>
      <c r="L1" s="4"/>
    </row>
    <row r="2" spans="1:20" ht="19.5" customHeight="1">
      <c r="A2" s="197" t="s">
        <v>2</v>
      </c>
      <c r="B2" s="197"/>
      <c r="C2" s="57"/>
      <c r="D2" s="5">
        <f>SUM(D4:D118)</f>
        <v>0</v>
      </c>
      <c r="E2" s="5">
        <f>SUM(E4:E118)</f>
        <v>0</v>
      </c>
      <c r="F2" s="5">
        <f>D2-E2</f>
        <v>0</v>
      </c>
      <c r="G2" s="6">
        <f>IFERROR(F2/E2, 0)</f>
        <v>0</v>
      </c>
      <c r="H2" s="5">
        <f>SUM(H4:H118)</f>
        <v>0</v>
      </c>
      <c r="I2" s="7">
        <f>D2-H2</f>
        <v>0</v>
      </c>
      <c r="J2" s="6">
        <f>IFERROR(I2/H2, 0)</f>
        <v>0</v>
      </c>
      <c r="K2" s="22"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8" t="s">
        <v>3</v>
      </c>
      <c r="B3" s="8" t="s">
        <v>4</v>
      </c>
      <c r="C3" s="8" t="s">
        <v>5</v>
      </c>
      <c r="D3" s="19" t="s">
        <v>6</v>
      </c>
      <c r="E3" s="31" t="s">
        <v>7</v>
      </c>
      <c r="F3" s="31" t="s">
        <v>8</v>
      </c>
      <c r="G3" s="32" t="s">
        <v>9</v>
      </c>
      <c r="H3" s="33" t="s">
        <v>10</v>
      </c>
      <c r="I3" s="34" t="s">
        <v>8</v>
      </c>
      <c r="J3" s="35" t="s">
        <v>9</v>
      </c>
      <c r="K3" s="21" t="s">
        <v>24</v>
      </c>
      <c r="L3" s="21" t="s">
        <v>25</v>
      </c>
    </row>
    <row r="4" spans="1:20" ht="15.6">
      <c r="A4" s="26" t="str" cm="1">
        <f t="array" ref="A4:A176">Sites[Site]</f>
        <v>K026</v>
      </c>
      <c r="B4" s="27" t="str" cm="1">
        <f t="array" ref="B4:B176">Sites[State]</f>
        <v>NY</v>
      </c>
      <c r="C4" s="27" t="str">
        <f>Sites[[#This Row],[SOL'#]]</f>
        <v>SOL-10356</v>
      </c>
      <c r="D4" s="9"/>
      <c r="E4" s="14"/>
      <c r="F4" s="14" t="str">
        <f t="shared" ref="F4:F51" si="0">IF(AND(ISNUMBER(D4),ISNUMBER(E4)), D4-E4, "")</f>
        <v/>
      </c>
      <c r="G4" s="15" t="str">
        <f t="shared" ref="G4:G52" si="1">IFERROR(F4/E4, "")</f>
        <v/>
      </c>
      <c r="H4" s="16"/>
      <c r="I4" s="16" t="str">
        <f t="shared" ref="I4:I51" si="2">IF(AND(ISNUMBER(D4),ISNUMBER(H4)), D4-H4, "")</f>
        <v/>
      </c>
      <c r="J4" s="15" t="str">
        <f t="shared" ref="J4:J51" si="3">IFERROR(I4/H4, "")</f>
        <v/>
      </c>
      <c r="K4" s="38"/>
      <c r="L4" s="39"/>
      <c r="M4" s="103"/>
      <c r="N4" s="103"/>
      <c r="O4" s="103"/>
      <c r="P4" s="103"/>
      <c r="Q4" s="103"/>
      <c r="R4" s="103"/>
      <c r="S4" s="103"/>
      <c r="T4" s="103"/>
    </row>
    <row r="5" spans="1:20" ht="15.6">
      <c r="A5" s="24" t="str">
        <v>K041</v>
      </c>
      <c r="B5" s="25" t="str">
        <v>NY</v>
      </c>
      <c r="C5" s="25" t="str">
        <f>Sites[[#This Row],[SOL'#]]</f>
        <v>SOL-10357</v>
      </c>
      <c r="D5" s="20"/>
      <c r="E5" s="10"/>
      <c r="F5" s="10" t="str">
        <f t="shared" si="0"/>
        <v/>
      </c>
      <c r="G5" s="11" t="str">
        <f t="shared" si="1"/>
        <v/>
      </c>
      <c r="H5" s="12"/>
      <c r="I5" s="12" t="str">
        <f t="shared" si="2"/>
        <v/>
      </c>
      <c r="J5" s="64" t="str">
        <f t="shared" si="3"/>
        <v/>
      </c>
      <c r="K5" s="58"/>
      <c r="L5" s="58"/>
      <c r="M5" s="103"/>
      <c r="N5" s="103"/>
      <c r="O5" s="103"/>
      <c r="P5" s="103"/>
      <c r="Q5" s="103"/>
      <c r="R5" s="103"/>
      <c r="S5" s="103"/>
      <c r="T5" s="103"/>
    </row>
    <row r="6" spans="1:20" ht="15.6">
      <c r="A6" s="26" t="str">
        <v>K043</v>
      </c>
      <c r="B6" s="27" t="str">
        <v>NY</v>
      </c>
      <c r="C6" s="27" t="str">
        <f>Sites[[#This Row],[SOL'#]]</f>
        <v>SOL-10358</v>
      </c>
      <c r="D6" s="9"/>
      <c r="E6" s="14"/>
      <c r="F6" s="14" t="str">
        <f t="shared" si="0"/>
        <v/>
      </c>
      <c r="G6" s="15" t="str">
        <f t="shared" si="1"/>
        <v/>
      </c>
      <c r="H6" s="16"/>
      <c r="I6" s="16" t="str">
        <f t="shared" si="2"/>
        <v/>
      </c>
      <c r="J6" s="15" t="str">
        <f t="shared" si="3"/>
        <v/>
      </c>
      <c r="K6" s="50"/>
      <c r="L6" s="39"/>
      <c r="M6" s="103"/>
      <c r="N6" s="103"/>
      <c r="O6" s="103"/>
      <c r="P6" s="103"/>
      <c r="Q6" s="103"/>
      <c r="R6" s="103"/>
      <c r="S6" s="103"/>
      <c r="T6" s="103"/>
    </row>
    <row r="7" spans="1:20" ht="15.6">
      <c r="A7" s="24" t="str">
        <v>K058</v>
      </c>
      <c r="B7" s="25" t="str">
        <v>NY</v>
      </c>
      <c r="C7" s="25" t="str">
        <f>Sites[[#This Row],[SOL'#]]</f>
        <v>SOL-10360</v>
      </c>
      <c r="D7" s="20"/>
      <c r="E7" s="10"/>
      <c r="F7" s="10" t="str">
        <f t="shared" si="0"/>
        <v/>
      </c>
      <c r="G7" s="11" t="str">
        <f t="shared" si="1"/>
        <v/>
      </c>
      <c r="H7" s="12"/>
      <c r="I7" s="12" t="str">
        <f t="shared" si="2"/>
        <v/>
      </c>
      <c r="J7" s="64" t="str">
        <f t="shared" si="3"/>
        <v/>
      </c>
      <c r="K7" s="37"/>
      <c r="L7" s="109"/>
      <c r="M7" s="103"/>
      <c r="N7" s="103"/>
      <c r="O7" s="103"/>
      <c r="P7" s="103"/>
      <c r="Q7" s="103"/>
      <c r="R7" s="103"/>
      <c r="S7" s="103"/>
      <c r="T7" s="103"/>
    </row>
    <row r="8" spans="1:20" ht="15.6">
      <c r="A8" s="26" t="str">
        <v>K115</v>
      </c>
      <c r="B8" s="27" t="str">
        <v>NY</v>
      </c>
      <c r="C8" s="27" t="str">
        <f>Sites[[#This Row],[SOL'#]]</f>
        <v>SOL-10361</v>
      </c>
      <c r="D8" s="9"/>
      <c r="E8" s="14"/>
      <c r="F8" s="14" t="str">
        <f t="shared" si="0"/>
        <v/>
      </c>
      <c r="G8" s="15" t="str">
        <f t="shared" si="1"/>
        <v/>
      </c>
      <c r="H8" s="16"/>
      <c r="I8" s="16" t="str">
        <f t="shared" si="2"/>
        <v/>
      </c>
      <c r="J8" s="15" t="str">
        <f t="shared" si="3"/>
        <v/>
      </c>
      <c r="K8" s="61"/>
      <c r="L8" s="127"/>
      <c r="M8" s="103"/>
      <c r="N8" s="103"/>
      <c r="O8" s="103"/>
      <c r="P8" s="103"/>
      <c r="Q8" s="103"/>
      <c r="R8" s="103"/>
      <c r="S8" s="103"/>
      <c r="T8" s="103"/>
    </row>
    <row r="9" spans="1:20" ht="15.6">
      <c r="A9" s="24" t="str">
        <v>K152</v>
      </c>
      <c r="B9" s="25" t="str">
        <v>NY</v>
      </c>
      <c r="C9" s="25" t="str">
        <f>Sites[[#This Row],[SOL'#]]</f>
        <v>SOL-10362</v>
      </c>
      <c r="D9" s="20"/>
      <c r="E9" s="10"/>
      <c r="F9" s="10" t="str">
        <f t="shared" si="0"/>
        <v/>
      </c>
      <c r="G9" s="11" t="str">
        <f t="shared" si="1"/>
        <v/>
      </c>
      <c r="H9" s="12"/>
      <c r="I9" s="12" t="str">
        <f t="shared" si="2"/>
        <v/>
      </c>
      <c r="J9" s="64" t="str">
        <f t="shared" si="3"/>
        <v/>
      </c>
      <c r="K9" s="37"/>
      <c r="L9" s="37"/>
      <c r="M9" s="103"/>
      <c r="N9" s="103"/>
      <c r="O9" s="103"/>
      <c r="P9" s="103"/>
      <c r="Q9" s="103"/>
      <c r="R9" s="103"/>
      <c r="S9" s="103"/>
      <c r="T9" s="103"/>
    </row>
    <row r="10" spans="1:20" ht="15.6">
      <c r="A10" s="26" t="str">
        <v>K166</v>
      </c>
      <c r="B10" s="27" t="str">
        <v>NY</v>
      </c>
      <c r="C10" s="27" t="str">
        <f>Sites[[#This Row],[SOL'#]]</f>
        <v>SOL-10363</v>
      </c>
      <c r="D10" s="9"/>
      <c r="E10" s="14"/>
      <c r="F10" s="14" t="str">
        <f t="shared" si="0"/>
        <v/>
      </c>
      <c r="G10" s="15" t="str">
        <f t="shared" si="1"/>
        <v/>
      </c>
      <c r="H10" s="16"/>
      <c r="I10" s="16" t="str">
        <f t="shared" si="2"/>
        <v/>
      </c>
      <c r="J10" s="15" t="str">
        <f t="shared" si="3"/>
        <v/>
      </c>
      <c r="K10" s="38"/>
      <c r="L10" s="39"/>
      <c r="M10" s="103"/>
      <c r="N10" s="103"/>
      <c r="O10" s="103"/>
      <c r="P10" s="103"/>
      <c r="Q10" s="103"/>
      <c r="R10" s="103"/>
      <c r="S10" s="103"/>
      <c r="T10" s="103"/>
    </row>
    <row r="11" spans="1:20" ht="15.6">
      <c r="A11" s="24" t="str">
        <v>K206</v>
      </c>
      <c r="B11" s="25" t="str">
        <v>NY</v>
      </c>
      <c r="C11" s="25" t="str">
        <f>Sites[[#This Row],[SOL'#]]</f>
        <v>SOL-10927</v>
      </c>
      <c r="D11" s="20"/>
      <c r="E11" s="10"/>
      <c r="F11" s="10" t="str">
        <f t="shared" si="0"/>
        <v/>
      </c>
      <c r="G11" s="11" t="str">
        <f t="shared" si="1"/>
        <v/>
      </c>
      <c r="H11" s="12"/>
      <c r="I11" s="12" t="str">
        <f t="shared" si="2"/>
        <v/>
      </c>
      <c r="J11" s="64" t="str">
        <f t="shared" si="3"/>
        <v/>
      </c>
      <c r="K11" s="37"/>
      <c r="L11" s="37"/>
      <c r="M11" s="103"/>
      <c r="N11" s="103"/>
      <c r="O11" s="103"/>
      <c r="P11" s="103"/>
      <c r="Q11" s="103"/>
      <c r="R11" s="103"/>
      <c r="S11" s="103"/>
      <c r="T11" s="103"/>
    </row>
    <row r="12" spans="1:20" ht="15.6">
      <c r="A12" s="26" t="str">
        <v>K251</v>
      </c>
      <c r="B12" s="27" t="str">
        <v>NY</v>
      </c>
      <c r="C12" s="27" t="str">
        <f>Sites[[#This Row],[SOL'#]]</f>
        <v>SOL-10365</v>
      </c>
      <c r="D12" s="9"/>
      <c r="E12" s="14"/>
      <c r="F12" s="14" t="str">
        <f t="shared" si="0"/>
        <v/>
      </c>
      <c r="G12" s="15" t="str">
        <f t="shared" si="1"/>
        <v/>
      </c>
      <c r="H12" s="16"/>
      <c r="I12" s="16" t="str">
        <f t="shared" si="2"/>
        <v/>
      </c>
      <c r="J12" s="15" t="str">
        <f t="shared" si="3"/>
        <v/>
      </c>
      <c r="K12" s="59"/>
      <c r="L12" s="127"/>
      <c r="M12" s="103"/>
      <c r="N12" s="103"/>
      <c r="O12" s="103"/>
      <c r="P12" s="103"/>
      <c r="Q12" s="103"/>
      <c r="R12" s="103"/>
      <c r="S12" s="103"/>
      <c r="T12" s="103"/>
    </row>
    <row r="13" spans="1:20" ht="15.6">
      <c r="A13" s="24" t="str">
        <v>K269</v>
      </c>
      <c r="B13" s="25" t="str">
        <v>NY</v>
      </c>
      <c r="C13" s="25" t="str">
        <f>Sites[[#This Row],[SOL'#]]</f>
        <v>SOL-10366</v>
      </c>
      <c r="D13" s="20"/>
      <c r="E13" s="10"/>
      <c r="F13" s="10" t="str">
        <f t="shared" si="0"/>
        <v/>
      </c>
      <c r="G13" s="11" t="str">
        <f t="shared" si="1"/>
        <v/>
      </c>
      <c r="H13" s="12"/>
      <c r="I13" s="12" t="str">
        <f t="shared" si="2"/>
        <v/>
      </c>
      <c r="J13" s="64" t="str">
        <f t="shared" si="3"/>
        <v/>
      </c>
      <c r="K13" s="37"/>
      <c r="L13" s="37"/>
      <c r="M13" s="103"/>
      <c r="N13" s="103"/>
      <c r="O13" s="103"/>
      <c r="P13" s="103"/>
      <c r="Q13" s="103"/>
      <c r="R13" s="103"/>
      <c r="S13" s="103"/>
      <c r="T13" s="103"/>
    </row>
    <row r="14" spans="1:20" ht="15.6">
      <c r="A14" s="26" t="str">
        <v>K273</v>
      </c>
      <c r="B14" s="27" t="str">
        <v>NY</v>
      </c>
      <c r="C14" s="27" t="str">
        <f>Sites[[#This Row],[SOL'#]]</f>
        <v>SOL-10367</v>
      </c>
      <c r="D14" s="9"/>
      <c r="E14" s="14"/>
      <c r="F14" s="14" t="str">
        <f t="shared" si="0"/>
        <v/>
      </c>
      <c r="G14" s="15" t="str">
        <f t="shared" si="1"/>
        <v/>
      </c>
      <c r="H14" s="16"/>
      <c r="I14" s="16" t="str">
        <f t="shared" si="2"/>
        <v/>
      </c>
      <c r="J14" s="15" t="str">
        <f t="shared" si="3"/>
        <v/>
      </c>
      <c r="K14" s="59"/>
      <c r="L14" s="127"/>
      <c r="M14" s="102"/>
      <c r="N14" s="102"/>
      <c r="O14" s="103"/>
      <c r="P14" s="103"/>
      <c r="Q14" s="103"/>
      <c r="R14" s="103"/>
      <c r="S14" s="103"/>
      <c r="T14" s="103"/>
    </row>
    <row r="15" spans="1:20" ht="15.6">
      <c r="A15" s="24" t="str">
        <v>K287</v>
      </c>
      <c r="B15" s="25" t="str">
        <v>NY</v>
      </c>
      <c r="C15" s="25" t="str">
        <f>Sites[[#This Row],[SOL'#]]</f>
        <v>SOL-10919</v>
      </c>
      <c r="D15" s="20"/>
      <c r="E15" s="10"/>
      <c r="F15" s="10" t="str">
        <f t="shared" si="0"/>
        <v/>
      </c>
      <c r="G15" s="11" t="str">
        <f t="shared" si="1"/>
        <v/>
      </c>
      <c r="H15" s="12"/>
      <c r="I15" s="12" t="str">
        <f t="shared" si="2"/>
        <v/>
      </c>
      <c r="J15" s="64" t="str">
        <f t="shared" si="3"/>
        <v/>
      </c>
      <c r="K15" s="37"/>
      <c r="L15" s="37"/>
      <c r="M15" s="103"/>
      <c r="N15" s="103"/>
      <c r="O15" s="103"/>
      <c r="P15" s="103"/>
      <c r="Q15" s="103"/>
      <c r="R15" s="103"/>
      <c r="S15" s="103"/>
      <c r="T15" s="103"/>
    </row>
    <row r="16" spans="1:20" ht="28.5" customHeight="1">
      <c r="A16" s="26" t="str">
        <v>K298</v>
      </c>
      <c r="B16" s="27" t="str">
        <v>NY</v>
      </c>
      <c r="C16" s="27" t="str">
        <f>Sites[[#This Row],[SOL'#]]</f>
        <v>SOL-10368</v>
      </c>
      <c r="D16" s="9"/>
      <c r="E16" s="14"/>
      <c r="F16" s="14" t="str">
        <f t="shared" si="0"/>
        <v/>
      </c>
      <c r="G16" s="15" t="str">
        <f t="shared" si="1"/>
        <v/>
      </c>
      <c r="H16" s="16"/>
      <c r="I16" s="16" t="str">
        <f t="shared" si="2"/>
        <v/>
      </c>
      <c r="J16" s="15" t="str">
        <f t="shared" si="3"/>
        <v/>
      </c>
      <c r="K16" s="50"/>
      <c r="L16" s="110"/>
      <c r="M16" s="103"/>
      <c r="N16" s="103"/>
      <c r="O16" s="103"/>
      <c r="P16" s="103"/>
      <c r="Q16" s="103"/>
      <c r="R16" s="103"/>
      <c r="S16" s="103"/>
      <c r="T16" s="103"/>
    </row>
    <row r="17" spans="1:20" ht="15.6">
      <c r="A17" s="24" t="str">
        <v>K335</v>
      </c>
      <c r="B17" s="25" t="str">
        <v>NY</v>
      </c>
      <c r="C17" s="25" t="str">
        <f>Sites[[#This Row],[SOL'#]]</f>
        <v>SOL-10370</v>
      </c>
      <c r="D17" s="20"/>
      <c r="E17" s="10"/>
      <c r="F17" s="10" t="str">
        <f t="shared" si="0"/>
        <v/>
      </c>
      <c r="G17" s="11" t="str">
        <f t="shared" si="1"/>
        <v/>
      </c>
      <c r="H17" s="12"/>
      <c r="I17" s="12" t="str">
        <f t="shared" si="2"/>
        <v/>
      </c>
      <c r="J17" s="64" t="str">
        <f t="shared" si="3"/>
        <v/>
      </c>
      <c r="K17" s="58"/>
      <c r="L17" s="58"/>
      <c r="M17" s="103"/>
      <c r="N17" s="103"/>
      <c r="O17" s="103"/>
      <c r="P17" s="103"/>
      <c r="Q17" s="103"/>
      <c r="R17" s="103"/>
      <c r="S17" s="103"/>
      <c r="T17" s="103"/>
    </row>
    <row r="18" spans="1:20" ht="15.6">
      <c r="A18" s="26" t="str">
        <v>K345</v>
      </c>
      <c r="B18" s="27" t="str">
        <v>NY</v>
      </c>
      <c r="C18" s="27" t="str">
        <f>Sites[[#This Row],[SOL'#]]</f>
        <v>SOL-10920</v>
      </c>
      <c r="D18" s="9"/>
      <c r="E18" s="14"/>
      <c r="F18" s="14" t="str">
        <f t="shared" si="0"/>
        <v/>
      </c>
      <c r="G18" s="15" t="str">
        <f t="shared" si="1"/>
        <v/>
      </c>
      <c r="H18" s="16"/>
      <c r="I18" s="16" t="str">
        <f t="shared" si="2"/>
        <v/>
      </c>
      <c r="J18" s="15" t="str">
        <f t="shared" si="3"/>
        <v/>
      </c>
      <c r="K18" s="59"/>
      <c r="L18" s="60"/>
      <c r="M18" s="103"/>
      <c r="N18" s="103"/>
      <c r="O18" s="103"/>
      <c r="P18" s="103"/>
      <c r="Q18" s="103"/>
      <c r="R18" s="103"/>
      <c r="S18" s="103"/>
      <c r="T18" s="103"/>
    </row>
    <row r="19" spans="1:20" ht="15.6">
      <c r="A19" s="24" t="str">
        <v>K445</v>
      </c>
      <c r="B19" s="25" t="str">
        <v>NY</v>
      </c>
      <c r="C19" s="25" t="str">
        <f>Sites[[#This Row],[SOL'#]]</f>
        <v>SOL-10373</v>
      </c>
      <c r="D19" s="20"/>
      <c r="E19" s="10"/>
      <c r="F19" s="10" t="str">
        <f t="shared" si="0"/>
        <v/>
      </c>
      <c r="G19" s="11" t="str">
        <f t="shared" si="1"/>
        <v/>
      </c>
      <c r="H19" s="12"/>
      <c r="I19" s="12" t="str">
        <f t="shared" si="2"/>
        <v/>
      </c>
      <c r="J19" s="64" t="str">
        <f t="shared" si="3"/>
        <v/>
      </c>
      <c r="K19" s="37"/>
      <c r="L19" s="37"/>
      <c r="M19" s="103"/>
      <c r="N19" s="103"/>
      <c r="O19" s="103"/>
      <c r="P19" s="103"/>
      <c r="Q19" s="103"/>
      <c r="R19" s="103"/>
      <c r="S19" s="103"/>
      <c r="T19" s="103"/>
    </row>
    <row r="20" spans="1:20" ht="172.5" customHeight="1">
      <c r="A20" s="26" t="str">
        <v>K495</v>
      </c>
      <c r="B20" s="27" t="str">
        <v>NY</v>
      </c>
      <c r="C20" s="27" t="str">
        <f>Sites[[#This Row],[SOL'#]]</f>
        <v>SOL-10374</v>
      </c>
      <c r="D20" s="9"/>
      <c r="E20" s="14"/>
      <c r="F20" s="14" t="str">
        <f t="shared" si="0"/>
        <v/>
      </c>
      <c r="G20" s="15" t="str">
        <f t="shared" si="1"/>
        <v/>
      </c>
      <c r="H20" s="16"/>
      <c r="I20" s="16" t="str">
        <f t="shared" si="2"/>
        <v/>
      </c>
      <c r="J20" s="15" t="str">
        <f t="shared" si="3"/>
        <v/>
      </c>
      <c r="K20" s="50"/>
      <c r="L20" s="110"/>
      <c r="M20" s="102"/>
      <c r="N20" s="102"/>
      <c r="O20" s="103"/>
      <c r="P20" s="103"/>
      <c r="Q20" s="103"/>
      <c r="R20" s="103"/>
      <c r="S20" s="103"/>
      <c r="T20" s="103"/>
    </row>
    <row r="21" spans="1:20" ht="15.6">
      <c r="A21" s="24" t="str">
        <v>M020</v>
      </c>
      <c r="B21" s="25" t="str">
        <v>NY</v>
      </c>
      <c r="C21" s="25" t="str">
        <f>Sites[[#This Row],[SOL'#]]</f>
        <v>SOL-10380</v>
      </c>
      <c r="D21" s="20"/>
      <c r="E21" s="10"/>
      <c r="F21" s="10" t="str">
        <f t="shared" si="0"/>
        <v/>
      </c>
      <c r="G21" s="11" t="str">
        <f t="shared" si="1"/>
        <v/>
      </c>
      <c r="H21" s="12"/>
      <c r="I21" s="12" t="str">
        <f t="shared" si="2"/>
        <v/>
      </c>
      <c r="J21" s="64" t="str">
        <f t="shared" si="3"/>
        <v/>
      </c>
      <c r="K21" s="37"/>
      <c r="L21" s="109"/>
      <c r="M21" s="103"/>
      <c r="N21" s="103"/>
      <c r="O21" s="103"/>
      <c r="P21" s="103"/>
      <c r="Q21" s="103"/>
      <c r="R21" s="103"/>
      <c r="S21" s="103"/>
      <c r="T21" s="103"/>
    </row>
    <row r="22" spans="1:20" ht="15.6">
      <c r="A22" s="26" t="str">
        <v>M092</v>
      </c>
      <c r="B22" s="27" t="str">
        <v>NY</v>
      </c>
      <c r="C22" s="27" t="str">
        <f>Sites[[#This Row],[SOL'#]]</f>
        <v>SOL-10383</v>
      </c>
      <c r="D22" s="9"/>
      <c r="E22" s="14"/>
      <c r="F22" s="14" t="str">
        <f t="shared" si="0"/>
        <v/>
      </c>
      <c r="G22" s="15" t="str">
        <f t="shared" si="1"/>
        <v/>
      </c>
      <c r="H22" s="16"/>
      <c r="I22" s="16" t="str">
        <f t="shared" si="2"/>
        <v/>
      </c>
      <c r="J22" s="15" t="str">
        <f t="shared" si="3"/>
        <v/>
      </c>
      <c r="K22" s="38"/>
      <c r="L22" s="39"/>
      <c r="M22" s="103"/>
      <c r="N22" s="103"/>
      <c r="O22" s="103"/>
      <c r="P22" s="103"/>
      <c r="Q22" s="103"/>
      <c r="R22" s="103"/>
      <c r="S22" s="103"/>
      <c r="T22" s="103"/>
    </row>
    <row r="23" spans="1:20" ht="15.6">
      <c r="A23" s="24" t="str">
        <v>M143</v>
      </c>
      <c r="B23" s="25" t="str">
        <v>NY</v>
      </c>
      <c r="C23" s="25" t="str">
        <f>Sites[[#This Row],[SOL'#]]</f>
        <v>SOL-10384</v>
      </c>
      <c r="D23" s="20"/>
      <c r="E23" s="10"/>
      <c r="F23" s="10" t="str">
        <f t="shared" si="0"/>
        <v/>
      </c>
      <c r="G23" s="11" t="str">
        <f t="shared" si="1"/>
        <v/>
      </c>
      <c r="H23" s="12"/>
      <c r="I23" s="12" t="str">
        <f t="shared" si="2"/>
        <v/>
      </c>
      <c r="J23" s="64" t="str">
        <f t="shared" si="3"/>
        <v/>
      </c>
      <c r="K23" s="37"/>
      <c r="L23" s="109"/>
      <c r="M23" s="103"/>
      <c r="N23" s="103"/>
      <c r="O23" s="103"/>
      <c r="P23" s="103"/>
      <c r="Q23" s="103"/>
      <c r="R23" s="103"/>
      <c r="S23" s="103"/>
      <c r="T23" s="103"/>
    </row>
    <row r="24" spans="1:20" ht="15.6">
      <c r="A24" s="26" t="str">
        <v>M144</v>
      </c>
      <c r="B24" s="27" t="str">
        <v>NY</v>
      </c>
      <c r="C24" s="27" t="str">
        <f>Sites[[#This Row],[SOL'#]]</f>
        <v>SOL-10385</v>
      </c>
      <c r="D24" s="9"/>
      <c r="E24" s="14"/>
      <c r="F24" s="14" t="str">
        <f t="shared" si="0"/>
        <v/>
      </c>
      <c r="G24" s="15" t="str">
        <f t="shared" si="1"/>
        <v/>
      </c>
      <c r="H24" s="16"/>
      <c r="I24" s="16" t="str">
        <f t="shared" si="2"/>
        <v/>
      </c>
      <c r="J24" s="15" t="str">
        <f t="shared" si="3"/>
        <v/>
      </c>
      <c r="K24" s="38"/>
      <c r="L24" s="38"/>
      <c r="M24" s="103"/>
      <c r="N24" s="103"/>
      <c r="O24" s="103"/>
      <c r="P24" s="103"/>
      <c r="Q24" s="103"/>
      <c r="R24" s="103"/>
      <c r="S24" s="103"/>
      <c r="T24" s="103"/>
    </row>
    <row r="25" spans="1:20" ht="15.6">
      <c r="A25" s="24" t="str">
        <v>M167</v>
      </c>
      <c r="B25" s="25" t="str">
        <v>NY</v>
      </c>
      <c r="C25" s="25" t="str">
        <f>Sites[[#This Row],[SOL'#]]</f>
        <v>SOL-10386</v>
      </c>
      <c r="D25" s="20"/>
      <c r="E25" s="10"/>
      <c r="F25" s="10" t="str">
        <f t="shared" si="0"/>
        <v/>
      </c>
      <c r="G25" s="11" t="str">
        <f t="shared" si="1"/>
        <v/>
      </c>
      <c r="H25" s="12"/>
      <c r="I25" s="12" t="str">
        <f t="shared" si="2"/>
        <v/>
      </c>
      <c r="J25" s="64" t="str">
        <f t="shared" si="3"/>
        <v/>
      </c>
      <c r="K25" s="58"/>
      <c r="L25" s="58"/>
      <c r="M25" s="103"/>
      <c r="N25" s="103"/>
      <c r="O25" s="103"/>
      <c r="P25" s="103"/>
      <c r="Q25" s="103"/>
      <c r="R25" s="103"/>
      <c r="S25" s="103"/>
      <c r="T25" s="103"/>
    </row>
    <row r="26" spans="1:20" ht="155.25" customHeight="1">
      <c r="A26" s="26" t="str">
        <v>M188</v>
      </c>
      <c r="B26" s="27" t="str">
        <v>NY</v>
      </c>
      <c r="C26" s="27" t="str">
        <f>Sites[[#This Row],[SOL'#]]</f>
        <v>SOL-10387</v>
      </c>
      <c r="D26" s="9"/>
      <c r="E26" s="14"/>
      <c r="F26" s="14" t="str">
        <f t="shared" si="0"/>
        <v/>
      </c>
      <c r="G26" s="15" t="str">
        <f t="shared" si="1"/>
        <v/>
      </c>
      <c r="H26" s="16"/>
      <c r="I26" s="16" t="str">
        <f t="shared" si="2"/>
        <v/>
      </c>
      <c r="J26" s="15" t="str">
        <f t="shared" si="3"/>
        <v/>
      </c>
      <c r="K26" s="51"/>
      <c r="L26" s="110"/>
      <c r="M26" s="102"/>
      <c r="N26" s="102"/>
      <c r="O26" s="102"/>
      <c r="P26" s="103"/>
      <c r="Q26" s="103"/>
      <c r="R26" s="103"/>
      <c r="S26" s="103"/>
      <c r="T26" s="103"/>
    </row>
    <row r="27" spans="1:20" ht="15.75" customHeight="1">
      <c r="A27" s="24" t="str">
        <v>EMHC</v>
      </c>
      <c r="B27" s="25" t="str">
        <v>NY</v>
      </c>
      <c r="C27" s="25" t="str">
        <f>Sites[[#This Row],[SOL'#]]</f>
        <v>SOL-10351</v>
      </c>
      <c r="D27" s="20"/>
      <c r="E27" s="10"/>
      <c r="F27" s="10" t="str">
        <f t="shared" si="0"/>
        <v/>
      </c>
      <c r="G27" s="11" t="str">
        <f t="shared" si="1"/>
        <v/>
      </c>
      <c r="H27" s="12"/>
      <c r="I27" s="12" t="str">
        <f t="shared" si="2"/>
        <v/>
      </c>
      <c r="J27" s="64" t="str">
        <f t="shared" si="3"/>
        <v/>
      </c>
      <c r="K27" s="37"/>
      <c r="L27" s="109"/>
      <c r="M27" s="103"/>
      <c r="N27" s="103"/>
      <c r="O27" s="103"/>
      <c r="P27" s="103"/>
      <c r="Q27" s="103"/>
      <c r="R27" s="103"/>
      <c r="S27" s="103"/>
      <c r="T27" s="103"/>
    </row>
    <row r="28" spans="1:20" ht="15.6">
      <c r="A28" s="26" t="str">
        <v>Q008</v>
      </c>
      <c r="B28" s="27" t="str">
        <v>NY</v>
      </c>
      <c r="C28" s="27" t="str">
        <f>Sites[[#This Row],[SOL'#]]</f>
        <v>SOL-10397</v>
      </c>
      <c r="D28" s="9"/>
      <c r="E28" s="14"/>
      <c r="F28" s="14" t="str">
        <f t="shared" si="0"/>
        <v/>
      </c>
      <c r="G28" s="15" t="str">
        <f t="shared" si="1"/>
        <v/>
      </c>
      <c r="H28" s="16"/>
      <c r="I28" s="16" t="str">
        <f t="shared" si="2"/>
        <v/>
      </c>
      <c r="J28" s="15" t="str">
        <f t="shared" si="3"/>
        <v/>
      </c>
      <c r="K28" s="38"/>
      <c r="L28" s="112"/>
      <c r="M28" s="103"/>
      <c r="N28" s="103"/>
      <c r="O28" s="103"/>
      <c r="P28" s="103"/>
      <c r="Q28" s="103"/>
      <c r="R28" s="103"/>
      <c r="S28" s="103"/>
      <c r="T28" s="103"/>
    </row>
    <row r="29" spans="1:20" ht="15.6">
      <c r="A29" s="24" t="str">
        <v>Q018</v>
      </c>
      <c r="B29" s="25" t="str">
        <v>NY</v>
      </c>
      <c r="C29" s="25" t="str">
        <f>Sites[[#This Row],[SOL'#]]</f>
        <v>SOL-10398</v>
      </c>
      <c r="D29" s="20"/>
      <c r="E29" s="10"/>
      <c r="F29" s="10" t="str">
        <f t="shared" si="0"/>
        <v/>
      </c>
      <c r="G29" s="11" t="str">
        <f t="shared" si="1"/>
        <v/>
      </c>
      <c r="H29" s="12"/>
      <c r="I29" s="12" t="str">
        <f t="shared" si="2"/>
        <v/>
      </c>
      <c r="J29" s="64" t="str">
        <f t="shared" si="3"/>
        <v/>
      </c>
      <c r="K29" s="37"/>
      <c r="L29" s="37"/>
      <c r="M29" s="103"/>
      <c r="N29" s="103"/>
      <c r="O29" s="103"/>
      <c r="P29" s="103"/>
      <c r="Q29" s="103"/>
      <c r="R29" s="103"/>
      <c r="S29" s="103"/>
      <c r="T29" s="103"/>
    </row>
    <row r="30" spans="1:20" ht="15.6">
      <c r="A30" s="26" t="str">
        <v>Q021</v>
      </c>
      <c r="B30" s="27" t="str">
        <v>NY</v>
      </c>
      <c r="C30" s="27" t="str">
        <f>Sites[[#This Row],[SOL'#]]</f>
        <v>SOL-10399</v>
      </c>
      <c r="D30" s="9"/>
      <c r="E30" s="14"/>
      <c r="F30" s="14" t="str">
        <f t="shared" si="0"/>
        <v/>
      </c>
      <c r="G30" s="15" t="str">
        <f t="shared" si="1"/>
        <v/>
      </c>
      <c r="H30" s="16"/>
      <c r="I30" s="16" t="str">
        <f t="shared" si="2"/>
        <v/>
      </c>
      <c r="J30" s="15" t="str">
        <f t="shared" si="3"/>
        <v/>
      </c>
      <c r="K30" s="38"/>
      <c r="L30" s="39"/>
      <c r="M30" s="103"/>
      <c r="N30" s="103"/>
      <c r="O30" s="103"/>
      <c r="P30" s="103"/>
      <c r="Q30" s="103"/>
      <c r="R30" s="103"/>
      <c r="S30" s="103"/>
      <c r="T30" s="103"/>
    </row>
    <row r="31" spans="1:20" ht="15.6">
      <c r="A31" s="24" t="str">
        <v>Q025</v>
      </c>
      <c r="B31" s="25" t="str">
        <v>NY</v>
      </c>
      <c r="C31" s="25" t="str">
        <f>Sites[[#This Row],[SOL'#]]</f>
        <v>SOL-10400</v>
      </c>
      <c r="D31" s="20"/>
      <c r="E31" s="10"/>
      <c r="F31" s="10" t="str">
        <f t="shared" si="0"/>
        <v/>
      </c>
      <c r="G31" s="11" t="str">
        <f t="shared" si="1"/>
        <v/>
      </c>
      <c r="H31" s="12"/>
      <c r="I31" s="12" t="str">
        <f t="shared" si="2"/>
        <v/>
      </c>
      <c r="J31" s="64" t="str">
        <f t="shared" si="3"/>
        <v/>
      </c>
      <c r="K31" s="58"/>
      <c r="L31" s="58"/>
      <c r="M31" s="103"/>
      <c r="N31" s="103"/>
      <c r="O31" s="103"/>
      <c r="P31" s="103"/>
      <c r="Q31" s="103"/>
      <c r="R31" s="103"/>
      <c r="S31" s="103"/>
      <c r="T31" s="103"/>
    </row>
    <row r="32" spans="1:20" ht="15.6">
      <c r="A32" s="26" t="str">
        <v>Q074</v>
      </c>
      <c r="B32" s="27" t="str">
        <v>NY</v>
      </c>
      <c r="C32" s="27" t="str">
        <f>Sites[[#This Row],[SOL'#]]</f>
        <v>SOL-10402</v>
      </c>
      <c r="D32" s="9"/>
      <c r="E32" s="14"/>
      <c r="F32" s="14" t="str">
        <f t="shared" si="0"/>
        <v/>
      </c>
      <c r="G32" s="15" t="str">
        <f t="shared" si="1"/>
        <v/>
      </c>
      <c r="H32" s="16"/>
      <c r="I32" s="16" t="str">
        <f t="shared" si="2"/>
        <v/>
      </c>
      <c r="J32" s="15" t="str">
        <f t="shared" si="3"/>
        <v/>
      </c>
      <c r="K32" s="38"/>
      <c r="L32" s="39"/>
      <c r="M32" s="103"/>
      <c r="N32" s="103"/>
      <c r="O32" s="103"/>
      <c r="P32" s="103"/>
      <c r="Q32" s="103"/>
      <c r="R32" s="103"/>
      <c r="S32" s="103"/>
      <c r="T32" s="103"/>
    </row>
    <row r="33" spans="1:20" ht="15.6">
      <c r="A33" s="24" t="str">
        <v>Q115</v>
      </c>
      <c r="B33" s="25" t="str">
        <v>NY</v>
      </c>
      <c r="C33" s="25" t="str">
        <f>Sites[[#This Row],[SOL'#]]</f>
        <v>SOL-10872</v>
      </c>
      <c r="D33" s="20"/>
      <c r="E33" s="10"/>
      <c r="F33" s="10" t="str">
        <f t="shared" si="0"/>
        <v/>
      </c>
      <c r="G33" s="11" t="str">
        <f t="shared" si="1"/>
        <v/>
      </c>
      <c r="H33" s="12"/>
      <c r="I33" s="12" t="str">
        <f t="shared" si="2"/>
        <v/>
      </c>
      <c r="J33" s="64" t="str">
        <f t="shared" si="3"/>
        <v/>
      </c>
      <c r="K33" s="37"/>
      <c r="L33" s="37"/>
      <c r="M33" s="103"/>
      <c r="N33" s="103"/>
      <c r="O33" s="103"/>
      <c r="P33" s="103"/>
      <c r="Q33" s="103"/>
      <c r="R33" s="103"/>
      <c r="S33" s="103"/>
      <c r="T33" s="103"/>
    </row>
    <row r="34" spans="1:20" ht="15.6">
      <c r="A34" s="26" t="str">
        <v>Q139</v>
      </c>
      <c r="B34" s="27" t="str">
        <v>NY</v>
      </c>
      <c r="C34" s="27" t="str">
        <f>Sites[[#This Row],[SOL'#]]</f>
        <v>SOL-10403</v>
      </c>
      <c r="D34" s="9"/>
      <c r="E34" s="14"/>
      <c r="F34" s="14" t="str">
        <f t="shared" si="0"/>
        <v/>
      </c>
      <c r="G34" s="15" t="str">
        <f t="shared" si="1"/>
        <v/>
      </c>
      <c r="H34" s="16"/>
      <c r="I34" s="16" t="str">
        <f t="shared" si="2"/>
        <v/>
      </c>
      <c r="J34" s="15" t="str">
        <f t="shared" si="3"/>
        <v/>
      </c>
      <c r="K34" s="38"/>
      <c r="L34" s="39"/>
      <c r="M34" s="103"/>
      <c r="N34" s="103"/>
      <c r="O34" s="103"/>
      <c r="P34" s="103"/>
      <c r="Q34" s="103"/>
      <c r="R34" s="103"/>
      <c r="S34" s="103"/>
      <c r="T34" s="103"/>
    </row>
    <row r="35" spans="1:20" ht="121.5" customHeight="1">
      <c r="A35" s="24" t="str">
        <v>Q157</v>
      </c>
      <c r="B35" s="25" t="str">
        <v>NY</v>
      </c>
      <c r="C35" s="25" t="str">
        <f>Sites[[#This Row],[SOL'#]]</f>
        <v>SOL-10404</v>
      </c>
      <c r="D35" s="20"/>
      <c r="E35" s="10"/>
      <c r="F35" s="10" t="str">
        <f t="shared" si="0"/>
        <v/>
      </c>
      <c r="G35" s="11" t="str">
        <f t="shared" si="1"/>
        <v/>
      </c>
      <c r="H35" s="12"/>
      <c r="I35" s="12" t="str">
        <f t="shared" si="2"/>
        <v/>
      </c>
      <c r="J35" s="64" t="str">
        <f t="shared" si="3"/>
        <v/>
      </c>
      <c r="K35" s="37"/>
      <c r="L35" s="109"/>
      <c r="M35" s="102"/>
      <c r="N35" s="102"/>
      <c r="O35" s="103"/>
      <c r="P35" s="103"/>
      <c r="Q35" s="103"/>
      <c r="R35" s="103"/>
      <c r="S35" s="103"/>
      <c r="T35" s="103"/>
    </row>
    <row r="36" spans="1:20" ht="15.6">
      <c r="A36" s="26" t="str">
        <v>Q192</v>
      </c>
      <c r="B36" s="27" t="str">
        <v>NY</v>
      </c>
      <c r="C36" s="27" t="str">
        <f>Sites[[#This Row],[SOL'#]]</f>
        <v>SOL-10406</v>
      </c>
      <c r="D36" s="9"/>
      <c r="E36" s="14"/>
      <c r="F36" s="14" t="str">
        <f t="shared" si="0"/>
        <v/>
      </c>
      <c r="G36" s="15" t="str">
        <f t="shared" si="1"/>
        <v/>
      </c>
      <c r="H36" s="16"/>
      <c r="I36" s="16" t="str">
        <f t="shared" si="2"/>
        <v/>
      </c>
      <c r="J36" s="15" t="str">
        <f t="shared" si="3"/>
        <v/>
      </c>
      <c r="K36" s="38"/>
      <c r="L36" s="38"/>
      <c r="M36" s="103"/>
      <c r="N36" s="103"/>
      <c r="O36" s="103"/>
      <c r="P36" s="103"/>
      <c r="Q36" s="103"/>
      <c r="R36" s="103"/>
      <c r="S36" s="103"/>
      <c r="T36" s="103"/>
    </row>
    <row r="37" spans="1:20" ht="15.6">
      <c r="A37" s="24" t="str">
        <v>Q210</v>
      </c>
      <c r="B37" s="25" t="str">
        <v>NY</v>
      </c>
      <c r="C37" s="25" t="str">
        <f>Sites[[#This Row],[SOL'#]]</f>
        <v>SOL-10407</v>
      </c>
      <c r="D37" s="20"/>
      <c r="E37" s="10"/>
      <c r="F37" s="10" t="str">
        <f t="shared" si="0"/>
        <v/>
      </c>
      <c r="G37" s="11" t="str">
        <f t="shared" si="1"/>
        <v/>
      </c>
      <c r="H37" s="12"/>
      <c r="I37" s="12" t="str">
        <f t="shared" si="2"/>
        <v/>
      </c>
      <c r="J37" s="64" t="str">
        <f t="shared" si="3"/>
        <v/>
      </c>
      <c r="K37" s="58"/>
      <c r="L37" s="58"/>
      <c r="M37" s="103"/>
      <c r="N37" s="103"/>
      <c r="O37" s="103"/>
      <c r="P37" s="103"/>
      <c r="Q37" s="103"/>
      <c r="R37" s="103"/>
      <c r="S37" s="103"/>
      <c r="T37" s="103"/>
    </row>
    <row r="38" spans="1:20" ht="15.6">
      <c r="A38" s="26" t="str">
        <v>Q229</v>
      </c>
      <c r="B38" s="27" t="str">
        <v>NY</v>
      </c>
      <c r="C38" s="27" t="str">
        <f>Sites[[#This Row],[SOL'#]]</f>
        <v>SOL-10408</v>
      </c>
      <c r="D38" s="9"/>
      <c r="E38" s="14"/>
      <c r="F38" s="14" t="str">
        <f t="shared" si="0"/>
        <v/>
      </c>
      <c r="G38" s="15" t="str">
        <f t="shared" si="1"/>
        <v/>
      </c>
      <c r="H38" s="16"/>
      <c r="I38" s="16" t="str">
        <f t="shared" si="2"/>
        <v/>
      </c>
      <c r="J38" s="15" t="str">
        <f t="shared" si="3"/>
        <v/>
      </c>
      <c r="K38" s="38"/>
      <c r="L38" s="99"/>
      <c r="M38" s="103"/>
      <c r="N38" s="103"/>
      <c r="O38" s="103"/>
      <c r="P38" s="103"/>
      <c r="Q38" s="103"/>
      <c r="R38" s="103"/>
      <c r="S38" s="103"/>
      <c r="T38" s="103"/>
    </row>
    <row r="39" spans="1:20" ht="15.6">
      <c r="A39" s="24" t="str">
        <v>Q231</v>
      </c>
      <c r="B39" s="25" t="str">
        <v>NY</v>
      </c>
      <c r="C39" s="25" t="str">
        <f>Sites[[#This Row],[SOL'#]]</f>
        <v>SOL-10870</v>
      </c>
      <c r="D39" s="20"/>
      <c r="E39" s="10"/>
      <c r="F39" s="10" t="str">
        <f t="shared" si="0"/>
        <v/>
      </c>
      <c r="G39" s="11" t="str">
        <f t="shared" si="1"/>
        <v/>
      </c>
      <c r="H39" s="12"/>
      <c r="I39" s="12" t="str">
        <f t="shared" si="2"/>
        <v/>
      </c>
      <c r="J39" s="64" t="str">
        <f t="shared" si="3"/>
        <v/>
      </c>
      <c r="K39" s="37"/>
      <c r="L39" s="37"/>
      <c r="M39" s="103"/>
      <c r="N39" s="103"/>
      <c r="O39" s="103"/>
      <c r="P39" s="103"/>
      <c r="Q39" s="103"/>
      <c r="R39" s="103"/>
      <c r="S39" s="103"/>
      <c r="T39" s="103"/>
    </row>
    <row r="40" spans="1:20" ht="15.6">
      <c r="A40" s="26" t="str">
        <v>Q405</v>
      </c>
      <c r="B40" s="27" t="str">
        <v>NY</v>
      </c>
      <c r="C40" s="27" t="str">
        <f>Sites[[#This Row],[SOL'#]]</f>
        <v>SOL-10409</v>
      </c>
      <c r="D40" s="9"/>
      <c r="E40" s="14"/>
      <c r="F40" s="14" t="str">
        <f t="shared" si="0"/>
        <v/>
      </c>
      <c r="G40" s="15" t="str">
        <f t="shared" si="1"/>
        <v/>
      </c>
      <c r="H40" s="16"/>
      <c r="I40" s="16" t="str">
        <f t="shared" si="2"/>
        <v/>
      </c>
      <c r="J40" s="15" t="str">
        <f t="shared" si="3"/>
        <v/>
      </c>
      <c r="K40" s="59"/>
      <c r="L40" s="127"/>
      <c r="M40" s="103"/>
      <c r="N40" s="103"/>
      <c r="O40" s="103"/>
      <c r="P40" s="103"/>
      <c r="Q40" s="103"/>
      <c r="R40" s="103"/>
      <c r="S40" s="103"/>
      <c r="T40" s="103"/>
    </row>
    <row r="41" spans="1:20" ht="15.6">
      <c r="A41" s="24" t="str">
        <v>Q435</v>
      </c>
      <c r="B41" s="25" t="str">
        <v>NY</v>
      </c>
      <c r="C41" s="25" t="str">
        <f>Sites[[#This Row],[SOL'#]]</f>
        <v>SOL-10923</v>
      </c>
      <c r="D41" s="20"/>
      <c r="E41" s="10"/>
      <c r="F41" s="10" t="str">
        <f t="shared" si="0"/>
        <v/>
      </c>
      <c r="G41" s="11" t="str">
        <f t="shared" si="1"/>
        <v/>
      </c>
      <c r="H41" s="12"/>
      <c r="I41" s="12" t="str">
        <f t="shared" si="2"/>
        <v/>
      </c>
      <c r="J41" s="64" t="str">
        <f t="shared" si="3"/>
        <v/>
      </c>
      <c r="K41" s="37"/>
      <c r="L41" s="109"/>
      <c r="M41" s="102"/>
      <c r="N41" s="102"/>
      <c r="O41" s="103"/>
      <c r="P41" s="103"/>
      <c r="Q41" s="103"/>
      <c r="R41" s="103"/>
      <c r="S41" s="103"/>
      <c r="T41" s="103"/>
    </row>
    <row r="42" spans="1:20" ht="15.6">
      <c r="A42" s="26" t="str">
        <v>Q485</v>
      </c>
      <c r="B42" s="27" t="str">
        <v>NY</v>
      </c>
      <c r="C42" s="27" t="str">
        <f>Sites[[#This Row],[SOL'#]]</f>
        <v>SOL-10869</v>
      </c>
      <c r="D42" s="9"/>
      <c r="E42" s="14"/>
      <c r="F42" s="14" t="str">
        <f t="shared" si="0"/>
        <v/>
      </c>
      <c r="G42" s="15" t="str">
        <f t="shared" si="1"/>
        <v/>
      </c>
      <c r="H42" s="16"/>
      <c r="I42" s="16" t="str">
        <f t="shared" si="2"/>
        <v/>
      </c>
      <c r="J42" s="15" t="str">
        <f t="shared" si="3"/>
        <v/>
      </c>
      <c r="K42" s="59"/>
      <c r="L42" s="110"/>
      <c r="M42" s="102"/>
      <c r="N42" s="103"/>
      <c r="O42" s="103"/>
      <c r="P42" s="103"/>
      <c r="Q42" s="103"/>
      <c r="R42" s="103"/>
      <c r="S42" s="103"/>
      <c r="T42" s="103"/>
    </row>
    <row r="43" spans="1:20" ht="48.75" customHeight="1">
      <c r="A43" s="24" t="str">
        <v>Q490</v>
      </c>
      <c r="B43" s="25" t="str">
        <v>NY</v>
      </c>
      <c r="C43" s="25" t="str">
        <f>Sites[[#This Row],[SOL'#]]</f>
        <v>SOL-10411</v>
      </c>
      <c r="D43" s="20"/>
      <c r="E43" s="10"/>
      <c r="F43" s="10" t="str">
        <f t="shared" si="0"/>
        <v/>
      </c>
      <c r="G43" s="11" t="str">
        <f t="shared" si="1"/>
        <v/>
      </c>
      <c r="H43" s="12"/>
      <c r="I43" s="12" t="str">
        <f t="shared" si="2"/>
        <v/>
      </c>
      <c r="J43" s="64" t="str">
        <f t="shared" si="3"/>
        <v/>
      </c>
      <c r="K43" s="37"/>
      <c r="L43" s="109"/>
      <c r="M43" s="103"/>
      <c r="N43" s="103"/>
      <c r="O43" s="103"/>
      <c r="P43" s="103"/>
      <c r="Q43" s="103"/>
      <c r="R43" s="103"/>
      <c r="S43" s="103"/>
      <c r="T43" s="103"/>
    </row>
    <row r="44" spans="1:20" ht="15.6">
      <c r="A44" s="26" t="str">
        <v>Q620</v>
      </c>
      <c r="B44" s="27" t="str">
        <v>NY</v>
      </c>
      <c r="C44" s="27" t="str">
        <f>Sites[[#This Row],[SOL'#]]</f>
        <v>SOL-10867</v>
      </c>
      <c r="D44" s="9"/>
      <c r="E44" s="14"/>
      <c r="F44" s="14" t="str">
        <f t="shared" si="0"/>
        <v/>
      </c>
      <c r="G44" s="15" t="str">
        <f t="shared" si="1"/>
        <v/>
      </c>
      <c r="H44" s="16"/>
      <c r="I44" s="16" t="str">
        <f t="shared" si="2"/>
        <v/>
      </c>
      <c r="J44" s="15" t="str">
        <f t="shared" si="3"/>
        <v/>
      </c>
      <c r="K44" s="38"/>
      <c r="L44" s="39"/>
      <c r="M44" s="103"/>
      <c r="N44" s="103"/>
      <c r="O44" s="103"/>
      <c r="P44" s="103"/>
      <c r="Q44" s="103"/>
      <c r="R44" s="103"/>
      <c r="S44" s="103"/>
      <c r="T44" s="103"/>
    </row>
    <row r="45" spans="1:20" ht="15.6">
      <c r="A45" s="24" t="str">
        <v>QMOA</v>
      </c>
      <c r="B45" s="25" t="str">
        <v>NY</v>
      </c>
      <c r="C45" s="25" t="str">
        <f>Sites[[#This Row],[SOL'#]]</f>
        <v>SOL-10415</v>
      </c>
      <c r="D45" s="20"/>
      <c r="E45" s="10"/>
      <c r="F45" s="10" t="str">
        <f t="shared" si="0"/>
        <v/>
      </c>
      <c r="G45" s="11" t="str">
        <f t="shared" si="1"/>
        <v/>
      </c>
      <c r="H45" s="12"/>
      <c r="I45" s="12" t="str">
        <f t="shared" si="2"/>
        <v/>
      </c>
      <c r="J45" s="64" t="str">
        <f t="shared" si="3"/>
        <v/>
      </c>
      <c r="K45" s="37"/>
      <c r="L45" s="37"/>
      <c r="M45" s="103"/>
      <c r="N45" s="103"/>
      <c r="O45" s="103"/>
      <c r="P45" s="103"/>
      <c r="Q45" s="103"/>
      <c r="R45" s="103"/>
      <c r="S45" s="103"/>
      <c r="T45" s="103"/>
    </row>
    <row r="46" spans="1:20" ht="15.6">
      <c r="A46" s="26" t="str">
        <v>X024</v>
      </c>
      <c r="B46" s="27" t="str">
        <v>NY</v>
      </c>
      <c r="C46" s="27" t="str">
        <f>Sites[[#This Row],[SOL'#]]</f>
        <v>SOL-10419</v>
      </c>
      <c r="D46" s="9"/>
      <c r="E46" s="14"/>
      <c r="F46" s="14" t="str">
        <f t="shared" si="0"/>
        <v/>
      </c>
      <c r="G46" s="15" t="str">
        <f t="shared" si="1"/>
        <v/>
      </c>
      <c r="H46" s="16"/>
      <c r="I46" s="16" t="str">
        <f t="shared" si="2"/>
        <v/>
      </c>
      <c r="J46" s="15" t="str">
        <f t="shared" si="3"/>
        <v/>
      </c>
      <c r="K46" s="38"/>
      <c r="L46" s="39"/>
      <c r="M46" s="103"/>
      <c r="N46" s="103"/>
      <c r="O46" s="103"/>
      <c r="P46" s="103"/>
      <c r="Q46" s="103"/>
      <c r="R46" s="103"/>
      <c r="S46" s="103"/>
      <c r="T46" s="103"/>
    </row>
    <row r="47" spans="1:20" ht="15.6">
      <c r="A47" s="24" t="str">
        <v>X026</v>
      </c>
      <c r="B47" s="25" t="str">
        <v>NY</v>
      </c>
      <c r="C47" s="25" t="str">
        <f>Sites[[#This Row],[SOL'#]]</f>
        <v>SOL-10420</v>
      </c>
      <c r="D47" s="20"/>
      <c r="E47" s="10"/>
      <c r="F47" s="10" t="str">
        <f t="shared" si="0"/>
        <v/>
      </c>
      <c r="G47" s="11" t="str">
        <f t="shared" si="1"/>
        <v/>
      </c>
      <c r="H47" s="12"/>
      <c r="I47" s="12" t="str">
        <f t="shared" si="2"/>
        <v/>
      </c>
      <c r="J47" s="64" t="str">
        <f t="shared" si="3"/>
        <v/>
      </c>
      <c r="K47" s="37"/>
      <c r="L47" s="109"/>
      <c r="M47" s="103"/>
      <c r="N47" s="103"/>
      <c r="O47" s="103"/>
      <c r="P47" s="103"/>
      <c r="Q47" s="103"/>
      <c r="R47" s="103"/>
      <c r="S47" s="103"/>
      <c r="T47" s="103"/>
    </row>
    <row r="48" spans="1:20" ht="15.6">
      <c r="A48" s="26" t="str">
        <v>X090</v>
      </c>
      <c r="B48" s="27" t="str">
        <v>NY</v>
      </c>
      <c r="C48" s="27" t="str">
        <f>Sites[[#This Row],[SOL'#]]</f>
        <v>SOL-10925</v>
      </c>
      <c r="D48" s="9"/>
      <c r="E48" s="14"/>
      <c r="F48" s="14" t="str">
        <f t="shared" si="0"/>
        <v/>
      </c>
      <c r="G48" s="15" t="str">
        <f t="shared" si="1"/>
        <v/>
      </c>
      <c r="H48" s="16"/>
      <c r="I48" s="16" t="str">
        <f t="shared" si="2"/>
        <v/>
      </c>
      <c r="J48" s="15" t="str">
        <f t="shared" si="3"/>
        <v/>
      </c>
      <c r="K48" s="38"/>
      <c r="L48" s="38"/>
      <c r="M48" s="103"/>
      <c r="N48" s="103"/>
      <c r="O48" s="103"/>
      <c r="P48" s="103"/>
      <c r="Q48" s="103"/>
      <c r="R48" s="103"/>
      <c r="S48" s="103"/>
      <c r="T48" s="103"/>
    </row>
    <row r="49" spans="1:20" ht="15.6">
      <c r="A49" s="24" t="str">
        <v>X117</v>
      </c>
      <c r="B49" s="25" t="str">
        <v>NY</v>
      </c>
      <c r="C49" s="25" t="str">
        <f>Sites[[#This Row],[SOL'#]]</f>
        <v>SOL-10422</v>
      </c>
      <c r="D49" s="20"/>
      <c r="E49" s="10"/>
      <c r="F49" s="10" t="str">
        <f t="shared" si="0"/>
        <v/>
      </c>
      <c r="G49" s="11" t="str">
        <f t="shared" si="1"/>
        <v/>
      </c>
      <c r="H49" s="12"/>
      <c r="I49" s="12" t="str">
        <f t="shared" si="2"/>
        <v/>
      </c>
      <c r="J49" s="64" t="str">
        <f t="shared" si="3"/>
        <v/>
      </c>
      <c r="K49" s="37"/>
      <c r="L49" s="37"/>
      <c r="M49" s="103"/>
      <c r="N49" s="103"/>
      <c r="O49" s="103"/>
      <c r="P49" s="103"/>
      <c r="Q49" s="103"/>
      <c r="R49" s="103"/>
      <c r="S49" s="103"/>
      <c r="T49" s="103"/>
    </row>
    <row r="50" spans="1:20" ht="15.6">
      <c r="A50" s="26" t="str">
        <v>X125</v>
      </c>
      <c r="B50" s="27" t="str">
        <v>NY</v>
      </c>
      <c r="C50" s="27" t="str">
        <f>Sites[[#This Row],[SOL'#]]</f>
        <v>SOL-10423</v>
      </c>
      <c r="D50" s="9"/>
      <c r="E50" s="14"/>
      <c r="F50" s="14" t="str">
        <f t="shared" si="0"/>
        <v/>
      </c>
      <c r="G50" s="15" t="str">
        <f t="shared" si="1"/>
        <v/>
      </c>
      <c r="H50" s="16"/>
      <c r="I50" s="16" t="str">
        <f t="shared" si="2"/>
        <v/>
      </c>
      <c r="J50" s="15" t="str">
        <f t="shared" si="3"/>
        <v/>
      </c>
      <c r="K50" s="59"/>
      <c r="L50" s="60"/>
      <c r="M50" s="103"/>
      <c r="N50" s="103"/>
      <c r="O50" s="103"/>
      <c r="P50" s="103"/>
      <c r="Q50" s="103"/>
      <c r="R50" s="103"/>
      <c r="S50" s="103"/>
      <c r="T50" s="103"/>
    </row>
    <row r="51" spans="1:20" ht="15.6">
      <c r="A51" s="24" t="str">
        <v>X134</v>
      </c>
      <c r="B51" s="25" t="str">
        <v>NY</v>
      </c>
      <c r="C51" s="25" t="str">
        <f>Sites[[#This Row],[SOL'#]]</f>
        <v>SOL-10424</v>
      </c>
      <c r="D51" s="20"/>
      <c r="E51" s="10"/>
      <c r="F51" s="10" t="str">
        <f t="shared" si="0"/>
        <v/>
      </c>
      <c r="G51" s="11" t="str">
        <f t="shared" si="1"/>
        <v/>
      </c>
      <c r="H51" s="12"/>
      <c r="I51" s="12" t="str">
        <f t="shared" si="2"/>
        <v/>
      </c>
      <c r="J51" s="64" t="str">
        <f t="shared" si="3"/>
        <v/>
      </c>
      <c r="K51" s="58"/>
      <c r="L51" s="62"/>
      <c r="M51" s="103"/>
      <c r="N51" s="103"/>
      <c r="O51" s="103"/>
      <c r="P51" s="103"/>
      <c r="Q51" s="103"/>
      <c r="R51" s="103"/>
      <c r="S51" s="103"/>
      <c r="T51" s="103"/>
    </row>
    <row r="52" spans="1:20" ht="28.5" customHeight="1">
      <c r="A52" s="26" t="str">
        <v>X135</v>
      </c>
      <c r="B52" s="27" t="str">
        <v>NY</v>
      </c>
      <c r="C52" s="27" t="str">
        <f>Sites[[#This Row],[SOL'#]]</f>
        <v>SOL-10425</v>
      </c>
      <c r="D52" s="9"/>
      <c r="E52" s="14"/>
      <c r="F52" s="14" t="str">
        <f t="shared" ref="F52:F95" si="4">IF(AND(ISNUMBER(D52),ISNUMBER(E52)), D52-E52, "")</f>
        <v/>
      </c>
      <c r="G52" s="15" t="str">
        <f t="shared" si="1"/>
        <v/>
      </c>
      <c r="H52" s="16"/>
      <c r="I52" s="16" t="str">
        <f t="shared" ref="I52:I95" si="5">IF(AND(ISNUMBER(D52),ISNUMBER(H52)), D52-H52, "")</f>
        <v/>
      </c>
      <c r="J52" s="15" t="str">
        <f t="shared" ref="J52:J95" si="6">IFERROR(I52/H52, "")</f>
        <v/>
      </c>
      <c r="K52" s="38"/>
      <c r="L52" s="110"/>
      <c r="M52" s="103"/>
      <c r="N52" s="103"/>
      <c r="O52" s="103"/>
      <c r="P52" s="103"/>
      <c r="Q52" s="103"/>
      <c r="R52" s="103"/>
      <c r="S52" s="103"/>
      <c r="T52" s="103"/>
    </row>
    <row r="53" spans="1:20" ht="15.6">
      <c r="A53" s="24" t="str">
        <v>X139 JHS 222</v>
      </c>
      <c r="B53" s="25" t="str">
        <v>NY</v>
      </c>
      <c r="C53" s="25" t="str">
        <f>Sites[[#This Row],[SOL'#]]</f>
        <v>SOL-10426</v>
      </c>
      <c r="D53" s="20"/>
      <c r="E53" s="10"/>
      <c r="F53" s="10" t="str">
        <f t="shared" si="4"/>
        <v/>
      </c>
      <c r="G53" s="11" t="str">
        <f t="shared" ref="G53:G95" si="7">IFERROR(F53/E53, "")</f>
        <v/>
      </c>
      <c r="H53" s="12"/>
      <c r="I53" s="12" t="str">
        <f t="shared" si="5"/>
        <v/>
      </c>
      <c r="J53" s="64" t="str">
        <f t="shared" si="6"/>
        <v/>
      </c>
      <c r="K53" s="37"/>
      <c r="L53" s="37"/>
      <c r="M53" s="103"/>
      <c r="N53" s="103"/>
      <c r="O53" s="103"/>
      <c r="P53" s="103"/>
      <c r="Q53" s="103"/>
      <c r="R53" s="103"/>
      <c r="S53" s="103"/>
      <c r="T53" s="103"/>
    </row>
    <row r="54" spans="1:20" ht="15.6">
      <c r="A54" s="26" t="str">
        <v>X140</v>
      </c>
      <c r="B54" s="27" t="str">
        <v>NY</v>
      </c>
      <c r="C54" s="27" t="str">
        <f>Sites[[#This Row],[SOL'#]]</f>
        <v>SOL-10926</v>
      </c>
      <c r="D54" s="9"/>
      <c r="E54" s="14"/>
      <c r="F54" s="14" t="str">
        <f t="shared" si="4"/>
        <v/>
      </c>
      <c r="G54" s="15" t="str">
        <f t="shared" si="7"/>
        <v/>
      </c>
      <c r="H54" s="16"/>
      <c r="I54" s="16" t="str">
        <f t="shared" si="5"/>
        <v/>
      </c>
      <c r="J54" s="15" t="str">
        <f t="shared" si="6"/>
        <v/>
      </c>
      <c r="K54" s="38"/>
      <c r="L54" s="110"/>
      <c r="M54" s="103"/>
      <c r="N54" s="103"/>
      <c r="O54" s="103"/>
      <c r="P54" s="103"/>
      <c r="Q54" s="103"/>
      <c r="R54" s="103"/>
      <c r="S54" s="103"/>
      <c r="T54" s="103"/>
    </row>
    <row r="55" spans="1:20" ht="15.6">
      <c r="A55" s="24" t="str">
        <v>X166</v>
      </c>
      <c r="B55" s="25" t="str">
        <v>NY</v>
      </c>
      <c r="C55" s="25" t="str">
        <f>Sites[[#This Row],[SOL'#]]</f>
        <v>SOL-10427</v>
      </c>
      <c r="D55" s="20"/>
      <c r="E55" s="10"/>
      <c r="F55" s="10" t="str">
        <f t="shared" si="4"/>
        <v/>
      </c>
      <c r="G55" s="11" t="str">
        <f t="shared" si="7"/>
        <v/>
      </c>
      <c r="H55" s="12"/>
      <c r="I55" s="12" t="str">
        <f t="shared" si="5"/>
        <v/>
      </c>
      <c r="J55" s="64" t="str">
        <f t="shared" si="6"/>
        <v/>
      </c>
      <c r="K55" s="37"/>
      <c r="L55" s="37"/>
      <c r="M55" s="103"/>
      <c r="N55" s="103"/>
      <c r="O55" s="103"/>
      <c r="P55" s="103"/>
      <c r="Q55" s="103"/>
      <c r="R55" s="103"/>
      <c r="S55" s="103"/>
      <c r="T55" s="103"/>
    </row>
    <row r="56" spans="1:20" ht="71.25" customHeight="1">
      <c r="A56" s="26" t="str">
        <v>Murphy</v>
      </c>
      <c r="B56" s="27" t="str">
        <v>MN</v>
      </c>
      <c r="C56" s="27" t="str">
        <f>Sites[[#This Row],[SOL'#]]</f>
        <v>SOL-10094</v>
      </c>
      <c r="D56" s="9"/>
      <c r="E56" s="14"/>
      <c r="F56" s="14" t="str">
        <f t="shared" si="4"/>
        <v/>
      </c>
      <c r="G56" s="15" t="str">
        <f t="shared" si="7"/>
        <v/>
      </c>
      <c r="H56" s="16"/>
      <c r="I56" s="16" t="str">
        <f t="shared" si="5"/>
        <v/>
      </c>
      <c r="J56" s="15" t="str">
        <f t="shared" si="6"/>
        <v/>
      </c>
      <c r="K56" s="50"/>
      <c r="L56" s="121"/>
      <c r="M56" s="102"/>
      <c r="N56" s="103"/>
      <c r="O56" s="103"/>
      <c r="P56" s="103"/>
      <c r="Q56" s="103"/>
      <c r="R56" s="103"/>
      <c r="S56" s="103"/>
      <c r="T56" s="103"/>
    </row>
    <row r="57" spans="1:20" ht="57" customHeight="1">
      <c r="A57" s="24" t="str">
        <v>Terning</v>
      </c>
      <c r="B57" s="25" t="str">
        <v>MN</v>
      </c>
      <c r="C57" s="25" t="str">
        <f>Sites[[#This Row],[SOL'#]]</f>
        <v>SOL-10093</v>
      </c>
      <c r="D57" s="20"/>
      <c r="E57" s="10"/>
      <c r="F57" s="10" t="str">
        <f t="shared" si="4"/>
        <v/>
      </c>
      <c r="G57" s="11" t="str">
        <f t="shared" si="7"/>
        <v/>
      </c>
      <c r="H57" s="12"/>
      <c r="I57" s="12" t="str">
        <f t="shared" si="5"/>
        <v/>
      </c>
      <c r="J57" s="64" t="str">
        <f t="shared" si="6"/>
        <v/>
      </c>
      <c r="K57" s="37"/>
      <c r="L57" s="109"/>
      <c r="M57" s="103"/>
      <c r="N57" s="103"/>
      <c r="O57" s="103"/>
      <c r="P57" s="103"/>
      <c r="Q57" s="103"/>
      <c r="R57" s="103"/>
      <c r="S57" s="103"/>
      <c r="T57" s="103"/>
    </row>
    <row r="58" spans="1:20" ht="15.6">
      <c r="A58" s="26" t="str">
        <v>Boas Road 04</v>
      </c>
      <c r="B58" s="27" t="str">
        <v>NY</v>
      </c>
      <c r="C58" s="27" t="str">
        <f>Sites[[#This Row],[SOL'#]]</f>
        <v>SOL-10908</v>
      </c>
      <c r="D58" s="9"/>
      <c r="E58" s="14"/>
      <c r="F58" s="14" t="str">
        <f t="shared" si="4"/>
        <v/>
      </c>
      <c r="G58" s="15" t="str">
        <f t="shared" si="7"/>
        <v/>
      </c>
      <c r="H58" s="16"/>
      <c r="I58" s="16" t="str">
        <f t="shared" si="5"/>
        <v/>
      </c>
      <c r="J58" s="15" t="str">
        <f t="shared" si="6"/>
        <v/>
      </c>
      <c r="K58" s="38"/>
      <c r="L58" s="127"/>
      <c r="M58" s="103"/>
      <c r="N58" s="103"/>
      <c r="O58" s="103"/>
      <c r="P58" s="103"/>
      <c r="Q58" s="103"/>
      <c r="R58" s="103"/>
      <c r="S58" s="103"/>
      <c r="T58" s="103"/>
    </row>
    <row r="59" spans="1:20" ht="202.5" customHeight="1">
      <c r="A59" s="24" t="str">
        <v>Kelly Bridge Farm</v>
      </c>
      <c r="B59" s="25" t="str">
        <v>NY</v>
      </c>
      <c r="C59" s="25" t="str">
        <f>Sites[[#This Row],[SOL'#]]</f>
        <v>SOL-10911</v>
      </c>
      <c r="D59" s="20"/>
      <c r="E59" s="10"/>
      <c r="F59" s="10" t="str">
        <f t="shared" si="4"/>
        <v/>
      </c>
      <c r="G59" s="11" t="str">
        <f t="shared" si="7"/>
        <v/>
      </c>
      <c r="H59" s="12"/>
      <c r="I59" s="12" t="str">
        <f t="shared" si="5"/>
        <v/>
      </c>
      <c r="J59" s="64" t="str">
        <f t="shared" si="6"/>
        <v/>
      </c>
      <c r="K59" s="37"/>
      <c r="L59" s="109"/>
      <c r="M59" s="102"/>
      <c r="N59" s="102"/>
      <c r="O59" s="102"/>
      <c r="P59" s="103"/>
      <c r="Q59" s="103"/>
      <c r="R59" s="103"/>
      <c r="S59" s="103"/>
      <c r="T59" s="103"/>
    </row>
    <row r="60" spans="1:20" ht="15.6">
      <c r="A60" s="26" t="str">
        <v>Pool Brook Road</v>
      </c>
      <c r="B60" s="27" t="str">
        <v>NY</v>
      </c>
      <c r="C60" s="27" t="str">
        <f>Sites[[#This Row],[SOL'#]]</f>
        <v>SOL-10909</v>
      </c>
      <c r="D60" s="9"/>
      <c r="E60" s="14"/>
      <c r="F60" s="14" t="str">
        <f t="shared" si="4"/>
        <v/>
      </c>
      <c r="G60" s="15" t="str">
        <f t="shared" si="7"/>
        <v/>
      </c>
      <c r="H60" s="16"/>
      <c r="I60" s="16" t="str">
        <f t="shared" si="5"/>
        <v/>
      </c>
      <c r="J60" s="15" t="str">
        <f t="shared" si="6"/>
        <v/>
      </c>
      <c r="K60" s="38"/>
      <c r="L60" s="38"/>
      <c r="M60" s="103"/>
      <c r="N60" s="103"/>
      <c r="O60" s="103"/>
      <c r="P60" s="103"/>
      <c r="Q60" s="103"/>
      <c r="R60" s="103"/>
      <c r="S60" s="103"/>
      <c r="T60" s="103"/>
    </row>
    <row r="61" spans="1:20" ht="249" customHeight="1">
      <c r="A61" s="24" t="str">
        <v>Sackett Lake</v>
      </c>
      <c r="B61" s="25" t="str">
        <v>NY</v>
      </c>
      <c r="C61" s="25" t="str">
        <f>Sites[[#This Row],[SOL'#]]</f>
        <v>SOL-10910</v>
      </c>
      <c r="D61" s="20"/>
      <c r="E61" s="10"/>
      <c r="F61" s="10" t="str">
        <f t="shared" si="4"/>
        <v/>
      </c>
      <c r="G61" s="11" t="str">
        <f t="shared" si="7"/>
        <v/>
      </c>
      <c r="H61" s="12"/>
      <c r="I61" s="12" t="str">
        <f t="shared" si="5"/>
        <v/>
      </c>
      <c r="J61" s="64" t="str">
        <f t="shared" si="6"/>
        <v/>
      </c>
      <c r="K61" s="37"/>
      <c r="L61" s="109"/>
      <c r="M61" s="102"/>
      <c r="N61" s="102"/>
      <c r="O61" s="102"/>
      <c r="P61" s="103"/>
      <c r="Q61" s="103"/>
      <c r="R61" s="103"/>
      <c r="S61" s="103"/>
      <c r="T61" s="103"/>
    </row>
    <row r="62" spans="1:20" ht="132" customHeight="1">
      <c r="A62" s="26" t="str">
        <v>Burritt Road</v>
      </c>
      <c r="B62" s="27" t="str">
        <v>NY</v>
      </c>
      <c r="C62" s="27" t="str">
        <f>Sites[[#This Row],[SOL'#]]</f>
        <v>SOL-10913</v>
      </c>
      <c r="D62" s="9"/>
      <c r="E62" s="14"/>
      <c r="F62" s="14" t="str">
        <f t="shared" si="4"/>
        <v/>
      </c>
      <c r="G62" s="15" t="str">
        <f t="shared" si="7"/>
        <v/>
      </c>
      <c r="H62" s="16"/>
      <c r="I62" s="16" t="str">
        <f t="shared" si="5"/>
        <v/>
      </c>
      <c r="J62" s="15" t="str">
        <f t="shared" si="6"/>
        <v/>
      </c>
      <c r="K62" s="50"/>
      <c r="L62" s="99"/>
      <c r="M62" s="102"/>
      <c r="N62" s="102"/>
      <c r="O62" s="103"/>
      <c r="P62" s="103"/>
      <c r="Q62" s="103"/>
      <c r="R62" s="103"/>
      <c r="S62" s="103"/>
      <c r="T62" s="103"/>
    </row>
    <row r="63" spans="1:20" ht="15.6">
      <c r="A63" s="24" t="str">
        <v>Villa Roma 1</v>
      </c>
      <c r="B63" s="25" t="str">
        <v>NY</v>
      </c>
      <c r="C63" s="25" t="str">
        <f>Sites[[#This Row],[SOL'#]]</f>
        <v>SOL-10914</v>
      </c>
      <c r="D63" s="20"/>
      <c r="E63" s="10"/>
      <c r="F63" s="10" t="str">
        <f t="shared" si="4"/>
        <v/>
      </c>
      <c r="G63" s="11" t="str">
        <f t="shared" si="7"/>
        <v/>
      </c>
      <c r="H63" s="12"/>
      <c r="I63" s="12" t="str">
        <f t="shared" si="5"/>
        <v/>
      </c>
      <c r="J63" s="64" t="str">
        <f t="shared" si="6"/>
        <v/>
      </c>
      <c r="K63" s="37"/>
      <c r="L63" s="109"/>
      <c r="M63" s="103"/>
      <c r="N63" s="103"/>
      <c r="O63" s="103"/>
      <c r="P63" s="103"/>
      <c r="Q63" s="103"/>
      <c r="R63" s="103"/>
      <c r="S63" s="103"/>
      <c r="T63" s="103"/>
    </row>
    <row r="64" spans="1:20" ht="15.6">
      <c r="A64" s="26" t="str">
        <v>Villa Roma 2</v>
      </c>
      <c r="B64" s="27" t="str">
        <v>NY</v>
      </c>
      <c r="C64" s="27" t="str">
        <f>Sites[[#This Row],[SOL'#]]</f>
        <v>SOL-10915</v>
      </c>
      <c r="D64" s="9"/>
      <c r="E64" s="14"/>
      <c r="F64" s="14" t="str">
        <f t="shared" si="4"/>
        <v/>
      </c>
      <c r="G64" s="15" t="str">
        <f t="shared" si="7"/>
        <v/>
      </c>
      <c r="H64" s="16"/>
      <c r="I64" s="16" t="str">
        <f t="shared" si="5"/>
        <v/>
      </c>
      <c r="J64" s="15" t="str">
        <f t="shared" si="6"/>
        <v/>
      </c>
      <c r="K64" s="63"/>
      <c r="L64" s="39"/>
      <c r="M64" s="103"/>
      <c r="N64" s="103"/>
      <c r="O64" s="103"/>
      <c r="P64" s="103"/>
      <c r="Q64" s="103"/>
      <c r="R64" s="103"/>
      <c r="S64" s="103"/>
      <c r="T64" s="103"/>
    </row>
    <row r="65" spans="1:20" ht="15.6">
      <c r="A65" s="24" t="str">
        <v>Washington 1</v>
      </c>
      <c r="B65" s="25" t="str">
        <v>NY</v>
      </c>
      <c r="C65" s="25" t="str">
        <f>Sites[[#This Row],[SOL'#]]</f>
        <v>SOL-10912</v>
      </c>
      <c r="D65" s="20"/>
      <c r="E65" s="10"/>
      <c r="F65" s="10" t="str">
        <f t="shared" si="4"/>
        <v/>
      </c>
      <c r="G65" s="11" t="str">
        <f t="shared" si="7"/>
        <v/>
      </c>
      <c r="H65" s="12"/>
      <c r="I65" s="12" t="str">
        <f t="shared" si="5"/>
        <v/>
      </c>
      <c r="J65" s="64" t="str">
        <f t="shared" si="6"/>
        <v/>
      </c>
      <c r="K65" s="37"/>
      <c r="L65" s="37"/>
      <c r="M65" s="103"/>
      <c r="N65" s="103"/>
      <c r="O65" s="103"/>
      <c r="P65" s="103"/>
      <c r="Q65" s="103"/>
      <c r="R65" s="103"/>
      <c r="S65" s="103"/>
      <c r="T65" s="103"/>
    </row>
    <row r="66" spans="1:20" ht="137.25" customHeight="1">
      <c r="A66" s="26" t="str">
        <v>Washington 3</v>
      </c>
      <c r="B66" s="27" t="str">
        <v>NY</v>
      </c>
      <c r="C66" s="27" t="str">
        <f>Sites[[#This Row],[SOL'#]]</f>
        <v>SOL-10828</v>
      </c>
      <c r="D66" s="9"/>
      <c r="E66" s="14"/>
      <c r="F66" s="14" t="str">
        <f t="shared" si="4"/>
        <v/>
      </c>
      <c r="G66" s="15" t="str">
        <f t="shared" si="7"/>
        <v/>
      </c>
      <c r="H66" s="16"/>
      <c r="I66" s="16" t="str">
        <f t="shared" si="5"/>
        <v/>
      </c>
      <c r="J66" s="15" t="str">
        <f t="shared" si="6"/>
        <v/>
      </c>
      <c r="K66" s="50"/>
      <c r="L66" s="99"/>
      <c r="M66" s="102"/>
      <c r="N66" s="103"/>
      <c r="O66" s="103"/>
      <c r="P66" s="103"/>
      <c r="Q66" s="103"/>
      <c r="R66" s="103"/>
      <c r="S66" s="103"/>
      <c r="T66" s="103"/>
    </row>
    <row r="67" spans="1:20" ht="15.6">
      <c r="A67" s="24" t="str">
        <v>Washington 4</v>
      </c>
      <c r="B67" s="25" t="str">
        <v>NY</v>
      </c>
      <c r="C67" s="25" t="str">
        <f>Sites[[#This Row],[SOL'#]]</f>
        <v>SOL-10829</v>
      </c>
      <c r="D67" s="20"/>
      <c r="E67" s="10"/>
      <c r="F67" s="10" t="str">
        <f t="shared" si="4"/>
        <v/>
      </c>
      <c r="G67" s="11" t="str">
        <f t="shared" si="7"/>
        <v/>
      </c>
      <c r="H67" s="12"/>
      <c r="I67" s="12" t="str">
        <f t="shared" si="5"/>
        <v/>
      </c>
      <c r="J67" s="64" t="str">
        <f t="shared" si="6"/>
        <v/>
      </c>
      <c r="K67" s="37"/>
      <c r="L67" s="37"/>
      <c r="M67" s="103"/>
      <c r="N67" s="103"/>
      <c r="O67" s="103"/>
      <c r="P67" s="103"/>
      <c r="Q67" s="103"/>
      <c r="R67" s="103"/>
      <c r="S67" s="103"/>
      <c r="T67" s="103"/>
    </row>
    <row r="68" spans="1:20" ht="15.6">
      <c r="A68" s="26" t="str">
        <v>Big Tree</v>
      </c>
      <c r="B68" s="27" t="str">
        <v>NY</v>
      </c>
      <c r="C68" s="27" t="str">
        <f>Sites[[#This Row],[SOL'#]]</f>
        <v>SOL-10966</v>
      </c>
      <c r="D68" s="9"/>
      <c r="E68" s="14"/>
      <c r="F68" s="14" t="str">
        <f t="shared" si="4"/>
        <v/>
      </c>
      <c r="G68" s="15" t="str">
        <f t="shared" si="7"/>
        <v/>
      </c>
      <c r="H68" s="16"/>
      <c r="I68" s="16" t="str">
        <f t="shared" si="5"/>
        <v/>
      </c>
      <c r="J68" s="15" t="str">
        <f t="shared" si="6"/>
        <v/>
      </c>
      <c r="K68" s="70"/>
      <c r="L68" s="121"/>
      <c r="M68" s="103"/>
      <c r="N68" s="103"/>
      <c r="O68" s="103"/>
      <c r="P68" s="103"/>
      <c r="Q68" s="103"/>
      <c r="R68" s="103"/>
      <c r="S68" s="103"/>
      <c r="T68" s="103"/>
    </row>
    <row r="69" spans="1:20" ht="40.5" customHeight="1">
      <c r="A69" s="24" t="str">
        <v>Canoga</v>
      </c>
      <c r="B69" s="25" t="str">
        <v>NY</v>
      </c>
      <c r="C69" s="25" t="str">
        <f>Sites[[#This Row],[SOL'#]]</f>
        <v>SOL-10965</v>
      </c>
      <c r="D69" s="20"/>
      <c r="E69" s="10"/>
      <c r="F69" s="10" t="str">
        <f t="shared" si="4"/>
        <v/>
      </c>
      <c r="G69" s="11" t="str">
        <f t="shared" si="7"/>
        <v/>
      </c>
      <c r="H69" s="12"/>
      <c r="I69" s="12" t="str">
        <f t="shared" si="5"/>
        <v/>
      </c>
      <c r="J69" s="64" t="str">
        <f t="shared" si="6"/>
        <v/>
      </c>
      <c r="K69" s="37"/>
      <c r="L69" s="109"/>
      <c r="M69" s="103"/>
      <c r="N69" s="103"/>
      <c r="O69" s="103"/>
      <c r="P69" s="103"/>
      <c r="Q69" s="103"/>
      <c r="R69" s="103"/>
      <c r="S69" s="103"/>
      <c r="T69" s="103"/>
    </row>
    <row r="70" spans="1:20" ht="15.6">
      <c r="A70" s="26" t="str">
        <v>County Route 84</v>
      </c>
      <c r="B70" s="27" t="str">
        <v>NY</v>
      </c>
      <c r="C70" s="27" t="str">
        <f>Sites[[#This Row],[SOL'#]]</f>
        <v>SOL-10967</v>
      </c>
      <c r="D70" s="9"/>
      <c r="E70" s="14"/>
      <c r="F70" s="14" t="str">
        <f t="shared" si="4"/>
        <v/>
      </c>
      <c r="G70" s="15" t="str">
        <f t="shared" si="7"/>
        <v/>
      </c>
      <c r="H70" s="16"/>
      <c r="I70" s="16" t="str">
        <f t="shared" si="5"/>
        <v/>
      </c>
      <c r="J70" s="15" t="str">
        <f t="shared" si="6"/>
        <v/>
      </c>
      <c r="K70" s="59"/>
      <c r="L70" s="127"/>
      <c r="M70" s="103"/>
      <c r="N70" s="103"/>
      <c r="O70" s="103"/>
      <c r="P70" s="103"/>
      <c r="Q70" s="103"/>
      <c r="R70" s="103"/>
      <c r="S70" s="103"/>
      <c r="T70" s="103"/>
    </row>
    <row r="71" spans="1:20" ht="106.5" customHeight="1">
      <c r="A71" s="24" t="str">
        <v>Donati</v>
      </c>
      <c r="B71" s="25" t="str">
        <v>NY</v>
      </c>
      <c r="C71" s="25" t="str">
        <f>Sites[[#This Row],[SOL'#]]</f>
        <v>SOL-10968</v>
      </c>
      <c r="D71" s="20"/>
      <c r="E71" s="10"/>
      <c r="F71" s="10" t="str">
        <f t="shared" si="4"/>
        <v/>
      </c>
      <c r="G71" s="11" t="str">
        <f t="shared" si="7"/>
        <v/>
      </c>
      <c r="H71" s="12"/>
      <c r="I71" s="12" t="str">
        <f t="shared" si="5"/>
        <v/>
      </c>
      <c r="J71" s="64" t="str">
        <f t="shared" si="6"/>
        <v/>
      </c>
      <c r="K71" s="58"/>
      <c r="L71" s="128"/>
      <c r="M71" s="102"/>
      <c r="N71" s="102"/>
      <c r="O71" s="102"/>
      <c r="P71" s="103"/>
      <c r="Q71" s="103"/>
      <c r="R71" s="103"/>
      <c r="S71" s="103"/>
      <c r="T71" s="103"/>
    </row>
    <row r="72" spans="1:20" ht="211.5" customHeight="1">
      <c r="A72" s="26" t="str">
        <v>Henrietta</v>
      </c>
      <c r="B72" s="27" t="str">
        <v>NY</v>
      </c>
      <c r="C72" s="27" t="str">
        <f>Sites[[#This Row],[SOL'#]]</f>
        <v>SOL-10972</v>
      </c>
      <c r="D72" s="9"/>
      <c r="E72" s="14"/>
      <c r="F72" s="14" t="str">
        <f t="shared" si="4"/>
        <v/>
      </c>
      <c r="G72" s="15" t="str">
        <f t="shared" si="7"/>
        <v/>
      </c>
      <c r="H72" s="16"/>
      <c r="I72" s="16" t="str">
        <f t="shared" si="5"/>
        <v/>
      </c>
      <c r="J72" s="15" t="str">
        <f t="shared" si="6"/>
        <v/>
      </c>
      <c r="K72" s="130"/>
      <c r="L72" s="110"/>
      <c r="M72" s="102"/>
      <c r="N72" s="102"/>
      <c r="O72" s="102"/>
      <c r="P72" s="102"/>
      <c r="Q72" s="103"/>
      <c r="R72" s="103"/>
      <c r="S72" s="103"/>
      <c r="T72" s="103"/>
    </row>
    <row r="73" spans="1:20" ht="116.25" customHeight="1">
      <c r="A73" s="24" t="str">
        <v>NY 70</v>
      </c>
      <c r="B73" s="25" t="str">
        <v>NY</v>
      </c>
      <c r="C73" s="25" t="str">
        <f>Sites[[#This Row],[SOL'#]]</f>
        <v>SOL-10970</v>
      </c>
      <c r="D73" s="20"/>
      <c r="E73" s="10"/>
      <c r="F73" s="10" t="str">
        <f t="shared" si="4"/>
        <v/>
      </c>
      <c r="G73" s="11" t="str">
        <f t="shared" si="7"/>
        <v/>
      </c>
      <c r="H73" s="12"/>
      <c r="I73" s="12" t="str">
        <f t="shared" si="5"/>
        <v/>
      </c>
      <c r="J73" s="64" t="str">
        <f t="shared" si="6"/>
        <v/>
      </c>
      <c r="K73" s="58"/>
      <c r="L73" s="128"/>
      <c r="M73" s="102"/>
      <c r="N73" s="102"/>
      <c r="O73" s="103"/>
      <c r="P73" s="103"/>
      <c r="Q73" s="103"/>
      <c r="R73" s="103"/>
      <c r="S73" s="103"/>
      <c r="T73" s="103"/>
    </row>
    <row r="74" spans="1:20" ht="15.6">
      <c r="A74" s="26" t="str">
        <v>Reid</v>
      </c>
      <c r="B74" s="27" t="str">
        <v>NY</v>
      </c>
      <c r="C74" s="27" t="str">
        <f>Sites[[#This Row],[SOL'#]]</f>
        <v>SOL-10991</v>
      </c>
      <c r="D74" s="9"/>
      <c r="E74" s="14"/>
      <c r="F74" s="14" t="str">
        <f t="shared" si="4"/>
        <v/>
      </c>
      <c r="G74" s="15" t="str">
        <f t="shared" si="7"/>
        <v/>
      </c>
      <c r="H74" s="16"/>
      <c r="I74" s="16" t="str">
        <f t="shared" si="5"/>
        <v/>
      </c>
      <c r="J74" s="15" t="str">
        <f t="shared" si="6"/>
        <v/>
      </c>
      <c r="K74" s="50"/>
      <c r="L74" s="110"/>
      <c r="M74" s="102"/>
      <c r="N74" s="102"/>
      <c r="O74" s="102"/>
      <c r="P74" s="102"/>
      <c r="Q74" s="102"/>
      <c r="R74" s="102"/>
      <c r="S74" s="102"/>
      <c r="T74" s="102"/>
    </row>
    <row r="75" spans="1:20" ht="125.25" customHeight="1">
      <c r="A75" s="24" t="str">
        <v>Sangolqui</v>
      </c>
      <c r="B75" s="25" t="str">
        <v>NY</v>
      </c>
      <c r="C75" s="25" t="str">
        <f>Sites[[#This Row],[SOL'#]]</f>
        <v>SOL-10975</v>
      </c>
      <c r="D75" s="20"/>
      <c r="E75" s="10"/>
      <c r="F75" s="10" t="str">
        <f t="shared" si="4"/>
        <v/>
      </c>
      <c r="G75" s="11" t="str">
        <f t="shared" si="7"/>
        <v/>
      </c>
      <c r="H75" s="12"/>
      <c r="I75" s="12" t="str">
        <f t="shared" si="5"/>
        <v/>
      </c>
      <c r="J75" s="64" t="str">
        <f t="shared" si="6"/>
        <v/>
      </c>
      <c r="K75" s="37"/>
      <c r="L75" s="109"/>
      <c r="M75" s="102"/>
      <c r="N75" s="102"/>
      <c r="O75" s="103"/>
      <c r="P75" s="103"/>
      <c r="Q75" s="103"/>
      <c r="R75" s="103"/>
      <c r="S75" s="103"/>
      <c r="T75" s="103"/>
    </row>
    <row r="76" spans="1:20" ht="15.6">
      <c r="A76" s="26" t="str">
        <v>State Highway 17B</v>
      </c>
      <c r="B76" s="27" t="str">
        <v>NY</v>
      </c>
      <c r="C76" s="27" t="str">
        <f>Sites[[#This Row],[SOL'#]]</f>
        <v>SOL-10988</v>
      </c>
      <c r="D76" s="9"/>
      <c r="E76" s="14"/>
      <c r="F76" s="14" t="str">
        <f t="shared" si="4"/>
        <v/>
      </c>
      <c r="G76" s="15" t="str">
        <f t="shared" si="7"/>
        <v/>
      </c>
      <c r="H76" s="16"/>
      <c r="I76" s="16" t="str">
        <f t="shared" si="5"/>
        <v/>
      </c>
      <c r="J76" s="15" t="str">
        <f t="shared" si="6"/>
        <v/>
      </c>
      <c r="K76" s="38"/>
      <c r="L76" s="39"/>
      <c r="M76" s="103"/>
      <c r="N76" s="103"/>
      <c r="O76" s="103"/>
      <c r="P76" s="103"/>
      <c r="Q76" s="103"/>
      <c r="R76" s="103"/>
      <c r="S76" s="103"/>
      <c r="T76" s="103"/>
    </row>
    <row r="77" spans="1:20" ht="49.5" customHeight="1">
      <c r="A77" s="24" t="str">
        <v>State Route 14A</v>
      </c>
      <c r="B77" s="25" t="str">
        <v>NY</v>
      </c>
      <c r="C77" s="25" t="str">
        <f>Sites[[#This Row],[SOL'#]]</f>
        <v>SOL-10997</v>
      </c>
      <c r="D77" s="20"/>
      <c r="E77" s="10"/>
      <c r="F77" s="10" t="str">
        <f t="shared" si="4"/>
        <v/>
      </c>
      <c r="G77" s="11" t="str">
        <f t="shared" si="7"/>
        <v/>
      </c>
      <c r="H77" s="12"/>
      <c r="I77" s="12" t="str">
        <f t="shared" si="5"/>
        <v/>
      </c>
      <c r="J77" s="64" t="str">
        <f t="shared" si="6"/>
        <v/>
      </c>
      <c r="K77" s="58"/>
      <c r="L77" s="128"/>
      <c r="M77" s="103"/>
      <c r="N77" s="103"/>
      <c r="O77" s="103"/>
      <c r="P77" s="103"/>
      <c r="Q77" s="103"/>
      <c r="R77" s="103"/>
      <c r="S77" s="103"/>
      <c r="T77" s="103"/>
    </row>
    <row r="78" spans="1:20" ht="15.6">
      <c r="A78" s="26" t="str">
        <v>West Creek</v>
      </c>
      <c r="B78" s="27" t="str">
        <v>NY</v>
      </c>
      <c r="C78" s="27" t="str">
        <f>Sites[[#This Row],[SOL'#]]</f>
        <v>SOL-10995</v>
      </c>
      <c r="D78" s="9"/>
      <c r="E78" s="14"/>
      <c r="F78" s="14" t="str">
        <f t="shared" si="4"/>
        <v/>
      </c>
      <c r="G78" s="15" t="str">
        <f t="shared" si="7"/>
        <v/>
      </c>
      <c r="H78" s="16"/>
      <c r="I78" s="16" t="str">
        <f t="shared" si="5"/>
        <v/>
      </c>
      <c r="J78" s="15" t="str">
        <f t="shared" si="6"/>
        <v/>
      </c>
      <c r="K78" s="61"/>
      <c r="L78" s="101"/>
      <c r="M78" s="103"/>
      <c r="N78" s="103"/>
      <c r="O78" s="103"/>
      <c r="P78" s="103"/>
      <c r="Q78" s="103"/>
      <c r="R78" s="103"/>
      <c r="S78" s="103"/>
      <c r="T78" s="103"/>
    </row>
    <row r="79" spans="1:20" ht="15.6">
      <c r="A79" s="24" t="str">
        <v>Wildflower</v>
      </c>
      <c r="B79" s="25" t="str">
        <v>NY</v>
      </c>
      <c r="C79" s="25" t="str">
        <f>Sites[[#This Row],[SOL'#]]</f>
        <v>SOL-10982</v>
      </c>
      <c r="D79" s="20"/>
      <c r="E79" s="10"/>
      <c r="F79" s="10" t="str">
        <f t="shared" si="4"/>
        <v/>
      </c>
      <c r="G79" s="11" t="str">
        <f t="shared" si="7"/>
        <v/>
      </c>
      <c r="H79" s="12"/>
      <c r="I79" s="12" t="str">
        <f t="shared" si="5"/>
        <v/>
      </c>
      <c r="J79" s="64" t="str">
        <f t="shared" si="6"/>
        <v/>
      </c>
      <c r="K79" s="37"/>
      <c r="L79" s="37"/>
      <c r="M79" s="103"/>
      <c r="N79" s="103"/>
      <c r="O79" s="103"/>
      <c r="P79" s="103"/>
      <c r="Q79" s="103"/>
      <c r="R79" s="103"/>
      <c r="S79" s="103"/>
      <c r="T79" s="103"/>
    </row>
    <row r="80" spans="1:20" ht="15.6">
      <c r="A80" s="26" t="str">
        <v>Glen Mary 1</v>
      </c>
      <c r="B80" s="27" t="str">
        <v>NY</v>
      </c>
      <c r="C80" s="27" t="str">
        <f>Sites[[#This Row],[SOL'#]]</f>
        <v>SOL-10993</v>
      </c>
      <c r="D80" s="9"/>
      <c r="E80" s="14"/>
      <c r="F80" s="14" t="str">
        <f t="shared" si="4"/>
        <v/>
      </c>
      <c r="G80" s="15" t="str">
        <f t="shared" si="7"/>
        <v/>
      </c>
      <c r="H80" s="16"/>
      <c r="I80" s="16" t="str">
        <f t="shared" si="5"/>
        <v/>
      </c>
      <c r="J80" s="15" t="str">
        <f t="shared" si="6"/>
        <v/>
      </c>
      <c r="K80" s="38"/>
      <c r="L80" s="39"/>
      <c r="M80" s="103"/>
      <c r="N80" s="103"/>
      <c r="O80" s="103"/>
      <c r="P80" s="103"/>
      <c r="Q80" s="103"/>
      <c r="R80" s="103"/>
      <c r="S80" s="103"/>
      <c r="T80" s="103"/>
    </row>
    <row r="81" spans="1:20" ht="15.6">
      <c r="A81" s="24" t="str">
        <v>Glen Mary 2</v>
      </c>
      <c r="B81" s="25" t="str">
        <v>NY</v>
      </c>
      <c r="C81" s="25" t="str">
        <f>Sites[[#This Row],[SOL'#]]</f>
        <v>SOL-10994</v>
      </c>
      <c r="D81" s="20"/>
      <c r="E81" s="10"/>
      <c r="F81" s="10" t="str">
        <f t="shared" si="4"/>
        <v/>
      </c>
      <c r="G81" s="11" t="str">
        <f t="shared" si="7"/>
        <v/>
      </c>
      <c r="H81" s="12"/>
      <c r="I81" s="12" t="str">
        <f t="shared" si="5"/>
        <v/>
      </c>
      <c r="J81" s="64" t="str">
        <f t="shared" si="6"/>
        <v/>
      </c>
      <c r="K81" s="37"/>
      <c r="L81" s="37"/>
      <c r="M81" s="103"/>
      <c r="N81" s="103"/>
      <c r="O81" s="103"/>
      <c r="P81" s="103"/>
      <c r="Q81" s="103"/>
      <c r="R81" s="103"/>
      <c r="S81" s="103"/>
      <c r="T81" s="103"/>
    </row>
    <row r="82" spans="1:20" ht="15.6">
      <c r="A82" s="26" t="str">
        <v>Telegraph 1</v>
      </c>
      <c r="B82" s="27" t="str">
        <v>NY</v>
      </c>
      <c r="C82" s="27" t="str">
        <f>Sites[[#This Row],[SOL'#]]</f>
        <v>SOL-11003</v>
      </c>
      <c r="D82" s="9"/>
      <c r="E82" s="14"/>
      <c r="F82" s="14" t="str">
        <f t="shared" si="4"/>
        <v/>
      </c>
      <c r="G82" s="15" t="str">
        <f t="shared" si="7"/>
        <v/>
      </c>
      <c r="H82" s="16"/>
      <c r="I82" s="16" t="str">
        <f t="shared" si="5"/>
        <v/>
      </c>
      <c r="J82" s="15" t="str">
        <f t="shared" si="6"/>
        <v/>
      </c>
      <c r="K82" s="38"/>
      <c r="L82" s="110"/>
      <c r="M82" s="103"/>
      <c r="N82" s="103"/>
      <c r="O82" s="103"/>
      <c r="P82" s="103"/>
      <c r="Q82" s="103"/>
      <c r="R82" s="103"/>
      <c r="S82" s="103"/>
      <c r="T82" s="103"/>
    </row>
    <row r="83" spans="1:20" ht="15.6">
      <c r="A83" s="24" t="str">
        <v>Telegraph 2</v>
      </c>
      <c r="B83" s="25" t="str">
        <v>NY</v>
      </c>
      <c r="C83" s="25" t="str">
        <f>Sites[[#This Row],[SOL'#]]</f>
        <v>SOL-11004</v>
      </c>
      <c r="D83" s="20"/>
      <c r="E83" s="10"/>
      <c r="F83" s="10" t="str">
        <f t="shared" si="4"/>
        <v/>
      </c>
      <c r="G83" s="11" t="str">
        <f t="shared" si="7"/>
        <v/>
      </c>
      <c r="H83" s="12"/>
      <c r="I83" s="12" t="str">
        <f t="shared" si="5"/>
        <v/>
      </c>
      <c r="J83" s="64" t="str">
        <f t="shared" si="6"/>
        <v/>
      </c>
      <c r="K83" s="37"/>
      <c r="L83" s="109"/>
      <c r="M83" s="102"/>
      <c r="N83" s="103"/>
      <c r="O83" s="103"/>
      <c r="P83" s="103"/>
      <c r="Q83" s="103"/>
      <c r="R83" s="103"/>
      <c r="S83" s="103"/>
      <c r="T83" s="103"/>
    </row>
    <row r="84" spans="1:20" ht="15.6">
      <c r="A84" s="26" t="str">
        <v>Cafferty Hill</v>
      </c>
      <c r="B84" s="27" t="str">
        <v>NY</v>
      </c>
      <c r="C84" s="27" t="str">
        <f>Sites[[#This Row],[SOL'#]]</f>
        <v>SOL-10996</v>
      </c>
      <c r="D84" s="9"/>
      <c r="E84" s="14"/>
      <c r="F84" s="14" t="str">
        <f t="shared" si="4"/>
        <v/>
      </c>
      <c r="G84" s="15" t="str">
        <f t="shared" si="7"/>
        <v/>
      </c>
      <c r="H84" s="16"/>
      <c r="I84" s="16" t="str">
        <f t="shared" si="5"/>
        <v/>
      </c>
      <c r="J84" s="15" t="str">
        <f t="shared" si="6"/>
        <v/>
      </c>
      <c r="K84" s="38"/>
      <c r="L84" s="38"/>
      <c r="M84" s="103"/>
      <c r="N84" s="103"/>
      <c r="O84" s="103"/>
      <c r="P84" s="103"/>
      <c r="Q84" s="103"/>
      <c r="R84" s="103"/>
      <c r="S84" s="103"/>
      <c r="T84" s="103"/>
    </row>
    <row r="85" spans="1:20" ht="138.75" customHeight="1">
      <c r="A85" s="24" t="str">
        <v>Dunkleman</v>
      </c>
      <c r="B85" s="25" t="str">
        <v>NY</v>
      </c>
      <c r="C85" s="25" t="str">
        <f>Sites[[#This Row],[SOL'#]]</f>
        <v>SOL-11008</v>
      </c>
      <c r="D85" s="20"/>
      <c r="E85" s="10"/>
      <c r="F85" s="10" t="str">
        <f t="shared" si="4"/>
        <v/>
      </c>
      <c r="G85" s="11" t="str">
        <f t="shared" si="7"/>
        <v/>
      </c>
      <c r="H85" s="12"/>
      <c r="I85" s="12" t="str">
        <f t="shared" si="5"/>
        <v/>
      </c>
      <c r="J85" s="64" t="str">
        <f t="shared" si="6"/>
        <v/>
      </c>
      <c r="K85" s="37"/>
      <c r="L85" s="128"/>
      <c r="M85" s="102"/>
      <c r="N85" s="103"/>
      <c r="O85" s="103"/>
      <c r="P85" s="103"/>
      <c r="Q85" s="103"/>
      <c r="R85" s="103"/>
      <c r="S85" s="103"/>
      <c r="T85" s="103"/>
    </row>
    <row r="86" spans="1:20" ht="15.6">
      <c r="A86" s="26" t="str">
        <v>Route 19 1</v>
      </c>
      <c r="B86" s="27" t="str">
        <v>NY</v>
      </c>
      <c r="C86" s="27" t="str">
        <f>Sites[[#This Row],[SOL'#]]</f>
        <v>SOL-11001</v>
      </c>
      <c r="D86" s="9"/>
      <c r="E86" s="14"/>
      <c r="F86" s="14" t="str">
        <f t="shared" si="4"/>
        <v/>
      </c>
      <c r="G86" s="15" t="str">
        <f t="shared" si="7"/>
        <v/>
      </c>
      <c r="H86" s="16"/>
      <c r="I86" s="16" t="str">
        <f t="shared" si="5"/>
        <v/>
      </c>
      <c r="J86" s="15" t="str">
        <f t="shared" si="6"/>
        <v/>
      </c>
      <c r="K86" s="38"/>
      <c r="L86" s="101"/>
      <c r="M86" s="103"/>
      <c r="N86" s="103"/>
      <c r="O86" s="103"/>
      <c r="P86" s="103"/>
      <c r="Q86" s="103"/>
      <c r="R86" s="103"/>
      <c r="S86" s="103"/>
      <c r="T86" s="103"/>
    </row>
    <row r="87" spans="1:20" ht="15.6">
      <c r="A87" s="24" t="str">
        <v>Route 19 2</v>
      </c>
      <c r="B87" s="25" t="str">
        <v>NY</v>
      </c>
      <c r="C87" s="25" t="str">
        <f>Sites[[#This Row],[SOL'#]]</f>
        <v>SOL-11002</v>
      </c>
      <c r="D87" s="20"/>
      <c r="E87" s="10"/>
      <c r="F87" s="10" t="str">
        <f t="shared" si="4"/>
        <v/>
      </c>
      <c r="G87" s="11" t="str">
        <f t="shared" si="7"/>
        <v/>
      </c>
      <c r="H87" s="12"/>
      <c r="I87" s="12" t="str">
        <f t="shared" si="5"/>
        <v/>
      </c>
      <c r="J87" s="64" t="str">
        <f t="shared" si="6"/>
        <v/>
      </c>
      <c r="K87" s="37"/>
      <c r="L87" s="109"/>
      <c r="M87" s="103"/>
      <c r="N87" s="103"/>
      <c r="O87" s="103"/>
      <c r="P87" s="103"/>
      <c r="Q87" s="103"/>
      <c r="R87" s="103"/>
      <c r="S87" s="103"/>
      <c r="T87" s="103"/>
    </row>
    <row r="88" spans="1:20" ht="15.6">
      <c r="A88" s="26" t="str">
        <v>Yellow Mills 1</v>
      </c>
      <c r="B88" s="27" t="str">
        <v>NY</v>
      </c>
      <c r="C88" s="27" t="str">
        <f>Sites[[#This Row],[SOL'#]]</f>
        <v>SOL-11006</v>
      </c>
      <c r="D88" s="9"/>
      <c r="E88" s="14"/>
      <c r="F88" s="14" t="str">
        <f t="shared" si="4"/>
        <v/>
      </c>
      <c r="G88" s="15" t="str">
        <f t="shared" si="7"/>
        <v/>
      </c>
      <c r="H88" s="16"/>
      <c r="I88" s="16" t="str">
        <f t="shared" si="5"/>
        <v/>
      </c>
      <c r="J88" s="15" t="str">
        <f t="shared" si="6"/>
        <v/>
      </c>
      <c r="K88" s="38"/>
      <c r="L88" s="39"/>
      <c r="M88" s="103"/>
      <c r="N88" s="103"/>
      <c r="O88" s="103"/>
      <c r="P88" s="103"/>
      <c r="Q88" s="103"/>
      <c r="R88" s="103"/>
      <c r="S88" s="103"/>
      <c r="T88" s="103"/>
    </row>
    <row r="89" spans="1:20" ht="15.6">
      <c r="A89" s="24" t="str">
        <v>Yellow Mills 2</v>
      </c>
      <c r="B89" s="25" t="str">
        <v>NY</v>
      </c>
      <c r="C89" s="25" t="str">
        <f>Sites[[#This Row],[SOL'#]]</f>
        <v>SOL-11005</v>
      </c>
      <c r="D89" s="20"/>
      <c r="E89" s="10"/>
      <c r="F89" s="10" t="str">
        <f t="shared" si="4"/>
        <v/>
      </c>
      <c r="G89" s="11" t="str">
        <f t="shared" si="7"/>
        <v/>
      </c>
      <c r="H89" s="12"/>
      <c r="I89" s="12" t="str">
        <f t="shared" si="5"/>
        <v/>
      </c>
      <c r="J89" s="64" t="str">
        <f t="shared" si="6"/>
        <v/>
      </c>
      <c r="K89" s="37"/>
      <c r="L89" s="37"/>
      <c r="M89" s="117"/>
      <c r="N89" s="103"/>
      <c r="O89" s="103"/>
      <c r="P89" s="103"/>
      <c r="Q89" s="103"/>
      <c r="R89" s="103"/>
      <c r="S89" s="103"/>
      <c r="T89" s="103"/>
    </row>
    <row r="90" spans="1:20" ht="15.6">
      <c r="A90" s="26" t="str">
        <v>Yellow Mills 3</v>
      </c>
      <c r="B90" s="27" t="str">
        <v>NY</v>
      </c>
      <c r="C90" s="27" t="str">
        <f>Sites[[#This Row],[SOL'#]]</f>
        <v>SOL-11007</v>
      </c>
      <c r="D90" s="9"/>
      <c r="E90" s="14"/>
      <c r="F90" s="14" t="str">
        <f t="shared" si="4"/>
        <v/>
      </c>
      <c r="G90" s="15" t="str">
        <f t="shared" si="7"/>
        <v/>
      </c>
      <c r="H90" s="16"/>
      <c r="I90" s="16" t="str">
        <f t="shared" si="5"/>
        <v/>
      </c>
      <c r="J90" s="15" t="str">
        <f t="shared" si="6"/>
        <v/>
      </c>
      <c r="K90" s="38"/>
      <c r="L90" s="39"/>
      <c r="M90" s="103"/>
      <c r="N90" s="103"/>
      <c r="O90" s="103"/>
      <c r="P90" s="103"/>
      <c r="Q90" s="103"/>
      <c r="R90" s="103"/>
      <c r="S90" s="103"/>
      <c r="T90" s="103"/>
    </row>
    <row r="91" spans="1:20" ht="15.6">
      <c r="A91" s="24" t="str">
        <v>Catskill</v>
      </c>
      <c r="B91" s="25" t="str">
        <v>NY</v>
      </c>
      <c r="C91" s="25" t="str">
        <f>Sites[[#This Row],[SOL'#]]</f>
        <v>SOL-11021</v>
      </c>
      <c r="D91" s="20"/>
      <c r="E91" s="10"/>
      <c r="F91" s="10" t="str">
        <f t="shared" si="4"/>
        <v/>
      </c>
      <c r="G91" s="11" t="str">
        <f t="shared" si="7"/>
        <v/>
      </c>
      <c r="H91" s="12"/>
      <c r="I91" s="12" t="str">
        <f t="shared" si="5"/>
        <v/>
      </c>
      <c r="J91" s="64" t="str">
        <f t="shared" si="6"/>
        <v/>
      </c>
      <c r="K91" s="37"/>
      <c r="L91" s="109"/>
      <c r="M91" s="103"/>
      <c r="N91" s="103"/>
      <c r="O91" s="103"/>
      <c r="P91" s="103"/>
      <c r="Q91" s="103"/>
      <c r="R91" s="103"/>
      <c r="S91" s="103"/>
      <c r="T91" s="103"/>
    </row>
    <row r="92" spans="1:20" ht="15.6">
      <c r="A92" s="26" t="str">
        <v>Eddy Ridge</v>
      </c>
      <c r="B92" s="27" t="str">
        <v>NY</v>
      </c>
      <c r="C92" s="27" t="str">
        <f>Sites[[#This Row],[SOL'#]]</f>
        <v>SOL-11054</v>
      </c>
      <c r="D92" s="9"/>
      <c r="E92" s="14"/>
      <c r="F92" s="14" t="str">
        <f t="shared" si="4"/>
        <v/>
      </c>
      <c r="G92" s="15" t="str">
        <f t="shared" si="7"/>
        <v/>
      </c>
      <c r="H92" s="16"/>
      <c r="I92" s="16" t="str">
        <f t="shared" si="5"/>
        <v/>
      </c>
      <c r="J92" s="15" t="str">
        <f t="shared" si="6"/>
        <v/>
      </c>
      <c r="K92" s="38"/>
      <c r="L92" s="39"/>
      <c r="M92" s="103"/>
      <c r="N92" s="103"/>
      <c r="O92" s="103"/>
      <c r="P92" s="103"/>
      <c r="Q92" s="103"/>
      <c r="R92" s="103"/>
      <c r="S92" s="103"/>
      <c r="T92" s="103"/>
    </row>
    <row r="93" spans="1:20" ht="15.6">
      <c r="A93" s="24" t="str">
        <v>Ridgeway #1</v>
      </c>
      <c r="B93" s="25" t="str">
        <v>NY</v>
      </c>
      <c r="C93" s="25" t="str">
        <f>Sites[[#This Row],[SOL'#]]</f>
        <v>SOL-11018</v>
      </c>
      <c r="D93" s="20"/>
      <c r="E93" s="10"/>
      <c r="F93" s="10" t="str">
        <f t="shared" si="4"/>
        <v/>
      </c>
      <c r="G93" s="11" t="str">
        <f t="shared" si="7"/>
        <v/>
      </c>
      <c r="H93" s="12"/>
      <c r="I93" s="12" t="str">
        <f t="shared" si="5"/>
        <v/>
      </c>
      <c r="J93" s="64" t="str">
        <f t="shared" si="6"/>
        <v/>
      </c>
      <c r="K93" s="37"/>
      <c r="L93" s="109"/>
      <c r="M93" s="102"/>
      <c r="N93" s="103"/>
      <c r="O93" s="103"/>
      <c r="P93" s="103"/>
      <c r="Q93" s="103"/>
      <c r="R93" s="103"/>
      <c r="S93" s="103"/>
      <c r="T93" s="103"/>
    </row>
    <row r="94" spans="1:20" ht="154.5" customHeight="1">
      <c r="A94" s="26" t="str">
        <v>Rivard 1</v>
      </c>
      <c r="B94" s="27" t="str">
        <v>NY</v>
      </c>
      <c r="C94" s="27" t="str">
        <f>Sites[[#This Row],[SOL'#]]</f>
        <v>SOL-11011</v>
      </c>
      <c r="D94" s="9"/>
      <c r="E94" s="14"/>
      <c r="F94" s="14" t="str">
        <f t="shared" si="4"/>
        <v/>
      </c>
      <c r="G94" s="15" t="str">
        <f t="shared" si="7"/>
        <v/>
      </c>
      <c r="H94" s="16"/>
      <c r="I94" s="16" t="str">
        <f t="shared" si="5"/>
        <v/>
      </c>
      <c r="J94" s="15" t="str">
        <f t="shared" si="6"/>
        <v/>
      </c>
      <c r="K94" s="51"/>
      <c r="L94" s="110"/>
      <c r="M94" s="102"/>
      <c r="N94" s="102"/>
      <c r="O94" s="103"/>
      <c r="P94" s="103"/>
      <c r="Q94" s="103"/>
      <c r="R94" s="103"/>
      <c r="S94" s="103"/>
      <c r="T94" s="103"/>
    </row>
    <row r="95" spans="1:20" ht="15.6">
      <c r="A95" s="24" t="str">
        <v>Rivard 2</v>
      </c>
      <c r="B95" s="25" t="str">
        <v>NY</v>
      </c>
      <c r="C95" s="25" t="str">
        <f>Sites[[#This Row],[SOL'#]]</f>
        <v>SOL-11012</v>
      </c>
      <c r="D95" s="20"/>
      <c r="E95" s="10"/>
      <c r="F95" s="10" t="str">
        <f t="shared" si="4"/>
        <v/>
      </c>
      <c r="G95" s="11" t="str">
        <f t="shared" si="7"/>
        <v/>
      </c>
      <c r="H95" s="12"/>
      <c r="I95" s="12" t="str">
        <f t="shared" si="5"/>
        <v/>
      </c>
      <c r="J95" s="64" t="str">
        <f t="shared" si="6"/>
        <v/>
      </c>
      <c r="K95" s="58"/>
      <c r="L95" s="128"/>
      <c r="M95" s="103"/>
      <c r="N95" s="103"/>
      <c r="O95" s="103"/>
      <c r="P95" s="103"/>
      <c r="Q95" s="103"/>
      <c r="R95" s="103"/>
      <c r="S95" s="103"/>
      <c r="T95" s="103"/>
    </row>
    <row r="96" spans="1:20" ht="129.75" customHeight="1">
      <c r="A96" s="24" t="str">
        <v>Ridgeway #2</v>
      </c>
      <c r="B96" s="25" t="str">
        <v>NY</v>
      </c>
      <c r="C96" s="25" t="str">
        <f>Sites[[#This Row],[SOL'#]]</f>
        <v>SOL-11027</v>
      </c>
      <c r="D96" s="20"/>
      <c r="E96" s="10"/>
      <c r="F96" s="10" t="str">
        <f t="shared" ref="F96:F127" si="8">IF(AND(ISNUMBER(D96),ISNUMBER(E96)), D96-E96, "")</f>
        <v/>
      </c>
      <c r="G96" s="11" t="str">
        <f t="shared" ref="G96:G127" si="9">IFERROR(F96/E96, "")</f>
        <v/>
      </c>
      <c r="H96" s="12"/>
      <c r="I96" s="12" t="str">
        <f t="shared" ref="I96:I97" si="10">IF(AND(ISNUMBER(D96),ISNUMBER(H96)), D96-H96, "")</f>
        <v/>
      </c>
      <c r="J96" s="64" t="str">
        <f t="shared" ref="J96:J97" si="11">IFERROR(I96/H96, "")</f>
        <v/>
      </c>
      <c r="K96" s="37"/>
      <c r="L96" s="109"/>
      <c r="M96" s="102"/>
      <c r="N96" s="102"/>
      <c r="O96" s="102"/>
      <c r="P96" s="103"/>
      <c r="Q96" s="103"/>
      <c r="R96" s="103"/>
      <c r="S96" s="103"/>
      <c r="T96" s="103"/>
    </row>
    <row r="97" spans="1:20" ht="15.6">
      <c r="A97" s="26" t="str">
        <v>Spencer</v>
      </c>
      <c r="B97" s="27" t="str">
        <v>NY</v>
      </c>
      <c r="C97" s="27" t="str">
        <f>Sites[[#This Row],[SOL'#]]</f>
        <v>SOL-11017</v>
      </c>
      <c r="D97" s="9"/>
      <c r="E97" s="14"/>
      <c r="F97" s="14" t="str">
        <f t="shared" si="8"/>
        <v/>
      </c>
      <c r="G97" s="15" t="str">
        <f t="shared" si="9"/>
        <v/>
      </c>
      <c r="H97" s="16"/>
      <c r="I97" s="16" t="str">
        <f t="shared" si="10"/>
        <v/>
      </c>
      <c r="J97" s="15" t="str">
        <f t="shared" si="11"/>
        <v/>
      </c>
      <c r="K97" s="38"/>
      <c r="L97" s="110"/>
      <c r="M97" s="102"/>
      <c r="N97" s="102"/>
      <c r="O97" s="102"/>
      <c r="P97" s="103"/>
      <c r="Q97" s="103"/>
      <c r="R97" s="103"/>
      <c r="S97" s="103"/>
      <c r="T97" s="103"/>
    </row>
    <row r="98" spans="1:20" ht="15.6">
      <c r="A98" s="28" t="str">
        <v>Reisender</v>
      </c>
      <c r="B98" s="25" t="str">
        <v>NY</v>
      </c>
      <c r="C98" s="25" t="str">
        <f>Sites[[#This Row],[SOL'#]]</f>
        <v>SOL-10886</v>
      </c>
      <c r="D98" s="54"/>
      <c r="E98" s="10"/>
      <c r="F98" s="10" t="str">
        <f t="shared" si="8"/>
        <v/>
      </c>
      <c r="G98" s="55" t="str">
        <f t="shared" si="9"/>
        <v/>
      </c>
      <c r="H98" s="67"/>
      <c r="I98" s="67" t="str">
        <f t="shared" ref="I98:I129" si="12">IF(AND(ISNUMBER(D98),ISNUMBER(H98)), D98-H98, "")</f>
        <v/>
      </c>
      <c r="J98" s="64" t="str">
        <f t="shared" ref="J98:J129" si="13">IFERROR(I98/H98, "")</f>
        <v/>
      </c>
      <c r="K98" s="56"/>
      <c r="L98" s="109"/>
      <c r="M98" s="103"/>
      <c r="N98" s="103"/>
      <c r="O98" s="103"/>
      <c r="P98" s="103"/>
      <c r="Q98" s="103"/>
      <c r="R98" s="103"/>
      <c r="S98" s="103"/>
      <c r="T98" s="103"/>
    </row>
    <row r="99" spans="1:20" ht="15.6">
      <c r="A99" s="26" t="str">
        <v>Finney</v>
      </c>
      <c r="B99" s="27" t="str">
        <v>NY</v>
      </c>
      <c r="C99" s="27" t="str">
        <f>Sites[[#This Row],[SOL'#]]</f>
        <v>SOL-10999</v>
      </c>
      <c r="D99" s="66"/>
      <c r="E99" s="14"/>
      <c r="F99" s="14" t="str">
        <f t="shared" si="8"/>
        <v/>
      </c>
      <c r="G99" s="68" t="str">
        <f t="shared" si="9"/>
        <v/>
      </c>
      <c r="H99" s="69"/>
      <c r="I99" s="69" t="str">
        <f t="shared" si="12"/>
        <v/>
      </c>
      <c r="J99" s="68" t="str">
        <f t="shared" si="13"/>
        <v/>
      </c>
      <c r="K99" s="38"/>
      <c r="L99" s="17"/>
      <c r="M99" s="103"/>
      <c r="N99" s="103"/>
      <c r="O99" s="103"/>
      <c r="P99" s="103"/>
      <c r="Q99" s="103"/>
      <c r="R99" s="103"/>
      <c r="S99" s="103"/>
      <c r="T99" s="103"/>
    </row>
    <row r="100" spans="1:20" ht="15.6">
      <c r="A100" s="24" t="str">
        <v>Davis Solar</v>
      </c>
      <c r="B100" s="25" t="str">
        <v>NY</v>
      </c>
      <c r="C100" s="25" t="str">
        <f>Sites[[#This Row],[SOL'#]]</f>
        <v>SOL-10958</v>
      </c>
      <c r="D100" s="54"/>
      <c r="E100" s="10"/>
      <c r="F100" s="10" t="str">
        <f t="shared" si="8"/>
        <v/>
      </c>
      <c r="G100" s="55" t="str">
        <f t="shared" si="9"/>
        <v/>
      </c>
      <c r="H100" s="67"/>
      <c r="I100" s="67" t="str">
        <f t="shared" si="12"/>
        <v/>
      </c>
      <c r="J100" s="64" t="str">
        <f t="shared" si="13"/>
        <v/>
      </c>
      <c r="K100" s="56"/>
      <c r="L100" s="109"/>
      <c r="M100" s="103"/>
      <c r="N100" s="103"/>
      <c r="O100" s="103"/>
      <c r="P100" s="103"/>
      <c r="Q100" s="103"/>
      <c r="R100" s="103"/>
      <c r="S100" s="103"/>
      <c r="T100" s="103"/>
    </row>
    <row r="101" spans="1:20" ht="15.6">
      <c r="A101" s="26" t="str">
        <v>Genesee</v>
      </c>
      <c r="B101" s="27" t="str">
        <v>NY</v>
      </c>
      <c r="C101" s="27" t="str">
        <f>Sites[[#This Row],[SOL'#]]</f>
        <v>SOL-10951</v>
      </c>
      <c r="D101" s="66"/>
      <c r="E101" s="14"/>
      <c r="F101" s="14" t="str">
        <f t="shared" si="8"/>
        <v/>
      </c>
      <c r="G101" s="68" t="str">
        <f t="shared" si="9"/>
        <v/>
      </c>
      <c r="H101" s="69"/>
      <c r="I101" s="69" t="str">
        <f t="shared" si="12"/>
        <v/>
      </c>
      <c r="J101" s="68" t="str">
        <f t="shared" si="13"/>
        <v/>
      </c>
      <c r="K101" s="38"/>
      <c r="L101" s="121"/>
      <c r="M101" s="102"/>
      <c r="N101" s="102"/>
      <c r="O101" s="102"/>
      <c r="P101" s="103"/>
      <c r="Q101" s="103"/>
      <c r="R101" s="103"/>
      <c r="S101" s="103"/>
      <c r="T101" s="103"/>
    </row>
    <row r="102" spans="1:20" ht="15.6">
      <c r="A102" s="24" t="str">
        <v>Landau I</v>
      </c>
      <c r="B102" s="25" t="str">
        <v>NY</v>
      </c>
      <c r="C102" s="25" t="str">
        <f>Sites[[#This Row],[SOL'#]]</f>
        <v>SOL-10891</v>
      </c>
      <c r="D102" s="54"/>
      <c r="E102" s="10"/>
      <c r="F102" s="10" t="str">
        <f t="shared" si="8"/>
        <v/>
      </c>
      <c r="G102" s="55" t="str">
        <f t="shared" si="9"/>
        <v/>
      </c>
      <c r="H102" s="67"/>
      <c r="I102" s="67" t="str">
        <f t="shared" si="12"/>
        <v/>
      </c>
      <c r="J102" s="64" t="str">
        <f t="shared" si="13"/>
        <v/>
      </c>
      <c r="K102" s="56"/>
      <c r="L102" s="37"/>
      <c r="M102" s="103"/>
      <c r="N102" s="103"/>
      <c r="O102" s="103"/>
      <c r="P102" s="103"/>
      <c r="Q102" s="103"/>
      <c r="R102" s="103"/>
      <c r="S102" s="103"/>
      <c r="T102" s="103"/>
    </row>
    <row r="103" spans="1:20" ht="261.75" customHeight="1">
      <c r="A103" s="26" t="str">
        <v>Landau II</v>
      </c>
      <c r="B103" s="27" t="str">
        <v>NY</v>
      </c>
      <c r="C103" s="27" t="str">
        <f>Sites[[#This Row],[SOL'#]]</f>
        <v>SOL-10895</v>
      </c>
      <c r="D103" s="66"/>
      <c r="E103" s="14"/>
      <c r="F103" s="14" t="str">
        <f t="shared" si="8"/>
        <v/>
      </c>
      <c r="G103" s="68" t="str">
        <f t="shared" si="9"/>
        <v/>
      </c>
      <c r="H103" s="69"/>
      <c r="I103" s="69" t="str">
        <f t="shared" si="12"/>
        <v/>
      </c>
      <c r="J103" s="68" t="str">
        <f t="shared" si="13"/>
        <v/>
      </c>
      <c r="K103" s="38"/>
      <c r="L103" s="121"/>
      <c r="M103" s="102"/>
      <c r="N103" s="102"/>
      <c r="O103" s="102"/>
      <c r="P103" s="102"/>
      <c r="Q103" s="102"/>
      <c r="R103" s="103"/>
      <c r="S103" s="103"/>
      <c r="T103" s="103"/>
    </row>
    <row r="104" spans="1:20" ht="15.6">
      <c r="A104" s="24" t="str">
        <v>New Beginnings</v>
      </c>
      <c r="B104" s="25" t="str">
        <v>NY</v>
      </c>
      <c r="C104" s="25" t="str">
        <f>Sites[[#This Row],[SOL'#]]</f>
        <v>SOL-10890</v>
      </c>
      <c r="D104" s="54"/>
      <c r="E104" s="10"/>
      <c r="F104" s="10" t="str">
        <f t="shared" si="8"/>
        <v/>
      </c>
      <c r="G104" s="55" t="str">
        <f t="shared" si="9"/>
        <v/>
      </c>
      <c r="H104" s="67"/>
      <c r="I104" s="67" t="str">
        <f t="shared" si="12"/>
        <v/>
      </c>
      <c r="J104" s="64" t="str">
        <f t="shared" si="13"/>
        <v/>
      </c>
      <c r="K104" s="56"/>
      <c r="L104" s="37"/>
      <c r="M104" s="103"/>
      <c r="N104" s="103"/>
      <c r="O104" s="103"/>
      <c r="P104" s="103"/>
      <c r="Q104" s="103"/>
      <c r="R104" s="103"/>
      <c r="S104" s="103"/>
      <c r="T104" s="103"/>
    </row>
    <row r="105" spans="1:20" ht="15.6">
      <c r="A105" s="26" t="str">
        <v>Bullitt Farm Solar, LLC</v>
      </c>
      <c r="B105" s="27" t="str">
        <v>NY</v>
      </c>
      <c r="C105" s="27" t="str">
        <f>Sites[[#This Row],[SOL'#]]</f>
        <v>SOL-10998</v>
      </c>
      <c r="D105" s="66"/>
      <c r="E105" s="14"/>
      <c r="F105" s="14" t="str">
        <f t="shared" si="8"/>
        <v/>
      </c>
      <c r="G105" s="68" t="str">
        <f t="shared" si="9"/>
        <v/>
      </c>
      <c r="H105" s="69"/>
      <c r="I105" s="69" t="str">
        <f t="shared" si="12"/>
        <v/>
      </c>
      <c r="J105" s="68" t="str">
        <f t="shared" si="13"/>
        <v/>
      </c>
      <c r="K105" s="38"/>
      <c r="L105" s="17"/>
      <c r="M105" s="103"/>
      <c r="N105" s="103"/>
      <c r="O105" s="103"/>
      <c r="P105" s="103"/>
      <c r="Q105" s="103"/>
      <c r="R105" s="103"/>
      <c r="S105" s="103"/>
      <c r="T105" s="103"/>
    </row>
    <row r="106" spans="1:20" ht="15.6">
      <c r="A106" s="24" t="str">
        <v>Brodhead Solar, LLC</v>
      </c>
      <c r="B106" s="25" t="str">
        <v>NY</v>
      </c>
      <c r="C106" s="25" t="str">
        <f>Sites[[#This Row],[SOL'#]]</f>
        <v>SOL-10899</v>
      </c>
      <c r="D106" s="54"/>
      <c r="E106" s="10"/>
      <c r="F106" s="10" t="str">
        <f t="shared" si="8"/>
        <v/>
      </c>
      <c r="G106" s="55" t="str">
        <f t="shared" si="9"/>
        <v/>
      </c>
      <c r="H106" s="67"/>
      <c r="I106" s="67" t="str">
        <f t="shared" si="12"/>
        <v/>
      </c>
      <c r="J106" s="64" t="str">
        <f t="shared" si="13"/>
        <v/>
      </c>
      <c r="K106" s="56"/>
      <c r="L106" s="109"/>
      <c r="M106" s="102"/>
      <c r="N106" s="103"/>
      <c r="O106" s="103"/>
      <c r="P106" s="103"/>
      <c r="Q106" s="103"/>
      <c r="R106" s="103"/>
      <c r="S106" s="103"/>
      <c r="T106" s="103"/>
    </row>
    <row r="107" spans="1:20" ht="15.6">
      <c r="A107" s="26" t="str">
        <v>Svenski</v>
      </c>
      <c r="B107" s="27" t="str">
        <v>NY</v>
      </c>
      <c r="C107" s="27" t="str">
        <f>Sites[[#This Row],[SOL'#]]</f>
        <v>SOL-10894</v>
      </c>
      <c r="D107" s="66"/>
      <c r="E107" s="14"/>
      <c r="F107" s="14" t="str">
        <f t="shared" si="8"/>
        <v/>
      </c>
      <c r="G107" s="68" t="str">
        <f t="shared" si="9"/>
        <v/>
      </c>
      <c r="H107" s="69"/>
      <c r="I107" s="69" t="str">
        <f t="shared" si="12"/>
        <v/>
      </c>
      <c r="J107" s="68" t="str">
        <f t="shared" si="13"/>
        <v/>
      </c>
      <c r="K107" s="38"/>
      <c r="L107" s="121"/>
      <c r="M107" s="102"/>
      <c r="N107" s="102"/>
      <c r="O107" s="103"/>
      <c r="P107" s="103"/>
      <c r="Q107" s="103"/>
      <c r="R107" s="103"/>
      <c r="S107" s="103"/>
      <c r="T107" s="103"/>
    </row>
    <row r="108" spans="1:20" ht="101.1" customHeight="1">
      <c r="A108" s="24" t="str">
        <v>Bantam</v>
      </c>
      <c r="B108" s="25" t="str">
        <v>NY</v>
      </c>
      <c r="C108" s="25" t="str">
        <f>Sites[[#This Row],[SOL'#]]</f>
        <v>SOL-10986</v>
      </c>
      <c r="D108" s="54"/>
      <c r="E108" s="10"/>
      <c r="F108" s="10" t="str">
        <f t="shared" si="8"/>
        <v/>
      </c>
      <c r="G108" s="55" t="str">
        <f t="shared" si="9"/>
        <v/>
      </c>
      <c r="H108" s="67"/>
      <c r="I108" s="67" t="str">
        <f t="shared" si="12"/>
        <v/>
      </c>
      <c r="J108" s="64" t="str">
        <f t="shared" si="13"/>
        <v/>
      </c>
      <c r="K108" s="56"/>
      <c r="L108" s="109"/>
      <c r="M108" s="102"/>
      <c r="N108" s="102"/>
      <c r="O108" s="102"/>
      <c r="P108" s="103"/>
      <c r="Q108" s="103"/>
      <c r="R108" s="103"/>
      <c r="S108" s="103"/>
      <c r="T108" s="103"/>
    </row>
    <row r="109" spans="1:20" ht="15.6">
      <c r="A109" s="26" t="str">
        <v>Bogart</v>
      </c>
      <c r="B109" s="27" t="str">
        <v>NY</v>
      </c>
      <c r="C109" s="27" t="str">
        <f>Sites[[#This Row],[SOL'#]]</f>
        <v>SOL-10887</v>
      </c>
      <c r="D109" s="66"/>
      <c r="E109" s="14"/>
      <c r="F109" s="14" t="str">
        <f t="shared" si="8"/>
        <v/>
      </c>
      <c r="G109" s="68" t="str">
        <f t="shared" si="9"/>
        <v/>
      </c>
      <c r="H109" s="69"/>
      <c r="I109" s="69" t="str">
        <f t="shared" si="12"/>
        <v/>
      </c>
      <c r="J109" s="68" t="str">
        <f t="shared" si="13"/>
        <v/>
      </c>
      <c r="K109" s="38"/>
      <c r="L109" s="114"/>
      <c r="M109" s="103"/>
      <c r="N109" s="103"/>
      <c r="O109" s="103"/>
      <c r="P109" s="103"/>
      <c r="Q109" s="103"/>
      <c r="R109" s="103"/>
      <c r="S109" s="103"/>
      <c r="T109" s="103"/>
    </row>
    <row r="110" spans="1:20" ht="48.75" customHeight="1">
      <c r="A110" s="24" t="str">
        <v>Dubois</v>
      </c>
      <c r="B110" s="25" t="str">
        <v>NY</v>
      </c>
      <c r="C110" s="25" t="str">
        <f>Sites[[#This Row],[SOL'#]]</f>
        <v>SOL-10892</v>
      </c>
      <c r="D110" s="54"/>
      <c r="E110" s="10"/>
      <c r="F110" s="10" t="str">
        <f t="shared" si="8"/>
        <v/>
      </c>
      <c r="G110" s="55" t="str">
        <f t="shared" si="9"/>
        <v/>
      </c>
      <c r="H110" s="67"/>
      <c r="I110" s="67" t="str">
        <f t="shared" si="12"/>
        <v/>
      </c>
      <c r="J110" s="64" t="str">
        <f t="shared" si="13"/>
        <v/>
      </c>
      <c r="K110" s="56"/>
      <c r="L110" s="109"/>
      <c r="M110" s="103"/>
      <c r="N110" s="103"/>
      <c r="O110" s="103"/>
      <c r="P110" s="103"/>
      <c r="Q110" s="103"/>
      <c r="R110" s="103"/>
      <c r="S110" s="103"/>
      <c r="T110" s="103"/>
    </row>
    <row r="111" spans="1:20" ht="84" customHeight="1">
      <c r="A111" s="26" t="str">
        <v>Salt Point</v>
      </c>
      <c r="B111" s="27" t="str">
        <v>NY</v>
      </c>
      <c r="C111" s="27" t="str">
        <f>Sites[[#This Row],[SOL'#]]</f>
        <v>SOL-10888</v>
      </c>
      <c r="D111" s="66"/>
      <c r="E111" s="14"/>
      <c r="F111" s="14" t="str">
        <f t="shared" si="8"/>
        <v/>
      </c>
      <c r="G111" s="68" t="str">
        <f t="shared" si="9"/>
        <v/>
      </c>
      <c r="H111" s="69"/>
      <c r="I111" s="69" t="str">
        <f t="shared" si="12"/>
        <v/>
      </c>
      <c r="J111" s="68" t="str">
        <f t="shared" si="13"/>
        <v/>
      </c>
      <c r="K111" s="186"/>
      <c r="L111" s="114"/>
      <c r="M111" s="103"/>
      <c r="N111" s="103"/>
      <c r="O111" s="103"/>
      <c r="P111" s="103"/>
      <c r="Q111" s="103"/>
      <c r="R111" s="103"/>
      <c r="S111" s="103"/>
      <c r="T111" s="103"/>
    </row>
    <row r="112" spans="1:20" ht="198" customHeight="1">
      <c r="A112" s="24" t="str">
        <v>Wheatland 2A</v>
      </c>
      <c r="B112" s="25" t="str">
        <v>NY</v>
      </c>
      <c r="C112" s="25" t="str">
        <f>Sites[[#This Row],[SOL'#]]</f>
        <v>SOL-10971</v>
      </c>
      <c r="D112" s="54"/>
      <c r="E112" s="10"/>
      <c r="F112" s="10" t="str">
        <f t="shared" si="8"/>
        <v/>
      </c>
      <c r="G112" s="55" t="str">
        <f t="shared" si="9"/>
        <v/>
      </c>
      <c r="H112" s="67"/>
      <c r="I112" s="67" t="str">
        <f t="shared" si="12"/>
        <v/>
      </c>
      <c r="J112" s="64" t="str">
        <f t="shared" si="13"/>
        <v/>
      </c>
      <c r="K112" s="56"/>
      <c r="L112" s="109"/>
      <c r="M112" s="102"/>
      <c r="N112" s="102"/>
      <c r="O112" s="103"/>
      <c r="P112" s="103"/>
      <c r="Q112" s="103"/>
      <c r="R112" s="103"/>
      <c r="S112" s="103"/>
      <c r="T112" s="103"/>
    </row>
    <row r="113" spans="1:20" ht="89.25" customHeight="1">
      <c r="A113" s="26" t="str">
        <v>Wheatland 2B</v>
      </c>
      <c r="B113" s="27" t="str">
        <v>NY</v>
      </c>
      <c r="C113" s="27" t="str">
        <f>Sites[[#This Row],[SOL'#]]</f>
        <v>SOL-10961</v>
      </c>
      <c r="D113" s="66"/>
      <c r="E113" s="14"/>
      <c r="F113" s="14" t="str">
        <f t="shared" si="8"/>
        <v/>
      </c>
      <c r="G113" s="68" t="str">
        <f t="shared" si="9"/>
        <v/>
      </c>
      <c r="H113" s="69"/>
      <c r="I113" s="69" t="str">
        <f t="shared" si="12"/>
        <v/>
      </c>
      <c r="J113" s="68" t="str">
        <f t="shared" si="13"/>
        <v/>
      </c>
      <c r="K113" s="50"/>
      <c r="L113" s="121"/>
      <c r="M113" s="102"/>
      <c r="N113" s="103"/>
      <c r="O113" s="103"/>
      <c r="P113" s="103"/>
      <c r="Q113" s="103"/>
      <c r="R113" s="103"/>
      <c r="S113" s="103"/>
      <c r="T113" s="103"/>
    </row>
    <row r="114" spans="1:20" ht="103.5" customHeight="1">
      <c r="A114" s="24" t="str">
        <v>Brickchurch</v>
      </c>
      <c r="B114" s="25" t="str">
        <v>NY</v>
      </c>
      <c r="C114" s="25" t="str">
        <f>Sites[[#This Row],[SOL'#]]</f>
        <v>SOL-10889</v>
      </c>
      <c r="D114" s="54"/>
      <c r="E114" s="10"/>
      <c r="F114" s="10" t="str">
        <f t="shared" si="8"/>
        <v/>
      </c>
      <c r="G114" s="55" t="str">
        <f t="shared" si="9"/>
        <v/>
      </c>
      <c r="H114" s="67"/>
      <c r="I114" s="67" t="str">
        <f t="shared" si="12"/>
        <v/>
      </c>
      <c r="J114" s="64" t="str">
        <f t="shared" si="13"/>
        <v/>
      </c>
      <c r="K114" s="56"/>
      <c r="L114" s="109"/>
      <c r="M114" s="102"/>
      <c r="N114" s="102"/>
      <c r="O114" s="103"/>
      <c r="P114" s="103"/>
      <c r="Q114" s="103"/>
      <c r="R114" s="103"/>
      <c r="S114" s="103"/>
      <c r="T114" s="103"/>
    </row>
    <row r="115" spans="1:20" ht="15.6">
      <c r="A115" s="26" t="str">
        <v>McCarthy Solar</v>
      </c>
      <c r="B115" s="27" t="str">
        <v>NY</v>
      </c>
      <c r="C115" s="27" t="str">
        <f>Sites[[#This Row],[SOL'#]]</f>
        <v>SOL-10992</v>
      </c>
      <c r="D115" s="66"/>
      <c r="E115" s="14"/>
      <c r="F115" s="14" t="str">
        <f t="shared" si="8"/>
        <v/>
      </c>
      <c r="G115" s="68" t="str">
        <f t="shared" si="9"/>
        <v/>
      </c>
      <c r="H115" s="69"/>
      <c r="I115" s="69" t="str">
        <f t="shared" si="12"/>
        <v/>
      </c>
      <c r="J115" s="68" t="str">
        <f t="shared" si="13"/>
        <v/>
      </c>
      <c r="K115" s="38"/>
      <c r="L115" s="17"/>
      <c r="M115" s="103"/>
      <c r="N115" s="103"/>
      <c r="O115" s="103"/>
      <c r="P115" s="103"/>
      <c r="Q115" s="103"/>
      <c r="R115" s="103"/>
      <c r="S115" s="103"/>
      <c r="T115" s="103"/>
    </row>
    <row r="116" spans="1:20" ht="15.6">
      <c r="A116" s="24" t="str">
        <v>Costanza</v>
      </c>
      <c r="B116" s="25" t="str">
        <v>NY</v>
      </c>
      <c r="C116" s="25" t="str">
        <f>Sites[[#This Row],[SOL'#]]</f>
        <v>SOL-10907</v>
      </c>
      <c r="D116" s="54"/>
      <c r="E116" s="10"/>
      <c r="F116" s="10" t="str">
        <f t="shared" si="8"/>
        <v/>
      </c>
      <c r="G116" s="55" t="str">
        <f t="shared" si="9"/>
        <v/>
      </c>
      <c r="H116" s="67"/>
      <c r="I116" s="67" t="str">
        <f t="shared" si="12"/>
        <v/>
      </c>
      <c r="J116" s="64" t="str">
        <f t="shared" si="13"/>
        <v/>
      </c>
      <c r="K116" s="56"/>
      <c r="L116" s="109"/>
      <c r="M116" s="102"/>
      <c r="N116" s="103"/>
      <c r="O116" s="103"/>
      <c r="P116" s="103"/>
      <c r="Q116" s="103"/>
      <c r="R116" s="103"/>
      <c r="S116" s="103"/>
      <c r="T116" s="103"/>
    </row>
    <row r="117" spans="1:20" ht="15.6">
      <c r="A117" s="26" t="str">
        <v>Lockenhurst Pond</v>
      </c>
      <c r="B117" s="27" t="str">
        <v>NY</v>
      </c>
      <c r="C117" s="27" t="str">
        <f>Sites[[#This Row],[SOL'#]]</f>
        <v>SOL-11000</v>
      </c>
      <c r="D117" s="66"/>
      <c r="E117" s="14"/>
      <c r="F117" s="14" t="str">
        <f t="shared" si="8"/>
        <v/>
      </c>
      <c r="G117" s="68" t="str">
        <f t="shared" si="9"/>
        <v/>
      </c>
      <c r="H117" s="69"/>
      <c r="I117" s="69" t="str">
        <f t="shared" si="12"/>
        <v/>
      </c>
      <c r="J117" s="68" t="str">
        <f t="shared" si="13"/>
        <v/>
      </c>
      <c r="K117" s="38"/>
      <c r="L117" s="17"/>
      <c r="M117" s="103"/>
      <c r="N117" s="103"/>
      <c r="O117" s="103"/>
      <c r="P117" s="103"/>
      <c r="Q117" s="103"/>
      <c r="R117" s="103"/>
      <c r="S117" s="103"/>
      <c r="T117" s="103"/>
    </row>
    <row r="118" spans="1:20" ht="15.6">
      <c r="A118" s="24" t="str">
        <v>Drinkwater</v>
      </c>
      <c r="B118" s="25" t="str">
        <v>NY</v>
      </c>
      <c r="C118" s="25" t="str">
        <f>Sites[[#This Row],[SOL'#]]</f>
        <v>SOL-10896</v>
      </c>
      <c r="D118" s="54"/>
      <c r="E118" s="10"/>
      <c r="F118" s="10" t="str">
        <f t="shared" si="8"/>
        <v/>
      </c>
      <c r="G118" s="55" t="str">
        <f t="shared" si="9"/>
        <v/>
      </c>
      <c r="H118" s="67"/>
      <c r="I118" s="67" t="str">
        <f t="shared" si="12"/>
        <v/>
      </c>
      <c r="J118" s="64" t="str">
        <f t="shared" si="13"/>
        <v/>
      </c>
      <c r="K118" s="56"/>
      <c r="L118" s="37"/>
      <c r="M118" s="103"/>
      <c r="N118" s="103"/>
      <c r="O118" s="103"/>
      <c r="P118" s="103"/>
      <c r="Q118" s="103"/>
      <c r="R118" s="103"/>
      <c r="S118" s="103"/>
      <c r="T118" s="103"/>
    </row>
    <row r="119" spans="1:20" ht="15.6">
      <c r="A119" s="26" t="str">
        <v>Altamont</v>
      </c>
      <c r="B119" s="27" t="str">
        <v>NY</v>
      </c>
      <c r="C119" s="27" t="str">
        <f>Sites[[#This Row],[SOL'#]]</f>
        <v>SOL-11085</v>
      </c>
      <c r="D119" s="66"/>
      <c r="E119" s="14"/>
      <c r="F119" s="14" t="str">
        <f t="shared" si="8"/>
        <v/>
      </c>
      <c r="G119" s="68" t="str">
        <f t="shared" si="9"/>
        <v/>
      </c>
      <c r="H119" s="69"/>
      <c r="I119" s="69" t="str">
        <f t="shared" si="12"/>
        <v/>
      </c>
      <c r="J119" s="68" t="str">
        <f t="shared" si="13"/>
        <v/>
      </c>
      <c r="K119" s="38"/>
      <c r="L119" s="114"/>
      <c r="M119" s="103"/>
      <c r="N119" s="103"/>
      <c r="O119" s="103"/>
      <c r="P119" s="103"/>
      <c r="Q119" s="103"/>
      <c r="R119" s="103"/>
      <c r="S119" s="103"/>
      <c r="T119" s="103"/>
    </row>
    <row r="120" spans="1:20" ht="15.6">
      <c r="A120" s="24" t="str">
        <v>Krumkill North</v>
      </c>
      <c r="B120" s="25" t="str">
        <v>NY</v>
      </c>
      <c r="C120" s="25" t="str">
        <f>Sites[[#This Row],[SOL'#]]</f>
        <v>SOL-11086</v>
      </c>
      <c r="D120" s="54"/>
      <c r="E120" s="10"/>
      <c r="F120" s="10" t="str">
        <f t="shared" si="8"/>
        <v/>
      </c>
      <c r="G120" s="55" t="str">
        <f t="shared" si="9"/>
        <v/>
      </c>
      <c r="H120" s="67"/>
      <c r="I120" s="67" t="str">
        <f t="shared" si="12"/>
        <v/>
      </c>
      <c r="J120" s="64" t="str">
        <f t="shared" si="13"/>
        <v/>
      </c>
      <c r="K120" s="56"/>
      <c r="L120" s="37"/>
      <c r="M120" s="103"/>
      <c r="N120" s="103"/>
      <c r="O120" s="103"/>
      <c r="P120" s="103"/>
      <c r="Q120" s="103"/>
      <c r="R120" s="103"/>
      <c r="S120" s="103"/>
      <c r="T120" s="103"/>
    </row>
    <row r="121" spans="1:20" ht="15.6">
      <c r="A121" s="26" t="str">
        <v>Krumkill South</v>
      </c>
      <c r="B121" s="27" t="str">
        <v>NY</v>
      </c>
      <c r="C121" s="27" t="str">
        <f>Sites[[#This Row],[SOL'#]]</f>
        <v>SOL-11087</v>
      </c>
      <c r="D121" s="66"/>
      <c r="E121" s="14"/>
      <c r="F121" s="14" t="str">
        <f t="shared" si="8"/>
        <v/>
      </c>
      <c r="G121" s="68" t="str">
        <f t="shared" si="9"/>
        <v/>
      </c>
      <c r="H121" s="69"/>
      <c r="I121" s="69" t="str">
        <f t="shared" si="12"/>
        <v/>
      </c>
      <c r="J121" s="68" t="str">
        <f t="shared" si="13"/>
        <v/>
      </c>
      <c r="K121" s="38"/>
      <c r="L121" s="17"/>
      <c r="M121" s="103"/>
      <c r="N121" s="103"/>
      <c r="O121" s="103"/>
      <c r="P121" s="103"/>
      <c r="Q121" s="103"/>
      <c r="R121" s="103"/>
      <c r="S121" s="103"/>
      <c r="T121" s="103"/>
    </row>
    <row r="122" spans="1:20" ht="15.6">
      <c r="A122" s="24" t="str">
        <v>X092</v>
      </c>
      <c r="B122" s="25" t="str">
        <v>NY</v>
      </c>
      <c r="C122" s="25" t="str">
        <f>Sites[[#This Row],[SOL'#]]</f>
        <v>SOL-11189</v>
      </c>
      <c r="D122" s="54"/>
      <c r="E122" s="10"/>
      <c r="F122" s="10" t="str">
        <f t="shared" si="8"/>
        <v/>
      </c>
      <c r="G122" s="55" t="str">
        <f t="shared" si="9"/>
        <v/>
      </c>
      <c r="H122" s="67"/>
      <c r="I122" s="67" t="str">
        <f t="shared" si="12"/>
        <v/>
      </c>
      <c r="J122" s="64" t="str">
        <f t="shared" si="13"/>
        <v/>
      </c>
      <c r="K122" s="56"/>
      <c r="L122" s="37"/>
      <c r="M122" s="103"/>
      <c r="N122" s="103"/>
      <c r="O122" s="103"/>
      <c r="P122" s="103"/>
      <c r="Q122" s="103"/>
      <c r="R122" s="103"/>
      <c r="S122" s="103"/>
      <c r="T122" s="103"/>
    </row>
    <row r="123" spans="1:20" ht="107.25" customHeight="1">
      <c r="A123" s="26" t="str">
        <v>X093</v>
      </c>
      <c r="B123" s="27" t="str">
        <v>NY</v>
      </c>
      <c r="C123" s="27" t="str">
        <f>Sites[[#This Row],[SOL'#]]</f>
        <v>SOL-10932</v>
      </c>
      <c r="D123" s="66"/>
      <c r="E123" s="14"/>
      <c r="F123" s="14" t="str">
        <f t="shared" si="8"/>
        <v/>
      </c>
      <c r="G123" s="68" t="str">
        <f t="shared" si="9"/>
        <v/>
      </c>
      <c r="H123" s="69"/>
      <c r="I123" s="69" t="str">
        <f t="shared" si="12"/>
        <v/>
      </c>
      <c r="J123" s="68" t="str">
        <f t="shared" si="13"/>
        <v/>
      </c>
      <c r="K123" s="122"/>
      <c r="L123" s="121"/>
      <c r="M123" s="102"/>
      <c r="N123" s="102"/>
      <c r="O123" s="102"/>
      <c r="P123" s="103"/>
      <c r="Q123" s="103"/>
      <c r="R123" s="103"/>
      <c r="S123" s="103"/>
      <c r="T123" s="103"/>
    </row>
    <row r="124" spans="1:20" ht="15.6">
      <c r="A124" s="24" t="str">
        <v>X095</v>
      </c>
      <c r="B124" s="25" t="str">
        <v>NY</v>
      </c>
      <c r="C124" s="25" t="str">
        <f>Sites[[#This Row],[SOL'#]]</f>
        <v>SOL-10929</v>
      </c>
      <c r="D124" s="54"/>
      <c r="E124" s="10"/>
      <c r="F124" s="10" t="str">
        <f t="shared" si="8"/>
        <v/>
      </c>
      <c r="G124" s="55" t="str">
        <f t="shared" si="9"/>
        <v/>
      </c>
      <c r="H124" s="67"/>
      <c r="I124" s="67" t="str">
        <f t="shared" si="12"/>
        <v/>
      </c>
      <c r="J124" s="64" t="str">
        <f t="shared" si="13"/>
        <v/>
      </c>
      <c r="K124" s="56"/>
      <c r="L124" s="37"/>
      <c r="M124" s="103"/>
      <c r="N124" s="103"/>
      <c r="O124" s="103"/>
      <c r="P124" s="103"/>
      <c r="Q124" s="103"/>
      <c r="R124" s="103"/>
      <c r="S124" s="103"/>
      <c r="T124" s="103"/>
    </row>
    <row r="125" spans="1:20" ht="15.6">
      <c r="A125" s="26" t="str">
        <v>X181</v>
      </c>
      <c r="B125" s="27" t="str">
        <v>NY</v>
      </c>
      <c r="C125" s="27" t="str">
        <f>Sites[[#This Row],[SOL'#]]</f>
        <v>SOL-10428</v>
      </c>
      <c r="D125" s="66"/>
      <c r="E125" s="14"/>
      <c r="F125" s="14" t="str">
        <f t="shared" si="8"/>
        <v/>
      </c>
      <c r="G125" s="68" t="str">
        <f t="shared" si="9"/>
        <v/>
      </c>
      <c r="H125" s="69"/>
      <c r="I125" s="69" t="str">
        <f t="shared" si="12"/>
        <v/>
      </c>
      <c r="J125" s="68" t="str">
        <f t="shared" si="13"/>
        <v/>
      </c>
      <c r="K125" s="38"/>
      <c r="L125" s="17"/>
      <c r="M125" s="103"/>
      <c r="N125" s="103"/>
      <c r="O125" s="103"/>
      <c r="P125" s="103"/>
      <c r="Q125" s="103"/>
      <c r="R125" s="103"/>
      <c r="S125" s="103"/>
      <c r="T125" s="103"/>
    </row>
    <row r="126" spans="1:20" ht="15.6">
      <c r="A126" s="24" t="str">
        <v>X415</v>
      </c>
      <c r="B126" s="25" t="str">
        <v>NY</v>
      </c>
      <c r="C126" s="25" t="str">
        <f>Sites[[#This Row],[SOL'#]]</f>
        <v>SOL-10429</v>
      </c>
      <c r="D126" s="54"/>
      <c r="E126" s="10"/>
      <c r="F126" s="10" t="str">
        <f t="shared" si="8"/>
        <v/>
      </c>
      <c r="G126" s="55" t="str">
        <f t="shared" si="9"/>
        <v/>
      </c>
      <c r="H126" s="67"/>
      <c r="I126" s="67" t="str">
        <f t="shared" si="12"/>
        <v/>
      </c>
      <c r="J126" s="64" t="str">
        <f t="shared" si="13"/>
        <v/>
      </c>
      <c r="K126" s="56"/>
      <c r="L126" s="37"/>
      <c r="M126" s="103"/>
      <c r="N126" s="103"/>
      <c r="O126" s="103"/>
      <c r="P126" s="103"/>
      <c r="Q126" s="103"/>
      <c r="R126" s="103"/>
      <c r="S126" s="103"/>
      <c r="T126" s="103"/>
    </row>
    <row r="127" spans="1:20" ht="15.6">
      <c r="A127" s="26" t="str">
        <v>K198</v>
      </c>
      <c r="B127" s="27" t="str">
        <v>NY</v>
      </c>
      <c r="C127" s="27" t="str">
        <f>Sites[[#This Row],[SOL'#]]</f>
        <v>SOL-10930</v>
      </c>
      <c r="D127" s="66"/>
      <c r="E127" s="14"/>
      <c r="F127" s="14" t="str">
        <f t="shared" si="8"/>
        <v/>
      </c>
      <c r="G127" s="68" t="str">
        <f t="shared" si="9"/>
        <v/>
      </c>
      <c r="H127" s="69"/>
      <c r="I127" s="69" t="str">
        <f t="shared" si="12"/>
        <v/>
      </c>
      <c r="J127" s="68" t="str">
        <f t="shared" si="13"/>
        <v/>
      </c>
      <c r="K127" s="38"/>
      <c r="L127" s="17"/>
      <c r="M127" s="103"/>
      <c r="N127" s="103"/>
      <c r="O127" s="103"/>
      <c r="P127" s="103"/>
      <c r="Q127" s="103"/>
      <c r="R127" s="103"/>
      <c r="S127" s="103"/>
      <c r="T127" s="103"/>
    </row>
    <row r="128" spans="1:20" ht="15.6">
      <c r="A128" s="24" t="str">
        <v>K203</v>
      </c>
      <c r="B128" s="25" t="str">
        <v>NY</v>
      </c>
      <c r="C128" s="25" t="str">
        <f>Sites[[#This Row],[SOL'#]]</f>
        <v>SOL-11190</v>
      </c>
      <c r="D128" s="54"/>
      <c r="E128" s="10"/>
      <c r="F128" s="10" t="str">
        <f t="shared" ref="F128:F157" si="14">IF(AND(ISNUMBER(D128),ISNUMBER(E128)), D128-E128, "")</f>
        <v/>
      </c>
      <c r="G128" s="55" t="str">
        <f t="shared" ref="G128:G157" si="15">IFERROR(F128/E128, "")</f>
        <v/>
      </c>
      <c r="H128" s="67"/>
      <c r="I128" s="67" t="str">
        <f t="shared" si="12"/>
        <v/>
      </c>
      <c r="J128" s="64" t="str">
        <f t="shared" si="13"/>
        <v/>
      </c>
      <c r="K128" s="56"/>
      <c r="L128" s="109"/>
      <c r="M128" s="103"/>
      <c r="N128" s="103"/>
      <c r="O128" s="103"/>
      <c r="P128" s="103"/>
      <c r="Q128" s="103"/>
      <c r="R128" s="103"/>
      <c r="S128" s="103"/>
      <c r="T128" s="103"/>
    </row>
    <row r="129" spans="1:20" ht="15.6">
      <c r="A129" s="26" t="str">
        <v>K213</v>
      </c>
      <c r="B129" s="27" t="str">
        <v>NY</v>
      </c>
      <c r="C129" s="27" t="str">
        <f>Sites[[#This Row],[SOL'#]]</f>
        <v>SOL-11191</v>
      </c>
      <c r="D129" s="66"/>
      <c r="E129" s="14"/>
      <c r="F129" s="14" t="str">
        <f t="shared" si="14"/>
        <v/>
      </c>
      <c r="G129" s="68" t="str">
        <f t="shared" si="15"/>
        <v/>
      </c>
      <c r="H129" s="69"/>
      <c r="I129" s="69" t="str">
        <f t="shared" si="12"/>
        <v/>
      </c>
      <c r="J129" s="68" t="str">
        <f t="shared" si="13"/>
        <v/>
      </c>
      <c r="K129" s="38"/>
      <c r="L129" s="114"/>
      <c r="M129" s="103"/>
      <c r="N129" s="103"/>
      <c r="O129" s="103"/>
      <c r="P129" s="103"/>
      <c r="Q129" s="103"/>
      <c r="R129" s="103"/>
      <c r="S129" s="103"/>
      <c r="T129" s="103"/>
    </row>
    <row r="130" spans="1:20" ht="15.6">
      <c r="A130" s="24" t="str">
        <v>K217</v>
      </c>
      <c r="B130" s="25" t="str">
        <v>NY</v>
      </c>
      <c r="C130" s="25" t="str">
        <f>Sites[[#This Row],[SOL'#]]</f>
        <v>SOL-10933</v>
      </c>
      <c r="D130" s="54"/>
      <c r="E130" s="10"/>
      <c r="F130" s="10" t="str">
        <f t="shared" si="14"/>
        <v/>
      </c>
      <c r="G130" s="55" t="str">
        <f t="shared" si="15"/>
        <v/>
      </c>
      <c r="H130" s="67"/>
      <c r="I130" s="67" t="str">
        <f t="shared" ref="I130:I157" si="16">IF(AND(ISNUMBER(D130),ISNUMBER(H130)), D130-H130, "")</f>
        <v/>
      </c>
      <c r="J130" s="64" t="str">
        <f t="shared" ref="J130:J157" si="17">IFERROR(I130/H130, "")</f>
        <v/>
      </c>
      <c r="K130" s="56"/>
      <c r="L130" s="37"/>
      <c r="M130" s="103"/>
      <c r="N130" s="103"/>
      <c r="O130" s="103"/>
      <c r="P130" s="103"/>
      <c r="Q130" s="103"/>
      <c r="R130" s="103"/>
      <c r="S130" s="103"/>
      <c r="T130" s="103"/>
    </row>
    <row r="131" spans="1:20" ht="15.6">
      <c r="A131" s="26" t="str">
        <v>K307</v>
      </c>
      <c r="B131" s="27" t="str">
        <v>NY</v>
      </c>
      <c r="C131" s="27" t="str">
        <f>Sites[[#This Row],[SOL'#]]</f>
        <v>SOL-10876</v>
      </c>
      <c r="D131" s="66"/>
      <c r="E131" s="14"/>
      <c r="F131" s="14" t="str">
        <f t="shared" si="14"/>
        <v/>
      </c>
      <c r="G131" s="68" t="str">
        <f t="shared" si="15"/>
        <v/>
      </c>
      <c r="H131" s="69"/>
      <c r="I131" s="69" t="str">
        <f t="shared" si="16"/>
        <v/>
      </c>
      <c r="J131" s="68" t="str">
        <f t="shared" si="17"/>
        <v/>
      </c>
      <c r="K131" s="38"/>
      <c r="L131" s="17"/>
      <c r="M131" s="103"/>
      <c r="N131" s="103"/>
      <c r="O131" s="103"/>
      <c r="P131" s="103"/>
      <c r="Q131" s="103"/>
      <c r="R131" s="103"/>
      <c r="S131" s="103"/>
      <c r="T131" s="103"/>
    </row>
    <row r="132" spans="1:20" ht="15.6">
      <c r="A132" s="24" t="str">
        <v>K610</v>
      </c>
      <c r="B132" s="25" t="str">
        <v>NY</v>
      </c>
      <c r="C132" s="25" t="str">
        <f>Sites[[#This Row],[SOL'#]]</f>
        <v>SOL-11158</v>
      </c>
      <c r="D132" s="54"/>
      <c r="E132" s="10"/>
      <c r="F132" s="10" t="str">
        <f t="shared" si="14"/>
        <v/>
      </c>
      <c r="G132" s="55" t="str">
        <f t="shared" si="15"/>
        <v/>
      </c>
      <c r="H132" s="67"/>
      <c r="I132" s="67" t="str">
        <f t="shared" si="16"/>
        <v/>
      </c>
      <c r="J132" s="64" t="str">
        <f t="shared" si="17"/>
        <v/>
      </c>
      <c r="K132" s="56"/>
      <c r="L132" s="37"/>
      <c r="M132" s="103"/>
      <c r="N132" s="103"/>
      <c r="O132" s="103"/>
      <c r="P132" s="103"/>
      <c r="Q132" s="103"/>
      <c r="R132" s="103"/>
      <c r="S132" s="103"/>
      <c r="T132" s="103"/>
    </row>
    <row r="133" spans="1:20" ht="282" customHeight="1">
      <c r="A133" s="26" t="str">
        <v>M025</v>
      </c>
      <c r="B133" s="27" t="str">
        <v>NY</v>
      </c>
      <c r="C133" s="27" t="str">
        <f>Sites[[#This Row],[SOL'#]]</f>
        <v>SOL-10392</v>
      </c>
      <c r="D133" s="66"/>
      <c r="E133" s="14"/>
      <c r="F133" s="14" t="str">
        <f t="shared" si="14"/>
        <v/>
      </c>
      <c r="G133" s="68" t="str">
        <f t="shared" si="15"/>
        <v/>
      </c>
      <c r="H133" s="69"/>
      <c r="I133" s="69" t="str">
        <f t="shared" si="16"/>
        <v/>
      </c>
      <c r="J133" s="68" t="str">
        <f t="shared" si="17"/>
        <v/>
      </c>
      <c r="K133" s="50"/>
      <c r="L133" s="121"/>
      <c r="M133" s="102"/>
      <c r="N133" s="102"/>
      <c r="O133" s="102"/>
      <c r="P133" s="102"/>
      <c r="Q133" s="102"/>
      <c r="R133" s="102"/>
      <c r="S133" s="103"/>
      <c r="T133" s="103"/>
    </row>
    <row r="134" spans="1:20" ht="15.6">
      <c r="A134" s="24" t="str">
        <v>M028</v>
      </c>
      <c r="B134" s="25" t="str">
        <v>NY</v>
      </c>
      <c r="C134" s="25" t="str">
        <f>Sites[[#This Row],[SOL'#]]</f>
        <v>SOL-10381</v>
      </c>
      <c r="D134" s="54"/>
      <c r="E134" s="10"/>
      <c r="F134" s="10" t="str">
        <f t="shared" si="14"/>
        <v/>
      </c>
      <c r="G134" s="55" t="str">
        <f t="shared" si="15"/>
        <v/>
      </c>
      <c r="H134" s="67"/>
      <c r="I134" s="67" t="str">
        <f t="shared" si="16"/>
        <v/>
      </c>
      <c r="J134" s="64" t="str">
        <f t="shared" si="17"/>
        <v/>
      </c>
      <c r="K134" s="56"/>
      <c r="L134" s="37"/>
      <c r="M134" s="103"/>
      <c r="N134" s="103"/>
      <c r="O134" s="103"/>
      <c r="P134" s="103"/>
      <c r="Q134" s="103"/>
      <c r="R134" s="103"/>
      <c r="S134" s="103"/>
      <c r="T134" s="103"/>
    </row>
    <row r="135" spans="1:20" ht="15.6">
      <c r="A135" s="26" t="str">
        <v>Q030</v>
      </c>
      <c r="B135" s="27" t="str">
        <v>NY</v>
      </c>
      <c r="C135" s="27" t="str">
        <f>Sites[[#This Row],[SOL'#]]</f>
        <v>SOL-10878</v>
      </c>
      <c r="D135" s="66"/>
      <c r="E135" s="14"/>
      <c r="F135" s="14" t="str">
        <f t="shared" si="14"/>
        <v/>
      </c>
      <c r="G135" s="68" t="str">
        <f t="shared" si="15"/>
        <v/>
      </c>
      <c r="H135" s="69"/>
      <c r="I135" s="69" t="str">
        <f t="shared" si="16"/>
        <v/>
      </c>
      <c r="J135" s="68" t="str">
        <f t="shared" si="17"/>
        <v/>
      </c>
      <c r="K135" s="38"/>
      <c r="L135" s="17"/>
      <c r="M135" s="103"/>
      <c r="N135" s="103"/>
      <c r="O135" s="103"/>
      <c r="P135" s="103"/>
      <c r="Q135" s="103"/>
      <c r="R135" s="103"/>
      <c r="S135" s="103"/>
      <c r="T135" s="103"/>
    </row>
    <row r="136" spans="1:20" ht="15.6">
      <c r="A136" s="24" t="str">
        <v>Q130</v>
      </c>
      <c r="B136" s="25" t="str">
        <v>NY</v>
      </c>
      <c r="C136" s="25" t="str">
        <f>Sites[[#This Row],[SOL'#]]</f>
        <v>SOL-10877</v>
      </c>
      <c r="D136" s="54"/>
      <c r="E136" s="10"/>
      <c r="F136" s="10" t="str">
        <f t="shared" si="14"/>
        <v/>
      </c>
      <c r="G136" s="55" t="str">
        <f t="shared" si="15"/>
        <v/>
      </c>
      <c r="H136" s="67"/>
      <c r="I136" s="67" t="str">
        <f t="shared" si="16"/>
        <v/>
      </c>
      <c r="J136" s="64" t="str">
        <f t="shared" si="17"/>
        <v/>
      </c>
      <c r="K136" s="56"/>
      <c r="L136" s="37"/>
      <c r="M136" s="103"/>
      <c r="N136" s="103"/>
      <c r="O136" s="103"/>
      <c r="P136" s="103"/>
      <c r="Q136" s="103"/>
      <c r="R136" s="103"/>
      <c r="S136" s="103"/>
      <c r="T136" s="103"/>
    </row>
    <row r="137" spans="1:20" ht="15.6">
      <c r="A137" s="26" t="str">
        <v>Q196</v>
      </c>
      <c r="B137" s="27" t="str">
        <v>NY</v>
      </c>
      <c r="C137" s="27" t="str">
        <f>Sites[[#This Row],[SOL'#]]</f>
        <v>SOL-10879</v>
      </c>
      <c r="D137" s="66"/>
      <c r="E137" s="14"/>
      <c r="F137" s="14" t="str">
        <f t="shared" si="14"/>
        <v/>
      </c>
      <c r="G137" s="68" t="str">
        <f t="shared" si="15"/>
        <v/>
      </c>
      <c r="H137" s="69"/>
      <c r="I137" s="69" t="str">
        <f t="shared" si="16"/>
        <v/>
      </c>
      <c r="J137" s="68" t="str">
        <f t="shared" si="17"/>
        <v/>
      </c>
      <c r="K137" s="38"/>
      <c r="L137" s="17"/>
      <c r="M137" s="103"/>
      <c r="N137" s="103"/>
      <c r="O137" s="103"/>
      <c r="P137" s="103"/>
      <c r="Q137" s="103"/>
      <c r="R137" s="103"/>
      <c r="S137" s="103"/>
      <c r="T137" s="103"/>
    </row>
    <row r="138" spans="1:20" ht="15.6">
      <c r="A138" s="24" t="str">
        <v>Q220</v>
      </c>
      <c r="B138" s="25" t="str">
        <v>NY</v>
      </c>
      <c r="C138" s="25" t="str">
        <f>Sites[[#This Row],[SOL'#]]</f>
        <v>SOL-10873</v>
      </c>
      <c r="D138" s="54"/>
      <c r="E138" s="10"/>
      <c r="F138" s="10" t="str">
        <f t="shared" si="14"/>
        <v/>
      </c>
      <c r="G138" s="55" t="str">
        <f t="shared" si="15"/>
        <v/>
      </c>
      <c r="H138" s="67"/>
      <c r="I138" s="67" t="str">
        <f t="shared" si="16"/>
        <v/>
      </c>
      <c r="J138" s="64" t="str">
        <f t="shared" si="17"/>
        <v/>
      </c>
      <c r="K138" s="56"/>
      <c r="L138" s="109"/>
      <c r="M138" s="103"/>
      <c r="N138" s="103"/>
      <c r="O138" s="103"/>
      <c r="P138" s="103"/>
      <c r="Q138" s="103"/>
      <c r="R138" s="103"/>
      <c r="S138" s="103"/>
      <c r="T138" s="103"/>
    </row>
    <row r="139" spans="1:20" ht="54" customHeight="1">
      <c r="A139" s="26" t="str">
        <v>Q205</v>
      </c>
      <c r="B139" s="27" t="str">
        <v>NY</v>
      </c>
      <c r="C139" s="27" t="str">
        <f>Sites[[#This Row],[SOL'#]]</f>
        <v>SOL-10922</v>
      </c>
      <c r="D139" s="66"/>
      <c r="E139" s="14"/>
      <c r="F139" s="14" t="str">
        <f t="shared" si="14"/>
        <v/>
      </c>
      <c r="G139" s="68" t="str">
        <f t="shared" si="15"/>
        <v/>
      </c>
      <c r="H139" s="69"/>
      <c r="I139" s="69" t="str">
        <f t="shared" si="16"/>
        <v/>
      </c>
      <c r="J139" s="68" t="str">
        <f t="shared" si="17"/>
        <v/>
      </c>
      <c r="K139" s="38"/>
      <c r="L139" s="114"/>
      <c r="M139" s="103"/>
      <c r="N139" s="103"/>
      <c r="O139" s="103"/>
      <c r="P139" s="103"/>
      <c r="Q139" s="103"/>
      <c r="R139" s="103"/>
      <c r="S139" s="103"/>
      <c r="T139" s="103"/>
    </row>
    <row r="140" spans="1:20" ht="158.25" customHeight="1">
      <c r="A140" s="24" t="str">
        <v>Q400</v>
      </c>
      <c r="B140" s="25" t="str">
        <v>NY</v>
      </c>
      <c r="C140" s="25" t="str">
        <f>Sites[[#This Row],[SOL'#]]</f>
        <v>SOL-10871</v>
      </c>
      <c r="D140" s="54"/>
      <c r="E140" s="10"/>
      <c r="F140" s="10" t="str">
        <f t="shared" si="14"/>
        <v/>
      </c>
      <c r="G140" s="55" t="str">
        <f t="shared" si="15"/>
        <v/>
      </c>
      <c r="H140" s="67"/>
      <c r="I140" s="67" t="str">
        <f t="shared" si="16"/>
        <v/>
      </c>
      <c r="J140" s="64" t="str">
        <f t="shared" si="17"/>
        <v/>
      </c>
      <c r="K140" s="56"/>
      <c r="L140" s="109"/>
      <c r="M140" s="102"/>
      <c r="N140" s="102"/>
      <c r="O140" s="102"/>
      <c r="P140" s="102"/>
      <c r="Q140" s="102"/>
      <c r="R140" s="103"/>
      <c r="S140" s="103"/>
      <c r="T140" s="103"/>
    </row>
    <row r="141" spans="1:20" ht="15.6">
      <c r="A141" s="26" t="str">
        <v>R003</v>
      </c>
      <c r="B141" s="27" t="str">
        <v>NY</v>
      </c>
      <c r="C141" s="27" t="str">
        <f>Sites[[#This Row],[SOL'#]]</f>
        <v>SOL-10416</v>
      </c>
      <c r="D141" s="66"/>
      <c r="E141" s="14"/>
      <c r="F141" s="14" t="str">
        <f t="shared" si="14"/>
        <v/>
      </c>
      <c r="G141" s="68" t="str">
        <f t="shared" si="15"/>
        <v/>
      </c>
      <c r="H141" s="69"/>
      <c r="I141" s="69" t="str">
        <f t="shared" si="16"/>
        <v/>
      </c>
      <c r="J141" s="68" t="str">
        <f t="shared" si="17"/>
        <v/>
      </c>
      <c r="K141" s="38"/>
      <c r="L141" s="17"/>
      <c r="M141" s="103"/>
      <c r="N141" s="103"/>
      <c r="O141" s="103"/>
      <c r="P141" s="103"/>
      <c r="Q141" s="103"/>
      <c r="R141" s="103"/>
      <c r="S141" s="103"/>
      <c r="T141" s="103"/>
    </row>
    <row r="142" spans="1:20" ht="15.6">
      <c r="A142" s="24" t="str">
        <v>R007</v>
      </c>
      <c r="B142" s="25" t="str">
        <v>NY</v>
      </c>
      <c r="C142" s="25" t="str">
        <f>Sites[[#This Row],[SOL'#]]</f>
        <v>SOL-10417</v>
      </c>
      <c r="D142" s="54"/>
      <c r="E142" s="10"/>
      <c r="F142" s="10" t="str">
        <f t="shared" si="14"/>
        <v/>
      </c>
      <c r="G142" s="55" t="str">
        <f t="shared" si="15"/>
        <v/>
      </c>
      <c r="H142" s="67"/>
      <c r="I142" s="67" t="str">
        <f t="shared" si="16"/>
        <v/>
      </c>
      <c r="J142" s="64" t="str">
        <f t="shared" si="17"/>
        <v/>
      </c>
      <c r="K142" s="56"/>
      <c r="L142" s="37"/>
      <c r="M142" s="103"/>
      <c r="N142" s="103"/>
      <c r="O142" s="103"/>
      <c r="P142" s="103"/>
      <c r="Q142" s="103"/>
      <c r="R142" s="103"/>
      <c r="S142" s="103"/>
      <c r="T142" s="103"/>
    </row>
    <row r="143" spans="1:20" ht="15.6">
      <c r="A143" s="26" t="str">
        <v>BK16</v>
      </c>
      <c r="B143" s="27" t="str">
        <v>NY</v>
      </c>
      <c r="C143" s="27" t="str">
        <f>Sites[[#This Row],[SOL'#]]</f>
        <v>SOL-11093</v>
      </c>
      <c r="D143" s="66"/>
      <c r="E143" s="14"/>
      <c r="F143" s="14" t="str">
        <f t="shared" si="14"/>
        <v/>
      </c>
      <c r="G143" s="68" t="str">
        <f t="shared" si="15"/>
        <v/>
      </c>
      <c r="H143" s="69"/>
      <c r="I143" s="69" t="str">
        <f t="shared" si="16"/>
        <v/>
      </c>
      <c r="J143" s="68" t="str">
        <f t="shared" si="17"/>
        <v/>
      </c>
      <c r="K143" s="38"/>
      <c r="L143" s="102"/>
      <c r="M143" s="103"/>
      <c r="N143" s="103"/>
      <c r="O143" s="103"/>
      <c r="P143" s="103"/>
      <c r="Q143" s="103"/>
      <c r="R143" s="103"/>
      <c r="S143" s="103"/>
      <c r="T143" s="103"/>
    </row>
    <row r="144" spans="1:20" ht="179.25" customHeight="1">
      <c r="A144" s="24" t="str">
        <v>Trenton - Trenton East</v>
      </c>
      <c r="B144" s="25" t="str">
        <v>IL</v>
      </c>
      <c r="C144" s="25" t="str">
        <f>Sites[[#This Row],[SOL'#]]</f>
        <v>SOL-11060</v>
      </c>
      <c r="D144" s="54"/>
      <c r="E144" s="10"/>
      <c r="F144" s="10" t="str">
        <f t="shared" si="14"/>
        <v/>
      </c>
      <c r="G144" s="55" t="str">
        <f t="shared" si="15"/>
        <v/>
      </c>
      <c r="H144" s="67"/>
      <c r="I144" s="67" t="str">
        <f t="shared" si="16"/>
        <v/>
      </c>
      <c r="J144" s="64" t="str">
        <f t="shared" si="17"/>
        <v/>
      </c>
      <c r="K144" s="56"/>
      <c r="L144" s="116"/>
      <c r="M144" s="102"/>
      <c r="N144" s="103"/>
      <c r="O144" s="103"/>
      <c r="P144" s="103"/>
      <c r="Q144" s="103"/>
      <c r="R144" s="103"/>
      <c r="S144" s="103"/>
      <c r="T144" s="103"/>
    </row>
    <row r="145" spans="1:20" ht="75.75" customHeight="1">
      <c r="A145" s="26" t="str">
        <v>Trenton - Trenton West</v>
      </c>
      <c r="B145" s="27" t="str">
        <v>IL</v>
      </c>
      <c r="C145" s="27" t="str">
        <f>Sites[[#This Row],[SOL'#]]</f>
        <v>SOL-11061</v>
      </c>
      <c r="D145" s="66"/>
      <c r="E145" s="14"/>
      <c r="F145" s="14" t="str">
        <f t="shared" si="14"/>
        <v/>
      </c>
      <c r="G145" s="68" t="str">
        <f t="shared" si="15"/>
        <v/>
      </c>
      <c r="H145" s="69"/>
      <c r="I145" s="69" t="str">
        <f t="shared" si="16"/>
        <v/>
      </c>
      <c r="J145" s="68" t="str">
        <f t="shared" si="17"/>
        <v/>
      </c>
      <c r="K145" s="50"/>
      <c r="L145" s="114"/>
      <c r="M145" s="102"/>
      <c r="N145" s="103"/>
      <c r="O145" s="103"/>
      <c r="P145" s="103"/>
      <c r="Q145" s="103"/>
      <c r="R145" s="103"/>
      <c r="S145" s="103"/>
      <c r="T145" s="103"/>
    </row>
    <row r="146" spans="1:20" ht="15.6">
      <c r="A146" s="24" t="str">
        <v>Dakota - Dakota Solar 1</v>
      </c>
      <c r="B146" s="25" t="str">
        <v>IL</v>
      </c>
      <c r="C146" s="25" t="str">
        <f>Sites[[#This Row],[SOL'#]]</f>
        <v>SOL-11113</v>
      </c>
      <c r="D146" s="54"/>
      <c r="E146" s="10"/>
      <c r="F146" s="10" t="str">
        <f t="shared" si="14"/>
        <v/>
      </c>
      <c r="G146" s="55" t="str">
        <f t="shared" si="15"/>
        <v/>
      </c>
      <c r="H146" s="126"/>
      <c r="I146" s="67" t="str">
        <f t="shared" si="16"/>
        <v/>
      </c>
      <c r="J146" s="64" t="str">
        <f t="shared" si="17"/>
        <v/>
      </c>
      <c r="K146" s="56"/>
      <c r="L146" s="116"/>
      <c r="M146" s="103"/>
      <c r="N146" s="103"/>
      <c r="O146" s="103"/>
      <c r="P146" s="103"/>
      <c r="Q146" s="103"/>
      <c r="R146" s="103"/>
      <c r="S146" s="103"/>
      <c r="T146" s="103"/>
    </row>
    <row r="147" spans="1:20" ht="15.6">
      <c r="A147" s="26" t="str">
        <v>X018</v>
      </c>
      <c r="B147" s="27" t="str">
        <v>NY</v>
      </c>
      <c r="C147" s="27" t="str">
        <f>Sites[[#This Row],[SOL'#]]</f>
        <v>SOL-10418</v>
      </c>
      <c r="D147" s="66"/>
      <c r="E147" s="14"/>
      <c r="F147" s="14" t="str">
        <f t="shared" si="14"/>
        <v/>
      </c>
      <c r="G147" s="68" t="str">
        <f t="shared" si="15"/>
        <v/>
      </c>
      <c r="H147" s="69"/>
      <c r="I147" s="69" t="str">
        <f t="shared" si="16"/>
        <v/>
      </c>
      <c r="J147" s="68" t="str">
        <f t="shared" si="17"/>
        <v/>
      </c>
      <c r="K147" s="38"/>
      <c r="L147" s="121"/>
      <c r="M147" s="102"/>
      <c r="N147" s="102"/>
      <c r="O147" s="103"/>
      <c r="P147" s="103"/>
      <c r="Q147" s="103"/>
      <c r="R147" s="103"/>
      <c r="S147" s="103"/>
      <c r="T147" s="103"/>
    </row>
    <row r="148" spans="1:20" ht="15.6">
      <c r="A148" s="24" t="str">
        <v>Janiak Solar</v>
      </c>
      <c r="B148" s="25" t="str">
        <v>NY</v>
      </c>
      <c r="C148" s="25" t="str">
        <f>Sites[[#This Row],[SOL'#]]</f>
        <v>SOL-10898</v>
      </c>
      <c r="D148" s="54"/>
      <c r="E148" s="10"/>
      <c r="F148" s="10" t="str">
        <f t="shared" si="14"/>
        <v/>
      </c>
      <c r="G148" s="55" t="str">
        <f t="shared" si="15"/>
        <v/>
      </c>
      <c r="H148" s="67"/>
      <c r="I148" s="67" t="str">
        <f t="shared" si="16"/>
        <v/>
      </c>
      <c r="J148" s="64" t="str">
        <f t="shared" si="17"/>
        <v/>
      </c>
      <c r="K148" s="56"/>
      <c r="L148" s="116"/>
      <c r="M148" s="103"/>
      <c r="N148" s="103"/>
      <c r="O148" s="103"/>
      <c r="P148" s="103"/>
      <c r="Q148" s="103"/>
      <c r="R148" s="103"/>
      <c r="S148" s="103"/>
      <c r="T148" s="103"/>
    </row>
    <row r="149" spans="1:20" ht="231.75" customHeight="1">
      <c r="A149" s="26" t="str">
        <v>County Route 11B</v>
      </c>
      <c r="B149" s="27" t="str">
        <v>NY</v>
      </c>
      <c r="C149" s="27" t="str">
        <f>Sites[[#This Row],[SOL'#]]</f>
        <v>SOL-10983</v>
      </c>
      <c r="D149" s="66"/>
      <c r="E149" s="14"/>
      <c r="F149" s="14" t="str">
        <f t="shared" si="14"/>
        <v/>
      </c>
      <c r="G149" s="68" t="str">
        <f t="shared" si="15"/>
        <v/>
      </c>
      <c r="H149" s="125"/>
      <c r="I149" s="69" t="str">
        <f t="shared" si="16"/>
        <v/>
      </c>
      <c r="J149" s="68" t="str">
        <f t="shared" si="17"/>
        <v/>
      </c>
      <c r="K149" s="38"/>
      <c r="L149" s="101"/>
      <c r="M149" s="102"/>
      <c r="N149" s="102"/>
      <c r="O149" s="103"/>
      <c r="P149" s="103"/>
      <c r="Q149" s="103"/>
      <c r="R149" s="103"/>
      <c r="S149" s="103"/>
      <c r="T149" s="103"/>
    </row>
    <row r="150" spans="1:20" ht="15.6">
      <c r="A150" s="24" t="str">
        <v>Barone</v>
      </c>
      <c r="B150" s="25" t="str">
        <v>NY</v>
      </c>
      <c r="C150" s="25" t="str">
        <f>Sites[[#This Row],[SOL'#]]</f>
        <v>SOL-11034</v>
      </c>
      <c r="D150" s="54"/>
      <c r="E150" s="10"/>
      <c r="F150" s="10" t="str">
        <f t="shared" si="14"/>
        <v/>
      </c>
      <c r="G150" s="55" t="str">
        <f t="shared" si="15"/>
        <v/>
      </c>
      <c r="H150" s="67"/>
      <c r="I150" s="67" t="str">
        <f t="shared" si="16"/>
        <v/>
      </c>
      <c r="J150" s="64" t="str">
        <f t="shared" si="17"/>
        <v/>
      </c>
      <c r="K150" s="56"/>
      <c r="L150" s="116"/>
      <c r="M150" s="102"/>
      <c r="N150" s="102"/>
      <c r="O150" s="103"/>
      <c r="P150" s="103"/>
      <c r="Q150" s="103"/>
      <c r="R150" s="103"/>
      <c r="S150" s="103"/>
      <c r="T150" s="103"/>
    </row>
    <row r="151" spans="1:20" ht="15.6">
      <c r="A151" s="26" t="str">
        <v>Cedarville</v>
      </c>
      <c r="B151" s="27" t="str">
        <v>IL</v>
      </c>
      <c r="C151" s="27" t="str">
        <f>Sites[[#This Row],[SOL'#]]</f>
        <v>SOL-11069</v>
      </c>
      <c r="D151" s="66"/>
      <c r="E151" s="14"/>
      <c r="F151" s="14" t="str">
        <f t="shared" si="14"/>
        <v/>
      </c>
      <c r="G151" s="68" t="str">
        <f t="shared" si="15"/>
        <v/>
      </c>
      <c r="H151" s="69"/>
      <c r="I151" s="69" t="str">
        <f t="shared" si="16"/>
        <v/>
      </c>
      <c r="J151" s="68" t="str">
        <f t="shared" si="17"/>
        <v/>
      </c>
      <c r="K151" s="38"/>
      <c r="L151" s="17"/>
      <c r="M151" s="103"/>
      <c r="N151" s="103"/>
      <c r="O151" s="103"/>
      <c r="P151" s="103"/>
      <c r="Q151" s="103"/>
      <c r="R151" s="103"/>
      <c r="S151" s="103"/>
      <c r="T151" s="103"/>
    </row>
    <row r="152" spans="1:20" ht="15.6">
      <c r="A152" s="24" t="str">
        <v xml:space="preserve"> O'Brien Hill #1</v>
      </c>
      <c r="B152" s="25" t="str">
        <v>NY</v>
      </c>
      <c r="C152" s="25" t="str">
        <f>Sites[[#This Row],[SOL'#]]</f>
        <v>SOL-11098</v>
      </c>
      <c r="D152" s="54"/>
      <c r="E152" s="10"/>
      <c r="F152" s="10" t="str">
        <f t="shared" si="14"/>
        <v/>
      </c>
      <c r="G152" s="55" t="str">
        <f t="shared" si="15"/>
        <v/>
      </c>
      <c r="H152" s="123"/>
      <c r="I152" s="67" t="str">
        <f t="shared" si="16"/>
        <v/>
      </c>
      <c r="J152" s="64" t="str">
        <f t="shared" si="17"/>
        <v/>
      </c>
      <c r="K152" s="56"/>
      <c r="L152" s="116"/>
      <c r="M152" s="102"/>
      <c r="N152" s="103"/>
      <c r="O152" s="103"/>
      <c r="P152" s="103"/>
      <c r="Q152" s="103"/>
      <c r="R152" s="103"/>
      <c r="S152" s="103"/>
      <c r="T152" s="103"/>
    </row>
    <row r="153" spans="1:20" ht="15.6">
      <c r="A153" s="26" t="str">
        <v xml:space="preserve"> O'Brien Hill #2</v>
      </c>
      <c r="B153" s="27" t="str">
        <v>NY</v>
      </c>
      <c r="C153" s="27" t="str">
        <f>Sites[[#This Row],[SOL'#]]</f>
        <v>SOL-11099</v>
      </c>
      <c r="D153" s="66"/>
      <c r="E153" s="14"/>
      <c r="F153" s="14" t="str">
        <f t="shared" si="14"/>
        <v/>
      </c>
      <c r="G153" s="68" t="str">
        <f t="shared" si="15"/>
        <v/>
      </c>
      <c r="H153" s="124"/>
      <c r="I153" s="69" t="str">
        <f t="shared" si="16"/>
        <v/>
      </c>
      <c r="J153" s="68" t="str">
        <f t="shared" si="17"/>
        <v/>
      </c>
      <c r="K153" s="38"/>
      <c r="L153" s="101"/>
      <c r="M153" s="102"/>
      <c r="N153" s="102"/>
      <c r="O153" s="103"/>
      <c r="P153" s="103"/>
      <c r="Q153" s="103"/>
      <c r="R153" s="103"/>
      <c r="S153" s="103"/>
      <c r="T153" s="103"/>
    </row>
    <row r="154" spans="1:20" ht="15.6">
      <c r="A154" s="24" t="str">
        <v>Trinity - Freeport</v>
      </c>
      <c r="B154" s="25" t="str">
        <v>IL</v>
      </c>
      <c r="C154" s="25" t="str">
        <f>Sites[[#This Row],[SOL'#]]</f>
        <v>SOL-11057</v>
      </c>
      <c r="D154" s="54"/>
      <c r="E154" s="10"/>
      <c r="F154" s="10" t="str">
        <f t="shared" si="14"/>
        <v/>
      </c>
      <c r="G154" s="55" t="str">
        <f t="shared" si="15"/>
        <v/>
      </c>
      <c r="H154" s="123"/>
      <c r="I154" s="67" t="str">
        <f t="shared" si="16"/>
        <v/>
      </c>
      <c r="J154" s="64" t="str">
        <f t="shared" si="17"/>
        <v/>
      </c>
      <c r="K154" s="56"/>
      <c r="L154" s="116"/>
      <c r="M154" s="102"/>
      <c r="N154" s="103"/>
      <c r="O154" s="103"/>
      <c r="P154" s="103"/>
      <c r="Q154" s="103"/>
      <c r="R154" s="103"/>
      <c r="S154" s="103"/>
      <c r="T154" s="103"/>
    </row>
    <row r="155" spans="1:20" ht="15.6">
      <c r="A155" s="26" t="str">
        <v>Ransom</v>
      </c>
      <c r="B155" s="27" t="str">
        <v>NY</v>
      </c>
      <c r="C155" s="27" t="str">
        <f>Sites[[#This Row],[SOL'#]]</f>
        <v>SOL-11157</v>
      </c>
      <c r="D155" s="66"/>
      <c r="E155" s="14"/>
      <c r="F155" s="14" t="str">
        <f t="shared" si="14"/>
        <v/>
      </c>
      <c r="G155" s="68" t="str">
        <f t="shared" si="15"/>
        <v/>
      </c>
      <c r="H155" s="124"/>
      <c r="I155" s="69" t="str">
        <f t="shared" si="16"/>
        <v/>
      </c>
      <c r="J155" s="68" t="str">
        <f t="shared" si="17"/>
        <v/>
      </c>
      <c r="K155" s="38"/>
      <c r="L155" s="121"/>
      <c r="M155" s="102"/>
      <c r="N155" s="102"/>
      <c r="O155" s="102"/>
      <c r="P155" s="103"/>
      <c r="Q155" s="103"/>
      <c r="R155" s="103"/>
      <c r="S155" s="103"/>
      <c r="T155" s="103"/>
    </row>
    <row r="156" spans="1:20" ht="15.6">
      <c r="A156" s="24" t="str">
        <v>Horseheads - Wedge</v>
      </c>
      <c r="B156" s="25" t="str">
        <v>NY</v>
      </c>
      <c r="C156" s="25" t="str">
        <f>Sites[[#This Row],[SOL'#]]</f>
        <v>SOL-11160</v>
      </c>
      <c r="D156" s="54"/>
      <c r="E156" s="10"/>
      <c r="F156" s="10" t="str">
        <f t="shared" si="14"/>
        <v/>
      </c>
      <c r="G156" s="55" t="str">
        <f t="shared" si="15"/>
        <v/>
      </c>
      <c r="H156" s="123"/>
      <c r="I156" s="67" t="str">
        <f t="shared" si="16"/>
        <v/>
      </c>
      <c r="J156" s="64" t="str">
        <f t="shared" si="17"/>
        <v/>
      </c>
      <c r="K156" s="56"/>
      <c r="L156" s="116"/>
      <c r="M156" s="103"/>
      <c r="N156" s="103"/>
      <c r="O156" s="103"/>
      <c r="P156" s="103"/>
      <c r="Q156" s="103"/>
      <c r="R156" s="103"/>
      <c r="S156" s="103"/>
      <c r="T156" s="103"/>
    </row>
    <row r="157" spans="1:20" ht="15.6">
      <c r="A157" s="26" t="str">
        <v>Otisville - Shoddy Hollow</v>
      </c>
      <c r="B157" s="27" t="str">
        <v>NY</v>
      </c>
      <c r="C157" s="27" t="str">
        <f>Sites[[#This Row],[SOL'#]]</f>
        <v>SOL-11185</v>
      </c>
      <c r="D157" s="66"/>
      <c r="E157" s="14"/>
      <c r="F157" s="14" t="str">
        <f t="shared" si="14"/>
        <v/>
      </c>
      <c r="G157" s="68" t="str">
        <f t="shared" si="15"/>
        <v/>
      </c>
      <c r="H157" s="124"/>
      <c r="I157" s="69" t="str">
        <f t="shared" si="16"/>
        <v/>
      </c>
      <c r="J157" s="68" t="str">
        <f t="shared" si="17"/>
        <v/>
      </c>
      <c r="K157" s="38"/>
      <c r="L157" s="101"/>
      <c r="M157" s="102"/>
      <c r="N157" s="102"/>
      <c r="O157" s="102"/>
      <c r="P157" s="103"/>
      <c r="Q157" s="103"/>
      <c r="R157" s="103"/>
      <c r="S157" s="103"/>
      <c r="T157" s="103"/>
    </row>
    <row r="158" spans="1:20" ht="142.5" customHeight="1">
      <c r="A158" s="24" t="str">
        <v>Wellsville - Chenunda Creek</v>
      </c>
      <c r="B158" s="25" t="str">
        <v>NY</v>
      </c>
      <c r="C158" s="25" t="str">
        <f>Sites[[#This Row],[SOL'#]]</f>
        <v>SOL-11187</v>
      </c>
      <c r="D158" s="54"/>
      <c r="E158" s="10"/>
      <c r="F158" s="10" t="str">
        <f t="shared" ref="F158:F164" si="18">IF(AND(ISNUMBER(D158),ISNUMBER(E158)), D158-E158, "")</f>
        <v/>
      </c>
      <c r="G158" s="55" t="str">
        <f t="shared" ref="G158:G164" si="19">IFERROR(F158/E158, "")</f>
        <v/>
      </c>
      <c r="H158" s="123"/>
      <c r="I158" s="67" t="str">
        <f t="shared" ref="I158:I164" si="20">IF(AND(ISNUMBER(D158),ISNUMBER(H158)), D158-H158, "")</f>
        <v/>
      </c>
      <c r="J158" s="64" t="str">
        <f t="shared" ref="J158:J164" si="21">IFERROR(I158/H158, "")</f>
        <v/>
      </c>
      <c r="K158" s="56"/>
      <c r="L158" s="100"/>
      <c r="M158" s="102"/>
      <c r="N158" s="102"/>
      <c r="O158" s="102"/>
      <c r="P158" s="102"/>
      <c r="Q158" s="103"/>
      <c r="R158" s="103"/>
      <c r="S158" s="103"/>
      <c r="T158" s="103"/>
    </row>
    <row r="159" spans="1:20" ht="15.6">
      <c r="A159" s="26" t="str">
        <v>DC: Washington - Essex Condominium</v>
      </c>
      <c r="B159" s="27" t="str">
        <v>DC</v>
      </c>
      <c r="C159" s="27" t="str">
        <f>Sites[[#This Row],[SOL'#]]</f>
        <v>SOL-10036</v>
      </c>
      <c r="D159" s="66"/>
      <c r="E159" s="14"/>
      <c r="F159" s="14" t="str">
        <f t="shared" si="18"/>
        <v/>
      </c>
      <c r="G159" s="68" t="str">
        <f t="shared" si="19"/>
        <v/>
      </c>
      <c r="H159" s="124"/>
      <c r="I159" s="69" t="str">
        <f t="shared" si="20"/>
        <v/>
      </c>
      <c r="J159" s="68" t="str">
        <f t="shared" si="21"/>
        <v/>
      </c>
      <c r="K159" s="38"/>
      <c r="L159" s="101"/>
    </row>
    <row r="160" spans="1:20" ht="15.6">
      <c r="A160" s="24" t="str">
        <v>HI: Waipahu - 94-246 Leoku St - E.F.G.</v>
      </c>
      <c r="B160" s="25" t="str">
        <v>HI</v>
      </c>
      <c r="C160" s="25" t="str">
        <f>Sites[[#This Row],[SOL'#]]</f>
        <v>SOL-10071</v>
      </c>
      <c r="D160" s="54"/>
      <c r="E160" s="10"/>
      <c r="F160" s="10" t="str">
        <f t="shared" si="18"/>
        <v/>
      </c>
      <c r="G160" s="55" t="str">
        <f t="shared" si="19"/>
        <v/>
      </c>
      <c r="H160" s="123"/>
      <c r="I160" s="67" t="str">
        <f t="shared" si="20"/>
        <v/>
      </c>
      <c r="J160" s="64" t="str">
        <f t="shared" si="21"/>
        <v/>
      </c>
      <c r="K160" s="56"/>
      <c r="L160" s="100"/>
    </row>
    <row r="161" spans="1:12" ht="15.6">
      <c r="A161" s="26" t="str">
        <v>HI: Waipahu - 94-099 Waipahu St - PV</v>
      </c>
      <c r="B161" s="27" t="str">
        <v>HI</v>
      </c>
      <c r="C161" s="27" t="str">
        <f>Sites[[#This Row],[SOL'#]]</f>
        <v>SOL-10068</v>
      </c>
      <c r="D161" s="66"/>
      <c r="E161" s="14"/>
      <c r="F161" s="14" t="str">
        <f t="shared" si="18"/>
        <v/>
      </c>
      <c r="G161" s="68" t="str">
        <f t="shared" si="19"/>
        <v/>
      </c>
      <c r="H161" s="124"/>
      <c r="I161" s="69" t="str">
        <f t="shared" si="20"/>
        <v/>
      </c>
      <c r="J161" s="68" t="str">
        <f t="shared" si="21"/>
        <v/>
      </c>
      <c r="K161" s="38"/>
      <c r="L161" s="101"/>
    </row>
    <row r="162" spans="1:12" ht="15.6">
      <c r="A162" s="24" t="str">
        <v>IL: Prophetstown - 5170 Yager Road (PW)</v>
      </c>
      <c r="B162" s="25" t="str">
        <v>IL</v>
      </c>
      <c r="C162" s="25" t="str">
        <f>Sites[[#This Row],[SOL'#]]</f>
        <v>SOL-11149</v>
      </c>
      <c r="D162" s="54"/>
      <c r="E162" s="10"/>
      <c r="F162" s="10" t="str">
        <f t="shared" si="18"/>
        <v/>
      </c>
      <c r="G162" s="55" t="str">
        <f t="shared" si="19"/>
        <v/>
      </c>
      <c r="H162" s="123"/>
      <c r="I162" s="67" t="str">
        <f t="shared" si="20"/>
        <v/>
      </c>
      <c r="J162" s="64" t="str">
        <f t="shared" si="21"/>
        <v/>
      </c>
      <c r="K162" s="56"/>
      <c r="L162" s="100"/>
    </row>
    <row r="163" spans="1:12" ht="15.6">
      <c r="A163" s="26" t="str">
        <v>IL: Viola - Goldenrod - (PW)</v>
      </c>
      <c r="B163" s="27" t="str">
        <v>IL</v>
      </c>
      <c r="C163" s="27" t="str">
        <f>Sites[[#This Row],[SOL'#]]</f>
        <v>SOL-11132</v>
      </c>
      <c r="D163" s="66"/>
      <c r="E163" s="14"/>
      <c r="F163" s="14" t="str">
        <f t="shared" si="18"/>
        <v/>
      </c>
      <c r="G163" s="68" t="str">
        <f t="shared" si="19"/>
        <v/>
      </c>
      <c r="H163" s="124"/>
      <c r="I163" s="69" t="str">
        <f t="shared" si="20"/>
        <v/>
      </c>
      <c r="J163" s="68" t="str">
        <f t="shared" si="21"/>
        <v/>
      </c>
      <c r="K163" s="38"/>
      <c r="L163" s="101"/>
    </row>
    <row r="164" spans="1:12" ht="15.6">
      <c r="A164" s="24" t="str">
        <v>IL: Marengo - Grant - (PW)</v>
      </c>
      <c r="B164" s="25" t="str">
        <v>IL</v>
      </c>
      <c r="C164" s="25" t="str">
        <f>Sites[[#This Row],[SOL'#]]</f>
        <v>SOL-11147</v>
      </c>
      <c r="D164" s="54"/>
      <c r="E164" s="10"/>
      <c r="F164" s="10" t="str">
        <f t="shared" si="18"/>
        <v/>
      </c>
      <c r="G164" s="55" t="str">
        <f t="shared" si="19"/>
        <v/>
      </c>
      <c r="H164" s="123"/>
      <c r="I164" s="67" t="str">
        <f t="shared" si="20"/>
        <v/>
      </c>
      <c r="J164" s="64" t="str">
        <f t="shared" si="21"/>
        <v/>
      </c>
      <c r="K164" s="56"/>
      <c r="L164" s="100"/>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row r="174" spans="1:12">
      <c r="A174" t="str">
        <v>IL: Morrison - Sawyer (PW)</v>
      </c>
      <c r="B174" s="30" t="str">
        <v>IL</v>
      </c>
    </row>
    <row r="175" spans="1:12">
      <c r="A175" t="str">
        <v>IL: Kankakee - Jeffery (PW)</v>
      </c>
      <c r="B175" s="30" t="str">
        <v>IL</v>
      </c>
    </row>
    <row r="176" spans="1:12">
      <c r="A176" t="str">
        <v>IL: Freeport - 2240 South 18th Ave (PW)</v>
      </c>
      <c r="B176" s="30" t="str">
        <v>IL</v>
      </c>
    </row>
  </sheetData>
  <mergeCells count="4">
    <mergeCell ref="H1:J1"/>
    <mergeCell ref="A1:D1"/>
    <mergeCell ref="E1:G1"/>
    <mergeCell ref="A2:B2"/>
  </mergeCells>
  <phoneticPr fontId="40" type="noConversion"/>
  <conditionalFormatting sqref="G2 J2 G4:G164 J4:J164">
    <cfRule type="cellIs" dxfId="34" priority="27" stopIfTrue="1" operator="lessThanOrEqual">
      <formula>-0.1</formula>
    </cfRule>
    <cfRule type="expression" dxfId="33" priority="28">
      <formula>AND(ISNUMBER(G2), G2&gt;=0.1)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176"/>
  <sheetViews>
    <sheetView zoomScale="40" zoomScaleNormal="40" workbookViewId="0">
      <pane xSplit="2" ySplit="3" topLeftCell="C55"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12.140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95" t="str" cm="1">
        <f t="array" ref="A1">portfolio</f>
        <v>Generate Capital</v>
      </c>
      <c r="B1" s="195"/>
      <c r="C1" s="195"/>
      <c r="D1" s="195"/>
      <c r="E1" s="196" t="s">
        <v>378</v>
      </c>
      <c r="F1" s="196"/>
      <c r="G1" s="196"/>
      <c r="H1" s="194" t="s">
        <v>379</v>
      </c>
      <c r="I1" s="194"/>
      <c r="J1" s="194"/>
      <c r="K1" s="4"/>
      <c r="L1" s="4"/>
    </row>
    <row r="2" spans="1:27" ht="15.6">
      <c r="A2" s="197" t="s">
        <v>2</v>
      </c>
      <c r="B2" s="197"/>
      <c r="C2" s="57"/>
      <c r="D2" s="5">
        <f>SUM(D4:D143)</f>
        <v>0</v>
      </c>
      <c r="E2" s="5">
        <f>SUM(E4:E143)</f>
        <v>0</v>
      </c>
      <c r="F2" s="5">
        <f>D2-E2</f>
        <v>0</v>
      </c>
      <c r="G2" s="6">
        <f>IFERROR(F2/E2, 0)</f>
        <v>0</v>
      </c>
      <c r="H2" s="5">
        <f>SUM(H4:H143)</f>
        <v>0</v>
      </c>
      <c r="I2" s="7">
        <f>D2-H2</f>
        <v>0</v>
      </c>
      <c r="J2" s="6">
        <f>IFERROR(I2/H2, 0)</f>
        <v>0</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7" ht="15.6">
      <c r="A3" s="8" t="s">
        <v>3</v>
      </c>
      <c r="B3" s="8" t="s">
        <v>4</v>
      </c>
      <c r="C3" s="8" t="s">
        <v>5</v>
      </c>
      <c r="D3" s="19" t="s">
        <v>6</v>
      </c>
      <c r="E3" s="31" t="s">
        <v>7</v>
      </c>
      <c r="F3" s="31" t="s">
        <v>8</v>
      </c>
      <c r="G3" s="32" t="s">
        <v>9</v>
      </c>
      <c r="H3" s="33" t="s">
        <v>10</v>
      </c>
      <c r="I3" s="34" t="s">
        <v>8</v>
      </c>
      <c r="J3" s="35" t="s">
        <v>9</v>
      </c>
      <c r="K3" s="21" t="s">
        <v>24</v>
      </c>
      <c r="L3" s="21" t="s">
        <v>25</v>
      </c>
    </row>
    <row r="4" spans="1:27" ht="15.6">
      <c r="A4" s="26" t="str" cm="1">
        <f t="array" ref="A4:A176">Sites[Site]</f>
        <v>K026</v>
      </c>
      <c r="B4" s="27" t="str" cm="1">
        <f t="array" ref="B4:B176">Sites[State]</f>
        <v>NY</v>
      </c>
      <c r="C4" s="9" t="str">
        <f>Sites[[#This Row],[SOL'#]]</f>
        <v>SOL-10356</v>
      </c>
      <c r="D4" s="9"/>
      <c r="E4" s="14"/>
      <c r="F4" s="14" t="str">
        <f t="shared" ref="F4:F64" si="0">IF(AND(ISNUMBER(D4),ISNUMBER(E4)), D4-E4, "")</f>
        <v/>
      </c>
      <c r="G4" s="15" t="str">
        <f t="shared" ref="G4:G64" si="1">IFERROR(F4/E4, "")</f>
        <v/>
      </c>
      <c r="H4" s="16"/>
      <c r="I4" s="16" t="str">
        <f t="shared" ref="I4:I64" si="2">IF(AND(ISNUMBER(D4),ISNUMBER(H4)), D4-H4, "")</f>
        <v/>
      </c>
      <c r="J4" s="15" t="str">
        <f t="shared" ref="J4:J43" si="3">IFERROR(I4/H4, "")</f>
        <v/>
      </c>
      <c r="K4" s="51"/>
      <c r="L4" s="52"/>
      <c r="M4" s="103"/>
      <c r="N4" s="103"/>
      <c r="O4" s="103"/>
      <c r="P4" s="103"/>
      <c r="Q4" s="103"/>
      <c r="R4" s="103"/>
      <c r="S4" s="103"/>
      <c r="T4" s="103"/>
      <c r="U4" s="103"/>
      <c r="V4" s="103"/>
      <c r="W4" s="103"/>
      <c r="X4" s="103"/>
      <c r="Y4" s="103"/>
      <c r="Z4" s="103"/>
      <c r="AA4" s="103"/>
    </row>
    <row r="5" spans="1:27" ht="15.6">
      <c r="A5" s="24" t="str">
        <v>K041</v>
      </c>
      <c r="B5" s="25" t="str">
        <v>NY</v>
      </c>
      <c r="C5" s="25" t="str">
        <f>Sites[[#This Row],[SOL'#]]</f>
        <v>SOL-10357</v>
      </c>
      <c r="D5" s="20"/>
      <c r="E5" s="10"/>
      <c r="F5" s="10" t="str">
        <f t="shared" si="0"/>
        <v/>
      </c>
      <c r="G5" s="11" t="str">
        <f t="shared" si="1"/>
        <v/>
      </c>
      <c r="H5" s="12"/>
      <c r="I5" s="12" t="str">
        <f t="shared" si="2"/>
        <v/>
      </c>
      <c r="J5" s="13" t="str">
        <f t="shared" si="3"/>
        <v/>
      </c>
      <c r="K5" s="53"/>
      <c r="L5" s="98"/>
      <c r="M5" s="103"/>
      <c r="N5" s="103"/>
      <c r="O5" s="103"/>
      <c r="P5" s="103"/>
      <c r="Q5" s="103"/>
      <c r="R5" s="103"/>
      <c r="S5" s="103"/>
      <c r="T5" s="103"/>
      <c r="U5" s="103"/>
      <c r="V5" s="103"/>
      <c r="W5" s="103"/>
      <c r="X5" s="103"/>
      <c r="Y5" s="103"/>
      <c r="Z5" s="103"/>
      <c r="AA5" s="103"/>
    </row>
    <row r="6" spans="1:27" ht="17.25" customHeight="1">
      <c r="A6" s="26" t="str">
        <v>K043</v>
      </c>
      <c r="B6" s="27" t="str">
        <v>NY</v>
      </c>
      <c r="C6" s="9" t="str">
        <f>Sites[[#This Row],[SOL'#]]</f>
        <v>SOL-10358</v>
      </c>
      <c r="D6" s="9"/>
      <c r="E6" s="14"/>
      <c r="F6" s="14" t="str">
        <f t="shared" si="0"/>
        <v/>
      </c>
      <c r="G6" s="15" t="str">
        <f t="shared" si="1"/>
        <v/>
      </c>
      <c r="H6" s="16"/>
      <c r="I6" s="16" t="str">
        <f t="shared" si="2"/>
        <v/>
      </c>
      <c r="J6" s="15" t="str">
        <f t="shared" si="3"/>
        <v/>
      </c>
      <c r="K6" s="51"/>
      <c r="L6" s="52"/>
      <c r="M6" s="103"/>
      <c r="N6" s="103"/>
      <c r="O6" s="103"/>
      <c r="P6" s="103"/>
      <c r="Q6" s="103"/>
      <c r="R6" s="103"/>
      <c r="S6" s="103"/>
      <c r="T6" s="103"/>
      <c r="U6" s="103"/>
      <c r="V6" s="103"/>
      <c r="W6" s="103"/>
      <c r="X6" s="103"/>
      <c r="Y6" s="103"/>
      <c r="Z6" s="103"/>
      <c r="AA6" s="103"/>
    </row>
    <row r="7" spans="1:27" ht="15.6">
      <c r="A7" s="24" t="str">
        <v>K058</v>
      </c>
      <c r="B7" s="25" t="str">
        <v>NY</v>
      </c>
      <c r="C7" s="25" t="str">
        <f>Sites[[#This Row],[SOL'#]]</f>
        <v>SOL-10360</v>
      </c>
      <c r="D7" s="20"/>
      <c r="E7" s="10"/>
      <c r="F7" s="10" t="str">
        <f t="shared" si="0"/>
        <v/>
      </c>
      <c r="G7" s="11" t="str">
        <f t="shared" si="1"/>
        <v/>
      </c>
      <c r="H7" s="12"/>
      <c r="I7" s="12" t="str">
        <f t="shared" si="2"/>
        <v/>
      </c>
      <c r="J7" s="13" t="str">
        <f t="shared" si="3"/>
        <v/>
      </c>
      <c r="K7" s="53"/>
      <c r="L7" s="98"/>
      <c r="M7" s="103"/>
      <c r="N7" s="103"/>
      <c r="O7" s="103"/>
      <c r="P7" s="103"/>
      <c r="Q7" s="103"/>
      <c r="R7" s="103"/>
      <c r="S7" s="103"/>
      <c r="T7" s="103"/>
      <c r="U7" s="103"/>
      <c r="V7" s="103"/>
      <c r="W7" s="103"/>
      <c r="X7" s="103"/>
      <c r="Y7" s="103"/>
      <c r="Z7" s="103"/>
      <c r="AA7" s="103"/>
    </row>
    <row r="8" spans="1:27" ht="15.6">
      <c r="A8" s="26" t="str">
        <v>K115</v>
      </c>
      <c r="B8" s="27" t="str">
        <v>NY</v>
      </c>
      <c r="C8" s="9" t="str">
        <f>Sites[[#This Row],[SOL'#]]</f>
        <v>SOL-10361</v>
      </c>
      <c r="D8" s="9"/>
      <c r="E8" s="14"/>
      <c r="F8" s="14" t="str">
        <f t="shared" si="0"/>
        <v/>
      </c>
      <c r="G8" s="15" t="str">
        <f t="shared" si="1"/>
        <v/>
      </c>
      <c r="H8" s="16"/>
      <c r="I8" s="16" t="str">
        <f t="shared" si="2"/>
        <v/>
      </c>
      <c r="J8" s="15" t="str">
        <f t="shared" si="3"/>
        <v/>
      </c>
      <c r="K8" s="51"/>
      <c r="L8" s="99"/>
      <c r="M8" s="103"/>
      <c r="N8" s="103"/>
      <c r="O8" s="103"/>
      <c r="P8" s="103"/>
      <c r="Q8" s="103"/>
      <c r="R8" s="103"/>
      <c r="S8" s="103"/>
      <c r="T8" s="103"/>
      <c r="U8" s="103"/>
      <c r="V8" s="103"/>
      <c r="W8" s="103"/>
      <c r="X8" s="103"/>
      <c r="Y8" s="103"/>
      <c r="Z8" s="103"/>
      <c r="AA8" s="103"/>
    </row>
    <row r="9" spans="1:27" ht="15.6">
      <c r="A9" s="24" t="str">
        <v>K152</v>
      </c>
      <c r="B9" s="25" t="str">
        <v>NY</v>
      </c>
      <c r="C9" s="25" t="str">
        <f>Sites[[#This Row],[SOL'#]]</f>
        <v>SOL-10362</v>
      </c>
      <c r="D9" s="20"/>
      <c r="E9" s="10"/>
      <c r="F9" s="10" t="str">
        <f t="shared" si="0"/>
        <v/>
      </c>
      <c r="G9" s="11" t="str">
        <f t="shared" si="1"/>
        <v/>
      </c>
      <c r="H9" s="12"/>
      <c r="I9" s="12" t="str">
        <f t="shared" si="2"/>
        <v/>
      </c>
      <c r="J9" s="13" t="str">
        <f t="shared" si="3"/>
        <v/>
      </c>
      <c r="K9" s="53"/>
      <c r="L9" s="53"/>
      <c r="M9" s="103"/>
      <c r="N9" s="103"/>
      <c r="O9" s="103"/>
      <c r="P9" s="103"/>
      <c r="Q9" s="103"/>
      <c r="R9" s="103"/>
      <c r="S9" s="103"/>
      <c r="T9" s="103"/>
      <c r="U9" s="103"/>
      <c r="V9" s="103"/>
      <c r="W9" s="103"/>
      <c r="X9" s="103"/>
      <c r="Y9" s="103"/>
      <c r="Z9" s="103"/>
      <c r="AA9" s="103"/>
    </row>
    <row r="10" spans="1:27" ht="15.6">
      <c r="A10" s="26" t="str">
        <v>K166</v>
      </c>
      <c r="B10" s="27" t="str">
        <v>NY</v>
      </c>
      <c r="C10" s="9" t="str">
        <f>Sites[[#This Row],[SOL'#]]</f>
        <v>SOL-10363</v>
      </c>
      <c r="D10" s="9"/>
      <c r="E10" s="14"/>
      <c r="F10" s="14" t="str">
        <f t="shared" si="0"/>
        <v/>
      </c>
      <c r="G10" s="15" t="str">
        <f t="shared" si="1"/>
        <v/>
      </c>
      <c r="H10" s="16"/>
      <c r="I10" s="16" t="str">
        <f t="shared" si="2"/>
        <v/>
      </c>
      <c r="J10" s="15" t="str">
        <f t="shared" si="3"/>
        <v/>
      </c>
      <c r="K10" s="51"/>
      <c r="L10" s="52"/>
      <c r="M10" s="103"/>
      <c r="N10" s="103"/>
      <c r="O10" s="103"/>
      <c r="P10" s="103"/>
      <c r="Q10" s="103"/>
      <c r="R10" s="103"/>
      <c r="S10" s="103"/>
      <c r="T10" s="103"/>
      <c r="U10" s="103"/>
      <c r="V10" s="103"/>
      <c r="W10" s="103"/>
      <c r="X10" s="103"/>
      <c r="Y10" s="103"/>
      <c r="Z10" s="103"/>
      <c r="AA10" s="103"/>
    </row>
    <row r="11" spans="1:27" ht="15.6">
      <c r="A11" s="24" t="str">
        <v>K206</v>
      </c>
      <c r="B11" s="25" t="str">
        <v>NY</v>
      </c>
      <c r="C11" s="25" t="str">
        <f>Sites[[#This Row],[SOL'#]]</f>
        <v>SOL-10927</v>
      </c>
      <c r="D11" s="20"/>
      <c r="E11" s="10"/>
      <c r="F11" s="10" t="str">
        <f t="shared" si="0"/>
        <v/>
      </c>
      <c r="G11" s="11" t="str">
        <f t="shared" si="1"/>
        <v/>
      </c>
      <c r="H11" s="12"/>
      <c r="I11" s="12" t="str">
        <f t="shared" si="2"/>
        <v/>
      </c>
      <c r="J11" s="13" t="str">
        <f t="shared" si="3"/>
        <v/>
      </c>
      <c r="K11" s="53"/>
      <c r="L11" s="53"/>
      <c r="M11" s="103"/>
      <c r="N11" s="103"/>
      <c r="O11" s="103"/>
      <c r="P11" s="103"/>
      <c r="Q11" s="103"/>
      <c r="R11" s="103"/>
      <c r="S11" s="103"/>
      <c r="T11" s="103"/>
      <c r="U11" s="103"/>
      <c r="V11" s="103"/>
      <c r="W11" s="103"/>
      <c r="X11" s="103"/>
      <c r="Y11" s="103"/>
      <c r="Z11" s="103"/>
      <c r="AA11" s="103"/>
    </row>
    <row r="12" spans="1:27" ht="16.5" customHeight="1">
      <c r="A12" s="26" t="str">
        <v>K251</v>
      </c>
      <c r="B12" s="27" t="str">
        <v>NY</v>
      </c>
      <c r="C12" s="9" t="str">
        <f>Sites[[#This Row],[SOL'#]]</f>
        <v>SOL-10365</v>
      </c>
      <c r="D12" s="9"/>
      <c r="E12" s="14"/>
      <c r="F12" s="14" t="str">
        <f t="shared" si="0"/>
        <v/>
      </c>
      <c r="G12" s="15" t="str">
        <f t="shared" si="1"/>
        <v/>
      </c>
      <c r="H12" s="16"/>
      <c r="I12" s="16" t="str">
        <f t="shared" si="2"/>
        <v/>
      </c>
      <c r="J12" s="15" t="str">
        <f t="shared" si="3"/>
        <v/>
      </c>
      <c r="K12" s="51"/>
      <c r="L12" s="99"/>
      <c r="M12" s="103"/>
      <c r="N12" s="103"/>
      <c r="O12" s="103"/>
      <c r="P12" s="103"/>
      <c r="Q12" s="103"/>
      <c r="R12" s="103"/>
      <c r="S12" s="103"/>
      <c r="T12" s="103"/>
      <c r="U12" s="103"/>
      <c r="V12" s="103"/>
      <c r="W12" s="103"/>
      <c r="X12" s="103"/>
      <c r="Y12" s="103"/>
      <c r="Z12" s="103"/>
      <c r="AA12" s="103"/>
    </row>
    <row r="13" spans="1:27" ht="15.6">
      <c r="A13" s="24" t="str">
        <v>K269</v>
      </c>
      <c r="B13" s="25" t="str">
        <v>NY</v>
      </c>
      <c r="C13" s="25" t="str">
        <f>Sites[[#This Row],[SOL'#]]</f>
        <v>SOL-10366</v>
      </c>
      <c r="D13" s="20"/>
      <c r="E13" s="10"/>
      <c r="F13" s="10" t="str">
        <f t="shared" si="0"/>
        <v/>
      </c>
      <c r="G13" s="11" t="str">
        <f t="shared" si="1"/>
        <v/>
      </c>
      <c r="H13" s="12"/>
      <c r="I13" s="12" t="str">
        <f t="shared" si="2"/>
        <v/>
      </c>
      <c r="J13" s="13" t="str">
        <f t="shared" si="3"/>
        <v/>
      </c>
      <c r="K13" s="53"/>
      <c r="L13" s="53"/>
      <c r="M13" s="103"/>
      <c r="N13" s="103"/>
      <c r="O13" s="103"/>
      <c r="P13" s="103"/>
      <c r="Q13" s="103"/>
      <c r="R13" s="103"/>
      <c r="S13" s="103"/>
      <c r="T13" s="103"/>
      <c r="U13" s="103"/>
      <c r="V13" s="103"/>
      <c r="W13" s="103"/>
      <c r="X13" s="103"/>
      <c r="Y13" s="103"/>
      <c r="Z13" s="103"/>
      <c r="AA13" s="103"/>
    </row>
    <row r="14" spans="1:27" ht="15.6">
      <c r="A14" s="26" t="str">
        <v>K273</v>
      </c>
      <c r="B14" s="27" t="str">
        <v>NY</v>
      </c>
      <c r="C14" s="9" t="str">
        <f>Sites[[#This Row],[SOL'#]]</f>
        <v>SOL-10367</v>
      </c>
      <c r="D14" s="9"/>
      <c r="E14" s="14"/>
      <c r="F14" s="14" t="str">
        <f t="shared" si="0"/>
        <v/>
      </c>
      <c r="G14" s="15" t="str">
        <f t="shared" si="1"/>
        <v/>
      </c>
      <c r="H14" s="16"/>
      <c r="I14" s="16" t="str">
        <f t="shared" si="2"/>
        <v/>
      </c>
      <c r="J14" s="15" t="str">
        <f t="shared" si="3"/>
        <v/>
      </c>
      <c r="K14" s="61"/>
      <c r="L14" s="101"/>
      <c r="M14" s="102"/>
      <c r="N14" s="102"/>
      <c r="O14" s="103"/>
      <c r="P14" s="103"/>
      <c r="Q14" s="103"/>
      <c r="R14" s="103"/>
      <c r="S14" s="103"/>
      <c r="T14" s="103"/>
      <c r="U14" s="103"/>
      <c r="V14" s="103"/>
      <c r="W14" s="103"/>
      <c r="X14" s="103"/>
      <c r="Y14" s="103"/>
      <c r="Z14" s="103"/>
      <c r="AA14" s="103"/>
    </row>
    <row r="15" spans="1:27" ht="15.6">
      <c r="A15" s="24" t="str">
        <v>K287</v>
      </c>
      <c r="B15" s="25" t="str">
        <v>NY</v>
      </c>
      <c r="C15" s="25" t="str">
        <f>Sites[[#This Row],[SOL'#]]</f>
        <v>SOL-10919</v>
      </c>
      <c r="D15" s="20"/>
      <c r="E15" s="10"/>
      <c r="F15" s="10" t="str">
        <f t="shared" si="0"/>
        <v/>
      </c>
      <c r="G15" s="11" t="str">
        <f t="shared" si="1"/>
        <v/>
      </c>
      <c r="H15" s="12"/>
      <c r="I15" s="12" t="str">
        <f t="shared" si="2"/>
        <v/>
      </c>
      <c r="J15" s="13" t="str">
        <f t="shared" si="3"/>
        <v/>
      </c>
      <c r="K15" s="53"/>
      <c r="L15" s="53"/>
      <c r="M15" s="103"/>
      <c r="N15" s="103"/>
      <c r="O15" s="103"/>
      <c r="P15" s="103"/>
      <c r="Q15" s="103"/>
      <c r="R15" s="103"/>
      <c r="S15" s="103"/>
      <c r="T15" s="103"/>
      <c r="U15" s="103"/>
      <c r="V15" s="103"/>
      <c r="W15" s="103"/>
      <c r="X15" s="103"/>
      <c r="Y15" s="103"/>
      <c r="Z15" s="103"/>
      <c r="AA15" s="103"/>
    </row>
    <row r="16" spans="1:27" ht="15.6">
      <c r="A16" s="26" t="str">
        <v>K298</v>
      </c>
      <c r="B16" s="27" t="str">
        <v>NY</v>
      </c>
      <c r="C16" s="9" t="str">
        <f>Sites[[#This Row],[SOL'#]]</f>
        <v>SOL-10368</v>
      </c>
      <c r="D16" s="9"/>
      <c r="E16" s="14"/>
      <c r="F16" s="14" t="str">
        <f t="shared" si="0"/>
        <v/>
      </c>
      <c r="G16" s="15" t="str">
        <f t="shared" si="1"/>
        <v/>
      </c>
      <c r="H16" s="16"/>
      <c r="I16" s="16" t="str">
        <f t="shared" si="2"/>
        <v/>
      </c>
      <c r="J16" s="15" t="str">
        <f t="shared" si="3"/>
        <v/>
      </c>
      <c r="K16" s="51"/>
      <c r="L16" s="52"/>
      <c r="M16" s="103"/>
      <c r="N16" s="103"/>
      <c r="O16" s="103"/>
      <c r="P16" s="103"/>
      <c r="Q16" s="103"/>
      <c r="R16" s="103"/>
      <c r="S16" s="103"/>
      <c r="T16" s="103"/>
      <c r="U16" s="103"/>
      <c r="V16" s="103"/>
      <c r="W16" s="103"/>
      <c r="X16" s="103"/>
      <c r="Y16" s="103"/>
      <c r="Z16" s="103"/>
      <c r="AA16" s="103"/>
    </row>
    <row r="17" spans="1:27" ht="15.6">
      <c r="A17" s="24" t="str">
        <v>K335</v>
      </c>
      <c r="B17" s="25" t="str">
        <v>NY</v>
      </c>
      <c r="C17" s="25" t="str">
        <f>Sites[[#This Row],[SOL'#]]</f>
        <v>SOL-10370</v>
      </c>
      <c r="D17" s="20"/>
      <c r="E17" s="10"/>
      <c r="F17" s="10" t="str">
        <f t="shared" si="0"/>
        <v/>
      </c>
      <c r="G17" s="11" t="str">
        <f t="shared" si="1"/>
        <v/>
      </c>
      <c r="H17" s="12"/>
      <c r="I17" s="12" t="str">
        <f t="shared" si="2"/>
        <v/>
      </c>
      <c r="J17" s="13" t="str">
        <f t="shared" si="3"/>
        <v/>
      </c>
      <c r="K17" s="53"/>
      <c r="L17" s="53"/>
      <c r="M17" s="103"/>
      <c r="N17" s="103"/>
      <c r="O17" s="103"/>
      <c r="P17" s="103"/>
      <c r="Q17" s="103"/>
      <c r="R17" s="103"/>
      <c r="S17" s="103"/>
      <c r="T17" s="103"/>
      <c r="U17" s="103"/>
      <c r="V17" s="103"/>
      <c r="W17" s="103"/>
      <c r="X17" s="103"/>
      <c r="Y17" s="103"/>
      <c r="Z17" s="103"/>
      <c r="AA17" s="103"/>
    </row>
    <row r="18" spans="1:27" ht="15.6">
      <c r="A18" s="26" t="str">
        <v>K345</v>
      </c>
      <c r="B18" s="27" t="str">
        <v>NY</v>
      </c>
      <c r="C18" s="9" t="str">
        <f>Sites[[#This Row],[SOL'#]]</f>
        <v>SOL-10920</v>
      </c>
      <c r="D18" s="9"/>
      <c r="E18" s="14"/>
      <c r="F18" s="14" t="str">
        <f t="shared" si="0"/>
        <v/>
      </c>
      <c r="G18" s="15" t="str">
        <f t="shared" si="1"/>
        <v/>
      </c>
      <c r="H18" s="16"/>
      <c r="I18" s="16" t="str">
        <f t="shared" si="2"/>
        <v/>
      </c>
      <c r="J18" s="15" t="str">
        <f t="shared" si="3"/>
        <v/>
      </c>
      <c r="K18" s="51"/>
      <c r="L18" s="52"/>
      <c r="M18" s="103"/>
      <c r="N18" s="103"/>
      <c r="O18" s="103"/>
      <c r="P18" s="103"/>
      <c r="Q18" s="103"/>
      <c r="R18" s="103"/>
      <c r="S18" s="103"/>
      <c r="T18" s="103"/>
      <c r="U18" s="103"/>
      <c r="V18" s="103"/>
      <c r="W18" s="103"/>
      <c r="X18" s="103"/>
      <c r="Y18" s="103"/>
      <c r="Z18" s="103"/>
      <c r="AA18" s="103"/>
    </row>
    <row r="19" spans="1:27" ht="15.6">
      <c r="A19" s="24" t="str">
        <v>K445</v>
      </c>
      <c r="B19" s="25" t="str">
        <v>NY</v>
      </c>
      <c r="C19" s="25" t="str">
        <f>Sites[[#This Row],[SOL'#]]</f>
        <v>SOL-10373</v>
      </c>
      <c r="D19" s="20"/>
      <c r="E19" s="10"/>
      <c r="F19" s="10" t="str">
        <f t="shared" si="0"/>
        <v/>
      </c>
      <c r="G19" s="11" t="str">
        <f t="shared" si="1"/>
        <v/>
      </c>
      <c r="H19" s="12"/>
      <c r="I19" s="12" t="str">
        <f t="shared" si="2"/>
        <v/>
      </c>
      <c r="J19" s="13" t="str">
        <f t="shared" si="3"/>
        <v/>
      </c>
      <c r="K19" s="53"/>
      <c r="L19" s="53"/>
      <c r="M19" s="103"/>
      <c r="N19" s="103"/>
      <c r="O19" s="103"/>
      <c r="P19" s="103"/>
      <c r="Q19" s="103"/>
      <c r="R19" s="103"/>
      <c r="S19" s="103"/>
      <c r="T19" s="103"/>
      <c r="U19" s="103"/>
      <c r="V19" s="103"/>
      <c r="W19" s="103"/>
      <c r="X19" s="103"/>
      <c r="Y19" s="103"/>
      <c r="Z19" s="103"/>
      <c r="AA19" s="103"/>
    </row>
    <row r="20" spans="1:27" ht="49.5" customHeight="1">
      <c r="A20" s="26" t="str">
        <v>K495</v>
      </c>
      <c r="B20" s="27" t="str">
        <v>NY</v>
      </c>
      <c r="C20" s="9" t="str">
        <f>Sites[[#This Row],[SOL'#]]</f>
        <v>SOL-10374</v>
      </c>
      <c r="D20" s="9"/>
      <c r="E20" s="14"/>
      <c r="F20" s="14" t="str">
        <f t="shared" si="0"/>
        <v/>
      </c>
      <c r="G20" s="15" t="str">
        <f t="shared" si="1"/>
        <v/>
      </c>
      <c r="H20" s="16"/>
      <c r="I20" s="16" t="str">
        <f t="shared" si="2"/>
        <v/>
      </c>
      <c r="J20" s="15" t="str">
        <f t="shared" si="3"/>
        <v/>
      </c>
      <c r="K20" s="51"/>
      <c r="L20" s="99"/>
      <c r="M20" s="103"/>
      <c r="N20" s="103"/>
      <c r="O20" s="103"/>
      <c r="P20" s="103"/>
      <c r="Q20" s="103"/>
      <c r="R20" s="103"/>
      <c r="S20" s="103"/>
      <c r="T20" s="103"/>
      <c r="U20" s="103"/>
      <c r="V20" s="103"/>
      <c r="W20" s="103"/>
      <c r="X20" s="103"/>
      <c r="Y20" s="103"/>
      <c r="Z20" s="103"/>
      <c r="AA20" s="103"/>
    </row>
    <row r="21" spans="1:27" ht="15.6">
      <c r="A21" s="24" t="str">
        <v>M020</v>
      </c>
      <c r="B21" s="25" t="str">
        <v>NY</v>
      </c>
      <c r="C21" s="25" t="str">
        <f>Sites[[#This Row],[SOL'#]]</f>
        <v>SOL-10380</v>
      </c>
      <c r="D21" s="20"/>
      <c r="E21" s="10"/>
      <c r="F21" s="10" t="str">
        <f t="shared" si="0"/>
        <v/>
      </c>
      <c r="G21" s="11" t="str">
        <f t="shared" si="1"/>
        <v/>
      </c>
      <c r="H21" s="12"/>
      <c r="I21" s="12" t="str">
        <f t="shared" si="2"/>
        <v/>
      </c>
      <c r="J21" s="13" t="str">
        <f t="shared" si="3"/>
        <v/>
      </c>
      <c r="K21" s="53"/>
      <c r="L21" s="98"/>
      <c r="M21" s="103"/>
      <c r="N21" s="103"/>
      <c r="O21" s="103"/>
      <c r="P21" s="103"/>
      <c r="Q21" s="103"/>
      <c r="R21" s="103"/>
      <c r="S21" s="103"/>
      <c r="T21" s="103"/>
      <c r="U21" s="103"/>
      <c r="V21" s="103"/>
      <c r="W21" s="103"/>
      <c r="X21" s="103"/>
      <c r="Y21" s="103"/>
      <c r="Z21" s="103"/>
      <c r="AA21" s="103"/>
    </row>
    <row r="22" spans="1:27" ht="15.6">
      <c r="A22" s="26" t="str">
        <v>M092</v>
      </c>
      <c r="B22" s="27" t="str">
        <v>NY</v>
      </c>
      <c r="C22" s="9" t="str">
        <f>Sites[[#This Row],[SOL'#]]</f>
        <v>SOL-10383</v>
      </c>
      <c r="D22" s="9"/>
      <c r="E22" s="14"/>
      <c r="F22" s="14" t="str">
        <f t="shared" si="0"/>
        <v/>
      </c>
      <c r="G22" s="15" t="str">
        <f t="shared" si="1"/>
        <v/>
      </c>
      <c r="H22" s="16"/>
      <c r="I22" s="16" t="str">
        <f t="shared" si="2"/>
        <v/>
      </c>
      <c r="J22" s="15" t="str">
        <f t="shared" si="3"/>
        <v/>
      </c>
      <c r="K22" s="51"/>
      <c r="L22" s="51"/>
      <c r="M22" s="103"/>
      <c r="N22" s="103"/>
      <c r="O22" s="103"/>
      <c r="P22" s="103"/>
      <c r="Q22" s="103"/>
      <c r="R22" s="103"/>
      <c r="S22" s="103"/>
      <c r="T22" s="103"/>
      <c r="U22" s="103"/>
      <c r="V22" s="103"/>
      <c r="W22" s="103"/>
      <c r="X22" s="103"/>
      <c r="Y22" s="103"/>
      <c r="Z22" s="103"/>
      <c r="AA22" s="103"/>
    </row>
    <row r="23" spans="1:27" ht="15.6">
      <c r="A23" s="24" t="str">
        <v>M143</v>
      </c>
      <c r="B23" s="25" t="str">
        <v>NY</v>
      </c>
      <c r="C23" s="25" t="str">
        <f>Sites[[#This Row],[SOL'#]]</f>
        <v>SOL-10384</v>
      </c>
      <c r="D23" s="20"/>
      <c r="E23" s="10"/>
      <c r="F23" s="10" t="str">
        <f t="shared" si="0"/>
        <v/>
      </c>
      <c r="G23" s="11" t="str">
        <f t="shared" si="1"/>
        <v/>
      </c>
      <c r="H23" s="12"/>
      <c r="I23" s="12" t="str">
        <f t="shared" si="2"/>
        <v/>
      </c>
      <c r="J23" s="13" t="str">
        <f t="shared" si="3"/>
        <v/>
      </c>
      <c r="K23" s="53"/>
      <c r="L23" s="98"/>
      <c r="M23" s="103"/>
      <c r="N23" s="103"/>
      <c r="O23" s="103"/>
      <c r="P23" s="103"/>
      <c r="Q23" s="103"/>
      <c r="R23" s="103"/>
      <c r="S23" s="103"/>
      <c r="T23" s="103"/>
      <c r="U23" s="103"/>
      <c r="V23" s="103"/>
      <c r="W23" s="103"/>
      <c r="X23" s="103"/>
      <c r="Y23" s="103"/>
      <c r="Z23" s="103"/>
      <c r="AA23" s="103"/>
    </row>
    <row r="24" spans="1:27" ht="15.6">
      <c r="A24" s="26" t="str">
        <v>M144</v>
      </c>
      <c r="B24" s="27" t="str">
        <v>NY</v>
      </c>
      <c r="C24" s="9" t="str">
        <f>Sites[[#This Row],[SOL'#]]</f>
        <v>SOL-10385</v>
      </c>
      <c r="D24" s="9"/>
      <c r="E24" s="14"/>
      <c r="F24" s="14" t="str">
        <f t="shared" si="0"/>
        <v/>
      </c>
      <c r="G24" s="15" t="str">
        <f t="shared" si="1"/>
        <v/>
      </c>
      <c r="H24" s="16"/>
      <c r="I24" s="16" t="str">
        <f t="shared" si="2"/>
        <v/>
      </c>
      <c r="J24" s="15" t="str">
        <f t="shared" si="3"/>
        <v/>
      </c>
      <c r="K24" s="51"/>
      <c r="L24" s="51"/>
      <c r="M24" s="103"/>
      <c r="N24" s="103"/>
      <c r="O24" s="103"/>
      <c r="P24" s="103"/>
      <c r="Q24" s="103"/>
      <c r="R24" s="103"/>
      <c r="S24" s="103"/>
      <c r="T24" s="103"/>
      <c r="U24" s="103"/>
      <c r="V24" s="103"/>
      <c r="W24" s="103"/>
      <c r="X24" s="103"/>
      <c r="Y24" s="103"/>
      <c r="Z24" s="103"/>
      <c r="AA24" s="103"/>
    </row>
    <row r="25" spans="1:27" ht="15.6">
      <c r="A25" s="24" t="str">
        <v>M167</v>
      </c>
      <c r="B25" s="25" t="str">
        <v>NY</v>
      </c>
      <c r="C25" s="25" t="str">
        <f>Sites[[#This Row],[SOL'#]]</f>
        <v>SOL-10386</v>
      </c>
      <c r="D25" s="20"/>
      <c r="E25" s="10"/>
      <c r="F25" s="10" t="str">
        <f t="shared" si="0"/>
        <v/>
      </c>
      <c r="G25" s="11" t="str">
        <f t="shared" si="1"/>
        <v/>
      </c>
      <c r="H25" s="12"/>
      <c r="I25" s="12" t="str">
        <f t="shared" si="2"/>
        <v/>
      </c>
      <c r="J25" s="13" t="str">
        <f t="shared" si="3"/>
        <v/>
      </c>
      <c r="K25" s="53"/>
      <c r="L25" s="53"/>
      <c r="M25" s="103"/>
      <c r="N25" s="103"/>
      <c r="O25" s="103"/>
      <c r="P25" s="103"/>
      <c r="Q25" s="103"/>
      <c r="R25" s="103"/>
      <c r="S25" s="103"/>
      <c r="T25" s="103"/>
      <c r="U25" s="103"/>
      <c r="V25" s="103"/>
      <c r="W25" s="103"/>
      <c r="X25" s="103"/>
      <c r="Y25" s="103"/>
      <c r="Z25" s="103"/>
      <c r="AA25" s="103"/>
    </row>
    <row r="26" spans="1:27" ht="45.75" customHeight="1">
      <c r="A26" s="26" t="str">
        <v>M188</v>
      </c>
      <c r="B26" s="27" t="str">
        <v>NY</v>
      </c>
      <c r="C26" s="9" t="str">
        <f>Sites[[#This Row],[SOL'#]]</f>
        <v>SOL-10387</v>
      </c>
      <c r="D26" s="9"/>
      <c r="E26" s="14"/>
      <c r="F26" s="14" t="str">
        <f t="shared" si="0"/>
        <v/>
      </c>
      <c r="G26" s="15" t="str">
        <f t="shared" si="1"/>
        <v/>
      </c>
      <c r="H26" s="16"/>
      <c r="I26" s="16" t="str">
        <f t="shared" si="2"/>
        <v/>
      </c>
      <c r="J26" s="15" t="str">
        <f t="shared" si="3"/>
        <v/>
      </c>
      <c r="K26" s="51"/>
      <c r="L26" s="99"/>
      <c r="M26" s="102"/>
      <c r="N26" s="103"/>
      <c r="O26" s="103"/>
      <c r="P26" s="103"/>
      <c r="Q26" s="103"/>
      <c r="R26" s="103"/>
      <c r="S26" s="103"/>
      <c r="T26" s="103"/>
      <c r="U26" s="103"/>
      <c r="V26" s="103"/>
      <c r="W26" s="103"/>
      <c r="X26" s="103"/>
      <c r="Y26" s="103"/>
      <c r="Z26" s="103"/>
      <c r="AA26" s="103"/>
    </row>
    <row r="27" spans="1:27" ht="15.6">
      <c r="A27" s="24" t="str">
        <v>EMHC</v>
      </c>
      <c r="B27" s="25" t="str">
        <v>NY</v>
      </c>
      <c r="C27" s="25" t="str">
        <f>Sites[[#This Row],[SOL'#]]</f>
        <v>SOL-10351</v>
      </c>
      <c r="D27" s="20"/>
      <c r="E27" s="10"/>
      <c r="F27" s="10" t="str">
        <f t="shared" si="0"/>
        <v/>
      </c>
      <c r="G27" s="11" t="str">
        <f t="shared" si="1"/>
        <v/>
      </c>
      <c r="H27" s="12"/>
      <c r="I27" s="12" t="str">
        <f t="shared" si="2"/>
        <v/>
      </c>
      <c r="J27" s="13" t="str">
        <f t="shared" si="3"/>
        <v/>
      </c>
      <c r="K27" s="53"/>
      <c r="L27" s="53"/>
      <c r="M27" s="103"/>
      <c r="N27" s="103"/>
      <c r="O27" s="103"/>
      <c r="P27" s="103"/>
      <c r="Q27" s="103"/>
      <c r="R27" s="103"/>
      <c r="S27" s="103"/>
      <c r="T27" s="103"/>
      <c r="U27" s="103"/>
      <c r="V27" s="103"/>
      <c r="W27" s="103"/>
      <c r="X27" s="103"/>
      <c r="Y27" s="103"/>
      <c r="Z27" s="103"/>
      <c r="AA27" s="103"/>
    </row>
    <row r="28" spans="1:27" ht="15.6">
      <c r="A28" s="26" t="str">
        <v>Q008</v>
      </c>
      <c r="B28" s="27" t="str">
        <v>NY</v>
      </c>
      <c r="C28" s="9" t="str">
        <f>Sites[[#This Row],[SOL'#]]</f>
        <v>SOL-10397</v>
      </c>
      <c r="D28" s="9"/>
      <c r="E28" s="14"/>
      <c r="F28" s="14" t="str">
        <f t="shared" si="0"/>
        <v/>
      </c>
      <c r="G28" s="15" t="str">
        <f t="shared" si="1"/>
        <v/>
      </c>
      <c r="H28" s="16"/>
      <c r="I28" s="12" t="str">
        <f t="shared" si="2"/>
        <v/>
      </c>
      <c r="J28" s="15" t="str">
        <f t="shared" si="3"/>
        <v/>
      </c>
      <c r="K28" s="51"/>
      <c r="L28" s="99"/>
      <c r="M28" s="103"/>
      <c r="N28" s="103"/>
      <c r="O28" s="103"/>
      <c r="P28" s="103"/>
      <c r="Q28" s="103"/>
      <c r="R28" s="103"/>
      <c r="S28" s="103"/>
      <c r="T28" s="103"/>
      <c r="U28" s="103"/>
      <c r="V28" s="103"/>
      <c r="W28" s="103"/>
      <c r="X28" s="103"/>
      <c r="Y28" s="103"/>
      <c r="Z28" s="103"/>
      <c r="AA28" s="103"/>
    </row>
    <row r="29" spans="1:27" ht="15.6">
      <c r="A29" s="24" t="str">
        <v>Q018</v>
      </c>
      <c r="B29" s="25" t="str">
        <v>NY</v>
      </c>
      <c r="C29" s="25" t="str">
        <f>Sites[[#This Row],[SOL'#]]</f>
        <v>SOL-10398</v>
      </c>
      <c r="D29" s="20"/>
      <c r="E29" s="10"/>
      <c r="F29" s="10" t="str">
        <f t="shared" si="0"/>
        <v/>
      </c>
      <c r="G29" s="11" t="str">
        <f t="shared" si="1"/>
        <v/>
      </c>
      <c r="H29" s="12"/>
      <c r="I29" s="12" t="str">
        <f t="shared" si="2"/>
        <v/>
      </c>
      <c r="J29" s="13" t="str">
        <f t="shared" si="3"/>
        <v/>
      </c>
      <c r="K29" s="53"/>
      <c r="L29" s="53"/>
      <c r="M29" s="103"/>
      <c r="N29" s="103"/>
      <c r="O29" s="103"/>
      <c r="P29" s="103"/>
      <c r="Q29" s="103"/>
      <c r="R29" s="103"/>
      <c r="S29" s="103"/>
      <c r="T29" s="103"/>
      <c r="U29" s="103"/>
      <c r="V29" s="103"/>
      <c r="W29" s="103"/>
      <c r="X29" s="103"/>
      <c r="Y29" s="103"/>
      <c r="Z29" s="103"/>
      <c r="AA29" s="103"/>
    </row>
    <row r="30" spans="1:27" ht="15.6">
      <c r="A30" s="26" t="str">
        <v>Q021</v>
      </c>
      <c r="B30" s="27" t="str">
        <v>NY</v>
      </c>
      <c r="C30" s="9" t="str">
        <f>Sites[[#This Row],[SOL'#]]</f>
        <v>SOL-10399</v>
      </c>
      <c r="D30" s="9"/>
      <c r="E30" s="14"/>
      <c r="F30" s="14" t="str">
        <f t="shared" si="0"/>
        <v/>
      </c>
      <c r="G30" s="15" t="str">
        <f t="shared" si="1"/>
        <v/>
      </c>
      <c r="H30" s="16"/>
      <c r="I30" s="16" t="str">
        <f t="shared" si="2"/>
        <v/>
      </c>
      <c r="J30" s="15" t="str">
        <f t="shared" si="3"/>
        <v/>
      </c>
      <c r="K30" s="51"/>
      <c r="L30" s="52"/>
      <c r="M30" s="103"/>
      <c r="N30" s="103"/>
      <c r="O30" s="103"/>
      <c r="P30" s="103"/>
      <c r="Q30" s="103"/>
      <c r="R30" s="103"/>
      <c r="S30" s="103"/>
      <c r="T30" s="103"/>
      <c r="U30" s="103"/>
      <c r="V30" s="103"/>
      <c r="W30" s="103"/>
      <c r="X30" s="103"/>
      <c r="Y30" s="103"/>
      <c r="Z30" s="103"/>
      <c r="AA30" s="103"/>
    </row>
    <row r="31" spans="1:27" ht="15.75" customHeight="1">
      <c r="A31" s="24" t="str">
        <v>Q025</v>
      </c>
      <c r="B31" s="25" t="str">
        <v>NY</v>
      </c>
      <c r="C31" s="25" t="str">
        <f>Sites[[#This Row],[SOL'#]]</f>
        <v>SOL-10400</v>
      </c>
      <c r="D31" s="20"/>
      <c r="E31" s="10"/>
      <c r="F31" s="10" t="str">
        <f t="shared" si="0"/>
        <v/>
      </c>
      <c r="G31" s="11" t="str">
        <f t="shared" si="1"/>
        <v/>
      </c>
      <c r="H31" s="12"/>
      <c r="I31" s="12" t="str">
        <f t="shared" si="2"/>
        <v/>
      </c>
      <c r="J31" s="13" t="str">
        <f t="shared" si="3"/>
        <v/>
      </c>
      <c r="K31" s="53"/>
      <c r="L31" s="53"/>
      <c r="M31" s="103"/>
      <c r="N31" s="103"/>
      <c r="O31" s="103"/>
      <c r="P31" s="103"/>
      <c r="Q31" s="103"/>
      <c r="R31" s="103"/>
      <c r="S31" s="103"/>
      <c r="T31" s="103"/>
      <c r="U31" s="103"/>
      <c r="V31" s="103"/>
      <c r="W31" s="103"/>
      <c r="X31" s="103"/>
      <c r="Y31" s="103"/>
      <c r="Z31" s="103"/>
      <c r="AA31" s="103"/>
    </row>
    <row r="32" spans="1:27" ht="15.6">
      <c r="A32" s="26" t="str">
        <v>Q074</v>
      </c>
      <c r="B32" s="27" t="str">
        <v>NY</v>
      </c>
      <c r="C32" s="9" t="str">
        <f>Sites[[#This Row],[SOL'#]]</f>
        <v>SOL-10402</v>
      </c>
      <c r="D32" s="9"/>
      <c r="E32" s="14"/>
      <c r="F32" s="14" t="str">
        <f t="shared" si="0"/>
        <v/>
      </c>
      <c r="G32" s="15" t="str">
        <f t="shared" si="1"/>
        <v/>
      </c>
      <c r="H32" s="16"/>
      <c r="I32" s="16" t="str">
        <f t="shared" si="2"/>
        <v/>
      </c>
      <c r="J32" s="15" t="str">
        <f t="shared" si="3"/>
        <v/>
      </c>
      <c r="K32" s="106"/>
      <c r="L32" s="52"/>
      <c r="M32" s="103"/>
      <c r="N32" s="103"/>
      <c r="O32" s="103"/>
      <c r="P32" s="103"/>
      <c r="Q32" s="103"/>
      <c r="R32" s="103"/>
      <c r="S32" s="103"/>
      <c r="T32" s="103"/>
      <c r="U32" s="103"/>
      <c r="V32" s="103"/>
      <c r="W32" s="103"/>
      <c r="X32" s="103"/>
      <c r="Y32" s="103"/>
      <c r="Z32" s="103"/>
      <c r="AA32" s="103"/>
    </row>
    <row r="33" spans="1:27" ht="15.6">
      <c r="A33" s="24" t="str">
        <v>Q115</v>
      </c>
      <c r="B33" s="25" t="str">
        <v>NY</v>
      </c>
      <c r="C33" s="25" t="str">
        <f>Sites[[#This Row],[SOL'#]]</f>
        <v>SOL-10872</v>
      </c>
      <c r="D33" s="20"/>
      <c r="E33" s="10"/>
      <c r="F33" s="10" t="str">
        <f t="shared" si="0"/>
        <v/>
      </c>
      <c r="G33" s="11" t="str">
        <f t="shared" si="1"/>
        <v/>
      </c>
      <c r="H33" s="12"/>
      <c r="I33" s="12" t="str">
        <f t="shared" si="2"/>
        <v/>
      </c>
      <c r="J33" s="13" t="str">
        <f t="shared" si="3"/>
        <v/>
      </c>
      <c r="K33" s="53"/>
      <c r="L33" s="53"/>
      <c r="M33" s="103"/>
      <c r="N33" s="103"/>
      <c r="O33" s="103"/>
      <c r="P33" s="103"/>
      <c r="Q33" s="103"/>
      <c r="R33" s="103"/>
      <c r="S33" s="103"/>
      <c r="T33" s="103"/>
      <c r="U33" s="103"/>
      <c r="V33" s="103"/>
      <c r="W33" s="103"/>
      <c r="X33" s="103"/>
      <c r="Y33" s="103"/>
      <c r="Z33" s="103"/>
      <c r="AA33" s="103"/>
    </row>
    <row r="34" spans="1:27" ht="15.6">
      <c r="A34" s="26" t="str">
        <v>Q139</v>
      </c>
      <c r="B34" s="27" t="str">
        <v>NY</v>
      </c>
      <c r="C34" s="9" t="str">
        <f>Sites[[#This Row],[SOL'#]]</f>
        <v>SOL-10403</v>
      </c>
      <c r="D34" s="9"/>
      <c r="E34" s="14"/>
      <c r="F34" s="14" t="str">
        <f t="shared" si="0"/>
        <v/>
      </c>
      <c r="G34" s="15" t="str">
        <f t="shared" si="1"/>
        <v/>
      </c>
      <c r="H34" s="16"/>
      <c r="I34" s="16" t="str">
        <f t="shared" si="2"/>
        <v/>
      </c>
      <c r="J34" s="15" t="str">
        <f t="shared" si="3"/>
        <v/>
      </c>
      <c r="K34" s="106"/>
      <c r="L34" s="52"/>
      <c r="M34" s="103"/>
      <c r="N34" s="103"/>
      <c r="O34" s="103"/>
      <c r="P34" s="103"/>
      <c r="Q34" s="103"/>
      <c r="R34" s="103"/>
      <c r="S34" s="103"/>
      <c r="T34" s="103"/>
      <c r="U34" s="103"/>
      <c r="V34" s="103"/>
      <c r="W34" s="103"/>
      <c r="X34" s="103"/>
      <c r="Y34" s="103"/>
      <c r="Z34" s="103"/>
      <c r="AA34" s="103"/>
    </row>
    <row r="35" spans="1:27" ht="15.6">
      <c r="A35" s="24" t="str">
        <v>Q157</v>
      </c>
      <c r="B35" s="25" t="str">
        <v>NY</v>
      </c>
      <c r="C35" s="25" t="str">
        <f>Sites[[#This Row],[SOL'#]]</f>
        <v>SOL-10404</v>
      </c>
      <c r="D35" s="20"/>
      <c r="E35" s="10"/>
      <c r="F35" s="10" t="str">
        <f t="shared" si="0"/>
        <v/>
      </c>
      <c r="G35" s="11" t="str">
        <f t="shared" si="1"/>
        <v/>
      </c>
      <c r="H35" s="12"/>
      <c r="I35" s="12" t="str">
        <f t="shared" si="2"/>
        <v/>
      </c>
      <c r="J35" s="13" t="str">
        <f t="shared" si="3"/>
        <v/>
      </c>
      <c r="K35" s="53"/>
      <c r="L35" s="53"/>
      <c r="M35" s="103"/>
      <c r="N35" s="103"/>
      <c r="O35" s="103"/>
      <c r="P35" s="103"/>
      <c r="Q35" s="103"/>
      <c r="R35" s="103"/>
      <c r="S35" s="103"/>
      <c r="T35" s="103"/>
      <c r="U35" s="103"/>
      <c r="V35" s="103"/>
      <c r="W35" s="103"/>
      <c r="X35" s="103"/>
      <c r="Y35" s="103"/>
      <c r="Z35" s="103"/>
      <c r="AA35" s="103"/>
    </row>
    <row r="36" spans="1:27" ht="15.6">
      <c r="A36" s="26" t="str">
        <v>Q192</v>
      </c>
      <c r="B36" s="27" t="str">
        <v>NY</v>
      </c>
      <c r="C36" s="9" t="str">
        <f>Sites[[#This Row],[SOL'#]]</f>
        <v>SOL-10406</v>
      </c>
      <c r="D36" s="9"/>
      <c r="E36" s="14"/>
      <c r="F36" s="14" t="str">
        <f t="shared" si="0"/>
        <v/>
      </c>
      <c r="G36" s="15" t="str">
        <f t="shared" si="1"/>
        <v/>
      </c>
      <c r="H36" s="16"/>
      <c r="I36" s="16" t="str">
        <f t="shared" si="2"/>
        <v/>
      </c>
      <c r="J36" s="15" t="str">
        <f t="shared" si="3"/>
        <v/>
      </c>
      <c r="K36" s="51"/>
      <c r="L36" s="51"/>
      <c r="M36" s="103"/>
      <c r="N36" s="103"/>
      <c r="O36" s="103"/>
      <c r="P36" s="103"/>
      <c r="Q36" s="103"/>
      <c r="R36" s="103"/>
      <c r="S36" s="103"/>
      <c r="T36" s="103"/>
      <c r="U36" s="103"/>
      <c r="V36" s="103"/>
      <c r="W36" s="103"/>
      <c r="X36" s="103"/>
      <c r="Y36" s="103"/>
      <c r="Z36" s="103"/>
      <c r="AA36" s="103"/>
    </row>
    <row r="37" spans="1:27" ht="34.5" customHeight="1">
      <c r="A37" s="24" t="str">
        <v>Q210</v>
      </c>
      <c r="B37" s="25" t="str">
        <v>NY</v>
      </c>
      <c r="C37" s="25" t="str">
        <f>Sites[[#This Row],[SOL'#]]</f>
        <v>SOL-10407</v>
      </c>
      <c r="D37" s="20"/>
      <c r="E37" s="10"/>
      <c r="F37" s="10" t="str">
        <f t="shared" si="0"/>
        <v/>
      </c>
      <c r="G37" s="11" t="str">
        <f t="shared" si="1"/>
        <v/>
      </c>
      <c r="H37" s="12"/>
      <c r="I37" s="12" t="str">
        <f t="shared" si="2"/>
        <v/>
      </c>
      <c r="J37" s="13" t="str">
        <f t="shared" si="3"/>
        <v/>
      </c>
      <c r="K37" s="53"/>
      <c r="L37" s="53"/>
      <c r="M37" s="103"/>
      <c r="N37" s="103"/>
      <c r="O37" s="103"/>
      <c r="P37" s="103"/>
      <c r="Q37" s="103"/>
      <c r="R37" s="103"/>
      <c r="S37" s="103"/>
      <c r="T37" s="103"/>
      <c r="U37" s="103"/>
      <c r="V37" s="103"/>
      <c r="W37" s="103"/>
      <c r="X37" s="103"/>
      <c r="Y37" s="103"/>
      <c r="Z37" s="103"/>
      <c r="AA37" s="103"/>
    </row>
    <row r="38" spans="1:27" ht="15.6">
      <c r="A38" s="26" t="str">
        <v>Q229</v>
      </c>
      <c r="B38" s="27" t="str">
        <v>NY</v>
      </c>
      <c r="C38" s="9" t="str">
        <f>Sites[[#This Row],[SOL'#]]</f>
        <v>SOL-10408</v>
      </c>
      <c r="D38" s="9"/>
      <c r="E38" s="14"/>
      <c r="F38" s="14" t="str">
        <f t="shared" si="0"/>
        <v/>
      </c>
      <c r="G38" s="15" t="str">
        <f t="shared" si="1"/>
        <v/>
      </c>
      <c r="H38" s="16"/>
      <c r="I38" s="16" t="str">
        <f t="shared" si="2"/>
        <v/>
      </c>
      <c r="J38" s="15" t="str">
        <f t="shared" si="3"/>
        <v/>
      </c>
      <c r="K38" s="51"/>
      <c r="L38" s="99"/>
      <c r="M38" s="103"/>
      <c r="N38" s="103"/>
      <c r="O38" s="103"/>
      <c r="P38" s="103"/>
      <c r="Q38" s="103"/>
      <c r="R38" s="103"/>
      <c r="S38" s="103"/>
      <c r="T38" s="103"/>
      <c r="U38" s="103"/>
      <c r="V38" s="103"/>
      <c r="W38" s="103"/>
      <c r="X38" s="103"/>
      <c r="Y38" s="103"/>
      <c r="Z38" s="103"/>
      <c r="AA38" s="103"/>
    </row>
    <row r="39" spans="1:27" ht="15.6">
      <c r="A39" s="24" t="str">
        <v>Q231</v>
      </c>
      <c r="B39" s="25" t="str">
        <v>NY</v>
      </c>
      <c r="C39" s="25" t="str">
        <f>Sites[[#This Row],[SOL'#]]</f>
        <v>SOL-10870</v>
      </c>
      <c r="D39" s="20"/>
      <c r="E39" s="10"/>
      <c r="F39" s="10" t="str">
        <f t="shared" si="0"/>
        <v/>
      </c>
      <c r="G39" s="11" t="str">
        <f t="shared" si="1"/>
        <v/>
      </c>
      <c r="H39" s="12"/>
      <c r="I39" s="12" t="str">
        <f t="shared" si="2"/>
        <v/>
      </c>
      <c r="J39" s="13" t="str">
        <f t="shared" si="3"/>
        <v/>
      </c>
      <c r="K39" s="53"/>
      <c r="L39" s="53"/>
      <c r="M39" s="103"/>
      <c r="N39" s="103"/>
      <c r="O39" s="103"/>
      <c r="P39" s="103"/>
      <c r="Q39" s="103"/>
      <c r="R39" s="103"/>
      <c r="S39" s="103"/>
      <c r="T39" s="103"/>
      <c r="U39" s="103"/>
      <c r="V39" s="103"/>
      <c r="W39" s="103"/>
      <c r="X39" s="103"/>
      <c r="Y39" s="103"/>
      <c r="Z39" s="103"/>
      <c r="AA39" s="103"/>
    </row>
    <row r="40" spans="1:27" ht="15.6">
      <c r="A40" s="26" t="str">
        <v>Q405</v>
      </c>
      <c r="B40" s="27" t="str">
        <v>NY</v>
      </c>
      <c r="C40" s="9" t="str">
        <f>Sites[[#This Row],[SOL'#]]</f>
        <v>SOL-10409</v>
      </c>
      <c r="D40" s="9"/>
      <c r="E40" s="14"/>
      <c r="F40" s="14" t="str">
        <f t="shared" si="0"/>
        <v/>
      </c>
      <c r="G40" s="15" t="str">
        <f t="shared" si="1"/>
        <v/>
      </c>
      <c r="H40" s="16"/>
      <c r="I40" s="16" t="str">
        <f t="shared" si="2"/>
        <v/>
      </c>
      <c r="J40" s="15" t="str">
        <f t="shared" si="3"/>
        <v/>
      </c>
      <c r="K40" s="51"/>
      <c r="L40" s="99"/>
      <c r="M40" s="103"/>
      <c r="N40" s="103"/>
      <c r="O40" s="103"/>
      <c r="P40" s="103"/>
      <c r="Q40" s="103"/>
      <c r="R40" s="103"/>
      <c r="S40" s="103"/>
      <c r="T40" s="103"/>
      <c r="U40" s="103"/>
      <c r="V40" s="103"/>
      <c r="W40" s="103"/>
      <c r="X40" s="103"/>
      <c r="Y40" s="103"/>
      <c r="Z40" s="103"/>
      <c r="AA40" s="103"/>
    </row>
    <row r="41" spans="1:27" ht="15.6">
      <c r="A41" s="24" t="str">
        <v>Q435</v>
      </c>
      <c r="B41" s="25" t="str">
        <v>NY</v>
      </c>
      <c r="C41" s="25" t="str">
        <f>Sites[[#This Row],[SOL'#]]</f>
        <v>SOL-10923</v>
      </c>
      <c r="D41" s="20"/>
      <c r="E41" s="10"/>
      <c r="F41" s="10" t="str">
        <f t="shared" si="0"/>
        <v/>
      </c>
      <c r="G41" s="11" t="str">
        <f t="shared" si="1"/>
        <v/>
      </c>
      <c r="H41" s="12"/>
      <c r="I41" s="12" t="str">
        <f t="shared" si="2"/>
        <v/>
      </c>
      <c r="J41" s="13" t="str">
        <f t="shared" si="3"/>
        <v/>
      </c>
      <c r="K41" s="53"/>
      <c r="L41" s="98"/>
      <c r="M41" s="102"/>
      <c r="N41" s="103"/>
      <c r="O41" s="103"/>
      <c r="P41" s="103"/>
      <c r="Q41" s="103"/>
      <c r="R41" s="103"/>
      <c r="S41" s="103"/>
      <c r="T41" s="103"/>
      <c r="U41" s="103"/>
      <c r="V41" s="103"/>
      <c r="W41" s="103"/>
      <c r="X41" s="103"/>
      <c r="Y41" s="103"/>
      <c r="Z41" s="103"/>
      <c r="AA41" s="103"/>
    </row>
    <row r="42" spans="1:27" ht="93.75" customHeight="1">
      <c r="A42" s="26" t="str">
        <v>Q485</v>
      </c>
      <c r="B42" s="27" t="str">
        <v>NY</v>
      </c>
      <c r="C42" s="9" t="str">
        <f>Sites[[#This Row],[SOL'#]]</f>
        <v>SOL-10869</v>
      </c>
      <c r="D42" s="9"/>
      <c r="E42" s="14"/>
      <c r="F42" s="14" t="str">
        <f t="shared" si="0"/>
        <v/>
      </c>
      <c r="G42" s="15" t="str">
        <f t="shared" si="1"/>
        <v/>
      </c>
      <c r="H42" s="16"/>
      <c r="I42" s="16" t="str">
        <f t="shared" si="2"/>
        <v/>
      </c>
      <c r="J42" s="15" t="str">
        <f t="shared" si="3"/>
        <v/>
      </c>
      <c r="K42" s="51"/>
      <c r="L42" s="99"/>
      <c r="M42" s="102"/>
      <c r="N42" s="103"/>
      <c r="O42" s="103"/>
      <c r="P42" s="103"/>
      <c r="Q42" s="103"/>
      <c r="R42" s="103"/>
      <c r="S42" s="103"/>
      <c r="T42" s="103"/>
      <c r="U42" s="103"/>
      <c r="V42" s="103"/>
      <c r="W42" s="103"/>
      <c r="X42" s="103"/>
      <c r="Y42" s="103"/>
      <c r="Z42" s="103"/>
      <c r="AA42" s="103"/>
    </row>
    <row r="43" spans="1:27" ht="15.6">
      <c r="A43" s="24" t="str">
        <v>Q490</v>
      </c>
      <c r="B43" s="25" t="str">
        <v>NY</v>
      </c>
      <c r="C43" s="25" t="str">
        <f>Sites[[#This Row],[SOL'#]]</f>
        <v>SOL-10411</v>
      </c>
      <c r="D43" s="20"/>
      <c r="E43" s="10"/>
      <c r="F43" s="10" t="str">
        <f t="shared" si="0"/>
        <v/>
      </c>
      <c r="G43" s="11" t="str">
        <f t="shared" si="1"/>
        <v/>
      </c>
      <c r="H43" s="12"/>
      <c r="I43" s="12" t="str">
        <f t="shared" si="2"/>
        <v/>
      </c>
      <c r="J43" s="13" t="str">
        <f t="shared" si="3"/>
        <v/>
      </c>
      <c r="K43" s="53"/>
      <c r="L43" s="98"/>
      <c r="M43" s="103"/>
      <c r="N43" s="103"/>
      <c r="O43" s="103"/>
      <c r="P43" s="103"/>
      <c r="Q43" s="103"/>
      <c r="R43" s="103"/>
      <c r="S43" s="103"/>
      <c r="T43" s="103"/>
      <c r="U43" s="103"/>
      <c r="V43" s="103"/>
      <c r="W43" s="103"/>
      <c r="X43" s="103"/>
      <c r="Y43" s="103"/>
      <c r="Z43" s="103"/>
      <c r="AA43" s="103"/>
    </row>
    <row r="44" spans="1:27" ht="15.6">
      <c r="A44" s="26" t="str">
        <v>Q620</v>
      </c>
      <c r="B44" s="27" t="str">
        <v>NY</v>
      </c>
      <c r="C44" s="9" t="str">
        <f>Sites[[#This Row],[SOL'#]]</f>
        <v>SOL-10867</v>
      </c>
      <c r="D44" s="9"/>
      <c r="E44" s="14"/>
      <c r="F44" s="14" t="str">
        <f t="shared" si="0"/>
        <v/>
      </c>
      <c r="G44" s="15" t="str">
        <f t="shared" si="1"/>
        <v/>
      </c>
      <c r="H44" s="16"/>
      <c r="I44" s="16" t="str">
        <f t="shared" si="2"/>
        <v/>
      </c>
      <c r="J44" s="15" t="str">
        <f t="shared" ref="J44:J64" si="4">IFERROR(I44/H44, "")</f>
        <v/>
      </c>
      <c r="K44" s="51"/>
      <c r="L44" s="52"/>
      <c r="M44" s="103"/>
      <c r="N44" s="103"/>
      <c r="O44" s="103"/>
      <c r="P44" s="103"/>
      <c r="Q44" s="103"/>
      <c r="R44" s="103"/>
      <c r="S44" s="103"/>
      <c r="T44" s="103"/>
      <c r="U44" s="103"/>
      <c r="V44" s="103"/>
      <c r="W44" s="103"/>
      <c r="X44" s="103"/>
      <c r="Y44" s="103"/>
      <c r="Z44" s="103"/>
      <c r="AA44" s="103"/>
    </row>
    <row r="45" spans="1:27" ht="15.6">
      <c r="A45" s="24" t="str">
        <v>QMOA</v>
      </c>
      <c r="B45" s="25" t="str">
        <v>NY</v>
      </c>
      <c r="C45" s="25" t="str">
        <f>Sites[[#This Row],[SOL'#]]</f>
        <v>SOL-10415</v>
      </c>
      <c r="D45" s="20"/>
      <c r="E45" s="10"/>
      <c r="F45" s="10" t="str">
        <f t="shared" si="0"/>
        <v/>
      </c>
      <c r="G45" s="11" t="str">
        <f t="shared" si="1"/>
        <v/>
      </c>
      <c r="H45" s="12"/>
      <c r="I45" s="12" t="str">
        <f t="shared" si="2"/>
        <v/>
      </c>
      <c r="J45" s="64" t="str">
        <f t="shared" si="4"/>
        <v/>
      </c>
      <c r="K45" s="53"/>
      <c r="L45" s="53"/>
      <c r="M45" s="103"/>
      <c r="N45" s="103"/>
      <c r="O45" s="103"/>
      <c r="P45" s="103"/>
      <c r="Q45" s="103"/>
      <c r="R45" s="103"/>
      <c r="S45" s="103"/>
      <c r="T45" s="103"/>
      <c r="U45" s="103"/>
      <c r="V45" s="103"/>
      <c r="W45" s="103"/>
      <c r="X45" s="103"/>
      <c r="Y45" s="103"/>
      <c r="Z45" s="103"/>
      <c r="AA45" s="103"/>
    </row>
    <row r="46" spans="1:27" ht="31.5" customHeight="1">
      <c r="A46" s="26" t="str">
        <v>X024</v>
      </c>
      <c r="B46" s="27" t="str">
        <v>NY</v>
      </c>
      <c r="C46" s="9" t="str">
        <f>Sites[[#This Row],[SOL'#]]</f>
        <v>SOL-10419</v>
      </c>
      <c r="D46" s="9"/>
      <c r="E46" s="14"/>
      <c r="F46" s="14" t="str">
        <f t="shared" si="0"/>
        <v/>
      </c>
      <c r="G46" s="15" t="str">
        <f t="shared" si="1"/>
        <v/>
      </c>
      <c r="H46" s="16"/>
      <c r="I46" s="16" t="str">
        <f t="shared" si="2"/>
        <v/>
      </c>
      <c r="J46" s="15" t="str">
        <f t="shared" si="4"/>
        <v/>
      </c>
      <c r="K46" s="51"/>
      <c r="L46" s="99"/>
      <c r="M46" s="103"/>
      <c r="N46" s="103"/>
      <c r="O46" s="103"/>
      <c r="P46" s="103"/>
      <c r="Q46" s="103"/>
      <c r="R46" s="103"/>
      <c r="S46" s="103"/>
      <c r="T46" s="103"/>
      <c r="U46" s="103"/>
      <c r="V46" s="103"/>
      <c r="W46" s="103"/>
      <c r="X46" s="103"/>
      <c r="Y46" s="103"/>
      <c r="Z46" s="103"/>
      <c r="AA46" s="103"/>
    </row>
    <row r="47" spans="1:27" ht="15.6">
      <c r="A47" s="24" t="str">
        <v>X026</v>
      </c>
      <c r="B47" s="25" t="str">
        <v>NY</v>
      </c>
      <c r="C47" s="25" t="str">
        <f>Sites[[#This Row],[SOL'#]]</f>
        <v>SOL-10420</v>
      </c>
      <c r="D47" s="20"/>
      <c r="E47" s="10"/>
      <c r="F47" s="10" t="str">
        <f t="shared" si="0"/>
        <v/>
      </c>
      <c r="G47" s="11" t="str">
        <f t="shared" si="1"/>
        <v/>
      </c>
      <c r="H47" s="12"/>
      <c r="I47" s="12" t="str">
        <f t="shared" si="2"/>
        <v/>
      </c>
      <c r="J47" s="64" t="str">
        <f t="shared" si="4"/>
        <v/>
      </c>
      <c r="K47" s="53"/>
      <c r="L47" s="98"/>
      <c r="M47" s="103"/>
      <c r="N47" s="103"/>
      <c r="O47" s="103"/>
      <c r="P47" s="103"/>
      <c r="Q47" s="103"/>
      <c r="R47" s="103"/>
      <c r="S47" s="103"/>
      <c r="T47" s="103"/>
      <c r="U47" s="103"/>
      <c r="V47" s="103"/>
      <c r="W47" s="103"/>
      <c r="X47" s="103"/>
      <c r="Y47" s="103"/>
      <c r="Z47" s="103"/>
      <c r="AA47" s="103"/>
    </row>
    <row r="48" spans="1:27" ht="18.75" customHeight="1">
      <c r="A48" s="26" t="str">
        <v>X090</v>
      </c>
      <c r="B48" s="27" t="str">
        <v>NY</v>
      </c>
      <c r="C48" s="9" t="str">
        <f>Sites[[#This Row],[SOL'#]]</f>
        <v>SOL-10925</v>
      </c>
      <c r="D48" s="9"/>
      <c r="E48" s="14"/>
      <c r="F48" s="14" t="str">
        <f t="shared" si="0"/>
        <v/>
      </c>
      <c r="G48" s="15" t="str">
        <f t="shared" si="1"/>
        <v/>
      </c>
      <c r="H48" s="16"/>
      <c r="I48" s="16" t="str">
        <f t="shared" si="2"/>
        <v/>
      </c>
      <c r="J48" s="15" t="str">
        <f t="shared" si="4"/>
        <v/>
      </c>
      <c r="K48" s="51"/>
      <c r="L48" s="51"/>
      <c r="M48" s="103"/>
      <c r="N48" s="103"/>
      <c r="O48" s="103"/>
      <c r="P48" s="103"/>
      <c r="Q48" s="103"/>
      <c r="R48" s="103"/>
      <c r="S48" s="103"/>
      <c r="T48" s="103"/>
      <c r="U48" s="103"/>
      <c r="V48" s="103"/>
      <c r="W48" s="103"/>
      <c r="X48" s="103"/>
      <c r="Y48" s="103"/>
      <c r="Z48" s="103"/>
      <c r="AA48" s="103"/>
    </row>
    <row r="49" spans="1:27" ht="18" customHeight="1">
      <c r="A49" s="24" t="str">
        <v>X117</v>
      </c>
      <c r="B49" s="25" t="str">
        <v>NY</v>
      </c>
      <c r="C49" s="25" t="str">
        <f>Sites[[#This Row],[SOL'#]]</f>
        <v>SOL-10422</v>
      </c>
      <c r="D49" s="20"/>
      <c r="E49" s="10"/>
      <c r="F49" s="10" t="str">
        <f t="shared" si="0"/>
        <v/>
      </c>
      <c r="G49" s="11" t="str">
        <f t="shared" si="1"/>
        <v/>
      </c>
      <c r="H49" s="12"/>
      <c r="I49" s="12" t="str">
        <f t="shared" si="2"/>
        <v/>
      </c>
      <c r="J49" s="64" t="str">
        <f t="shared" si="4"/>
        <v/>
      </c>
      <c r="K49" s="53"/>
      <c r="L49" s="53"/>
      <c r="M49" s="103"/>
      <c r="N49" s="103"/>
      <c r="O49" s="103"/>
      <c r="P49" s="103"/>
      <c r="Q49" s="103"/>
      <c r="R49" s="103"/>
      <c r="S49" s="103"/>
      <c r="T49" s="103"/>
      <c r="U49" s="103"/>
      <c r="V49" s="103"/>
      <c r="W49" s="103"/>
      <c r="X49" s="103"/>
      <c r="Y49" s="103"/>
      <c r="Z49" s="103"/>
      <c r="AA49" s="103"/>
    </row>
    <row r="50" spans="1:27" ht="17.25" customHeight="1">
      <c r="A50" s="26" t="str">
        <v>X125</v>
      </c>
      <c r="B50" s="27" t="str">
        <v>NY</v>
      </c>
      <c r="C50" s="9" t="str">
        <f>Sites[[#This Row],[SOL'#]]</f>
        <v>SOL-10423</v>
      </c>
      <c r="D50" s="9"/>
      <c r="E50" s="14"/>
      <c r="F50" s="14" t="str">
        <f>IF(AND(ISNUMBER(D50),ISNUMBER(E50)), D50-E50, "")</f>
        <v/>
      </c>
      <c r="G50" s="15" t="str">
        <f>IFERROR(F50/E50, "")</f>
        <v/>
      </c>
      <c r="H50" s="16"/>
      <c r="I50" s="16" t="str">
        <f>IF(AND(ISNUMBER(D50),ISNUMBER(H50)), D50-H50, "")</f>
        <v/>
      </c>
      <c r="J50" s="15" t="str">
        <f t="shared" si="4"/>
        <v/>
      </c>
      <c r="K50" s="51"/>
      <c r="L50" s="96"/>
      <c r="M50" s="103"/>
      <c r="N50" s="103"/>
      <c r="O50" s="103"/>
      <c r="P50" s="103"/>
      <c r="Q50" s="103"/>
      <c r="R50" s="103"/>
      <c r="S50" s="103"/>
      <c r="T50" s="103"/>
      <c r="U50" s="103"/>
      <c r="V50" s="103"/>
      <c r="W50" s="103"/>
      <c r="X50" s="103"/>
      <c r="Y50" s="103"/>
      <c r="Z50" s="103"/>
      <c r="AA50" s="103"/>
    </row>
    <row r="51" spans="1:27" ht="20.25" customHeight="1">
      <c r="A51" s="24" t="str">
        <v>X134</v>
      </c>
      <c r="B51" s="25" t="str">
        <v>NY</v>
      </c>
      <c r="C51" s="25" t="str">
        <f>Sites[[#This Row],[SOL'#]]</f>
        <v>SOL-10424</v>
      </c>
      <c r="D51" s="20"/>
      <c r="E51" s="10"/>
      <c r="F51" s="10" t="str">
        <f t="shared" si="0"/>
        <v/>
      </c>
      <c r="G51" s="11" t="str">
        <f t="shared" si="1"/>
        <v/>
      </c>
      <c r="H51" s="12"/>
      <c r="I51" s="12" t="str">
        <f t="shared" si="2"/>
        <v/>
      </c>
      <c r="J51" s="64" t="str">
        <f t="shared" si="4"/>
        <v/>
      </c>
      <c r="K51" s="53"/>
      <c r="L51" s="53"/>
      <c r="M51" s="103"/>
      <c r="N51" s="103"/>
      <c r="O51" s="103"/>
      <c r="P51" s="103"/>
      <c r="Q51" s="103"/>
      <c r="R51" s="103"/>
      <c r="S51" s="103"/>
      <c r="T51" s="103"/>
      <c r="U51" s="103"/>
      <c r="V51" s="103"/>
      <c r="W51" s="103"/>
      <c r="X51" s="103"/>
      <c r="Y51" s="103"/>
      <c r="Z51" s="103"/>
      <c r="AA51" s="103"/>
    </row>
    <row r="52" spans="1:27" ht="18" customHeight="1">
      <c r="A52" s="26" t="str">
        <v>X135</v>
      </c>
      <c r="B52" s="27" t="str">
        <v>NY</v>
      </c>
      <c r="C52" s="9" t="str">
        <f>Sites[[#This Row],[SOL'#]]</f>
        <v>SOL-10425</v>
      </c>
      <c r="D52" s="9"/>
      <c r="E52" s="14"/>
      <c r="F52" s="14" t="str">
        <f t="shared" si="0"/>
        <v/>
      </c>
      <c r="G52" s="15" t="str">
        <f t="shared" si="1"/>
        <v/>
      </c>
      <c r="H52" s="16"/>
      <c r="I52" s="16" t="str">
        <f t="shared" si="2"/>
        <v/>
      </c>
      <c r="J52" s="15" t="str">
        <f t="shared" si="4"/>
        <v/>
      </c>
      <c r="K52" s="51"/>
      <c r="L52" s="52"/>
      <c r="M52" s="103"/>
      <c r="N52" s="103"/>
      <c r="O52" s="103"/>
      <c r="P52" s="103"/>
      <c r="Q52" s="103"/>
      <c r="R52" s="103"/>
      <c r="S52" s="103"/>
      <c r="T52" s="103"/>
      <c r="U52" s="103"/>
      <c r="V52" s="103"/>
      <c r="W52" s="103"/>
      <c r="X52" s="103"/>
      <c r="Y52" s="103"/>
      <c r="Z52" s="103"/>
      <c r="AA52" s="103"/>
    </row>
    <row r="53" spans="1:27" ht="18" customHeight="1">
      <c r="A53" s="24" t="str">
        <v>X139 JHS 222</v>
      </c>
      <c r="B53" s="25" t="str">
        <v>NY</v>
      </c>
      <c r="C53" s="25" t="str">
        <f>Sites[[#This Row],[SOL'#]]</f>
        <v>SOL-10426</v>
      </c>
      <c r="D53" s="20"/>
      <c r="E53" s="10"/>
      <c r="F53" s="10" t="str">
        <f t="shared" si="0"/>
        <v/>
      </c>
      <c r="G53" s="11" t="str">
        <f t="shared" si="1"/>
        <v/>
      </c>
      <c r="H53" s="12"/>
      <c r="I53" s="12" t="str">
        <f t="shared" si="2"/>
        <v/>
      </c>
      <c r="J53" s="64" t="str">
        <f t="shared" si="4"/>
        <v/>
      </c>
      <c r="K53" s="53"/>
      <c r="L53" s="53"/>
      <c r="M53" s="103"/>
      <c r="N53" s="103"/>
      <c r="O53" s="103"/>
      <c r="P53" s="103"/>
      <c r="Q53" s="103"/>
      <c r="R53" s="103"/>
      <c r="S53" s="103"/>
      <c r="T53" s="103"/>
      <c r="U53" s="103"/>
      <c r="V53" s="103"/>
      <c r="W53" s="103"/>
      <c r="X53" s="103"/>
      <c r="Y53" s="103"/>
      <c r="Z53" s="103"/>
      <c r="AA53" s="103"/>
    </row>
    <row r="54" spans="1:27" ht="18.75" customHeight="1">
      <c r="A54" s="26" t="str">
        <v>X140</v>
      </c>
      <c r="B54" s="27" t="str">
        <v>NY</v>
      </c>
      <c r="C54" s="9" t="str">
        <f>Sites[[#This Row],[SOL'#]]</f>
        <v>SOL-10926</v>
      </c>
      <c r="D54" s="9"/>
      <c r="E54" s="14"/>
      <c r="F54" s="14" t="str">
        <f t="shared" si="0"/>
        <v/>
      </c>
      <c r="G54" s="15" t="str">
        <f t="shared" si="1"/>
        <v/>
      </c>
      <c r="H54" s="16"/>
      <c r="I54" s="16" t="str">
        <f t="shared" si="2"/>
        <v/>
      </c>
      <c r="J54" s="15" t="str">
        <f t="shared" si="4"/>
        <v/>
      </c>
      <c r="K54" s="51"/>
      <c r="L54" s="52"/>
      <c r="M54" s="103"/>
      <c r="N54" s="103"/>
      <c r="O54" s="103"/>
      <c r="P54" s="103"/>
      <c r="Q54" s="103"/>
      <c r="R54" s="103"/>
      <c r="S54" s="103"/>
      <c r="T54" s="103"/>
      <c r="U54" s="103"/>
      <c r="V54" s="103"/>
      <c r="W54" s="103"/>
      <c r="X54" s="103"/>
      <c r="Y54" s="103"/>
      <c r="Z54" s="103"/>
      <c r="AA54" s="103"/>
    </row>
    <row r="55" spans="1:27" ht="17.25" customHeight="1">
      <c r="A55" s="24" t="str">
        <v>X166</v>
      </c>
      <c r="B55" s="25" t="str">
        <v>NY</v>
      </c>
      <c r="C55" s="25" t="str">
        <f>Sites[[#This Row],[SOL'#]]</f>
        <v>SOL-10427</v>
      </c>
      <c r="D55" s="20"/>
      <c r="E55" s="10"/>
      <c r="F55" s="10" t="str">
        <f t="shared" si="0"/>
        <v/>
      </c>
      <c r="G55" s="11" t="str">
        <f t="shared" si="1"/>
        <v/>
      </c>
      <c r="H55" s="12"/>
      <c r="I55" s="12" t="str">
        <f t="shared" si="2"/>
        <v/>
      </c>
      <c r="J55" s="64" t="str">
        <f t="shared" si="4"/>
        <v/>
      </c>
      <c r="K55" s="53"/>
      <c r="L55" s="53"/>
      <c r="M55" s="103"/>
      <c r="N55" s="103"/>
      <c r="O55" s="103"/>
      <c r="P55" s="103"/>
      <c r="Q55" s="103"/>
      <c r="R55" s="103"/>
      <c r="S55" s="103"/>
      <c r="T55" s="103"/>
      <c r="U55" s="103"/>
      <c r="V55" s="103"/>
      <c r="W55" s="103"/>
      <c r="X55" s="103"/>
      <c r="Y55" s="103"/>
      <c r="Z55" s="103"/>
      <c r="AA55" s="103"/>
    </row>
    <row r="56" spans="1:27" ht="107.25" customHeight="1">
      <c r="A56" s="26" t="str">
        <v>Murphy</v>
      </c>
      <c r="B56" s="27" t="str">
        <v>MN</v>
      </c>
      <c r="C56" s="9" t="str">
        <f>Sites[[#This Row],[SOL'#]]</f>
        <v>SOL-10094</v>
      </c>
      <c r="D56" s="9"/>
      <c r="E56" s="14"/>
      <c r="F56" s="14" t="str">
        <f t="shared" si="0"/>
        <v/>
      </c>
      <c r="G56" s="15" t="str">
        <f t="shared" si="1"/>
        <v/>
      </c>
      <c r="H56" s="16"/>
      <c r="I56" s="16" t="str">
        <f t="shared" si="2"/>
        <v/>
      </c>
      <c r="J56" s="15" t="str">
        <f t="shared" si="4"/>
        <v/>
      </c>
      <c r="K56" s="51"/>
      <c r="L56" s="99"/>
      <c r="M56" s="102"/>
      <c r="N56" s="102"/>
      <c r="O56" s="103"/>
      <c r="P56" s="103"/>
      <c r="Q56" s="103"/>
      <c r="R56" s="103"/>
      <c r="S56" s="103"/>
      <c r="T56" s="103"/>
      <c r="U56" s="103"/>
      <c r="V56" s="103"/>
      <c r="W56" s="103"/>
      <c r="X56" s="103"/>
      <c r="Y56" s="103"/>
      <c r="Z56" s="103"/>
      <c r="AA56" s="103"/>
    </row>
    <row r="57" spans="1:27" ht="15.6">
      <c r="A57" s="24" t="str">
        <v>Terning</v>
      </c>
      <c r="B57" s="25" t="str">
        <v>MN</v>
      </c>
      <c r="C57" s="25" t="str">
        <f>Sites[[#This Row],[SOL'#]]</f>
        <v>SOL-10093</v>
      </c>
      <c r="D57" s="20"/>
      <c r="E57" s="10"/>
      <c r="F57" s="10" t="str">
        <f t="shared" si="0"/>
        <v/>
      </c>
      <c r="G57" s="11" t="str">
        <f t="shared" si="1"/>
        <v/>
      </c>
      <c r="H57" s="12"/>
      <c r="I57" s="12" t="str">
        <f t="shared" si="2"/>
        <v/>
      </c>
      <c r="J57" s="64" t="str">
        <f t="shared" si="4"/>
        <v/>
      </c>
      <c r="K57" s="53"/>
      <c r="L57" s="53"/>
      <c r="M57" s="103"/>
      <c r="N57" s="103"/>
      <c r="O57" s="103"/>
      <c r="P57" s="103"/>
      <c r="Q57" s="103"/>
      <c r="R57" s="103"/>
      <c r="S57" s="103"/>
      <c r="T57" s="103"/>
      <c r="U57" s="103"/>
      <c r="V57" s="103"/>
      <c r="W57" s="103"/>
      <c r="X57" s="103"/>
      <c r="Y57" s="103"/>
      <c r="Z57" s="103"/>
      <c r="AA57" s="103"/>
    </row>
    <row r="58" spans="1:27" ht="48.75" customHeight="1">
      <c r="A58" s="26" t="str">
        <v>Boas Road 04</v>
      </c>
      <c r="B58" s="27" t="str">
        <v>NY</v>
      </c>
      <c r="C58" s="9" t="str">
        <f>Sites[[#This Row],[SOL'#]]</f>
        <v>SOL-10908</v>
      </c>
      <c r="D58" s="9"/>
      <c r="E58" s="14"/>
      <c r="F58" s="14" t="str">
        <f t="shared" si="0"/>
        <v/>
      </c>
      <c r="G58" s="15" t="str">
        <f t="shared" si="1"/>
        <v/>
      </c>
      <c r="H58" s="16"/>
      <c r="I58" s="16" t="str">
        <f t="shared" si="2"/>
        <v/>
      </c>
      <c r="J58" s="15" t="str">
        <f t="shared" si="4"/>
        <v/>
      </c>
      <c r="K58" s="51"/>
      <c r="L58" s="99"/>
      <c r="M58" s="102"/>
      <c r="N58" s="103"/>
      <c r="O58" s="103"/>
      <c r="P58" s="103"/>
      <c r="Q58" s="103"/>
      <c r="R58" s="103"/>
      <c r="S58" s="103"/>
      <c r="T58" s="103"/>
      <c r="U58" s="103"/>
      <c r="V58" s="103"/>
      <c r="W58" s="103"/>
      <c r="X58" s="103"/>
      <c r="Y58" s="103"/>
      <c r="Z58" s="103"/>
      <c r="AA58" s="103"/>
    </row>
    <row r="59" spans="1:27" ht="61.5" customHeight="1">
      <c r="A59" s="24" t="str">
        <v>Kelly Bridge Farm</v>
      </c>
      <c r="B59" s="25" t="str">
        <v>NY</v>
      </c>
      <c r="C59" s="25" t="str">
        <f>Sites[[#This Row],[SOL'#]]</f>
        <v>SOL-10911</v>
      </c>
      <c r="D59" s="20"/>
      <c r="E59" s="10"/>
      <c r="F59" s="10" t="str">
        <f t="shared" si="0"/>
        <v/>
      </c>
      <c r="G59" s="11" t="str">
        <f t="shared" si="1"/>
        <v/>
      </c>
      <c r="H59" s="12"/>
      <c r="I59" s="12" t="str">
        <f t="shared" si="2"/>
        <v/>
      </c>
      <c r="J59" s="64" t="str">
        <f t="shared" si="4"/>
        <v/>
      </c>
      <c r="K59" s="53"/>
      <c r="L59" s="98"/>
      <c r="M59" s="102"/>
      <c r="N59" s="102"/>
      <c r="O59" s="103"/>
      <c r="P59" s="103"/>
      <c r="Q59" s="103"/>
      <c r="R59" s="103"/>
      <c r="S59" s="103"/>
      <c r="T59" s="103"/>
      <c r="U59" s="103"/>
      <c r="V59" s="103"/>
      <c r="W59" s="103"/>
      <c r="X59" s="103"/>
      <c r="Y59" s="103"/>
      <c r="Z59" s="103"/>
      <c r="AA59" s="103"/>
    </row>
    <row r="60" spans="1:27" ht="15.6">
      <c r="A60" s="26" t="str">
        <v>Pool Brook Road</v>
      </c>
      <c r="B60" s="27" t="str">
        <v>NY</v>
      </c>
      <c r="C60" s="9" t="str">
        <f>Sites[[#This Row],[SOL'#]]</f>
        <v>SOL-10909</v>
      </c>
      <c r="D60" s="9"/>
      <c r="E60" s="14"/>
      <c r="F60" s="14" t="str">
        <f t="shared" si="0"/>
        <v/>
      </c>
      <c r="G60" s="15" t="str">
        <f t="shared" si="1"/>
        <v/>
      </c>
      <c r="H60" s="16"/>
      <c r="I60" s="16" t="str">
        <f t="shared" si="2"/>
        <v/>
      </c>
      <c r="J60" s="15" t="str">
        <f t="shared" si="4"/>
        <v/>
      </c>
      <c r="K60" s="51"/>
      <c r="L60" s="51"/>
      <c r="M60" s="103"/>
      <c r="N60" s="103"/>
      <c r="O60" s="103"/>
      <c r="P60" s="103"/>
      <c r="Q60" s="103"/>
      <c r="R60" s="103"/>
      <c r="S60" s="103"/>
      <c r="T60" s="103"/>
      <c r="U60" s="103"/>
      <c r="V60" s="103"/>
      <c r="W60" s="103"/>
      <c r="X60" s="103"/>
      <c r="Y60" s="103"/>
      <c r="Z60" s="103"/>
      <c r="AA60" s="103"/>
    </row>
    <row r="61" spans="1:27" ht="26.25" customHeight="1">
      <c r="A61" s="24" t="str">
        <v>Sackett Lake</v>
      </c>
      <c r="B61" s="25" t="str">
        <v>NY</v>
      </c>
      <c r="C61" s="25" t="str">
        <f>Sites[[#This Row],[SOL'#]]</f>
        <v>SOL-10910</v>
      </c>
      <c r="D61" s="20"/>
      <c r="E61" s="10"/>
      <c r="F61" s="10" t="str">
        <f t="shared" si="0"/>
        <v/>
      </c>
      <c r="G61" s="11" t="str">
        <f t="shared" si="1"/>
        <v/>
      </c>
      <c r="H61" s="12"/>
      <c r="I61" s="12" t="str">
        <f t="shared" si="2"/>
        <v/>
      </c>
      <c r="J61" s="64" t="str">
        <f t="shared" si="4"/>
        <v/>
      </c>
      <c r="K61" s="53"/>
      <c r="L61" s="98"/>
      <c r="M61" s="102"/>
      <c r="N61" s="102"/>
      <c r="O61" s="103"/>
      <c r="P61" s="103"/>
      <c r="Q61" s="103"/>
      <c r="R61" s="103"/>
      <c r="S61" s="103"/>
      <c r="T61" s="103"/>
      <c r="U61" s="103"/>
      <c r="V61" s="103"/>
      <c r="W61" s="103"/>
      <c r="X61" s="103"/>
      <c r="Y61" s="103"/>
      <c r="Z61" s="103"/>
      <c r="AA61" s="103"/>
    </row>
    <row r="62" spans="1:27" ht="19.5" customHeight="1">
      <c r="A62" s="26" t="str">
        <v>Burritt Road</v>
      </c>
      <c r="B62" s="27" t="str">
        <v>NY</v>
      </c>
      <c r="C62" s="9" t="str">
        <f>Sites[[#This Row],[SOL'#]]</f>
        <v>SOL-10913</v>
      </c>
      <c r="D62" s="9"/>
      <c r="E62" s="14"/>
      <c r="F62" s="14" t="str">
        <f t="shared" si="0"/>
        <v/>
      </c>
      <c r="G62" s="15" t="str">
        <f t="shared" si="1"/>
        <v/>
      </c>
      <c r="H62" s="16"/>
      <c r="I62" s="16" t="str">
        <f t="shared" si="2"/>
        <v/>
      </c>
      <c r="J62" s="15" t="str">
        <f t="shared" si="4"/>
        <v/>
      </c>
      <c r="K62" s="51"/>
      <c r="L62" s="51"/>
      <c r="M62" s="103"/>
      <c r="N62" s="103"/>
      <c r="O62" s="103"/>
      <c r="P62" s="103"/>
      <c r="Q62" s="103"/>
      <c r="R62" s="103"/>
      <c r="S62" s="103"/>
      <c r="T62" s="103"/>
      <c r="U62" s="103"/>
      <c r="V62" s="103"/>
      <c r="W62" s="103"/>
      <c r="X62" s="103"/>
      <c r="Y62" s="103"/>
      <c r="Z62" s="103"/>
      <c r="AA62" s="103"/>
    </row>
    <row r="63" spans="1:27" ht="20.25" customHeight="1">
      <c r="A63" s="24" t="str">
        <v>Villa Roma 1</v>
      </c>
      <c r="B63" s="25" t="str">
        <v>NY</v>
      </c>
      <c r="C63" s="25" t="str">
        <f>Sites[[#This Row],[SOL'#]]</f>
        <v>SOL-10914</v>
      </c>
      <c r="D63" s="20"/>
      <c r="E63" s="10"/>
      <c r="F63" s="10" t="str">
        <f t="shared" si="0"/>
        <v/>
      </c>
      <c r="G63" s="11" t="str">
        <f t="shared" si="1"/>
        <v/>
      </c>
      <c r="H63" s="12"/>
      <c r="I63" s="12" t="str">
        <f t="shared" si="2"/>
        <v/>
      </c>
      <c r="J63" s="64" t="str">
        <f t="shared" si="4"/>
        <v/>
      </c>
      <c r="K63" s="53"/>
      <c r="L63" s="98"/>
      <c r="M63" s="103"/>
      <c r="N63" s="103"/>
      <c r="O63" s="103"/>
      <c r="P63" s="103"/>
      <c r="Q63" s="103"/>
      <c r="R63" s="103"/>
      <c r="S63" s="103"/>
      <c r="T63" s="103"/>
      <c r="U63" s="103"/>
      <c r="V63" s="103"/>
      <c r="W63" s="103"/>
      <c r="X63" s="103"/>
      <c r="Y63" s="103"/>
      <c r="Z63" s="103"/>
      <c r="AA63" s="103"/>
    </row>
    <row r="64" spans="1:27" ht="20.25" customHeight="1">
      <c r="A64" s="26" t="str">
        <v>Villa Roma 2</v>
      </c>
      <c r="B64" s="27" t="str">
        <v>NY</v>
      </c>
      <c r="C64" s="9" t="str">
        <f>Sites[[#This Row],[SOL'#]]</f>
        <v>SOL-10915</v>
      </c>
      <c r="D64" s="9"/>
      <c r="E64" s="14"/>
      <c r="F64" s="14" t="str">
        <f t="shared" si="0"/>
        <v/>
      </c>
      <c r="G64" s="15" t="str">
        <f t="shared" si="1"/>
        <v/>
      </c>
      <c r="H64" s="16"/>
      <c r="I64" s="16" t="str">
        <f t="shared" si="2"/>
        <v/>
      </c>
      <c r="J64" s="15" t="str">
        <f t="shared" si="4"/>
        <v/>
      </c>
      <c r="K64" s="51"/>
      <c r="L64" s="52"/>
      <c r="M64" s="103"/>
      <c r="N64" s="103"/>
      <c r="O64" s="103"/>
      <c r="P64" s="103"/>
      <c r="Q64" s="103"/>
      <c r="R64" s="103"/>
      <c r="S64" s="103"/>
      <c r="T64" s="103"/>
      <c r="U64" s="103"/>
      <c r="V64" s="103"/>
      <c r="W64" s="103"/>
      <c r="X64" s="103"/>
      <c r="Y64" s="103"/>
      <c r="Z64" s="103"/>
      <c r="AA64" s="103"/>
    </row>
    <row r="65" spans="1:27" ht="15.6">
      <c r="A65" s="24" t="str">
        <v>Washington 1</v>
      </c>
      <c r="B65" s="25" t="str">
        <v>NY</v>
      </c>
      <c r="C65" s="25" t="str">
        <f>Sites[[#This Row],[SOL'#]]</f>
        <v>SOL-10912</v>
      </c>
      <c r="D65" s="20"/>
      <c r="E65" s="10"/>
      <c r="F65" s="10" t="str">
        <f t="shared" ref="F65:F110" si="5">IF(AND(ISNUMBER(D65),ISNUMBER(E65)), D65-E65, "")</f>
        <v/>
      </c>
      <c r="G65" s="11" t="str">
        <f t="shared" ref="G65:G128" si="6">IFERROR(F65/E65, "")</f>
        <v/>
      </c>
      <c r="H65" s="12"/>
      <c r="I65" s="12" t="str">
        <f t="shared" ref="I65:I128" si="7">IF(AND(ISNUMBER(D65),ISNUMBER(H65)), D65-H65, "")</f>
        <v/>
      </c>
      <c r="J65" s="64" t="str">
        <f t="shared" ref="J65:J128" si="8">IFERROR(I65/H65, "")</f>
        <v/>
      </c>
      <c r="K65" s="53"/>
      <c r="L65" s="53"/>
      <c r="M65" s="103"/>
      <c r="N65" s="103"/>
      <c r="O65" s="103"/>
      <c r="P65" s="103"/>
      <c r="Q65" s="103"/>
      <c r="R65" s="103"/>
      <c r="S65" s="103"/>
      <c r="T65" s="103"/>
      <c r="U65" s="103"/>
      <c r="V65" s="103"/>
      <c r="W65" s="103"/>
      <c r="X65" s="103"/>
      <c r="Y65" s="103"/>
      <c r="Z65" s="103"/>
      <c r="AA65" s="103"/>
    </row>
    <row r="66" spans="1:27" ht="63" customHeight="1">
      <c r="A66" s="26" t="str">
        <v>Washington 3</v>
      </c>
      <c r="B66" s="27" t="str">
        <v>NY</v>
      </c>
      <c r="C66" s="9" t="str">
        <f>Sites[[#This Row],[SOL'#]]</f>
        <v>SOL-10828</v>
      </c>
      <c r="D66" s="9"/>
      <c r="E66" s="14"/>
      <c r="F66" s="14" t="str">
        <f t="shared" si="5"/>
        <v/>
      </c>
      <c r="G66" s="15" t="str">
        <f t="shared" si="6"/>
        <v/>
      </c>
      <c r="H66" s="16"/>
      <c r="I66" s="16" t="str">
        <f t="shared" si="7"/>
        <v/>
      </c>
      <c r="J66" s="15" t="str">
        <f t="shared" si="8"/>
        <v/>
      </c>
      <c r="K66" s="51"/>
      <c r="L66" s="99"/>
      <c r="M66" s="102"/>
      <c r="N66" s="102"/>
      <c r="O66" s="103"/>
      <c r="P66" s="103"/>
      <c r="Q66" s="103"/>
      <c r="R66" s="103"/>
      <c r="S66" s="103"/>
      <c r="T66" s="103"/>
      <c r="U66" s="103"/>
      <c r="V66" s="103"/>
      <c r="W66" s="103"/>
      <c r="X66" s="103"/>
      <c r="Y66" s="103"/>
      <c r="Z66" s="103"/>
      <c r="AA66" s="103"/>
    </row>
    <row r="67" spans="1:27" ht="48.75" customHeight="1">
      <c r="A67" s="24" t="str">
        <v>Washington 4</v>
      </c>
      <c r="B67" s="25" t="str">
        <v>NY</v>
      </c>
      <c r="C67" s="25" t="str">
        <f>Sites[[#This Row],[SOL'#]]</f>
        <v>SOL-10829</v>
      </c>
      <c r="D67" s="20"/>
      <c r="E67" s="10"/>
      <c r="F67" s="10" t="str">
        <f t="shared" si="5"/>
        <v/>
      </c>
      <c r="G67" s="10" t="str">
        <f t="shared" si="6"/>
        <v/>
      </c>
      <c r="H67" s="12"/>
      <c r="I67" s="12" t="str">
        <f t="shared" si="7"/>
        <v/>
      </c>
      <c r="J67" s="64" t="str">
        <f t="shared" si="8"/>
        <v/>
      </c>
      <c r="K67" s="53"/>
      <c r="L67" s="98"/>
      <c r="M67" s="102"/>
      <c r="N67" s="103"/>
      <c r="O67" s="103"/>
      <c r="P67" s="103"/>
      <c r="Q67" s="103"/>
      <c r="R67" s="103"/>
      <c r="S67" s="103"/>
      <c r="T67" s="103"/>
      <c r="U67" s="103"/>
      <c r="V67" s="103"/>
      <c r="W67" s="103"/>
      <c r="X67" s="103"/>
      <c r="Y67" s="103"/>
      <c r="Z67" s="103"/>
      <c r="AA67" s="103"/>
    </row>
    <row r="68" spans="1:27" ht="15.6">
      <c r="A68" s="26" t="str">
        <v>Big Tree</v>
      </c>
      <c r="B68" s="27" t="str">
        <v>NY</v>
      </c>
      <c r="C68" s="9" t="str">
        <f>Sites[[#This Row],[SOL'#]]</f>
        <v>SOL-10966</v>
      </c>
      <c r="D68" s="9"/>
      <c r="E68" s="14"/>
      <c r="F68" s="14" t="str">
        <f t="shared" si="5"/>
        <v/>
      </c>
      <c r="G68" s="43" t="str">
        <f t="shared" si="6"/>
        <v/>
      </c>
      <c r="H68" s="43"/>
      <c r="I68" s="43" t="str">
        <f t="shared" si="7"/>
        <v/>
      </c>
      <c r="J68" s="15" t="str">
        <f t="shared" si="8"/>
        <v/>
      </c>
      <c r="K68" s="51"/>
      <c r="L68" s="99"/>
      <c r="M68" s="103"/>
      <c r="N68" s="103"/>
      <c r="O68" s="103"/>
      <c r="P68" s="103"/>
      <c r="Q68" s="103"/>
      <c r="R68" s="103"/>
      <c r="S68" s="103"/>
      <c r="T68" s="103"/>
      <c r="U68" s="103"/>
      <c r="V68" s="103"/>
      <c r="W68" s="103"/>
      <c r="X68" s="103"/>
      <c r="Y68" s="103"/>
      <c r="Z68" s="103"/>
      <c r="AA68" s="103"/>
    </row>
    <row r="69" spans="1:27" ht="36" customHeight="1">
      <c r="A69" s="24" t="str">
        <v>Canoga</v>
      </c>
      <c r="B69" s="25" t="str">
        <v>NY</v>
      </c>
      <c r="C69" s="25" t="str">
        <f>Sites[[#This Row],[SOL'#]]</f>
        <v>SOL-10965</v>
      </c>
      <c r="D69" s="20"/>
      <c r="E69" s="10"/>
      <c r="F69" s="10" t="str">
        <f t="shared" si="5"/>
        <v/>
      </c>
      <c r="G69" s="10" t="str">
        <f t="shared" si="6"/>
        <v/>
      </c>
      <c r="H69" s="12"/>
      <c r="I69" s="12" t="str">
        <f t="shared" si="7"/>
        <v/>
      </c>
      <c r="J69" s="64" t="str">
        <f t="shared" si="8"/>
        <v/>
      </c>
      <c r="K69" s="53"/>
      <c r="L69" s="98"/>
      <c r="M69" s="103"/>
      <c r="N69" s="103"/>
      <c r="O69" s="103"/>
      <c r="P69" s="103"/>
      <c r="Q69" s="103"/>
      <c r="R69" s="103"/>
      <c r="S69" s="103"/>
      <c r="T69" s="103"/>
      <c r="U69" s="103"/>
      <c r="V69" s="103"/>
      <c r="W69" s="103"/>
      <c r="X69" s="103"/>
      <c r="Y69" s="103"/>
      <c r="Z69" s="103"/>
      <c r="AA69" s="103"/>
    </row>
    <row r="70" spans="1:27" ht="18" customHeight="1">
      <c r="A70" s="26" t="str">
        <v>County Route 84</v>
      </c>
      <c r="B70" s="27" t="str">
        <v>NY</v>
      </c>
      <c r="C70" s="9" t="str">
        <f>Sites[[#This Row],[SOL'#]]</f>
        <v>SOL-10967</v>
      </c>
      <c r="D70" s="9"/>
      <c r="E70" s="14"/>
      <c r="F70" s="43" t="str">
        <f t="shared" si="5"/>
        <v/>
      </c>
      <c r="G70" s="43" t="str">
        <f t="shared" si="6"/>
        <v/>
      </c>
      <c r="H70" s="16"/>
      <c r="I70" s="16" t="str">
        <f t="shared" si="7"/>
        <v/>
      </c>
      <c r="J70" s="15" t="str">
        <f t="shared" si="8"/>
        <v/>
      </c>
      <c r="K70" s="51"/>
      <c r="L70" s="99"/>
      <c r="M70" s="103"/>
      <c r="N70" s="103"/>
      <c r="O70" s="103"/>
      <c r="P70" s="103"/>
      <c r="Q70" s="103"/>
      <c r="R70" s="103"/>
      <c r="S70" s="103"/>
      <c r="T70" s="103"/>
      <c r="U70" s="103"/>
      <c r="V70" s="103"/>
      <c r="W70" s="103"/>
      <c r="X70" s="103"/>
      <c r="Y70" s="103"/>
      <c r="Z70" s="103"/>
      <c r="AA70" s="103"/>
    </row>
    <row r="71" spans="1:27" ht="30.75" customHeight="1">
      <c r="A71" s="24" t="str">
        <v>Donati</v>
      </c>
      <c r="B71" s="25" t="str">
        <v>NY</v>
      </c>
      <c r="C71" s="25" t="str">
        <f>Sites[[#This Row],[SOL'#]]</f>
        <v>SOL-10968</v>
      </c>
      <c r="D71" s="20"/>
      <c r="E71" s="10"/>
      <c r="F71" s="10" t="str">
        <f t="shared" si="5"/>
        <v/>
      </c>
      <c r="G71" s="10" t="str">
        <f t="shared" si="6"/>
        <v/>
      </c>
      <c r="H71" s="12"/>
      <c r="I71" s="12" t="str">
        <f t="shared" si="7"/>
        <v/>
      </c>
      <c r="J71" s="64" t="str">
        <f t="shared" si="8"/>
        <v/>
      </c>
      <c r="K71" s="53"/>
      <c r="L71" s="98"/>
      <c r="M71" s="102"/>
      <c r="N71" s="102"/>
      <c r="O71" s="103"/>
      <c r="P71" s="103"/>
      <c r="Q71" s="103"/>
      <c r="R71" s="103"/>
      <c r="S71" s="103"/>
      <c r="T71" s="103"/>
      <c r="U71" s="103"/>
      <c r="V71" s="103"/>
      <c r="W71" s="103"/>
      <c r="X71" s="103"/>
      <c r="Y71" s="103"/>
      <c r="Z71" s="103"/>
      <c r="AA71" s="103"/>
    </row>
    <row r="72" spans="1:27" ht="108.75" customHeight="1">
      <c r="A72" s="26" t="str">
        <v>Henrietta</v>
      </c>
      <c r="B72" s="27" t="str">
        <v>NY</v>
      </c>
      <c r="C72" s="9" t="str">
        <f>Sites[[#This Row],[SOL'#]]</f>
        <v>SOL-10972</v>
      </c>
      <c r="D72" s="9"/>
      <c r="E72" s="14"/>
      <c r="F72" s="14" t="str">
        <f t="shared" si="5"/>
        <v/>
      </c>
      <c r="G72" s="14" t="str">
        <f t="shared" si="6"/>
        <v/>
      </c>
      <c r="H72" s="14"/>
      <c r="I72" s="14" t="str">
        <f t="shared" si="7"/>
        <v/>
      </c>
      <c r="J72" s="15" t="str">
        <f t="shared" si="8"/>
        <v/>
      </c>
      <c r="K72" s="51"/>
      <c r="L72" s="99"/>
      <c r="M72" s="102"/>
      <c r="N72" s="103"/>
      <c r="O72" s="103"/>
      <c r="P72" s="103"/>
      <c r="Q72" s="103"/>
      <c r="R72" s="103"/>
      <c r="S72" s="103"/>
      <c r="T72" s="103"/>
      <c r="U72" s="103"/>
      <c r="V72" s="103"/>
      <c r="W72" s="103"/>
      <c r="X72" s="103"/>
      <c r="Y72" s="103"/>
      <c r="Z72" s="103"/>
      <c r="AA72" s="103"/>
    </row>
    <row r="73" spans="1:27" ht="66" customHeight="1">
      <c r="A73" s="24" t="str">
        <v>NY 70</v>
      </c>
      <c r="B73" s="25" t="str">
        <v>NY</v>
      </c>
      <c r="C73" s="25" t="str">
        <f>Sites[[#This Row],[SOL'#]]</f>
        <v>SOL-10970</v>
      </c>
      <c r="D73" s="20"/>
      <c r="E73" s="10"/>
      <c r="F73" s="10" t="str">
        <f t="shared" si="5"/>
        <v/>
      </c>
      <c r="G73" s="11" t="str">
        <f t="shared" si="6"/>
        <v/>
      </c>
      <c r="H73" s="12"/>
      <c r="I73" s="12" t="str">
        <f t="shared" si="7"/>
        <v/>
      </c>
      <c r="J73" s="64" t="str">
        <f t="shared" si="8"/>
        <v/>
      </c>
      <c r="K73" s="53"/>
      <c r="L73" s="98"/>
      <c r="M73" s="102"/>
      <c r="N73" s="102"/>
      <c r="O73" s="103"/>
      <c r="P73" s="103"/>
      <c r="Q73" s="103"/>
      <c r="R73" s="103"/>
      <c r="S73" s="103"/>
      <c r="T73" s="103"/>
      <c r="U73" s="103"/>
      <c r="V73" s="103"/>
      <c r="W73" s="103"/>
      <c r="X73" s="103"/>
      <c r="Y73" s="103"/>
      <c r="Z73" s="103"/>
      <c r="AA73" s="103"/>
    </row>
    <row r="74" spans="1:27" ht="15.6">
      <c r="A74" s="26" t="str">
        <v>Reid</v>
      </c>
      <c r="B74" s="27" t="str">
        <v>NY</v>
      </c>
      <c r="C74" s="9" t="str">
        <f>Sites[[#This Row],[SOL'#]]</f>
        <v>SOL-10991</v>
      </c>
      <c r="D74" s="9"/>
      <c r="E74" s="14"/>
      <c r="F74" s="14" t="str">
        <f t="shared" si="5"/>
        <v/>
      </c>
      <c r="G74" s="15" t="str">
        <f t="shared" si="6"/>
        <v/>
      </c>
      <c r="H74" s="16"/>
      <c r="I74" s="16" t="str">
        <f t="shared" si="7"/>
        <v/>
      </c>
      <c r="J74" s="15" t="str">
        <f t="shared" si="8"/>
        <v/>
      </c>
      <c r="K74" s="50"/>
      <c r="L74" s="99"/>
      <c r="M74" s="102"/>
      <c r="N74" s="102"/>
      <c r="O74" s="102"/>
      <c r="P74" s="102"/>
      <c r="Q74" s="102"/>
      <c r="R74" s="102"/>
      <c r="S74" s="102"/>
      <c r="T74" s="102"/>
      <c r="U74" s="102"/>
      <c r="V74" s="102"/>
      <c r="W74" s="102"/>
      <c r="X74" s="102"/>
      <c r="Y74" s="103"/>
      <c r="Z74" s="103"/>
      <c r="AA74" s="103"/>
    </row>
    <row r="75" spans="1:27" ht="15.6">
      <c r="A75" s="24" t="str">
        <v>Sangolqui</v>
      </c>
      <c r="B75" s="25" t="str">
        <v>NY</v>
      </c>
      <c r="C75" s="25" t="str">
        <f>Sites[[#This Row],[SOL'#]]</f>
        <v>SOL-10975</v>
      </c>
      <c r="D75" s="20"/>
      <c r="E75" s="10"/>
      <c r="F75" s="10" t="str">
        <f t="shared" si="5"/>
        <v/>
      </c>
      <c r="G75" s="11" t="str">
        <f t="shared" si="6"/>
        <v/>
      </c>
      <c r="H75" s="12"/>
      <c r="I75" s="12" t="str">
        <f t="shared" si="7"/>
        <v/>
      </c>
      <c r="J75" s="64" t="str">
        <f t="shared" si="8"/>
        <v/>
      </c>
      <c r="K75" s="53"/>
      <c r="L75" s="53"/>
      <c r="M75" s="103"/>
      <c r="N75" s="103"/>
      <c r="O75" s="103"/>
      <c r="P75" s="103"/>
      <c r="Q75" s="103"/>
      <c r="R75" s="103"/>
      <c r="S75" s="103"/>
      <c r="T75" s="103"/>
      <c r="U75" s="103"/>
      <c r="V75" s="103"/>
      <c r="W75" s="103"/>
      <c r="X75" s="103"/>
      <c r="Y75" s="103"/>
      <c r="Z75" s="103"/>
      <c r="AA75" s="103"/>
    </row>
    <row r="76" spans="1:27" ht="15.6">
      <c r="A76" s="26" t="str">
        <v>State Highway 17B</v>
      </c>
      <c r="B76" s="27" t="str">
        <v>NY</v>
      </c>
      <c r="C76" s="9" t="str">
        <f>Sites[[#This Row],[SOL'#]]</f>
        <v>SOL-10988</v>
      </c>
      <c r="D76" s="9"/>
      <c r="E76" s="14"/>
      <c r="F76" s="14" t="str">
        <f t="shared" si="5"/>
        <v/>
      </c>
      <c r="G76" s="15" t="str">
        <f t="shared" si="6"/>
        <v/>
      </c>
      <c r="H76" s="16"/>
      <c r="I76" s="16" t="str">
        <f t="shared" si="7"/>
        <v/>
      </c>
      <c r="J76" s="15" t="str">
        <f t="shared" si="8"/>
        <v/>
      </c>
      <c r="K76" s="51"/>
      <c r="L76" s="52"/>
      <c r="M76" s="103"/>
      <c r="N76" s="103"/>
      <c r="O76" s="103"/>
      <c r="P76" s="103"/>
      <c r="Q76" s="103"/>
      <c r="R76" s="103"/>
      <c r="S76" s="103"/>
      <c r="T76" s="103"/>
      <c r="U76" s="103"/>
      <c r="V76" s="103"/>
      <c r="W76" s="103"/>
      <c r="X76" s="103"/>
      <c r="Y76" s="103"/>
      <c r="Z76" s="103"/>
      <c r="AA76" s="103"/>
    </row>
    <row r="77" spans="1:27" ht="47.25" customHeight="1">
      <c r="A77" s="24" t="str">
        <v>State Route 14A</v>
      </c>
      <c r="B77" s="25" t="str">
        <v>NY</v>
      </c>
      <c r="C77" s="25" t="str">
        <f>Sites[[#This Row],[SOL'#]]</f>
        <v>SOL-10997</v>
      </c>
      <c r="D77" s="20"/>
      <c r="E77" s="10"/>
      <c r="F77" s="10" t="str">
        <f t="shared" si="5"/>
        <v/>
      </c>
      <c r="G77" s="11" t="str">
        <f t="shared" si="6"/>
        <v/>
      </c>
      <c r="H77" s="12"/>
      <c r="I77" s="12" t="str">
        <f t="shared" si="7"/>
        <v/>
      </c>
      <c r="J77" s="64" t="str">
        <f t="shared" si="8"/>
        <v/>
      </c>
      <c r="K77" s="53"/>
      <c r="L77" s="98"/>
      <c r="M77" s="102"/>
      <c r="N77" s="103"/>
      <c r="O77" s="103"/>
      <c r="P77" s="103"/>
      <c r="Q77" s="103"/>
      <c r="R77" s="103"/>
      <c r="S77" s="103"/>
      <c r="T77" s="103"/>
      <c r="U77" s="103"/>
      <c r="V77" s="103"/>
      <c r="W77" s="103"/>
      <c r="X77" s="103"/>
      <c r="Y77" s="103"/>
      <c r="Z77" s="103"/>
      <c r="AA77" s="103"/>
    </row>
    <row r="78" spans="1:27" ht="68.25" customHeight="1">
      <c r="A78" s="26" t="str">
        <v>West Creek</v>
      </c>
      <c r="B78" s="27" t="str">
        <v>NY</v>
      </c>
      <c r="C78" s="9" t="str">
        <f>Sites[[#This Row],[SOL'#]]</f>
        <v>SOL-10995</v>
      </c>
      <c r="D78" s="9"/>
      <c r="E78" s="14"/>
      <c r="F78" s="14" t="str">
        <f t="shared" si="5"/>
        <v/>
      </c>
      <c r="G78" s="15" t="str">
        <f t="shared" si="6"/>
        <v/>
      </c>
      <c r="H78" s="16"/>
      <c r="I78" s="16" t="str">
        <f t="shared" si="7"/>
        <v/>
      </c>
      <c r="J78" s="15" t="str">
        <f t="shared" si="8"/>
        <v/>
      </c>
      <c r="K78" s="51"/>
      <c r="L78" s="99"/>
      <c r="M78" s="102"/>
      <c r="N78" s="103"/>
      <c r="O78" s="103"/>
      <c r="P78" s="103"/>
      <c r="Q78" s="103"/>
      <c r="R78" s="103"/>
      <c r="S78" s="103"/>
      <c r="T78" s="103"/>
      <c r="U78" s="103"/>
      <c r="V78" s="103"/>
      <c r="W78" s="103"/>
      <c r="X78" s="103"/>
      <c r="Y78" s="103"/>
      <c r="Z78" s="103"/>
      <c r="AA78" s="103"/>
    </row>
    <row r="79" spans="1:27" ht="65.25" customHeight="1">
      <c r="A79" s="24" t="str">
        <v>Wildflower</v>
      </c>
      <c r="B79" s="25" t="str">
        <v>NY</v>
      </c>
      <c r="C79" s="25" t="str">
        <f>Sites[[#This Row],[SOL'#]]</f>
        <v>SOL-10982</v>
      </c>
      <c r="D79" s="20"/>
      <c r="E79" s="10"/>
      <c r="F79" s="10" t="str">
        <f t="shared" si="5"/>
        <v/>
      </c>
      <c r="G79" s="11" t="str">
        <f t="shared" si="6"/>
        <v/>
      </c>
      <c r="H79" s="12"/>
      <c r="I79" s="12" t="str">
        <f t="shared" si="7"/>
        <v/>
      </c>
      <c r="J79" s="64" t="str">
        <f t="shared" si="8"/>
        <v/>
      </c>
      <c r="K79" s="53"/>
      <c r="L79" s="98"/>
      <c r="M79" s="102"/>
      <c r="N79" s="102"/>
      <c r="O79" s="103"/>
      <c r="P79" s="103"/>
      <c r="Q79" s="103"/>
      <c r="R79" s="103"/>
      <c r="S79" s="103"/>
      <c r="T79" s="103"/>
      <c r="U79" s="103"/>
      <c r="V79" s="103"/>
      <c r="W79" s="103"/>
      <c r="X79" s="103"/>
      <c r="Y79" s="103"/>
      <c r="Z79" s="103"/>
      <c r="AA79" s="103"/>
    </row>
    <row r="80" spans="1:27" ht="15.6">
      <c r="A80" s="26" t="str">
        <v>Glen Mary 1</v>
      </c>
      <c r="B80" s="27" t="str">
        <v>NY</v>
      </c>
      <c r="C80" s="9" t="str">
        <f>Sites[[#This Row],[SOL'#]]</f>
        <v>SOL-10993</v>
      </c>
      <c r="D80" s="9"/>
      <c r="E80" s="14"/>
      <c r="F80" s="14" t="str">
        <f t="shared" si="5"/>
        <v/>
      </c>
      <c r="G80" s="15" t="str">
        <f t="shared" si="6"/>
        <v/>
      </c>
      <c r="H80" s="16"/>
      <c r="I80" s="16" t="str">
        <f t="shared" si="7"/>
        <v/>
      </c>
      <c r="J80" s="15" t="str">
        <f t="shared" si="8"/>
        <v/>
      </c>
      <c r="K80" s="51"/>
      <c r="L80" s="99"/>
      <c r="M80" s="102"/>
      <c r="N80" s="102"/>
      <c r="O80" s="103"/>
      <c r="P80" s="103"/>
      <c r="Q80" s="103"/>
      <c r="R80" s="103"/>
      <c r="S80" s="103"/>
      <c r="T80" s="103"/>
      <c r="U80" s="103"/>
      <c r="V80" s="103"/>
      <c r="W80" s="103"/>
      <c r="X80" s="103"/>
      <c r="Y80" s="103"/>
      <c r="Z80" s="103"/>
      <c r="AA80" s="103"/>
    </row>
    <row r="81" spans="1:27" ht="35.25" customHeight="1">
      <c r="A81" s="24" t="str">
        <v>Glen Mary 2</v>
      </c>
      <c r="B81" s="25" t="str">
        <v>NY</v>
      </c>
      <c r="C81" s="25" t="str">
        <f>Sites[[#This Row],[SOL'#]]</f>
        <v>SOL-10994</v>
      </c>
      <c r="D81" s="20"/>
      <c r="E81" s="10"/>
      <c r="F81" s="10" t="str">
        <f t="shared" si="5"/>
        <v/>
      </c>
      <c r="G81" s="11" t="str">
        <f t="shared" si="6"/>
        <v/>
      </c>
      <c r="H81" s="12"/>
      <c r="I81" s="12" t="str">
        <f t="shared" si="7"/>
        <v/>
      </c>
      <c r="J81" s="64" t="str">
        <f t="shared" si="8"/>
        <v/>
      </c>
      <c r="K81" s="53"/>
      <c r="L81" s="98"/>
      <c r="M81" s="102"/>
      <c r="N81" s="103"/>
      <c r="O81" s="103"/>
      <c r="P81" s="103"/>
      <c r="Q81" s="103"/>
      <c r="R81" s="103"/>
      <c r="S81" s="103"/>
      <c r="T81" s="103"/>
      <c r="U81" s="103"/>
      <c r="V81" s="103"/>
      <c r="W81" s="103"/>
      <c r="X81" s="103"/>
      <c r="Y81" s="103"/>
      <c r="Z81" s="103"/>
      <c r="AA81" s="103"/>
    </row>
    <row r="82" spans="1:27" ht="15.6">
      <c r="A82" s="26" t="str">
        <v>Telegraph 1</v>
      </c>
      <c r="B82" s="27" t="str">
        <v>NY</v>
      </c>
      <c r="C82" s="9" t="str">
        <f>Sites[[#This Row],[SOL'#]]</f>
        <v>SOL-11003</v>
      </c>
      <c r="D82" s="9"/>
      <c r="E82" s="14"/>
      <c r="F82" s="14" t="str">
        <f t="shared" si="5"/>
        <v/>
      </c>
      <c r="G82" s="15" t="str">
        <f t="shared" si="6"/>
        <v/>
      </c>
      <c r="H82" s="16"/>
      <c r="I82" s="16" t="str">
        <f t="shared" si="7"/>
        <v/>
      </c>
      <c r="J82" s="15" t="str">
        <f t="shared" si="8"/>
        <v/>
      </c>
      <c r="K82" s="51"/>
      <c r="L82" s="52"/>
      <c r="M82" s="103"/>
      <c r="N82" s="103"/>
      <c r="O82" s="103"/>
      <c r="P82" s="103"/>
      <c r="Q82" s="103"/>
      <c r="R82" s="103"/>
      <c r="S82" s="103"/>
      <c r="T82" s="103"/>
      <c r="U82" s="103"/>
      <c r="V82" s="103"/>
      <c r="W82" s="103"/>
      <c r="X82" s="103"/>
      <c r="Y82" s="103"/>
      <c r="Z82" s="103"/>
      <c r="AA82" s="103"/>
    </row>
    <row r="83" spans="1:27" ht="15.6">
      <c r="A83" s="24" t="str">
        <v>Telegraph 2</v>
      </c>
      <c r="B83" s="25" t="str">
        <v>NY</v>
      </c>
      <c r="C83" s="25" t="str">
        <f>Sites[[#This Row],[SOL'#]]</f>
        <v>SOL-11004</v>
      </c>
      <c r="D83" s="20"/>
      <c r="E83" s="10"/>
      <c r="F83" s="10" t="str">
        <f t="shared" si="5"/>
        <v/>
      </c>
      <c r="G83" s="11" t="str">
        <f t="shared" si="6"/>
        <v/>
      </c>
      <c r="H83" s="12"/>
      <c r="I83" s="12" t="str">
        <f t="shared" si="7"/>
        <v/>
      </c>
      <c r="J83" s="64" t="str">
        <f t="shared" si="8"/>
        <v/>
      </c>
      <c r="K83" s="73"/>
      <c r="L83" s="53"/>
      <c r="M83" s="103"/>
      <c r="N83" s="103"/>
      <c r="O83" s="103"/>
      <c r="P83" s="103"/>
      <c r="Q83" s="103"/>
      <c r="R83" s="103"/>
      <c r="S83" s="103"/>
      <c r="T83" s="103"/>
      <c r="U83" s="103"/>
      <c r="V83" s="103"/>
      <c r="W83" s="103"/>
      <c r="X83" s="103"/>
      <c r="Y83" s="103"/>
      <c r="Z83" s="103"/>
      <c r="AA83" s="103"/>
    </row>
    <row r="84" spans="1:27" ht="15.6">
      <c r="A84" s="26" t="str">
        <v>Cafferty Hill</v>
      </c>
      <c r="B84" s="27" t="str">
        <v>NY</v>
      </c>
      <c r="C84" s="9" t="str">
        <f>Sites[[#This Row],[SOL'#]]</f>
        <v>SOL-10996</v>
      </c>
      <c r="D84" s="9"/>
      <c r="E84" s="14"/>
      <c r="F84" s="14" t="str">
        <f t="shared" si="5"/>
        <v/>
      </c>
      <c r="G84" s="15" t="str">
        <f t="shared" si="6"/>
        <v/>
      </c>
      <c r="H84" s="16"/>
      <c r="I84" s="16" t="str">
        <f t="shared" si="7"/>
        <v/>
      </c>
      <c r="J84" s="15" t="str">
        <f t="shared" si="8"/>
        <v/>
      </c>
      <c r="K84" s="51"/>
      <c r="L84" s="51"/>
      <c r="M84" s="103"/>
      <c r="N84" s="103"/>
      <c r="O84" s="103"/>
      <c r="P84" s="103"/>
      <c r="Q84" s="103"/>
      <c r="R84" s="103"/>
      <c r="S84" s="103"/>
      <c r="T84" s="103"/>
      <c r="U84" s="103"/>
      <c r="V84" s="103"/>
      <c r="W84" s="103"/>
      <c r="X84" s="103"/>
      <c r="Y84" s="103"/>
      <c r="Z84" s="103"/>
      <c r="AA84" s="103"/>
    </row>
    <row r="85" spans="1:27" ht="15.6">
      <c r="A85" s="24" t="str">
        <v>Dunkleman</v>
      </c>
      <c r="B85" s="25" t="str">
        <v>NY</v>
      </c>
      <c r="C85" s="25" t="str">
        <f>Sites[[#This Row],[SOL'#]]</f>
        <v>SOL-11008</v>
      </c>
      <c r="D85" s="20"/>
      <c r="E85" s="10"/>
      <c r="F85" s="10" t="str">
        <f t="shared" si="5"/>
        <v/>
      </c>
      <c r="G85" s="11" t="str">
        <f t="shared" si="6"/>
        <v/>
      </c>
      <c r="H85" s="12"/>
      <c r="I85" s="12" t="str">
        <f t="shared" si="7"/>
        <v/>
      </c>
      <c r="J85" s="64" t="str">
        <f t="shared" si="8"/>
        <v/>
      </c>
      <c r="K85" s="53"/>
      <c r="L85" s="98"/>
      <c r="M85" s="103"/>
      <c r="N85" s="103"/>
      <c r="O85" s="103"/>
      <c r="P85" s="103"/>
      <c r="Q85" s="103"/>
      <c r="R85" s="103"/>
      <c r="S85" s="103"/>
      <c r="T85" s="103"/>
      <c r="U85" s="103"/>
      <c r="V85" s="103"/>
      <c r="W85" s="103"/>
      <c r="X85" s="103"/>
      <c r="Y85" s="103"/>
      <c r="Z85" s="103"/>
      <c r="AA85" s="103"/>
    </row>
    <row r="86" spans="1:27" ht="15.6">
      <c r="A86" s="26" t="str">
        <v>Route 19 1</v>
      </c>
      <c r="B86" s="27" t="str">
        <v>NY</v>
      </c>
      <c r="C86" s="9" t="str">
        <f>Sites[[#This Row],[SOL'#]]</f>
        <v>SOL-11001</v>
      </c>
      <c r="D86" s="9"/>
      <c r="E86" s="14"/>
      <c r="F86" s="14" t="str">
        <f t="shared" si="5"/>
        <v/>
      </c>
      <c r="G86" s="15" t="str">
        <f t="shared" si="6"/>
        <v/>
      </c>
      <c r="H86" s="16"/>
      <c r="I86" s="16" t="str">
        <f t="shared" si="7"/>
        <v/>
      </c>
      <c r="J86" s="15" t="str">
        <f t="shared" si="8"/>
        <v/>
      </c>
      <c r="K86" s="51"/>
      <c r="L86" s="51"/>
      <c r="M86" s="103"/>
      <c r="N86" s="103"/>
      <c r="O86" s="103"/>
      <c r="P86" s="103"/>
      <c r="Q86" s="103"/>
      <c r="R86" s="103"/>
      <c r="S86" s="103"/>
      <c r="T86" s="103"/>
      <c r="U86" s="103"/>
      <c r="V86" s="103"/>
      <c r="W86" s="103"/>
      <c r="X86" s="103"/>
      <c r="Y86" s="103"/>
      <c r="Z86" s="103"/>
      <c r="AA86" s="103"/>
    </row>
    <row r="87" spans="1:27" ht="15.6">
      <c r="A87" s="24" t="str">
        <v>Route 19 2</v>
      </c>
      <c r="B87" s="25" t="str">
        <v>NY</v>
      </c>
      <c r="C87" s="25" t="str">
        <f>Sites[[#This Row],[SOL'#]]</f>
        <v>SOL-11002</v>
      </c>
      <c r="D87" s="20"/>
      <c r="E87" s="10"/>
      <c r="F87" s="10" t="str">
        <f t="shared" si="5"/>
        <v/>
      </c>
      <c r="G87" s="11" t="str">
        <f t="shared" si="6"/>
        <v/>
      </c>
      <c r="H87" s="12"/>
      <c r="I87" s="12" t="str">
        <f t="shared" si="7"/>
        <v/>
      </c>
      <c r="J87" s="64" t="str">
        <f t="shared" si="8"/>
        <v/>
      </c>
      <c r="K87" s="53"/>
      <c r="L87" s="53"/>
      <c r="M87" s="103"/>
      <c r="N87" s="103"/>
      <c r="O87" s="103"/>
      <c r="P87" s="103"/>
      <c r="Q87" s="103"/>
      <c r="R87" s="103"/>
      <c r="S87" s="103"/>
      <c r="T87" s="103"/>
      <c r="U87" s="103"/>
      <c r="V87" s="103"/>
      <c r="W87" s="103"/>
      <c r="X87" s="103"/>
      <c r="Y87" s="103"/>
      <c r="Z87" s="103"/>
      <c r="AA87" s="103"/>
    </row>
    <row r="88" spans="1:27" ht="33" customHeight="1">
      <c r="A88" s="26" t="str">
        <v>Yellow Mills 1</v>
      </c>
      <c r="B88" s="27" t="str">
        <v>NY</v>
      </c>
      <c r="C88" s="9" t="str">
        <f>Sites[[#This Row],[SOL'#]]</f>
        <v>SOL-11006</v>
      </c>
      <c r="D88" s="9"/>
      <c r="E88" s="14"/>
      <c r="F88" s="14" t="str">
        <f t="shared" si="5"/>
        <v/>
      </c>
      <c r="G88" s="15" t="str">
        <f t="shared" si="6"/>
        <v/>
      </c>
      <c r="H88" s="16"/>
      <c r="I88" s="16" t="str">
        <f t="shared" si="7"/>
        <v/>
      </c>
      <c r="J88" s="15" t="str">
        <f t="shared" si="8"/>
        <v/>
      </c>
      <c r="K88" s="51"/>
      <c r="L88" s="99"/>
      <c r="M88" s="103"/>
      <c r="N88" s="103"/>
      <c r="O88" s="103"/>
      <c r="P88" s="103"/>
      <c r="Q88" s="103"/>
      <c r="R88" s="103"/>
      <c r="S88" s="103"/>
      <c r="T88" s="103"/>
      <c r="U88" s="103"/>
      <c r="V88" s="103"/>
      <c r="W88" s="103"/>
      <c r="X88" s="103"/>
      <c r="Y88" s="103"/>
      <c r="Z88" s="103"/>
      <c r="AA88" s="103"/>
    </row>
    <row r="89" spans="1:27" ht="33.75" customHeight="1">
      <c r="A89" s="24" t="str">
        <v>Yellow Mills 2</v>
      </c>
      <c r="B89" s="25" t="str">
        <v>NY</v>
      </c>
      <c r="C89" s="25" t="str">
        <f>Sites[[#This Row],[SOL'#]]</f>
        <v>SOL-11005</v>
      </c>
      <c r="D89" s="20"/>
      <c r="E89" s="10"/>
      <c r="F89" s="10" t="str">
        <f t="shared" si="5"/>
        <v/>
      </c>
      <c r="G89" s="11" t="str">
        <f t="shared" si="6"/>
        <v/>
      </c>
      <c r="H89" s="12"/>
      <c r="I89" s="12" t="str">
        <f t="shared" si="7"/>
        <v/>
      </c>
      <c r="J89" s="64" t="str">
        <f t="shared" si="8"/>
        <v/>
      </c>
      <c r="K89" s="53"/>
      <c r="L89" s="98"/>
      <c r="M89" s="103"/>
      <c r="N89" s="103"/>
      <c r="O89" s="103"/>
      <c r="P89" s="103"/>
      <c r="Q89" s="103"/>
      <c r="R89" s="103"/>
      <c r="S89" s="103"/>
      <c r="T89" s="103"/>
      <c r="U89" s="103"/>
      <c r="V89" s="103"/>
      <c r="W89" s="103"/>
      <c r="X89" s="103"/>
      <c r="Y89" s="103"/>
      <c r="Z89" s="103"/>
      <c r="AA89" s="103"/>
    </row>
    <row r="90" spans="1:27" ht="17.25" customHeight="1">
      <c r="A90" s="26" t="str">
        <v>Yellow Mills 3</v>
      </c>
      <c r="B90" s="27" t="str">
        <v>NY</v>
      </c>
      <c r="C90" s="9" t="str">
        <f>Sites[[#This Row],[SOL'#]]</f>
        <v>SOL-11007</v>
      </c>
      <c r="D90" s="9"/>
      <c r="E90" s="14"/>
      <c r="F90" s="14" t="str">
        <f t="shared" si="5"/>
        <v/>
      </c>
      <c r="G90" s="15" t="str">
        <f t="shared" si="6"/>
        <v/>
      </c>
      <c r="H90" s="16"/>
      <c r="I90" s="16" t="str">
        <f t="shared" si="7"/>
        <v/>
      </c>
      <c r="J90" s="15" t="str">
        <f t="shared" si="8"/>
        <v/>
      </c>
      <c r="K90" s="51"/>
      <c r="L90" s="99"/>
      <c r="M90" s="103"/>
      <c r="N90" s="103"/>
      <c r="O90" s="103"/>
      <c r="P90" s="103"/>
      <c r="Q90" s="103"/>
      <c r="R90" s="103"/>
      <c r="S90" s="103"/>
      <c r="T90" s="103"/>
      <c r="U90" s="103"/>
      <c r="V90" s="103"/>
      <c r="W90" s="103"/>
      <c r="X90" s="103"/>
      <c r="Y90" s="103"/>
      <c r="Z90" s="103"/>
      <c r="AA90" s="103"/>
    </row>
    <row r="91" spans="1:27" ht="15.6">
      <c r="A91" s="24" t="str">
        <v>Catskill</v>
      </c>
      <c r="B91" s="25" t="str">
        <v>NY</v>
      </c>
      <c r="C91" s="25" t="str">
        <f>Sites[[#This Row],[SOL'#]]</f>
        <v>SOL-11021</v>
      </c>
      <c r="D91" s="20"/>
      <c r="E91" s="10"/>
      <c r="F91" s="10" t="str">
        <f t="shared" si="5"/>
        <v/>
      </c>
      <c r="G91" s="11" t="str">
        <f t="shared" si="6"/>
        <v/>
      </c>
      <c r="H91" s="12"/>
      <c r="I91" s="12" t="str">
        <f t="shared" si="7"/>
        <v/>
      </c>
      <c r="J91" s="64" t="str">
        <f t="shared" si="8"/>
        <v/>
      </c>
      <c r="K91" s="53"/>
      <c r="L91" s="53"/>
      <c r="M91" s="103"/>
      <c r="N91" s="103"/>
      <c r="O91" s="103"/>
      <c r="P91" s="103"/>
      <c r="Q91" s="103"/>
      <c r="R91" s="103"/>
      <c r="S91" s="103"/>
      <c r="T91" s="103"/>
      <c r="U91" s="103"/>
      <c r="V91" s="103"/>
      <c r="W91" s="103"/>
      <c r="X91" s="103"/>
      <c r="Y91" s="103"/>
      <c r="Z91" s="103"/>
      <c r="AA91" s="103"/>
    </row>
    <row r="92" spans="1:27" ht="36" customHeight="1">
      <c r="A92" s="26" t="str">
        <v>Eddy Ridge</v>
      </c>
      <c r="B92" s="27" t="str">
        <v>NY</v>
      </c>
      <c r="C92" s="9" t="str">
        <f>Sites[[#This Row],[SOL'#]]</f>
        <v>SOL-11054</v>
      </c>
      <c r="D92" s="9"/>
      <c r="E92" s="14"/>
      <c r="F92" s="14" t="str">
        <f t="shared" si="5"/>
        <v/>
      </c>
      <c r="G92" s="15" t="str">
        <f t="shared" si="6"/>
        <v/>
      </c>
      <c r="H92" s="16"/>
      <c r="I92" s="16" t="str">
        <f t="shared" si="7"/>
        <v/>
      </c>
      <c r="J92" s="15" t="str">
        <f t="shared" si="8"/>
        <v/>
      </c>
      <c r="K92" s="51"/>
      <c r="L92" s="99"/>
      <c r="M92" s="102"/>
      <c r="N92" s="103"/>
      <c r="O92" s="103"/>
      <c r="P92" s="103"/>
      <c r="Q92" s="103"/>
      <c r="R92" s="103"/>
      <c r="S92" s="103"/>
      <c r="T92" s="103"/>
      <c r="U92" s="103"/>
      <c r="V92" s="103"/>
      <c r="W92" s="103"/>
      <c r="X92" s="103"/>
      <c r="Y92" s="103"/>
      <c r="Z92" s="103"/>
      <c r="AA92" s="103"/>
    </row>
    <row r="93" spans="1:27" ht="31.5" customHeight="1">
      <c r="A93" s="24" t="str">
        <v>Ridgeway #1</v>
      </c>
      <c r="B93" s="25" t="str">
        <v>NY</v>
      </c>
      <c r="C93" s="25" t="str">
        <f>Sites[[#This Row],[SOL'#]]</f>
        <v>SOL-11018</v>
      </c>
      <c r="D93" s="20"/>
      <c r="E93" s="10"/>
      <c r="F93" s="10" t="str">
        <f t="shared" si="5"/>
        <v/>
      </c>
      <c r="G93" s="11" t="str">
        <f t="shared" si="6"/>
        <v/>
      </c>
      <c r="H93" s="12"/>
      <c r="I93" s="12" t="str">
        <f t="shared" si="7"/>
        <v/>
      </c>
      <c r="J93" s="64" t="str">
        <f t="shared" si="8"/>
        <v/>
      </c>
      <c r="K93" s="53"/>
      <c r="L93" s="98"/>
      <c r="M93" s="102"/>
      <c r="N93" s="103"/>
      <c r="O93" s="103"/>
      <c r="P93" s="103"/>
      <c r="Q93" s="103"/>
      <c r="R93" s="103"/>
      <c r="S93" s="103"/>
      <c r="T93" s="103"/>
      <c r="U93" s="103"/>
      <c r="V93" s="103"/>
      <c r="W93" s="103"/>
      <c r="X93" s="103"/>
      <c r="Y93" s="103"/>
      <c r="Z93" s="103"/>
      <c r="AA93" s="103"/>
    </row>
    <row r="94" spans="1:27" ht="37.5" customHeight="1">
      <c r="A94" s="26" t="str">
        <v>Rivard 1</v>
      </c>
      <c r="B94" s="27" t="str">
        <v>NY</v>
      </c>
      <c r="C94" s="9" t="str">
        <f>Sites[[#This Row],[SOL'#]]</f>
        <v>SOL-11011</v>
      </c>
      <c r="D94" s="9"/>
      <c r="E94" s="14"/>
      <c r="F94" s="14" t="str">
        <f t="shared" si="5"/>
        <v/>
      </c>
      <c r="G94" s="15" t="str">
        <f t="shared" si="6"/>
        <v/>
      </c>
      <c r="H94" s="16"/>
      <c r="I94" s="16" t="str">
        <f t="shared" si="7"/>
        <v/>
      </c>
      <c r="J94" s="15" t="str">
        <f t="shared" si="8"/>
        <v/>
      </c>
      <c r="K94" s="51"/>
      <c r="L94" s="99"/>
      <c r="M94" s="103"/>
      <c r="N94" s="103"/>
      <c r="O94" s="103"/>
      <c r="P94" s="103"/>
      <c r="Q94" s="103"/>
      <c r="R94" s="103"/>
      <c r="S94" s="103"/>
      <c r="T94" s="103"/>
      <c r="U94" s="103"/>
      <c r="V94" s="103"/>
      <c r="W94" s="103"/>
      <c r="X94" s="103"/>
      <c r="Y94" s="103"/>
      <c r="Z94" s="103"/>
      <c r="AA94" s="103"/>
    </row>
    <row r="95" spans="1:27" ht="31.5" customHeight="1">
      <c r="A95" s="24" t="str">
        <v>Rivard 2</v>
      </c>
      <c r="B95" s="25" t="str">
        <v>NY</v>
      </c>
      <c r="C95" s="25" t="str">
        <f>Sites[[#This Row],[SOL'#]]</f>
        <v>SOL-11012</v>
      </c>
      <c r="D95" s="20"/>
      <c r="E95" s="10"/>
      <c r="F95" s="10" t="str">
        <f t="shared" si="5"/>
        <v/>
      </c>
      <c r="G95" s="11" t="str">
        <f t="shared" si="6"/>
        <v/>
      </c>
      <c r="H95" s="12"/>
      <c r="I95" s="12" t="str">
        <f t="shared" si="7"/>
        <v/>
      </c>
      <c r="J95" s="64" t="str">
        <f t="shared" si="8"/>
        <v/>
      </c>
      <c r="K95" s="53"/>
      <c r="L95" s="98"/>
      <c r="M95" s="103"/>
      <c r="N95" s="103"/>
      <c r="O95" s="103"/>
      <c r="P95" s="103"/>
      <c r="Q95" s="103"/>
      <c r="R95" s="103"/>
      <c r="S95" s="103"/>
      <c r="T95" s="103"/>
      <c r="U95" s="103"/>
      <c r="V95" s="103"/>
      <c r="W95" s="103"/>
      <c r="X95" s="103"/>
      <c r="Y95" s="103"/>
      <c r="Z95" s="103"/>
      <c r="AA95" s="103"/>
    </row>
    <row r="96" spans="1:27" ht="15.6">
      <c r="A96" s="26" t="str">
        <v>Ridgeway #2</v>
      </c>
      <c r="B96" s="27" t="str">
        <v>NY</v>
      </c>
      <c r="C96" s="9" t="str">
        <f>Sites[[#This Row],[SOL'#]]</f>
        <v>SOL-11027</v>
      </c>
      <c r="D96" s="9"/>
      <c r="E96" s="14"/>
      <c r="F96" s="14" t="str">
        <f t="shared" si="5"/>
        <v/>
      </c>
      <c r="G96" s="15" t="str">
        <f t="shared" si="6"/>
        <v/>
      </c>
      <c r="H96" s="16"/>
      <c r="I96" s="16" t="str">
        <f t="shared" si="7"/>
        <v/>
      </c>
      <c r="J96" s="15" t="str">
        <f t="shared" si="8"/>
        <v/>
      </c>
      <c r="K96" s="51"/>
      <c r="L96" s="99"/>
      <c r="M96" s="103"/>
      <c r="N96" s="103"/>
      <c r="O96" s="103"/>
      <c r="P96" s="103"/>
      <c r="Q96" s="103"/>
      <c r="R96" s="103"/>
      <c r="S96" s="103"/>
      <c r="T96" s="103"/>
      <c r="U96" s="103"/>
      <c r="V96" s="103"/>
      <c r="W96" s="103"/>
      <c r="X96" s="103"/>
      <c r="Y96" s="103"/>
      <c r="Z96" s="103"/>
      <c r="AA96" s="103"/>
    </row>
    <row r="97" spans="1:27" ht="15.6">
      <c r="A97" s="24" t="str">
        <v>Spencer</v>
      </c>
      <c r="B97" s="25" t="str">
        <v>NY</v>
      </c>
      <c r="C97" s="25" t="str">
        <f>Sites[[#This Row],[SOL'#]]</f>
        <v>SOL-11017</v>
      </c>
      <c r="D97" s="20"/>
      <c r="E97" s="10"/>
      <c r="F97" s="10" t="str">
        <f t="shared" si="5"/>
        <v/>
      </c>
      <c r="G97" s="11" t="str">
        <f t="shared" si="6"/>
        <v/>
      </c>
      <c r="H97" s="12"/>
      <c r="I97" s="12" t="str">
        <f t="shared" si="7"/>
        <v/>
      </c>
      <c r="J97" s="64" t="str">
        <f t="shared" si="8"/>
        <v/>
      </c>
      <c r="K97" s="70"/>
      <c r="L97" s="137"/>
      <c r="S97" s="103"/>
      <c r="T97" s="103"/>
      <c r="U97" s="103"/>
      <c r="V97" s="103"/>
      <c r="W97" s="103"/>
      <c r="X97" s="103"/>
      <c r="Y97" s="103"/>
      <c r="Z97" s="103"/>
      <c r="AA97" s="103"/>
    </row>
    <row r="98" spans="1:27" ht="15.6">
      <c r="A98" s="26" t="str">
        <v>Reisender</v>
      </c>
      <c r="B98" s="27" t="str">
        <v>NY</v>
      </c>
      <c r="C98" s="9" t="str">
        <f>Sites[[#This Row],[SOL'#]]</f>
        <v>SOL-10886</v>
      </c>
      <c r="D98" s="9"/>
      <c r="E98" s="14"/>
      <c r="F98" s="14" t="str">
        <f t="shared" si="5"/>
        <v/>
      </c>
      <c r="G98" s="15" t="str">
        <f t="shared" si="6"/>
        <v/>
      </c>
      <c r="H98" s="16"/>
      <c r="I98" s="16" t="str">
        <f t="shared" si="7"/>
        <v/>
      </c>
      <c r="J98" s="15" t="str">
        <f t="shared" si="8"/>
        <v/>
      </c>
      <c r="K98" s="135"/>
      <c r="L98" s="135"/>
      <c r="S98" s="103"/>
      <c r="T98" s="103"/>
      <c r="U98" s="103"/>
      <c r="V98" s="103"/>
      <c r="W98" s="103"/>
      <c r="X98" s="103"/>
      <c r="Y98" s="103"/>
      <c r="Z98" s="103"/>
      <c r="AA98" s="103"/>
    </row>
    <row r="99" spans="1:27" ht="15.6">
      <c r="A99" s="24" t="str">
        <v>Finney</v>
      </c>
      <c r="B99" s="25" t="str">
        <v>NY</v>
      </c>
      <c r="C99" s="25" t="str">
        <f>Sites[[#This Row],[SOL'#]]</f>
        <v>SOL-10999</v>
      </c>
      <c r="D99" s="20"/>
      <c r="E99" s="10"/>
      <c r="F99" s="10" t="str">
        <f t="shared" si="5"/>
        <v/>
      </c>
      <c r="G99" s="11" t="str">
        <f t="shared" si="6"/>
        <v/>
      </c>
      <c r="H99" s="12"/>
      <c r="I99" s="12" t="str">
        <f t="shared" si="7"/>
        <v/>
      </c>
      <c r="J99" s="64" t="str">
        <f t="shared" si="8"/>
        <v/>
      </c>
      <c r="K99" s="70"/>
      <c r="L99" s="17"/>
      <c r="S99" s="103"/>
      <c r="T99" s="103"/>
      <c r="U99" s="103"/>
      <c r="V99" s="103"/>
      <c r="W99" s="103"/>
      <c r="X99" s="103"/>
      <c r="Y99" s="103"/>
      <c r="Z99" s="103"/>
      <c r="AA99" s="103"/>
    </row>
    <row r="100" spans="1:27" ht="15.6">
      <c r="A100" s="26" t="str">
        <v>Davis Solar</v>
      </c>
      <c r="B100" s="27" t="str">
        <v>NY</v>
      </c>
      <c r="C100" s="9" t="str">
        <f>Sites[[#This Row],[SOL'#]]</f>
        <v>SOL-10958</v>
      </c>
      <c r="D100" s="9"/>
      <c r="E100" s="14"/>
      <c r="F100" s="14" t="str">
        <f t="shared" si="5"/>
        <v/>
      </c>
      <c r="G100" s="15" t="str">
        <f t="shared" si="6"/>
        <v/>
      </c>
      <c r="H100" s="16"/>
      <c r="I100" s="16" t="str">
        <f t="shared" si="7"/>
        <v/>
      </c>
      <c r="J100" s="15" t="str">
        <f t="shared" si="8"/>
        <v/>
      </c>
      <c r="K100" s="135"/>
      <c r="L100" s="136"/>
      <c r="M100" s="138"/>
      <c r="N100" s="138"/>
      <c r="S100" s="103"/>
      <c r="T100" s="103"/>
      <c r="U100" s="103"/>
      <c r="V100" s="103"/>
      <c r="W100" s="103"/>
      <c r="X100" s="103"/>
      <c r="Y100" s="103"/>
      <c r="Z100" s="103"/>
      <c r="AA100" s="103"/>
    </row>
    <row r="101" spans="1:27" ht="15.6">
      <c r="A101" s="24" t="str">
        <v>Genesee</v>
      </c>
      <c r="B101" s="25" t="str">
        <v>NY</v>
      </c>
      <c r="C101" s="25" t="str">
        <f>Sites[[#This Row],[SOL'#]]</f>
        <v>SOL-10951</v>
      </c>
      <c r="D101" s="20"/>
      <c r="E101" s="10"/>
      <c r="F101" s="10" t="str">
        <f t="shared" si="5"/>
        <v/>
      </c>
      <c r="G101" s="11" t="str">
        <f t="shared" si="6"/>
        <v/>
      </c>
      <c r="H101" s="12"/>
      <c r="I101" s="12" t="str">
        <f t="shared" si="7"/>
        <v/>
      </c>
      <c r="J101" s="64" t="str">
        <f t="shared" si="8"/>
        <v/>
      </c>
      <c r="K101" s="70"/>
      <c r="L101" s="138"/>
      <c r="S101" s="103"/>
      <c r="T101" s="103"/>
      <c r="U101" s="103"/>
      <c r="V101" s="103"/>
      <c r="W101" s="103"/>
      <c r="X101" s="103"/>
      <c r="Y101" s="103"/>
      <c r="Z101" s="103"/>
      <c r="AA101" s="103"/>
    </row>
    <row r="102" spans="1:27" ht="15.6">
      <c r="A102" s="26" t="str">
        <v>Landau I</v>
      </c>
      <c r="B102" s="27" t="str">
        <v>NY</v>
      </c>
      <c r="C102" s="9" t="str">
        <f>Sites[[#This Row],[SOL'#]]</f>
        <v>SOL-10891</v>
      </c>
      <c r="D102" s="9"/>
      <c r="E102" s="14"/>
      <c r="F102" s="14" t="str">
        <f t="shared" si="5"/>
        <v/>
      </c>
      <c r="G102" s="15" t="str">
        <f t="shared" si="6"/>
        <v/>
      </c>
      <c r="H102" s="16"/>
      <c r="I102" s="16" t="str">
        <f t="shared" si="7"/>
        <v/>
      </c>
      <c r="J102" s="15" t="str">
        <f t="shared" si="8"/>
        <v/>
      </c>
      <c r="K102" s="135"/>
      <c r="L102" s="135"/>
      <c r="S102" s="103"/>
      <c r="T102" s="103"/>
      <c r="U102" s="103"/>
      <c r="V102" s="103"/>
      <c r="W102" s="103"/>
      <c r="X102" s="103"/>
      <c r="Y102" s="103"/>
      <c r="Z102" s="103"/>
      <c r="AA102" s="103"/>
    </row>
    <row r="103" spans="1:27" ht="15.6">
      <c r="A103" s="24" t="str">
        <v>Landau II</v>
      </c>
      <c r="B103" s="25" t="str">
        <v>NY</v>
      </c>
      <c r="C103" s="25" t="str">
        <f>Sites[[#This Row],[SOL'#]]</f>
        <v>SOL-10895</v>
      </c>
      <c r="D103" s="20"/>
      <c r="E103" s="10"/>
      <c r="F103" s="10" t="str">
        <f t="shared" si="5"/>
        <v/>
      </c>
      <c r="G103" s="11" t="str">
        <f t="shared" si="6"/>
        <v/>
      </c>
      <c r="H103" s="12"/>
      <c r="I103" s="12" t="str">
        <f t="shared" si="7"/>
        <v/>
      </c>
      <c r="J103" s="64" t="str">
        <f t="shared" si="8"/>
        <v/>
      </c>
      <c r="K103" s="70"/>
      <c r="L103" s="137"/>
      <c r="M103" s="138"/>
      <c r="N103" s="138"/>
      <c r="O103" s="138"/>
      <c r="P103" s="138"/>
      <c r="Q103" s="138"/>
      <c r="R103" s="138"/>
      <c r="S103" s="103"/>
      <c r="T103" s="103"/>
      <c r="U103" s="103"/>
      <c r="V103" s="103"/>
      <c r="W103" s="103"/>
      <c r="X103" s="103"/>
      <c r="Y103" s="103"/>
      <c r="Z103" s="103"/>
      <c r="AA103" s="103"/>
    </row>
    <row r="104" spans="1:27" ht="122.25" customHeight="1">
      <c r="A104" s="26" t="str">
        <v>New Beginnings</v>
      </c>
      <c r="B104" s="27" t="str">
        <v>NY</v>
      </c>
      <c r="C104" s="9" t="str">
        <f>Sites[[#This Row],[SOL'#]]</f>
        <v>SOL-10890</v>
      </c>
      <c r="D104" s="9"/>
      <c r="E104" s="14"/>
      <c r="F104" s="14" t="str">
        <f>IF(AND(ISNUMBER(D104),ISNUMBER(E104)), D104-E104, "")</f>
        <v/>
      </c>
      <c r="G104" s="15" t="str">
        <f>IFERROR(F104/E104, "")</f>
        <v/>
      </c>
      <c r="H104" s="16"/>
      <c r="I104" s="16" t="str">
        <f>IF(AND(ISNUMBER(D104),ISNUMBER(H104)), D104-H104, "")</f>
        <v/>
      </c>
      <c r="J104" s="15" t="str">
        <f t="shared" si="8"/>
        <v/>
      </c>
      <c r="K104" s="135"/>
      <c r="L104" s="136"/>
      <c r="S104" s="103"/>
      <c r="T104" s="103"/>
      <c r="U104" s="103"/>
      <c r="V104" s="103"/>
      <c r="W104" s="103"/>
      <c r="X104" s="103"/>
      <c r="Y104" s="103"/>
      <c r="Z104" s="103"/>
      <c r="AA104" s="103"/>
    </row>
    <row r="105" spans="1:27" ht="15.6">
      <c r="A105" s="24" t="str">
        <v>Bullitt Farm Solar, LLC</v>
      </c>
      <c r="B105" s="25" t="str">
        <v>NY</v>
      </c>
      <c r="C105" s="25" t="str">
        <f>Sites[[#This Row],[SOL'#]]</f>
        <v>SOL-10998</v>
      </c>
      <c r="D105" s="20"/>
      <c r="E105" s="10"/>
      <c r="F105" s="10" t="str">
        <f t="shared" si="5"/>
        <v/>
      </c>
      <c r="G105" s="11" t="str">
        <f t="shared" si="6"/>
        <v/>
      </c>
      <c r="H105" s="12"/>
      <c r="I105" s="12" t="str">
        <f t="shared" si="7"/>
        <v/>
      </c>
      <c r="J105" s="64" t="str">
        <f t="shared" si="8"/>
        <v/>
      </c>
      <c r="K105" s="70"/>
      <c r="L105" s="17"/>
      <c r="S105" s="103"/>
      <c r="T105" s="103"/>
      <c r="U105" s="103"/>
      <c r="V105" s="103"/>
      <c r="W105" s="103"/>
      <c r="X105" s="103"/>
      <c r="Y105" s="103"/>
      <c r="Z105" s="103"/>
      <c r="AA105" s="103"/>
    </row>
    <row r="106" spans="1:27" ht="15.6">
      <c r="A106" s="26" t="str">
        <v>Brodhead Solar, LLC</v>
      </c>
      <c r="B106" s="27" t="str">
        <v>NY</v>
      </c>
      <c r="C106" s="9" t="str">
        <f>Sites[[#This Row],[SOL'#]]</f>
        <v>SOL-10899</v>
      </c>
      <c r="D106" s="9"/>
      <c r="E106" s="14"/>
      <c r="F106" s="14" t="str">
        <f t="shared" si="5"/>
        <v/>
      </c>
      <c r="G106" s="15" t="str">
        <f t="shared" si="6"/>
        <v/>
      </c>
      <c r="H106" s="16"/>
      <c r="I106" s="16" t="str">
        <f t="shared" si="7"/>
        <v/>
      </c>
      <c r="J106" s="15" t="str">
        <f t="shared" si="8"/>
        <v/>
      </c>
      <c r="K106" s="135"/>
      <c r="L106" s="136"/>
      <c r="M106" s="138"/>
      <c r="S106" s="103"/>
      <c r="T106" s="103"/>
      <c r="U106" s="103"/>
      <c r="V106" s="103"/>
      <c r="W106" s="103"/>
      <c r="X106" s="103"/>
      <c r="Y106" s="103"/>
      <c r="Z106" s="103"/>
      <c r="AA106" s="103"/>
    </row>
    <row r="107" spans="1:27" ht="15.6">
      <c r="A107" s="24" t="str">
        <v>Svenski</v>
      </c>
      <c r="B107" s="25" t="str">
        <v>NY</v>
      </c>
      <c r="C107" s="25" t="str">
        <f>Sites[[#This Row],[SOL'#]]</f>
        <v>SOL-10894</v>
      </c>
      <c r="D107" s="20"/>
      <c r="E107" s="10"/>
      <c r="F107" s="10" t="str">
        <f t="shared" si="5"/>
        <v/>
      </c>
      <c r="G107" s="11" t="str">
        <f t="shared" si="6"/>
        <v/>
      </c>
      <c r="H107" s="12"/>
      <c r="I107" s="12" t="str">
        <f t="shared" si="7"/>
        <v/>
      </c>
      <c r="J107" s="64" t="str">
        <f t="shared" si="8"/>
        <v/>
      </c>
      <c r="K107" s="70"/>
      <c r="L107" s="137"/>
      <c r="M107" s="138"/>
      <c r="N107" s="138"/>
      <c r="S107" s="103"/>
      <c r="T107" s="103"/>
      <c r="U107" s="103"/>
      <c r="V107" s="103"/>
      <c r="W107" s="103"/>
      <c r="X107" s="103"/>
      <c r="Y107" s="103"/>
      <c r="Z107" s="103"/>
      <c r="AA107" s="103"/>
    </row>
    <row r="108" spans="1:27" ht="15.6">
      <c r="A108" s="26" t="str">
        <v>Bantam</v>
      </c>
      <c r="B108" s="27" t="str">
        <v>NY</v>
      </c>
      <c r="C108" s="9" t="str">
        <f>Sites[[#This Row],[SOL'#]]</f>
        <v>SOL-10986</v>
      </c>
      <c r="D108" s="9"/>
      <c r="E108" s="14"/>
      <c r="F108" s="14" t="str">
        <f t="shared" si="5"/>
        <v/>
      </c>
      <c r="G108" s="15" t="str">
        <f t="shared" si="6"/>
        <v/>
      </c>
      <c r="H108" s="16"/>
      <c r="I108" s="16" t="str">
        <f t="shared" si="7"/>
        <v/>
      </c>
      <c r="J108" s="15" t="str">
        <f t="shared" si="8"/>
        <v/>
      </c>
      <c r="K108" s="135"/>
      <c r="L108" s="136"/>
      <c r="M108" s="138"/>
      <c r="N108" s="138"/>
      <c r="O108" s="138"/>
      <c r="P108" s="138"/>
      <c r="S108" s="103"/>
      <c r="T108" s="103"/>
      <c r="U108" s="103"/>
      <c r="V108" s="103"/>
      <c r="W108" s="103"/>
      <c r="X108" s="103"/>
      <c r="Y108" s="103"/>
      <c r="Z108" s="103"/>
      <c r="AA108" s="103"/>
    </row>
    <row r="109" spans="1:27" ht="121.5" customHeight="1">
      <c r="A109" s="24" t="str">
        <v>Bogart</v>
      </c>
      <c r="B109" s="25" t="str">
        <v>NY</v>
      </c>
      <c r="C109" s="25" t="str">
        <f>Sites[[#This Row],[SOL'#]]</f>
        <v>SOL-10887</v>
      </c>
      <c r="D109" s="20"/>
      <c r="E109" s="10"/>
      <c r="F109" s="10" t="str">
        <f t="shared" si="5"/>
        <v/>
      </c>
      <c r="G109" s="11" t="str">
        <f t="shared" si="6"/>
        <v/>
      </c>
      <c r="H109" s="12"/>
      <c r="I109" s="12" t="str">
        <f t="shared" si="7"/>
        <v/>
      </c>
      <c r="J109" s="64" t="str">
        <f t="shared" si="8"/>
        <v/>
      </c>
      <c r="K109" s="70"/>
      <c r="L109" s="138"/>
      <c r="S109" s="103"/>
      <c r="T109" s="103"/>
      <c r="U109" s="103"/>
      <c r="V109" s="103"/>
      <c r="W109" s="103"/>
      <c r="X109" s="103"/>
      <c r="Y109" s="103"/>
      <c r="Z109" s="103"/>
      <c r="AA109" s="103"/>
    </row>
    <row r="110" spans="1:27" ht="165.75" customHeight="1">
      <c r="A110" s="26" t="str">
        <v>Dubois</v>
      </c>
      <c r="B110" s="27" t="str">
        <v>NY</v>
      </c>
      <c r="C110" s="9" t="str">
        <f>Sites[[#This Row],[SOL'#]]</f>
        <v>SOL-10892</v>
      </c>
      <c r="D110" s="9"/>
      <c r="E110" s="14"/>
      <c r="F110" s="14" t="str">
        <f t="shared" si="5"/>
        <v/>
      </c>
      <c r="G110" s="15" t="str">
        <f t="shared" si="6"/>
        <v/>
      </c>
      <c r="H110" s="16"/>
      <c r="I110" s="16" t="str">
        <f t="shared" si="7"/>
        <v/>
      </c>
      <c r="J110" s="15" t="str">
        <f t="shared" si="8"/>
        <v/>
      </c>
      <c r="K110" s="135"/>
      <c r="L110" s="136"/>
      <c r="M110" s="138"/>
      <c r="N110" s="138"/>
      <c r="O110" s="138"/>
      <c r="P110" s="138"/>
      <c r="Q110" s="138"/>
      <c r="S110" s="102"/>
      <c r="T110" s="102"/>
      <c r="U110" s="102"/>
      <c r="V110" s="102"/>
      <c r="W110" s="102"/>
      <c r="X110" s="102"/>
      <c r="Y110" s="102"/>
      <c r="Z110" s="103"/>
      <c r="AA110" s="103"/>
    </row>
    <row r="111" spans="1:27" ht="64.5" customHeight="1">
      <c r="A111" s="24" t="str">
        <v>Salt Point</v>
      </c>
      <c r="B111" s="25" t="str">
        <v>NY</v>
      </c>
      <c r="C111" s="25" t="str">
        <f>Sites[[#This Row],[SOL'#]]</f>
        <v>SOL-10888</v>
      </c>
      <c r="D111" s="20"/>
      <c r="E111" s="10"/>
      <c r="F111" s="10" t="str">
        <f t="shared" ref="F111:F142" si="9">IF(AND(ISNUMBER(D111),ISNUMBER(E111)), D111-E111, "")</f>
        <v/>
      </c>
      <c r="G111" s="11" t="str">
        <f t="shared" si="6"/>
        <v/>
      </c>
      <c r="H111" s="12"/>
      <c r="I111" s="12" t="str">
        <f t="shared" si="7"/>
        <v/>
      </c>
      <c r="J111" s="64" t="str">
        <f t="shared" si="8"/>
        <v/>
      </c>
      <c r="K111" s="70"/>
      <c r="L111" s="138"/>
      <c r="S111" s="103"/>
      <c r="T111" s="103"/>
      <c r="U111" s="103"/>
      <c r="V111" s="103"/>
      <c r="W111" s="103"/>
      <c r="X111" s="103"/>
      <c r="Y111" s="103"/>
      <c r="Z111" s="103"/>
      <c r="AA111" s="103"/>
    </row>
    <row r="112" spans="1:27" ht="48" customHeight="1">
      <c r="A112" s="26" t="str">
        <v>Wheatland 2A</v>
      </c>
      <c r="B112" s="27" t="str">
        <v>NY</v>
      </c>
      <c r="C112" s="9" t="str">
        <f>Sites[[#This Row],[SOL'#]]</f>
        <v>SOL-10971</v>
      </c>
      <c r="D112" s="9"/>
      <c r="E112" s="14"/>
      <c r="F112" s="14" t="str">
        <f t="shared" si="9"/>
        <v/>
      </c>
      <c r="G112" s="15" t="str">
        <f t="shared" si="6"/>
        <v/>
      </c>
      <c r="H112" s="16"/>
      <c r="I112" s="16" t="str">
        <f t="shared" si="7"/>
        <v/>
      </c>
      <c r="J112" s="15" t="str">
        <f t="shared" si="8"/>
        <v/>
      </c>
      <c r="K112" s="135"/>
      <c r="L112" s="136"/>
      <c r="M112" s="138"/>
      <c r="N112" s="138"/>
      <c r="O112" s="138"/>
      <c r="S112" s="103"/>
      <c r="T112" s="103"/>
      <c r="U112" s="103"/>
      <c r="V112" s="103"/>
      <c r="W112" s="103"/>
      <c r="X112" s="103"/>
      <c r="Y112" s="103"/>
      <c r="Z112" s="103"/>
      <c r="AA112" s="103"/>
    </row>
    <row r="113" spans="1:27" ht="63" customHeight="1">
      <c r="A113" s="24" t="str">
        <v>Wheatland 2B</v>
      </c>
      <c r="B113" s="25" t="str">
        <v>NY</v>
      </c>
      <c r="C113" s="25" t="str">
        <f>Sites[[#This Row],[SOL'#]]</f>
        <v>SOL-10961</v>
      </c>
      <c r="D113" s="20"/>
      <c r="E113" s="10"/>
      <c r="F113" s="10" t="str">
        <f t="shared" si="9"/>
        <v/>
      </c>
      <c r="G113" s="11" t="str">
        <f t="shared" si="6"/>
        <v/>
      </c>
      <c r="H113" s="12"/>
      <c r="I113" s="12" t="str">
        <f t="shared" si="7"/>
        <v/>
      </c>
      <c r="J113" s="64" t="str">
        <f t="shared" si="8"/>
        <v/>
      </c>
      <c r="K113" s="70"/>
      <c r="L113" s="138"/>
      <c r="S113" s="103"/>
      <c r="T113" s="103"/>
      <c r="U113" s="103"/>
      <c r="V113" s="103"/>
      <c r="W113" s="103"/>
      <c r="X113" s="103"/>
      <c r="Y113" s="103"/>
      <c r="Z113" s="103"/>
      <c r="AA113" s="103"/>
    </row>
    <row r="114" spans="1:27" ht="15.6">
      <c r="A114" s="26" t="str">
        <v>Brickchurch</v>
      </c>
      <c r="B114" s="27" t="str">
        <v>NY</v>
      </c>
      <c r="C114" s="9" t="str">
        <f>Sites[[#This Row],[SOL'#]]</f>
        <v>SOL-10889</v>
      </c>
      <c r="D114" s="9"/>
      <c r="E114" s="14"/>
      <c r="F114" s="14" t="str">
        <f t="shared" si="9"/>
        <v/>
      </c>
      <c r="G114" s="15" t="str">
        <f t="shared" si="6"/>
        <v/>
      </c>
      <c r="H114" s="16"/>
      <c r="I114" s="16" t="str">
        <f t="shared" si="7"/>
        <v/>
      </c>
      <c r="J114" s="15" t="str">
        <f t="shared" si="8"/>
        <v/>
      </c>
      <c r="K114" s="135"/>
      <c r="L114" s="136"/>
      <c r="M114" s="138"/>
      <c r="S114" s="103"/>
      <c r="T114" s="103"/>
      <c r="U114" s="103"/>
      <c r="V114" s="103"/>
      <c r="W114" s="103"/>
      <c r="X114" s="103"/>
      <c r="Y114" s="103"/>
      <c r="Z114" s="103"/>
      <c r="AA114" s="103"/>
    </row>
    <row r="115" spans="1:27" ht="15.6">
      <c r="A115" s="24" t="str">
        <v>McCarthy Solar</v>
      </c>
      <c r="B115" s="25" t="str">
        <v>NY</v>
      </c>
      <c r="C115" s="25" t="str">
        <f>Sites[[#This Row],[SOL'#]]</f>
        <v>SOL-10992</v>
      </c>
      <c r="D115" s="20"/>
      <c r="E115" s="10"/>
      <c r="F115" s="10" t="str">
        <f t="shared" si="9"/>
        <v/>
      </c>
      <c r="G115" s="11" t="str">
        <f t="shared" si="6"/>
        <v/>
      </c>
      <c r="H115" s="12"/>
      <c r="I115" s="12" t="str">
        <f t="shared" si="7"/>
        <v/>
      </c>
      <c r="J115" s="64" t="str">
        <f t="shared" si="8"/>
        <v/>
      </c>
      <c r="K115" s="70"/>
      <c r="L115" s="17"/>
      <c r="S115" s="103"/>
      <c r="T115" s="103"/>
      <c r="U115" s="103"/>
      <c r="V115" s="103"/>
      <c r="W115" s="103"/>
      <c r="X115" s="103"/>
      <c r="Y115" s="103"/>
      <c r="Z115" s="103"/>
      <c r="AA115" s="103"/>
    </row>
    <row r="116" spans="1:27" ht="15.6">
      <c r="A116" s="26" t="str">
        <v>Costanza</v>
      </c>
      <c r="B116" s="27" t="str">
        <v>NY</v>
      </c>
      <c r="C116" s="9" t="str">
        <f>Sites[[#This Row],[SOL'#]]</f>
        <v>SOL-10907</v>
      </c>
      <c r="D116" s="9"/>
      <c r="E116" s="14"/>
      <c r="F116" s="14" t="str">
        <f t="shared" si="9"/>
        <v/>
      </c>
      <c r="G116" s="15" t="str">
        <f t="shared" si="6"/>
        <v/>
      </c>
      <c r="H116" s="16"/>
      <c r="I116" s="16" t="str">
        <f t="shared" si="7"/>
        <v/>
      </c>
      <c r="J116" s="15" t="str">
        <f t="shared" si="8"/>
        <v/>
      </c>
      <c r="K116" s="135"/>
      <c r="L116" s="136"/>
      <c r="M116" s="138"/>
      <c r="N116" s="138"/>
      <c r="O116" s="138"/>
      <c r="S116" s="103"/>
      <c r="T116" s="103"/>
      <c r="U116" s="103"/>
      <c r="V116" s="103"/>
      <c r="W116" s="103"/>
      <c r="X116" s="103"/>
      <c r="Y116" s="103"/>
      <c r="Z116" s="103"/>
      <c r="AA116" s="103"/>
    </row>
    <row r="117" spans="1:27" ht="15.6">
      <c r="A117" s="24" t="str">
        <v>Lockenhurst Pond</v>
      </c>
      <c r="B117" s="25" t="str">
        <v>NY</v>
      </c>
      <c r="C117" s="25" t="str">
        <f>Sites[[#This Row],[SOL'#]]</f>
        <v>SOL-11000</v>
      </c>
      <c r="D117" s="20"/>
      <c r="E117" s="10"/>
      <c r="F117" s="10" t="str">
        <f t="shared" si="9"/>
        <v/>
      </c>
      <c r="G117" s="11" t="str">
        <f t="shared" si="6"/>
        <v/>
      </c>
      <c r="H117" s="12"/>
      <c r="I117" s="12" t="str">
        <f t="shared" si="7"/>
        <v/>
      </c>
      <c r="J117" s="64" t="str">
        <f t="shared" si="8"/>
        <v/>
      </c>
      <c r="K117" s="70"/>
      <c r="L117" s="138"/>
      <c r="S117" s="103"/>
      <c r="T117" s="103"/>
      <c r="U117" s="103"/>
      <c r="V117" s="103"/>
      <c r="W117" s="103"/>
      <c r="X117" s="103"/>
      <c r="Y117" s="103"/>
      <c r="Z117" s="103"/>
      <c r="AA117" s="103"/>
    </row>
    <row r="118" spans="1:27" ht="15.6">
      <c r="A118" s="26" t="str">
        <v>Drinkwater</v>
      </c>
      <c r="B118" s="27" t="str">
        <v>NY</v>
      </c>
      <c r="C118" s="9" t="str">
        <f>Sites[[#This Row],[SOL'#]]</f>
        <v>SOL-10896</v>
      </c>
      <c r="D118" s="9"/>
      <c r="E118" s="14"/>
      <c r="F118" s="14" t="str">
        <f t="shared" si="9"/>
        <v/>
      </c>
      <c r="G118" s="15" t="str">
        <f t="shared" si="6"/>
        <v/>
      </c>
      <c r="H118" s="16"/>
      <c r="I118" s="12" t="str">
        <f t="shared" si="7"/>
        <v/>
      </c>
      <c r="J118" s="15" t="str">
        <f t="shared" si="8"/>
        <v/>
      </c>
      <c r="K118" s="135"/>
      <c r="L118" s="135"/>
      <c r="S118" s="103"/>
      <c r="T118" s="103"/>
      <c r="U118" s="103"/>
      <c r="V118" s="103"/>
      <c r="W118" s="103"/>
      <c r="X118" s="103"/>
      <c r="Y118" s="103"/>
      <c r="Z118" s="103"/>
      <c r="AA118" s="103"/>
    </row>
    <row r="119" spans="1:27" ht="15.6">
      <c r="A119" s="24" t="str">
        <v>Altamont</v>
      </c>
      <c r="B119" s="25" t="str">
        <v>NY</v>
      </c>
      <c r="C119" s="25" t="str">
        <f>Sites[[#This Row],[SOL'#]]</f>
        <v>SOL-11085</v>
      </c>
      <c r="D119" s="20"/>
      <c r="E119" s="10"/>
      <c r="F119" s="10" t="str">
        <f t="shared" si="9"/>
        <v/>
      </c>
      <c r="G119" s="11" t="str">
        <f t="shared" si="6"/>
        <v/>
      </c>
      <c r="H119" s="12"/>
      <c r="I119" s="12" t="str">
        <f t="shared" si="7"/>
        <v/>
      </c>
      <c r="J119" s="64" t="str">
        <f t="shared" si="8"/>
        <v/>
      </c>
      <c r="K119" s="70"/>
      <c r="L119" s="17"/>
      <c r="S119" s="103"/>
      <c r="T119" s="103"/>
      <c r="U119" s="103"/>
      <c r="V119" s="103"/>
      <c r="W119" s="103"/>
      <c r="X119" s="103"/>
      <c r="Y119" s="103"/>
      <c r="Z119" s="103"/>
      <c r="AA119" s="103"/>
    </row>
    <row r="120" spans="1:27" ht="37.5" customHeight="1">
      <c r="A120" s="26" t="str">
        <v>Krumkill North</v>
      </c>
      <c r="B120" s="27" t="str">
        <v>NY</v>
      </c>
      <c r="C120" s="9" t="str">
        <f>Sites[[#This Row],[SOL'#]]</f>
        <v>SOL-11086</v>
      </c>
      <c r="D120" s="9"/>
      <c r="E120" s="14"/>
      <c r="F120" s="14" t="str">
        <f t="shared" si="9"/>
        <v/>
      </c>
      <c r="G120" s="15" t="str">
        <f t="shared" si="6"/>
        <v/>
      </c>
      <c r="H120" s="16"/>
      <c r="I120" s="16" t="str">
        <f t="shared" si="7"/>
        <v/>
      </c>
      <c r="J120" s="15" t="str">
        <f t="shared" si="8"/>
        <v/>
      </c>
      <c r="K120" s="135"/>
      <c r="L120" s="135"/>
      <c r="S120" s="103"/>
      <c r="T120" s="103"/>
      <c r="U120" s="103"/>
      <c r="V120" s="103"/>
      <c r="W120" s="103"/>
      <c r="X120" s="103"/>
      <c r="Y120" s="103"/>
      <c r="Z120" s="103"/>
      <c r="AA120" s="103"/>
    </row>
    <row r="121" spans="1:27" ht="15.6">
      <c r="A121" s="24" t="str">
        <v>Krumkill South</v>
      </c>
      <c r="B121" s="25" t="str">
        <v>NY</v>
      </c>
      <c r="C121" s="25" t="str">
        <f>Sites[[#This Row],[SOL'#]]</f>
        <v>SOL-11087</v>
      </c>
      <c r="D121" s="20"/>
      <c r="E121" s="10"/>
      <c r="F121" s="10" t="str">
        <f t="shared" si="9"/>
        <v/>
      </c>
      <c r="G121" s="11" t="str">
        <f t="shared" si="6"/>
        <v/>
      </c>
      <c r="H121" s="12"/>
      <c r="I121" s="12" t="str">
        <f t="shared" si="7"/>
        <v/>
      </c>
      <c r="J121" s="64" t="str">
        <f t="shared" si="8"/>
        <v/>
      </c>
      <c r="K121" s="70"/>
      <c r="L121" s="17"/>
      <c r="S121" s="103"/>
      <c r="T121" s="103"/>
      <c r="U121" s="103"/>
      <c r="V121" s="103"/>
      <c r="W121" s="103"/>
      <c r="X121" s="103"/>
      <c r="Y121" s="103"/>
      <c r="Z121" s="103"/>
      <c r="AA121" s="103"/>
    </row>
    <row r="122" spans="1:27" ht="51.75" customHeight="1">
      <c r="A122" s="26" t="str">
        <v>X092</v>
      </c>
      <c r="B122" s="27" t="str">
        <v>NY</v>
      </c>
      <c r="C122" s="9" t="str">
        <f>Sites[[#This Row],[SOL'#]]</f>
        <v>SOL-11189</v>
      </c>
      <c r="D122" s="9"/>
      <c r="E122" s="14"/>
      <c r="F122" s="14" t="str">
        <f t="shared" si="9"/>
        <v/>
      </c>
      <c r="G122" s="15" t="str">
        <f t="shared" si="6"/>
        <v/>
      </c>
      <c r="H122" s="16"/>
      <c r="I122" s="16" t="str">
        <f t="shared" si="7"/>
        <v/>
      </c>
      <c r="J122" s="15" t="str">
        <f t="shared" si="8"/>
        <v/>
      </c>
      <c r="K122" s="135"/>
      <c r="L122" s="135"/>
      <c r="S122" s="103"/>
      <c r="T122" s="103"/>
      <c r="U122" s="103"/>
      <c r="V122" s="103"/>
      <c r="W122" s="103"/>
      <c r="X122" s="103"/>
      <c r="Y122" s="103"/>
      <c r="Z122" s="103"/>
      <c r="AA122" s="103"/>
    </row>
    <row r="123" spans="1:27" ht="15.6">
      <c r="A123" s="28" t="str">
        <v>X093</v>
      </c>
      <c r="B123" s="25" t="str">
        <v>NY</v>
      </c>
      <c r="C123" s="25" t="str">
        <f>Sites[[#This Row],[SOL'#]]</f>
        <v>SOL-10932</v>
      </c>
      <c r="D123" s="54"/>
      <c r="E123" s="10"/>
      <c r="F123" s="10" t="str">
        <f t="shared" si="9"/>
        <v/>
      </c>
      <c r="G123" s="55" t="str">
        <f t="shared" si="6"/>
        <v/>
      </c>
      <c r="H123" s="67"/>
      <c r="I123" s="67" t="str">
        <f t="shared" si="7"/>
        <v/>
      </c>
      <c r="J123" s="64" t="str">
        <f t="shared" si="8"/>
        <v/>
      </c>
      <c r="K123" s="70"/>
      <c r="L123" s="137"/>
      <c r="M123" s="138"/>
      <c r="S123" s="103"/>
      <c r="T123" s="103"/>
      <c r="U123" s="103"/>
      <c r="V123" s="103"/>
      <c r="W123" s="103"/>
      <c r="X123" s="103"/>
      <c r="Y123" s="103"/>
      <c r="Z123" s="103"/>
      <c r="AA123" s="103"/>
    </row>
    <row r="124" spans="1:27" ht="15.6">
      <c r="A124" s="26" t="str">
        <v>X095</v>
      </c>
      <c r="B124" s="27" t="str">
        <v>NY</v>
      </c>
      <c r="C124" s="9" t="str">
        <f>Sites[[#This Row],[SOL'#]]</f>
        <v>SOL-10929</v>
      </c>
      <c r="D124" s="66"/>
      <c r="E124" s="14"/>
      <c r="F124" s="14" t="str">
        <f t="shared" si="9"/>
        <v/>
      </c>
      <c r="G124" s="68" t="str">
        <f t="shared" si="6"/>
        <v/>
      </c>
      <c r="H124" s="69"/>
      <c r="I124" s="69" t="str">
        <f t="shared" si="7"/>
        <v/>
      </c>
      <c r="J124" s="68" t="str">
        <f t="shared" si="8"/>
        <v/>
      </c>
      <c r="K124" s="135"/>
      <c r="L124" s="136"/>
      <c r="S124" s="103"/>
      <c r="T124" s="103"/>
      <c r="U124" s="103"/>
      <c r="V124" s="103"/>
      <c r="W124" s="103"/>
      <c r="X124" s="103"/>
      <c r="Y124" s="103"/>
      <c r="Z124" s="103"/>
      <c r="AA124" s="103"/>
    </row>
    <row r="125" spans="1:27" ht="63" customHeight="1">
      <c r="A125" s="24" t="str">
        <v>X181</v>
      </c>
      <c r="B125" s="25" t="str">
        <v>NY</v>
      </c>
      <c r="C125" s="25" t="str">
        <f>Sites[[#This Row],[SOL'#]]</f>
        <v>SOL-10428</v>
      </c>
      <c r="D125" s="54"/>
      <c r="E125" s="10"/>
      <c r="F125" s="10" t="str">
        <f t="shared" si="9"/>
        <v/>
      </c>
      <c r="G125" s="55" t="str">
        <f t="shared" si="6"/>
        <v/>
      </c>
      <c r="H125" s="67"/>
      <c r="I125" s="67" t="str">
        <f t="shared" si="7"/>
        <v/>
      </c>
      <c r="J125" s="64" t="str">
        <f t="shared" si="8"/>
        <v/>
      </c>
      <c r="K125" s="70"/>
      <c r="L125" s="17"/>
      <c r="S125" s="103"/>
      <c r="T125" s="103"/>
      <c r="U125" s="103"/>
      <c r="V125" s="103"/>
      <c r="W125" s="103"/>
      <c r="X125" s="103"/>
      <c r="Y125" s="103"/>
      <c r="Z125" s="103"/>
      <c r="AA125" s="103"/>
    </row>
    <row r="126" spans="1:27" ht="15.6">
      <c r="A126" s="26" t="str">
        <v>X415</v>
      </c>
      <c r="B126" s="27" t="str">
        <v>NY</v>
      </c>
      <c r="C126" s="9" t="str">
        <f>Sites[[#This Row],[SOL'#]]</f>
        <v>SOL-10429</v>
      </c>
      <c r="D126" s="66"/>
      <c r="E126" s="14"/>
      <c r="F126" s="14" t="str">
        <f t="shared" si="9"/>
        <v/>
      </c>
      <c r="G126" s="68">
        <v>0</v>
      </c>
      <c r="H126" s="69"/>
      <c r="I126" s="69" t="str">
        <f t="shared" si="7"/>
        <v/>
      </c>
      <c r="J126" s="68" t="str">
        <f t="shared" si="8"/>
        <v/>
      </c>
      <c r="K126" s="135"/>
      <c r="L126" s="135"/>
      <c r="S126" s="103"/>
      <c r="T126" s="103"/>
      <c r="U126" s="103"/>
      <c r="V126" s="103"/>
      <c r="W126" s="103"/>
      <c r="X126" s="103"/>
      <c r="Y126" s="103"/>
      <c r="Z126" s="103"/>
      <c r="AA126" s="103"/>
    </row>
    <row r="127" spans="1:27" ht="15.6">
      <c r="A127" s="24" t="str">
        <v>K198</v>
      </c>
      <c r="B127" s="25" t="str">
        <v>NY</v>
      </c>
      <c r="C127" s="25" t="str">
        <f>Sites[[#This Row],[SOL'#]]</f>
        <v>SOL-10930</v>
      </c>
      <c r="D127" s="54"/>
      <c r="E127" s="10"/>
      <c r="F127" s="10" t="str">
        <f t="shared" si="9"/>
        <v/>
      </c>
      <c r="G127" s="55" t="str">
        <f t="shared" si="6"/>
        <v/>
      </c>
      <c r="H127" s="67"/>
      <c r="I127" s="67" t="str">
        <f t="shared" si="7"/>
        <v/>
      </c>
      <c r="J127" s="64" t="str">
        <f t="shared" si="8"/>
        <v/>
      </c>
      <c r="K127" s="70"/>
      <c r="L127" s="17"/>
      <c r="S127" s="103"/>
      <c r="T127" s="103"/>
      <c r="U127" s="103"/>
      <c r="V127" s="103"/>
      <c r="W127" s="103"/>
      <c r="X127" s="103"/>
      <c r="Y127" s="103"/>
      <c r="Z127" s="103"/>
      <c r="AA127" s="103"/>
    </row>
    <row r="128" spans="1:27" ht="159" customHeight="1">
      <c r="A128" s="26" t="str">
        <v>K203</v>
      </c>
      <c r="B128" s="27" t="str">
        <v>NY</v>
      </c>
      <c r="C128" s="9" t="str">
        <f>Sites[[#This Row],[SOL'#]]</f>
        <v>SOL-11190</v>
      </c>
      <c r="D128" s="66"/>
      <c r="E128" s="14"/>
      <c r="F128" s="14" t="str">
        <f t="shared" si="9"/>
        <v/>
      </c>
      <c r="G128" s="68" t="str">
        <f t="shared" si="6"/>
        <v/>
      </c>
      <c r="H128" s="69"/>
      <c r="I128" s="69" t="str">
        <f t="shared" si="7"/>
        <v/>
      </c>
      <c r="J128" s="68" t="str">
        <f t="shared" si="8"/>
        <v/>
      </c>
      <c r="K128" s="135"/>
      <c r="L128" s="135"/>
      <c r="S128" s="102"/>
      <c r="T128" s="102"/>
      <c r="U128" s="103"/>
      <c r="V128" s="103"/>
      <c r="W128" s="103"/>
      <c r="X128" s="103"/>
      <c r="Y128" s="103"/>
      <c r="Z128" s="103"/>
      <c r="AA128" s="103"/>
    </row>
    <row r="129" spans="1:27" ht="15.6">
      <c r="A129" s="24" t="str">
        <v>K213</v>
      </c>
      <c r="B129" s="25" t="str">
        <v>NY</v>
      </c>
      <c r="C129" s="25" t="str">
        <f>Sites[[#This Row],[SOL'#]]</f>
        <v>SOL-11191</v>
      </c>
      <c r="D129" s="54"/>
      <c r="E129" s="10"/>
      <c r="F129" s="10" t="str">
        <f t="shared" si="9"/>
        <v/>
      </c>
      <c r="G129" s="55" t="str">
        <f t="shared" ref="G129:G143" si="10">IFERROR(F129/E129, "")</f>
        <v/>
      </c>
      <c r="H129" s="67"/>
      <c r="I129" s="67" t="str">
        <f t="shared" ref="I129:I151" si="11">IF(AND(ISNUMBER(D129),ISNUMBER(H129)), D129-H129, "")</f>
        <v/>
      </c>
      <c r="J129" s="64" t="str">
        <f t="shared" ref="J129:J151" si="12">IFERROR(I129/H129, "")</f>
        <v/>
      </c>
      <c r="K129" s="70"/>
      <c r="L129" s="138"/>
      <c r="S129" s="103"/>
      <c r="T129" s="103"/>
      <c r="U129" s="103"/>
      <c r="V129" s="103"/>
      <c r="W129" s="103"/>
      <c r="X129" s="103"/>
      <c r="Y129" s="103"/>
      <c r="Z129" s="103"/>
      <c r="AA129" s="103"/>
    </row>
    <row r="130" spans="1:27" ht="15.6">
      <c r="A130" s="26" t="str">
        <v>K217</v>
      </c>
      <c r="B130" s="27" t="str">
        <v>NY</v>
      </c>
      <c r="C130" s="9" t="str">
        <f>Sites[[#This Row],[SOL'#]]</f>
        <v>SOL-10933</v>
      </c>
      <c r="D130" s="66"/>
      <c r="E130" s="14"/>
      <c r="F130" s="14" t="str">
        <f t="shared" si="9"/>
        <v/>
      </c>
      <c r="G130" s="68" t="str">
        <f t="shared" si="10"/>
        <v/>
      </c>
      <c r="H130" s="69"/>
      <c r="I130" s="69" t="str">
        <f t="shared" si="11"/>
        <v/>
      </c>
      <c r="J130" s="68" t="str">
        <f t="shared" si="12"/>
        <v/>
      </c>
      <c r="K130" s="135"/>
      <c r="L130" s="136"/>
      <c r="S130" s="103"/>
      <c r="T130" s="103"/>
      <c r="U130" s="103"/>
      <c r="V130" s="103"/>
      <c r="W130" s="103"/>
      <c r="X130" s="103"/>
      <c r="Y130" s="103"/>
      <c r="Z130" s="103"/>
      <c r="AA130" s="103"/>
    </row>
    <row r="131" spans="1:27" ht="15.6">
      <c r="A131" s="24" t="str">
        <v>K307</v>
      </c>
      <c r="B131" s="25" t="str">
        <v>NY</v>
      </c>
      <c r="C131" s="25" t="str">
        <f>Sites[[#This Row],[SOL'#]]</f>
        <v>SOL-10876</v>
      </c>
      <c r="D131" s="54"/>
      <c r="E131" s="10"/>
      <c r="F131" s="10" t="str">
        <f t="shared" si="9"/>
        <v/>
      </c>
      <c r="G131" s="55" t="str">
        <f t="shared" si="10"/>
        <v/>
      </c>
      <c r="H131" s="67"/>
      <c r="I131" s="67" t="str">
        <f t="shared" si="11"/>
        <v/>
      </c>
      <c r="J131" s="64" t="str">
        <f t="shared" si="12"/>
        <v/>
      </c>
      <c r="K131" s="70"/>
      <c r="L131" s="17"/>
      <c r="S131" s="103"/>
      <c r="T131" s="103"/>
      <c r="U131" s="103"/>
      <c r="V131" s="103"/>
      <c r="W131" s="103"/>
      <c r="X131" s="103"/>
      <c r="Y131" s="103"/>
      <c r="Z131" s="103"/>
      <c r="AA131" s="103"/>
    </row>
    <row r="132" spans="1:27" ht="15.6">
      <c r="A132" s="26" t="str">
        <v>K610</v>
      </c>
      <c r="B132" s="27" t="str">
        <v>NY</v>
      </c>
      <c r="C132" s="9" t="str">
        <f>Sites[[#This Row],[SOL'#]]</f>
        <v>SOL-11158</v>
      </c>
      <c r="D132" s="66"/>
      <c r="E132" s="14"/>
      <c r="F132" s="14" t="str">
        <f t="shared" si="9"/>
        <v/>
      </c>
      <c r="G132" s="68" t="str">
        <f t="shared" si="10"/>
        <v/>
      </c>
      <c r="H132" s="69"/>
      <c r="I132" s="69" t="str">
        <f t="shared" si="11"/>
        <v/>
      </c>
      <c r="J132" s="68" t="str">
        <f t="shared" si="12"/>
        <v/>
      </c>
      <c r="K132" s="135"/>
      <c r="L132" s="136"/>
      <c r="S132" s="103"/>
      <c r="T132" s="103"/>
      <c r="U132" s="103"/>
      <c r="V132" s="103"/>
      <c r="W132" s="103"/>
      <c r="X132" s="103"/>
      <c r="Y132" s="103"/>
      <c r="Z132" s="103"/>
      <c r="AA132" s="103"/>
    </row>
    <row r="133" spans="1:27" ht="185.25" customHeight="1">
      <c r="A133" s="24" t="str">
        <v>M025</v>
      </c>
      <c r="B133" s="25" t="str">
        <v>NY</v>
      </c>
      <c r="C133" s="25" t="str">
        <f>Sites[[#This Row],[SOL'#]]</f>
        <v>SOL-10392</v>
      </c>
      <c r="D133" s="54"/>
      <c r="E133" s="10"/>
      <c r="F133" s="10" t="str">
        <f t="shared" si="9"/>
        <v/>
      </c>
      <c r="G133" s="55" t="str">
        <f t="shared" si="10"/>
        <v/>
      </c>
      <c r="H133" s="67"/>
      <c r="I133" s="67" t="str">
        <f t="shared" si="11"/>
        <v/>
      </c>
      <c r="J133" s="64" t="str">
        <f t="shared" si="12"/>
        <v/>
      </c>
      <c r="K133" s="70"/>
      <c r="L133" s="137"/>
      <c r="M133" s="138"/>
      <c r="N133" s="138"/>
      <c r="O133" s="138"/>
      <c r="P133" s="138"/>
      <c r="S133" s="103"/>
      <c r="T133" s="103"/>
      <c r="U133" s="103"/>
      <c r="V133" s="103"/>
      <c r="W133" s="103"/>
      <c r="X133" s="103"/>
      <c r="Y133" s="103"/>
      <c r="Z133" s="103"/>
      <c r="AA133" s="103"/>
    </row>
    <row r="134" spans="1:27" ht="15.6">
      <c r="A134" s="26" t="str">
        <v>M028</v>
      </c>
      <c r="B134" s="27" t="str">
        <v>NY</v>
      </c>
      <c r="C134" s="9" t="str">
        <f>Sites[[#This Row],[SOL'#]]</f>
        <v>SOL-10381</v>
      </c>
      <c r="D134" s="66"/>
      <c r="E134" s="14"/>
      <c r="F134" s="14" t="str">
        <f t="shared" si="9"/>
        <v/>
      </c>
      <c r="G134" s="68" t="str">
        <f t="shared" si="10"/>
        <v/>
      </c>
      <c r="H134" s="69"/>
      <c r="I134" s="69" t="str">
        <f t="shared" si="11"/>
        <v/>
      </c>
      <c r="J134" s="68" t="str">
        <f t="shared" si="12"/>
        <v/>
      </c>
      <c r="K134" s="135"/>
      <c r="L134" s="135"/>
      <c r="S134" s="103"/>
      <c r="T134" s="103"/>
      <c r="U134" s="103"/>
      <c r="V134" s="103"/>
      <c r="W134" s="103"/>
      <c r="X134" s="103"/>
      <c r="Y134" s="103"/>
      <c r="Z134" s="103"/>
      <c r="AA134" s="103"/>
    </row>
    <row r="135" spans="1:27" ht="96" customHeight="1">
      <c r="A135" s="24" t="str">
        <v>Q030</v>
      </c>
      <c r="B135" s="25" t="str">
        <v>NY</v>
      </c>
      <c r="C135" s="25" t="str">
        <f>Sites[[#This Row],[SOL'#]]</f>
        <v>SOL-10878</v>
      </c>
      <c r="D135" s="54"/>
      <c r="E135" s="10"/>
      <c r="F135" s="10" t="str">
        <f t="shared" si="9"/>
        <v/>
      </c>
      <c r="G135" s="55" t="str">
        <f t="shared" si="10"/>
        <v/>
      </c>
      <c r="H135" s="67"/>
      <c r="I135" s="67" t="str">
        <f t="shared" si="11"/>
        <v/>
      </c>
      <c r="J135" s="64" t="str">
        <f t="shared" si="12"/>
        <v/>
      </c>
      <c r="K135" s="70"/>
      <c r="L135" s="17"/>
      <c r="S135" s="103"/>
      <c r="T135" s="103"/>
      <c r="U135" s="103"/>
      <c r="V135" s="103"/>
      <c r="W135" s="103"/>
      <c r="X135" s="103"/>
      <c r="Y135" s="103"/>
      <c r="Z135" s="103"/>
      <c r="AA135" s="103"/>
    </row>
    <row r="136" spans="1:27" ht="49.5" customHeight="1">
      <c r="A136" s="26" t="str">
        <v>Q130</v>
      </c>
      <c r="B136" s="27" t="str">
        <v>NY</v>
      </c>
      <c r="C136" s="9" t="str">
        <f>Sites[[#This Row],[SOL'#]]</f>
        <v>SOL-10877</v>
      </c>
      <c r="D136" s="66"/>
      <c r="E136" s="14"/>
      <c r="F136" s="14" t="str">
        <f t="shared" si="9"/>
        <v/>
      </c>
      <c r="G136" s="68" t="str">
        <f t="shared" si="10"/>
        <v/>
      </c>
      <c r="H136" s="69"/>
      <c r="I136" s="69" t="str">
        <f t="shared" si="11"/>
        <v/>
      </c>
      <c r="J136" s="68" t="str">
        <f t="shared" si="12"/>
        <v/>
      </c>
      <c r="K136" s="135"/>
      <c r="L136" s="135"/>
      <c r="S136" s="103"/>
      <c r="T136" s="103"/>
      <c r="U136" s="103"/>
      <c r="V136" s="103"/>
      <c r="W136" s="103"/>
      <c r="X136" s="103"/>
      <c r="Y136" s="103"/>
      <c r="Z136" s="103"/>
      <c r="AA136" s="103"/>
    </row>
    <row r="137" spans="1:27" ht="108.75" customHeight="1">
      <c r="A137" s="24" t="str">
        <v>Q196</v>
      </c>
      <c r="B137" s="25" t="str">
        <v>NY</v>
      </c>
      <c r="C137" s="25" t="str">
        <f>Sites[[#This Row],[SOL'#]]</f>
        <v>SOL-10879</v>
      </c>
      <c r="D137" s="54"/>
      <c r="E137" s="10"/>
      <c r="F137" s="10" t="str">
        <f t="shared" si="9"/>
        <v/>
      </c>
      <c r="G137" s="55" t="str">
        <f t="shared" si="10"/>
        <v/>
      </c>
      <c r="H137" s="67"/>
      <c r="I137" s="67" t="str">
        <f t="shared" si="11"/>
        <v/>
      </c>
      <c r="J137" s="64" t="str">
        <f t="shared" si="12"/>
        <v/>
      </c>
      <c r="K137" s="70"/>
      <c r="L137" s="17"/>
      <c r="S137" s="103"/>
      <c r="T137" s="103"/>
      <c r="U137" s="103"/>
      <c r="V137" s="103"/>
      <c r="W137" s="103"/>
      <c r="X137" s="103"/>
      <c r="Y137" s="103"/>
      <c r="Z137" s="103"/>
      <c r="AA137" s="103"/>
    </row>
    <row r="138" spans="1:27" ht="15.6">
      <c r="A138" s="26" t="str">
        <v>Q220</v>
      </c>
      <c r="B138" s="27" t="str">
        <v>NY</v>
      </c>
      <c r="C138" s="9" t="str">
        <f>Sites[[#This Row],[SOL'#]]</f>
        <v>SOL-10873</v>
      </c>
      <c r="D138" s="66"/>
      <c r="E138" s="14"/>
      <c r="F138" s="14" t="str">
        <f t="shared" si="9"/>
        <v/>
      </c>
      <c r="G138" s="68" t="str">
        <f t="shared" si="10"/>
        <v/>
      </c>
      <c r="H138" s="69"/>
      <c r="I138" s="69" t="str">
        <f t="shared" si="11"/>
        <v/>
      </c>
      <c r="J138" s="68" t="str">
        <f t="shared" si="12"/>
        <v/>
      </c>
      <c r="K138" s="135"/>
      <c r="L138" s="136"/>
      <c r="S138" s="103"/>
      <c r="T138" s="103"/>
      <c r="U138" s="103"/>
      <c r="V138" s="103"/>
      <c r="W138" s="103"/>
      <c r="X138" s="103"/>
      <c r="Y138" s="103"/>
      <c r="Z138" s="103"/>
      <c r="AA138" s="103"/>
    </row>
    <row r="139" spans="1:27" ht="15.6">
      <c r="A139" s="24" t="str">
        <v>Q205</v>
      </c>
      <c r="B139" s="25" t="str">
        <v>NY</v>
      </c>
      <c r="C139" s="25" t="str">
        <f>Sites[[#This Row],[SOL'#]]</f>
        <v>SOL-10922</v>
      </c>
      <c r="D139" s="54"/>
      <c r="E139" s="10"/>
      <c r="F139" s="10" t="str">
        <f t="shared" si="9"/>
        <v/>
      </c>
      <c r="G139" s="55" t="str">
        <f t="shared" si="10"/>
        <v/>
      </c>
      <c r="H139" s="67"/>
      <c r="I139" s="67" t="str">
        <f t="shared" si="11"/>
        <v/>
      </c>
      <c r="J139" s="64" t="str">
        <f t="shared" si="12"/>
        <v/>
      </c>
      <c r="K139" s="70"/>
      <c r="L139" s="137"/>
      <c r="M139" s="138"/>
      <c r="N139" s="138"/>
      <c r="S139" s="103"/>
      <c r="T139" s="103"/>
      <c r="U139" s="103"/>
      <c r="V139" s="103"/>
      <c r="W139" s="103"/>
      <c r="X139" s="103"/>
      <c r="Y139" s="103"/>
      <c r="Z139" s="103"/>
      <c r="AA139" s="103"/>
    </row>
    <row r="140" spans="1:27" ht="15.6">
      <c r="A140" s="26" t="str">
        <v>Q400</v>
      </c>
      <c r="B140" s="27" t="str">
        <v>NY</v>
      </c>
      <c r="C140" s="9" t="str">
        <f>Sites[[#This Row],[SOL'#]]</f>
        <v>SOL-10871</v>
      </c>
      <c r="D140" s="66"/>
      <c r="E140" s="14"/>
      <c r="F140" s="14" t="str">
        <f t="shared" si="9"/>
        <v/>
      </c>
      <c r="G140" s="68" t="str">
        <f t="shared" si="10"/>
        <v/>
      </c>
      <c r="H140" s="69"/>
      <c r="I140" s="69" t="str">
        <f t="shared" si="11"/>
        <v/>
      </c>
      <c r="J140" s="68" t="str">
        <f t="shared" si="12"/>
        <v/>
      </c>
      <c r="K140" s="135"/>
      <c r="L140" s="136"/>
      <c r="M140" s="138"/>
      <c r="N140" s="138"/>
      <c r="O140" s="138"/>
      <c r="P140" s="138"/>
      <c r="S140" s="103"/>
      <c r="T140" s="103"/>
      <c r="U140" s="103"/>
      <c r="V140" s="103"/>
      <c r="W140" s="103"/>
      <c r="X140" s="103"/>
      <c r="Y140" s="103"/>
      <c r="Z140" s="103"/>
      <c r="AA140" s="103"/>
    </row>
    <row r="141" spans="1:27" ht="80.25" customHeight="1">
      <c r="A141" s="24" t="str">
        <v>R003</v>
      </c>
      <c r="B141" s="25" t="str">
        <v>NY</v>
      </c>
      <c r="C141" s="25" t="str">
        <f>Sites[[#This Row],[SOL'#]]</f>
        <v>SOL-10416</v>
      </c>
      <c r="D141" s="54"/>
      <c r="E141" s="10"/>
      <c r="F141" s="10" t="str">
        <f t="shared" si="9"/>
        <v/>
      </c>
      <c r="G141" s="55" t="str">
        <f t="shared" si="10"/>
        <v/>
      </c>
      <c r="H141" s="67"/>
      <c r="I141" s="67" t="str">
        <f t="shared" si="11"/>
        <v/>
      </c>
      <c r="J141" s="64" t="str">
        <f t="shared" si="12"/>
        <v/>
      </c>
      <c r="K141" s="70"/>
      <c r="L141" s="17"/>
      <c r="S141" s="103"/>
      <c r="T141" s="103"/>
      <c r="U141" s="103"/>
      <c r="V141" s="103"/>
      <c r="W141" s="103"/>
      <c r="X141" s="103"/>
      <c r="Y141" s="103"/>
      <c r="Z141" s="103"/>
      <c r="AA141" s="103"/>
    </row>
    <row r="142" spans="1:27" ht="15.6">
      <c r="A142" s="26" t="str">
        <v>R007</v>
      </c>
      <c r="B142" s="27" t="str">
        <v>NY</v>
      </c>
      <c r="C142" s="9" t="str">
        <f>Sites[[#This Row],[SOL'#]]</f>
        <v>SOL-10417</v>
      </c>
      <c r="D142" s="66"/>
      <c r="E142" s="14"/>
      <c r="F142" s="14" t="str">
        <f t="shared" si="9"/>
        <v/>
      </c>
      <c r="G142" s="68" t="str">
        <f t="shared" si="10"/>
        <v/>
      </c>
      <c r="H142" s="69"/>
      <c r="I142" s="69" t="str">
        <f t="shared" si="11"/>
        <v/>
      </c>
      <c r="J142" s="68" t="str">
        <f t="shared" si="12"/>
        <v/>
      </c>
      <c r="K142" s="135"/>
      <c r="L142" s="135"/>
      <c r="S142" s="103"/>
      <c r="T142" s="103"/>
      <c r="U142" s="103"/>
      <c r="V142" s="103"/>
      <c r="W142" s="103"/>
      <c r="X142" s="103"/>
      <c r="Y142" s="103"/>
      <c r="Z142" s="103"/>
      <c r="AA142" s="103"/>
    </row>
    <row r="143" spans="1:27" ht="15.6">
      <c r="A143" s="24" t="str">
        <v>BK16</v>
      </c>
      <c r="B143" s="25" t="str">
        <v>NY</v>
      </c>
      <c r="C143" s="25" t="str">
        <f>Sites[[#This Row],[SOL'#]]</f>
        <v>SOL-11093</v>
      </c>
      <c r="D143" s="54"/>
      <c r="E143" s="10"/>
      <c r="F143" s="10" t="str">
        <f t="shared" ref="F143:F164" si="13">IF(AND(ISNUMBER(D143),ISNUMBER(E143)), D143-E143, "")</f>
        <v/>
      </c>
      <c r="G143" s="55" t="str">
        <f t="shared" si="10"/>
        <v/>
      </c>
      <c r="H143" s="67"/>
      <c r="I143" s="67" t="str">
        <f t="shared" si="11"/>
        <v/>
      </c>
      <c r="J143" s="64" t="str">
        <f t="shared" si="12"/>
        <v/>
      </c>
      <c r="K143" s="70"/>
      <c r="L143" s="17"/>
      <c r="S143" s="103"/>
      <c r="T143" s="103"/>
      <c r="U143" s="103"/>
      <c r="V143" s="103"/>
      <c r="W143" s="103"/>
      <c r="X143" s="103"/>
      <c r="Y143" s="103"/>
      <c r="Z143" s="103"/>
      <c r="AA143" s="103"/>
    </row>
    <row r="144" spans="1:27" ht="15.6">
      <c r="A144" s="26" t="str">
        <v>Trenton - Trenton East</v>
      </c>
      <c r="B144" s="27" t="str">
        <v>IL</v>
      </c>
      <c r="C144" s="9" t="str">
        <f>Sites[[#This Row],[SOL'#]]</f>
        <v>SOL-11060</v>
      </c>
      <c r="D144" s="66"/>
      <c r="E144" s="14"/>
      <c r="F144" s="14" t="str">
        <f t="shared" si="13"/>
        <v/>
      </c>
      <c r="G144" s="68" t="str">
        <f t="shared" ref="G144:G164" si="14">IFERROR(F144/E144, "")</f>
        <v/>
      </c>
      <c r="H144" s="69"/>
      <c r="I144" s="69" t="str">
        <f t="shared" si="11"/>
        <v/>
      </c>
      <c r="J144" s="68" t="str">
        <f t="shared" si="12"/>
        <v/>
      </c>
      <c r="K144" s="135"/>
      <c r="L144" s="136"/>
      <c r="S144" s="103"/>
      <c r="T144" s="103"/>
      <c r="U144" s="103"/>
      <c r="V144" s="103"/>
      <c r="W144" s="103"/>
      <c r="X144" s="103"/>
      <c r="Y144" s="103"/>
      <c r="Z144" s="103"/>
      <c r="AA144" s="103"/>
    </row>
    <row r="145" spans="1:27" ht="15.6">
      <c r="A145" s="24" t="str">
        <v>Trenton - Trenton West</v>
      </c>
      <c r="B145" s="25" t="str">
        <v>IL</v>
      </c>
      <c r="C145" s="25" t="str">
        <f>Sites[[#This Row],[SOL'#]]</f>
        <v>SOL-11061</v>
      </c>
      <c r="D145" s="54"/>
      <c r="E145" s="10"/>
      <c r="F145" s="10" t="str">
        <f t="shared" si="13"/>
        <v/>
      </c>
      <c r="G145" s="55" t="str">
        <f t="shared" si="14"/>
        <v/>
      </c>
      <c r="H145" s="67"/>
      <c r="I145" s="67" t="str">
        <f t="shared" si="11"/>
        <v/>
      </c>
      <c r="J145" s="64" t="str">
        <f t="shared" si="12"/>
        <v/>
      </c>
      <c r="K145" s="70"/>
      <c r="L145" s="138"/>
      <c r="S145" s="103"/>
      <c r="T145" s="103"/>
      <c r="U145" s="103"/>
      <c r="V145" s="103"/>
      <c r="W145" s="103"/>
      <c r="X145" s="103"/>
      <c r="Y145" s="103"/>
      <c r="Z145" s="103"/>
      <c r="AA145" s="103"/>
    </row>
    <row r="146" spans="1:27" ht="15.6">
      <c r="A146" s="26" t="str">
        <v>Dakota - Dakota Solar 1</v>
      </c>
      <c r="B146" s="27" t="str">
        <v>IL</v>
      </c>
      <c r="C146" s="9" t="str">
        <f>Sites[[#This Row],[SOL'#]]</f>
        <v>SOL-11113</v>
      </c>
      <c r="D146" s="66"/>
      <c r="E146" s="14"/>
      <c r="F146" s="14" t="str">
        <f t="shared" si="13"/>
        <v/>
      </c>
      <c r="G146" s="68" t="str">
        <f t="shared" si="14"/>
        <v/>
      </c>
      <c r="H146" s="69"/>
      <c r="I146" s="69" t="str">
        <f t="shared" si="11"/>
        <v/>
      </c>
      <c r="J146" s="68" t="str">
        <f t="shared" si="12"/>
        <v/>
      </c>
      <c r="K146" s="135"/>
      <c r="L146" s="136"/>
      <c r="M146" s="138"/>
      <c r="N146" s="138"/>
      <c r="S146" s="103"/>
      <c r="T146" s="103"/>
      <c r="U146" s="103"/>
      <c r="V146" s="103"/>
      <c r="W146" s="103"/>
      <c r="X146" s="103"/>
      <c r="Y146" s="103"/>
      <c r="Z146" s="103"/>
      <c r="AA146" s="103"/>
    </row>
    <row r="147" spans="1:27" ht="15.6">
      <c r="A147" s="24" t="str">
        <v>X018</v>
      </c>
      <c r="B147" s="25" t="str">
        <v>NY</v>
      </c>
      <c r="C147" s="25" t="str">
        <f>Sites[[#This Row],[SOL'#]]</f>
        <v>SOL-10418</v>
      </c>
      <c r="D147" s="54"/>
      <c r="E147" s="10"/>
      <c r="F147" s="10" t="str">
        <f t="shared" si="13"/>
        <v/>
      </c>
      <c r="G147" s="55" t="str">
        <f t="shared" si="14"/>
        <v/>
      </c>
      <c r="H147" s="67"/>
      <c r="I147" s="67" t="str">
        <f t="shared" si="11"/>
        <v/>
      </c>
      <c r="J147" s="64" t="str">
        <f t="shared" si="12"/>
        <v/>
      </c>
      <c r="K147" s="70"/>
      <c r="L147" s="137"/>
      <c r="M147" s="138"/>
      <c r="N147" s="138"/>
      <c r="S147" s="103"/>
      <c r="T147" s="103"/>
      <c r="U147" s="103"/>
      <c r="V147" s="103"/>
      <c r="W147" s="103"/>
      <c r="X147" s="103"/>
      <c r="Y147" s="103"/>
      <c r="Z147" s="103"/>
      <c r="AA147" s="103"/>
    </row>
    <row r="148" spans="1:27" ht="15.6">
      <c r="A148" s="26" t="str">
        <v>Janiak Solar</v>
      </c>
      <c r="B148" s="27" t="str">
        <v>NY</v>
      </c>
      <c r="C148" s="9" t="str">
        <f>Sites[[#This Row],[SOL'#]]</f>
        <v>SOL-10898</v>
      </c>
      <c r="D148" s="66"/>
      <c r="E148" s="14"/>
      <c r="F148" s="14" t="str">
        <f t="shared" si="13"/>
        <v/>
      </c>
      <c r="G148" s="68" t="str">
        <f t="shared" si="14"/>
        <v/>
      </c>
      <c r="H148" s="69"/>
      <c r="I148" s="69" t="str">
        <f t="shared" si="11"/>
        <v/>
      </c>
      <c r="J148" s="68" t="str">
        <f t="shared" si="12"/>
        <v/>
      </c>
      <c r="K148" s="135"/>
      <c r="L148" s="136"/>
      <c r="S148" s="103"/>
      <c r="T148" s="103"/>
      <c r="U148" s="103"/>
      <c r="V148" s="103"/>
      <c r="W148" s="103"/>
      <c r="X148" s="103"/>
      <c r="Y148" s="103"/>
      <c r="Z148" s="103"/>
      <c r="AA148" s="103"/>
    </row>
    <row r="149" spans="1:27" ht="15.6">
      <c r="A149" s="24" t="str">
        <v>County Route 11B</v>
      </c>
      <c r="B149" s="25" t="str">
        <v>NY</v>
      </c>
      <c r="C149" s="25" t="str">
        <f>Sites[[#This Row],[SOL'#]]</f>
        <v>SOL-10983</v>
      </c>
      <c r="D149" s="54"/>
      <c r="E149" s="10"/>
      <c r="F149" s="10" t="str">
        <f t="shared" si="13"/>
        <v/>
      </c>
      <c r="G149" s="55" t="str">
        <f t="shared" si="14"/>
        <v/>
      </c>
      <c r="H149" s="67"/>
      <c r="I149" s="67" t="str">
        <f t="shared" si="11"/>
        <v/>
      </c>
      <c r="J149" s="64" t="str">
        <f t="shared" si="12"/>
        <v/>
      </c>
      <c r="K149" s="70"/>
      <c r="L149" s="137"/>
      <c r="M149" s="138"/>
      <c r="N149" s="138"/>
      <c r="S149" s="103"/>
      <c r="T149" s="103"/>
      <c r="U149" s="103"/>
      <c r="V149" s="103"/>
      <c r="W149" s="103"/>
      <c r="X149" s="103"/>
      <c r="Y149" s="103"/>
      <c r="Z149" s="103"/>
      <c r="AA149" s="103"/>
    </row>
    <row r="150" spans="1:27" ht="15.6">
      <c r="A150" s="26" t="str">
        <v>Barone</v>
      </c>
      <c r="B150" s="27" t="str">
        <v>NY</v>
      </c>
      <c r="C150" s="9" t="str">
        <f>Sites[[#This Row],[SOL'#]]</f>
        <v>SOL-11034</v>
      </c>
      <c r="D150" s="66"/>
      <c r="E150" s="14"/>
      <c r="F150" s="14" t="str">
        <f t="shared" si="13"/>
        <v/>
      </c>
      <c r="G150" s="68" t="str">
        <f t="shared" si="14"/>
        <v/>
      </c>
      <c r="H150" s="69"/>
      <c r="I150" s="69" t="str">
        <f t="shared" si="11"/>
        <v/>
      </c>
      <c r="J150" s="68" t="str">
        <f t="shared" si="12"/>
        <v/>
      </c>
      <c r="K150" s="135"/>
      <c r="L150" s="136"/>
      <c r="M150" s="138"/>
      <c r="S150" s="103"/>
      <c r="T150" s="103"/>
      <c r="U150" s="103"/>
      <c r="V150" s="103"/>
      <c r="W150" s="103"/>
      <c r="X150" s="103"/>
      <c r="Y150" s="103"/>
      <c r="Z150" s="103"/>
      <c r="AA150" s="103"/>
    </row>
    <row r="151" spans="1:27" ht="15.6">
      <c r="A151" s="24" t="str">
        <v>Cedarville</v>
      </c>
      <c r="B151" s="25" t="str">
        <v>IL</v>
      </c>
      <c r="C151" s="25" t="str">
        <f>Sites[[#This Row],[SOL'#]]</f>
        <v>SOL-11069</v>
      </c>
      <c r="D151" s="54"/>
      <c r="E151" s="10"/>
      <c r="F151" s="10" t="str">
        <f t="shared" si="13"/>
        <v/>
      </c>
      <c r="G151" s="55" t="str">
        <f t="shared" si="14"/>
        <v/>
      </c>
      <c r="H151" s="67"/>
      <c r="I151" s="67" t="str">
        <f t="shared" si="11"/>
        <v/>
      </c>
      <c r="J151" s="64" t="str">
        <f t="shared" si="12"/>
        <v/>
      </c>
      <c r="K151" s="70"/>
      <c r="L151" s="137"/>
      <c r="M151" s="138"/>
      <c r="S151" s="103"/>
      <c r="T151" s="103"/>
      <c r="U151" s="103"/>
      <c r="V151" s="103"/>
      <c r="W151" s="103"/>
      <c r="X151" s="103"/>
      <c r="Y151" s="103"/>
      <c r="Z151" s="103"/>
      <c r="AA151" s="103"/>
    </row>
    <row r="152" spans="1:27" ht="15.6">
      <c r="A152" s="26" t="str">
        <v xml:space="preserve"> O'Brien Hill #1</v>
      </c>
      <c r="B152" s="27" t="str">
        <v>NY</v>
      </c>
      <c r="C152" s="9" t="str">
        <f>Sites[[#This Row],[SOL'#]]</f>
        <v>SOL-11098</v>
      </c>
      <c r="D152" s="66"/>
      <c r="E152" s="14"/>
      <c r="F152" s="14" t="str">
        <f t="shared" si="13"/>
        <v/>
      </c>
      <c r="G152" s="68" t="str">
        <f t="shared" si="14"/>
        <v/>
      </c>
      <c r="H152" s="69"/>
      <c r="I152" s="69" t="str">
        <f t="shared" ref="I152:I164" si="15">IF(AND(ISNUMBER(D152),ISNUMBER(H152)), D152-H152, "")</f>
        <v/>
      </c>
      <c r="J152" s="68" t="str">
        <f t="shared" ref="J152:J164" si="16">IFERROR(I152/H152, "")</f>
        <v/>
      </c>
      <c r="K152" s="135"/>
      <c r="L152" s="136"/>
      <c r="M152" s="138"/>
      <c r="S152" s="103"/>
      <c r="T152" s="103"/>
      <c r="U152" s="103"/>
      <c r="V152" s="103"/>
      <c r="W152" s="103"/>
      <c r="X152" s="103"/>
      <c r="Y152" s="103"/>
      <c r="Z152" s="103"/>
      <c r="AA152" s="103"/>
    </row>
    <row r="153" spans="1:27" ht="15.6">
      <c r="A153" s="24" t="str">
        <v xml:space="preserve"> O'Brien Hill #2</v>
      </c>
      <c r="B153" s="25" t="str">
        <v>NY</v>
      </c>
      <c r="C153" s="25" t="str">
        <f>Sites[[#This Row],[SOL'#]]</f>
        <v>SOL-11099</v>
      </c>
      <c r="D153" s="54"/>
      <c r="E153" s="10"/>
      <c r="F153" s="10" t="str">
        <f t="shared" si="13"/>
        <v/>
      </c>
      <c r="G153" s="55" t="str">
        <f t="shared" si="14"/>
        <v/>
      </c>
      <c r="H153" s="146"/>
      <c r="I153" s="67" t="str">
        <f t="shared" si="15"/>
        <v/>
      </c>
      <c r="J153" s="64" t="str">
        <f t="shared" si="16"/>
        <v/>
      </c>
      <c r="K153" s="70"/>
      <c r="L153" s="137"/>
      <c r="M153" s="138"/>
      <c r="S153" s="103"/>
      <c r="T153" s="103"/>
      <c r="U153" s="103"/>
      <c r="V153" s="103"/>
      <c r="W153" s="103"/>
      <c r="X153" s="103"/>
      <c r="Y153" s="103"/>
      <c r="Z153" s="103"/>
      <c r="AA153" s="103"/>
    </row>
    <row r="154" spans="1:27" ht="15.6">
      <c r="A154" s="26" t="str">
        <v>Trinity - Freeport</v>
      </c>
      <c r="B154" s="27" t="str">
        <v>IL</v>
      </c>
      <c r="C154" s="9" t="str">
        <f>Sites[[#This Row],[SOL'#]]</f>
        <v>SOL-11057</v>
      </c>
      <c r="D154" s="66"/>
      <c r="E154" s="14"/>
      <c r="F154" s="14" t="str">
        <f t="shared" si="13"/>
        <v/>
      </c>
      <c r="G154" s="68" t="str">
        <f t="shared" si="14"/>
        <v/>
      </c>
      <c r="H154" s="125"/>
      <c r="I154" s="69" t="str">
        <f t="shared" si="15"/>
        <v/>
      </c>
      <c r="J154" s="68" t="str">
        <f t="shared" si="16"/>
        <v/>
      </c>
      <c r="K154" s="135"/>
      <c r="L154" s="136"/>
      <c r="M154" s="138"/>
      <c r="S154" s="103"/>
      <c r="T154" s="103"/>
      <c r="U154" s="103"/>
      <c r="V154" s="103"/>
      <c r="W154" s="103"/>
      <c r="X154" s="103"/>
      <c r="Y154" s="103"/>
      <c r="Z154" s="103"/>
      <c r="AA154" s="103"/>
    </row>
    <row r="155" spans="1:27" ht="35.25" customHeight="1">
      <c r="A155" s="24" t="str">
        <v>Ransom</v>
      </c>
      <c r="B155" s="25" t="str">
        <v>NY</v>
      </c>
      <c r="C155" s="25" t="str">
        <f>Sites[[#This Row],[SOL'#]]</f>
        <v>SOL-11157</v>
      </c>
      <c r="D155" s="54"/>
      <c r="E155" s="10"/>
      <c r="F155" s="10" t="str">
        <f t="shared" si="13"/>
        <v/>
      </c>
      <c r="G155" s="55" t="str">
        <f t="shared" si="14"/>
        <v/>
      </c>
      <c r="H155" s="146"/>
      <c r="I155" s="67" t="str">
        <f t="shared" si="15"/>
        <v/>
      </c>
      <c r="J155" s="64" t="str">
        <f t="shared" si="16"/>
        <v/>
      </c>
      <c r="K155" s="70"/>
      <c r="L155" s="137"/>
      <c r="M155" s="138"/>
      <c r="N155" s="138"/>
      <c r="S155" s="103"/>
      <c r="T155" s="103"/>
      <c r="U155" s="103"/>
      <c r="V155" s="103"/>
      <c r="W155" s="103"/>
      <c r="X155" s="103"/>
      <c r="Y155" s="103"/>
      <c r="Z155" s="103"/>
      <c r="AA155" s="103"/>
    </row>
    <row r="156" spans="1:27" ht="15.6">
      <c r="A156" s="26" t="str">
        <v>Horseheads - Wedge</v>
      </c>
      <c r="B156" s="27" t="str">
        <v>NY</v>
      </c>
      <c r="C156" s="9" t="str">
        <f>Sites[[#This Row],[SOL'#]]</f>
        <v>SOL-11160</v>
      </c>
      <c r="D156" s="66"/>
      <c r="E156" s="14"/>
      <c r="F156" s="14" t="str">
        <f t="shared" si="13"/>
        <v/>
      </c>
      <c r="G156" s="68" t="str">
        <f t="shared" si="14"/>
        <v/>
      </c>
      <c r="H156" s="125"/>
      <c r="I156" s="69" t="str">
        <f t="shared" si="15"/>
        <v/>
      </c>
      <c r="J156" s="68" t="str">
        <f t="shared" si="16"/>
        <v/>
      </c>
      <c r="K156" s="135"/>
      <c r="L156" s="136"/>
      <c r="M156" s="138"/>
      <c r="S156" s="103"/>
      <c r="T156" s="103"/>
      <c r="U156" s="103"/>
      <c r="V156" s="103"/>
      <c r="W156" s="103"/>
      <c r="X156" s="103"/>
      <c r="Y156" s="103"/>
      <c r="Z156" s="103"/>
      <c r="AA156" s="103"/>
    </row>
    <row r="157" spans="1:27" ht="15.6">
      <c r="A157" s="24" t="str">
        <v>Otisville - Shoddy Hollow</v>
      </c>
      <c r="B157" s="25" t="str">
        <v>NY</v>
      </c>
      <c r="C157" s="25" t="str">
        <f>Sites[[#This Row],[SOL'#]]</f>
        <v>SOL-11185</v>
      </c>
      <c r="D157" s="54"/>
      <c r="E157" s="10"/>
      <c r="F157" s="10" t="str">
        <f t="shared" si="13"/>
        <v/>
      </c>
      <c r="G157" s="55" t="str">
        <f t="shared" si="14"/>
        <v/>
      </c>
      <c r="H157" s="146"/>
      <c r="I157" s="67" t="str">
        <f t="shared" si="15"/>
        <v/>
      </c>
      <c r="J157" s="64" t="str">
        <f t="shared" si="16"/>
        <v/>
      </c>
      <c r="K157" s="70"/>
      <c r="L157" s="137"/>
      <c r="M157" s="138"/>
      <c r="S157" s="103"/>
      <c r="T157" s="103"/>
      <c r="U157" s="103"/>
      <c r="V157" s="103"/>
      <c r="W157" s="103"/>
      <c r="X157" s="103"/>
      <c r="Y157" s="103"/>
      <c r="Z157" s="103"/>
      <c r="AA157" s="103"/>
    </row>
    <row r="158" spans="1:27" ht="176.25" customHeight="1">
      <c r="A158" s="26" t="str">
        <v>Wellsville - Chenunda Creek</v>
      </c>
      <c r="B158" s="27" t="str">
        <v>NY</v>
      </c>
      <c r="C158" s="9" t="str">
        <f>Sites[[#This Row],[SOL'#]]</f>
        <v>SOL-11187</v>
      </c>
      <c r="D158" s="66"/>
      <c r="E158" s="14"/>
      <c r="F158" s="14" t="str">
        <f t="shared" si="13"/>
        <v/>
      </c>
      <c r="G158" s="68" t="str">
        <f t="shared" si="14"/>
        <v/>
      </c>
      <c r="H158" s="125"/>
      <c r="I158" s="69" t="str">
        <f t="shared" si="15"/>
        <v/>
      </c>
      <c r="J158" s="68" t="str">
        <f t="shared" si="16"/>
        <v/>
      </c>
      <c r="K158" s="58"/>
      <c r="L158" s="136"/>
      <c r="M158" s="138"/>
      <c r="N158" s="138"/>
      <c r="S158" s="103"/>
      <c r="T158" s="103"/>
      <c r="U158" s="103"/>
      <c r="V158" s="103"/>
      <c r="W158" s="103"/>
      <c r="X158" s="103"/>
      <c r="Y158" s="103"/>
      <c r="Z158" s="103"/>
      <c r="AA158" s="103"/>
    </row>
    <row r="159" spans="1:27" ht="15.6">
      <c r="A159" s="24" t="str">
        <v>DC: Washington - Essex Condominium</v>
      </c>
      <c r="B159" s="25" t="str">
        <v>DC</v>
      </c>
      <c r="C159" s="25" t="str">
        <f>Sites[[#This Row],[SOL'#]]</f>
        <v>SOL-10036</v>
      </c>
      <c r="D159" s="54"/>
      <c r="E159" s="10"/>
      <c r="F159" s="10" t="str">
        <f t="shared" si="13"/>
        <v/>
      </c>
      <c r="G159" s="55" t="str">
        <f t="shared" si="14"/>
        <v/>
      </c>
      <c r="H159" s="67"/>
      <c r="I159" s="67" t="str">
        <f t="shared" si="15"/>
        <v/>
      </c>
      <c r="J159" s="64" t="str">
        <f t="shared" si="16"/>
        <v/>
      </c>
      <c r="K159" s="106"/>
      <c r="L159" s="115"/>
    </row>
    <row r="160" spans="1:27" ht="15.6">
      <c r="A160" s="26" t="str">
        <v>HI: Waipahu - 94-246 Leoku St - E.F.G.</v>
      </c>
      <c r="B160" s="27" t="str">
        <v>HI</v>
      </c>
      <c r="C160" s="66" t="str">
        <f>Sites[[#This Row],[SOL'#]]</f>
        <v>SOL-10071</v>
      </c>
      <c r="D160" s="66"/>
      <c r="E160" s="14"/>
      <c r="F160" s="14" t="str">
        <f t="shared" si="13"/>
        <v/>
      </c>
      <c r="G160" s="68" t="str">
        <f t="shared" si="14"/>
        <v/>
      </c>
      <c r="H160" s="69"/>
      <c r="I160" s="69" t="str">
        <f t="shared" si="15"/>
        <v/>
      </c>
      <c r="J160" s="68" t="str">
        <f t="shared" si="16"/>
        <v/>
      </c>
      <c r="K160" s="135"/>
      <c r="L160" s="99"/>
    </row>
    <row r="161" spans="1:12" ht="15.6">
      <c r="A161" s="24" t="str">
        <v>HI: Waipahu - 94-099 Waipahu St - PV</v>
      </c>
      <c r="B161" s="25" t="str">
        <v>HI</v>
      </c>
      <c r="C161" s="25" t="str">
        <f>Sites[[#This Row],[SOL'#]]</f>
        <v>SOL-10068</v>
      </c>
      <c r="D161" s="54"/>
      <c r="E161" s="10"/>
      <c r="F161" s="10" t="str">
        <f t="shared" si="13"/>
        <v/>
      </c>
      <c r="G161" s="55" t="str">
        <f t="shared" si="14"/>
        <v/>
      </c>
      <c r="H161" s="67"/>
      <c r="I161" s="67" t="str">
        <f t="shared" si="15"/>
        <v/>
      </c>
      <c r="J161" s="64" t="str">
        <f t="shared" si="16"/>
        <v/>
      </c>
      <c r="K161" s="70"/>
      <c r="L161" s="115"/>
    </row>
    <row r="162" spans="1:12" ht="15.6">
      <c r="A162" s="26" t="str">
        <v>IL: Prophetstown - 5170 Yager Road (PW)</v>
      </c>
      <c r="B162" s="27" t="str">
        <v>IL</v>
      </c>
      <c r="C162" s="66" t="str">
        <f>Sites[[#This Row],[SOL'#]]</f>
        <v>SOL-11149</v>
      </c>
      <c r="D162" s="66"/>
      <c r="E162" s="14"/>
      <c r="F162" s="14" t="str">
        <f t="shared" si="13"/>
        <v/>
      </c>
      <c r="G162" s="68" t="str">
        <f t="shared" si="14"/>
        <v/>
      </c>
      <c r="H162" s="69"/>
      <c r="I162" s="69" t="str">
        <f t="shared" si="15"/>
        <v/>
      </c>
      <c r="J162" s="68" t="str">
        <f t="shared" si="16"/>
        <v/>
      </c>
      <c r="K162" s="135"/>
      <c r="L162" s="162"/>
    </row>
    <row r="163" spans="1:12" ht="15.6">
      <c r="A163" s="24" t="str">
        <v>IL: Viola - Goldenrod - (PW)</v>
      </c>
      <c r="B163" s="25" t="str">
        <v>IL</v>
      </c>
      <c r="C163" s="25" t="str">
        <f>Sites[[#This Row],[SOL'#]]</f>
        <v>SOL-11132</v>
      </c>
      <c r="D163" s="54"/>
      <c r="E163" s="10"/>
      <c r="F163" s="10" t="str">
        <f t="shared" si="13"/>
        <v/>
      </c>
      <c r="G163" s="55" t="str">
        <f t="shared" si="14"/>
        <v/>
      </c>
      <c r="H163" s="67"/>
      <c r="I163" s="67" t="str">
        <f t="shared" si="15"/>
        <v/>
      </c>
      <c r="J163" s="64" t="str">
        <f t="shared" si="16"/>
        <v/>
      </c>
      <c r="K163" s="70"/>
      <c r="L163" s="115"/>
    </row>
    <row r="164" spans="1:12" ht="15.6">
      <c r="A164" s="26" t="str">
        <v>IL: Marengo - Grant - (PW)</v>
      </c>
      <c r="B164" s="27" t="str">
        <v>IL</v>
      </c>
      <c r="C164" s="66" t="str">
        <f>Sites[[#This Row],[SOL'#]]</f>
        <v>SOL-11147</v>
      </c>
      <c r="D164" s="66"/>
      <c r="E164" s="14"/>
      <c r="F164" s="14" t="str">
        <f t="shared" si="13"/>
        <v/>
      </c>
      <c r="G164" s="68" t="str">
        <f t="shared" si="14"/>
        <v/>
      </c>
      <c r="H164" s="69"/>
      <c r="I164" s="69" t="str">
        <f t="shared" si="15"/>
        <v/>
      </c>
      <c r="J164" s="68" t="str">
        <f t="shared" si="16"/>
        <v/>
      </c>
      <c r="K164" s="135"/>
      <c r="L164" s="162"/>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row r="174" spans="1:12">
      <c r="A174" t="str">
        <v>IL: Morrison - Sawyer (PW)</v>
      </c>
      <c r="B174" s="30" t="str">
        <v>IL</v>
      </c>
    </row>
    <row r="175" spans="1:12">
      <c r="A175" t="str">
        <v>IL: Kankakee - Jeffery (PW)</v>
      </c>
      <c r="B175" s="30" t="str">
        <v>IL</v>
      </c>
    </row>
    <row r="176" spans="1:12">
      <c r="A176" t="str">
        <v>IL: Freeport - 2240 South 18th Ave (PW)</v>
      </c>
      <c r="B176" s="30" t="str">
        <v>IL</v>
      </c>
    </row>
  </sheetData>
  <mergeCells count="4">
    <mergeCell ref="H1:J1"/>
    <mergeCell ref="A1:D1"/>
    <mergeCell ref="E1:G1"/>
    <mergeCell ref="A2:B2"/>
  </mergeCells>
  <phoneticPr fontId="40" type="noConversion"/>
  <conditionalFormatting sqref="G2 J2 G4:G66 J4:J164">
    <cfRule type="cellIs" dxfId="32" priority="15" stopIfTrue="1" operator="lessThanOrEqual">
      <formula>-0.1</formula>
    </cfRule>
    <cfRule type="expression" dxfId="31" priority="16">
      <formula>AND(ISNUMBER(G2), G2&gt;=0.1)</formula>
    </cfRule>
  </conditionalFormatting>
  <conditionalFormatting sqref="G73:G164">
    <cfRule type="cellIs" dxfId="30" priority="3" stopIfTrue="1" operator="lessThanOrEqual">
      <formula>-0.1</formula>
    </cfRule>
    <cfRule type="expression" dxfId="29" priority="4">
      <formula>AND(ISNUMBER(G73), G73&gt;=0.1)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W176"/>
  <sheetViews>
    <sheetView zoomScale="40" zoomScaleNormal="40" workbookViewId="0">
      <pane xSplit="2" ySplit="3" topLeftCell="C5"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95" t="str" cm="1">
        <f t="array" ref="A1">portfolio</f>
        <v>Generate Capital</v>
      </c>
      <c r="B1" s="195"/>
      <c r="C1" s="195"/>
      <c r="D1" s="195"/>
      <c r="E1" s="196" t="s">
        <v>380</v>
      </c>
      <c r="F1" s="196"/>
      <c r="G1" s="196"/>
      <c r="H1" s="194" t="s">
        <v>381</v>
      </c>
      <c r="I1" s="194"/>
      <c r="J1" s="194"/>
      <c r="K1" s="4"/>
      <c r="L1" s="4"/>
    </row>
    <row r="2" spans="1:18" ht="19.5" customHeight="1">
      <c r="A2" s="197" t="s">
        <v>2</v>
      </c>
      <c r="B2" s="197"/>
      <c r="C2" s="57"/>
      <c r="D2" s="5">
        <f>SUM(D4:D158)</f>
        <v>0</v>
      </c>
      <c r="E2" s="5">
        <f>SUM(E4:E158)</f>
        <v>0</v>
      </c>
      <c r="F2" s="5">
        <f>D2-E2</f>
        <v>0</v>
      </c>
      <c r="G2" s="6">
        <f>IFERROR(F2/E2, 0)</f>
        <v>0</v>
      </c>
      <c r="H2" s="5">
        <f>SUM(H4:H158)</f>
        <v>0</v>
      </c>
      <c r="I2" s="7">
        <f>D2-H2</f>
        <v>0</v>
      </c>
      <c r="J2" s="6">
        <f>IFERROR(I2/H2, 0)</f>
        <v>0</v>
      </c>
      <c r="K2" s="22"/>
      <c r="L2" s="4"/>
    </row>
    <row r="3" spans="1:18" ht="14.25" customHeight="1">
      <c r="A3" s="8" t="s">
        <v>3</v>
      </c>
      <c r="B3" s="8" t="s">
        <v>4</v>
      </c>
      <c r="C3" s="8" t="s">
        <v>5</v>
      </c>
      <c r="D3" s="19" t="s">
        <v>6</v>
      </c>
      <c r="E3" s="31" t="s">
        <v>7</v>
      </c>
      <c r="F3" s="31" t="s">
        <v>8</v>
      </c>
      <c r="G3" s="32" t="s">
        <v>9</v>
      </c>
      <c r="H3" s="33" t="s">
        <v>10</v>
      </c>
      <c r="I3" s="34" t="s">
        <v>8</v>
      </c>
      <c r="J3" s="35" t="s">
        <v>9</v>
      </c>
      <c r="K3" s="21" t="s">
        <v>24</v>
      </c>
      <c r="L3" s="21" t="s">
        <v>25</v>
      </c>
    </row>
    <row r="4" spans="1:18" ht="15.6">
      <c r="A4" s="26" t="str" cm="1">
        <f t="array" ref="A4:A176">Sites[Site]</f>
        <v>K026</v>
      </c>
      <c r="B4" s="27" t="str" cm="1">
        <f t="array" ref="B4:B176">Sites[State]</f>
        <v>NY</v>
      </c>
      <c r="C4" s="9" t="str">
        <f>Sites[[#This Row],[SOL'#]]</f>
        <v>SOL-10356</v>
      </c>
      <c r="D4" s="9"/>
      <c r="E4" s="14"/>
      <c r="F4" s="14" t="str">
        <f t="shared" ref="F4:F51" si="0">IF(AND(ISNUMBER(D4),ISNUMBER(E4)), D4-E4, "")</f>
        <v/>
      </c>
      <c r="G4" s="15" t="str">
        <f t="shared" ref="G4:G52" si="1">IFERROR(F4/E4, "")</f>
        <v/>
      </c>
      <c r="H4" s="16"/>
      <c r="I4" s="16" t="str">
        <f t="shared" ref="I4:I64" si="2">IF(AND(ISNUMBER(D4),ISNUMBER(H4)), D4-H4, "")</f>
        <v/>
      </c>
      <c r="J4" s="15" t="str">
        <f t="shared" ref="J4:J64" si="3">IFERROR(I4/H4, "")</f>
        <v/>
      </c>
      <c r="K4" s="186"/>
      <c r="L4" s="99"/>
      <c r="M4" s="102"/>
      <c r="N4" s="102"/>
      <c r="O4" s="103"/>
      <c r="P4" s="103"/>
      <c r="Q4" s="103"/>
      <c r="R4" s="103"/>
    </row>
    <row r="5" spans="1:18" ht="86.25" customHeight="1">
      <c r="A5" s="24" t="str">
        <v>K041</v>
      </c>
      <c r="B5" s="25" t="str">
        <v>NY</v>
      </c>
      <c r="C5" s="25" t="str">
        <f>Sites[[#This Row],[SOL'#]]</f>
        <v>SOL-10357</v>
      </c>
      <c r="D5" s="20"/>
      <c r="E5" s="10"/>
      <c r="F5" s="10" t="str">
        <f t="shared" si="0"/>
        <v/>
      </c>
      <c r="G5" s="11" t="str">
        <f t="shared" si="1"/>
        <v/>
      </c>
      <c r="H5" s="12"/>
      <c r="I5" s="12" t="str">
        <f t="shared" si="2"/>
        <v/>
      </c>
      <c r="J5" s="13" t="str">
        <f t="shared" si="3"/>
        <v/>
      </c>
      <c r="K5" s="47"/>
      <c r="L5" s="98"/>
      <c r="M5" s="103"/>
      <c r="N5" s="103"/>
      <c r="O5" s="103"/>
      <c r="P5" s="103"/>
      <c r="Q5" s="103"/>
      <c r="R5" s="103"/>
    </row>
    <row r="6" spans="1:18" ht="64.5" customHeight="1">
      <c r="A6" s="26" t="str">
        <v>K043</v>
      </c>
      <c r="B6" s="27" t="str">
        <v>NY</v>
      </c>
      <c r="C6" s="9" t="str">
        <f>Sites[[#This Row],[SOL'#]]</f>
        <v>SOL-10358</v>
      </c>
      <c r="D6" s="9"/>
      <c r="E6" s="14"/>
      <c r="F6" s="14" t="str">
        <f t="shared" si="0"/>
        <v/>
      </c>
      <c r="G6" s="15" t="str">
        <f t="shared" si="1"/>
        <v/>
      </c>
      <c r="H6" s="16"/>
      <c r="I6" s="16" t="str">
        <f t="shared" si="2"/>
        <v/>
      </c>
      <c r="J6" s="15" t="str">
        <f t="shared" si="3"/>
        <v/>
      </c>
      <c r="K6" s="186"/>
      <c r="L6" s="99"/>
      <c r="M6" s="103"/>
      <c r="N6" s="103"/>
      <c r="O6" s="103"/>
      <c r="P6" s="103"/>
      <c r="Q6" s="103"/>
      <c r="R6" s="103"/>
    </row>
    <row r="7" spans="1:18" ht="15.6">
      <c r="A7" s="24" t="str">
        <v>K058</v>
      </c>
      <c r="B7" s="25" t="str">
        <v>NY</v>
      </c>
      <c r="C7" s="25" t="str">
        <f>Sites[[#This Row],[SOL'#]]</f>
        <v>SOL-10360</v>
      </c>
      <c r="D7" s="20"/>
      <c r="E7" s="10"/>
      <c r="F7" s="10" t="str">
        <f t="shared" si="0"/>
        <v/>
      </c>
      <c r="G7" s="11" t="str">
        <f t="shared" si="1"/>
        <v/>
      </c>
      <c r="H7" s="12"/>
      <c r="I7" s="12" t="str">
        <f t="shared" si="2"/>
        <v/>
      </c>
      <c r="J7" s="13" t="str">
        <f t="shared" si="3"/>
        <v/>
      </c>
      <c r="K7" s="47"/>
      <c r="L7" s="98"/>
      <c r="M7" s="103"/>
      <c r="N7" s="103"/>
      <c r="O7" s="103"/>
      <c r="P7" s="103"/>
      <c r="Q7" s="103"/>
      <c r="R7" s="103"/>
    </row>
    <row r="8" spans="1:18" ht="15.6">
      <c r="A8" s="26" t="str">
        <v>K115</v>
      </c>
      <c r="B8" s="27" t="str">
        <v>NY</v>
      </c>
      <c r="C8" s="9" t="str">
        <f>Sites[[#This Row],[SOL'#]]</f>
        <v>SOL-10361</v>
      </c>
      <c r="D8" s="9"/>
      <c r="E8" s="14"/>
      <c r="F8" s="14" t="str">
        <f t="shared" si="0"/>
        <v/>
      </c>
      <c r="G8" s="15" t="str">
        <f t="shared" si="1"/>
        <v/>
      </c>
      <c r="H8" s="16"/>
      <c r="I8" s="16" t="str">
        <f t="shared" si="2"/>
        <v/>
      </c>
      <c r="J8" s="15" t="str">
        <f t="shared" si="3"/>
        <v/>
      </c>
      <c r="K8" s="89"/>
      <c r="L8" s="101"/>
      <c r="M8" s="103"/>
      <c r="N8" s="103"/>
      <c r="O8" s="103"/>
      <c r="P8" s="103"/>
      <c r="Q8" s="103"/>
      <c r="R8" s="103"/>
    </row>
    <row r="9" spans="1:18" ht="15.6">
      <c r="A9" s="24" t="str">
        <v>K152</v>
      </c>
      <c r="B9" s="25" t="str">
        <v>NY</v>
      </c>
      <c r="C9" s="25" t="str">
        <f>Sites[[#This Row],[SOL'#]]</f>
        <v>SOL-10362</v>
      </c>
      <c r="D9" s="20"/>
      <c r="E9" s="10"/>
      <c r="F9" s="10" t="str">
        <f t="shared" si="0"/>
        <v/>
      </c>
      <c r="G9" s="11" t="str">
        <f t="shared" si="1"/>
        <v/>
      </c>
      <c r="H9" s="12"/>
      <c r="I9" s="12" t="str">
        <f t="shared" si="2"/>
        <v/>
      </c>
      <c r="J9" s="13" t="str">
        <f t="shared" si="3"/>
        <v/>
      </c>
      <c r="K9" s="47"/>
      <c r="L9" s="47"/>
      <c r="M9" s="103"/>
      <c r="N9" s="103"/>
      <c r="O9" s="103"/>
      <c r="P9" s="103"/>
      <c r="Q9" s="103"/>
      <c r="R9" s="103"/>
    </row>
    <row r="10" spans="1:18" ht="15.6">
      <c r="A10" s="26" t="str">
        <v>K166</v>
      </c>
      <c r="B10" s="27" t="str">
        <v>NY</v>
      </c>
      <c r="C10" s="9" t="str">
        <f>Sites[[#This Row],[SOL'#]]</f>
        <v>SOL-10363</v>
      </c>
      <c r="D10" s="9"/>
      <c r="E10" s="14"/>
      <c r="F10" s="14" t="str">
        <f t="shared" si="0"/>
        <v/>
      </c>
      <c r="G10" s="15" t="str">
        <f t="shared" si="1"/>
        <v/>
      </c>
      <c r="H10" s="16"/>
      <c r="I10" s="16" t="str">
        <f t="shared" si="2"/>
        <v/>
      </c>
      <c r="J10" s="15" t="str">
        <f t="shared" si="3"/>
        <v/>
      </c>
      <c r="K10" s="186"/>
      <c r="L10" s="99"/>
      <c r="M10" s="103"/>
      <c r="N10" s="103"/>
      <c r="O10" s="103"/>
      <c r="P10" s="103"/>
      <c r="Q10" s="103"/>
      <c r="R10" s="103"/>
    </row>
    <row r="11" spans="1:18" ht="15.6">
      <c r="A11" s="24" t="str">
        <v>K206</v>
      </c>
      <c r="B11" s="25" t="str">
        <v>NY</v>
      </c>
      <c r="C11" s="25" t="str">
        <f>Sites[[#This Row],[SOL'#]]</f>
        <v>SOL-10927</v>
      </c>
      <c r="D11" s="20"/>
      <c r="E11" s="10"/>
      <c r="F11" s="10" t="str">
        <f t="shared" si="0"/>
        <v/>
      </c>
      <c r="G11" s="11" t="str">
        <f t="shared" si="1"/>
        <v/>
      </c>
      <c r="H11" s="12"/>
      <c r="I11" s="12" t="str">
        <f t="shared" si="2"/>
        <v/>
      </c>
      <c r="J11" s="13" t="str">
        <f t="shared" si="3"/>
        <v/>
      </c>
      <c r="K11" s="47"/>
      <c r="L11" s="47"/>
      <c r="M11" s="103"/>
      <c r="N11" s="103"/>
      <c r="O11" s="103"/>
      <c r="P11" s="103"/>
      <c r="Q11" s="103"/>
      <c r="R11" s="103"/>
    </row>
    <row r="12" spans="1:18" ht="15.6">
      <c r="A12" s="26" t="str">
        <v>K251</v>
      </c>
      <c r="B12" s="27" t="str">
        <v>NY</v>
      </c>
      <c r="C12" s="9" t="str">
        <f>Sites[[#This Row],[SOL'#]]</f>
        <v>SOL-10365</v>
      </c>
      <c r="D12" s="9"/>
      <c r="E12" s="14"/>
      <c r="F12" s="14" t="str">
        <f t="shared" si="0"/>
        <v/>
      </c>
      <c r="G12" s="15" t="str">
        <f t="shared" si="1"/>
        <v/>
      </c>
      <c r="H12" s="16"/>
      <c r="I12" s="16" t="str">
        <f t="shared" si="2"/>
        <v/>
      </c>
      <c r="J12" s="15" t="str">
        <f t="shared" si="3"/>
        <v/>
      </c>
      <c r="K12" s="186"/>
      <c r="L12" s="99"/>
      <c r="M12" s="102"/>
      <c r="N12" s="102"/>
      <c r="O12" s="103"/>
      <c r="P12" s="103"/>
      <c r="Q12" s="103"/>
      <c r="R12" s="103"/>
    </row>
    <row r="13" spans="1:18" ht="46.5" customHeight="1">
      <c r="A13" s="24" t="str">
        <v>K269</v>
      </c>
      <c r="B13" s="25" t="str">
        <v>NY</v>
      </c>
      <c r="C13" s="25" t="str">
        <f>Sites[[#This Row],[SOL'#]]</f>
        <v>SOL-10366</v>
      </c>
      <c r="D13" s="20"/>
      <c r="E13" s="10"/>
      <c r="F13" s="10" t="str">
        <f t="shared" si="0"/>
        <v/>
      </c>
      <c r="G13" s="11" t="str">
        <f t="shared" si="1"/>
        <v/>
      </c>
      <c r="H13" s="12"/>
      <c r="I13" s="12" t="str">
        <f t="shared" si="2"/>
        <v/>
      </c>
      <c r="J13" s="13" t="str">
        <f t="shared" si="3"/>
        <v/>
      </c>
      <c r="K13" s="47"/>
      <c r="L13" s="47"/>
      <c r="M13" s="103"/>
      <c r="N13" s="103"/>
      <c r="O13" s="103"/>
      <c r="P13" s="103"/>
      <c r="Q13" s="103"/>
      <c r="R13" s="103"/>
    </row>
    <row r="14" spans="1:18" ht="15.6">
      <c r="A14" s="26" t="str">
        <v>K273</v>
      </c>
      <c r="B14" s="27" t="str">
        <v>NY</v>
      </c>
      <c r="C14" s="9" t="str">
        <f>Sites[[#This Row],[SOL'#]]</f>
        <v>SOL-10367</v>
      </c>
      <c r="D14" s="9"/>
      <c r="E14" s="14"/>
      <c r="F14" s="14" t="str">
        <f t="shared" si="0"/>
        <v/>
      </c>
      <c r="G14" s="15" t="str">
        <f t="shared" si="1"/>
        <v/>
      </c>
      <c r="H14" s="16"/>
      <c r="I14" s="16" t="str">
        <f t="shared" si="2"/>
        <v/>
      </c>
      <c r="J14" s="15" t="str">
        <f t="shared" si="3"/>
        <v/>
      </c>
      <c r="K14" s="186"/>
      <c r="L14" s="99"/>
      <c r="M14" s="103"/>
      <c r="N14" s="103"/>
      <c r="O14" s="103"/>
      <c r="P14" s="103"/>
      <c r="Q14" s="103"/>
      <c r="R14" s="103"/>
    </row>
    <row r="15" spans="1:18" ht="15.6">
      <c r="A15" s="24" t="str">
        <v>K287</v>
      </c>
      <c r="B15" s="25" t="str">
        <v>NY</v>
      </c>
      <c r="C15" s="25" t="str">
        <f>Sites[[#This Row],[SOL'#]]</f>
        <v>SOL-10919</v>
      </c>
      <c r="D15" s="20"/>
      <c r="E15" s="10"/>
      <c r="F15" s="10" t="str">
        <f t="shared" si="0"/>
        <v/>
      </c>
      <c r="G15" s="11" t="str">
        <f t="shared" si="1"/>
        <v/>
      </c>
      <c r="H15" s="12"/>
      <c r="I15" s="12" t="str">
        <f t="shared" si="2"/>
        <v/>
      </c>
      <c r="J15" s="13" t="str">
        <f t="shared" si="3"/>
        <v/>
      </c>
      <c r="K15" s="47"/>
      <c r="L15" s="47"/>
      <c r="M15" s="103"/>
      <c r="N15" s="103"/>
      <c r="O15" s="103"/>
      <c r="P15" s="103"/>
      <c r="Q15" s="103"/>
      <c r="R15" s="103"/>
    </row>
    <row r="16" spans="1:18" ht="15.6">
      <c r="A16" s="26" t="str">
        <v>K298</v>
      </c>
      <c r="B16" s="27" t="str">
        <v>NY</v>
      </c>
      <c r="C16" s="9" t="str">
        <f>Sites[[#This Row],[SOL'#]]</f>
        <v>SOL-10368</v>
      </c>
      <c r="D16" s="9"/>
      <c r="E16" s="14"/>
      <c r="F16" s="14" t="str">
        <f t="shared" si="0"/>
        <v/>
      </c>
      <c r="G16" s="15" t="str">
        <f t="shared" si="1"/>
        <v/>
      </c>
      <c r="H16" s="16"/>
      <c r="I16" s="16" t="str">
        <f t="shared" si="2"/>
        <v/>
      </c>
      <c r="J16" s="15" t="str">
        <f t="shared" si="3"/>
        <v/>
      </c>
      <c r="K16" s="186"/>
      <c r="L16" s="85"/>
      <c r="M16" s="103"/>
      <c r="N16" s="103"/>
      <c r="O16" s="103"/>
      <c r="P16" s="103"/>
      <c r="Q16" s="103"/>
      <c r="R16" s="103"/>
    </row>
    <row r="17" spans="1:18" ht="15.6">
      <c r="A17" s="24" t="str">
        <v>K335</v>
      </c>
      <c r="B17" s="25" t="str">
        <v>NY</v>
      </c>
      <c r="C17" s="25" t="str">
        <f>Sites[[#This Row],[SOL'#]]</f>
        <v>SOL-10370</v>
      </c>
      <c r="D17" s="20"/>
      <c r="E17" s="10"/>
      <c r="F17" s="10" t="str">
        <f t="shared" si="0"/>
        <v/>
      </c>
      <c r="G17" s="11" t="str">
        <f t="shared" si="1"/>
        <v/>
      </c>
      <c r="H17" s="12"/>
      <c r="I17" s="12" t="str">
        <f t="shared" si="2"/>
        <v/>
      </c>
      <c r="J17" s="13" t="str">
        <f t="shared" si="3"/>
        <v/>
      </c>
      <c r="K17" s="47"/>
      <c r="L17" s="98"/>
      <c r="M17" s="103"/>
      <c r="N17" s="103"/>
      <c r="O17" s="103"/>
      <c r="P17" s="103"/>
      <c r="Q17" s="103"/>
      <c r="R17" s="103"/>
    </row>
    <row r="18" spans="1:18" ht="43.5" customHeight="1">
      <c r="A18" s="26" t="str">
        <v>K345</v>
      </c>
      <c r="B18" s="27" t="str">
        <v>NY</v>
      </c>
      <c r="C18" s="9" t="str">
        <f>Sites[[#This Row],[SOL'#]]</f>
        <v>SOL-10920</v>
      </c>
      <c r="D18" s="9"/>
      <c r="E18" s="14"/>
      <c r="F18" s="14" t="str">
        <f t="shared" si="0"/>
        <v/>
      </c>
      <c r="G18" s="15" t="str">
        <f t="shared" si="1"/>
        <v/>
      </c>
      <c r="H18" s="16"/>
      <c r="I18" s="16" t="str">
        <f t="shared" si="2"/>
        <v/>
      </c>
      <c r="J18" s="15" t="str">
        <f t="shared" si="3"/>
        <v/>
      </c>
      <c r="K18" s="186"/>
      <c r="L18" s="99"/>
      <c r="M18" s="103"/>
      <c r="N18" s="103"/>
      <c r="O18" s="103"/>
      <c r="P18" s="103"/>
      <c r="Q18" s="103"/>
      <c r="R18" s="103"/>
    </row>
    <row r="19" spans="1:18" ht="15.6">
      <c r="A19" s="24" t="str">
        <v>K445</v>
      </c>
      <c r="B19" s="25" t="str">
        <v>NY</v>
      </c>
      <c r="C19" s="25" t="str">
        <f>Sites[[#This Row],[SOL'#]]</f>
        <v>SOL-10373</v>
      </c>
      <c r="D19" s="20"/>
      <c r="E19" s="10"/>
      <c r="F19" s="10" t="str">
        <f t="shared" si="0"/>
        <v/>
      </c>
      <c r="G19" s="11" t="str">
        <f t="shared" si="1"/>
        <v/>
      </c>
      <c r="H19" s="12"/>
      <c r="I19" s="12" t="str">
        <f t="shared" si="2"/>
        <v/>
      </c>
      <c r="J19" s="13" t="str">
        <f t="shared" si="3"/>
        <v/>
      </c>
      <c r="K19" s="47"/>
      <c r="L19" s="47"/>
      <c r="M19" s="103"/>
      <c r="N19" s="103"/>
      <c r="O19" s="103"/>
      <c r="P19" s="103"/>
      <c r="Q19" s="103"/>
      <c r="R19" s="103"/>
    </row>
    <row r="20" spans="1:18" ht="15.6">
      <c r="A20" s="26" t="str">
        <v>K495</v>
      </c>
      <c r="B20" s="27" t="str">
        <v>NY</v>
      </c>
      <c r="C20" s="9" t="str">
        <f>Sites[[#This Row],[SOL'#]]</f>
        <v>SOL-10374</v>
      </c>
      <c r="D20" s="9"/>
      <c r="E20" s="14"/>
      <c r="F20" s="14" t="str">
        <f t="shared" si="0"/>
        <v/>
      </c>
      <c r="G20" s="15" t="str">
        <f t="shared" si="1"/>
        <v/>
      </c>
      <c r="H20" s="16"/>
      <c r="I20" s="16" t="str">
        <f t="shared" si="2"/>
        <v/>
      </c>
      <c r="J20" s="15" t="str">
        <f t="shared" si="3"/>
        <v/>
      </c>
      <c r="K20" s="186"/>
      <c r="L20" s="99"/>
      <c r="M20" s="103"/>
      <c r="N20" s="103"/>
      <c r="O20" s="103"/>
      <c r="P20" s="103"/>
      <c r="Q20" s="103"/>
      <c r="R20" s="103"/>
    </row>
    <row r="21" spans="1:18" ht="15.6">
      <c r="A21" s="24" t="str">
        <v>M020</v>
      </c>
      <c r="B21" s="25" t="str">
        <v>NY</v>
      </c>
      <c r="C21" s="25" t="str">
        <f>Sites[[#This Row],[SOL'#]]</f>
        <v>SOL-10380</v>
      </c>
      <c r="D21" s="20"/>
      <c r="E21" s="10"/>
      <c r="F21" s="10" t="str">
        <f t="shared" si="0"/>
        <v/>
      </c>
      <c r="G21" s="11" t="str">
        <f t="shared" si="1"/>
        <v/>
      </c>
      <c r="H21" s="12"/>
      <c r="I21" s="12" t="str">
        <f t="shared" si="2"/>
        <v/>
      </c>
      <c r="J21" s="13" t="str">
        <f t="shared" si="3"/>
        <v/>
      </c>
      <c r="K21" s="47"/>
      <c r="L21" s="47"/>
      <c r="M21" s="103"/>
      <c r="N21" s="103"/>
      <c r="O21" s="103"/>
      <c r="P21" s="103"/>
      <c r="Q21" s="103"/>
      <c r="R21" s="103"/>
    </row>
    <row r="22" spans="1:18" ht="15.6">
      <c r="A22" s="26" t="str">
        <v>M092</v>
      </c>
      <c r="B22" s="27" t="str">
        <v>NY</v>
      </c>
      <c r="C22" s="9" t="str">
        <f>Sites[[#This Row],[SOL'#]]</f>
        <v>SOL-10383</v>
      </c>
      <c r="D22" s="9"/>
      <c r="E22" s="14"/>
      <c r="F22" s="14" t="str">
        <f t="shared" si="0"/>
        <v/>
      </c>
      <c r="G22" s="15" t="str">
        <f t="shared" si="1"/>
        <v/>
      </c>
      <c r="H22" s="16"/>
      <c r="I22" s="16" t="str">
        <f t="shared" si="2"/>
        <v/>
      </c>
      <c r="J22" s="15" t="str">
        <f t="shared" si="3"/>
        <v/>
      </c>
      <c r="K22" s="186"/>
      <c r="L22" s="85"/>
      <c r="M22" s="103"/>
      <c r="N22" s="103"/>
      <c r="O22" s="103"/>
      <c r="P22" s="103"/>
      <c r="Q22" s="103"/>
      <c r="R22" s="103"/>
    </row>
    <row r="23" spans="1:18" ht="15.6">
      <c r="A23" s="24" t="str">
        <v>M143</v>
      </c>
      <c r="B23" s="25" t="str">
        <v>NY</v>
      </c>
      <c r="C23" s="25" t="str">
        <f>Sites[[#This Row],[SOL'#]]</f>
        <v>SOL-10384</v>
      </c>
      <c r="D23" s="20"/>
      <c r="E23" s="10"/>
      <c r="F23" s="10" t="str">
        <f t="shared" si="0"/>
        <v/>
      </c>
      <c r="G23" s="11" t="str">
        <f t="shared" si="1"/>
        <v/>
      </c>
      <c r="H23" s="12"/>
      <c r="I23" s="12" t="str">
        <f t="shared" si="2"/>
        <v/>
      </c>
      <c r="J23" s="13" t="str">
        <f t="shared" si="3"/>
        <v/>
      </c>
      <c r="K23" s="47"/>
      <c r="L23" s="98"/>
      <c r="M23" s="103"/>
      <c r="N23" s="103"/>
      <c r="O23" s="103"/>
      <c r="P23" s="103"/>
      <c r="Q23" s="103"/>
      <c r="R23" s="103"/>
    </row>
    <row r="24" spans="1:18" ht="15.6">
      <c r="A24" s="26" t="str">
        <v>M144</v>
      </c>
      <c r="B24" s="27" t="str">
        <v>NY</v>
      </c>
      <c r="C24" s="9" t="str">
        <f>Sites[[#This Row],[SOL'#]]</f>
        <v>SOL-10385</v>
      </c>
      <c r="D24" s="9"/>
      <c r="E24" s="14"/>
      <c r="F24" s="14" t="str">
        <f t="shared" si="0"/>
        <v/>
      </c>
      <c r="G24" s="15" t="str">
        <f t="shared" si="1"/>
        <v/>
      </c>
      <c r="H24" s="16"/>
      <c r="I24" s="16" t="str">
        <f t="shared" si="2"/>
        <v/>
      </c>
      <c r="J24" s="15" t="str">
        <f t="shared" si="3"/>
        <v/>
      </c>
      <c r="K24" s="186"/>
      <c r="L24" s="186"/>
      <c r="M24" s="103"/>
      <c r="N24" s="103"/>
      <c r="O24" s="103"/>
      <c r="P24" s="103"/>
      <c r="Q24" s="103"/>
      <c r="R24" s="103"/>
    </row>
    <row r="25" spans="1:18" ht="15.6">
      <c r="A25" s="24" t="str">
        <v>M167</v>
      </c>
      <c r="B25" s="25" t="str">
        <v>NY</v>
      </c>
      <c r="C25" s="25" t="str">
        <f>Sites[[#This Row],[SOL'#]]</f>
        <v>SOL-10386</v>
      </c>
      <c r="D25" s="20"/>
      <c r="E25" s="10"/>
      <c r="F25" s="10" t="str">
        <f t="shared" si="0"/>
        <v/>
      </c>
      <c r="G25" s="11" t="str">
        <f t="shared" si="1"/>
        <v/>
      </c>
      <c r="H25" s="12"/>
      <c r="I25" s="12" t="str">
        <f t="shared" si="2"/>
        <v/>
      </c>
      <c r="J25" s="13" t="str">
        <f t="shared" si="3"/>
        <v/>
      </c>
      <c r="K25" s="47"/>
      <c r="L25" s="47"/>
      <c r="M25" s="103"/>
      <c r="N25" s="103"/>
      <c r="O25" s="103"/>
      <c r="P25" s="103"/>
      <c r="Q25" s="103"/>
      <c r="R25" s="103"/>
    </row>
    <row r="26" spans="1:18" ht="15.6">
      <c r="A26" s="26" t="str">
        <v>M188</v>
      </c>
      <c r="B26" s="27" t="str">
        <v>NY</v>
      </c>
      <c r="C26" s="9" t="str">
        <f>Sites[[#This Row],[SOL'#]]</f>
        <v>SOL-10387</v>
      </c>
      <c r="D26" s="9"/>
      <c r="E26" s="14"/>
      <c r="F26" s="14" t="str">
        <f t="shared" si="0"/>
        <v/>
      </c>
      <c r="G26" s="15" t="str">
        <f t="shared" si="1"/>
        <v/>
      </c>
      <c r="H26" s="16"/>
      <c r="I26" s="16" t="str">
        <f t="shared" si="2"/>
        <v/>
      </c>
      <c r="J26" s="15" t="str">
        <f t="shared" si="3"/>
        <v/>
      </c>
      <c r="K26" s="186"/>
      <c r="L26" s="85"/>
      <c r="M26" s="103"/>
      <c r="N26" s="103"/>
      <c r="O26" s="103"/>
      <c r="P26" s="103"/>
      <c r="Q26" s="103"/>
      <c r="R26" s="103"/>
    </row>
    <row r="27" spans="1:18" ht="15.6">
      <c r="A27" s="24" t="str">
        <v>EMHC</v>
      </c>
      <c r="B27" s="25" t="str">
        <v>NY</v>
      </c>
      <c r="C27" s="25" t="str">
        <f>Sites[[#This Row],[SOL'#]]</f>
        <v>SOL-10351</v>
      </c>
      <c r="D27" s="20"/>
      <c r="E27" s="10"/>
      <c r="F27" s="10" t="str">
        <f t="shared" si="0"/>
        <v/>
      </c>
      <c r="G27" s="11" t="str">
        <f t="shared" si="1"/>
        <v/>
      </c>
      <c r="H27" s="12"/>
      <c r="I27" s="12" t="str">
        <f t="shared" si="2"/>
        <v/>
      </c>
      <c r="J27" s="13" t="str">
        <f t="shared" si="3"/>
        <v/>
      </c>
      <c r="K27" s="47"/>
      <c r="L27" s="47"/>
      <c r="M27" s="103"/>
      <c r="N27" s="103"/>
      <c r="O27" s="103"/>
      <c r="P27" s="103"/>
      <c r="Q27" s="103"/>
      <c r="R27" s="103"/>
    </row>
    <row r="28" spans="1:18" ht="15.6">
      <c r="A28" s="26" t="str">
        <v>Q008</v>
      </c>
      <c r="B28" s="27" t="str">
        <v>NY</v>
      </c>
      <c r="C28" s="9" t="str">
        <f>Sites[[#This Row],[SOL'#]]</f>
        <v>SOL-10397</v>
      </c>
      <c r="D28" s="9"/>
      <c r="E28" s="14"/>
      <c r="F28" s="14" t="str">
        <f t="shared" si="0"/>
        <v/>
      </c>
      <c r="G28" s="15" t="str">
        <f t="shared" si="1"/>
        <v/>
      </c>
      <c r="H28" s="16"/>
      <c r="I28" s="16" t="str">
        <f t="shared" si="2"/>
        <v/>
      </c>
      <c r="J28" s="15" t="str">
        <f t="shared" si="3"/>
        <v/>
      </c>
      <c r="K28" s="186"/>
      <c r="L28" s="99"/>
      <c r="M28" s="103"/>
      <c r="N28" s="103"/>
      <c r="O28" s="103"/>
      <c r="P28" s="103"/>
      <c r="Q28" s="103"/>
      <c r="R28" s="103"/>
    </row>
    <row r="29" spans="1:18" ht="15.6">
      <c r="A29" s="24" t="str">
        <v>Q018</v>
      </c>
      <c r="B29" s="25" t="str">
        <v>NY</v>
      </c>
      <c r="C29" s="25" t="str">
        <f>Sites[[#This Row],[SOL'#]]</f>
        <v>SOL-10398</v>
      </c>
      <c r="D29" s="20"/>
      <c r="E29" s="10"/>
      <c r="F29" s="10" t="str">
        <f t="shared" si="0"/>
        <v/>
      </c>
      <c r="G29" s="11" t="str">
        <f t="shared" si="1"/>
        <v/>
      </c>
      <c r="H29" s="12"/>
      <c r="I29" s="12" t="str">
        <f t="shared" si="2"/>
        <v/>
      </c>
      <c r="J29" s="13" t="str">
        <f t="shared" si="3"/>
        <v/>
      </c>
      <c r="K29" s="47"/>
      <c r="L29" s="98"/>
      <c r="M29" s="103"/>
      <c r="N29" s="103"/>
      <c r="O29" s="103"/>
      <c r="P29" s="103"/>
      <c r="Q29" s="103"/>
      <c r="R29" s="103"/>
    </row>
    <row r="30" spans="1:18" ht="15.6">
      <c r="A30" s="26" t="str">
        <v>Q021</v>
      </c>
      <c r="B30" s="27" t="str">
        <v>NY</v>
      </c>
      <c r="C30" s="9" t="str">
        <f>Sites[[#This Row],[SOL'#]]</f>
        <v>SOL-10399</v>
      </c>
      <c r="D30" s="9"/>
      <c r="E30" s="14"/>
      <c r="F30" s="14" t="str">
        <f t="shared" si="0"/>
        <v/>
      </c>
      <c r="G30" s="15" t="str">
        <f t="shared" si="1"/>
        <v/>
      </c>
      <c r="H30" s="16"/>
      <c r="I30" s="16" t="str">
        <f t="shared" si="2"/>
        <v/>
      </c>
      <c r="J30" s="15" t="str">
        <f t="shared" si="3"/>
        <v/>
      </c>
      <c r="K30" s="186"/>
      <c r="L30" s="85"/>
      <c r="M30" s="103"/>
      <c r="N30" s="103"/>
      <c r="O30" s="103"/>
      <c r="P30" s="103"/>
      <c r="Q30" s="103"/>
      <c r="R30" s="103"/>
    </row>
    <row r="31" spans="1:18" ht="15.6">
      <c r="A31" s="24" t="str">
        <v>Q025</v>
      </c>
      <c r="B31" s="25" t="str">
        <v>NY</v>
      </c>
      <c r="C31" s="25" t="str">
        <f>Sites[[#This Row],[SOL'#]]</f>
        <v>SOL-10400</v>
      </c>
      <c r="D31" s="20"/>
      <c r="E31" s="10"/>
      <c r="F31" s="10" t="str">
        <f t="shared" si="0"/>
        <v/>
      </c>
      <c r="G31" s="11" t="str">
        <f t="shared" si="1"/>
        <v/>
      </c>
      <c r="H31" s="12"/>
      <c r="I31" s="12" t="str">
        <f t="shared" si="2"/>
        <v/>
      </c>
      <c r="J31" s="13" t="str">
        <f t="shared" si="3"/>
        <v/>
      </c>
      <c r="K31" s="47"/>
      <c r="L31" s="47"/>
      <c r="M31" s="103"/>
      <c r="N31" s="103"/>
      <c r="O31" s="103"/>
      <c r="P31" s="103"/>
      <c r="Q31" s="103"/>
      <c r="R31" s="103"/>
    </row>
    <row r="32" spans="1:18" ht="15.6">
      <c r="A32" s="26" t="str">
        <v>Q074</v>
      </c>
      <c r="B32" s="27" t="str">
        <v>NY</v>
      </c>
      <c r="C32" s="9" t="str">
        <f>Sites[[#This Row],[SOL'#]]</f>
        <v>SOL-10402</v>
      </c>
      <c r="D32" s="9"/>
      <c r="E32" s="14"/>
      <c r="F32" s="14" t="str">
        <f t="shared" si="0"/>
        <v/>
      </c>
      <c r="G32" s="15" t="str">
        <f t="shared" si="1"/>
        <v/>
      </c>
      <c r="H32" s="16"/>
      <c r="I32" s="16" t="str">
        <f t="shared" si="2"/>
        <v/>
      </c>
      <c r="J32" s="15" t="str">
        <f t="shared" si="3"/>
        <v/>
      </c>
      <c r="K32" s="186"/>
      <c r="L32" s="85"/>
      <c r="M32" s="103"/>
      <c r="N32" s="103"/>
      <c r="O32" s="103"/>
      <c r="P32" s="103"/>
      <c r="Q32" s="103"/>
      <c r="R32" s="103"/>
    </row>
    <row r="33" spans="1:18" ht="15.6">
      <c r="A33" s="24" t="str">
        <v>Q115</v>
      </c>
      <c r="B33" s="25" t="str">
        <v>NY</v>
      </c>
      <c r="C33" s="25" t="str">
        <f>Sites[[#This Row],[SOL'#]]</f>
        <v>SOL-10872</v>
      </c>
      <c r="D33" s="20"/>
      <c r="E33" s="10"/>
      <c r="F33" s="10" t="str">
        <f t="shared" si="0"/>
        <v/>
      </c>
      <c r="G33" s="11" t="str">
        <f t="shared" si="1"/>
        <v/>
      </c>
      <c r="H33" s="12"/>
      <c r="I33" s="12" t="str">
        <f t="shared" si="2"/>
        <v/>
      </c>
      <c r="J33" s="13" t="str">
        <f t="shared" si="3"/>
        <v/>
      </c>
      <c r="K33" s="47"/>
      <c r="L33" s="47"/>
      <c r="M33" s="103"/>
      <c r="N33" s="103"/>
      <c r="O33" s="103"/>
      <c r="P33" s="103"/>
      <c r="Q33" s="103"/>
      <c r="R33" s="103"/>
    </row>
    <row r="34" spans="1:18" ht="15.6">
      <c r="A34" s="26" t="str">
        <v>Q139</v>
      </c>
      <c r="B34" s="27" t="str">
        <v>NY</v>
      </c>
      <c r="C34" s="9" t="str">
        <f>Sites[[#This Row],[SOL'#]]</f>
        <v>SOL-10403</v>
      </c>
      <c r="D34" s="9"/>
      <c r="E34" s="14"/>
      <c r="F34" s="14" t="str">
        <f t="shared" si="0"/>
        <v/>
      </c>
      <c r="G34" s="15" t="str">
        <f t="shared" si="1"/>
        <v/>
      </c>
      <c r="H34" s="16"/>
      <c r="I34" s="16" t="str">
        <f t="shared" si="2"/>
        <v/>
      </c>
      <c r="J34" s="15" t="str">
        <f t="shared" si="3"/>
        <v/>
      </c>
      <c r="K34" s="186"/>
      <c r="L34" s="85"/>
      <c r="M34" s="103"/>
      <c r="N34" s="103"/>
      <c r="O34" s="103"/>
      <c r="P34" s="103"/>
      <c r="Q34" s="103"/>
      <c r="R34" s="103"/>
    </row>
    <row r="35" spans="1:18" ht="15.6">
      <c r="A35" s="24" t="str">
        <v>Q157</v>
      </c>
      <c r="B35" s="25" t="str">
        <v>NY</v>
      </c>
      <c r="C35" s="25" t="str">
        <f>Sites[[#This Row],[SOL'#]]</f>
        <v>SOL-10404</v>
      </c>
      <c r="D35" s="20"/>
      <c r="E35" s="10"/>
      <c r="F35" s="10" t="str">
        <f t="shared" si="0"/>
        <v/>
      </c>
      <c r="G35" s="11" t="str">
        <f t="shared" si="1"/>
        <v/>
      </c>
      <c r="H35" s="12"/>
      <c r="I35" s="12" t="str">
        <f t="shared" si="2"/>
        <v/>
      </c>
      <c r="J35" s="13" t="str">
        <f t="shared" si="3"/>
        <v/>
      </c>
      <c r="K35" s="47"/>
      <c r="L35" s="98"/>
      <c r="M35" s="103"/>
      <c r="N35" s="103"/>
      <c r="O35" s="103"/>
      <c r="P35" s="103"/>
      <c r="Q35" s="103"/>
      <c r="R35" s="103"/>
    </row>
    <row r="36" spans="1:18" ht="15.6">
      <c r="A36" s="26" t="str">
        <v>Q192</v>
      </c>
      <c r="B36" s="27" t="str">
        <v>NY</v>
      </c>
      <c r="C36" s="9" t="str">
        <f>Sites[[#This Row],[SOL'#]]</f>
        <v>SOL-10406</v>
      </c>
      <c r="D36" s="9"/>
      <c r="E36" s="14"/>
      <c r="F36" s="14" t="str">
        <f t="shared" si="0"/>
        <v/>
      </c>
      <c r="G36" s="15" t="str">
        <f t="shared" si="1"/>
        <v/>
      </c>
      <c r="H36" s="16"/>
      <c r="I36" s="16" t="str">
        <f t="shared" si="2"/>
        <v/>
      </c>
      <c r="J36" s="15" t="str">
        <f t="shared" si="3"/>
        <v/>
      </c>
      <c r="K36" s="186"/>
      <c r="L36" s="186"/>
      <c r="M36" s="103"/>
      <c r="N36" s="103"/>
      <c r="O36" s="103"/>
      <c r="P36" s="103"/>
      <c r="Q36" s="103"/>
      <c r="R36" s="103"/>
    </row>
    <row r="37" spans="1:18" ht="15.6">
      <c r="A37" s="24" t="str">
        <v>Q210</v>
      </c>
      <c r="B37" s="25" t="str">
        <v>NY</v>
      </c>
      <c r="C37" s="25" t="str">
        <f>Sites[[#This Row],[SOL'#]]</f>
        <v>SOL-10407</v>
      </c>
      <c r="D37" s="20"/>
      <c r="E37" s="10"/>
      <c r="F37" s="10" t="str">
        <f t="shared" si="0"/>
        <v/>
      </c>
      <c r="G37" s="11" t="str">
        <f t="shared" si="1"/>
        <v/>
      </c>
      <c r="H37" s="12"/>
      <c r="I37" s="12" t="str">
        <f t="shared" si="2"/>
        <v/>
      </c>
      <c r="J37" s="13" t="str">
        <f t="shared" si="3"/>
        <v/>
      </c>
      <c r="K37" s="47"/>
      <c r="L37" s="98"/>
      <c r="M37" s="103"/>
      <c r="N37" s="103"/>
      <c r="O37" s="103"/>
      <c r="P37" s="103"/>
      <c r="Q37" s="103"/>
      <c r="R37" s="103"/>
    </row>
    <row r="38" spans="1:18" ht="15.6">
      <c r="A38" s="26" t="str">
        <v>Q229</v>
      </c>
      <c r="B38" s="27" t="str">
        <v>NY</v>
      </c>
      <c r="C38" s="9" t="str">
        <f>Sites[[#This Row],[SOL'#]]</f>
        <v>SOL-10408</v>
      </c>
      <c r="D38" s="9"/>
      <c r="E38" s="14"/>
      <c r="F38" s="14" t="str">
        <f t="shared" si="0"/>
        <v/>
      </c>
      <c r="G38" s="15" t="str">
        <f t="shared" si="1"/>
        <v/>
      </c>
      <c r="H38" s="16"/>
      <c r="I38" s="16" t="str">
        <f t="shared" si="2"/>
        <v/>
      </c>
      <c r="J38" s="15" t="str">
        <f t="shared" si="3"/>
        <v/>
      </c>
      <c r="K38" s="186"/>
      <c r="L38" s="99"/>
      <c r="M38" s="103"/>
      <c r="N38" s="103"/>
      <c r="O38" s="103"/>
      <c r="P38" s="103"/>
      <c r="Q38" s="103"/>
      <c r="R38" s="103"/>
    </row>
    <row r="39" spans="1:18" ht="15.6">
      <c r="A39" s="24" t="str">
        <v>Q231</v>
      </c>
      <c r="B39" s="25" t="str">
        <v>NY</v>
      </c>
      <c r="C39" s="25" t="str">
        <f>Sites[[#This Row],[SOL'#]]</f>
        <v>SOL-10870</v>
      </c>
      <c r="D39" s="20"/>
      <c r="E39" s="10"/>
      <c r="F39" s="10" t="str">
        <f t="shared" si="0"/>
        <v/>
      </c>
      <c r="G39" s="11" t="str">
        <f t="shared" si="1"/>
        <v/>
      </c>
      <c r="H39" s="12"/>
      <c r="I39" s="12" t="str">
        <f t="shared" si="2"/>
        <v/>
      </c>
      <c r="J39" s="13" t="str">
        <f t="shared" si="3"/>
        <v/>
      </c>
      <c r="K39" s="47"/>
      <c r="L39" s="47"/>
      <c r="M39" s="103"/>
      <c r="N39" s="103"/>
      <c r="O39" s="103"/>
      <c r="P39" s="103"/>
      <c r="Q39" s="103"/>
      <c r="R39" s="103"/>
    </row>
    <row r="40" spans="1:18" ht="15.6">
      <c r="A40" s="26" t="str">
        <v>Q405</v>
      </c>
      <c r="B40" s="27" t="str">
        <v>NY</v>
      </c>
      <c r="C40" s="9" t="str">
        <f>Sites[[#This Row],[SOL'#]]</f>
        <v>SOL-10409</v>
      </c>
      <c r="D40" s="9"/>
      <c r="E40" s="14"/>
      <c r="F40" s="14" t="str">
        <f t="shared" si="0"/>
        <v/>
      </c>
      <c r="G40" s="15" t="str">
        <f t="shared" si="1"/>
        <v/>
      </c>
      <c r="H40" s="16"/>
      <c r="I40" s="16" t="str">
        <f t="shared" si="2"/>
        <v/>
      </c>
      <c r="J40" s="15" t="str">
        <f t="shared" si="3"/>
        <v/>
      </c>
      <c r="K40" s="186"/>
      <c r="L40" s="99"/>
      <c r="M40" s="103"/>
      <c r="N40" s="103"/>
      <c r="O40" s="103"/>
      <c r="P40" s="103"/>
      <c r="Q40" s="103"/>
      <c r="R40" s="103"/>
    </row>
    <row r="41" spans="1:18" ht="48" customHeight="1">
      <c r="A41" s="24" t="str">
        <v>Q435</v>
      </c>
      <c r="B41" s="25" t="str">
        <v>NY</v>
      </c>
      <c r="C41" s="25" t="str">
        <f>Sites[[#This Row],[SOL'#]]</f>
        <v>SOL-10923</v>
      </c>
      <c r="D41" s="20"/>
      <c r="E41" s="10"/>
      <c r="F41" s="10" t="str">
        <f t="shared" si="0"/>
        <v/>
      </c>
      <c r="G41" s="11" t="str">
        <f t="shared" si="1"/>
        <v/>
      </c>
      <c r="H41" s="12"/>
      <c r="I41" s="12" t="str">
        <f t="shared" si="2"/>
        <v/>
      </c>
      <c r="J41" s="13" t="str">
        <f t="shared" si="3"/>
        <v/>
      </c>
      <c r="K41" s="47"/>
      <c r="L41" s="98"/>
      <c r="M41" s="103"/>
      <c r="N41" s="103"/>
      <c r="O41" s="103"/>
      <c r="P41" s="103"/>
      <c r="Q41" s="103"/>
      <c r="R41" s="103"/>
    </row>
    <row r="42" spans="1:18" ht="63" customHeight="1">
      <c r="A42" s="26" t="str">
        <v>Q485</v>
      </c>
      <c r="B42" s="27" t="str">
        <v>NY</v>
      </c>
      <c r="C42" s="9" t="str">
        <f>Sites[[#This Row],[SOL'#]]</f>
        <v>SOL-10869</v>
      </c>
      <c r="D42" s="9"/>
      <c r="E42" s="14"/>
      <c r="F42" s="14" t="str">
        <f t="shared" si="0"/>
        <v/>
      </c>
      <c r="G42" s="15" t="str">
        <f t="shared" si="1"/>
        <v/>
      </c>
      <c r="H42" s="16"/>
      <c r="I42" s="16" t="str">
        <f t="shared" si="2"/>
        <v/>
      </c>
      <c r="J42" s="15" t="str">
        <f t="shared" si="3"/>
        <v/>
      </c>
      <c r="K42" s="186"/>
      <c r="L42" s="99"/>
      <c r="M42" s="103"/>
      <c r="N42" s="103"/>
      <c r="O42" s="103"/>
      <c r="P42" s="103"/>
      <c r="Q42" s="103"/>
      <c r="R42" s="103"/>
    </row>
    <row r="43" spans="1:18" ht="15.6">
      <c r="A43" s="24" t="str">
        <v>Q490</v>
      </c>
      <c r="B43" s="25" t="str">
        <v>NY</v>
      </c>
      <c r="C43" s="25" t="str">
        <f>Sites[[#This Row],[SOL'#]]</f>
        <v>SOL-10411</v>
      </c>
      <c r="D43" s="20"/>
      <c r="E43" s="10"/>
      <c r="F43" s="10" t="str">
        <f t="shared" si="0"/>
        <v/>
      </c>
      <c r="G43" s="11" t="str">
        <f t="shared" si="1"/>
        <v/>
      </c>
      <c r="H43" s="12"/>
      <c r="I43" s="12" t="str">
        <f t="shared" si="2"/>
        <v/>
      </c>
      <c r="J43" s="13" t="str">
        <f t="shared" si="3"/>
        <v/>
      </c>
      <c r="K43" s="47"/>
      <c r="L43" s="98"/>
      <c r="M43" s="103"/>
      <c r="N43" s="103"/>
      <c r="O43" s="103"/>
      <c r="P43" s="103"/>
      <c r="Q43" s="103"/>
      <c r="R43" s="103"/>
    </row>
    <row r="44" spans="1:18" ht="15.6">
      <c r="A44" s="26" t="str">
        <v>Q620</v>
      </c>
      <c r="B44" s="27" t="str">
        <v>NY</v>
      </c>
      <c r="C44" s="9" t="str">
        <f>Sites[[#This Row],[SOL'#]]</f>
        <v>SOL-10867</v>
      </c>
      <c r="D44" s="9"/>
      <c r="E44" s="14"/>
      <c r="F44" s="14" t="str">
        <f t="shared" si="0"/>
        <v/>
      </c>
      <c r="G44" s="15" t="str">
        <f t="shared" si="1"/>
        <v/>
      </c>
      <c r="H44" s="16"/>
      <c r="I44" s="16" t="str">
        <f t="shared" si="2"/>
        <v/>
      </c>
      <c r="J44" s="15" t="str">
        <f t="shared" si="3"/>
        <v/>
      </c>
      <c r="K44" s="186"/>
      <c r="L44" s="85"/>
      <c r="M44" s="103"/>
      <c r="N44" s="103"/>
      <c r="O44" s="103"/>
      <c r="P44" s="103"/>
      <c r="Q44" s="103"/>
      <c r="R44" s="103"/>
    </row>
    <row r="45" spans="1:18" ht="15.6">
      <c r="A45" s="24" t="str">
        <v>QMOA</v>
      </c>
      <c r="B45" s="25" t="str">
        <v>NY</v>
      </c>
      <c r="C45" s="25" t="str">
        <f>Sites[[#This Row],[SOL'#]]</f>
        <v>SOL-10415</v>
      </c>
      <c r="D45" s="20"/>
      <c r="E45" s="10"/>
      <c r="F45" s="10" t="str">
        <f t="shared" si="0"/>
        <v/>
      </c>
      <c r="G45" s="11" t="str">
        <f t="shared" si="1"/>
        <v/>
      </c>
      <c r="H45" s="12"/>
      <c r="I45" s="12" t="str">
        <f t="shared" si="2"/>
        <v/>
      </c>
      <c r="J45" s="13" t="str">
        <f t="shared" si="3"/>
        <v/>
      </c>
      <c r="K45" s="47"/>
      <c r="L45" s="47"/>
      <c r="M45" s="103"/>
      <c r="N45" s="103"/>
      <c r="O45" s="103"/>
      <c r="P45" s="103"/>
      <c r="Q45" s="103"/>
      <c r="R45" s="103"/>
    </row>
    <row r="46" spans="1:18" ht="15.6">
      <c r="A46" s="26" t="str">
        <v>X024</v>
      </c>
      <c r="B46" s="27" t="str">
        <v>NY</v>
      </c>
      <c r="C46" s="9" t="str">
        <f>Sites[[#This Row],[SOL'#]]</f>
        <v>SOL-10419</v>
      </c>
      <c r="D46" s="9"/>
      <c r="E46" s="14"/>
      <c r="F46" s="14" t="str">
        <f t="shared" si="0"/>
        <v/>
      </c>
      <c r="G46" s="15" t="str">
        <f t="shared" si="1"/>
        <v/>
      </c>
      <c r="H46" s="16"/>
      <c r="I46" s="16" t="str">
        <f t="shared" si="2"/>
        <v/>
      </c>
      <c r="J46" s="15" t="str">
        <f t="shared" si="3"/>
        <v/>
      </c>
      <c r="K46" s="186"/>
      <c r="L46" s="99"/>
      <c r="M46" s="103"/>
      <c r="N46" s="103"/>
      <c r="O46" s="103"/>
      <c r="P46" s="103"/>
      <c r="Q46" s="103"/>
      <c r="R46" s="103"/>
    </row>
    <row r="47" spans="1:18" ht="15.6">
      <c r="A47" s="24" t="str">
        <v>X026</v>
      </c>
      <c r="B47" s="25" t="str">
        <v>NY</v>
      </c>
      <c r="C47" s="25" t="str">
        <f>Sites[[#This Row],[SOL'#]]</f>
        <v>SOL-10420</v>
      </c>
      <c r="D47" s="20"/>
      <c r="E47" s="10"/>
      <c r="F47" s="10" t="str">
        <f t="shared" si="0"/>
        <v/>
      </c>
      <c r="G47" s="11" t="str">
        <f t="shared" si="1"/>
        <v/>
      </c>
      <c r="H47" s="12"/>
      <c r="I47" s="12" t="str">
        <f t="shared" si="2"/>
        <v/>
      </c>
      <c r="J47" s="13" t="str">
        <f t="shared" si="3"/>
        <v/>
      </c>
      <c r="K47" s="47"/>
      <c r="L47" s="98"/>
      <c r="M47" s="103"/>
      <c r="N47" s="103"/>
      <c r="O47" s="103"/>
      <c r="P47" s="103"/>
      <c r="Q47" s="103"/>
      <c r="R47" s="103"/>
    </row>
    <row r="48" spans="1:18" ht="15.6">
      <c r="A48" s="26" t="str">
        <v>X090</v>
      </c>
      <c r="B48" s="27" t="str">
        <v>NY</v>
      </c>
      <c r="C48" s="9" t="str">
        <f>Sites[[#This Row],[SOL'#]]</f>
        <v>SOL-10925</v>
      </c>
      <c r="D48" s="9"/>
      <c r="E48" s="14"/>
      <c r="F48" s="14" t="str">
        <f t="shared" si="0"/>
        <v/>
      </c>
      <c r="G48" s="15" t="str">
        <f t="shared" si="1"/>
        <v/>
      </c>
      <c r="H48" s="16"/>
      <c r="I48" s="16" t="str">
        <f t="shared" si="2"/>
        <v/>
      </c>
      <c r="J48" s="15" t="str">
        <f t="shared" si="3"/>
        <v/>
      </c>
      <c r="K48" s="186"/>
      <c r="L48" s="99"/>
      <c r="M48" s="103"/>
      <c r="N48" s="103"/>
      <c r="O48" s="103"/>
      <c r="P48" s="103"/>
      <c r="Q48" s="103"/>
      <c r="R48" s="103"/>
    </row>
    <row r="49" spans="1:18" ht="15.6">
      <c r="A49" s="24" t="str">
        <v>X117</v>
      </c>
      <c r="B49" s="25" t="str">
        <v>NY</v>
      </c>
      <c r="C49" s="25" t="str">
        <f>Sites[[#This Row],[SOL'#]]</f>
        <v>SOL-10422</v>
      </c>
      <c r="D49" s="20"/>
      <c r="E49" s="10"/>
      <c r="F49" s="10" t="str">
        <f t="shared" si="0"/>
        <v/>
      </c>
      <c r="G49" s="11" t="str">
        <f t="shared" si="1"/>
        <v/>
      </c>
      <c r="H49" s="12"/>
      <c r="I49" s="12" t="str">
        <f t="shared" si="2"/>
        <v/>
      </c>
      <c r="J49" s="13" t="str">
        <f t="shared" si="3"/>
        <v/>
      </c>
      <c r="K49" s="47"/>
      <c r="L49" s="98"/>
      <c r="M49" s="103"/>
      <c r="N49" s="103"/>
      <c r="O49" s="103"/>
      <c r="P49" s="103"/>
      <c r="Q49" s="103"/>
      <c r="R49" s="103"/>
    </row>
    <row r="50" spans="1:18" ht="60" customHeight="1">
      <c r="A50" s="26" t="str">
        <v>X125</v>
      </c>
      <c r="B50" s="27" t="str">
        <v>NY</v>
      </c>
      <c r="C50" s="9" t="str">
        <f>Sites[[#This Row],[SOL'#]]</f>
        <v>SOL-10423</v>
      </c>
      <c r="D50" s="9"/>
      <c r="E50" s="14"/>
      <c r="F50" s="14" t="str">
        <f t="shared" si="0"/>
        <v/>
      </c>
      <c r="G50" s="15" t="str">
        <f t="shared" si="1"/>
        <v/>
      </c>
      <c r="H50" s="16"/>
      <c r="I50" s="16" t="str">
        <f t="shared" si="2"/>
        <v/>
      </c>
      <c r="J50" s="15" t="str">
        <f t="shared" si="3"/>
        <v/>
      </c>
      <c r="K50" s="186"/>
      <c r="L50" s="186"/>
      <c r="M50" s="103"/>
      <c r="N50" s="103"/>
      <c r="O50" s="103"/>
      <c r="P50" s="103"/>
      <c r="Q50" s="103"/>
      <c r="R50" s="103"/>
    </row>
    <row r="51" spans="1:18" ht="15.6">
      <c r="A51" s="24" t="str">
        <v>X134</v>
      </c>
      <c r="B51" s="25" t="str">
        <v>NY</v>
      </c>
      <c r="C51" s="25" t="str">
        <f>Sites[[#This Row],[SOL'#]]</f>
        <v>SOL-10424</v>
      </c>
      <c r="D51" s="20"/>
      <c r="E51" s="10"/>
      <c r="F51" s="10" t="str">
        <f t="shared" si="0"/>
        <v/>
      </c>
      <c r="G51" s="11" t="str">
        <f t="shared" si="1"/>
        <v/>
      </c>
      <c r="H51" s="12"/>
      <c r="I51" s="12" t="str">
        <f t="shared" si="2"/>
        <v/>
      </c>
      <c r="J51" s="13" t="str">
        <f t="shared" si="3"/>
        <v/>
      </c>
      <c r="K51" s="47"/>
      <c r="L51" s="47"/>
      <c r="M51" s="103"/>
      <c r="N51" s="103"/>
      <c r="O51" s="103"/>
      <c r="P51" s="103"/>
      <c r="Q51" s="103"/>
      <c r="R51" s="103"/>
    </row>
    <row r="52" spans="1:18" ht="15.6">
      <c r="A52" s="26" t="str">
        <v>X135</v>
      </c>
      <c r="B52" s="27" t="str">
        <v>NY</v>
      </c>
      <c r="C52" s="9" t="str">
        <f>Sites[[#This Row],[SOL'#]]</f>
        <v>SOL-10425</v>
      </c>
      <c r="D52" s="9"/>
      <c r="E52" s="14"/>
      <c r="F52" s="14" t="str">
        <f t="shared" ref="F52:F95" si="4">IF(AND(ISNUMBER(D52),ISNUMBER(E52)), D52-E52, "")</f>
        <v/>
      </c>
      <c r="G52" s="15" t="str">
        <f t="shared" si="1"/>
        <v/>
      </c>
      <c r="H52" s="16"/>
      <c r="I52" s="16" t="str">
        <f t="shared" si="2"/>
        <v/>
      </c>
      <c r="J52" s="15" t="str">
        <f t="shared" si="3"/>
        <v/>
      </c>
      <c r="K52" s="186"/>
      <c r="L52" s="85"/>
      <c r="M52" s="103"/>
      <c r="N52" s="103"/>
      <c r="O52" s="103"/>
      <c r="P52" s="103"/>
      <c r="Q52" s="103"/>
      <c r="R52" s="103"/>
    </row>
    <row r="53" spans="1:18" ht="15.6">
      <c r="A53" s="24" t="str">
        <v>X139 JHS 222</v>
      </c>
      <c r="B53" s="25" t="str">
        <v>NY</v>
      </c>
      <c r="C53" s="25" t="str">
        <f>Sites[[#This Row],[SOL'#]]</f>
        <v>SOL-10426</v>
      </c>
      <c r="D53" s="20"/>
      <c r="E53" s="10"/>
      <c r="F53" s="10" t="str">
        <f t="shared" si="4"/>
        <v/>
      </c>
      <c r="G53" s="11" t="str">
        <f t="shared" ref="G53:G95" si="5">IFERROR(F53/E53, "")</f>
        <v/>
      </c>
      <c r="H53" s="12"/>
      <c r="I53" s="12" t="str">
        <f t="shared" si="2"/>
        <v/>
      </c>
      <c r="J53" s="13" t="str">
        <f t="shared" si="3"/>
        <v/>
      </c>
      <c r="K53" s="47"/>
      <c r="L53" s="98"/>
      <c r="M53" s="103"/>
      <c r="N53" s="103"/>
      <c r="O53" s="103"/>
      <c r="P53" s="103"/>
      <c r="Q53" s="103"/>
      <c r="R53" s="103"/>
    </row>
    <row r="54" spans="1:18" ht="15.6">
      <c r="A54" s="26" t="str">
        <v>X140</v>
      </c>
      <c r="B54" s="27" t="str">
        <v>NY</v>
      </c>
      <c r="C54" s="9" t="str">
        <f>Sites[[#This Row],[SOL'#]]</f>
        <v>SOL-10926</v>
      </c>
      <c r="D54" s="9"/>
      <c r="E54" s="14"/>
      <c r="F54" s="14" t="str">
        <f t="shared" si="4"/>
        <v/>
      </c>
      <c r="G54" s="15" t="str">
        <f t="shared" si="5"/>
        <v/>
      </c>
      <c r="H54" s="16"/>
      <c r="I54" s="16" t="str">
        <f t="shared" si="2"/>
        <v/>
      </c>
      <c r="J54" s="15" t="str">
        <f t="shared" si="3"/>
        <v/>
      </c>
      <c r="K54" s="186"/>
      <c r="L54" s="85"/>
      <c r="M54" s="103"/>
      <c r="N54" s="103"/>
      <c r="O54" s="103"/>
      <c r="P54" s="103"/>
      <c r="Q54" s="103"/>
      <c r="R54" s="103"/>
    </row>
    <row r="55" spans="1:18" ht="15.6">
      <c r="A55" s="24" t="str">
        <v>X166</v>
      </c>
      <c r="B55" s="25" t="str">
        <v>NY</v>
      </c>
      <c r="C55" s="25" t="str">
        <f>Sites[[#This Row],[SOL'#]]</f>
        <v>SOL-10427</v>
      </c>
      <c r="D55" s="20"/>
      <c r="E55" s="10"/>
      <c r="F55" s="10" t="str">
        <f t="shared" si="4"/>
        <v/>
      </c>
      <c r="G55" s="11" t="str">
        <f t="shared" si="5"/>
        <v/>
      </c>
      <c r="H55" s="12"/>
      <c r="I55" s="12" t="str">
        <f t="shared" si="2"/>
        <v/>
      </c>
      <c r="J55" s="13" t="str">
        <f t="shared" si="3"/>
        <v/>
      </c>
      <c r="K55" s="107"/>
      <c r="L55" s="47"/>
      <c r="M55" s="103"/>
      <c r="N55" s="103"/>
      <c r="O55" s="103"/>
      <c r="P55" s="103"/>
      <c r="Q55" s="103"/>
      <c r="R55" s="103"/>
    </row>
    <row r="56" spans="1:18" ht="15.6">
      <c r="A56" s="26" t="str">
        <v>Murphy</v>
      </c>
      <c r="B56" s="27" t="str">
        <v>MN</v>
      </c>
      <c r="C56" s="9" t="str">
        <f>Sites[[#This Row],[SOL'#]]</f>
        <v>SOL-10094</v>
      </c>
      <c r="D56" s="9"/>
      <c r="E56" s="14"/>
      <c r="F56" s="14" t="str">
        <f t="shared" si="4"/>
        <v/>
      </c>
      <c r="G56" s="15" t="str">
        <f t="shared" si="5"/>
        <v/>
      </c>
      <c r="H56" s="16"/>
      <c r="I56" s="16" t="str">
        <f t="shared" si="2"/>
        <v/>
      </c>
      <c r="J56" s="15" t="str">
        <f t="shared" si="3"/>
        <v/>
      </c>
      <c r="K56" s="186"/>
      <c r="L56" s="99"/>
      <c r="M56" s="102"/>
      <c r="N56" s="103"/>
      <c r="O56" s="103"/>
      <c r="P56" s="103"/>
      <c r="Q56" s="103"/>
      <c r="R56" s="103"/>
    </row>
    <row r="57" spans="1:18" ht="15.6">
      <c r="A57" s="24" t="str">
        <v>Terning</v>
      </c>
      <c r="B57" s="25" t="str">
        <v>MN</v>
      </c>
      <c r="C57" s="25" t="str">
        <f>Sites[[#This Row],[SOL'#]]</f>
        <v>SOL-10093</v>
      </c>
      <c r="D57" s="20"/>
      <c r="E57" s="10"/>
      <c r="F57" s="10" t="str">
        <f t="shared" si="4"/>
        <v/>
      </c>
      <c r="G57" s="11" t="str">
        <f t="shared" si="5"/>
        <v/>
      </c>
      <c r="H57" s="12"/>
      <c r="I57" s="12" t="str">
        <f t="shared" si="2"/>
        <v/>
      </c>
      <c r="J57" s="13" t="str">
        <f t="shared" si="3"/>
        <v/>
      </c>
      <c r="K57" s="47"/>
      <c r="L57" s="98"/>
      <c r="M57" s="103"/>
      <c r="N57" s="103"/>
      <c r="O57" s="103"/>
      <c r="P57" s="103"/>
      <c r="Q57" s="103"/>
      <c r="R57" s="103"/>
    </row>
    <row r="58" spans="1:18" ht="15.6">
      <c r="A58" s="26" t="str">
        <v>Boas Road 04</v>
      </c>
      <c r="B58" s="27" t="str">
        <v>NY</v>
      </c>
      <c r="C58" s="9" t="str">
        <f>Sites[[#This Row],[SOL'#]]</f>
        <v>SOL-10908</v>
      </c>
      <c r="D58" s="9"/>
      <c r="E58" s="14"/>
      <c r="F58" s="14" t="str">
        <f t="shared" si="4"/>
        <v/>
      </c>
      <c r="G58" s="15" t="str">
        <f t="shared" si="5"/>
        <v/>
      </c>
      <c r="H58" s="16"/>
      <c r="I58" s="16" t="str">
        <f t="shared" si="2"/>
        <v/>
      </c>
      <c r="J58" s="15" t="str">
        <f t="shared" si="3"/>
        <v/>
      </c>
      <c r="K58" s="186"/>
      <c r="L58" s="99"/>
      <c r="M58" s="102"/>
      <c r="N58" s="102"/>
      <c r="O58" s="102"/>
      <c r="P58" s="102"/>
      <c r="Q58" s="103"/>
      <c r="R58" s="103"/>
    </row>
    <row r="59" spans="1:18" ht="15.6">
      <c r="A59" s="24" t="str">
        <v>Kelly Bridge Farm</v>
      </c>
      <c r="B59" s="25" t="str">
        <v>NY</v>
      </c>
      <c r="C59" s="25" t="str">
        <f>Sites[[#This Row],[SOL'#]]</f>
        <v>SOL-10911</v>
      </c>
      <c r="D59" s="20"/>
      <c r="E59" s="10"/>
      <c r="F59" s="10" t="str">
        <f t="shared" si="4"/>
        <v/>
      </c>
      <c r="G59" s="11" t="str">
        <f t="shared" si="5"/>
        <v/>
      </c>
      <c r="H59" s="12"/>
      <c r="I59" s="12" t="str">
        <f t="shared" si="2"/>
        <v/>
      </c>
      <c r="J59" s="13" t="str">
        <f t="shared" si="3"/>
        <v/>
      </c>
      <c r="K59" s="47"/>
      <c r="L59" s="98"/>
      <c r="M59" s="102"/>
      <c r="N59" s="102"/>
      <c r="O59" s="102"/>
      <c r="P59" s="102"/>
      <c r="Q59" s="102"/>
      <c r="R59" s="103"/>
    </row>
    <row r="60" spans="1:18" ht="15.6">
      <c r="A60" s="26" t="str">
        <v>Pool Brook Road</v>
      </c>
      <c r="B60" s="27" t="str">
        <v>NY</v>
      </c>
      <c r="C60" s="9" t="str">
        <f>Sites[[#This Row],[SOL'#]]</f>
        <v>SOL-10909</v>
      </c>
      <c r="D60" s="9"/>
      <c r="E60" s="14"/>
      <c r="F60" s="14" t="str">
        <f t="shared" si="4"/>
        <v/>
      </c>
      <c r="G60" s="15" t="str">
        <f t="shared" si="5"/>
        <v/>
      </c>
      <c r="H60" s="16"/>
      <c r="I60" s="16" t="str">
        <f t="shared" si="2"/>
        <v/>
      </c>
      <c r="J60" s="15" t="str">
        <f t="shared" si="3"/>
        <v/>
      </c>
      <c r="K60" s="186"/>
      <c r="L60" s="99"/>
      <c r="M60" s="103"/>
      <c r="N60" s="103"/>
      <c r="O60" s="103"/>
      <c r="P60" s="103"/>
      <c r="Q60" s="103"/>
      <c r="R60" s="103"/>
    </row>
    <row r="61" spans="1:18" ht="15.6">
      <c r="A61" s="24" t="str">
        <v>Sackett Lake</v>
      </c>
      <c r="B61" s="25" t="str">
        <v>NY</v>
      </c>
      <c r="C61" s="25" t="str">
        <f>Sites[[#This Row],[SOL'#]]</f>
        <v>SOL-10910</v>
      </c>
      <c r="D61" s="20"/>
      <c r="E61" s="10"/>
      <c r="F61" s="10" t="str">
        <f t="shared" si="4"/>
        <v/>
      </c>
      <c r="G61" s="11" t="str">
        <f t="shared" si="5"/>
        <v/>
      </c>
      <c r="H61" s="12"/>
      <c r="I61" s="12" t="str">
        <f t="shared" si="2"/>
        <v/>
      </c>
      <c r="J61" s="13" t="str">
        <f t="shared" si="3"/>
        <v/>
      </c>
      <c r="K61" s="47"/>
      <c r="L61" s="98"/>
      <c r="M61" s="102"/>
      <c r="N61" s="102"/>
      <c r="O61" s="102"/>
      <c r="P61" s="103"/>
      <c r="Q61" s="103"/>
      <c r="R61" s="103"/>
    </row>
    <row r="62" spans="1:18" ht="15.6">
      <c r="A62" s="26" t="str">
        <v>Burritt Road</v>
      </c>
      <c r="B62" s="27" t="str">
        <v>NY</v>
      </c>
      <c r="C62" s="9" t="str">
        <f>Sites[[#This Row],[SOL'#]]</f>
        <v>SOL-10913</v>
      </c>
      <c r="D62" s="9"/>
      <c r="E62" s="14"/>
      <c r="F62" s="14" t="str">
        <f t="shared" si="4"/>
        <v/>
      </c>
      <c r="G62" s="15" t="str">
        <f t="shared" si="5"/>
        <v/>
      </c>
      <c r="H62" s="16"/>
      <c r="I62" s="16" t="str">
        <f t="shared" si="2"/>
        <v/>
      </c>
      <c r="J62" s="15" t="str">
        <f t="shared" si="3"/>
        <v/>
      </c>
      <c r="K62" s="186"/>
      <c r="L62" s="186"/>
      <c r="M62" s="103"/>
      <c r="N62" s="103"/>
      <c r="O62" s="103"/>
      <c r="P62" s="103"/>
      <c r="Q62" s="103"/>
      <c r="R62" s="103"/>
    </row>
    <row r="63" spans="1:18" ht="15.6">
      <c r="A63" s="24" t="str">
        <v>Villa Roma 1</v>
      </c>
      <c r="B63" s="25" t="str">
        <v>NY</v>
      </c>
      <c r="C63" s="25" t="str">
        <f>Sites[[#This Row],[SOL'#]]</f>
        <v>SOL-10914</v>
      </c>
      <c r="D63" s="20"/>
      <c r="E63" s="10"/>
      <c r="F63" s="10" t="str">
        <f t="shared" si="4"/>
        <v/>
      </c>
      <c r="G63" s="11" t="str">
        <f t="shared" si="5"/>
        <v/>
      </c>
      <c r="H63" s="12"/>
      <c r="I63" s="12" t="str">
        <f t="shared" si="2"/>
        <v/>
      </c>
      <c r="J63" s="13" t="str">
        <f t="shared" si="3"/>
        <v/>
      </c>
      <c r="K63" s="47"/>
      <c r="L63" s="98"/>
      <c r="M63" s="103"/>
      <c r="N63" s="103"/>
      <c r="O63" s="103"/>
      <c r="P63" s="103"/>
      <c r="Q63" s="103"/>
      <c r="R63" s="103"/>
    </row>
    <row r="64" spans="1:18" ht="15.6">
      <c r="A64" s="26" t="str">
        <v>Villa Roma 2</v>
      </c>
      <c r="B64" s="27" t="str">
        <v>NY</v>
      </c>
      <c r="C64" s="9" t="str">
        <f>Sites[[#This Row],[SOL'#]]</f>
        <v>SOL-10915</v>
      </c>
      <c r="D64" s="9"/>
      <c r="E64" s="14"/>
      <c r="F64" s="14" t="str">
        <f t="shared" si="4"/>
        <v/>
      </c>
      <c r="G64" s="15" t="str">
        <f t="shared" si="5"/>
        <v/>
      </c>
      <c r="H64" s="16"/>
      <c r="I64" s="16" t="str">
        <f t="shared" si="2"/>
        <v/>
      </c>
      <c r="J64" s="15" t="str">
        <f t="shared" si="3"/>
        <v/>
      </c>
      <c r="K64" s="186"/>
      <c r="L64" s="186"/>
      <c r="M64" s="103"/>
      <c r="N64" s="103"/>
      <c r="O64" s="103"/>
      <c r="P64" s="103"/>
      <c r="Q64" s="103"/>
      <c r="R64" s="103"/>
    </row>
    <row r="65" spans="1:23" ht="15.6">
      <c r="A65" s="24" t="str">
        <v>Washington 1</v>
      </c>
      <c r="B65" s="25" t="str">
        <v>NY</v>
      </c>
      <c r="C65" s="25" t="str">
        <f>Sites[[#This Row],[SOL'#]]</f>
        <v>SOL-10912</v>
      </c>
      <c r="D65" s="20"/>
      <c r="E65" s="10"/>
      <c r="F65" s="10" t="str">
        <f t="shared" si="4"/>
        <v/>
      </c>
      <c r="G65" s="11" t="str">
        <f t="shared" si="5"/>
        <v/>
      </c>
      <c r="H65" s="12"/>
      <c r="I65" s="12" t="str">
        <f t="shared" ref="I65:I103" si="6">IF(AND(ISNUMBER(D65),ISNUMBER(H65)), D65-H65, "")</f>
        <v/>
      </c>
      <c r="J65" s="13" t="str">
        <f t="shared" ref="J65:J103" si="7">IFERROR(I65/H65, "")</f>
        <v/>
      </c>
      <c r="K65" s="47"/>
      <c r="L65" s="98"/>
      <c r="M65" s="103"/>
      <c r="N65" s="103"/>
      <c r="O65" s="103"/>
      <c r="P65" s="103"/>
      <c r="Q65" s="103"/>
      <c r="R65" s="103"/>
    </row>
    <row r="66" spans="1:23" ht="15.6">
      <c r="A66" s="26" t="str">
        <v>Washington 3</v>
      </c>
      <c r="B66" s="27" t="str">
        <v>NY</v>
      </c>
      <c r="C66" s="9" t="str">
        <f>Sites[[#This Row],[SOL'#]]</f>
        <v>SOL-10828</v>
      </c>
      <c r="D66" s="9"/>
      <c r="E66" s="14"/>
      <c r="F66" s="14" t="str">
        <f t="shared" si="4"/>
        <v/>
      </c>
      <c r="G66" s="15" t="str">
        <f t="shared" si="5"/>
        <v/>
      </c>
      <c r="H66" s="16"/>
      <c r="I66" s="16" t="str">
        <f t="shared" si="6"/>
        <v/>
      </c>
      <c r="J66" s="15" t="str">
        <f t="shared" si="7"/>
        <v/>
      </c>
      <c r="K66" s="186"/>
      <c r="L66" s="99"/>
      <c r="M66" s="102"/>
      <c r="N66" s="103"/>
      <c r="O66" s="103"/>
      <c r="P66" s="103"/>
      <c r="Q66" s="103"/>
      <c r="R66" s="103"/>
    </row>
    <row r="67" spans="1:23" ht="15.6">
      <c r="A67" s="24" t="str">
        <v>Washington 4</v>
      </c>
      <c r="B67" s="25" t="str">
        <v>NY</v>
      </c>
      <c r="C67" s="25" t="str">
        <f>Sites[[#This Row],[SOL'#]]</f>
        <v>SOL-10829</v>
      </c>
      <c r="D67" s="20"/>
      <c r="E67" s="10"/>
      <c r="F67" s="10" t="str">
        <f t="shared" si="4"/>
        <v/>
      </c>
      <c r="G67" s="11" t="str">
        <f t="shared" si="5"/>
        <v/>
      </c>
      <c r="H67" s="12"/>
      <c r="I67" s="12" t="str">
        <f t="shared" si="6"/>
        <v/>
      </c>
      <c r="J67" s="13" t="str">
        <f t="shared" si="7"/>
        <v/>
      </c>
      <c r="K67" s="47"/>
      <c r="L67" s="98"/>
      <c r="M67" s="102"/>
      <c r="N67" s="103"/>
      <c r="O67" s="103"/>
      <c r="P67" s="103"/>
      <c r="Q67" s="103"/>
      <c r="R67" s="103"/>
    </row>
    <row r="68" spans="1:23" ht="15.6">
      <c r="A68" s="26" t="str">
        <v>Big Tree</v>
      </c>
      <c r="B68" s="27" t="str">
        <v>NY</v>
      </c>
      <c r="C68" s="9" t="str">
        <f>Sites[[#This Row],[SOL'#]]</f>
        <v>SOL-10966</v>
      </c>
      <c r="D68" s="9"/>
      <c r="E68" s="14"/>
      <c r="F68" s="14" t="str">
        <f t="shared" si="4"/>
        <v/>
      </c>
      <c r="G68" s="15" t="str">
        <f t="shared" si="5"/>
        <v/>
      </c>
      <c r="H68" s="16"/>
      <c r="I68" s="16" t="str">
        <f t="shared" si="6"/>
        <v/>
      </c>
      <c r="J68" s="15" t="str">
        <f t="shared" si="7"/>
        <v/>
      </c>
      <c r="K68" s="186"/>
      <c r="L68" s="99"/>
      <c r="M68" s="102"/>
      <c r="N68" s="103"/>
      <c r="O68" s="103"/>
      <c r="P68" s="103"/>
      <c r="Q68" s="103"/>
      <c r="R68" s="103"/>
    </row>
    <row r="69" spans="1:23" ht="15.6">
      <c r="A69" s="24" t="str">
        <v>Canoga</v>
      </c>
      <c r="B69" s="25" t="str">
        <v>NY</v>
      </c>
      <c r="C69" s="25" t="str">
        <f>Sites[[#This Row],[SOL'#]]</f>
        <v>SOL-10965</v>
      </c>
      <c r="D69" s="20"/>
      <c r="E69" s="10"/>
      <c r="F69" s="10" t="str">
        <f t="shared" si="4"/>
        <v/>
      </c>
      <c r="G69" s="11" t="str">
        <f t="shared" si="5"/>
        <v/>
      </c>
      <c r="H69" s="12"/>
      <c r="I69" s="12" t="str">
        <f t="shared" si="6"/>
        <v/>
      </c>
      <c r="J69" s="13" t="str">
        <f t="shared" si="7"/>
        <v/>
      </c>
      <c r="K69" s="47"/>
      <c r="L69" s="98"/>
      <c r="M69" s="103"/>
      <c r="N69" s="103"/>
      <c r="O69" s="103"/>
      <c r="P69" s="103"/>
      <c r="Q69" s="103"/>
      <c r="R69" s="103"/>
    </row>
    <row r="70" spans="1:23" ht="172.5" customHeight="1">
      <c r="A70" s="26" t="str">
        <v>County Route 84</v>
      </c>
      <c r="B70" s="27" t="str">
        <v>NY</v>
      </c>
      <c r="C70" s="9" t="str">
        <f>Sites[[#This Row],[SOL'#]]</f>
        <v>SOL-10967</v>
      </c>
      <c r="D70" s="9"/>
      <c r="E70" s="14"/>
      <c r="F70" s="14" t="str">
        <f t="shared" si="4"/>
        <v/>
      </c>
      <c r="G70" s="15" t="str">
        <f t="shared" si="5"/>
        <v/>
      </c>
      <c r="H70" s="16"/>
      <c r="I70" s="16" t="str">
        <f t="shared" si="6"/>
        <v/>
      </c>
      <c r="J70" s="15" t="str">
        <f t="shared" si="7"/>
        <v/>
      </c>
      <c r="K70" s="186"/>
      <c r="L70" s="99"/>
      <c r="M70" s="102"/>
      <c r="N70" s="103"/>
      <c r="O70" s="103"/>
      <c r="P70" s="103"/>
      <c r="Q70" s="103"/>
      <c r="R70" s="103"/>
    </row>
    <row r="71" spans="1:23" ht="15.6">
      <c r="A71" s="24" t="str">
        <v>Donati</v>
      </c>
      <c r="B71" s="25" t="str">
        <v>NY</v>
      </c>
      <c r="C71" s="25" t="str">
        <f>Sites[[#This Row],[SOL'#]]</f>
        <v>SOL-10968</v>
      </c>
      <c r="D71" s="20"/>
      <c r="E71" s="10"/>
      <c r="F71" s="10" t="str">
        <f t="shared" si="4"/>
        <v/>
      </c>
      <c r="G71" s="11" t="str">
        <f t="shared" si="5"/>
        <v/>
      </c>
      <c r="H71" s="12"/>
      <c r="I71" s="12" t="str">
        <f t="shared" si="6"/>
        <v/>
      </c>
      <c r="J71" s="13" t="str">
        <f t="shared" si="7"/>
        <v/>
      </c>
      <c r="K71" s="47"/>
      <c r="L71" s="98"/>
      <c r="M71" s="102"/>
      <c r="N71" s="102"/>
      <c r="O71" s="103"/>
      <c r="P71" s="103"/>
      <c r="Q71" s="103"/>
      <c r="R71" s="103"/>
    </row>
    <row r="72" spans="1:23" ht="15.6">
      <c r="A72" s="26" t="str">
        <v>Henrietta</v>
      </c>
      <c r="B72" s="27" t="str">
        <v>NY</v>
      </c>
      <c r="C72" s="9" t="str">
        <f>Sites[[#This Row],[SOL'#]]</f>
        <v>SOL-10972</v>
      </c>
      <c r="D72" s="9"/>
      <c r="E72" s="14"/>
      <c r="F72" s="14" t="str">
        <f t="shared" si="4"/>
        <v/>
      </c>
      <c r="G72" s="15" t="str">
        <f t="shared" si="5"/>
        <v/>
      </c>
      <c r="H72" s="16"/>
      <c r="I72" s="16" t="str">
        <f t="shared" si="6"/>
        <v/>
      </c>
      <c r="J72" s="15" t="str">
        <f t="shared" si="7"/>
        <v/>
      </c>
      <c r="K72" s="186"/>
      <c r="L72" s="99"/>
      <c r="M72" s="103"/>
      <c r="N72" s="103"/>
      <c r="O72" s="103"/>
      <c r="P72" s="103"/>
      <c r="Q72" s="103"/>
      <c r="R72" s="103"/>
    </row>
    <row r="73" spans="1:23" ht="119.25" customHeight="1">
      <c r="A73" s="24" t="str">
        <v>NY 70</v>
      </c>
      <c r="B73" s="25" t="str">
        <v>NY</v>
      </c>
      <c r="C73" s="25" t="str">
        <f>Sites[[#This Row],[SOL'#]]</f>
        <v>SOL-10970</v>
      </c>
      <c r="D73" s="20"/>
      <c r="E73" s="10"/>
      <c r="F73" s="10" t="str">
        <f t="shared" si="4"/>
        <v/>
      </c>
      <c r="G73" s="11" t="str">
        <f t="shared" si="5"/>
        <v/>
      </c>
      <c r="H73" s="12"/>
      <c r="I73" s="12" t="str">
        <f t="shared" si="6"/>
        <v/>
      </c>
      <c r="J73" s="13" t="str">
        <f t="shared" si="7"/>
        <v/>
      </c>
      <c r="K73" s="47"/>
      <c r="L73" s="47"/>
      <c r="M73" s="103"/>
      <c r="N73" s="103"/>
      <c r="O73" s="103"/>
      <c r="P73" s="103"/>
      <c r="Q73" s="103"/>
      <c r="R73" s="103"/>
    </row>
    <row r="74" spans="1:23" ht="272.25" customHeight="1">
      <c r="A74" s="26" t="str">
        <v>Reid</v>
      </c>
      <c r="B74" s="27" t="str">
        <v>NY</v>
      </c>
      <c r="C74" s="9" t="str">
        <f>Sites[[#This Row],[SOL'#]]</f>
        <v>SOL-10991</v>
      </c>
      <c r="D74" s="9"/>
      <c r="E74" s="14"/>
      <c r="F74" s="14" t="str">
        <f t="shared" si="4"/>
        <v/>
      </c>
      <c r="G74" s="15" t="str">
        <f t="shared" si="5"/>
        <v/>
      </c>
      <c r="H74" s="16"/>
      <c r="I74" s="16" t="str">
        <f t="shared" si="6"/>
        <v/>
      </c>
      <c r="J74" s="15" t="str">
        <f t="shared" si="7"/>
        <v/>
      </c>
      <c r="K74" s="186"/>
      <c r="L74" s="99"/>
      <c r="M74" s="102"/>
      <c r="N74" s="102"/>
      <c r="O74" s="102"/>
      <c r="P74" s="102"/>
      <c r="Q74" s="102"/>
      <c r="R74" s="102"/>
      <c r="S74" s="111"/>
      <c r="T74" s="111"/>
      <c r="U74" s="111"/>
      <c r="V74" s="111"/>
      <c r="W74" s="111"/>
    </row>
    <row r="75" spans="1:23" ht="15.6">
      <c r="A75" s="24" t="str">
        <v>Sangolqui</v>
      </c>
      <c r="B75" s="25" t="str">
        <v>NY</v>
      </c>
      <c r="C75" s="25" t="str">
        <f>Sites[[#This Row],[SOL'#]]</f>
        <v>SOL-10975</v>
      </c>
      <c r="D75" s="20"/>
      <c r="E75" s="10"/>
      <c r="F75" s="10" t="str">
        <f t="shared" si="4"/>
        <v/>
      </c>
      <c r="G75" s="11" t="str">
        <f t="shared" si="5"/>
        <v/>
      </c>
      <c r="H75" s="12"/>
      <c r="I75" s="12" t="str">
        <f t="shared" si="6"/>
        <v/>
      </c>
      <c r="J75" s="13" t="str">
        <f t="shared" si="7"/>
        <v/>
      </c>
      <c r="K75" s="47"/>
      <c r="L75" s="98"/>
      <c r="M75" s="103"/>
      <c r="N75" s="103"/>
      <c r="O75" s="103"/>
      <c r="P75" s="103"/>
      <c r="Q75" s="103"/>
      <c r="R75" s="103"/>
    </row>
    <row r="76" spans="1:23" ht="125.25" customHeight="1">
      <c r="A76" s="26" t="str">
        <v>State Highway 17B</v>
      </c>
      <c r="B76" s="27" t="str">
        <v>NY</v>
      </c>
      <c r="C76" s="9" t="str">
        <f>Sites[[#This Row],[SOL'#]]</f>
        <v>SOL-10988</v>
      </c>
      <c r="D76" s="9"/>
      <c r="E76" s="14"/>
      <c r="F76" s="14" t="str">
        <f t="shared" si="4"/>
        <v/>
      </c>
      <c r="G76" s="15" t="str">
        <f t="shared" si="5"/>
        <v/>
      </c>
      <c r="H76" s="16"/>
      <c r="I76" s="16" t="str">
        <f t="shared" si="6"/>
        <v/>
      </c>
      <c r="J76" s="15" t="str">
        <f t="shared" si="7"/>
        <v/>
      </c>
      <c r="K76" s="186"/>
      <c r="L76" s="99"/>
      <c r="M76" s="102"/>
      <c r="N76" s="102"/>
      <c r="O76" s="102"/>
      <c r="P76" s="103"/>
      <c r="Q76" s="103"/>
      <c r="R76" s="103"/>
    </row>
    <row r="77" spans="1:23" ht="93" customHeight="1">
      <c r="A77" s="24" t="str">
        <v>State Route 14A</v>
      </c>
      <c r="B77" s="25" t="str">
        <v>NY</v>
      </c>
      <c r="C77" s="25" t="str">
        <f>Sites[[#This Row],[SOL'#]]</f>
        <v>SOL-10997</v>
      </c>
      <c r="D77" s="20"/>
      <c r="E77" s="10"/>
      <c r="F77" s="10" t="str">
        <f t="shared" si="4"/>
        <v/>
      </c>
      <c r="G77" s="11" t="str">
        <f t="shared" si="5"/>
        <v/>
      </c>
      <c r="H77" s="12"/>
      <c r="I77" s="12" t="str">
        <f t="shared" si="6"/>
        <v/>
      </c>
      <c r="J77" s="13" t="str">
        <f t="shared" si="7"/>
        <v/>
      </c>
      <c r="K77" s="47"/>
      <c r="L77" s="98"/>
      <c r="M77" s="102"/>
      <c r="N77" s="103"/>
      <c r="O77" s="103"/>
      <c r="P77" s="103"/>
      <c r="Q77" s="103"/>
      <c r="R77" s="103"/>
    </row>
    <row r="78" spans="1:23" ht="30" customHeight="1">
      <c r="A78" s="26" t="str">
        <v>West Creek</v>
      </c>
      <c r="B78" s="27" t="str">
        <v>NY</v>
      </c>
      <c r="C78" s="9" t="str">
        <f>Sites[[#This Row],[SOL'#]]</f>
        <v>SOL-10995</v>
      </c>
      <c r="D78" s="9"/>
      <c r="E78" s="14"/>
      <c r="F78" s="14" t="str">
        <f t="shared" si="4"/>
        <v/>
      </c>
      <c r="G78" s="15" t="str">
        <f t="shared" si="5"/>
        <v/>
      </c>
      <c r="H78" s="16"/>
      <c r="I78" s="16" t="str">
        <f t="shared" si="6"/>
        <v/>
      </c>
      <c r="J78" s="15" t="str">
        <f t="shared" si="7"/>
        <v/>
      </c>
      <c r="K78" s="186"/>
      <c r="L78" s="99"/>
      <c r="M78" s="102"/>
      <c r="N78" s="103"/>
      <c r="O78" s="103"/>
      <c r="P78" s="103"/>
      <c r="Q78" s="103"/>
      <c r="R78" s="103"/>
    </row>
    <row r="79" spans="1:23" ht="15.6">
      <c r="A79" s="24" t="str">
        <v>Wildflower</v>
      </c>
      <c r="B79" s="25" t="str">
        <v>NY</v>
      </c>
      <c r="C79" s="25" t="str">
        <f>Sites[[#This Row],[SOL'#]]</f>
        <v>SOL-10982</v>
      </c>
      <c r="D79" s="20"/>
      <c r="E79" s="10"/>
      <c r="F79" s="10" t="str">
        <f t="shared" si="4"/>
        <v/>
      </c>
      <c r="G79" s="11" t="str">
        <f t="shared" si="5"/>
        <v/>
      </c>
      <c r="H79" s="12"/>
      <c r="I79" s="12" t="str">
        <f t="shared" si="6"/>
        <v/>
      </c>
      <c r="J79" s="13" t="str">
        <f t="shared" si="7"/>
        <v/>
      </c>
      <c r="K79" s="47"/>
      <c r="L79" s="98"/>
      <c r="M79" s="103"/>
      <c r="N79" s="103"/>
      <c r="O79" s="103"/>
      <c r="P79" s="103"/>
      <c r="Q79" s="103"/>
      <c r="R79" s="103"/>
    </row>
    <row r="80" spans="1:23" ht="33.6" customHeight="1">
      <c r="A80" s="26" t="str">
        <v>Glen Mary 1</v>
      </c>
      <c r="B80" s="27" t="str">
        <v>NY</v>
      </c>
      <c r="C80" s="9" t="str">
        <f>Sites[[#This Row],[SOL'#]]</f>
        <v>SOL-10993</v>
      </c>
      <c r="D80" s="9"/>
      <c r="E80" s="14"/>
      <c r="F80" s="14" t="str">
        <f t="shared" si="4"/>
        <v/>
      </c>
      <c r="G80" s="15" t="str">
        <f t="shared" si="5"/>
        <v/>
      </c>
      <c r="H80" s="16"/>
      <c r="I80" s="16" t="str">
        <f t="shared" si="6"/>
        <v/>
      </c>
      <c r="J80" s="15" t="str">
        <f t="shared" si="7"/>
        <v/>
      </c>
      <c r="K80" s="186"/>
      <c r="L80" s="99"/>
      <c r="M80" s="103"/>
      <c r="N80" s="103"/>
      <c r="O80" s="103"/>
      <c r="P80" s="103"/>
      <c r="Q80" s="103"/>
      <c r="R80" s="103"/>
    </row>
    <row r="81" spans="1:18" ht="15.6">
      <c r="A81" s="24" t="str">
        <v>Glen Mary 2</v>
      </c>
      <c r="B81" s="25" t="str">
        <v>NY</v>
      </c>
      <c r="C81" s="25" t="str">
        <f>Sites[[#This Row],[SOL'#]]</f>
        <v>SOL-10994</v>
      </c>
      <c r="D81" s="20"/>
      <c r="E81" s="10"/>
      <c r="F81" s="10" t="str">
        <f t="shared" si="4"/>
        <v/>
      </c>
      <c r="G81" s="11" t="str">
        <f t="shared" si="5"/>
        <v/>
      </c>
      <c r="H81" s="12"/>
      <c r="I81" s="12" t="str">
        <f t="shared" si="6"/>
        <v/>
      </c>
      <c r="J81" s="13" t="str">
        <f t="shared" si="7"/>
        <v/>
      </c>
      <c r="K81" s="47"/>
      <c r="L81" s="47"/>
      <c r="M81" s="103"/>
      <c r="N81" s="103"/>
      <c r="O81" s="103"/>
      <c r="P81" s="103"/>
      <c r="Q81" s="103"/>
      <c r="R81" s="103"/>
    </row>
    <row r="82" spans="1:18" ht="15.6">
      <c r="A82" s="26" t="str">
        <v>Telegraph 1</v>
      </c>
      <c r="B82" s="27" t="str">
        <v>NY</v>
      </c>
      <c r="C82" s="9" t="str">
        <f>Sites[[#This Row],[SOL'#]]</f>
        <v>SOL-11003</v>
      </c>
      <c r="D82" s="9"/>
      <c r="E82" s="14"/>
      <c r="F82" s="14" t="str">
        <f t="shared" si="4"/>
        <v/>
      </c>
      <c r="G82" s="15" t="str">
        <f t="shared" si="5"/>
        <v/>
      </c>
      <c r="H82" s="16"/>
      <c r="I82" s="16" t="str">
        <f t="shared" si="6"/>
        <v/>
      </c>
      <c r="J82" s="15" t="str">
        <f t="shared" si="7"/>
        <v/>
      </c>
      <c r="K82" s="186"/>
      <c r="L82" s="186"/>
      <c r="M82" s="103"/>
      <c r="N82" s="103"/>
      <c r="O82" s="103"/>
      <c r="P82" s="103"/>
      <c r="Q82" s="103"/>
      <c r="R82" s="103"/>
    </row>
    <row r="83" spans="1:18" ht="15.6">
      <c r="A83" s="24" t="str">
        <v>Telegraph 2</v>
      </c>
      <c r="B83" s="25" t="str">
        <v>NY</v>
      </c>
      <c r="C83" s="25" t="str">
        <f>Sites[[#This Row],[SOL'#]]</f>
        <v>SOL-11004</v>
      </c>
      <c r="D83" s="20"/>
      <c r="E83" s="10"/>
      <c r="F83" s="10" t="str">
        <f t="shared" si="4"/>
        <v/>
      </c>
      <c r="G83" s="11" t="str">
        <f t="shared" si="5"/>
        <v/>
      </c>
      <c r="H83" s="12"/>
      <c r="I83" s="12" t="str">
        <f t="shared" si="6"/>
        <v/>
      </c>
      <c r="J83" s="13" t="str">
        <f t="shared" si="7"/>
        <v/>
      </c>
      <c r="K83" s="47"/>
      <c r="L83" s="47"/>
      <c r="M83" s="103"/>
      <c r="N83" s="103"/>
      <c r="O83" s="103"/>
      <c r="P83" s="103"/>
      <c r="Q83" s="103"/>
      <c r="R83" s="103"/>
    </row>
    <row r="84" spans="1:18" ht="15.6">
      <c r="A84" s="26" t="str">
        <v>Cafferty Hill</v>
      </c>
      <c r="B84" s="27" t="str">
        <v>NY</v>
      </c>
      <c r="C84" s="9" t="str">
        <f>Sites[[#This Row],[SOL'#]]</f>
        <v>SOL-10996</v>
      </c>
      <c r="D84" s="9"/>
      <c r="E84" s="14"/>
      <c r="F84" s="14" t="str">
        <f t="shared" si="4"/>
        <v/>
      </c>
      <c r="G84" s="15" t="str">
        <f t="shared" si="5"/>
        <v/>
      </c>
      <c r="H84" s="16"/>
      <c r="I84" s="16" t="str">
        <f t="shared" si="6"/>
        <v/>
      </c>
      <c r="J84" s="15" t="str">
        <f t="shared" si="7"/>
        <v/>
      </c>
      <c r="K84" s="186"/>
      <c r="L84" s="186"/>
      <c r="M84" s="103"/>
      <c r="N84" s="103"/>
      <c r="O84" s="103"/>
      <c r="P84" s="103"/>
      <c r="Q84" s="103"/>
      <c r="R84" s="103"/>
    </row>
    <row r="85" spans="1:18" ht="15.6">
      <c r="A85" s="24" t="str">
        <v>Dunkleman</v>
      </c>
      <c r="B85" s="25" t="str">
        <v>NY</v>
      </c>
      <c r="C85" s="25" t="str">
        <f>Sites[[#This Row],[SOL'#]]</f>
        <v>SOL-11008</v>
      </c>
      <c r="D85" s="20"/>
      <c r="E85" s="10"/>
      <c r="F85" s="10" t="str">
        <f t="shared" si="4"/>
        <v/>
      </c>
      <c r="G85" s="11" t="str">
        <f t="shared" si="5"/>
        <v/>
      </c>
      <c r="H85" s="12"/>
      <c r="I85" s="12" t="str">
        <f t="shared" si="6"/>
        <v/>
      </c>
      <c r="J85" s="13" t="str">
        <f t="shared" si="7"/>
        <v/>
      </c>
      <c r="K85" s="47"/>
      <c r="L85" s="98"/>
      <c r="M85" s="103"/>
      <c r="N85" s="103"/>
      <c r="O85" s="103"/>
      <c r="P85" s="103"/>
      <c r="Q85" s="103"/>
      <c r="R85" s="103"/>
    </row>
    <row r="86" spans="1:18" ht="15.6">
      <c r="A86" s="26" t="str">
        <v>Route 19 1</v>
      </c>
      <c r="B86" s="27" t="str">
        <v>NY</v>
      </c>
      <c r="C86" s="9" t="str">
        <f>Sites[[#This Row],[SOL'#]]</f>
        <v>SOL-11001</v>
      </c>
      <c r="D86" s="9"/>
      <c r="E86" s="14"/>
      <c r="F86" s="14" t="str">
        <f t="shared" si="4"/>
        <v/>
      </c>
      <c r="G86" s="15" t="str">
        <f t="shared" si="5"/>
        <v/>
      </c>
      <c r="H86" s="16"/>
      <c r="I86" s="16" t="str">
        <f t="shared" si="6"/>
        <v/>
      </c>
      <c r="J86" s="15" t="str">
        <f t="shared" si="7"/>
        <v/>
      </c>
      <c r="K86" s="186"/>
      <c r="L86" s="85"/>
      <c r="M86" s="103"/>
      <c r="N86" s="103"/>
      <c r="O86" s="103"/>
      <c r="P86" s="103"/>
      <c r="Q86" s="103"/>
      <c r="R86" s="103"/>
    </row>
    <row r="87" spans="1:18" ht="15.6">
      <c r="A87" s="24" t="str">
        <v>Route 19 2</v>
      </c>
      <c r="B87" s="25" t="str">
        <v>NY</v>
      </c>
      <c r="C87" s="25" t="str">
        <f>Sites[[#This Row],[SOL'#]]</f>
        <v>SOL-11002</v>
      </c>
      <c r="D87" s="20"/>
      <c r="E87" s="10"/>
      <c r="F87" s="10" t="str">
        <f t="shared" si="4"/>
        <v/>
      </c>
      <c r="G87" s="11" t="str">
        <f t="shared" si="5"/>
        <v/>
      </c>
      <c r="H87" s="12"/>
      <c r="I87" s="12" t="str">
        <f t="shared" si="6"/>
        <v/>
      </c>
      <c r="J87" s="13" t="str">
        <f t="shared" si="7"/>
        <v/>
      </c>
      <c r="K87" s="47"/>
      <c r="L87" s="47"/>
      <c r="M87" s="103"/>
      <c r="N87" s="103"/>
      <c r="O87" s="103"/>
      <c r="P87" s="103"/>
      <c r="Q87" s="103"/>
      <c r="R87" s="103"/>
    </row>
    <row r="88" spans="1:18" ht="15.6">
      <c r="A88" s="26" t="str">
        <v>Yellow Mills 1</v>
      </c>
      <c r="B88" s="27" t="str">
        <v>NY</v>
      </c>
      <c r="C88" s="9" t="str">
        <f>Sites[[#This Row],[SOL'#]]</f>
        <v>SOL-11006</v>
      </c>
      <c r="D88" s="9"/>
      <c r="E88" s="14"/>
      <c r="F88" s="14" t="str">
        <f t="shared" si="4"/>
        <v/>
      </c>
      <c r="G88" s="15" t="str">
        <f t="shared" si="5"/>
        <v/>
      </c>
      <c r="H88" s="16"/>
      <c r="I88" s="16" t="str">
        <f t="shared" si="6"/>
        <v/>
      </c>
      <c r="J88" s="15" t="str">
        <f t="shared" si="7"/>
        <v/>
      </c>
      <c r="K88" s="186"/>
      <c r="L88" s="99"/>
      <c r="M88" s="102"/>
      <c r="N88" s="102"/>
      <c r="O88" s="103"/>
      <c r="P88" s="103"/>
      <c r="Q88" s="103"/>
      <c r="R88" s="103"/>
    </row>
    <row r="89" spans="1:18" ht="15.6">
      <c r="A89" s="24" t="str">
        <v>Yellow Mills 2</v>
      </c>
      <c r="B89" s="25" t="str">
        <v>NY</v>
      </c>
      <c r="C89" s="25" t="str">
        <f>Sites[[#This Row],[SOL'#]]</f>
        <v>SOL-11005</v>
      </c>
      <c r="D89" s="20"/>
      <c r="E89" s="10"/>
      <c r="F89" s="10" t="str">
        <f t="shared" si="4"/>
        <v/>
      </c>
      <c r="G89" s="11" t="str">
        <f t="shared" si="5"/>
        <v/>
      </c>
      <c r="H89" s="12"/>
      <c r="I89" s="12" t="str">
        <f t="shared" si="6"/>
        <v/>
      </c>
      <c r="J89" s="13" t="str">
        <f t="shared" si="7"/>
        <v/>
      </c>
      <c r="K89" s="47"/>
      <c r="L89" s="98"/>
      <c r="M89" s="103"/>
      <c r="N89" s="103"/>
      <c r="O89" s="103"/>
      <c r="P89" s="103"/>
      <c r="Q89" s="103"/>
      <c r="R89" s="103"/>
    </row>
    <row r="90" spans="1:18" ht="15.6">
      <c r="A90" s="26" t="str">
        <v>Yellow Mills 3</v>
      </c>
      <c r="B90" s="27" t="str">
        <v>NY</v>
      </c>
      <c r="C90" s="9" t="str">
        <f>Sites[[#This Row],[SOL'#]]</f>
        <v>SOL-11007</v>
      </c>
      <c r="D90" s="9"/>
      <c r="E90" s="14"/>
      <c r="F90" s="14" t="str">
        <f t="shared" si="4"/>
        <v/>
      </c>
      <c r="G90" s="15" t="str">
        <f t="shared" si="5"/>
        <v/>
      </c>
      <c r="H90" s="16"/>
      <c r="I90" s="16" t="str">
        <f t="shared" si="6"/>
        <v/>
      </c>
      <c r="J90" s="15" t="str">
        <f t="shared" si="7"/>
        <v/>
      </c>
      <c r="K90" s="186"/>
      <c r="L90" s="99"/>
      <c r="M90" s="103"/>
      <c r="N90" s="103"/>
      <c r="O90" s="103"/>
      <c r="P90" s="103"/>
      <c r="Q90" s="103"/>
      <c r="R90" s="103"/>
    </row>
    <row r="91" spans="1:18" ht="15.6">
      <c r="A91" s="24" t="str">
        <v>Catskill</v>
      </c>
      <c r="B91" s="25" t="str">
        <v>NY</v>
      </c>
      <c r="C91" s="25" t="str">
        <f>Sites[[#This Row],[SOL'#]]</f>
        <v>SOL-11021</v>
      </c>
      <c r="D91" s="20"/>
      <c r="E91" s="10"/>
      <c r="F91" s="10" t="str">
        <f t="shared" si="4"/>
        <v/>
      </c>
      <c r="G91" s="11" t="str">
        <f t="shared" si="5"/>
        <v/>
      </c>
      <c r="H91" s="12"/>
      <c r="I91" s="12" t="str">
        <f t="shared" si="6"/>
        <v/>
      </c>
      <c r="J91" s="13" t="str">
        <f t="shared" si="7"/>
        <v/>
      </c>
      <c r="K91" s="47"/>
      <c r="L91" s="98"/>
      <c r="M91" s="103"/>
      <c r="N91" s="103"/>
      <c r="O91" s="103"/>
      <c r="P91" s="103"/>
      <c r="Q91" s="103"/>
      <c r="R91" s="103"/>
    </row>
    <row r="92" spans="1:18" ht="15.6">
      <c r="A92" s="26" t="str">
        <v>Eddy Ridge</v>
      </c>
      <c r="B92" s="27" t="str">
        <v>NY</v>
      </c>
      <c r="C92" s="9" t="str">
        <f>Sites[[#This Row],[SOL'#]]</f>
        <v>SOL-11054</v>
      </c>
      <c r="D92" s="9"/>
      <c r="E92" s="14"/>
      <c r="F92" s="14" t="str">
        <f t="shared" si="4"/>
        <v/>
      </c>
      <c r="G92" s="15" t="str">
        <f t="shared" si="5"/>
        <v/>
      </c>
      <c r="H92" s="16"/>
      <c r="I92" s="16" t="str">
        <f t="shared" si="6"/>
        <v/>
      </c>
      <c r="J92" s="15" t="str">
        <f t="shared" si="7"/>
        <v/>
      </c>
      <c r="K92" s="186"/>
      <c r="L92" s="99"/>
      <c r="M92" s="103"/>
      <c r="N92" s="103"/>
      <c r="O92" s="103"/>
      <c r="P92" s="103"/>
      <c r="Q92" s="103"/>
      <c r="R92" s="103"/>
    </row>
    <row r="93" spans="1:18" ht="15.6">
      <c r="A93" s="24" t="str">
        <v>Ridgeway #1</v>
      </c>
      <c r="B93" s="25" t="str">
        <v>NY</v>
      </c>
      <c r="C93" s="25" t="str">
        <f>Sites[[#This Row],[SOL'#]]</f>
        <v>SOL-11018</v>
      </c>
      <c r="D93" s="20"/>
      <c r="E93" s="10"/>
      <c r="F93" s="10" t="str">
        <f t="shared" si="4"/>
        <v/>
      </c>
      <c r="G93" s="11" t="str">
        <f t="shared" si="5"/>
        <v/>
      </c>
      <c r="H93" s="12"/>
      <c r="I93" s="12" t="str">
        <f t="shared" si="6"/>
        <v/>
      </c>
      <c r="J93" s="13" t="str">
        <f t="shared" si="7"/>
        <v/>
      </c>
      <c r="K93" s="47"/>
      <c r="L93" s="47"/>
      <c r="M93" s="103"/>
      <c r="N93" s="103"/>
      <c r="O93" s="103"/>
      <c r="P93" s="103"/>
      <c r="Q93" s="103"/>
      <c r="R93" s="103"/>
    </row>
    <row r="94" spans="1:18" ht="67.5" customHeight="1">
      <c r="A94" s="26" t="str">
        <v>Rivard 1</v>
      </c>
      <c r="B94" s="27" t="str">
        <v>NY</v>
      </c>
      <c r="C94" s="9" t="str">
        <f>Sites[[#This Row],[SOL'#]]</f>
        <v>SOL-11011</v>
      </c>
      <c r="D94" s="9"/>
      <c r="E94" s="14"/>
      <c r="F94" s="14" t="str">
        <f t="shared" si="4"/>
        <v/>
      </c>
      <c r="G94" s="15" t="str">
        <f t="shared" si="5"/>
        <v/>
      </c>
      <c r="H94" s="16"/>
      <c r="I94" s="16" t="str">
        <f t="shared" si="6"/>
        <v/>
      </c>
      <c r="J94" s="15" t="str">
        <f t="shared" si="7"/>
        <v/>
      </c>
      <c r="K94" s="186"/>
      <c r="L94" s="99"/>
      <c r="M94" s="103"/>
      <c r="N94" s="103"/>
      <c r="O94" s="103"/>
      <c r="P94" s="103"/>
      <c r="Q94" s="103"/>
      <c r="R94" s="103"/>
    </row>
    <row r="95" spans="1:18" ht="15.6">
      <c r="A95" s="24" t="str">
        <v>Rivard 2</v>
      </c>
      <c r="B95" s="25" t="str">
        <v>NY</v>
      </c>
      <c r="C95" s="25" t="str">
        <f>Sites[[#This Row],[SOL'#]]</f>
        <v>SOL-11012</v>
      </c>
      <c r="D95" s="20"/>
      <c r="E95" s="10"/>
      <c r="F95" s="10" t="str">
        <f t="shared" si="4"/>
        <v/>
      </c>
      <c r="G95" s="11" t="str">
        <f t="shared" si="5"/>
        <v/>
      </c>
      <c r="H95" s="12"/>
      <c r="I95" s="12" t="str">
        <f t="shared" si="6"/>
        <v/>
      </c>
      <c r="J95" s="13" t="str">
        <f t="shared" si="7"/>
        <v/>
      </c>
      <c r="K95" s="47"/>
      <c r="L95" s="98"/>
      <c r="M95" s="102"/>
      <c r="N95" s="102"/>
      <c r="O95" s="103"/>
      <c r="P95" s="103"/>
      <c r="Q95" s="103"/>
      <c r="R95" s="103"/>
    </row>
    <row r="96" spans="1:18" ht="15.6">
      <c r="A96" s="24" t="str">
        <v>Ridgeway #2</v>
      </c>
      <c r="B96" s="25" t="str">
        <v>NY</v>
      </c>
      <c r="C96" s="25" t="str">
        <f>Sites[[#This Row],[SOL'#]]</f>
        <v>SOL-11027</v>
      </c>
      <c r="D96" s="20"/>
      <c r="E96" s="10"/>
      <c r="F96" s="10" t="str">
        <f t="shared" ref="F96:F154" si="8">IF(AND(ISNUMBER(D96),ISNUMBER(E96)), D96-E96, "")</f>
        <v/>
      </c>
      <c r="G96" s="11" t="str">
        <f t="shared" ref="G96:G155" si="9">IFERROR(F96/E96, "")</f>
        <v/>
      </c>
      <c r="H96" s="12"/>
      <c r="I96" s="12" t="str">
        <f t="shared" si="6"/>
        <v/>
      </c>
      <c r="J96" s="13" t="str">
        <f t="shared" si="7"/>
        <v/>
      </c>
      <c r="K96" s="47"/>
      <c r="L96" s="47"/>
      <c r="M96" s="103"/>
      <c r="N96" s="103"/>
      <c r="O96" s="103"/>
      <c r="P96" s="103"/>
      <c r="Q96" s="103"/>
      <c r="R96" s="103"/>
    </row>
    <row r="97" spans="1:18" ht="15.6">
      <c r="A97" s="26" t="str">
        <v>Spencer</v>
      </c>
      <c r="B97" s="27" t="str">
        <v>NY</v>
      </c>
      <c r="C97" s="9" t="str">
        <f>Sites[[#This Row],[SOL'#]]</f>
        <v>SOL-11017</v>
      </c>
      <c r="D97" s="66"/>
      <c r="E97" s="14"/>
      <c r="F97" s="14" t="str">
        <f t="shared" si="8"/>
        <v/>
      </c>
      <c r="G97" s="68" t="str">
        <f t="shared" si="9"/>
        <v/>
      </c>
      <c r="H97" s="69"/>
      <c r="I97" s="69" t="str">
        <f t="shared" si="6"/>
        <v/>
      </c>
      <c r="J97" s="68" t="str">
        <f t="shared" si="7"/>
        <v/>
      </c>
      <c r="K97" s="186"/>
      <c r="L97" s="102"/>
      <c r="M97" s="103"/>
      <c r="N97" s="103"/>
      <c r="O97" s="103"/>
      <c r="P97" s="103"/>
      <c r="Q97" s="103"/>
      <c r="R97" s="103"/>
    </row>
    <row r="98" spans="1:18" ht="15.6">
      <c r="A98" s="28" t="str">
        <v>Reisender</v>
      </c>
      <c r="B98" s="25" t="str">
        <v>NY</v>
      </c>
      <c r="C98" s="25" t="str">
        <f>Sites[[#This Row],[SOL'#]]</f>
        <v>SOL-10886</v>
      </c>
      <c r="D98" s="54"/>
      <c r="E98" s="10"/>
      <c r="F98" s="10" t="str">
        <f t="shared" si="8"/>
        <v/>
      </c>
      <c r="G98" s="55" t="str">
        <f t="shared" si="9"/>
        <v/>
      </c>
      <c r="H98" s="67"/>
      <c r="I98" s="67" t="str">
        <f t="shared" si="6"/>
        <v/>
      </c>
      <c r="J98" s="64" t="str">
        <f t="shared" si="7"/>
        <v/>
      </c>
      <c r="K98" s="107"/>
      <c r="L98" s="98"/>
      <c r="M98" s="103"/>
      <c r="N98" s="103"/>
      <c r="O98" s="103"/>
      <c r="P98" s="103"/>
      <c r="Q98" s="103"/>
      <c r="R98" s="103"/>
    </row>
    <row r="99" spans="1:18" ht="15.6">
      <c r="A99" s="26" t="str">
        <v>Finney</v>
      </c>
      <c r="B99" s="27" t="str">
        <v>NY</v>
      </c>
      <c r="C99" s="9" t="str">
        <f>Sites[[#This Row],[SOL'#]]</f>
        <v>SOL-10999</v>
      </c>
      <c r="D99" s="66"/>
      <c r="E99" s="14"/>
      <c r="F99" s="14" t="str">
        <f t="shared" si="8"/>
        <v/>
      </c>
      <c r="G99" s="68" t="str">
        <f t="shared" si="9"/>
        <v/>
      </c>
      <c r="H99" s="69"/>
      <c r="I99" s="69" t="str">
        <f t="shared" si="6"/>
        <v/>
      </c>
      <c r="J99" s="68" t="str">
        <f t="shared" si="7"/>
        <v/>
      </c>
      <c r="K99" s="186"/>
      <c r="L99" s="101"/>
      <c r="M99" s="102"/>
      <c r="N99" s="102"/>
      <c r="O99" s="102"/>
      <c r="P99" s="103"/>
      <c r="Q99" s="103"/>
      <c r="R99" s="103"/>
    </row>
    <row r="100" spans="1:18" ht="99.75" customHeight="1">
      <c r="A100" s="24" t="str">
        <v>Davis Solar</v>
      </c>
      <c r="B100" s="25" t="str">
        <v>NY</v>
      </c>
      <c r="C100" s="25" t="str">
        <f>Sites[[#This Row],[SOL'#]]</f>
        <v>SOL-10958</v>
      </c>
      <c r="D100" s="54"/>
      <c r="E100" s="10"/>
      <c r="F100" s="10" t="str">
        <f t="shared" si="8"/>
        <v/>
      </c>
      <c r="G100" s="55" t="str">
        <f t="shared" si="9"/>
        <v/>
      </c>
      <c r="H100" s="67"/>
      <c r="I100" s="67" t="str">
        <f t="shared" si="6"/>
        <v/>
      </c>
      <c r="J100" s="64" t="str">
        <f t="shared" si="7"/>
        <v/>
      </c>
      <c r="K100" s="107"/>
      <c r="L100" s="98"/>
      <c r="M100" s="102"/>
      <c r="N100" s="103"/>
      <c r="O100" s="103"/>
      <c r="P100" s="103"/>
      <c r="Q100" s="103"/>
      <c r="R100" s="103"/>
    </row>
    <row r="101" spans="1:18" ht="15.6">
      <c r="A101" s="26" t="str">
        <v>Genesee</v>
      </c>
      <c r="B101" s="27" t="str">
        <v>NY</v>
      </c>
      <c r="C101" s="9" t="str">
        <f>Sites[[#This Row],[SOL'#]]</f>
        <v>SOL-10951</v>
      </c>
      <c r="D101" s="66"/>
      <c r="E101" s="14"/>
      <c r="F101" s="14" t="str">
        <f t="shared" si="8"/>
        <v/>
      </c>
      <c r="G101" s="68" t="str">
        <f t="shared" si="9"/>
        <v/>
      </c>
      <c r="H101" s="69"/>
      <c r="I101" s="69" t="str">
        <f t="shared" si="6"/>
        <v/>
      </c>
      <c r="J101" s="68" t="str">
        <f t="shared" si="7"/>
        <v/>
      </c>
      <c r="K101" s="186"/>
      <c r="L101" s="101"/>
      <c r="M101" s="102"/>
      <c r="N101" s="102"/>
      <c r="O101" s="103"/>
      <c r="P101" s="103"/>
      <c r="Q101" s="103"/>
      <c r="R101" s="103"/>
    </row>
    <row r="102" spans="1:18" ht="15.6">
      <c r="A102" s="24" t="str">
        <v>Landau I</v>
      </c>
      <c r="B102" s="25" t="str">
        <v>NY</v>
      </c>
      <c r="C102" s="25" t="str">
        <f>Sites[[#This Row],[SOL'#]]</f>
        <v>SOL-10891</v>
      </c>
      <c r="D102" s="54"/>
      <c r="E102" s="10"/>
      <c r="F102" s="10" t="str">
        <f t="shared" si="8"/>
        <v/>
      </c>
      <c r="G102" s="55" t="str">
        <f t="shared" si="9"/>
        <v/>
      </c>
      <c r="H102" s="67"/>
      <c r="I102" s="67" t="str">
        <f t="shared" si="6"/>
        <v/>
      </c>
      <c r="J102" s="64" t="str">
        <f t="shared" si="7"/>
        <v/>
      </c>
      <c r="K102" s="107"/>
      <c r="L102" s="47"/>
      <c r="M102" s="103"/>
      <c r="N102" s="103"/>
      <c r="O102" s="103"/>
      <c r="P102" s="103"/>
      <c r="Q102" s="103"/>
      <c r="R102" s="103"/>
    </row>
    <row r="103" spans="1:18" ht="15.6">
      <c r="A103" s="26" t="str">
        <v>Landau II</v>
      </c>
      <c r="B103" s="27" t="str">
        <v>NY</v>
      </c>
      <c r="C103" s="9" t="str">
        <f>Sites[[#This Row],[SOL'#]]</f>
        <v>SOL-10895</v>
      </c>
      <c r="D103" s="66"/>
      <c r="E103" s="14"/>
      <c r="F103" s="14" t="str">
        <f t="shared" si="8"/>
        <v/>
      </c>
      <c r="G103" s="68" t="str">
        <f t="shared" si="9"/>
        <v/>
      </c>
      <c r="H103" s="69"/>
      <c r="I103" s="69" t="str">
        <f t="shared" si="6"/>
        <v/>
      </c>
      <c r="J103" s="68" t="str">
        <f t="shared" si="7"/>
        <v/>
      </c>
      <c r="K103" s="186"/>
      <c r="L103" s="102"/>
      <c r="M103" s="102"/>
      <c r="N103" s="102"/>
      <c r="O103" s="103"/>
      <c r="P103" s="103"/>
      <c r="Q103" s="103"/>
      <c r="R103" s="103"/>
    </row>
    <row r="104" spans="1:18" ht="39.75" customHeight="1">
      <c r="A104" s="24" t="str">
        <v>New Beginnings</v>
      </c>
      <c r="B104" s="25" t="str">
        <v>NY</v>
      </c>
      <c r="C104" s="25" t="str">
        <f>Sites[[#This Row],[SOL'#]]</f>
        <v>SOL-10890</v>
      </c>
      <c r="D104" s="54"/>
      <c r="E104" s="10"/>
      <c r="F104" s="10" t="str">
        <f t="shared" si="8"/>
        <v/>
      </c>
      <c r="G104" s="55" t="str">
        <f t="shared" si="9"/>
        <v/>
      </c>
      <c r="H104" s="67"/>
      <c r="I104" s="67" t="str">
        <f t="shared" ref="I104:I157" si="10">IF(AND(ISNUMBER(D104),ISNUMBER(H104)), D104-H104, "")</f>
        <v/>
      </c>
      <c r="J104" s="64" t="str">
        <f t="shared" ref="J104:J157" si="11">IFERROR(I104/H104, "")</f>
        <v/>
      </c>
      <c r="K104" s="107"/>
      <c r="L104" s="98"/>
      <c r="M104" s="103"/>
      <c r="N104" s="103"/>
      <c r="O104" s="103"/>
      <c r="P104" s="103"/>
      <c r="Q104" s="103"/>
      <c r="R104" s="103"/>
    </row>
    <row r="105" spans="1:18" ht="15.6">
      <c r="A105" s="26" t="str">
        <v>Bullitt Farm Solar, LLC</v>
      </c>
      <c r="B105" s="27" t="str">
        <v>NY</v>
      </c>
      <c r="C105" s="9" t="str">
        <f>Sites[[#This Row],[SOL'#]]</f>
        <v>SOL-10998</v>
      </c>
      <c r="D105" s="66"/>
      <c r="E105" s="14"/>
      <c r="F105" s="14" t="str">
        <f t="shared" si="8"/>
        <v/>
      </c>
      <c r="G105" s="68" t="str">
        <f t="shared" si="9"/>
        <v/>
      </c>
      <c r="H105" s="69"/>
      <c r="I105" s="69" t="str">
        <f t="shared" si="10"/>
        <v/>
      </c>
      <c r="J105" s="68" t="str">
        <f t="shared" si="11"/>
        <v/>
      </c>
      <c r="K105" s="186"/>
      <c r="L105" s="88"/>
      <c r="M105" s="103"/>
      <c r="N105" s="103"/>
      <c r="O105" s="103"/>
      <c r="P105" s="103"/>
      <c r="Q105" s="103"/>
      <c r="R105" s="103"/>
    </row>
    <row r="106" spans="1:18" ht="15.6">
      <c r="A106" s="24" t="str">
        <v>Brodhead Solar, LLC</v>
      </c>
      <c r="B106" s="25" t="str">
        <v>NY</v>
      </c>
      <c r="C106" s="25" t="str">
        <f>Sites[[#This Row],[SOL'#]]</f>
        <v>SOL-10899</v>
      </c>
      <c r="D106" s="54"/>
      <c r="E106" s="10"/>
      <c r="F106" s="10" t="str">
        <f t="shared" si="8"/>
        <v/>
      </c>
      <c r="G106" s="55" t="str">
        <f t="shared" si="9"/>
        <v/>
      </c>
      <c r="H106" s="67"/>
      <c r="I106" s="67" t="str">
        <f t="shared" si="10"/>
        <v/>
      </c>
      <c r="J106" s="64" t="str">
        <f t="shared" si="11"/>
        <v/>
      </c>
      <c r="K106" s="107"/>
      <c r="L106" s="98"/>
      <c r="M106" s="102"/>
      <c r="N106" s="103"/>
      <c r="O106" s="103"/>
      <c r="P106" s="103"/>
      <c r="Q106" s="103"/>
      <c r="R106" s="103"/>
    </row>
    <row r="107" spans="1:18" ht="15.6">
      <c r="A107" s="26" t="str">
        <v>Svenski</v>
      </c>
      <c r="B107" s="27" t="str">
        <v>NY</v>
      </c>
      <c r="C107" s="9" t="str">
        <f>Sites[[#This Row],[SOL'#]]</f>
        <v>SOL-10894</v>
      </c>
      <c r="D107" s="66"/>
      <c r="E107" s="14"/>
      <c r="F107" s="14" t="str">
        <f t="shared" si="8"/>
        <v/>
      </c>
      <c r="G107" s="68" t="str">
        <f t="shared" si="9"/>
        <v/>
      </c>
      <c r="H107" s="69"/>
      <c r="I107" s="69" t="str">
        <f t="shared" si="10"/>
        <v/>
      </c>
      <c r="J107" s="68" t="str">
        <f t="shared" si="11"/>
        <v/>
      </c>
      <c r="K107" s="186"/>
      <c r="L107" s="102"/>
      <c r="M107" s="103"/>
      <c r="N107" s="103"/>
      <c r="O107" s="103"/>
      <c r="P107" s="103"/>
      <c r="Q107" s="103"/>
      <c r="R107" s="103"/>
    </row>
    <row r="108" spans="1:18" ht="15.6">
      <c r="A108" s="24" t="str">
        <v>Bantam</v>
      </c>
      <c r="B108" s="25" t="str">
        <v>NY</v>
      </c>
      <c r="C108" s="25" t="str">
        <f>Sites[[#This Row],[SOL'#]]</f>
        <v>SOL-10986</v>
      </c>
      <c r="D108" s="54"/>
      <c r="E108" s="10"/>
      <c r="F108" s="10" t="str">
        <f t="shared" si="8"/>
        <v/>
      </c>
      <c r="G108" s="55" t="str">
        <f t="shared" si="9"/>
        <v/>
      </c>
      <c r="H108" s="67"/>
      <c r="I108" s="67" t="str">
        <f t="shared" si="10"/>
        <v/>
      </c>
      <c r="J108" s="64" t="str">
        <f t="shared" si="11"/>
        <v/>
      </c>
      <c r="K108" s="107"/>
      <c r="L108" s="98"/>
      <c r="M108" s="102"/>
      <c r="N108" s="102"/>
      <c r="O108" s="103"/>
      <c r="P108" s="103"/>
      <c r="Q108" s="103"/>
      <c r="R108" s="103"/>
    </row>
    <row r="109" spans="1:18" ht="15.6">
      <c r="A109" s="26" t="str">
        <v>Bogart</v>
      </c>
      <c r="B109" s="27" t="str">
        <v>NY</v>
      </c>
      <c r="C109" s="9" t="str">
        <f>Sites[[#This Row],[SOL'#]]</f>
        <v>SOL-10887</v>
      </c>
      <c r="D109" s="66"/>
      <c r="E109" s="14"/>
      <c r="F109" s="14" t="str">
        <f t="shared" si="8"/>
        <v/>
      </c>
      <c r="G109" s="68" t="str">
        <f t="shared" si="9"/>
        <v/>
      </c>
      <c r="H109" s="69"/>
      <c r="I109" s="69" t="str">
        <f t="shared" si="10"/>
        <v/>
      </c>
      <c r="J109" s="68" t="str">
        <f t="shared" si="11"/>
        <v/>
      </c>
      <c r="K109" s="186"/>
      <c r="L109" s="102"/>
      <c r="M109" s="103"/>
      <c r="N109" s="103"/>
      <c r="O109" s="103"/>
      <c r="P109" s="103"/>
      <c r="Q109" s="103"/>
      <c r="R109" s="103"/>
    </row>
    <row r="110" spans="1:18" ht="15.6">
      <c r="A110" s="24" t="str">
        <v>Dubois</v>
      </c>
      <c r="B110" s="25" t="str">
        <v>NY</v>
      </c>
      <c r="C110" s="25" t="str">
        <f>Sites[[#This Row],[SOL'#]]</f>
        <v>SOL-10892</v>
      </c>
      <c r="D110" s="54"/>
      <c r="E110" s="10"/>
      <c r="F110" s="10" t="str">
        <f t="shared" si="8"/>
        <v/>
      </c>
      <c r="G110" s="55" t="str">
        <f t="shared" si="9"/>
        <v/>
      </c>
      <c r="H110" s="67"/>
      <c r="I110" s="67" t="str">
        <f t="shared" si="10"/>
        <v/>
      </c>
      <c r="J110" s="64" t="str">
        <f t="shared" si="11"/>
        <v/>
      </c>
      <c r="K110" s="107"/>
      <c r="L110" s="98"/>
      <c r="M110" s="102"/>
      <c r="N110" s="102"/>
      <c r="O110" s="102"/>
      <c r="P110" s="103"/>
      <c r="Q110" s="103"/>
      <c r="R110" s="103"/>
    </row>
    <row r="111" spans="1:18" ht="15.6">
      <c r="A111" s="26" t="str">
        <v>Salt Point</v>
      </c>
      <c r="B111" s="27" t="str">
        <v>NY</v>
      </c>
      <c r="C111" s="9" t="str">
        <f>Sites[[#This Row],[SOL'#]]</f>
        <v>SOL-10888</v>
      </c>
      <c r="D111" s="66"/>
      <c r="E111" s="14"/>
      <c r="F111" s="14" t="str">
        <f t="shared" si="8"/>
        <v/>
      </c>
      <c r="G111" s="68" t="str">
        <f t="shared" si="9"/>
        <v/>
      </c>
      <c r="H111" s="69"/>
      <c r="I111" s="69" t="str">
        <f t="shared" si="10"/>
        <v/>
      </c>
      <c r="J111" s="68" t="str">
        <f t="shared" si="11"/>
        <v/>
      </c>
      <c r="K111" s="186"/>
      <c r="L111" s="101"/>
      <c r="M111" s="102"/>
      <c r="N111" s="103"/>
      <c r="O111" s="103"/>
      <c r="P111" s="103"/>
      <c r="Q111" s="103"/>
      <c r="R111" s="103"/>
    </row>
    <row r="112" spans="1:18" ht="15.6">
      <c r="A112" s="24" t="str">
        <v>Wheatland 2A</v>
      </c>
      <c r="B112" s="25" t="str">
        <v>NY</v>
      </c>
      <c r="C112" s="25" t="str">
        <f>Sites[[#This Row],[SOL'#]]</f>
        <v>SOL-10971</v>
      </c>
      <c r="D112" s="54"/>
      <c r="E112" s="10"/>
      <c r="F112" s="10" t="str">
        <f t="shared" si="8"/>
        <v/>
      </c>
      <c r="G112" s="55" t="str">
        <f t="shared" si="9"/>
        <v/>
      </c>
      <c r="H112" s="67"/>
      <c r="I112" s="67" t="str">
        <f t="shared" si="10"/>
        <v/>
      </c>
      <c r="J112" s="64" t="str">
        <f t="shared" si="11"/>
        <v/>
      </c>
      <c r="K112" s="107"/>
      <c r="L112" s="98"/>
      <c r="M112" s="102"/>
      <c r="N112" s="102"/>
      <c r="O112" s="102"/>
      <c r="P112" s="103"/>
      <c r="Q112" s="103"/>
      <c r="R112" s="103"/>
    </row>
    <row r="113" spans="1:18" ht="15.6">
      <c r="A113" s="26" t="str">
        <v>Wheatland 2B</v>
      </c>
      <c r="B113" s="27" t="str">
        <v>NY</v>
      </c>
      <c r="C113" s="9" t="str">
        <f>Sites[[#This Row],[SOL'#]]</f>
        <v>SOL-10961</v>
      </c>
      <c r="D113" s="66"/>
      <c r="E113" s="14"/>
      <c r="F113" s="14" t="str">
        <f t="shared" si="8"/>
        <v/>
      </c>
      <c r="G113" s="68" t="str">
        <f t="shared" si="9"/>
        <v/>
      </c>
      <c r="H113" s="69"/>
      <c r="I113" s="69" t="str">
        <f t="shared" si="10"/>
        <v/>
      </c>
      <c r="J113" s="68" t="str">
        <f t="shared" si="11"/>
        <v/>
      </c>
      <c r="K113" s="186"/>
      <c r="L113" s="102"/>
      <c r="M113" s="103"/>
      <c r="N113" s="103"/>
      <c r="O113" s="103"/>
      <c r="P113" s="103"/>
      <c r="Q113" s="103"/>
      <c r="R113" s="103"/>
    </row>
    <row r="114" spans="1:18" ht="15.6">
      <c r="A114" s="24" t="str">
        <v>Brickchurch</v>
      </c>
      <c r="B114" s="25" t="str">
        <v>NY</v>
      </c>
      <c r="C114" s="25" t="str">
        <f>Sites[[#This Row],[SOL'#]]</f>
        <v>SOL-10889</v>
      </c>
      <c r="D114" s="54"/>
      <c r="E114" s="10"/>
      <c r="F114" s="10" t="str">
        <f t="shared" si="8"/>
        <v/>
      </c>
      <c r="G114" s="55" t="str">
        <f t="shared" si="9"/>
        <v/>
      </c>
      <c r="H114" s="67"/>
      <c r="I114" s="67" t="str">
        <f t="shared" si="10"/>
        <v/>
      </c>
      <c r="J114" s="64" t="str">
        <f t="shared" si="11"/>
        <v/>
      </c>
      <c r="K114" s="107"/>
      <c r="L114" s="98"/>
      <c r="M114" s="102"/>
      <c r="N114" s="103"/>
      <c r="O114" s="103"/>
      <c r="P114" s="103"/>
      <c r="Q114" s="103"/>
      <c r="R114" s="103"/>
    </row>
    <row r="115" spans="1:18" ht="15.6">
      <c r="A115" s="26" t="str">
        <v>McCarthy Solar</v>
      </c>
      <c r="B115" s="27" t="str">
        <v>NY</v>
      </c>
      <c r="C115" s="9" t="str">
        <f>Sites[[#This Row],[SOL'#]]</f>
        <v>SOL-10992</v>
      </c>
      <c r="D115" s="66"/>
      <c r="E115" s="14"/>
      <c r="F115" s="14" t="str">
        <f t="shared" si="8"/>
        <v/>
      </c>
      <c r="G115" s="68" t="str">
        <f t="shared" si="9"/>
        <v/>
      </c>
      <c r="H115" s="69"/>
      <c r="I115" s="69" t="str">
        <f t="shared" si="10"/>
        <v/>
      </c>
      <c r="J115" s="68" t="str">
        <f t="shared" si="11"/>
        <v/>
      </c>
      <c r="K115" s="186"/>
      <c r="L115" s="102"/>
      <c r="M115" s="103"/>
      <c r="N115" s="103"/>
      <c r="O115" s="103"/>
      <c r="P115" s="103"/>
      <c r="Q115" s="103"/>
      <c r="R115" s="103"/>
    </row>
    <row r="116" spans="1:18" ht="15.6">
      <c r="A116" s="24" t="str">
        <v>Costanza</v>
      </c>
      <c r="B116" s="25" t="str">
        <v>NY</v>
      </c>
      <c r="C116" s="25" t="str">
        <f>Sites[[#This Row],[SOL'#]]</f>
        <v>SOL-10907</v>
      </c>
      <c r="D116" s="54"/>
      <c r="E116" s="10"/>
      <c r="F116" s="10" t="str">
        <f t="shared" si="8"/>
        <v/>
      </c>
      <c r="G116" s="55" t="str">
        <f t="shared" si="9"/>
        <v/>
      </c>
      <c r="H116" s="67"/>
      <c r="I116" s="67" t="str">
        <f t="shared" si="10"/>
        <v/>
      </c>
      <c r="J116" s="64" t="str">
        <f t="shared" si="11"/>
        <v/>
      </c>
      <c r="K116" s="107"/>
      <c r="L116" s="98"/>
      <c r="M116" s="102"/>
      <c r="N116" s="102"/>
      <c r="O116" s="103"/>
      <c r="P116" s="103"/>
      <c r="Q116" s="103"/>
      <c r="R116" s="103"/>
    </row>
    <row r="117" spans="1:18" ht="15.6">
      <c r="A117" s="26" t="str">
        <v>Lockenhurst Pond</v>
      </c>
      <c r="B117" s="27" t="str">
        <v>NY</v>
      </c>
      <c r="C117" s="9" t="str">
        <f>Sites[[#This Row],[SOL'#]]</f>
        <v>SOL-11000</v>
      </c>
      <c r="D117" s="66"/>
      <c r="E117" s="14"/>
      <c r="F117" s="14" t="str">
        <f t="shared" si="8"/>
        <v/>
      </c>
      <c r="G117" s="68" t="str">
        <f t="shared" si="9"/>
        <v/>
      </c>
      <c r="H117" s="69"/>
      <c r="I117" s="69" t="str">
        <f t="shared" si="10"/>
        <v/>
      </c>
      <c r="J117" s="68" t="str">
        <f t="shared" si="11"/>
        <v/>
      </c>
      <c r="K117" s="186"/>
      <c r="L117" s="88"/>
      <c r="M117" s="103"/>
      <c r="N117" s="103"/>
      <c r="O117" s="103"/>
      <c r="P117" s="103"/>
      <c r="Q117" s="103"/>
      <c r="R117" s="103"/>
    </row>
    <row r="118" spans="1:18" ht="15.6">
      <c r="A118" s="24" t="str">
        <v>Drinkwater</v>
      </c>
      <c r="B118" s="25" t="str">
        <v>NY</v>
      </c>
      <c r="C118" s="25" t="str">
        <f>Sites[[#This Row],[SOL'#]]</f>
        <v>SOL-10896</v>
      </c>
      <c r="D118" s="54"/>
      <c r="E118" s="10"/>
      <c r="F118" s="10" t="str">
        <f t="shared" si="8"/>
        <v/>
      </c>
      <c r="G118" s="55" t="str">
        <f t="shared" si="9"/>
        <v/>
      </c>
      <c r="H118" s="67"/>
      <c r="I118" s="67" t="str">
        <f t="shared" si="10"/>
        <v/>
      </c>
      <c r="J118" s="64" t="str">
        <f t="shared" si="11"/>
        <v/>
      </c>
      <c r="K118" s="107"/>
      <c r="L118" s="47"/>
      <c r="M118" s="103"/>
      <c r="N118" s="103"/>
      <c r="O118" s="103"/>
      <c r="P118" s="103"/>
      <c r="Q118" s="103"/>
      <c r="R118" s="103"/>
    </row>
    <row r="119" spans="1:18" ht="15.6">
      <c r="A119" s="26" t="str">
        <v>Altamont</v>
      </c>
      <c r="B119" s="27" t="str">
        <v>NY</v>
      </c>
      <c r="C119" s="9" t="str">
        <f>Sites[[#This Row],[SOL'#]]</f>
        <v>SOL-11085</v>
      </c>
      <c r="D119" s="66"/>
      <c r="E119" s="14"/>
      <c r="F119" s="14" t="str">
        <f t="shared" si="8"/>
        <v/>
      </c>
      <c r="G119" s="68" t="str">
        <f t="shared" si="9"/>
        <v/>
      </c>
      <c r="H119" s="69"/>
      <c r="I119" s="69" t="str">
        <f t="shared" si="10"/>
        <v/>
      </c>
      <c r="J119" s="68" t="str">
        <f t="shared" si="11"/>
        <v/>
      </c>
      <c r="K119" s="186"/>
      <c r="L119" s="88"/>
      <c r="M119" s="103"/>
      <c r="N119" s="103"/>
      <c r="O119" s="103"/>
      <c r="P119" s="103"/>
      <c r="Q119" s="103"/>
      <c r="R119" s="103"/>
    </row>
    <row r="120" spans="1:18" ht="15.6">
      <c r="A120" s="24" t="str">
        <v>Krumkill North</v>
      </c>
      <c r="B120" s="25" t="str">
        <v>NY</v>
      </c>
      <c r="C120" s="25" t="str">
        <f>Sites[[#This Row],[SOL'#]]</f>
        <v>SOL-11086</v>
      </c>
      <c r="D120" s="54"/>
      <c r="E120" s="10"/>
      <c r="F120" s="10" t="str">
        <f t="shared" si="8"/>
        <v/>
      </c>
      <c r="G120" s="55" t="str">
        <f t="shared" si="9"/>
        <v/>
      </c>
      <c r="H120" s="67"/>
      <c r="I120" s="67" t="str">
        <f t="shared" si="10"/>
        <v/>
      </c>
      <c r="J120" s="64" t="str">
        <f t="shared" si="11"/>
        <v/>
      </c>
      <c r="K120" s="107"/>
      <c r="L120" s="98"/>
      <c r="M120" s="103"/>
      <c r="N120" s="103"/>
      <c r="O120" s="103"/>
      <c r="P120" s="103"/>
      <c r="Q120" s="103"/>
      <c r="R120" s="103"/>
    </row>
    <row r="121" spans="1:18" ht="15.6">
      <c r="A121" s="26" t="str">
        <v>Krumkill South</v>
      </c>
      <c r="B121" s="27" t="str">
        <v>NY</v>
      </c>
      <c r="C121" s="9" t="str">
        <f>Sites[[#This Row],[SOL'#]]</f>
        <v>SOL-11087</v>
      </c>
      <c r="D121" s="66"/>
      <c r="E121" s="14"/>
      <c r="F121" s="14" t="str">
        <f t="shared" si="8"/>
        <v/>
      </c>
      <c r="G121" s="68" t="str">
        <f t="shared" si="9"/>
        <v/>
      </c>
      <c r="H121" s="69"/>
      <c r="I121" s="69" t="str">
        <f t="shared" si="10"/>
        <v/>
      </c>
      <c r="J121" s="68" t="str">
        <f t="shared" si="11"/>
        <v/>
      </c>
      <c r="K121" s="186"/>
      <c r="L121" s="102"/>
      <c r="M121" s="103"/>
      <c r="N121" s="103"/>
      <c r="O121" s="103"/>
      <c r="P121" s="103"/>
      <c r="Q121" s="103"/>
      <c r="R121" s="103"/>
    </row>
    <row r="122" spans="1:18" ht="15.6">
      <c r="A122" s="24" t="str">
        <v>X092</v>
      </c>
      <c r="B122" s="25" t="str">
        <v>NY</v>
      </c>
      <c r="C122" s="25" t="str">
        <f>Sites[[#This Row],[SOL'#]]</f>
        <v>SOL-11189</v>
      </c>
      <c r="D122" s="54"/>
      <c r="E122" s="10"/>
      <c r="F122" s="10" t="str">
        <f t="shared" si="8"/>
        <v/>
      </c>
      <c r="G122" s="55" t="str">
        <f t="shared" si="9"/>
        <v/>
      </c>
      <c r="H122" s="67"/>
      <c r="I122" s="67" t="str">
        <f t="shared" si="10"/>
        <v/>
      </c>
      <c r="J122" s="64" t="str">
        <f t="shared" si="11"/>
        <v/>
      </c>
      <c r="K122" s="107"/>
      <c r="L122" s="47"/>
      <c r="M122" s="103"/>
      <c r="N122" s="103"/>
      <c r="O122" s="103"/>
      <c r="P122" s="103"/>
      <c r="Q122" s="103"/>
      <c r="R122" s="103"/>
    </row>
    <row r="123" spans="1:18" ht="15.6">
      <c r="A123" s="26" t="str">
        <v>X093</v>
      </c>
      <c r="B123" s="27" t="str">
        <v>NY</v>
      </c>
      <c r="C123" s="9" t="str">
        <f>Sites[[#This Row],[SOL'#]]</f>
        <v>SOL-10932</v>
      </c>
      <c r="D123" s="66"/>
      <c r="E123" s="14"/>
      <c r="F123" s="14" t="str">
        <f t="shared" si="8"/>
        <v/>
      </c>
      <c r="G123" s="68" t="str">
        <f t="shared" si="9"/>
        <v/>
      </c>
      <c r="H123" s="69"/>
      <c r="I123" s="69" t="str">
        <f t="shared" si="10"/>
        <v/>
      </c>
      <c r="J123" s="68" t="str">
        <f t="shared" si="11"/>
        <v/>
      </c>
      <c r="K123" s="186"/>
      <c r="L123" s="101"/>
      <c r="M123" s="102"/>
      <c r="N123" s="103"/>
      <c r="O123" s="103"/>
      <c r="P123" s="103"/>
      <c r="Q123" s="103"/>
      <c r="R123" s="103"/>
    </row>
    <row r="124" spans="1:18" ht="15.6">
      <c r="A124" s="24" t="str">
        <v>X095</v>
      </c>
      <c r="B124" s="25" t="str">
        <v>NY</v>
      </c>
      <c r="C124" s="25" t="str">
        <f>Sites[[#This Row],[SOL'#]]</f>
        <v>SOL-10929</v>
      </c>
      <c r="D124" s="54"/>
      <c r="E124" s="10"/>
      <c r="F124" s="10" t="str">
        <f t="shared" si="8"/>
        <v/>
      </c>
      <c r="G124" s="55" t="str">
        <f t="shared" si="9"/>
        <v/>
      </c>
      <c r="H124" s="67"/>
      <c r="I124" s="67" t="str">
        <f t="shared" si="10"/>
        <v/>
      </c>
      <c r="J124" s="64" t="str">
        <f t="shared" si="11"/>
        <v/>
      </c>
      <c r="K124" s="107"/>
      <c r="L124" s="98"/>
      <c r="M124" s="103"/>
      <c r="N124" s="103"/>
      <c r="O124" s="103"/>
      <c r="P124" s="103"/>
      <c r="Q124" s="103"/>
      <c r="R124" s="103"/>
    </row>
    <row r="125" spans="1:18" ht="15.6">
      <c r="A125" s="26" t="str">
        <v>X181</v>
      </c>
      <c r="B125" s="27" t="str">
        <v>NY</v>
      </c>
      <c r="C125" s="9" t="str">
        <f>Sites[[#This Row],[SOL'#]]</f>
        <v>SOL-10428</v>
      </c>
      <c r="D125" s="66"/>
      <c r="E125" s="14"/>
      <c r="F125" s="14" t="str">
        <f t="shared" si="8"/>
        <v/>
      </c>
      <c r="G125" s="68" t="str">
        <f t="shared" si="9"/>
        <v/>
      </c>
      <c r="H125" s="69"/>
      <c r="I125" s="69" t="str">
        <f t="shared" si="10"/>
        <v/>
      </c>
      <c r="J125" s="68" t="str">
        <f t="shared" si="11"/>
        <v/>
      </c>
      <c r="K125" s="186"/>
      <c r="L125" s="102"/>
      <c r="M125" s="103"/>
      <c r="N125" s="103"/>
      <c r="O125" s="103"/>
      <c r="P125" s="103"/>
      <c r="Q125" s="103"/>
      <c r="R125" s="103"/>
    </row>
    <row r="126" spans="1:18" ht="15.6">
      <c r="A126" s="24" t="str">
        <v>X415</v>
      </c>
      <c r="B126" s="25" t="str">
        <v>NY</v>
      </c>
      <c r="C126" s="25" t="str">
        <f>Sites[[#This Row],[SOL'#]]</f>
        <v>SOL-10429</v>
      </c>
      <c r="D126" s="54"/>
      <c r="E126" s="10"/>
      <c r="F126" s="10" t="str">
        <f t="shared" si="8"/>
        <v/>
      </c>
      <c r="G126" s="55" t="str">
        <f t="shared" si="9"/>
        <v/>
      </c>
      <c r="H126" s="67"/>
      <c r="I126" s="67" t="str">
        <f t="shared" si="10"/>
        <v/>
      </c>
      <c r="J126" s="64" t="str">
        <f t="shared" si="11"/>
        <v/>
      </c>
      <c r="K126" s="107"/>
      <c r="L126" s="47"/>
      <c r="M126" s="103"/>
      <c r="N126" s="103"/>
      <c r="O126" s="103"/>
      <c r="P126" s="103"/>
      <c r="Q126" s="103"/>
      <c r="R126" s="103"/>
    </row>
    <row r="127" spans="1:18" ht="15.6">
      <c r="A127" s="26" t="str">
        <v>K198</v>
      </c>
      <c r="B127" s="27" t="str">
        <v>NY</v>
      </c>
      <c r="C127" s="9" t="str">
        <f>Sites[[#This Row],[SOL'#]]</f>
        <v>SOL-10930</v>
      </c>
      <c r="D127" s="66"/>
      <c r="E127" s="14"/>
      <c r="F127" s="14" t="str">
        <f t="shared" si="8"/>
        <v/>
      </c>
      <c r="G127" s="68" t="str">
        <f t="shared" si="9"/>
        <v/>
      </c>
      <c r="H127" s="69"/>
      <c r="I127" s="69" t="str">
        <f t="shared" si="10"/>
        <v/>
      </c>
      <c r="J127" s="68" t="str">
        <f t="shared" si="11"/>
        <v/>
      </c>
      <c r="K127" s="186"/>
      <c r="L127" s="88"/>
      <c r="M127" s="103"/>
      <c r="N127" s="103"/>
      <c r="O127" s="103"/>
      <c r="P127" s="103"/>
      <c r="Q127" s="103"/>
      <c r="R127" s="103"/>
    </row>
    <row r="128" spans="1:18" ht="15.6">
      <c r="A128" s="24" t="str">
        <v>K203</v>
      </c>
      <c r="B128" s="25" t="str">
        <v>NY</v>
      </c>
      <c r="C128" s="25" t="str">
        <f>Sites[[#This Row],[SOL'#]]</f>
        <v>SOL-11190</v>
      </c>
      <c r="D128" s="54"/>
      <c r="E128" s="10"/>
      <c r="F128" s="10" t="str">
        <f t="shared" si="8"/>
        <v/>
      </c>
      <c r="G128" s="55" t="str">
        <f t="shared" si="9"/>
        <v/>
      </c>
      <c r="H128" s="67"/>
      <c r="I128" s="67" t="str">
        <f t="shared" si="10"/>
        <v/>
      </c>
      <c r="J128" s="64" t="str">
        <f t="shared" si="11"/>
        <v/>
      </c>
      <c r="K128" s="107"/>
      <c r="L128" s="47"/>
      <c r="M128" s="103"/>
      <c r="N128" s="103"/>
      <c r="O128" s="103"/>
      <c r="P128" s="103"/>
      <c r="Q128" s="103"/>
      <c r="R128" s="103"/>
    </row>
    <row r="129" spans="1:18" ht="15.6">
      <c r="A129" s="26" t="str">
        <v>K213</v>
      </c>
      <c r="B129" s="27" t="str">
        <v>NY</v>
      </c>
      <c r="C129" s="9" t="str">
        <f>Sites[[#This Row],[SOL'#]]</f>
        <v>SOL-11191</v>
      </c>
      <c r="D129" s="66"/>
      <c r="E129" s="14"/>
      <c r="F129" s="14" t="str">
        <f t="shared" si="8"/>
        <v/>
      </c>
      <c r="G129" s="68" t="str">
        <f t="shared" si="9"/>
        <v/>
      </c>
      <c r="H129" s="69"/>
      <c r="I129" s="69" t="str">
        <f t="shared" si="10"/>
        <v/>
      </c>
      <c r="J129" s="68" t="str">
        <f t="shared" si="11"/>
        <v/>
      </c>
      <c r="K129" s="186"/>
      <c r="L129" s="102"/>
      <c r="M129" s="103"/>
      <c r="N129" s="103"/>
      <c r="O129" s="103"/>
      <c r="P129" s="103"/>
      <c r="Q129" s="103"/>
      <c r="R129" s="103"/>
    </row>
    <row r="130" spans="1:18" ht="15.6">
      <c r="A130" s="24" t="str">
        <v>K217</v>
      </c>
      <c r="B130" s="25" t="str">
        <v>NY</v>
      </c>
      <c r="C130" s="25" t="str">
        <f>Sites[[#This Row],[SOL'#]]</f>
        <v>SOL-10933</v>
      </c>
      <c r="D130" s="54"/>
      <c r="E130" s="10"/>
      <c r="F130" s="10" t="str">
        <f t="shared" si="8"/>
        <v/>
      </c>
      <c r="G130" s="55" t="str">
        <f t="shared" si="9"/>
        <v/>
      </c>
      <c r="H130" s="67"/>
      <c r="I130" s="67" t="str">
        <f t="shared" si="10"/>
        <v/>
      </c>
      <c r="J130" s="64" t="str">
        <f t="shared" si="11"/>
        <v/>
      </c>
      <c r="K130" s="107"/>
      <c r="L130" s="47"/>
      <c r="M130" s="103"/>
      <c r="N130" s="103"/>
      <c r="O130" s="103"/>
      <c r="P130" s="103"/>
      <c r="Q130" s="103"/>
      <c r="R130" s="103"/>
    </row>
    <row r="131" spans="1:18" ht="15.6">
      <c r="A131" s="26" t="str">
        <v>K307</v>
      </c>
      <c r="B131" s="27" t="str">
        <v>NY</v>
      </c>
      <c r="C131" s="9" t="str">
        <f>Sites[[#This Row],[SOL'#]]</f>
        <v>SOL-10876</v>
      </c>
      <c r="D131" s="66"/>
      <c r="E131" s="14"/>
      <c r="F131" s="14" t="str">
        <f t="shared" si="8"/>
        <v/>
      </c>
      <c r="G131" s="68" t="str">
        <f t="shared" si="9"/>
        <v/>
      </c>
      <c r="H131" s="69"/>
      <c r="I131" s="69" t="str">
        <f t="shared" si="10"/>
        <v/>
      </c>
      <c r="J131" s="68" t="str">
        <f t="shared" si="11"/>
        <v/>
      </c>
      <c r="K131" s="186"/>
      <c r="L131" s="88"/>
      <c r="M131" s="103"/>
      <c r="N131" s="103"/>
      <c r="O131" s="103"/>
      <c r="P131" s="103"/>
      <c r="Q131" s="103"/>
      <c r="R131" s="103"/>
    </row>
    <row r="132" spans="1:18" ht="15.6">
      <c r="A132" s="24" t="str">
        <v>K610</v>
      </c>
      <c r="B132" s="25" t="str">
        <v>NY</v>
      </c>
      <c r="C132" s="25" t="str">
        <f>Sites[[#This Row],[SOL'#]]</f>
        <v>SOL-11158</v>
      </c>
      <c r="D132" s="54"/>
      <c r="E132" s="10"/>
      <c r="F132" s="10" t="str">
        <f t="shared" si="8"/>
        <v/>
      </c>
      <c r="G132" s="55" t="str">
        <f t="shared" si="9"/>
        <v/>
      </c>
      <c r="H132" s="67"/>
      <c r="I132" s="67" t="str">
        <f t="shared" si="10"/>
        <v/>
      </c>
      <c r="J132" s="64" t="str">
        <f t="shared" si="11"/>
        <v/>
      </c>
      <c r="K132" s="107"/>
      <c r="L132" s="98"/>
      <c r="M132" s="103"/>
      <c r="N132" s="103"/>
      <c r="O132" s="103"/>
      <c r="P132" s="103"/>
      <c r="Q132" s="103"/>
      <c r="R132" s="103"/>
    </row>
    <row r="133" spans="1:18" ht="15.6">
      <c r="A133" s="26" t="str">
        <v>M025</v>
      </c>
      <c r="B133" s="27" t="str">
        <v>NY</v>
      </c>
      <c r="C133" s="9" t="str">
        <f>Sites[[#This Row],[SOL'#]]</f>
        <v>SOL-10392</v>
      </c>
      <c r="D133" s="66"/>
      <c r="E133" s="14"/>
      <c r="F133" s="14" t="str">
        <f t="shared" si="8"/>
        <v/>
      </c>
      <c r="G133" s="68" t="str">
        <f t="shared" si="9"/>
        <v/>
      </c>
      <c r="H133" s="69"/>
      <c r="I133" s="69" t="str">
        <f t="shared" si="10"/>
        <v/>
      </c>
      <c r="J133" s="68" t="str">
        <f t="shared" si="11"/>
        <v/>
      </c>
      <c r="K133" s="186"/>
      <c r="L133" s="101"/>
      <c r="M133" s="102"/>
      <c r="N133" s="102"/>
      <c r="O133" s="102"/>
      <c r="P133" s="102"/>
      <c r="Q133" s="103"/>
      <c r="R133" s="103"/>
    </row>
    <row r="134" spans="1:18" ht="15.6">
      <c r="A134" s="24" t="str">
        <v>M028</v>
      </c>
      <c r="B134" s="25" t="str">
        <v>NY</v>
      </c>
      <c r="C134" s="25" t="str">
        <f>Sites[[#This Row],[SOL'#]]</f>
        <v>SOL-10381</v>
      </c>
      <c r="D134" s="54"/>
      <c r="E134" s="10"/>
      <c r="F134" s="10" t="str">
        <f t="shared" si="8"/>
        <v/>
      </c>
      <c r="G134" s="55" t="str">
        <f t="shared" si="9"/>
        <v/>
      </c>
      <c r="H134" s="67"/>
      <c r="I134" s="67" t="str">
        <f t="shared" si="10"/>
        <v/>
      </c>
      <c r="J134" s="64" t="str">
        <f t="shared" si="11"/>
        <v/>
      </c>
      <c r="K134" s="107"/>
      <c r="L134" s="47"/>
      <c r="M134" s="103"/>
      <c r="N134" s="103"/>
      <c r="O134" s="103"/>
      <c r="P134" s="103"/>
      <c r="Q134" s="103"/>
      <c r="R134" s="103"/>
    </row>
    <row r="135" spans="1:18" ht="15.6">
      <c r="A135" s="26" t="str">
        <v>Q030</v>
      </c>
      <c r="B135" s="27" t="str">
        <v>NY</v>
      </c>
      <c r="C135" s="9" t="str">
        <f>Sites[[#This Row],[SOL'#]]</f>
        <v>SOL-10878</v>
      </c>
      <c r="D135" s="66"/>
      <c r="E135" s="14"/>
      <c r="F135" s="14" t="str">
        <f t="shared" si="8"/>
        <v/>
      </c>
      <c r="G135" s="68" t="str">
        <f t="shared" si="9"/>
        <v/>
      </c>
      <c r="H135" s="69"/>
      <c r="I135" s="69" t="str">
        <f t="shared" si="10"/>
        <v/>
      </c>
      <c r="J135" s="68" t="str">
        <f t="shared" si="11"/>
        <v/>
      </c>
      <c r="K135" s="186"/>
      <c r="L135" s="88"/>
      <c r="M135" s="103"/>
      <c r="N135" s="103"/>
      <c r="O135" s="103"/>
      <c r="P135" s="103"/>
      <c r="Q135" s="103"/>
      <c r="R135" s="103"/>
    </row>
    <row r="136" spans="1:18" ht="15.6">
      <c r="A136" s="24" t="str">
        <v>Q130</v>
      </c>
      <c r="B136" s="25" t="str">
        <v>NY</v>
      </c>
      <c r="C136" s="25" t="str">
        <f>Sites[[#This Row],[SOL'#]]</f>
        <v>SOL-10877</v>
      </c>
      <c r="D136" s="54"/>
      <c r="E136" s="10"/>
      <c r="F136" s="10" t="str">
        <f t="shared" si="8"/>
        <v/>
      </c>
      <c r="G136" s="55" t="str">
        <f t="shared" si="9"/>
        <v/>
      </c>
      <c r="H136" s="67"/>
      <c r="I136" s="67" t="str">
        <f t="shared" si="10"/>
        <v/>
      </c>
      <c r="J136" s="64" t="str">
        <f t="shared" si="11"/>
        <v/>
      </c>
      <c r="K136" s="107"/>
      <c r="L136" s="47"/>
      <c r="M136" s="103"/>
      <c r="N136" s="103"/>
      <c r="O136" s="103"/>
      <c r="P136" s="103"/>
      <c r="Q136" s="103"/>
      <c r="R136" s="103"/>
    </row>
    <row r="137" spans="1:18" ht="15.6">
      <c r="A137" s="26" t="str">
        <v>Q196</v>
      </c>
      <c r="B137" s="27" t="str">
        <v>NY</v>
      </c>
      <c r="C137" s="9" t="str">
        <f>Sites[[#This Row],[SOL'#]]</f>
        <v>SOL-10879</v>
      </c>
      <c r="D137" s="66"/>
      <c r="E137" s="14"/>
      <c r="F137" s="14" t="str">
        <f t="shared" si="8"/>
        <v/>
      </c>
      <c r="G137" s="68" t="str">
        <f t="shared" si="9"/>
        <v/>
      </c>
      <c r="H137" s="69"/>
      <c r="I137" s="69" t="str">
        <f t="shared" si="10"/>
        <v/>
      </c>
      <c r="J137" s="68" t="str">
        <f t="shared" si="11"/>
        <v/>
      </c>
      <c r="K137" s="186"/>
      <c r="L137" s="88"/>
      <c r="M137" s="103"/>
      <c r="N137" s="103"/>
      <c r="O137" s="103"/>
      <c r="P137" s="103"/>
      <c r="Q137" s="103"/>
      <c r="R137" s="103"/>
    </row>
    <row r="138" spans="1:18" ht="15.6">
      <c r="A138" s="24" t="str">
        <v>Q220</v>
      </c>
      <c r="B138" s="25" t="str">
        <v>NY</v>
      </c>
      <c r="C138" s="25" t="str">
        <f>Sites[[#This Row],[SOL'#]]</f>
        <v>SOL-10873</v>
      </c>
      <c r="D138" s="54"/>
      <c r="E138" s="10"/>
      <c r="F138" s="10" t="str">
        <f t="shared" si="8"/>
        <v/>
      </c>
      <c r="G138" s="55" t="str">
        <f t="shared" si="9"/>
        <v/>
      </c>
      <c r="H138" s="67"/>
      <c r="I138" s="67" t="str">
        <f t="shared" si="10"/>
        <v/>
      </c>
      <c r="J138" s="64" t="str">
        <f t="shared" si="11"/>
        <v/>
      </c>
      <c r="K138" s="107"/>
      <c r="L138" s="98"/>
      <c r="M138" s="103"/>
      <c r="N138" s="103"/>
      <c r="O138" s="103"/>
      <c r="P138" s="103"/>
      <c r="Q138" s="103"/>
      <c r="R138" s="103"/>
    </row>
    <row r="139" spans="1:18" ht="15.6">
      <c r="A139" s="26" t="str">
        <v>Q205</v>
      </c>
      <c r="B139" s="27" t="str">
        <v>NY</v>
      </c>
      <c r="C139" s="9" t="str">
        <f>Sites[[#This Row],[SOL'#]]</f>
        <v>SOL-10922</v>
      </c>
      <c r="D139" s="66"/>
      <c r="E139" s="14"/>
      <c r="F139" s="14" t="str">
        <f t="shared" si="8"/>
        <v/>
      </c>
      <c r="G139" s="68" t="str">
        <f t="shared" si="9"/>
        <v/>
      </c>
      <c r="H139" s="69"/>
      <c r="I139" s="69" t="str">
        <f t="shared" si="10"/>
        <v/>
      </c>
      <c r="J139" s="68" t="str">
        <f t="shared" si="11"/>
        <v/>
      </c>
      <c r="K139" s="186"/>
      <c r="L139" s="102"/>
      <c r="M139" s="103"/>
      <c r="N139" s="103"/>
      <c r="O139" s="103"/>
      <c r="P139" s="103"/>
      <c r="Q139" s="103"/>
      <c r="R139" s="103"/>
    </row>
    <row r="140" spans="1:18" ht="15.6">
      <c r="A140" s="24" t="str">
        <v>Q400</v>
      </c>
      <c r="B140" s="25" t="str">
        <v>NY</v>
      </c>
      <c r="C140" s="25" t="str">
        <f>Sites[[#This Row],[SOL'#]]</f>
        <v>SOL-10871</v>
      </c>
      <c r="D140" s="54"/>
      <c r="E140" s="10"/>
      <c r="F140" s="10" t="str">
        <f t="shared" si="8"/>
        <v/>
      </c>
      <c r="G140" s="55" t="str">
        <f t="shared" si="9"/>
        <v/>
      </c>
      <c r="H140" s="67"/>
      <c r="I140" s="67" t="str">
        <f t="shared" si="10"/>
        <v/>
      </c>
      <c r="J140" s="64" t="str">
        <f t="shared" si="11"/>
        <v/>
      </c>
      <c r="K140" s="107"/>
      <c r="L140" s="98"/>
      <c r="M140" s="102"/>
      <c r="N140" s="102"/>
      <c r="O140" s="102"/>
      <c r="P140" s="102"/>
      <c r="Q140" s="103"/>
      <c r="R140" s="103"/>
    </row>
    <row r="141" spans="1:18" ht="15.6">
      <c r="A141" s="26" t="str">
        <v>R003</v>
      </c>
      <c r="B141" s="27" t="str">
        <v>NY</v>
      </c>
      <c r="C141" s="9" t="str">
        <f>Sites[[#This Row],[SOL'#]]</f>
        <v>SOL-10416</v>
      </c>
      <c r="D141" s="66"/>
      <c r="E141" s="14"/>
      <c r="F141" s="14" t="str">
        <f t="shared" si="8"/>
        <v/>
      </c>
      <c r="G141" s="68" t="str">
        <f t="shared" si="9"/>
        <v/>
      </c>
      <c r="H141" s="69"/>
      <c r="I141" s="69" t="str">
        <f t="shared" si="10"/>
        <v/>
      </c>
      <c r="J141" s="68" t="str">
        <f t="shared" si="11"/>
        <v/>
      </c>
      <c r="K141" s="186"/>
      <c r="L141" s="102"/>
      <c r="M141" s="103"/>
      <c r="N141" s="103"/>
      <c r="O141" s="103"/>
      <c r="P141" s="103"/>
      <c r="Q141" s="103"/>
      <c r="R141" s="103"/>
    </row>
    <row r="142" spans="1:18" ht="15.6">
      <c r="A142" s="24" t="str">
        <v>R007</v>
      </c>
      <c r="B142" s="25" t="str">
        <v>NY</v>
      </c>
      <c r="C142" s="25" t="str">
        <f>Sites[[#This Row],[SOL'#]]</f>
        <v>SOL-10417</v>
      </c>
      <c r="D142" s="54"/>
      <c r="E142" s="10"/>
      <c r="F142" s="10" t="str">
        <f t="shared" si="8"/>
        <v/>
      </c>
      <c r="G142" s="55" t="str">
        <f t="shared" si="9"/>
        <v/>
      </c>
      <c r="H142" s="67"/>
      <c r="I142" s="67" t="str">
        <f t="shared" si="10"/>
        <v/>
      </c>
      <c r="J142" s="64" t="str">
        <f t="shared" si="11"/>
        <v/>
      </c>
      <c r="K142" s="107"/>
      <c r="L142" s="47"/>
      <c r="M142" s="103"/>
      <c r="N142" s="103"/>
      <c r="O142" s="103"/>
      <c r="P142" s="103"/>
      <c r="Q142" s="103"/>
      <c r="R142" s="103"/>
    </row>
    <row r="143" spans="1:18" ht="15.6">
      <c r="A143" s="26" t="str">
        <v>BK16</v>
      </c>
      <c r="B143" s="27" t="str">
        <v>NY</v>
      </c>
      <c r="C143" s="9" t="str">
        <f>Sites[[#This Row],[SOL'#]]</f>
        <v>SOL-11093</v>
      </c>
      <c r="D143" s="66"/>
      <c r="E143" s="14"/>
      <c r="F143" s="14" t="str">
        <f t="shared" si="8"/>
        <v/>
      </c>
      <c r="G143" s="68" t="str">
        <f t="shared" si="9"/>
        <v/>
      </c>
      <c r="H143" s="69"/>
      <c r="I143" s="69" t="str">
        <f t="shared" si="10"/>
        <v/>
      </c>
      <c r="J143" s="68" t="str">
        <f t="shared" si="11"/>
        <v/>
      </c>
      <c r="K143" s="186"/>
      <c r="L143" s="102"/>
      <c r="M143" s="103"/>
      <c r="N143" s="103"/>
      <c r="O143" s="103"/>
      <c r="P143" s="103"/>
      <c r="Q143" s="103"/>
      <c r="R143" s="103"/>
    </row>
    <row r="144" spans="1:18" ht="15.6">
      <c r="A144" s="24" t="str">
        <v>Trenton - Trenton East</v>
      </c>
      <c r="B144" s="25" t="str">
        <v>IL</v>
      </c>
      <c r="C144" s="25" t="str">
        <f>Sites[[#This Row],[SOL'#]]</f>
        <v>SOL-11060</v>
      </c>
      <c r="D144" s="54"/>
      <c r="E144" s="10"/>
      <c r="F144" s="10" t="str">
        <f t="shared" si="8"/>
        <v/>
      </c>
      <c r="G144" s="55" t="str">
        <f t="shared" si="9"/>
        <v/>
      </c>
      <c r="H144" s="67"/>
      <c r="I144" s="67" t="str">
        <f t="shared" si="10"/>
        <v/>
      </c>
      <c r="J144" s="64" t="str">
        <f t="shared" si="11"/>
        <v/>
      </c>
      <c r="K144" s="107"/>
      <c r="L144" s="98"/>
      <c r="M144" s="103"/>
      <c r="N144" s="103"/>
      <c r="O144" s="103"/>
      <c r="P144" s="103"/>
      <c r="Q144" s="103"/>
      <c r="R144" s="103"/>
    </row>
    <row r="145" spans="1:18" ht="15.6">
      <c r="A145" s="26" t="str">
        <v>Trenton - Trenton West</v>
      </c>
      <c r="B145" s="27" t="str">
        <v>IL</v>
      </c>
      <c r="C145" s="9" t="str">
        <f>Sites[[#This Row],[SOL'#]]</f>
        <v>SOL-11061</v>
      </c>
      <c r="D145" s="66"/>
      <c r="E145" s="14"/>
      <c r="F145" s="14" t="str">
        <f t="shared" si="8"/>
        <v/>
      </c>
      <c r="G145" s="68" t="str">
        <f t="shared" si="9"/>
        <v/>
      </c>
      <c r="H145" s="69"/>
      <c r="I145" s="69" t="str">
        <f t="shared" si="10"/>
        <v/>
      </c>
      <c r="J145" s="68" t="str">
        <f t="shared" si="11"/>
        <v/>
      </c>
      <c r="K145" s="186"/>
      <c r="L145" s="102"/>
      <c r="M145" s="103"/>
      <c r="N145" s="103"/>
      <c r="O145" s="103"/>
      <c r="P145" s="103"/>
      <c r="Q145" s="103"/>
      <c r="R145" s="103"/>
    </row>
    <row r="146" spans="1:18" ht="15.6">
      <c r="A146" s="24" t="str">
        <v>Dakota - Dakota Solar 1</v>
      </c>
      <c r="B146" s="25" t="str">
        <v>IL</v>
      </c>
      <c r="C146" s="25" t="str">
        <f>Sites[[#This Row],[SOL'#]]</f>
        <v>SOL-11113</v>
      </c>
      <c r="D146" s="54"/>
      <c r="E146" s="10"/>
      <c r="F146" s="10" t="str">
        <f t="shared" si="8"/>
        <v/>
      </c>
      <c r="G146" s="55" t="str">
        <f t="shared" si="9"/>
        <v/>
      </c>
      <c r="H146" s="67"/>
      <c r="I146" s="67" t="str">
        <f t="shared" si="10"/>
        <v/>
      </c>
      <c r="J146" s="64" t="str">
        <f t="shared" si="11"/>
        <v/>
      </c>
      <c r="K146" s="107"/>
      <c r="L146" s="47"/>
      <c r="M146" s="103"/>
      <c r="N146" s="103"/>
      <c r="O146" s="103"/>
      <c r="P146" s="103"/>
      <c r="Q146" s="103"/>
      <c r="R146" s="103"/>
    </row>
    <row r="147" spans="1:18" ht="15.6">
      <c r="A147" s="26" t="str">
        <v>X018</v>
      </c>
      <c r="B147" s="27" t="str">
        <v>NY</v>
      </c>
      <c r="C147" s="9" t="str">
        <f>Sites[[#This Row],[SOL'#]]</f>
        <v>SOL-10418</v>
      </c>
      <c r="D147" s="66"/>
      <c r="E147" s="14"/>
      <c r="F147" s="14" t="str">
        <f t="shared" si="8"/>
        <v/>
      </c>
      <c r="G147" s="68" t="str">
        <f t="shared" si="9"/>
        <v/>
      </c>
      <c r="H147" s="69"/>
      <c r="I147" s="69" t="str">
        <f t="shared" si="10"/>
        <v/>
      </c>
      <c r="J147" s="68" t="str">
        <f t="shared" si="11"/>
        <v/>
      </c>
      <c r="K147" s="186"/>
      <c r="L147" s="88"/>
      <c r="M147" s="103"/>
      <c r="N147" s="103"/>
      <c r="O147" s="103"/>
      <c r="P147" s="103"/>
      <c r="Q147" s="103"/>
      <c r="R147" s="103"/>
    </row>
    <row r="148" spans="1:18" ht="15.6">
      <c r="A148" s="24" t="str">
        <v>Janiak Solar</v>
      </c>
      <c r="B148" s="25" t="str">
        <v>NY</v>
      </c>
      <c r="C148" s="25" t="str">
        <f>Sites[[#This Row],[SOL'#]]</f>
        <v>SOL-10898</v>
      </c>
      <c r="D148" s="54"/>
      <c r="E148" s="10"/>
      <c r="F148" s="10" t="str">
        <f t="shared" si="8"/>
        <v/>
      </c>
      <c r="G148" s="55" t="str">
        <f t="shared" si="9"/>
        <v/>
      </c>
      <c r="H148" s="67"/>
      <c r="I148" s="67" t="str">
        <f t="shared" si="10"/>
        <v/>
      </c>
      <c r="J148" s="64" t="str">
        <f t="shared" si="11"/>
        <v/>
      </c>
      <c r="K148" s="107"/>
      <c r="L148" s="98"/>
      <c r="M148" s="103"/>
      <c r="N148" s="103"/>
      <c r="O148" s="103"/>
      <c r="P148" s="103"/>
      <c r="Q148" s="103"/>
      <c r="R148" s="103"/>
    </row>
    <row r="149" spans="1:18" ht="15.6">
      <c r="A149" s="26" t="str">
        <v>County Route 11B</v>
      </c>
      <c r="B149" s="27" t="str">
        <v>NY</v>
      </c>
      <c r="C149" s="9" t="str">
        <f>Sites[[#This Row],[SOL'#]]</f>
        <v>SOL-10983</v>
      </c>
      <c r="D149" s="66"/>
      <c r="E149" s="14"/>
      <c r="F149" s="14" t="str">
        <f t="shared" si="8"/>
        <v/>
      </c>
      <c r="G149" s="68" t="str">
        <f t="shared" si="9"/>
        <v/>
      </c>
      <c r="H149" s="125"/>
      <c r="I149" s="69" t="str">
        <f t="shared" si="10"/>
        <v/>
      </c>
      <c r="J149" s="68" t="str">
        <f t="shared" si="11"/>
        <v/>
      </c>
      <c r="K149" s="186"/>
      <c r="L149" s="101"/>
      <c r="M149" s="102"/>
      <c r="N149" s="103"/>
      <c r="O149" s="103"/>
      <c r="P149" s="103"/>
      <c r="Q149" s="103"/>
      <c r="R149" s="103"/>
    </row>
    <row r="150" spans="1:18" ht="15.6">
      <c r="A150" s="24" t="str">
        <v>Barone</v>
      </c>
      <c r="B150" s="25" t="str">
        <v>NY</v>
      </c>
      <c r="C150" s="25" t="str">
        <f>Sites[[#This Row],[SOL'#]]</f>
        <v>SOL-11034</v>
      </c>
      <c r="D150" s="54"/>
      <c r="E150" s="10"/>
      <c r="F150" s="10" t="str">
        <f t="shared" si="8"/>
        <v/>
      </c>
      <c r="G150" s="55" t="str">
        <f t="shared" si="9"/>
        <v/>
      </c>
      <c r="H150" s="67"/>
      <c r="I150" s="67" t="str">
        <f t="shared" si="10"/>
        <v/>
      </c>
      <c r="J150" s="64" t="str">
        <f t="shared" si="11"/>
        <v/>
      </c>
      <c r="K150" s="107"/>
      <c r="L150" s="98"/>
      <c r="M150" s="102"/>
      <c r="N150" s="102"/>
      <c r="O150" s="103"/>
      <c r="P150" s="103"/>
      <c r="Q150" s="103"/>
      <c r="R150" s="103"/>
    </row>
    <row r="151" spans="1:18" ht="15.6">
      <c r="A151" s="26" t="str">
        <v>Cedarville</v>
      </c>
      <c r="B151" s="27" t="str">
        <v>IL</v>
      </c>
      <c r="C151" s="9" t="str">
        <f>Sites[[#This Row],[SOL'#]]</f>
        <v>SOL-11069</v>
      </c>
      <c r="D151" s="66"/>
      <c r="E151" s="14"/>
      <c r="F151" s="14" t="str">
        <f t="shared" si="8"/>
        <v/>
      </c>
      <c r="G151" s="68" t="str">
        <f t="shared" si="9"/>
        <v/>
      </c>
      <c r="H151" s="69"/>
      <c r="I151" s="69" t="str">
        <f t="shared" si="10"/>
        <v/>
      </c>
      <c r="J151" s="68" t="str">
        <f t="shared" si="11"/>
        <v/>
      </c>
      <c r="K151" s="186"/>
      <c r="L151" s="102"/>
      <c r="M151" s="103"/>
      <c r="N151" s="103"/>
      <c r="O151" s="103"/>
      <c r="P151" s="103"/>
      <c r="Q151" s="103"/>
      <c r="R151" s="103"/>
    </row>
    <row r="152" spans="1:18" ht="15.6">
      <c r="A152" s="24" t="str">
        <v xml:space="preserve"> O'Brien Hill #1</v>
      </c>
      <c r="B152" s="25" t="str">
        <v>NY</v>
      </c>
      <c r="C152" s="25" t="str">
        <f>Sites[[#This Row],[SOL'#]]</f>
        <v>SOL-11098</v>
      </c>
      <c r="D152" s="54"/>
      <c r="E152" s="10"/>
      <c r="F152" s="10" t="str">
        <f t="shared" si="8"/>
        <v/>
      </c>
      <c r="G152" s="55" t="str">
        <f t="shared" si="9"/>
        <v/>
      </c>
      <c r="H152" s="126"/>
      <c r="I152" s="67" t="str">
        <f t="shared" si="10"/>
        <v/>
      </c>
      <c r="J152" s="64" t="str">
        <f t="shared" si="11"/>
        <v/>
      </c>
      <c r="K152" s="107"/>
      <c r="L152" s="98"/>
      <c r="M152" s="102"/>
      <c r="N152" s="103"/>
      <c r="O152" s="103"/>
      <c r="P152" s="103"/>
      <c r="Q152" s="103"/>
      <c r="R152" s="103"/>
    </row>
    <row r="153" spans="1:18" ht="15.6">
      <c r="A153" s="26" t="str">
        <v xml:space="preserve"> O'Brien Hill #2</v>
      </c>
      <c r="B153" s="27" t="str">
        <v>NY</v>
      </c>
      <c r="C153" s="9" t="str">
        <f>Sites[[#This Row],[SOL'#]]</f>
        <v>SOL-11099</v>
      </c>
      <c r="D153" s="66"/>
      <c r="E153" s="14"/>
      <c r="F153" s="14" t="str">
        <f t="shared" si="8"/>
        <v/>
      </c>
      <c r="G153" s="68" t="str">
        <f t="shared" si="9"/>
        <v/>
      </c>
      <c r="H153" s="69"/>
      <c r="I153" s="69" t="str">
        <f t="shared" si="10"/>
        <v/>
      </c>
      <c r="J153" s="68" t="str">
        <f t="shared" si="11"/>
        <v/>
      </c>
      <c r="K153" s="186"/>
      <c r="L153" s="101"/>
      <c r="M153" s="102"/>
      <c r="N153" s="102"/>
      <c r="O153" s="103"/>
      <c r="P153" s="103"/>
      <c r="Q153" s="103"/>
      <c r="R153" s="103"/>
    </row>
    <row r="154" spans="1:18" ht="15.6">
      <c r="A154" s="24" t="str">
        <v>Trinity - Freeport</v>
      </c>
      <c r="B154" s="25" t="str">
        <v>IL</v>
      </c>
      <c r="C154" s="25" t="str">
        <f>Sites[[#This Row],[SOL'#]]</f>
        <v>SOL-11057</v>
      </c>
      <c r="D154" s="54"/>
      <c r="E154" s="10"/>
      <c r="F154" s="10" t="str">
        <f t="shared" si="8"/>
        <v/>
      </c>
      <c r="G154" s="55" t="str">
        <f t="shared" si="9"/>
        <v/>
      </c>
      <c r="H154" s="67"/>
      <c r="I154" s="67" t="str">
        <f t="shared" si="10"/>
        <v/>
      </c>
      <c r="J154" s="64" t="str">
        <f t="shared" si="11"/>
        <v/>
      </c>
      <c r="K154" s="107"/>
      <c r="L154" s="98"/>
      <c r="M154" s="102"/>
      <c r="N154" s="102"/>
      <c r="O154" s="103"/>
      <c r="P154" s="103"/>
      <c r="Q154" s="103"/>
      <c r="R154" s="103"/>
    </row>
    <row r="155" spans="1:18" ht="15.6">
      <c r="A155" s="26" t="str">
        <v>Ransom</v>
      </c>
      <c r="B155" s="27" t="str">
        <v>NY</v>
      </c>
      <c r="C155" s="9" t="str">
        <f>Sites[[#This Row],[SOL'#]]</f>
        <v>SOL-11157</v>
      </c>
      <c r="D155" s="66"/>
      <c r="E155" s="14"/>
      <c r="F155" s="14" t="str">
        <f t="shared" ref="F155:F157" si="12">IF(AND(ISNUMBER(D155),ISNUMBER(E155)), D155-E155, "")</f>
        <v/>
      </c>
      <c r="G155" s="68" t="str">
        <f t="shared" si="9"/>
        <v/>
      </c>
      <c r="H155" s="69"/>
      <c r="I155" s="69" t="str">
        <f t="shared" si="10"/>
        <v/>
      </c>
      <c r="J155" s="68" t="str">
        <f t="shared" si="11"/>
        <v/>
      </c>
      <c r="K155" s="186"/>
      <c r="L155" s="101"/>
      <c r="M155" s="102"/>
      <c r="N155" s="102"/>
      <c r="O155" s="102"/>
      <c r="P155" s="102"/>
      <c r="Q155" s="103"/>
      <c r="R155" s="103"/>
    </row>
    <row r="156" spans="1:18" ht="15.6">
      <c r="A156" s="24" t="str">
        <v>Horseheads - Wedge</v>
      </c>
      <c r="B156" s="25" t="str">
        <v>NY</v>
      </c>
      <c r="C156" s="25" t="str">
        <f>Sites[[#This Row],[SOL'#]]</f>
        <v>SOL-11160</v>
      </c>
      <c r="D156" s="54"/>
      <c r="E156" s="10"/>
      <c r="F156" s="10" t="str">
        <f t="shared" si="12"/>
        <v/>
      </c>
      <c r="G156" s="55" t="str">
        <f t="shared" ref="G156:G157" si="13">IFERROR(F156/E156, "")</f>
        <v/>
      </c>
      <c r="H156" s="67"/>
      <c r="I156" s="67" t="str">
        <f t="shared" si="10"/>
        <v/>
      </c>
      <c r="J156" s="64" t="str">
        <f t="shared" si="11"/>
        <v/>
      </c>
      <c r="K156" s="107"/>
      <c r="L156" s="98"/>
      <c r="M156" s="103"/>
      <c r="N156" s="103"/>
      <c r="O156" s="103"/>
      <c r="P156" s="103"/>
      <c r="Q156" s="103"/>
      <c r="R156" s="103"/>
    </row>
    <row r="157" spans="1:18" ht="15.6">
      <c r="A157" s="26" t="str">
        <v>Otisville - Shoddy Hollow</v>
      </c>
      <c r="B157" s="27" t="str">
        <v>NY</v>
      </c>
      <c r="C157" s="9" t="str">
        <f>Sites[[#This Row],[SOL'#]]</f>
        <v>SOL-11185</v>
      </c>
      <c r="D157" s="66"/>
      <c r="E157" s="14"/>
      <c r="F157" s="14" t="str">
        <f t="shared" si="12"/>
        <v/>
      </c>
      <c r="G157" s="68" t="str">
        <f t="shared" si="13"/>
        <v/>
      </c>
      <c r="H157" s="69"/>
      <c r="I157" s="69" t="str">
        <f t="shared" si="10"/>
        <v/>
      </c>
      <c r="J157" s="68" t="str">
        <f t="shared" si="11"/>
        <v/>
      </c>
      <c r="K157" s="186"/>
      <c r="L157" s="101"/>
      <c r="M157" s="102"/>
      <c r="N157" s="102"/>
      <c r="O157" s="102"/>
      <c r="P157" s="102"/>
      <c r="Q157" s="103"/>
      <c r="R157" s="103"/>
    </row>
    <row r="158" spans="1:18" ht="15.6">
      <c r="A158" s="24" t="str">
        <v>Wellsville - Chenunda Creek</v>
      </c>
      <c r="B158" s="25" t="str">
        <v>NY</v>
      </c>
      <c r="C158" s="25" t="str">
        <f>Sites[[#This Row],[SOL'#]]</f>
        <v>SOL-11187</v>
      </c>
      <c r="D158" s="54"/>
      <c r="E158" s="10"/>
      <c r="F158" s="10" t="str">
        <f t="shared" ref="F158:F164" si="14">IF(AND(ISNUMBER(D158),ISNUMBER(E158)), D158-E158, "")</f>
        <v/>
      </c>
      <c r="G158" s="55" t="str">
        <f t="shared" ref="G158:G164" si="15">IFERROR(F158/E158, "")</f>
        <v/>
      </c>
      <c r="H158" s="67"/>
      <c r="I158" s="67" t="str">
        <f t="shared" ref="I158:I164" si="16">IF(AND(ISNUMBER(D158),ISNUMBER(H158)), D158-H158, "")</f>
        <v/>
      </c>
      <c r="J158" s="64" t="str">
        <f t="shared" ref="J158:J164" si="17">IFERROR(I158/H158, "")</f>
        <v/>
      </c>
      <c r="K158" s="107"/>
      <c r="L158" s="98"/>
      <c r="M158" s="103"/>
      <c r="N158" s="103"/>
      <c r="O158" s="103"/>
      <c r="P158" s="103"/>
      <c r="Q158" s="103"/>
      <c r="R158" s="103"/>
    </row>
    <row r="159" spans="1:18" ht="44.65" customHeight="1">
      <c r="A159" s="26" t="str">
        <v>DC: Washington - Essex Condominium</v>
      </c>
      <c r="B159" s="27" t="str">
        <v>DC</v>
      </c>
      <c r="C159" s="66" t="str">
        <f>Sites[[#This Row],[SOL'#]]</f>
        <v>SOL-10036</v>
      </c>
      <c r="D159" s="66"/>
      <c r="E159" s="14"/>
      <c r="F159" s="14" t="str">
        <f t="shared" si="14"/>
        <v/>
      </c>
      <c r="G159" s="68" t="str">
        <f t="shared" si="15"/>
        <v/>
      </c>
      <c r="H159" s="69"/>
      <c r="I159" s="69" t="str">
        <f t="shared" si="16"/>
        <v/>
      </c>
      <c r="J159" s="68" t="str">
        <f t="shared" si="17"/>
        <v/>
      </c>
      <c r="K159" s="186"/>
      <c r="L159" s="101"/>
      <c r="M159" s="102"/>
      <c r="N159" s="102"/>
      <c r="O159" s="102"/>
      <c r="P159" s="102"/>
      <c r="Q159" s="103"/>
      <c r="R159" s="103"/>
    </row>
    <row r="160" spans="1:18" ht="15.6">
      <c r="A160" s="24" t="str">
        <v>HI: Waipahu - 94-246 Leoku St - E.F.G.</v>
      </c>
      <c r="B160" s="25" t="str">
        <v>HI</v>
      </c>
      <c r="C160" s="25" t="str">
        <f>Sites[[#This Row],[SOL'#]]</f>
        <v>SOL-10071</v>
      </c>
      <c r="D160" s="54"/>
      <c r="E160" s="10"/>
      <c r="F160" s="10" t="str">
        <f t="shared" si="14"/>
        <v/>
      </c>
      <c r="G160" s="55" t="str">
        <f t="shared" si="15"/>
        <v/>
      </c>
      <c r="H160" s="67"/>
      <c r="I160" s="67" t="str">
        <f t="shared" si="16"/>
        <v/>
      </c>
      <c r="J160" s="64" t="str">
        <f t="shared" si="17"/>
        <v/>
      </c>
      <c r="K160" s="107"/>
      <c r="L160" s="100"/>
      <c r="M160" s="103"/>
      <c r="N160" s="103"/>
      <c r="O160" s="103"/>
      <c r="P160" s="103"/>
      <c r="Q160" s="103"/>
      <c r="R160" s="103"/>
    </row>
    <row r="161" spans="1:18" ht="15.6">
      <c r="A161" s="26" t="str">
        <v>HI: Waipahu - 94-099 Waipahu St - PV</v>
      </c>
      <c r="B161" s="27" t="str">
        <v>HI</v>
      </c>
      <c r="C161" s="66" t="str">
        <f>Sites[[#This Row],[SOL'#]]</f>
        <v>SOL-10068</v>
      </c>
      <c r="D161" s="66"/>
      <c r="E161" s="14"/>
      <c r="F161" s="14" t="str">
        <f t="shared" si="14"/>
        <v/>
      </c>
      <c r="G161" s="68" t="str">
        <f t="shared" si="15"/>
        <v/>
      </c>
      <c r="H161" s="69"/>
      <c r="I161" s="69" t="str">
        <f t="shared" si="16"/>
        <v/>
      </c>
      <c r="J161" s="68" t="str">
        <f t="shared" si="17"/>
        <v/>
      </c>
      <c r="K161" s="186"/>
      <c r="L161" s="101"/>
      <c r="M161" s="103"/>
      <c r="N161" s="103"/>
      <c r="O161" s="103"/>
      <c r="P161" s="103"/>
      <c r="Q161" s="103"/>
      <c r="R161" s="103"/>
    </row>
    <row r="162" spans="1:18" ht="15.6">
      <c r="A162" s="24" t="str">
        <v>IL: Prophetstown - 5170 Yager Road (PW)</v>
      </c>
      <c r="B162" s="25" t="str">
        <v>IL</v>
      </c>
      <c r="C162" s="25" t="str">
        <f>Sites[[#This Row],[SOL'#]]</f>
        <v>SOL-11149</v>
      </c>
      <c r="D162" s="54"/>
      <c r="E162" s="10"/>
      <c r="F162" s="10" t="str">
        <f t="shared" si="14"/>
        <v/>
      </c>
      <c r="G162" s="55" t="str">
        <f t="shared" si="15"/>
        <v/>
      </c>
      <c r="H162" s="67"/>
      <c r="I162" s="67" t="str">
        <f t="shared" si="16"/>
        <v/>
      </c>
      <c r="J162" s="64" t="str">
        <f t="shared" si="17"/>
        <v/>
      </c>
      <c r="K162" s="107"/>
      <c r="L162" s="100"/>
      <c r="M162" s="103"/>
      <c r="N162" s="103"/>
      <c r="O162" s="103"/>
      <c r="P162" s="103"/>
      <c r="Q162" s="103"/>
      <c r="R162" s="103"/>
    </row>
    <row r="163" spans="1:18" ht="15.6">
      <c r="A163" s="26" t="str">
        <v>IL: Viola - Goldenrod - (PW)</v>
      </c>
      <c r="B163" s="27" t="str">
        <v>IL</v>
      </c>
      <c r="C163" s="66" t="str">
        <f>Sites[[#This Row],[SOL'#]]</f>
        <v>SOL-11132</v>
      </c>
      <c r="D163" s="66"/>
      <c r="E163" s="14"/>
      <c r="F163" s="14" t="str">
        <f t="shared" si="14"/>
        <v/>
      </c>
      <c r="G163" s="68" t="str">
        <f t="shared" si="15"/>
        <v/>
      </c>
      <c r="H163" s="69"/>
      <c r="I163" s="69" t="str">
        <f t="shared" si="16"/>
        <v/>
      </c>
      <c r="J163" s="68" t="str">
        <f t="shared" si="17"/>
        <v/>
      </c>
      <c r="K163" s="186"/>
      <c r="L163" s="101"/>
    </row>
    <row r="164" spans="1:18" ht="15.6">
      <c r="A164" s="24" t="str">
        <v>IL: Marengo - Grant - (PW)</v>
      </c>
      <c r="B164" s="25" t="str">
        <v>IL</v>
      </c>
      <c r="C164" s="25" t="str">
        <f>Sites[[#This Row],[SOL'#]]</f>
        <v>SOL-11147</v>
      </c>
      <c r="D164" s="54"/>
      <c r="E164" s="10"/>
      <c r="F164" s="10" t="str">
        <f t="shared" si="14"/>
        <v/>
      </c>
      <c r="G164" s="55" t="str">
        <f t="shared" si="15"/>
        <v/>
      </c>
      <c r="H164" s="67"/>
      <c r="I164" s="67" t="str">
        <f t="shared" si="16"/>
        <v/>
      </c>
      <c r="J164" s="64" t="str">
        <f t="shared" si="17"/>
        <v/>
      </c>
      <c r="K164" s="107"/>
      <c r="L164" s="100"/>
    </row>
    <row r="165" spans="1:18">
      <c r="A165" t="str">
        <v>NY: Cambridge - Cambridge (PW)</v>
      </c>
      <c r="B165" s="30" t="str">
        <v>NY</v>
      </c>
    </row>
    <row r="166" spans="1:18">
      <c r="A166" t="str">
        <v>NY: Whitesville - Independence North</v>
      </c>
      <c r="B166" s="30" t="str">
        <v>NY</v>
      </c>
    </row>
    <row r="167" spans="1:18">
      <c r="A167" t="str">
        <v>IL: Beecher - Cottage Grove North (PW)</v>
      </c>
      <c r="B167" s="30" t="str">
        <v>IL</v>
      </c>
    </row>
    <row r="168" spans="1:18">
      <c r="A168" t="str">
        <v>IL: Beecher - Cottage Grove South (PW)</v>
      </c>
      <c r="B168" s="30" t="str">
        <v>IL</v>
      </c>
    </row>
    <row r="169" spans="1:18">
      <c r="A169" t="str">
        <v>IL: Harvard - 9618 US HWY 14 (PW)</v>
      </c>
      <c r="B169" s="30" t="str">
        <v>IL</v>
      </c>
    </row>
    <row r="170" spans="1:18">
      <c r="A170" t="str">
        <v>IL: Beecher - 701 E Goodenow Rd (PW)</v>
      </c>
      <c r="B170" s="30" t="str">
        <v>IL</v>
      </c>
    </row>
    <row r="171" spans="1:18">
      <c r="A171" t="str">
        <v>NY: Stormville - Green Haven - (IRA)</v>
      </c>
      <c r="B171" s="30" t="str">
        <v>NY</v>
      </c>
    </row>
    <row r="172" spans="1:18">
      <c r="A172" t="str">
        <v>IL: Hillsboro - Anacott (PW)</v>
      </c>
      <c r="B172" s="30" t="str">
        <v>IL</v>
      </c>
    </row>
    <row r="173" spans="1:18">
      <c r="A173" t="str">
        <v>IL: Manhattan - Gougar (PW)</v>
      </c>
      <c r="B173" s="30" t="str">
        <v>IL</v>
      </c>
    </row>
    <row r="174" spans="1:18">
      <c r="A174" t="str">
        <v>IL: Morrison - Sawyer (PW)</v>
      </c>
      <c r="B174" s="30" t="str">
        <v>IL</v>
      </c>
    </row>
    <row r="175" spans="1:18">
      <c r="A175" t="str">
        <v>IL: Kankakee - Jeffery (PW)</v>
      </c>
      <c r="B175" s="30" t="str">
        <v>IL</v>
      </c>
    </row>
    <row r="176" spans="1:18">
      <c r="A176" t="str">
        <v>IL: Freeport - 2240 South 18th Ave (PW)</v>
      </c>
      <c r="B176" s="30" t="str">
        <v>IL</v>
      </c>
    </row>
  </sheetData>
  <mergeCells count="4">
    <mergeCell ref="H1:J1"/>
    <mergeCell ref="A1:D1"/>
    <mergeCell ref="E1:G1"/>
    <mergeCell ref="A2:B2"/>
  </mergeCells>
  <phoneticPr fontId="40" type="noConversion"/>
  <conditionalFormatting sqref="G2 J2 G4:G164 J4:J164">
    <cfRule type="cellIs" dxfId="28" priority="43" stopIfTrue="1" operator="lessThanOrEqual">
      <formula>-0.1</formula>
    </cfRule>
    <cfRule type="expression" dxfId="27" priority="44">
      <formula>AND(ISNUMBER(G2), G2&gt;=0.1)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AC176"/>
  <sheetViews>
    <sheetView zoomScale="40" zoomScaleNormal="40" workbookViewId="0">
      <pane xSplit="2" ySplit="3" topLeftCell="C138"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17.7109375" style="30"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95" t="str" cm="1">
        <f t="array" ref="A1">portfolio</f>
        <v>Generate Capital</v>
      </c>
      <c r="B1" s="195"/>
      <c r="C1" s="195"/>
      <c r="D1" s="195"/>
      <c r="E1" s="196" t="s">
        <v>382</v>
      </c>
      <c r="F1" s="196"/>
      <c r="G1" s="196"/>
      <c r="H1" s="194" t="s">
        <v>383</v>
      </c>
      <c r="I1" s="194"/>
      <c r="J1" s="194"/>
      <c r="K1" s="4"/>
      <c r="L1" s="4"/>
    </row>
    <row r="2" spans="1:24" ht="19.5" customHeight="1">
      <c r="A2" s="197" t="s">
        <v>2</v>
      </c>
      <c r="B2" s="197"/>
      <c r="C2" s="57"/>
      <c r="D2" s="5">
        <f>SUM(D4:D159)</f>
        <v>0</v>
      </c>
      <c r="E2" s="5">
        <f>SUM(E4:E84)</f>
        <v>0</v>
      </c>
      <c r="F2" s="5">
        <f>D2-E2</f>
        <v>0</v>
      </c>
      <c r="G2" s="6">
        <f>IFERROR(F2/E2, 0)</f>
        <v>0</v>
      </c>
      <c r="H2" s="5">
        <f>SUM(H4:H159)</f>
        <v>0</v>
      </c>
      <c r="I2" s="7">
        <f>D2-H2</f>
        <v>0</v>
      </c>
      <c r="J2" s="6">
        <f>IFERROR(I2/H2, 0)</f>
        <v>0</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4" ht="14.25" customHeight="1">
      <c r="A3" s="8" t="s">
        <v>3</v>
      </c>
      <c r="B3" s="8" t="s">
        <v>4</v>
      </c>
      <c r="C3" s="8" t="s">
        <v>5</v>
      </c>
      <c r="D3" s="19" t="s">
        <v>6</v>
      </c>
      <c r="E3" s="31" t="s">
        <v>7</v>
      </c>
      <c r="F3" s="31" t="s">
        <v>8</v>
      </c>
      <c r="G3" s="32" t="s">
        <v>9</v>
      </c>
      <c r="H3" s="33" t="s">
        <v>10</v>
      </c>
      <c r="I3" s="34" t="s">
        <v>8</v>
      </c>
      <c r="J3" s="35" t="s">
        <v>9</v>
      </c>
      <c r="K3" s="21" t="s">
        <v>24</v>
      </c>
      <c r="L3" s="21" t="s">
        <v>25</v>
      </c>
    </row>
    <row r="4" spans="1:24" ht="15.6">
      <c r="A4" s="26" t="str" cm="1">
        <f t="array" ref="A4:A176">Sites[Site]</f>
        <v>K026</v>
      </c>
      <c r="B4" s="27" t="str" cm="1">
        <f t="array" ref="B4:B176">Sites[State]</f>
        <v>NY</v>
      </c>
      <c r="C4" s="27" t="str">
        <f>Sites[[#This Row],[SOL'#]]</f>
        <v>SOL-10356</v>
      </c>
      <c r="D4" s="66"/>
      <c r="E4" s="14"/>
      <c r="F4" s="14" t="str">
        <f t="shared" ref="F4:F52" si="0">IF(AND(ISNUMBER(D4),ISNUMBER(E4)), D4-E4, "")</f>
        <v/>
      </c>
      <c r="G4" s="15" t="str">
        <f t="shared" ref="G4:G53" si="1">IFERROR(F4/E4, "")</f>
        <v/>
      </c>
      <c r="H4" s="16"/>
      <c r="I4" s="16" t="str">
        <f>IF(AND(ISNUMBER(D4),ISNUMBER(H4)), D4-H4, "")</f>
        <v/>
      </c>
      <c r="J4" s="15" t="str">
        <f>IFERROR(I4/H4, "")</f>
        <v/>
      </c>
      <c r="K4" s="51"/>
      <c r="L4" s="99"/>
      <c r="M4" s="103"/>
      <c r="N4" s="103"/>
      <c r="O4" s="103"/>
      <c r="P4" s="103"/>
      <c r="Q4" s="103"/>
      <c r="R4" s="103"/>
      <c r="S4" s="103"/>
      <c r="T4" s="103"/>
      <c r="U4" s="103"/>
      <c r="V4" s="103"/>
      <c r="W4" s="103"/>
      <c r="X4" s="103"/>
    </row>
    <row r="5" spans="1:24" ht="15.6">
      <c r="A5" s="28" t="str">
        <v>K041</v>
      </c>
      <c r="B5" s="25" t="str">
        <v>NY</v>
      </c>
      <c r="C5" s="25" t="str">
        <f>Sites[[#This Row],[SOL'#]]</f>
        <v>SOL-10357</v>
      </c>
      <c r="D5" s="20"/>
      <c r="E5" s="10"/>
      <c r="F5" s="10" t="str">
        <f t="shared" si="0"/>
        <v/>
      </c>
      <c r="G5" s="11" t="str">
        <f t="shared" si="1"/>
        <v/>
      </c>
      <c r="H5" s="12"/>
      <c r="I5" s="12" t="str">
        <f t="shared" ref="I5:I51" si="2">IF(AND(ISNUMBER(D5),ISNUMBER(H5)), D5-H5, "")</f>
        <v/>
      </c>
      <c r="J5" s="13" t="str">
        <f t="shared" ref="J5:J51" si="3">IFERROR(I5/H5, "")</f>
        <v/>
      </c>
      <c r="K5" s="53"/>
      <c r="L5" s="53"/>
      <c r="M5" s="103"/>
      <c r="N5" s="103"/>
      <c r="O5" s="103"/>
      <c r="P5" s="103"/>
      <c r="Q5" s="103"/>
      <c r="R5" s="103"/>
      <c r="S5" s="103"/>
      <c r="T5" s="103"/>
      <c r="U5" s="103"/>
      <c r="V5" s="103"/>
      <c r="W5" s="103"/>
      <c r="X5" s="103"/>
    </row>
    <row r="6" spans="1:24" ht="15.6">
      <c r="A6" s="26" t="str">
        <v>K043</v>
      </c>
      <c r="B6" s="27" t="str">
        <v>NY</v>
      </c>
      <c r="C6" s="27" t="str">
        <f>Sites[[#This Row],[SOL'#]]</f>
        <v>SOL-10358</v>
      </c>
      <c r="D6" s="9"/>
      <c r="E6" s="14"/>
      <c r="F6" s="14" t="str">
        <f t="shared" si="0"/>
        <v/>
      </c>
      <c r="G6" s="15" t="str">
        <f t="shared" si="1"/>
        <v/>
      </c>
      <c r="H6" s="16"/>
      <c r="I6" s="16" t="str">
        <f t="shared" si="2"/>
        <v/>
      </c>
      <c r="J6" s="15" t="str">
        <f t="shared" si="3"/>
        <v/>
      </c>
      <c r="K6" s="51"/>
      <c r="L6" s="99"/>
      <c r="M6" s="102"/>
      <c r="N6" s="103"/>
      <c r="O6" s="103"/>
      <c r="P6" s="103"/>
      <c r="Q6" s="103"/>
      <c r="R6" s="103"/>
      <c r="S6" s="103"/>
      <c r="T6" s="103"/>
      <c r="U6" s="103"/>
      <c r="V6" s="103"/>
      <c r="W6" s="103"/>
      <c r="X6" s="103"/>
    </row>
    <row r="7" spans="1:24" ht="27" customHeight="1">
      <c r="A7" s="28" t="str">
        <v>K058</v>
      </c>
      <c r="B7" s="25" t="str">
        <v>NY</v>
      </c>
      <c r="C7" s="25" t="str">
        <f>Sites[[#This Row],[SOL'#]]</f>
        <v>SOL-10360</v>
      </c>
      <c r="D7" s="20"/>
      <c r="E7" s="10"/>
      <c r="F7" s="10" t="str">
        <f t="shared" si="0"/>
        <v/>
      </c>
      <c r="G7" s="11" t="str">
        <f t="shared" si="1"/>
        <v/>
      </c>
      <c r="H7" s="12"/>
      <c r="I7" s="12" t="str">
        <f t="shared" si="2"/>
        <v/>
      </c>
      <c r="J7" s="13" t="str">
        <f t="shared" si="3"/>
        <v/>
      </c>
      <c r="K7" s="53"/>
      <c r="L7" s="134"/>
      <c r="M7" s="102"/>
      <c r="N7" s="103"/>
      <c r="O7" s="103"/>
      <c r="P7" s="103"/>
      <c r="Q7" s="103"/>
      <c r="R7" s="103"/>
      <c r="S7" s="103"/>
      <c r="T7" s="103"/>
      <c r="U7" s="103"/>
      <c r="V7" s="103"/>
      <c r="W7" s="103"/>
      <c r="X7" s="103"/>
    </row>
    <row r="8" spans="1:24" ht="48" customHeight="1">
      <c r="A8" s="26" t="str">
        <v>K115</v>
      </c>
      <c r="B8" s="27" t="str">
        <v>NY</v>
      </c>
      <c r="C8" s="27" t="str">
        <f>Sites[[#This Row],[SOL'#]]</f>
        <v>SOL-10361</v>
      </c>
      <c r="D8" s="9"/>
      <c r="E8" s="14"/>
      <c r="F8" s="14" t="str">
        <f t="shared" si="0"/>
        <v/>
      </c>
      <c r="G8" s="15" t="str">
        <f t="shared" si="1"/>
        <v/>
      </c>
      <c r="H8" s="16"/>
      <c r="I8" s="16" t="str">
        <f t="shared" si="2"/>
        <v/>
      </c>
      <c r="J8" s="15" t="str">
        <f t="shared" si="3"/>
        <v/>
      </c>
      <c r="K8" s="51"/>
      <c r="L8" s="99"/>
      <c r="M8" s="102"/>
      <c r="N8" s="103"/>
      <c r="O8" s="103"/>
      <c r="P8" s="103"/>
      <c r="Q8" s="103"/>
      <c r="R8" s="103"/>
      <c r="S8" s="103"/>
      <c r="T8" s="103"/>
      <c r="U8" s="103"/>
      <c r="V8" s="103"/>
      <c r="W8" s="103"/>
      <c r="X8" s="103"/>
    </row>
    <row r="9" spans="1:24" ht="15.6">
      <c r="A9" s="28" t="str">
        <v>K152</v>
      </c>
      <c r="B9" s="25" t="str">
        <v>NY</v>
      </c>
      <c r="C9" s="25" t="str">
        <f>Sites[[#This Row],[SOL'#]]</f>
        <v>SOL-10362</v>
      </c>
      <c r="D9" s="20"/>
      <c r="E9" s="10"/>
      <c r="F9" s="10" t="str">
        <f t="shared" si="0"/>
        <v/>
      </c>
      <c r="G9" s="11" t="str">
        <f t="shared" si="1"/>
        <v/>
      </c>
      <c r="H9" s="12"/>
      <c r="I9" s="12" t="str">
        <f t="shared" si="2"/>
        <v/>
      </c>
      <c r="J9" s="13" t="str">
        <f t="shared" si="3"/>
        <v/>
      </c>
      <c r="K9" s="53"/>
      <c r="L9" s="53"/>
      <c r="M9" s="103"/>
      <c r="N9" s="103"/>
      <c r="O9" s="103"/>
      <c r="P9" s="103"/>
      <c r="Q9" s="103"/>
      <c r="R9" s="103"/>
      <c r="S9" s="103"/>
      <c r="T9" s="103"/>
      <c r="U9" s="103"/>
      <c r="V9" s="103"/>
      <c r="W9" s="103"/>
      <c r="X9" s="103"/>
    </row>
    <row r="10" spans="1:24" ht="15.6">
      <c r="A10" s="26" t="str">
        <v>K166</v>
      </c>
      <c r="B10" s="27" t="str">
        <v>NY</v>
      </c>
      <c r="C10" s="27" t="str">
        <f>Sites[[#This Row],[SOL'#]]</f>
        <v>SOL-10363</v>
      </c>
      <c r="D10" s="9"/>
      <c r="E10" s="14"/>
      <c r="F10" s="14" t="str">
        <f t="shared" si="0"/>
        <v/>
      </c>
      <c r="G10" s="15" t="str">
        <f t="shared" si="1"/>
        <v/>
      </c>
      <c r="H10" s="16"/>
      <c r="I10" s="16" t="str">
        <f t="shared" si="2"/>
        <v/>
      </c>
      <c r="J10" s="15" t="str">
        <f t="shared" si="3"/>
        <v/>
      </c>
      <c r="K10" s="51"/>
      <c r="L10" s="51"/>
      <c r="M10" s="103"/>
      <c r="N10" s="103"/>
      <c r="O10" s="103"/>
      <c r="P10" s="103"/>
      <c r="Q10" s="103"/>
      <c r="R10" s="103"/>
      <c r="S10" s="103"/>
      <c r="T10" s="103"/>
      <c r="U10" s="103"/>
      <c r="V10" s="103"/>
      <c r="W10" s="103"/>
      <c r="X10" s="103"/>
    </row>
    <row r="11" spans="1:24" ht="15.6">
      <c r="A11" s="28" t="str">
        <v>K206</v>
      </c>
      <c r="B11" s="25" t="str">
        <v>NY</v>
      </c>
      <c r="C11" s="25" t="str">
        <f>Sites[[#This Row],[SOL'#]]</f>
        <v>SOL-10927</v>
      </c>
      <c r="D11" s="20"/>
      <c r="E11" s="10"/>
      <c r="F11" s="10" t="str">
        <f t="shared" si="0"/>
        <v/>
      </c>
      <c r="G11" s="11" t="str">
        <f t="shared" si="1"/>
        <v/>
      </c>
      <c r="H11" s="12"/>
      <c r="I11" s="12" t="str">
        <f t="shared" si="2"/>
        <v/>
      </c>
      <c r="J11" s="13" t="str">
        <f t="shared" si="3"/>
        <v/>
      </c>
      <c r="K11" s="53"/>
      <c r="L11" s="53"/>
      <c r="M11" s="103"/>
      <c r="N11" s="103"/>
      <c r="O11" s="103"/>
      <c r="P11" s="103"/>
      <c r="Q11" s="103"/>
      <c r="R11" s="103"/>
      <c r="S11" s="103"/>
      <c r="T11" s="103"/>
      <c r="U11" s="103"/>
      <c r="V11" s="103"/>
      <c r="W11" s="103"/>
      <c r="X11" s="103"/>
    </row>
    <row r="12" spans="1:24" ht="15.6">
      <c r="A12" s="26" t="str">
        <v>K251</v>
      </c>
      <c r="B12" s="27" t="str">
        <v>NY</v>
      </c>
      <c r="C12" s="27" t="str">
        <f>Sites[[#This Row],[SOL'#]]</f>
        <v>SOL-10365</v>
      </c>
      <c r="D12" s="9"/>
      <c r="E12" s="14"/>
      <c r="F12" s="14" t="str">
        <f t="shared" si="0"/>
        <v/>
      </c>
      <c r="G12" s="15" t="str">
        <f t="shared" si="1"/>
        <v/>
      </c>
      <c r="H12" s="16"/>
      <c r="I12" s="16" t="str">
        <f t="shared" si="2"/>
        <v/>
      </c>
      <c r="J12" s="15" t="str">
        <f t="shared" si="3"/>
        <v/>
      </c>
      <c r="K12" s="51"/>
      <c r="L12" s="99"/>
      <c r="M12" s="102"/>
      <c r="N12" s="102"/>
      <c r="O12" s="103"/>
      <c r="P12" s="103"/>
      <c r="Q12" s="103"/>
      <c r="R12" s="103"/>
      <c r="S12" s="103"/>
      <c r="T12" s="103"/>
      <c r="U12" s="103"/>
      <c r="V12" s="103"/>
      <c r="W12" s="103"/>
      <c r="X12" s="103"/>
    </row>
    <row r="13" spans="1:24" ht="15.6">
      <c r="A13" s="28" t="str">
        <v>K269</v>
      </c>
      <c r="B13" s="25" t="str">
        <v>NY</v>
      </c>
      <c r="C13" s="25" t="str">
        <f>Sites[[#This Row],[SOL'#]]</f>
        <v>SOL-10366</v>
      </c>
      <c r="D13" s="20"/>
      <c r="E13" s="10"/>
      <c r="F13" s="10" t="str">
        <f t="shared" si="0"/>
        <v/>
      </c>
      <c r="G13" s="11" t="str">
        <f t="shared" si="1"/>
        <v/>
      </c>
      <c r="H13" s="12"/>
      <c r="I13" s="12" t="str">
        <f t="shared" si="2"/>
        <v/>
      </c>
      <c r="J13" s="13" t="str">
        <f t="shared" si="3"/>
        <v/>
      </c>
      <c r="K13" s="53"/>
      <c r="L13" s="53"/>
      <c r="M13" s="103"/>
      <c r="N13" s="103"/>
      <c r="O13" s="103"/>
      <c r="P13" s="103"/>
      <c r="Q13" s="103"/>
      <c r="R13" s="103"/>
      <c r="S13" s="103"/>
      <c r="T13" s="103"/>
      <c r="U13" s="103"/>
      <c r="V13" s="103"/>
      <c r="W13" s="103"/>
      <c r="X13" s="103"/>
    </row>
    <row r="14" spans="1:24" ht="15.6">
      <c r="A14" s="26" t="str">
        <v>K273</v>
      </c>
      <c r="B14" s="27" t="str">
        <v>NY</v>
      </c>
      <c r="C14" s="27" t="str">
        <f>Sites[[#This Row],[SOL'#]]</f>
        <v>SOL-10367</v>
      </c>
      <c r="D14" s="9"/>
      <c r="E14" s="14"/>
      <c r="F14" s="14" t="str">
        <f t="shared" si="0"/>
        <v/>
      </c>
      <c r="G14" s="15" t="str">
        <f t="shared" si="1"/>
        <v/>
      </c>
      <c r="H14" s="16"/>
      <c r="I14" s="16" t="str">
        <f t="shared" si="2"/>
        <v/>
      </c>
      <c r="J14" s="15" t="str">
        <f t="shared" si="3"/>
        <v/>
      </c>
      <c r="K14" s="51"/>
      <c r="L14" s="99"/>
      <c r="M14" s="102"/>
      <c r="N14" s="103"/>
      <c r="O14" s="103"/>
      <c r="P14" s="103"/>
      <c r="Q14" s="103"/>
      <c r="R14" s="103"/>
      <c r="S14" s="103"/>
      <c r="T14" s="103"/>
      <c r="U14" s="103"/>
      <c r="V14" s="103"/>
      <c r="W14" s="103"/>
      <c r="X14" s="103"/>
    </row>
    <row r="15" spans="1:24" ht="15.6">
      <c r="A15" s="28" t="str">
        <v>K287</v>
      </c>
      <c r="B15" s="25" t="str">
        <v>NY</v>
      </c>
      <c r="C15" s="25" t="str">
        <f>Sites[[#This Row],[SOL'#]]</f>
        <v>SOL-10919</v>
      </c>
      <c r="D15" s="20"/>
      <c r="E15" s="10"/>
      <c r="F15" s="10" t="str">
        <f t="shared" si="0"/>
        <v/>
      </c>
      <c r="G15" s="11" t="str">
        <f t="shared" si="1"/>
        <v/>
      </c>
      <c r="H15" s="12"/>
      <c r="I15" s="12" t="str">
        <f t="shared" si="2"/>
        <v/>
      </c>
      <c r="J15" s="13" t="str">
        <f t="shared" si="3"/>
        <v/>
      </c>
      <c r="K15" s="53"/>
      <c r="L15" s="53"/>
      <c r="M15" s="103"/>
      <c r="N15" s="103"/>
      <c r="O15" s="103"/>
      <c r="P15" s="103"/>
      <c r="Q15" s="103"/>
      <c r="R15" s="103"/>
      <c r="S15" s="103"/>
      <c r="T15" s="103"/>
      <c r="U15" s="103"/>
      <c r="V15" s="103"/>
      <c r="W15" s="103"/>
      <c r="X15" s="103"/>
    </row>
    <row r="16" spans="1:24" ht="15.6">
      <c r="A16" s="26" t="str">
        <v>K298</v>
      </c>
      <c r="B16" s="27" t="str">
        <v>NY</v>
      </c>
      <c r="C16" s="27" t="str">
        <f>Sites[[#This Row],[SOL'#]]</f>
        <v>SOL-10368</v>
      </c>
      <c r="D16" s="9"/>
      <c r="E16" s="14"/>
      <c r="F16" s="14" t="str">
        <f t="shared" si="0"/>
        <v/>
      </c>
      <c r="G16" s="15" t="str">
        <f t="shared" si="1"/>
        <v/>
      </c>
      <c r="H16" s="16"/>
      <c r="I16" s="16" t="str">
        <f t="shared" si="2"/>
        <v/>
      </c>
      <c r="J16" s="15" t="str">
        <f t="shared" si="3"/>
        <v/>
      </c>
      <c r="K16" s="51"/>
      <c r="L16" s="99"/>
      <c r="M16" s="103"/>
      <c r="N16" s="103"/>
      <c r="O16" s="103"/>
      <c r="P16" s="103"/>
      <c r="Q16" s="103"/>
      <c r="R16" s="103"/>
      <c r="S16" s="103"/>
      <c r="T16" s="103"/>
      <c r="U16" s="103"/>
      <c r="V16" s="103"/>
      <c r="W16" s="103"/>
      <c r="X16" s="103"/>
    </row>
    <row r="17" spans="1:24" ht="15.6">
      <c r="A17" s="28" t="str">
        <v>K335</v>
      </c>
      <c r="B17" s="25" t="str">
        <v>NY</v>
      </c>
      <c r="C17" s="25" t="str">
        <f>Sites[[#This Row],[SOL'#]]</f>
        <v>SOL-10370</v>
      </c>
      <c r="D17" s="20"/>
      <c r="E17" s="10"/>
      <c r="F17" s="10" t="str">
        <f>IF(AND(ISNUMBER(D17),ISNUMBER(E17)), D17-E17, "")</f>
        <v/>
      </c>
      <c r="G17" s="55" t="str">
        <f>IFERROR(F17/E17, "")</f>
        <v/>
      </c>
      <c r="H17" s="12"/>
      <c r="I17" s="12" t="str">
        <f t="shared" si="2"/>
        <v/>
      </c>
      <c r="J17" s="13" t="str">
        <f t="shared" si="3"/>
        <v/>
      </c>
      <c r="K17" s="53"/>
      <c r="L17" s="98"/>
      <c r="M17" s="103"/>
      <c r="N17" s="103"/>
      <c r="O17" s="103"/>
      <c r="P17" s="103"/>
      <c r="Q17" s="103"/>
      <c r="R17" s="103"/>
      <c r="S17" s="103"/>
      <c r="T17" s="103"/>
      <c r="U17" s="103"/>
      <c r="V17" s="103"/>
      <c r="W17" s="103"/>
      <c r="X17" s="103"/>
    </row>
    <row r="18" spans="1:24" ht="15.6">
      <c r="A18" s="26" t="str">
        <v>K345</v>
      </c>
      <c r="B18" s="27" t="str">
        <v>NY</v>
      </c>
      <c r="C18" s="27" t="str">
        <f>Sites[[#This Row],[SOL'#]]</f>
        <v>SOL-10920</v>
      </c>
      <c r="D18" s="9"/>
      <c r="E18" s="14"/>
      <c r="F18" s="14" t="str">
        <f t="shared" si="0"/>
        <v/>
      </c>
      <c r="G18" s="15" t="str">
        <f t="shared" si="1"/>
        <v/>
      </c>
      <c r="H18" s="16"/>
      <c r="I18" s="16" t="str">
        <f t="shared" si="2"/>
        <v/>
      </c>
      <c r="J18" s="15" t="str">
        <f t="shared" si="3"/>
        <v/>
      </c>
      <c r="K18" s="51"/>
      <c r="L18" s="99"/>
      <c r="M18" s="103"/>
      <c r="N18" s="103"/>
      <c r="O18" s="103"/>
      <c r="P18" s="103"/>
      <c r="Q18" s="103"/>
      <c r="R18" s="103"/>
      <c r="S18" s="103"/>
      <c r="T18" s="103"/>
      <c r="U18" s="103"/>
      <c r="V18" s="103"/>
      <c r="W18" s="103"/>
      <c r="X18" s="103"/>
    </row>
    <row r="19" spans="1:24" ht="15.6">
      <c r="A19" s="28" t="str">
        <v>K445</v>
      </c>
      <c r="B19" s="25" t="str">
        <v>NY</v>
      </c>
      <c r="C19" s="25" t="str">
        <f>Sites[[#This Row],[SOL'#]]</f>
        <v>SOL-10373</v>
      </c>
      <c r="D19" s="20"/>
      <c r="E19" s="10"/>
      <c r="F19" s="10" t="str">
        <f t="shared" si="0"/>
        <v/>
      </c>
      <c r="G19" s="11" t="str">
        <f t="shared" si="1"/>
        <v/>
      </c>
      <c r="H19" s="12"/>
      <c r="I19" s="12" t="str">
        <f t="shared" si="2"/>
        <v/>
      </c>
      <c r="J19" s="13" t="str">
        <f t="shared" si="3"/>
        <v/>
      </c>
      <c r="K19" s="53"/>
      <c r="L19" s="53"/>
      <c r="M19" s="103"/>
      <c r="N19" s="103"/>
      <c r="O19" s="103"/>
      <c r="P19" s="103"/>
      <c r="Q19" s="103"/>
      <c r="R19" s="103"/>
      <c r="S19" s="103"/>
      <c r="T19" s="103"/>
      <c r="U19" s="103"/>
      <c r="V19" s="103"/>
      <c r="W19" s="103"/>
      <c r="X19" s="103"/>
    </row>
    <row r="20" spans="1:24" ht="15.6">
      <c r="A20" s="26" t="str">
        <v>K495</v>
      </c>
      <c r="B20" s="27" t="str">
        <v>NY</v>
      </c>
      <c r="C20" s="27" t="str">
        <f>Sites[[#This Row],[SOL'#]]</f>
        <v>SOL-10374</v>
      </c>
      <c r="D20" s="9"/>
      <c r="E20" s="14"/>
      <c r="F20" s="14" t="str">
        <f t="shared" si="0"/>
        <v/>
      </c>
      <c r="G20" s="15" t="str">
        <f t="shared" si="1"/>
        <v/>
      </c>
      <c r="H20" s="16"/>
      <c r="I20" s="16" t="str">
        <f t="shared" si="2"/>
        <v/>
      </c>
      <c r="J20" s="15" t="str">
        <f t="shared" si="3"/>
        <v/>
      </c>
      <c r="K20" s="51"/>
      <c r="L20" s="99"/>
      <c r="M20" s="103"/>
      <c r="N20" s="103"/>
      <c r="O20" s="103"/>
      <c r="P20" s="103"/>
      <c r="Q20" s="103"/>
      <c r="R20" s="103"/>
      <c r="S20" s="103"/>
      <c r="T20" s="103"/>
      <c r="U20" s="103"/>
      <c r="V20" s="103"/>
      <c r="W20" s="103"/>
      <c r="X20" s="103"/>
    </row>
    <row r="21" spans="1:24" ht="15.6">
      <c r="A21" s="28" t="str">
        <v>M020</v>
      </c>
      <c r="B21" s="25" t="str">
        <v>NY</v>
      </c>
      <c r="C21" s="25" t="str">
        <f>Sites[[#This Row],[SOL'#]]</f>
        <v>SOL-10380</v>
      </c>
      <c r="D21" s="20"/>
      <c r="E21" s="10"/>
      <c r="F21" s="10" t="str">
        <f t="shared" si="0"/>
        <v/>
      </c>
      <c r="G21" s="11" t="str">
        <f t="shared" si="1"/>
        <v/>
      </c>
      <c r="H21" s="12"/>
      <c r="I21" s="12" t="str">
        <f t="shared" si="2"/>
        <v/>
      </c>
      <c r="J21" s="13" t="str">
        <f t="shared" si="3"/>
        <v/>
      </c>
      <c r="K21" s="53"/>
      <c r="L21" s="53"/>
      <c r="M21" s="103"/>
      <c r="N21" s="103"/>
      <c r="O21" s="103"/>
      <c r="P21" s="103"/>
      <c r="Q21" s="103"/>
      <c r="R21" s="103"/>
      <c r="S21" s="103"/>
      <c r="T21" s="103"/>
      <c r="U21" s="103"/>
      <c r="V21" s="103"/>
      <c r="W21" s="103"/>
      <c r="X21" s="103"/>
    </row>
    <row r="22" spans="1:24" ht="15.6">
      <c r="A22" s="26" t="str">
        <v>M092</v>
      </c>
      <c r="B22" s="27" t="str">
        <v>NY</v>
      </c>
      <c r="C22" s="27" t="str">
        <f>Sites[[#This Row],[SOL'#]]</f>
        <v>SOL-10383</v>
      </c>
      <c r="D22" s="9"/>
      <c r="E22" s="14"/>
      <c r="F22" s="14" t="str">
        <f t="shared" si="0"/>
        <v/>
      </c>
      <c r="G22" s="15" t="str">
        <f t="shared" si="1"/>
        <v/>
      </c>
      <c r="H22" s="16"/>
      <c r="I22" s="16" t="str">
        <f t="shared" si="2"/>
        <v/>
      </c>
      <c r="J22" s="15" t="str">
        <f t="shared" si="3"/>
        <v/>
      </c>
      <c r="K22" s="51"/>
      <c r="L22" s="51"/>
      <c r="M22" s="103"/>
      <c r="N22" s="103"/>
      <c r="O22" s="103"/>
      <c r="P22" s="103"/>
      <c r="Q22" s="103"/>
      <c r="R22" s="103"/>
      <c r="S22" s="103"/>
      <c r="T22" s="103"/>
      <c r="U22" s="103"/>
      <c r="V22" s="103"/>
      <c r="W22" s="103"/>
      <c r="X22" s="103"/>
    </row>
    <row r="23" spans="1:24" ht="15.6">
      <c r="A23" s="28" t="str">
        <v>M143</v>
      </c>
      <c r="B23" s="25" t="str">
        <v>NY</v>
      </c>
      <c r="C23" s="25" t="str">
        <f>Sites[[#This Row],[SOL'#]]</f>
        <v>SOL-10384</v>
      </c>
      <c r="D23" s="20"/>
      <c r="E23" s="10"/>
      <c r="F23" s="10" t="str">
        <f t="shared" si="0"/>
        <v/>
      </c>
      <c r="G23" s="11" t="str">
        <f t="shared" si="1"/>
        <v/>
      </c>
      <c r="H23" s="12"/>
      <c r="I23" s="12" t="str">
        <f t="shared" si="2"/>
        <v/>
      </c>
      <c r="J23" s="13" t="str">
        <f t="shared" si="3"/>
        <v/>
      </c>
      <c r="K23" s="53"/>
      <c r="L23" s="98"/>
      <c r="M23" s="103"/>
      <c r="N23" s="103"/>
      <c r="O23" s="103"/>
      <c r="P23" s="103"/>
      <c r="Q23" s="103"/>
      <c r="R23" s="103"/>
      <c r="S23" s="103"/>
      <c r="T23" s="103"/>
      <c r="U23" s="103"/>
      <c r="V23" s="103"/>
      <c r="W23" s="103"/>
      <c r="X23" s="103"/>
    </row>
    <row r="24" spans="1:24" ht="15.6">
      <c r="A24" s="26" t="str">
        <v>M144</v>
      </c>
      <c r="B24" s="27" t="str">
        <v>NY</v>
      </c>
      <c r="C24" s="27" t="str">
        <f>Sites[[#This Row],[SOL'#]]</f>
        <v>SOL-10385</v>
      </c>
      <c r="D24" s="9"/>
      <c r="E24" s="14"/>
      <c r="F24" s="14" t="str">
        <f t="shared" si="0"/>
        <v/>
      </c>
      <c r="G24" s="15" t="str">
        <f t="shared" si="1"/>
        <v/>
      </c>
      <c r="H24" s="16"/>
      <c r="I24" s="16" t="str">
        <f t="shared" si="2"/>
        <v/>
      </c>
      <c r="J24" s="15" t="str">
        <f t="shared" si="3"/>
        <v/>
      </c>
      <c r="K24" s="186"/>
      <c r="L24" s="51"/>
      <c r="M24" s="103"/>
      <c r="N24" s="103"/>
      <c r="O24" s="103"/>
      <c r="P24" s="103"/>
      <c r="Q24" s="103"/>
      <c r="R24" s="103"/>
      <c r="S24" s="103"/>
      <c r="T24" s="103"/>
      <c r="U24" s="103"/>
      <c r="V24" s="103"/>
      <c r="W24" s="103"/>
      <c r="X24" s="103"/>
    </row>
    <row r="25" spans="1:24" ht="15.6">
      <c r="A25" s="28" t="str">
        <v>M167</v>
      </c>
      <c r="B25" s="25" t="str">
        <v>NY</v>
      </c>
      <c r="C25" s="25" t="str">
        <f>Sites[[#This Row],[SOL'#]]</f>
        <v>SOL-10386</v>
      </c>
      <c r="D25" s="20"/>
      <c r="E25" s="10"/>
      <c r="F25" s="10" t="str">
        <f t="shared" si="0"/>
        <v/>
      </c>
      <c r="G25" s="11" t="str">
        <f t="shared" si="1"/>
        <v/>
      </c>
      <c r="H25" s="12"/>
      <c r="I25" s="12" t="str">
        <f t="shared" si="2"/>
        <v/>
      </c>
      <c r="J25" s="13" t="str">
        <f t="shared" si="3"/>
        <v/>
      </c>
      <c r="K25" s="53"/>
      <c r="L25" s="53"/>
      <c r="M25" s="103"/>
      <c r="N25" s="103"/>
      <c r="O25" s="103"/>
      <c r="P25" s="103"/>
      <c r="Q25" s="103"/>
      <c r="R25" s="103"/>
      <c r="S25" s="103"/>
      <c r="T25" s="103"/>
      <c r="U25" s="103"/>
      <c r="V25" s="103"/>
      <c r="W25" s="103"/>
      <c r="X25" s="103"/>
    </row>
    <row r="26" spans="1:24" ht="15.6">
      <c r="A26" s="26" t="str">
        <v>M188</v>
      </c>
      <c r="B26" s="27" t="str">
        <v>NY</v>
      </c>
      <c r="C26" s="27" t="str">
        <f>Sites[[#This Row],[SOL'#]]</f>
        <v>SOL-10387</v>
      </c>
      <c r="D26" s="9"/>
      <c r="E26" s="14"/>
      <c r="F26" s="14" t="str">
        <f t="shared" si="0"/>
        <v/>
      </c>
      <c r="G26" s="15" t="str">
        <f t="shared" si="1"/>
        <v/>
      </c>
      <c r="H26" s="16"/>
      <c r="I26" s="16" t="str">
        <f t="shared" si="2"/>
        <v/>
      </c>
      <c r="J26" s="15" t="str">
        <f t="shared" si="3"/>
        <v/>
      </c>
      <c r="K26" s="51"/>
      <c r="L26" s="51"/>
      <c r="M26" s="103"/>
      <c r="N26" s="103"/>
      <c r="O26" s="103"/>
      <c r="P26" s="103"/>
      <c r="Q26" s="103"/>
      <c r="R26" s="103"/>
      <c r="S26" s="103"/>
      <c r="T26" s="103"/>
      <c r="U26" s="103"/>
      <c r="V26" s="103"/>
      <c r="W26" s="103"/>
      <c r="X26" s="103"/>
    </row>
    <row r="27" spans="1:24" ht="15.6">
      <c r="A27" s="28" t="str">
        <v>EMHC</v>
      </c>
      <c r="B27" s="25" t="str">
        <v>NY</v>
      </c>
      <c r="C27" s="25" t="str">
        <f>Sites[[#This Row],[SOL'#]]</f>
        <v>SOL-10351</v>
      </c>
      <c r="D27" s="20"/>
      <c r="E27" s="10"/>
      <c r="F27" s="10" t="str">
        <f t="shared" si="0"/>
        <v/>
      </c>
      <c r="G27" s="11" t="str">
        <f t="shared" si="1"/>
        <v/>
      </c>
      <c r="H27" s="12"/>
      <c r="I27" s="12" t="str">
        <f t="shared" si="2"/>
        <v/>
      </c>
      <c r="J27" s="13" t="str">
        <f t="shared" si="3"/>
        <v/>
      </c>
      <c r="K27" s="53"/>
      <c r="L27" s="98"/>
      <c r="M27" s="103"/>
      <c r="N27" s="103"/>
      <c r="O27" s="103"/>
      <c r="P27" s="103"/>
      <c r="Q27" s="103"/>
      <c r="R27" s="103"/>
      <c r="S27" s="103"/>
      <c r="T27" s="103"/>
      <c r="U27" s="103"/>
      <c r="V27" s="103"/>
      <c r="W27" s="103"/>
      <c r="X27" s="103"/>
    </row>
    <row r="28" spans="1:24" ht="15.6">
      <c r="A28" s="26" t="str">
        <v>Q008</v>
      </c>
      <c r="B28" s="27" t="str">
        <v>NY</v>
      </c>
      <c r="C28" s="27" t="str">
        <f>Sites[[#This Row],[SOL'#]]</f>
        <v>SOL-10397</v>
      </c>
      <c r="D28" s="9"/>
      <c r="E28" s="14"/>
      <c r="F28" s="14" t="str">
        <f t="shared" si="0"/>
        <v/>
      </c>
      <c r="G28" s="15" t="str">
        <f t="shared" si="1"/>
        <v/>
      </c>
      <c r="H28" s="16"/>
      <c r="I28" s="16" t="str">
        <f t="shared" si="2"/>
        <v/>
      </c>
      <c r="J28" s="15" t="str">
        <f t="shared" si="3"/>
        <v/>
      </c>
      <c r="K28" s="51"/>
      <c r="L28" s="99"/>
      <c r="M28" s="102"/>
      <c r="N28" s="103"/>
      <c r="O28" s="103"/>
      <c r="P28" s="103"/>
      <c r="Q28" s="103"/>
      <c r="R28" s="103"/>
      <c r="S28" s="103"/>
      <c r="T28" s="103"/>
      <c r="U28" s="103"/>
      <c r="V28" s="103"/>
      <c r="W28" s="103"/>
      <c r="X28" s="103"/>
    </row>
    <row r="29" spans="1:24" ht="15.6">
      <c r="A29" s="28" t="str">
        <v>Q018</v>
      </c>
      <c r="B29" s="25" t="str">
        <v>NY</v>
      </c>
      <c r="C29" s="25" t="str">
        <f>Sites[[#This Row],[SOL'#]]</f>
        <v>SOL-10398</v>
      </c>
      <c r="D29" s="20"/>
      <c r="E29" s="10"/>
      <c r="F29" s="10" t="str">
        <f t="shared" si="0"/>
        <v/>
      </c>
      <c r="G29" s="11" t="str">
        <f t="shared" si="1"/>
        <v/>
      </c>
      <c r="H29" s="12"/>
      <c r="I29" s="12" t="str">
        <f t="shared" si="2"/>
        <v/>
      </c>
      <c r="J29" s="13" t="str">
        <f t="shared" si="3"/>
        <v/>
      </c>
      <c r="K29" s="53"/>
      <c r="L29" s="53"/>
      <c r="M29" s="103"/>
      <c r="N29" s="103"/>
      <c r="O29" s="103"/>
      <c r="P29" s="103"/>
      <c r="Q29" s="103"/>
      <c r="R29" s="103"/>
      <c r="S29" s="103"/>
      <c r="T29" s="103"/>
      <c r="U29" s="103"/>
      <c r="V29" s="103"/>
      <c r="W29" s="103"/>
      <c r="X29" s="103"/>
    </row>
    <row r="30" spans="1:24" ht="15.6">
      <c r="A30" s="26" t="str">
        <v>Q021</v>
      </c>
      <c r="B30" s="27" t="str">
        <v>NY</v>
      </c>
      <c r="C30" s="27" t="str">
        <f>Sites[[#This Row],[SOL'#]]</f>
        <v>SOL-10399</v>
      </c>
      <c r="D30" s="9"/>
      <c r="E30" s="14"/>
      <c r="F30" s="14" t="str">
        <f t="shared" si="0"/>
        <v/>
      </c>
      <c r="G30" s="15" t="str">
        <f t="shared" si="1"/>
        <v/>
      </c>
      <c r="H30" s="16"/>
      <c r="I30" s="16" t="str">
        <f t="shared" si="2"/>
        <v/>
      </c>
      <c r="J30" s="15" t="str">
        <f t="shared" si="3"/>
        <v/>
      </c>
      <c r="K30" s="51"/>
      <c r="L30" s="51"/>
      <c r="M30" s="103"/>
      <c r="N30" s="103"/>
      <c r="O30" s="103"/>
      <c r="P30" s="103"/>
      <c r="Q30" s="103"/>
      <c r="R30" s="103"/>
      <c r="S30" s="103"/>
      <c r="T30" s="103"/>
      <c r="U30" s="103"/>
      <c r="V30" s="103"/>
      <c r="W30" s="103"/>
      <c r="X30" s="103"/>
    </row>
    <row r="31" spans="1:24" ht="15.6">
      <c r="A31" s="28" t="str">
        <v>Q025</v>
      </c>
      <c r="B31" s="25" t="str">
        <v>NY</v>
      </c>
      <c r="C31" s="25" t="str">
        <f>Sites[[#This Row],[SOL'#]]</f>
        <v>SOL-10400</v>
      </c>
      <c r="D31" s="20"/>
      <c r="E31" s="10"/>
      <c r="F31" s="10" t="str">
        <f t="shared" si="0"/>
        <v/>
      </c>
      <c r="G31" s="11" t="str">
        <f t="shared" si="1"/>
        <v/>
      </c>
      <c r="H31" s="12"/>
      <c r="I31" s="12" t="str">
        <f t="shared" si="2"/>
        <v/>
      </c>
      <c r="J31" s="13" t="str">
        <f t="shared" si="3"/>
        <v/>
      </c>
      <c r="K31" s="53"/>
      <c r="L31" s="53"/>
      <c r="M31" s="103"/>
      <c r="N31" s="103"/>
      <c r="O31" s="103"/>
      <c r="P31" s="103"/>
      <c r="Q31" s="103"/>
      <c r="R31" s="103"/>
      <c r="S31" s="103"/>
      <c r="T31" s="103"/>
      <c r="U31" s="103"/>
      <c r="V31" s="103"/>
      <c r="W31" s="103"/>
      <c r="X31" s="103"/>
    </row>
    <row r="32" spans="1:24" ht="15.6">
      <c r="A32" s="26" t="str">
        <v>Q074</v>
      </c>
      <c r="B32" s="27" t="str">
        <v>NY</v>
      </c>
      <c r="C32" s="27" t="str">
        <f>Sites[[#This Row],[SOL'#]]</f>
        <v>SOL-10402</v>
      </c>
      <c r="D32" s="9"/>
      <c r="E32" s="14"/>
      <c r="F32" s="14" t="str">
        <f t="shared" si="0"/>
        <v/>
      </c>
      <c r="G32" s="15" t="str">
        <f t="shared" si="1"/>
        <v/>
      </c>
      <c r="H32" s="16"/>
      <c r="I32" s="16" t="str">
        <f t="shared" si="2"/>
        <v/>
      </c>
      <c r="J32" s="15" t="str">
        <f t="shared" si="3"/>
        <v/>
      </c>
      <c r="K32" s="51"/>
      <c r="L32" s="51"/>
      <c r="M32" s="103"/>
      <c r="N32" s="103"/>
      <c r="O32" s="103"/>
      <c r="P32" s="103"/>
      <c r="Q32" s="103"/>
      <c r="R32" s="103"/>
      <c r="S32" s="103"/>
      <c r="T32" s="103"/>
      <c r="U32" s="103"/>
      <c r="V32" s="103"/>
      <c r="W32" s="103"/>
      <c r="X32" s="103"/>
    </row>
    <row r="33" spans="1:24" ht="15.6">
      <c r="A33" s="28" t="str">
        <v>Q115</v>
      </c>
      <c r="B33" s="25" t="str">
        <v>NY</v>
      </c>
      <c r="C33" s="25" t="str">
        <f>Sites[[#This Row],[SOL'#]]</f>
        <v>SOL-10872</v>
      </c>
      <c r="D33" s="20"/>
      <c r="E33" s="10"/>
      <c r="F33" s="10" t="str">
        <f t="shared" si="0"/>
        <v/>
      </c>
      <c r="G33" s="11" t="str">
        <f t="shared" si="1"/>
        <v/>
      </c>
      <c r="H33" s="12"/>
      <c r="I33" s="12" t="str">
        <f t="shared" si="2"/>
        <v/>
      </c>
      <c r="J33" s="13" t="str">
        <f t="shared" si="3"/>
        <v/>
      </c>
      <c r="K33" s="53"/>
      <c r="L33" s="53"/>
      <c r="M33" s="103"/>
      <c r="N33" s="103"/>
      <c r="O33" s="103"/>
      <c r="P33" s="103"/>
      <c r="Q33" s="103"/>
      <c r="R33" s="103"/>
      <c r="S33" s="103"/>
      <c r="T33" s="103"/>
      <c r="U33" s="103"/>
      <c r="V33" s="103"/>
      <c r="W33" s="103"/>
      <c r="X33" s="103"/>
    </row>
    <row r="34" spans="1:24" ht="15.6">
      <c r="A34" s="26" t="str">
        <v>Q139</v>
      </c>
      <c r="B34" s="27" t="str">
        <v>NY</v>
      </c>
      <c r="C34" s="27" t="str">
        <f>Sites[[#This Row],[SOL'#]]</f>
        <v>SOL-10403</v>
      </c>
      <c r="D34" s="9"/>
      <c r="E34" s="14"/>
      <c r="F34" s="14" t="str">
        <f t="shared" si="0"/>
        <v/>
      </c>
      <c r="G34" s="15" t="str">
        <f t="shared" si="1"/>
        <v/>
      </c>
      <c r="H34" s="16"/>
      <c r="I34" s="16" t="str">
        <f t="shared" si="2"/>
        <v/>
      </c>
      <c r="J34" s="15" t="str">
        <f t="shared" si="3"/>
        <v/>
      </c>
      <c r="K34" s="51"/>
      <c r="L34" s="99"/>
      <c r="M34" s="103"/>
      <c r="N34" s="103"/>
      <c r="O34" s="103"/>
      <c r="P34" s="103"/>
      <c r="Q34" s="103"/>
      <c r="R34" s="103"/>
      <c r="S34" s="103"/>
      <c r="T34" s="103"/>
      <c r="U34" s="103"/>
      <c r="V34" s="103"/>
      <c r="W34" s="103"/>
      <c r="X34" s="103"/>
    </row>
    <row r="35" spans="1:24" ht="15.6">
      <c r="A35" s="28" t="str">
        <v>Q157</v>
      </c>
      <c r="B35" s="25" t="str">
        <v>NY</v>
      </c>
      <c r="C35" s="25" t="str">
        <f>Sites[[#This Row],[SOL'#]]</f>
        <v>SOL-10404</v>
      </c>
      <c r="D35" s="20"/>
      <c r="E35" s="10"/>
      <c r="F35" s="10" t="str">
        <f t="shared" si="0"/>
        <v/>
      </c>
      <c r="G35" s="11" t="str">
        <f t="shared" si="1"/>
        <v/>
      </c>
      <c r="H35" s="12"/>
      <c r="I35" s="12" t="str">
        <f t="shared" si="2"/>
        <v/>
      </c>
      <c r="J35" s="13" t="str">
        <f t="shared" si="3"/>
        <v/>
      </c>
      <c r="K35" s="53"/>
      <c r="L35" s="98"/>
      <c r="M35" s="103"/>
      <c r="N35" s="103"/>
      <c r="O35" s="103"/>
      <c r="P35" s="103"/>
      <c r="Q35" s="103"/>
      <c r="R35" s="103"/>
      <c r="S35" s="103"/>
      <c r="T35" s="103"/>
      <c r="U35" s="103"/>
      <c r="V35" s="103"/>
      <c r="W35" s="103"/>
      <c r="X35" s="103"/>
    </row>
    <row r="36" spans="1:24" ht="98.25" customHeight="1">
      <c r="A36" s="26" t="str">
        <v>Q192</v>
      </c>
      <c r="B36" s="27" t="str">
        <v>NY</v>
      </c>
      <c r="C36" s="27" t="str">
        <f>Sites[[#This Row],[SOL'#]]</f>
        <v>SOL-10406</v>
      </c>
      <c r="D36" s="9"/>
      <c r="E36" s="14"/>
      <c r="F36" s="14" t="str">
        <f t="shared" si="0"/>
        <v/>
      </c>
      <c r="G36" s="15" t="str">
        <f t="shared" si="1"/>
        <v/>
      </c>
      <c r="H36" s="16"/>
      <c r="I36" s="16" t="str">
        <f t="shared" si="2"/>
        <v/>
      </c>
      <c r="J36" s="15" t="str">
        <f t="shared" si="3"/>
        <v/>
      </c>
      <c r="K36" s="51"/>
      <c r="L36" s="51"/>
      <c r="M36" s="103"/>
      <c r="N36" s="103"/>
      <c r="O36" s="103"/>
      <c r="P36" s="103"/>
      <c r="Q36" s="103"/>
      <c r="R36" s="103"/>
      <c r="S36" s="103"/>
      <c r="T36" s="103"/>
      <c r="U36" s="103"/>
      <c r="V36" s="103"/>
      <c r="W36" s="103"/>
      <c r="X36" s="103"/>
    </row>
    <row r="37" spans="1:24" ht="41.85" customHeight="1">
      <c r="A37" s="28" t="str">
        <v>Q210</v>
      </c>
      <c r="B37" s="25" t="str">
        <v>NY</v>
      </c>
      <c r="C37" s="25" t="str">
        <f>Sites[[#This Row],[SOL'#]]</f>
        <v>SOL-10407</v>
      </c>
      <c r="D37" s="20"/>
      <c r="E37" s="10"/>
      <c r="F37" s="10" t="str">
        <f t="shared" si="0"/>
        <v/>
      </c>
      <c r="G37" s="11" t="str">
        <f t="shared" si="1"/>
        <v/>
      </c>
      <c r="H37" s="12"/>
      <c r="I37" s="12" t="str">
        <f t="shared" si="2"/>
        <v/>
      </c>
      <c r="J37" s="13" t="str">
        <f t="shared" si="3"/>
        <v/>
      </c>
      <c r="K37" s="53"/>
      <c r="L37" s="98"/>
      <c r="M37" s="103"/>
      <c r="N37" s="103"/>
      <c r="O37" s="103"/>
      <c r="P37" s="103"/>
      <c r="Q37" s="103"/>
      <c r="R37" s="103"/>
      <c r="S37" s="103"/>
      <c r="T37" s="103"/>
      <c r="U37" s="103"/>
      <c r="V37" s="103"/>
      <c r="W37" s="103"/>
      <c r="X37" s="103"/>
    </row>
    <row r="38" spans="1:24" ht="15.6">
      <c r="A38" s="26" t="str">
        <v>Q229</v>
      </c>
      <c r="B38" s="27" t="str">
        <v>NY</v>
      </c>
      <c r="C38" s="27" t="str">
        <f>Sites[[#This Row],[SOL'#]]</f>
        <v>SOL-10408</v>
      </c>
      <c r="D38" s="9"/>
      <c r="E38" s="14"/>
      <c r="F38" s="14" t="str">
        <f t="shared" si="0"/>
        <v/>
      </c>
      <c r="G38" s="15" t="str">
        <f t="shared" si="1"/>
        <v/>
      </c>
      <c r="H38" s="16"/>
      <c r="I38" s="16" t="str">
        <f t="shared" si="2"/>
        <v/>
      </c>
      <c r="J38" s="15" t="str">
        <f t="shared" si="3"/>
        <v/>
      </c>
      <c r="K38" s="51"/>
      <c r="L38" s="99"/>
      <c r="M38" s="103"/>
      <c r="N38" s="103"/>
      <c r="O38" s="103"/>
      <c r="P38" s="103"/>
      <c r="Q38" s="103"/>
      <c r="R38" s="103"/>
      <c r="S38" s="103"/>
      <c r="T38" s="103"/>
      <c r="U38" s="103"/>
      <c r="V38" s="103"/>
      <c r="W38" s="103"/>
      <c r="X38" s="103"/>
    </row>
    <row r="39" spans="1:24" ht="15.6">
      <c r="A39" s="28" t="str">
        <v>Q231</v>
      </c>
      <c r="B39" s="25" t="str">
        <v>NY</v>
      </c>
      <c r="C39" s="25" t="str">
        <f>Sites[[#This Row],[SOL'#]]</f>
        <v>SOL-10870</v>
      </c>
      <c r="D39" s="20"/>
      <c r="E39" s="10"/>
      <c r="F39" s="10" t="str">
        <f t="shared" si="0"/>
        <v/>
      </c>
      <c r="G39" s="11" t="str">
        <f t="shared" si="1"/>
        <v/>
      </c>
      <c r="H39" s="12"/>
      <c r="I39" s="12" t="str">
        <f t="shared" si="2"/>
        <v/>
      </c>
      <c r="J39" s="13" t="str">
        <f t="shared" si="3"/>
        <v/>
      </c>
      <c r="K39" s="53"/>
      <c r="L39" s="98"/>
      <c r="M39" s="103"/>
      <c r="N39" s="103"/>
      <c r="O39" s="103"/>
      <c r="P39" s="103"/>
      <c r="Q39" s="103"/>
      <c r="R39" s="103"/>
      <c r="S39" s="103"/>
      <c r="T39" s="103"/>
      <c r="U39" s="103"/>
      <c r="V39" s="103"/>
      <c r="W39" s="103"/>
      <c r="X39" s="103"/>
    </row>
    <row r="40" spans="1:24" ht="15.6">
      <c r="A40" s="26" t="str">
        <v>Q405</v>
      </c>
      <c r="B40" s="27" t="str">
        <v>NY</v>
      </c>
      <c r="C40" s="27" t="str">
        <f>Sites[[#This Row],[SOL'#]]</f>
        <v>SOL-10409</v>
      </c>
      <c r="D40" s="9"/>
      <c r="E40" s="14"/>
      <c r="F40" s="14" t="str">
        <f t="shared" si="0"/>
        <v/>
      </c>
      <c r="G40" s="15" t="str">
        <f t="shared" si="1"/>
        <v/>
      </c>
      <c r="H40" s="16"/>
      <c r="I40" s="16" t="str">
        <f t="shared" si="2"/>
        <v/>
      </c>
      <c r="J40" s="15" t="str">
        <f t="shared" si="3"/>
        <v/>
      </c>
      <c r="K40" s="51"/>
      <c r="L40" s="99"/>
      <c r="M40" s="103"/>
      <c r="N40" s="103"/>
      <c r="O40" s="103"/>
      <c r="P40" s="103"/>
      <c r="Q40" s="103"/>
      <c r="R40" s="103"/>
      <c r="S40" s="103"/>
      <c r="T40" s="103"/>
      <c r="U40" s="103"/>
      <c r="V40" s="103"/>
      <c r="W40" s="103"/>
      <c r="X40" s="103"/>
    </row>
    <row r="41" spans="1:24" ht="15.6">
      <c r="A41" s="28" t="str">
        <v>Q435</v>
      </c>
      <c r="B41" s="25" t="str">
        <v>NY</v>
      </c>
      <c r="C41" s="25" t="str">
        <f>Sites[[#This Row],[SOL'#]]</f>
        <v>SOL-10923</v>
      </c>
      <c r="D41" s="20"/>
      <c r="E41" s="10"/>
      <c r="F41" s="10" t="str">
        <f t="shared" si="0"/>
        <v/>
      </c>
      <c r="G41" s="11" t="str">
        <f t="shared" si="1"/>
        <v/>
      </c>
      <c r="H41" s="12"/>
      <c r="I41" s="12" t="str">
        <f t="shared" si="2"/>
        <v/>
      </c>
      <c r="J41" s="13" t="str">
        <f t="shared" si="3"/>
        <v/>
      </c>
      <c r="K41" s="53"/>
      <c r="L41" s="53"/>
      <c r="M41" s="103"/>
      <c r="N41" s="103"/>
      <c r="O41" s="103"/>
      <c r="P41" s="103"/>
      <c r="Q41" s="103"/>
      <c r="R41" s="103"/>
      <c r="S41" s="103"/>
      <c r="T41" s="103"/>
      <c r="U41" s="103"/>
      <c r="V41" s="103"/>
      <c r="W41" s="103"/>
      <c r="X41" s="103"/>
    </row>
    <row r="42" spans="1:24" ht="15.6">
      <c r="A42" s="26" t="str">
        <v>Q485</v>
      </c>
      <c r="B42" s="27" t="str">
        <v>NY</v>
      </c>
      <c r="C42" s="27" t="str">
        <f>Sites[[#This Row],[SOL'#]]</f>
        <v>SOL-10869</v>
      </c>
      <c r="D42" s="9"/>
      <c r="E42" s="14"/>
      <c r="F42" s="14" t="str">
        <f t="shared" si="0"/>
        <v/>
      </c>
      <c r="G42" s="15" t="str">
        <f t="shared" si="1"/>
        <v/>
      </c>
      <c r="H42" s="16"/>
      <c r="I42" s="16" t="str">
        <f t="shared" si="2"/>
        <v/>
      </c>
      <c r="J42" s="15" t="str">
        <f t="shared" si="3"/>
        <v/>
      </c>
      <c r="K42" s="51"/>
      <c r="L42" s="99"/>
      <c r="M42" s="103"/>
      <c r="N42" s="103"/>
      <c r="O42" s="103"/>
      <c r="P42" s="103"/>
      <c r="Q42" s="103"/>
      <c r="R42" s="103"/>
      <c r="S42" s="103"/>
      <c r="T42" s="103"/>
      <c r="U42" s="103"/>
      <c r="V42" s="103"/>
      <c r="W42" s="103"/>
      <c r="X42" s="103"/>
    </row>
    <row r="43" spans="1:24" ht="15.6">
      <c r="A43" s="28" t="str">
        <v>Q490</v>
      </c>
      <c r="B43" s="25" t="str">
        <v>NY</v>
      </c>
      <c r="C43" s="25" t="str">
        <f>Sites[[#This Row],[SOL'#]]</f>
        <v>SOL-10411</v>
      </c>
      <c r="D43" s="20"/>
      <c r="E43" s="10"/>
      <c r="F43" s="10" t="str">
        <f t="shared" si="0"/>
        <v/>
      </c>
      <c r="G43" s="11" t="str">
        <f t="shared" si="1"/>
        <v/>
      </c>
      <c r="H43" s="12"/>
      <c r="I43" s="12" t="str">
        <f t="shared" si="2"/>
        <v/>
      </c>
      <c r="J43" s="13" t="str">
        <f t="shared" si="3"/>
        <v/>
      </c>
      <c r="K43" s="53"/>
      <c r="L43" s="98"/>
      <c r="M43" s="103"/>
      <c r="N43" s="103"/>
      <c r="O43" s="103"/>
      <c r="P43" s="103"/>
      <c r="Q43" s="103"/>
      <c r="R43" s="103"/>
      <c r="S43" s="103"/>
      <c r="T43" s="103"/>
      <c r="U43" s="103"/>
      <c r="V43" s="103"/>
      <c r="W43" s="103"/>
      <c r="X43" s="103"/>
    </row>
    <row r="44" spans="1:24" ht="15.6">
      <c r="A44" s="26" t="str">
        <v>Q620</v>
      </c>
      <c r="B44" s="27" t="str">
        <v>NY</v>
      </c>
      <c r="C44" s="27" t="str">
        <f>Sites[[#This Row],[SOL'#]]</f>
        <v>SOL-10867</v>
      </c>
      <c r="D44" s="9"/>
      <c r="E44" s="14"/>
      <c r="F44" s="14" t="str">
        <f t="shared" si="0"/>
        <v/>
      </c>
      <c r="G44" s="15" t="str">
        <f t="shared" si="1"/>
        <v/>
      </c>
      <c r="H44" s="16"/>
      <c r="I44" s="16" t="str">
        <f t="shared" si="2"/>
        <v/>
      </c>
      <c r="J44" s="15" t="str">
        <f t="shared" si="3"/>
        <v/>
      </c>
      <c r="K44" s="51"/>
      <c r="L44" s="99"/>
      <c r="M44" s="103"/>
      <c r="N44" s="103"/>
      <c r="O44" s="103"/>
      <c r="P44" s="103"/>
      <c r="Q44" s="103"/>
      <c r="R44" s="103"/>
      <c r="S44" s="103"/>
      <c r="T44" s="103"/>
      <c r="U44" s="103"/>
      <c r="V44" s="103"/>
      <c r="W44" s="103"/>
      <c r="X44" s="103"/>
    </row>
    <row r="45" spans="1:24" ht="15.6">
      <c r="A45" s="28" t="str">
        <v>QMOA</v>
      </c>
      <c r="B45" s="25" t="str">
        <v>NY</v>
      </c>
      <c r="C45" s="25" t="str">
        <f>Sites[[#This Row],[SOL'#]]</f>
        <v>SOL-10415</v>
      </c>
      <c r="D45" s="20"/>
      <c r="E45" s="10"/>
      <c r="F45" s="10" t="str">
        <f t="shared" si="0"/>
        <v/>
      </c>
      <c r="G45" s="11" t="str">
        <f t="shared" si="1"/>
        <v/>
      </c>
      <c r="H45" s="12"/>
      <c r="I45" s="12" t="str">
        <f t="shared" si="2"/>
        <v/>
      </c>
      <c r="J45" s="13" t="str">
        <f t="shared" si="3"/>
        <v/>
      </c>
      <c r="K45" s="53"/>
      <c r="L45" s="53"/>
      <c r="M45" s="103"/>
      <c r="N45" s="103"/>
      <c r="O45" s="103"/>
      <c r="P45" s="103"/>
      <c r="Q45" s="103"/>
      <c r="R45" s="103"/>
      <c r="S45" s="103"/>
      <c r="T45" s="103"/>
      <c r="U45" s="103"/>
      <c r="V45" s="103"/>
      <c r="W45" s="103"/>
      <c r="X45" s="103"/>
    </row>
    <row r="46" spans="1:24" ht="15.6">
      <c r="A46" s="26" t="str">
        <v>X024</v>
      </c>
      <c r="B46" s="27" t="str">
        <v>NY</v>
      </c>
      <c r="C46" s="27" t="str">
        <f>Sites[[#This Row],[SOL'#]]</f>
        <v>SOL-10419</v>
      </c>
      <c r="D46" s="9"/>
      <c r="E46" s="14"/>
      <c r="F46" s="14" t="str">
        <f t="shared" si="0"/>
        <v/>
      </c>
      <c r="G46" s="15" t="str">
        <f t="shared" si="1"/>
        <v/>
      </c>
      <c r="H46" s="16"/>
      <c r="I46" s="16" t="str">
        <f t="shared" si="2"/>
        <v/>
      </c>
      <c r="J46" s="15" t="str">
        <f t="shared" si="3"/>
        <v/>
      </c>
      <c r="K46" s="51"/>
      <c r="L46" s="99"/>
      <c r="M46" s="103"/>
      <c r="N46" s="103"/>
      <c r="O46" s="103"/>
      <c r="P46" s="103"/>
      <c r="Q46" s="103"/>
      <c r="R46" s="103"/>
      <c r="S46" s="103"/>
      <c r="T46" s="103"/>
      <c r="U46" s="103"/>
      <c r="V46" s="103"/>
      <c r="W46" s="103"/>
      <c r="X46" s="103"/>
    </row>
    <row r="47" spans="1:24" ht="15.6">
      <c r="A47" s="28" t="str">
        <v>X026</v>
      </c>
      <c r="B47" s="25" t="str">
        <v>NY</v>
      </c>
      <c r="C47" s="25" t="str">
        <f>Sites[[#This Row],[SOL'#]]</f>
        <v>SOL-10420</v>
      </c>
      <c r="D47" s="20"/>
      <c r="E47" s="10"/>
      <c r="F47" s="10" t="str">
        <f t="shared" si="0"/>
        <v/>
      </c>
      <c r="G47" s="11" t="str">
        <f t="shared" si="1"/>
        <v/>
      </c>
      <c r="H47" s="12"/>
      <c r="I47" s="12" t="str">
        <f t="shared" si="2"/>
        <v/>
      </c>
      <c r="J47" s="13" t="str">
        <f t="shared" si="3"/>
        <v/>
      </c>
      <c r="K47" s="53"/>
      <c r="L47" s="98"/>
      <c r="M47" s="103"/>
      <c r="N47" s="103"/>
      <c r="O47" s="103"/>
      <c r="P47" s="103"/>
      <c r="Q47" s="103"/>
      <c r="R47" s="103"/>
      <c r="S47" s="103"/>
      <c r="T47" s="103"/>
      <c r="U47" s="103"/>
      <c r="V47" s="103"/>
      <c r="W47" s="103"/>
      <c r="X47" s="103"/>
    </row>
    <row r="48" spans="1:24" ht="15.6">
      <c r="A48" s="26" t="str">
        <v>X090</v>
      </c>
      <c r="B48" s="27" t="str">
        <v>NY</v>
      </c>
      <c r="C48" s="27" t="str">
        <f>Sites[[#This Row],[SOL'#]]</f>
        <v>SOL-10925</v>
      </c>
      <c r="D48" s="9"/>
      <c r="E48" s="14"/>
      <c r="F48" s="14" t="str">
        <f t="shared" si="0"/>
        <v/>
      </c>
      <c r="G48" s="15" t="str">
        <f t="shared" si="1"/>
        <v/>
      </c>
      <c r="H48" s="16"/>
      <c r="I48" s="16" t="str">
        <f t="shared" si="2"/>
        <v/>
      </c>
      <c r="J48" s="15" t="str">
        <f t="shared" si="3"/>
        <v/>
      </c>
      <c r="K48" s="51"/>
      <c r="L48" s="99"/>
      <c r="M48" s="102"/>
      <c r="N48" s="103"/>
      <c r="O48" s="103"/>
      <c r="P48" s="103"/>
      <c r="Q48" s="103"/>
      <c r="R48" s="103"/>
      <c r="S48" s="103"/>
      <c r="T48" s="103"/>
      <c r="U48" s="103"/>
      <c r="V48" s="103"/>
      <c r="W48" s="103"/>
      <c r="X48" s="103"/>
    </row>
    <row r="49" spans="1:24" ht="15.6">
      <c r="A49" s="28" t="str">
        <v>X117</v>
      </c>
      <c r="B49" s="25" t="str">
        <v>NY</v>
      </c>
      <c r="C49" s="25" t="str">
        <f>Sites[[#This Row],[SOL'#]]</f>
        <v>SOL-10422</v>
      </c>
      <c r="D49" s="20"/>
      <c r="E49" s="10"/>
      <c r="F49" s="10" t="str">
        <f t="shared" si="0"/>
        <v/>
      </c>
      <c r="G49" s="11" t="str">
        <f t="shared" si="1"/>
        <v/>
      </c>
      <c r="H49" s="12"/>
      <c r="I49" s="12" t="str">
        <f t="shared" si="2"/>
        <v/>
      </c>
      <c r="J49" s="13" t="str">
        <f t="shared" si="3"/>
        <v/>
      </c>
      <c r="K49" s="53"/>
      <c r="L49" s="53"/>
      <c r="M49" s="103"/>
      <c r="N49" s="103"/>
      <c r="O49" s="103"/>
      <c r="P49" s="103"/>
      <c r="Q49" s="103"/>
      <c r="R49" s="103"/>
      <c r="S49" s="103"/>
      <c r="T49" s="103"/>
      <c r="U49" s="103"/>
      <c r="V49" s="103"/>
      <c r="W49" s="103"/>
      <c r="X49" s="103"/>
    </row>
    <row r="50" spans="1:24" ht="15.6">
      <c r="A50" s="26" t="str">
        <v>X125</v>
      </c>
      <c r="B50" s="27" t="str">
        <v>NY</v>
      </c>
      <c r="C50" s="27" t="str">
        <f>Sites[[#This Row],[SOL'#]]</f>
        <v>SOL-10423</v>
      </c>
      <c r="D50" s="9"/>
      <c r="E50" s="14"/>
      <c r="F50" s="14" t="str">
        <f t="shared" si="0"/>
        <v/>
      </c>
      <c r="G50" s="15" t="str">
        <f t="shared" si="1"/>
        <v/>
      </c>
      <c r="H50" s="16"/>
      <c r="I50" s="16" t="str">
        <f t="shared" si="2"/>
        <v/>
      </c>
      <c r="J50" s="15" t="str">
        <f t="shared" si="3"/>
        <v/>
      </c>
      <c r="K50" s="51"/>
      <c r="L50" s="51"/>
      <c r="M50" s="103"/>
      <c r="N50" s="103"/>
      <c r="O50" s="103"/>
      <c r="P50" s="103"/>
      <c r="Q50" s="103"/>
      <c r="R50" s="103"/>
      <c r="S50" s="103"/>
      <c r="T50" s="103"/>
      <c r="U50" s="103"/>
      <c r="V50" s="103"/>
      <c r="W50" s="103"/>
      <c r="X50" s="103"/>
    </row>
    <row r="51" spans="1:24" ht="15.6">
      <c r="A51" s="28" t="str">
        <v>X134</v>
      </c>
      <c r="B51" s="25" t="str">
        <v>NY</v>
      </c>
      <c r="C51" s="25" t="str">
        <f>Sites[[#This Row],[SOL'#]]</f>
        <v>SOL-10424</v>
      </c>
      <c r="D51" s="20"/>
      <c r="E51" s="10"/>
      <c r="F51" s="10" t="str">
        <f t="shared" si="0"/>
        <v/>
      </c>
      <c r="G51" s="11" t="str">
        <f t="shared" si="1"/>
        <v/>
      </c>
      <c r="H51" s="12"/>
      <c r="I51" s="12" t="str">
        <f t="shared" si="2"/>
        <v/>
      </c>
      <c r="J51" s="13" t="str">
        <f t="shared" si="3"/>
        <v/>
      </c>
      <c r="K51" s="53"/>
      <c r="L51" s="53"/>
      <c r="M51" s="103"/>
      <c r="N51" s="103"/>
      <c r="O51" s="103"/>
      <c r="P51" s="103"/>
      <c r="Q51" s="103"/>
      <c r="R51" s="103"/>
      <c r="S51" s="103"/>
      <c r="T51" s="103"/>
      <c r="U51" s="103"/>
      <c r="V51" s="103"/>
      <c r="W51" s="103"/>
      <c r="X51" s="103"/>
    </row>
    <row r="52" spans="1:24" ht="15.6">
      <c r="A52" s="26" t="str">
        <v>X135</v>
      </c>
      <c r="B52" s="27" t="str">
        <v>NY</v>
      </c>
      <c r="C52" s="27" t="str">
        <f>Sites[[#This Row],[SOL'#]]</f>
        <v>SOL-10425</v>
      </c>
      <c r="D52" s="9"/>
      <c r="E52" s="14"/>
      <c r="F52" s="14" t="str">
        <f t="shared" si="0"/>
        <v/>
      </c>
      <c r="G52" s="15" t="str">
        <f t="shared" si="1"/>
        <v/>
      </c>
      <c r="H52" s="16"/>
      <c r="I52" s="16" t="str">
        <f t="shared" ref="I52:I95" si="4">IF(AND(ISNUMBER(D52),ISNUMBER(H52)), D52-H52, "")</f>
        <v/>
      </c>
      <c r="J52" s="15" t="str">
        <f t="shared" ref="J52:J95" si="5">IFERROR(I52/H52, "")</f>
        <v/>
      </c>
      <c r="K52" s="51"/>
      <c r="L52" s="99"/>
      <c r="M52" s="103"/>
      <c r="N52" s="103"/>
      <c r="O52" s="103"/>
      <c r="P52" s="103"/>
      <c r="Q52" s="103"/>
      <c r="R52" s="103"/>
      <c r="S52" s="103"/>
      <c r="T52" s="103"/>
      <c r="U52" s="103"/>
      <c r="V52" s="103"/>
      <c r="W52" s="103"/>
      <c r="X52" s="103"/>
    </row>
    <row r="53" spans="1:24" ht="15.6">
      <c r="A53" s="28" t="str">
        <v>X139 JHS 222</v>
      </c>
      <c r="B53" s="25" t="str">
        <v>NY</v>
      </c>
      <c r="C53" s="25" t="str">
        <f>Sites[[#This Row],[SOL'#]]</f>
        <v>SOL-10426</v>
      </c>
      <c r="D53" s="20"/>
      <c r="E53" s="10"/>
      <c r="F53" s="10" t="str">
        <f t="shared" ref="F53:F92" si="6">IF(AND(ISNUMBER(D53),ISNUMBER(E53)), D53-E53, "")</f>
        <v/>
      </c>
      <c r="G53" s="11" t="str">
        <f t="shared" si="1"/>
        <v/>
      </c>
      <c r="H53" s="12"/>
      <c r="I53" s="12" t="str">
        <f t="shared" si="4"/>
        <v/>
      </c>
      <c r="J53" s="13" t="str">
        <f t="shared" si="5"/>
        <v/>
      </c>
      <c r="K53" s="53"/>
      <c r="L53" s="53"/>
      <c r="M53" s="103"/>
      <c r="N53" s="103"/>
      <c r="O53" s="103"/>
      <c r="P53" s="103"/>
      <c r="Q53" s="103"/>
      <c r="R53" s="103"/>
      <c r="S53" s="103"/>
      <c r="T53" s="103"/>
      <c r="U53" s="103"/>
      <c r="V53" s="103"/>
      <c r="W53" s="103"/>
      <c r="X53" s="103"/>
    </row>
    <row r="54" spans="1:24" ht="15.6">
      <c r="A54" s="26" t="str">
        <v>X140</v>
      </c>
      <c r="B54" s="27" t="str">
        <v>NY</v>
      </c>
      <c r="C54" s="27" t="str">
        <f>Sites[[#This Row],[SOL'#]]</f>
        <v>SOL-10926</v>
      </c>
      <c r="D54" s="9"/>
      <c r="E54" s="14"/>
      <c r="F54" s="14" t="str">
        <f t="shared" si="6"/>
        <v/>
      </c>
      <c r="G54" s="15" t="str">
        <f t="shared" ref="G54:G93" si="7">IFERROR(F54/E54, "")</f>
        <v/>
      </c>
      <c r="H54" s="16"/>
      <c r="I54" s="16" t="str">
        <f t="shared" si="4"/>
        <v/>
      </c>
      <c r="J54" s="15" t="str">
        <f t="shared" si="5"/>
        <v/>
      </c>
      <c r="K54" s="51"/>
      <c r="L54" s="51"/>
      <c r="M54" s="103"/>
      <c r="N54" s="103"/>
      <c r="O54" s="103"/>
      <c r="P54" s="103"/>
      <c r="Q54" s="103"/>
      <c r="R54" s="103"/>
      <c r="S54" s="103"/>
      <c r="T54" s="103"/>
      <c r="U54" s="103"/>
      <c r="V54" s="103"/>
      <c r="W54" s="103"/>
      <c r="X54" s="103"/>
    </row>
    <row r="55" spans="1:24" ht="52.5" customHeight="1">
      <c r="A55" s="28" t="str">
        <v>X166</v>
      </c>
      <c r="B55" s="25" t="str">
        <v>NY</v>
      </c>
      <c r="C55" s="25" t="str">
        <f>Sites[[#This Row],[SOL'#]]</f>
        <v>SOL-10427</v>
      </c>
      <c r="D55" s="20"/>
      <c r="E55" s="10"/>
      <c r="F55" s="10" t="str">
        <f t="shared" si="6"/>
        <v/>
      </c>
      <c r="G55" s="11" t="str">
        <f t="shared" si="7"/>
        <v/>
      </c>
      <c r="H55" s="12"/>
      <c r="I55" s="12" t="str">
        <f t="shared" si="4"/>
        <v/>
      </c>
      <c r="J55" s="13" t="str">
        <f t="shared" si="5"/>
        <v/>
      </c>
      <c r="K55" s="107"/>
      <c r="L55" s="53"/>
      <c r="M55" s="103"/>
      <c r="N55" s="103"/>
      <c r="O55" s="103"/>
      <c r="P55" s="103"/>
      <c r="Q55" s="103"/>
      <c r="R55" s="103"/>
      <c r="S55" s="103"/>
      <c r="T55" s="103"/>
      <c r="U55" s="103"/>
      <c r="V55" s="103"/>
      <c r="W55" s="103"/>
      <c r="X55" s="103"/>
    </row>
    <row r="56" spans="1:24" ht="15.6">
      <c r="A56" s="26" t="str">
        <v>Murphy</v>
      </c>
      <c r="B56" s="27" t="str">
        <v>MN</v>
      </c>
      <c r="C56" s="27" t="str">
        <f>Sites[[#This Row],[SOL'#]]</f>
        <v>SOL-10094</v>
      </c>
      <c r="D56" s="9"/>
      <c r="E56" s="14"/>
      <c r="F56" s="14" t="str">
        <f t="shared" si="6"/>
        <v/>
      </c>
      <c r="G56" s="15" t="str">
        <f t="shared" si="7"/>
        <v/>
      </c>
      <c r="H56" s="16"/>
      <c r="I56" s="16" t="str">
        <f t="shared" si="4"/>
        <v/>
      </c>
      <c r="J56" s="15" t="str">
        <f t="shared" si="5"/>
        <v/>
      </c>
      <c r="K56" s="51"/>
      <c r="L56" s="99"/>
      <c r="M56" s="102"/>
      <c r="N56" s="102"/>
      <c r="O56" s="102"/>
      <c r="P56" s="103"/>
      <c r="Q56" s="103"/>
      <c r="R56" s="103"/>
      <c r="S56" s="103"/>
      <c r="T56" s="103"/>
      <c r="U56" s="103"/>
      <c r="V56" s="103"/>
      <c r="W56" s="103"/>
      <c r="X56" s="103"/>
    </row>
    <row r="57" spans="1:24" ht="15.6">
      <c r="A57" s="28" t="str">
        <v>Terning</v>
      </c>
      <c r="B57" s="25" t="str">
        <v>MN</v>
      </c>
      <c r="C57" s="25" t="str">
        <f>Sites[[#This Row],[SOL'#]]</f>
        <v>SOL-10093</v>
      </c>
      <c r="D57" s="20"/>
      <c r="E57" s="10"/>
      <c r="F57" s="10" t="str">
        <f t="shared" si="6"/>
        <v/>
      </c>
      <c r="G57" s="11" t="str">
        <f t="shared" si="7"/>
        <v/>
      </c>
      <c r="H57" s="12"/>
      <c r="I57" s="12" t="str">
        <f t="shared" si="4"/>
        <v/>
      </c>
      <c r="J57" s="13" t="str">
        <f t="shared" si="5"/>
        <v/>
      </c>
      <c r="K57" s="53"/>
      <c r="L57" s="98"/>
      <c r="M57" s="103"/>
      <c r="N57" s="103"/>
      <c r="O57" s="103"/>
      <c r="P57" s="103"/>
      <c r="Q57" s="103"/>
      <c r="R57" s="103"/>
      <c r="S57" s="103"/>
      <c r="T57" s="103"/>
      <c r="U57" s="103"/>
      <c r="V57" s="103"/>
      <c r="W57" s="103"/>
      <c r="X57" s="103"/>
    </row>
    <row r="58" spans="1:24" ht="69.75" customHeight="1">
      <c r="A58" s="26" t="str">
        <v>Boas Road 04</v>
      </c>
      <c r="B58" s="27" t="str">
        <v>NY</v>
      </c>
      <c r="C58" s="27" t="str">
        <f>Sites[[#This Row],[SOL'#]]</f>
        <v>SOL-10908</v>
      </c>
      <c r="D58" s="9"/>
      <c r="E58" s="14"/>
      <c r="F58" s="14" t="str">
        <f t="shared" si="6"/>
        <v/>
      </c>
      <c r="G58" s="14" t="str">
        <f t="shared" si="7"/>
        <v/>
      </c>
      <c r="H58" s="16"/>
      <c r="I58" s="16" t="str">
        <f t="shared" si="4"/>
        <v/>
      </c>
      <c r="J58" s="15" t="str">
        <f t="shared" si="5"/>
        <v/>
      </c>
      <c r="K58" s="131"/>
      <c r="L58" s="99"/>
      <c r="M58" s="102"/>
      <c r="N58" s="102"/>
      <c r="O58" s="103"/>
      <c r="P58" s="103"/>
      <c r="Q58" s="103"/>
      <c r="R58" s="103"/>
      <c r="S58" s="103"/>
      <c r="T58" s="103"/>
      <c r="U58" s="103"/>
      <c r="V58" s="103"/>
      <c r="W58" s="103"/>
      <c r="X58" s="103"/>
    </row>
    <row r="59" spans="1:24" ht="149.25" customHeight="1">
      <c r="A59" s="28" t="str">
        <v>Kelly Bridge Farm</v>
      </c>
      <c r="B59" s="25" t="str">
        <v>NY</v>
      </c>
      <c r="C59" s="25" t="str">
        <f>Sites[[#This Row],[SOL'#]]</f>
        <v>SOL-10911</v>
      </c>
      <c r="D59" s="20"/>
      <c r="E59" s="10"/>
      <c r="F59" s="10" t="str">
        <f t="shared" si="6"/>
        <v/>
      </c>
      <c r="G59" s="11" t="str">
        <f t="shared" si="7"/>
        <v/>
      </c>
      <c r="H59" s="12"/>
      <c r="I59" s="12" t="str">
        <f t="shared" si="4"/>
        <v/>
      </c>
      <c r="J59" s="13" t="str">
        <f t="shared" si="5"/>
        <v/>
      </c>
      <c r="K59" s="73"/>
      <c r="L59" s="98"/>
      <c r="M59" s="102"/>
      <c r="N59" s="102"/>
      <c r="O59" s="102"/>
      <c r="P59" s="102"/>
      <c r="Q59" s="103"/>
      <c r="R59" s="103"/>
      <c r="S59" s="103"/>
      <c r="T59" s="103"/>
      <c r="U59" s="103"/>
      <c r="V59" s="103"/>
      <c r="W59" s="103"/>
      <c r="X59" s="103"/>
    </row>
    <row r="60" spans="1:24" ht="15.6">
      <c r="A60" s="26" t="str">
        <v>Pool Brook Road</v>
      </c>
      <c r="B60" s="27" t="str">
        <v>NY</v>
      </c>
      <c r="C60" s="27" t="str">
        <f>Sites[[#This Row],[SOL'#]]</f>
        <v>SOL-10909</v>
      </c>
      <c r="D60" s="9"/>
      <c r="E60" s="14"/>
      <c r="F60" s="14" t="str">
        <f t="shared" si="6"/>
        <v/>
      </c>
      <c r="G60" s="15" t="str">
        <f t="shared" si="7"/>
        <v/>
      </c>
      <c r="H60" s="16"/>
      <c r="I60" s="16" t="str">
        <f t="shared" si="4"/>
        <v/>
      </c>
      <c r="J60" s="15" t="str">
        <f t="shared" si="5"/>
        <v/>
      </c>
      <c r="K60" s="51"/>
      <c r="L60" s="99"/>
      <c r="M60" s="102"/>
      <c r="N60" s="103"/>
      <c r="O60" s="103"/>
      <c r="P60" s="103"/>
      <c r="Q60" s="103"/>
      <c r="R60" s="103"/>
      <c r="S60" s="103"/>
      <c r="T60" s="103"/>
      <c r="U60" s="103"/>
      <c r="V60" s="103"/>
      <c r="W60" s="103"/>
      <c r="X60" s="103"/>
    </row>
    <row r="61" spans="1:24" ht="15.6">
      <c r="A61" s="28" t="str">
        <v>Sackett Lake</v>
      </c>
      <c r="B61" s="25" t="str">
        <v>NY</v>
      </c>
      <c r="C61" s="25" t="str">
        <f>Sites[[#This Row],[SOL'#]]</f>
        <v>SOL-10910</v>
      </c>
      <c r="D61" s="20"/>
      <c r="E61" s="10"/>
      <c r="F61" s="10" t="str">
        <f t="shared" si="6"/>
        <v/>
      </c>
      <c r="G61" s="11" t="str">
        <f t="shared" si="7"/>
        <v/>
      </c>
      <c r="H61" s="12"/>
      <c r="I61" s="12" t="str">
        <f t="shared" si="4"/>
        <v/>
      </c>
      <c r="J61" s="13" t="str">
        <f t="shared" si="5"/>
        <v/>
      </c>
      <c r="K61" s="53"/>
      <c r="L61" s="98"/>
      <c r="M61" s="103"/>
      <c r="N61" s="103"/>
      <c r="O61" s="103"/>
      <c r="P61" s="103"/>
      <c r="Q61" s="103"/>
      <c r="R61" s="103"/>
      <c r="S61" s="103"/>
      <c r="T61" s="103"/>
      <c r="U61" s="103"/>
      <c r="V61" s="103"/>
      <c r="W61" s="103"/>
      <c r="X61" s="103"/>
    </row>
    <row r="62" spans="1:24" ht="15.6">
      <c r="A62" s="26" t="str">
        <v>Burritt Road</v>
      </c>
      <c r="B62" s="27" t="str">
        <v>NY</v>
      </c>
      <c r="C62" s="27" t="str">
        <f>Sites[[#This Row],[SOL'#]]</f>
        <v>SOL-10913</v>
      </c>
      <c r="D62" s="9"/>
      <c r="E62" s="14"/>
      <c r="F62" s="14" t="str">
        <f t="shared" si="6"/>
        <v/>
      </c>
      <c r="G62" s="15" t="str">
        <f t="shared" si="7"/>
        <v/>
      </c>
      <c r="H62" s="16"/>
      <c r="I62" s="16" t="str">
        <f t="shared" si="4"/>
        <v/>
      </c>
      <c r="J62" s="15" t="str">
        <f t="shared" si="5"/>
        <v/>
      </c>
      <c r="K62" s="51"/>
      <c r="L62" s="51"/>
      <c r="M62" s="103"/>
      <c r="N62" s="103"/>
      <c r="O62" s="103"/>
      <c r="P62" s="103"/>
      <c r="Q62" s="103"/>
      <c r="R62" s="103"/>
      <c r="S62" s="103"/>
      <c r="T62" s="103"/>
      <c r="U62" s="103"/>
      <c r="V62" s="103"/>
      <c r="W62" s="103"/>
      <c r="X62" s="103"/>
    </row>
    <row r="63" spans="1:24" ht="15.6">
      <c r="A63" s="28" t="str">
        <v>Villa Roma 1</v>
      </c>
      <c r="B63" s="25" t="str">
        <v>NY</v>
      </c>
      <c r="C63" s="25" t="str">
        <f>Sites[[#This Row],[SOL'#]]</f>
        <v>SOL-10914</v>
      </c>
      <c r="D63" s="20"/>
      <c r="E63" s="10"/>
      <c r="F63" s="10" t="str">
        <f t="shared" si="6"/>
        <v/>
      </c>
      <c r="G63" s="11" t="str">
        <f t="shared" si="7"/>
        <v/>
      </c>
      <c r="H63" s="12"/>
      <c r="I63" s="12" t="str">
        <f t="shared" si="4"/>
        <v/>
      </c>
      <c r="J63" s="13" t="str">
        <f t="shared" si="5"/>
        <v/>
      </c>
      <c r="K63" s="53"/>
      <c r="L63" s="98"/>
      <c r="M63" s="103"/>
      <c r="N63" s="103"/>
      <c r="O63" s="103"/>
      <c r="P63" s="103"/>
      <c r="Q63" s="103"/>
      <c r="R63" s="103"/>
      <c r="S63" s="103"/>
      <c r="T63" s="103"/>
      <c r="U63" s="103"/>
      <c r="V63" s="103"/>
      <c r="W63" s="103"/>
      <c r="X63" s="103"/>
    </row>
    <row r="64" spans="1:24" ht="15.6">
      <c r="A64" s="26" t="str">
        <v>Villa Roma 2</v>
      </c>
      <c r="B64" s="27" t="str">
        <v>NY</v>
      </c>
      <c r="C64" s="27" t="str">
        <f>Sites[[#This Row],[SOL'#]]</f>
        <v>SOL-10915</v>
      </c>
      <c r="D64" s="9"/>
      <c r="E64" s="14"/>
      <c r="F64" s="14" t="str">
        <f t="shared" si="6"/>
        <v/>
      </c>
      <c r="G64" s="15" t="str">
        <f t="shared" si="7"/>
        <v/>
      </c>
      <c r="H64" s="16"/>
      <c r="I64" s="16" t="str">
        <f t="shared" si="4"/>
        <v/>
      </c>
      <c r="J64" s="15" t="str">
        <f t="shared" si="5"/>
        <v/>
      </c>
      <c r="K64" s="51"/>
      <c r="L64" s="51"/>
      <c r="M64" s="103"/>
      <c r="N64" s="103"/>
      <c r="O64" s="103"/>
      <c r="P64" s="103"/>
      <c r="Q64" s="103"/>
      <c r="R64" s="103"/>
      <c r="S64" s="103"/>
      <c r="T64" s="103"/>
      <c r="U64" s="103"/>
      <c r="V64" s="103"/>
      <c r="W64" s="103"/>
      <c r="X64" s="103"/>
    </row>
    <row r="65" spans="1:29" ht="15.6">
      <c r="A65" s="28" t="str">
        <v>Washington 1</v>
      </c>
      <c r="B65" s="25" t="str">
        <v>NY</v>
      </c>
      <c r="C65" s="25" t="str">
        <f>Sites[[#This Row],[SOL'#]]</f>
        <v>SOL-10912</v>
      </c>
      <c r="D65" s="20"/>
      <c r="E65" s="10"/>
      <c r="F65" s="10" t="str">
        <f t="shared" si="6"/>
        <v/>
      </c>
      <c r="G65" s="11" t="str">
        <f t="shared" si="7"/>
        <v/>
      </c>
      <c r="H65" s="12"/>
      <c r="I65" s="12" t="str">
        <f t="shared" si="4"/>
        <v/>
      </c>
      <c r="J65" s="13" t="str">
        <f t="shared" si="5"/>
        <v/>
      </c>
      <c r="K65" s="53"/>
      <c r="L65" s="98"/>
      <c r="M65" s="103"/>
      <c r="N65" s="103"/>
      <c r="O65" s="103"/>
      <c r="P65" s="103"/>
      <c r="Q65" s="103"/>
      <c r="R65" s="103"/>
      <c r="S65" s="103"/>
      <c r="T65" s="103"/>
      <c r="U65" s="103"/>
      <c r="V65" s="103"/>
      <c r="W65" s="103"/>
      <c r="X65" s="103"/>
    </row>
    <row r="66" spans="1:29" ht="15.6">
      <c r="A66" s="26" t="str">
        <v>Washington 3</v>
      </c>
      <c r="B66" s="27" t="str">
        <v>NY</v>
      </c>
      <c r="C66" s="27" t="str">
        <f>Sites[[#This Row],[SOL'#]]</f>
        <v>SOL-10828</v>
      </c>
      <c r="D66" s="9"/>
      <c r="E66" s="14"/>
      <c r="F66" s="14" t="str">
        <f t="shared" si="6"/>
        <v/>
      </c>
      <c r="G66" s="15" t="str">
        <f t="shared" si="7"/>
        <v/>
      </c>
      <c r="H66" s="16"/>
      <c r="I66" s="16" t="str">
        <f t="shared" si="4"/>
        <v/>
      </c>
      <c r="J66" s="15" t="str">
        <f t="shared" si="5"/>
        <v/>
      </c>
      <c r="K66" s="51"/>
      <c r="L66" s="99"/>
      <c r="M66" s="102"/>
      <c r="N66" s="103"/>
      <c r="O66" s="103"/>
      <c r="P66" s="103"/>
      <c r="Q66" s="103"/>
      <c r="R66" s="103"/>
      <c r="S66" s="103"/>
      <c r="T66" s="103"/>
      <c r="U66" s="103"/>
      <c r="V66" s="103"/>
      <c r="W66" s="103"/>
      <c r="X66" s="103"/>
    </row>
    <row r="67" spans="1:29" ht="15.6">
      <c r="A67" s="28" t="str">
        <v>Washington 4</v>
      </c>
      <c r="B67" s="25" t="str">
        <v>NY</v>
      </c>
      <c r="C67" s="25" t="str">
        <f>Sites[[#This Row],[SOL'#]]</f>
        <v>SOL-10829</v>
      </c>
      <c r="D67" s="20"/>
      <c r="E67" s="10"/>
      <c r="F67" s="10" t="str">
        <f t="shared" si="6"/>
        <v/>
      </c>
      <c r="G67" s="11" t="str">
        <f t="shared" si="7"/>
        <v/>
      </c>
      <c r="H67" s="12"/>
      <c r="I67" s="12" t="str">
        <f t="shared" si="4"/>
        <v/>
      </c>
      <c r="J67" s="13" t="str">
        <f t="shared" si="5"/>
        <v/>
      </c>
      <c r="K67" s="53"/>
      <c r="L67" s="53"/>
      <c r="M67" s="103"/>
      <c r="N67" s="103"/>
      <c r="O67" s="103"/>
      <c r="P67" s="103"/>
      <c r="Q67" s="103"/>
      <c r="R67" s="103"/>
      <c r="S67" s="103"/>
      <c r="T67" s="103"/>
      <c r="U67" s="103"/>
      <c r="V67" s="103"/>
      <c r="W67" s="103"/>
      <c r="X67" s="103"/>
    </row>
    <row r="68" spans="1:29" ht="15.6">
      <c r="A68" s="26" t="str">
        <v>Big Tree</v>
      </c>
      <c r="B68" s="27" t="str">
        <v>NY</v>
      </c>
      <c r="C68" s="27" t="str">
        <f>Sites[[#This Row],[SOL'#]]</f>
        <v>SOL-10966</v>
      </c>
      <c r="D68" s="9"/>
      <c r="E68" s="14"/>
      <c r="F68" s="14" t="str">
        <f t="shared" si="6"/>
        <v/>
      </c>
      <c r="G68" s="15" t="str">
        <f t="shared" si="7"/>
        <v/>
      </c>
      <c r="H68" s="16"/>
      <c r="I68" s="16" t="str">
        <f t="shared" si="4"/>
        <v/>
      </c>
      <c r="J68" s="15" t="str">
        <f t="shared" si="5"/>
        <v/>
      </c>
      <c r="K68" s="76"/>
      <c r="L68" s="99"/>
      <c r="M68" s="103"/>
      <c r="N68" s="103"/>
      <c r="O68" s="103"/>
      <c r="P68" s="103"/>
      <c r="Q68" s="103"/>
      <c r="R68" s="103"/>
      <c r="S68" s="103"/>
      <c r="T68" s="103"/>
      <c r="U68" s="103"/>
      <c r="V68" s="103"/>
      <c r="W68" s="103"/>
      <c r="X68" s="103"/>
    </row>
    <row r="69" spans="1:29" ht="15.6">
      <c r="A69" s="28" t="str">
        <v>Canoga</v>
      </c>
      <c r="B69" s="25" t="str">
        <v>NY</v>
      </c>
      <c r="C69" s="25" t="str">
        <f>Sites[[#This Row],[SOL'#]]</f>
        <v>SOL-10965</v>
      </c>
      <c r="D69" s="20"/>
      <c r="E69" s="10"/>
      <c r="F69" s="10" t="str">
        <f t="shared" si="6"/>
        <v/>
      </c>
      <c r="G69" s="11" t="str">
        <f t="shared" si="7"/>
        <v/>
      </c>
      <c r="H69" s="12"/>
      <c r="I69" s="12" t="str">
        <f t="shared" si="4"/>
        <v/>
      </c>
      <c r="J69" s="13" t="str">
        <f t="shared" si="5"/>
        <v/>
      </c>
      <c r="K69" s="53"/>
      <c r="L69" s="98"/>
      <c r="M69" s="102"/>
      <c r="N69" s="103"/>
      <c r="O69" s="103"/>
      <c r="P69" s="103"/>
      <c r="Q69" s="103"/>
      <c r="R69" s="103"/>
      <c r="S69" s="103"/>
      <c r="T69" s="103"/>
      <c r="U69" s="103"/>
      <c r="V69" s="103"/>
      <c r="W69" s="103"/>
      <c r="X69" s="103"/>
    </row>
    <row r="70" spans="1:29" ht="15.6">
      <c r="A70" s="26" t="str">
        <v>County Route 84</v>
      </c>
      <c r="B70" s="27" t="str">
        <v>NY</v>
      </c>
      <c r="C70" s="27" t="str">
        <f>Sites[[#This Row],[SOL'#]]</f>
        <v>SOL-10967</v>
      </c>
      <c r="D70" s="9"/>
      <c r="E70" s="14"/>
      <c r="F70" s="14" t="str">
        <f t="shared" si="6"/>
        <v/>
      </c>
      <c r="G70" s="15" t="str">
        <f t="shared" si="7"/>
        <v/>
      </c>
      <c r="H70" s="16"/>
      <c r="I70" s="16" t="str">
        <f t="shared" si="4"/>
        <v/>
      </c>
      <c r="J70" s="15" t="str">
        <f t="shared" si="5"/>
        <v/>
      </c>
      <c r="K70" s="51"/>
      <c r="L70" s="99"/>
      <c r="M70" s="102"/>
      <c r="N70" s="103"/>
      <c r="O70" s="103"/>
      <c r="P70" s="103"/>
      <c r="Q70" s="103"/>
      <c r="R70" s="103"/>
      <c r="S70" s="103"/>
      <c r="T70" s="103"/>
      <c r="U70" s="103"/>
      <c r="V70" s="103"/>
      <c r="W70" s="103"/>
      <c r="X70" s="103"/>
    </row>
    <row r="71" spans="1:29" ht="15.6">
      <c r="A71" s="28" t="str">
        <v>Donati</v>
      </c>
      <c r="B71" s="25" t="str">
        <v>NY</v>
      </c>
      <c r="C71" s="25" t="str">
        <f>Sites[[#This Row],[SOL'#]]</f>
        <v>SOL-10968</v>
      </c>
      <c r="D71" s="20"/>
      <c r="E71" s="10"/>
      <c r="F71" s="10" t="str">
        <f t="shared" si="6"/>
        <v/>
      </c>
      <c r="G71" s="11" t="str">
        <f t="shared" si="7"/>
        <v/>
      </c>
      <c r="H71" s="12"/>
      <c r="I71" s="12" t="str">
        <f t="shared" si="4"/>
        <v/>
      </c>
      <c r="J71" s="13" t="str">
        <f t="shared" si="5"/>
        <v/>
      </c>
      <c r="K71" s="53"/>
      <c r="L71" s="98"/>
      <c r="M71" s="102"/>
      <c r="N71" s="102"/>
      <c r="O71" s="103"/>
      <c r="P71" s="103"/>
      <c r="Q71" s="103"/>
      <c r="R71" s="103"/>
      <c r="S71" s="103"/>
      <c r="T71" s="103"/>
      <c r="U71" s="103"/>
      <c r="V71" s="103"/>
      <c r="W71" s="103"/>
      <c r="X71" s="103"/>
    </row>
    <row r="72" spans="1:29" ht="15.6">
      <c r="A72" s="26" t="str">
        <v>Henrietta</v>
      </c>
      <c r="B72" s="27" t="str">
        <v>NY</v>
      </c>
      <c r="C72" s="27" t="str">
        <f>Sites[[#This Row],[SOL'#]]</f>
        <v>SOL-10972</v>
      </c>
      <c r="D72" s="9"/>
      <c r="E72" s="14"/>
      <c r="F72" s="14" t="str">
        <f t="shared" si="6"/>
        <v/>
      </c>
      <c r="G72" s="15" t="str">
        <f t="shared" si="7"/>
        <v/>
      </c>
      <c r="H72" s="16"/>
      <c r="I72" s="16" t="str">
        <f t="shared" si="4"/>
        <v/>
      </c>
      <c r="J72" s="15" t="str">
        <f t="shared" si="5"/>
        <v/>
      </c>
      <c r="K72" s="51"/>
      <c r="L72" s="51"/>
      <c r="M72" s="103"/>
      <c r="N72" s="103"/>
      <c r="O72" s="103"/>
      <c r="P72" s="103"/>
      <c r="Q72" s="103"/>
      <c r="R72" s="103"/>
      <c r="S72" s="103"/>
      <c r="T72" s="103"/>
      <c r="U72" s="103"/>
      <c r="V72" s="103"/>
      <c r="W72" s="103"/>
      <c r="X72" s="103"/>
    </row>
    <row r="73" spans="1:29" ht="41.25" customHeight="1">
      <c r="A73" s="28" t="str">
        <v>NY 70</v>
      </c>
      <c r="B73" s="25" t="str">
        <v>NY</v>
      </c>
      <c r="C73" s="25" t="str">
        <f>Sites[[#This Row],[SOL'#]]</f>
        <v>SOL-10970</v>
      </c>
      <c r="D73" s="20"/>
      <c r="E73" s="10"/>
      <c r="F73" s="10" t="str">
        <f t="shared" si="6"/>
        <v/>
      </c>
      <c r="G73" s="11" t="str">
        <f t="shared" si="7"/>
        <v/>
      </c>
      <c r="H73" s="12"/>
      <c r="I73" s="12" t="str">
        <f t="shared" si="4"/>
        <v/>
      </c>
      <c r="J73" s="13" t="str">
        <f t="shared" si="5"/>
        <v/>
      </c>
      <c r="K73" s="53"/>
      <c r="L73" s="98"/>
      <c r="M73" s="103"/>
      <c r="N73" s="103"/>
      <c r="O73" s="103"/>
      <c r="P73" s="103"/>
      <c r="Q73" s="103"/>
      <c r="R73" s="103"/>
      <c r="S73" s="103"/>
      <c r="T73" s="103"/>
      <c r="U73" s="103"/>
      <c r="V73" s="103"/>
      <c r="W73" s="103"/>
      <c r="X73" s="103"/>
    </row>
    <row r="74" spans="1:29" ht="15.6">
      <c r="A74" s="26" t="str">
        <v>Reid</v>
      </c>
      <c r="B74" s="27" t="str">
        <v>NY</v>
      </c>
      <c r="C74" s="27" t="str">
        <f>Sites[[#This Row],[SOL'#]]</f>
        <v>SOL-10991</v>
      </c>
      <c r="D74" s="9"/>
      <c r="E74" s="14"/>
      <c r="F74" s="14" t="str">
        <f>IF(AND(ISNUMBER(D74),ISNUMBER(E74)), D74-E74, "")</f>
        <v/>
      </c>
      <c r="G74" s="15" t="str">
        <f t="shared" si="7"/>
        <v/>
      </c>
      <c r="H74" s="16"/>
      <c r="I74" s="16" t="str">
        <f t="shared" si="4"/>
        <v/>
      </c>
      <c r="J74" s="15" t="str">
        <f t="shared" si="5"/>
        <v/>
      </c>
      <c r="K74" s="51"/>
      <c r="L74" s="99"/>
      <c r="M74" s="102"/>
      <c r="N74" s="102"/>
      <c r="O74" s="102"/>
      <c r="P74" s="102"/>
      <c r="Q74" s="102"/>
      <c r="R74" s="102"/>
      <c r="S74" s="102"/>
      <c r="T74" s="102"/>
      <c r="U74" s="102"/>
      <c r="V74" s="102"/>
      <c r="W74" s="102"/>
      <c r="X74" s="102"/>
      <c r="Y74" s="111"/>
      <c r="Z74" s="111"/>
      <c r="AA74" s="111"/>
      <c r="AB74" s="111"/>
      <c r="AC74" s="111"/>
    </row>
    <row r="75" spans="1:29" ht="15.6">
      <c r="A75" s="28" t="str">
        <v>Sangolqui</v>
      </c>
      <c r="B75" s="25" t="str">
        <v>NY</v>
      </c>
      <c r="C75" s="25" t="str">
        <f>Sites[[#This Row],[SOL'#]]</f>
        <v>SOL-10975</v>
      </c>
      <c r="D75" s="20"/>
      <c r="E75" s="10"/>
      <c r="F75" s="10" t="str">
        <f t="shared" si="6"/>
        <v/>
      </c>
      <c r="G75" s="11" t="str">
        <f t="shared" si="7"/>
        <v/>
      </c>
      <c r="H75" s="12"/>
      <c r="I75" s="12" t="str">
        <f t="shared" si="4"/>
        <v/>
      </c>
      <c r="J75" s="13" t="str">
        <f t="shared" si="5"/>
        <v/>
      </c>
      <c r="K75" s="53"/>
      <c r="L75" s="53"/>
      <c r="M75" s="103"/>
      <c r="N75" s="103"/>
      <c r="O75" s="103"/>
      <c r="P75" s="103"/>
      <c r="Q75" s="103"/>
      <c r="R75" s="103"/>
      <c r="S75" s="103"/>
      <c r="T75" s="103"/>
      <c r="U75" s="103"/>
      <c r="V75" s="103"/>
      <c r="W75" s="103"/>
      <c r="X75" s="103"/>
    </row>
    <row r="76" spans="1:29" ht="15.6">
      <c r="A76" s="26" t="str">
        <v>State Highway 17B</v>
      </c>
      <c r="B76" s="27" t="str">
        <v>NY</v>
      </c>
      <c r="C76" s="27" t="str">
        <f>Sites[[#This Row],[SOL'#]]</f>
        <v>SOL-10988</v>
      </c>
      <c r="D76" s="9"/>
      <c r="E76" s="14"/>
      <c r="F76" s="14" t="str">
        <f t="shared" si="6"/>
        <v/>
      </c>
      <c r="G76" s="15" t="str">
        <f t="shared" si="7"/>
        <v/>
      </c>
      <c r="H76" s="133"/>
      <c r="I76" s="16" t="str">
        <f t="shared" si="4"/>
        <v/>
      </c>
      <c r="J76" s="15" t="str">
        <f t="shared" si="5"/>
        <v/>
      </c>
      <c r="K76" s="51"/>
      <c r="L76" s="99"/>
      <c r="M76" s="102"/>
      <c r="N76" s="103"/>
      <c r="O76" s="103"/>
      <c r="P76" s="103"/>
      <c r="Q76" s="103"/>
      <c r="R76" s="103"/>
      <c r="S76" s="103"/>
      <c r="T76" s="103"/>
      <c r="U76" s="103"/>
      <c r="V76" s="103"/>
      <c r="W76" s="103"/>
      <c r="X76" s="103"/>
    </row>
    <row r="77" spans="1:29" ht="15.6">
      <c r="A77" s="28" t="str">
        <v>State Route 14A</v>
      </c>
      <c r="B77" s="25" t="str">
        <v>NY</v>
      </c>
      <c r="C77" s="25" t="str">
        <f>Sites[[#This Row],[SOL'#]]</f>
        <v>SOL-10997</v>
      </c>
      <c r="D77" s="20"/>
      <c r="E77" s="10"/>
      <c r="F77" s="10" t="str">
        <f t="shared" si="6"/>
        <v/>
      </c>
      <c r="G77" s="11" t="str">
        <f t="shared" si="7"/>
        <v/>
      </c>
      <c r="H77" s="12"/>
      <c r="I77" s="12" t="str">
        <f t="shared" si="4"/>
        <v/>
      </c>
      <c r="J77" s="13" t="str">
        <f t="shared" si="5"/>
        <v/>
      </c>
      <c r="K77" s="53"/>
      <c r="L77" s="98"/>
      <c r="M77" s="102"/>
      <c r="N77" s="102"/>
      <c r="O77" s="103"/>
      <c r="P77" s="103"/>
      <c r="Q77" s="103"/>
      <c r="R77" s="103"/>
      <c r="S77" s="103"/>
      <c r="T77" s="103"/>
      <c r="U77" s="103"/>
      <c r="V77" s="103"/>
      <c r="W77" s="103"/>
      <c r="X77" s="103"/>
    </row>
    <row r="78" spans="1:29" ht="15.6">
      <c r="A78" s="26" t="str">
        <v>West Creek</v>
      </c>
      <c r="B78" s="27" t="str">
        <v>NY</v>
      </c>
      <c r="C78" s="27" t="str">
        <f>Sites[[#This Row],[SOL'#]]</f>
        <v>SOL-10995</v>
      </c>
      <c r="D78" s="9"/>
      <c r="E78" s="14"/>
      <c r="F78" s="14" t="str">
        <f t="shared" si="6"/>
        <v/>
      </c>
      <c r="G78" s="15" t="str">
        <f t="shared" si="7"/>
        <v/>
      </c>
      <c r="H78" s="16"/>
      <c r="I78" s="16" t="str">
        <f t="shared" si="4"/>
        <v/>
      </c>
      <c r="J78" s="15" t="str">
        <f t="shared" si="5"/>
        <v/>
      </c>
      <c r="K78" s="51"/>
      <c r="L78" s="99"/>
      <c r="M78" s="103"/>
      <c r="N78" s="103"/>
      <c r="O78" s="103"/>
      <c r="P78" s="103"/>
      <c r="Q78" s="103"/>
      <c r="R78" s="103"/>
      <c r="S78" s="103"/>
      <c r="T78" s="103"/>
      <c r="U78" s="103"/>
      <c r="V78" s="103"/>
      <c r="W78" s="103"/>
      <c r="X78" s="103"/>
    </row>
    <row r="79" spans="1:29" ht="15.6">
      <c r="A79" s="28" t="str">
        <v>Wildflower</v>
      </c>
      <c r="B79" s="25" t="str">
        <v>NY</v>
      </c>
      <c r="C79" s="25" t="str">
        <f>Sites[[#This Row],[SOL'#]]</f>
        <v>SOL-10982</v>
      </c>
      <c r="D79" s="20"/>
      <c r="E79" s="10"/>
      <c r="F79" s="10" t="str">
        <f t="shared" si="6"/>
        <v/>
      </c>
      <c r="G79" s="11" t="str">
        <f t="shared" si="7"/>
        <v/>
      </c>
      <c r="H79" s="12"/>
      <c r="I79" s="12" t="str">
        <f t="shared" si="4"/>
        <v/>
      </c>
      <c r="J79" s="13" t="str">
        <f t="shared" si="5"/>
        <v/>
      </c>
      <c r="K79" s="53"/>
      <c r="L79" s="98"/>
      <c r="M79" s="103"/>
      <c r="N79" s="103"/>
      <c r="O79" s="103"/>
      <c r="P79" s="103"/>
      <c r="Q79" s="103"/>
      <c r="R79" s="103"/>
      <c r="S79" s="103"/>
      <c r="T79" s="103"/>
      <c r="U79" s="103"/>
      <c r="V79" s="103"/>
      <c r="W79" s="103"/>
      <c r="X79" s="103"/>
    </row>
    <row r="80" spans="1:29" ht="15.6">
      <c r="A80" s="26" t="str">
        <v>Glen Mary 1</v>
      </c>
      <c r="B80" s="27" t="str">
        <v>NY</v>
      </c>
      <c r="C80" s="27" t="str">
        <f>Sites[[#This Row],[SOL'#]]</f>
        <v>SOL-10993</v>
      </c>
      <c r="D80" s="9"/>
      <c r="E80" s="14"/>
      <c r="F80" s="14" t="str">
        <f t="shared" si="6"/>
        <v/>
      </c>
      <c r="G80" s="15" t="str">
        <f t="shared" si="7"/>
        <v/>
      </c>
      <c r="H80" s="16"/>
      <c r="I80" s="16" t="str">
        <f t="shared" si="4"/>
        <v/>
      </c>
      <c r="J80" s="15" t="str">
        <f t="shared" si="5"/>
        <v/>
      </c>
      <c r="K80" s="51"/>
      <c r="L80" s="99"/>
      <c r="M80" s="102"/>
      <c r="N80" s="103"/>
      <c r="O80" s="103"/>
      <c r="P80" s="103"/>
      <c r="Q80" s="103"/>
      <c r="R80" s="103"/>
      <c r="S80" s="103"/>
      <c r="T80" s="103"/>
      <c r="U80" s="103"/>
      <c r="V80" s="103"/>
      <c r="W80" s="103"/>
      <c r="X80" s="103"/>
    </row>
    <row r="81" spans="1:24" ht="15.6">
      <c r="A81" s="28" t="str">
        <v>Glen Mary 2</v>
      </c>
      <c r="B81" s="25" t="str">
        <v>NY</v>
      </c>
      <c r="C81" s="25" t="str">
        <f>Sites[[#This Row],[SOL'#]]</f>
        <v>SOL-10994</v>
      </c>
      <c r="D81" s="20"/>
      <c r="E81" s="10"/>
      <c r="F81" s="10" t="str">
        <f t="shared" si="6"/>
        <v/>
      </c>
      <c r="G81" s="11" t="str">
        <f t="shared" si="7"/>
        <v/>
      </c>
      <c r="H81" s="12"/>
      <c r="I81" s="12" t="str">
        <f t="shared" si="4"/>
        <v/>
      </c>
      <c r="J81" s="13" t="str">
        <f t="shared" si="5"/>
        <v/>
      </c>
      <c r="K81" s="53"/>
      <c r="L81" s="98"/>
      <c r="M81" s="103"/>
      <c r="N81" s="103"/>
      <c r="O81" s="103"/>
      <c r="P81" s="103"/>
      <c r="Q81" s="103"/>
      <c r="R81" s="103"/>
      <c r="S81" s="103"/>
      <c r="T81" s="103"/>
      <c r="U81" s="103"/>
      <c r="V81" s="103"/>
      <c r="W81" s="103"/>
      <c r="X81" s="103"/>
    </row>
    <row r="82" spans="1:24" ht="15.6">
      <c r="A82" s="26" t="str">
        <v>Telegraph 1</v>
      </c>
      <c r="B82" s="27" t="str">
        <v>NY</v>
      </c>
      <c r="C82" s="27" t="str">
        <f>Sites[[#This Row],[SOL'#]]</f>
        <v>SOL-11003</v>
      </c>
      <c r="D82" s="9"/>
      <c r="E82" s="14"/>
      <c r="F82" s="14" t="str">
        <f t="shared" si="6"/>
        <v/>
      </c>
      <c r="G82" s="15" t="str">
        <f t="shared" si="7"/>
        <v/>
      </c>
      <c r="H82" s="16"/>
      <c r="I82" s="16" t="str">
        <f t="shared" si="4"/>
        <v/>
      </c>
      <c r="J82" s="15" t="str">
        <f t="shared" si="5"/>
        <v/>
      </c>
      <c r="K82" s="70"/>
      <c r="L82" s="99"/>
      <c r="M82" s="103"/>
      <c r="N82" s="103"/>
      <c r="O82" s="103"/>
      <c r="P82" s="103"/>
      <c r="Q82" s="103"/>
      <c r="R82" s="103"/>
      <c r="S82" s="103"/>
      <c r="T82" s="103"/>
      <c r="U82" s="103"/>
      <c r="V82" s="103"/>
      <c r="W82" s="103"/>
      <c r="X82" s="103"/>
    </row>
    <row r="83" spans="1:24" ht="15.6">
      <c r="A83" s="28" t="str">
        <v>Telegraph 2</v>
      </c>
      <c r="B83" s="25" t="str">
        <v>NY</v>
      </c>
      <c r="C83" s="25" t="str">
        <f>Sites[[#This Row],[SOL'#]]</f>
        <v>SOL-11004</v>
      </c>
      <c r="D83" s="20"/>
      <c r="E83" s="10"/>
      <c r="F83" s="10" t="str">
        <f t="shared" si="6"/>
        <v/>
      </c>
      <c r="G83" s="11" t="str">
        <f t="shared" si="7"/>
        <v/>
      </c>
      <c r="H83" s="12"/>
      <c r="I83" s="12" t="str">
        <f t="shared" si="4"/>
        <v/>
      </c>
      <c r="J83" s="13" t="str">
        <f t="shared" si="5"/>
        <v/>
      </c>
      <c r="K83" s="53"/>
      <c r="L83" s="98"/>
      <c r="M83" s="103"/>
      <c r="N83" s="103"/>
      <c r="O83" s="103"/>
      <c r="P83" s="103"/>
      <c r="Q83" s="103"/>
      <c r="R83" s="103"/>
      <c r="S83" s="103"/>
      <c r="T83" s="103"/>
      <c r="U83" s="103"/>
      <c r="V83" s="103"/>
      <c r="W83" s="103"/>
      <c r="X83" s="103"/>
    </row>
    <row r="84" spans="1:24" ht="15.6">
      <c r="A84" s="26" t="str">
        <v>Cafferty Hill</v>
      </c>
      <c r="B84" s="27" t="str">
        <v>NY</v>
      </c>
      <c r="C84" s="27" t="str">
        <f>Sites[[#This Row],[SOL'#]]</f>
        <v>SOL-10996</v>
      </c>
      <c r="D84" s="9"/>
      <c r="E84" s="14"/>
      <c r="F84" s="14" t="str">
        <f t="shared" si="6"/>
        <v/>
      </c>
      <c r="G84" s="15" t="str">
        <f t="shared" si="7"/>
        <v/>
      </c>
      <c r="H84" s="16"/>
      <c r="I84" s="16" t="str">
        <f t="shared" si="4"/>
        <v/>
      </c>
      <c r="J84" s="15" t="str">
        <f t="shared" si="5"/>
        <v/>
      </c>
      <c r="K84" s="51"/>
      <c r="L84" s="99"/>
      <c r="M84" s="103"/>
      <c r="N84" s="103"/>
      <c r="O84" s="103"/>
      <c r="P84" s="103"/>
      <c r="Q84" s="103"/>
      <c r="R84" s="103"/>
      <c r="S84" s="103"/>
      <c r="T84" s="103"/>
      <c r="U84" s="103"/>
      <c r="V84" s="103"/>
      <c r="W84" s="103"/>
      <c r="X84" s="103"/>
    </row>
    <row r="85" spans="1:24" ht="15.6">
      <c r="A85" s="28" t="str">
        <v>Dunkleman</v>
      </c>
      <c r="B85" s="25" t="str">
        <v>NY</v>
      </c>
      <c r="C85" s="25" t="str">
        <f>Sites[[#This Row],[SOL'#]]</f>
        <v>SOL-11008</v>
      </c>
      <c r="D85" s="20"/>
      <c r="E85" s="10"/>
      <c r="F85" s="10" t="str">
        <f t="shared" si="6"/>
        <v/>
      </c>
      <c r="G85" s="11" t="str">
        <f t="shared" si="7"/>
        <v/>
      </c>
      <c r="H85" s="12"/>
      <c r="I85" s="12" t="str">
        <f t="shared" si="4"/>
        <v/>
      </c>
      <c r="J85" s="13" t="str">
        <f t="shared" si="5"/>
        <v/>
      </c>
      <c r="K85" s="53"/>
      <c r="L85" s="98"/>
      <c r="M85" s="103"/>
      <c r="N85" s="103"/>
      <c r="O85" s="103"/>
      <c r="P85" s="103"/>
      <c r="Q85" s="103"/>
      <c r="R85" s="103"/>
      <c r="S85" s="103"/>
      <c r="T85" s="103"/>
      <c r="U85" s="103"/>
      <c r="V85" s="103"/>
      <c r="W85" s="103"/>
      <c r="X85" s="103"/>
    </row>
    <row r="86" spans="1:24" ht="15.6">
      <c r="A86" s="26" t="str">
        <v>Route 19 1</v>
      </c>
      <c r="B86" s="27" t="str">
        <v>NY</v>
      </c>
      <c r="C86" s="27" t="str">
        <f>Sites[[#This Row],[SOL'#]]</f>
        <v>SOL-11001</v>
      </c>
      <c r="D86" s="9"/>
      <c r="E86" s="14"/>
      <c r="F86" s="14" t="str">
        <f t="shared" si="6"/>
        <v/>
      </c>
      <c r="G86" s="15" t="str">
        <f t="shared" si="7"/>
        <v/>
      </c>
      <c r="H86" s="16"/>
      <c r="I86" s="16" t="str">
        <f t="shared" si="4"/>
        <v/>
      </c>
      <c r="J86" s="15" t="str">
        <f t="shared" si="5"/>
        <v/>
      </c>
      <c r="K86" s="106"/>
      <c r="L86" s="99"/>
      <c r="M86" s="103"/>
      <c r="N86" s="103"/>
      <c r="O86" s="103"/>
      <c r="P86" s="103"/>
      <c r="Q86" s="103"/>
      <c r="R86" s="103"/>
      <c r="S86" s="103"/>
      <c r="T86" s="103"/>
      <c r="U86" s="103"/>
      <c r="V86" s="103"/>
      <c r="W86" s="103"/>
      <c r="X86" s="103"/>
    </row>
    <row r="87" spans="1:24" ht="15.6">
      <c r="A87" s="28" t="str">
        <v>Route 19 2</v>
      </c>
      <c r="B87" s="25" t="str">
        <v>NY</v>
      </c>
      <c r="C87" s="25" t="str">
        <f>Sites[[#This Row],[SOL'#]]</f>
        <v>SOL-11002</v>
      </c>
      <c r="D87" s="20"/>
      <c r="E87" s="10"/>
      <c r="F87" s="10" t="str">
        <f t="shared" si="6"/>
        <v/>
      </c>
      <c r="G87" s="11" t="str">
        <f t="shared" si="7"/>
        <v/>
      </c>
      <c r="H87" s="12"/>
      <c r="I87" s="12" t="str">
        <f t="shared" si="4"/>
        <v/>
      </c>
      <c r="J87" s="13" t="str">
        <f t="shared" si="5"/>
        <v/>
      </c>
      <c r="K87" s="53"/>
      <c r="L87" s="98"/>
      <c r="M87" s="103"/>
      <c r="N87" s="103"/>
      <c r="O87" s="103"/>
      <c r="P87" s="103"/>
      <c r="Q87" s="103"/>
      <c r="R87" s="103"/>
      <c r="S87" s="103"/>
      <c r="T87" s="103"/>
      <c r="U87" s="103"/>
      <c r="V87" s="103"/>
      <c r="W87" s="103"/>
      <c r="X87" s="103"/>
    </row>
    <row r="88" spans="1:24" ht="15.6">
      <c r="A88" s="26" t="str">
        <v>Yellow Mills 1</v>
      </c>
      <c r="B88" s="27" t="str">
        <v>NY</v>
      </c>
      <c r="C88" s="27" t="str">
        <f>Sites[[#This Row],[SOL'#]]</f>
        <v>SOL-11006</v>
      </c>
      <c r="D88" s="9"/>
      <c r="E88" s="14"/>
      <c r="F88" s="14" t="str">
        <f t="shared" si="6"/>
        <v/>
      </c>
      <c r="G88" s="15" t="str">
        <f t="shared" si="7"/>
        <v/>
      </c>
      <c r="H88" s="16"/>
      <c r="I88" s="16" t="str">
        <f t="shared" si="4"/>
        <v/>
      </c>
      <c r="J88" s="15" t="str">
        <f t="shared" si="5"/>
        <v/>
      </c>
      <c r="K88" s="51"/>
      <c r="L88" s="51"/>
      <c r="M88" s="103"/>
      <c r="N88" s="103"/>
      <c r="O88" s="103"/>
      <c r="P88" s="103"/>
      <c r="Q88" s="103"/>
      <c r="R88" s="103"/>
      <c r="S88" s="103"/>
      <c r="T88" s="103"/>
      <c r="U88" s="103"/>
      <c r="V88" s="103"/>
      <c r="W88" s="103"/>
      <c r="X88" s="103"/>
    </row>
    <row r="89" spans="1:24" ht="15.6">
      <c r="A89" s="28" t="str">
        <v>Yellow Mills 2</v>
      </c>
      <c r="B89" s="25" t="str">
        <v>NY</v>
      </c>
      <c r="C89" s="25" t="str">
        <f>Sites[[#This Row],[SOL'#]]</f>
        <v>SOL-11005</v>
      </c>
      <c r="D89" s="20"/>
      <c r="E89" s="10"/>
      <c r="F89" s="10" t="str">
        <f t="shared" si="6"/>
        <v/>
      </c>
      <c r="G89" s="11" t="str">
        <f t="shared" si="7"/>
        <v/>
      </c>
      <c r="H89" s="12"/>
      <c r="I89" s="12" t="str">
        <f t="shared" si="4"/>
        <v/>
      </c>
      <c r="J89" s="13" t="str">
        <f t="shared" si="5"/>
        <v/>
      </c>
      <c r="K89" s="53"/>
      <c r="L89" s="53"/>
      <c r="M89" s="103"/>
      <c r="N89" s="103"/>
      <c r="O89" s="103"/>
      <c r="P89" s="103"/>
      <c r="Q89" s="103"/>
      <c r="R89" s="103"/>
      <c r="S89" s="103"/>
      <c r="T89" s="103"/>
      <c r="U89" s="103"/>
      <c r="V89" s="103"/>
      <c r="W89" s="103"/>
      <c r="X89" s="103"/>
    </row>
    <row r="90" spans="1:24" ht="15.6">
      <c r="A90" s="26" t="str">
        <v>Yellow Mills 3</v>
      </c>
      <c r="B90" s="27" t="str">
        <v>NY</v>
      </c>
      <c r="C90" s="27" t="str">
        <f>Sites[[#This Row],[SOL'#]]</f>
        <v>SOL-11007</v>
      </c>
      <c r="D90" s="9"/>
      <c r="E90" s="14"/>
      <c r="F90" s="14" t="str">
        <f t="shared" si="6"/>
        <v/>
      </c>
      <c r="G90" s="15" t="str">
        <f t="shared" si="7"/>
        <v/>
      </c>
      <c r="H90" s="16"/>
      <c r="I90" s="16" t="str">
        <f t="shared" si="4"/>
        <v/>
      </c>
      <c r="J90" s="15" t="str">
        <f t="shared" si="5"/>
        <v/>
      </c>
      <c r="K90" s="51"/>
      <c r="L90" s="51"/>
      <c r="M90" s="103"/>
      <c r="N90" s="103"/>
      <c r="O90" s="103"/>
      <c r="P90" s="103"/>
      <c r="Q90" s="103"/>
      <c r="R90" s="103"/>
      <c r="S90" s="103"/>
      <c r="T90" s="103"/>
      <c r="U90" s="103"/>
      <c r="V90" s="103"/>
      <c r="W90" s="103"/>
      <c r="X90" s="103"/>
    </row>
    <row r="91" spans="1:24" ht="78.75" customHeight="1">
      <c r="A91" s="28" t="str">
        <v>Catskill</v>
      </c>
      <c r="B91" s="25" t="str">
        <v>NY</v>
      </c>
      <c r="C91" s="25" t="str">
        <f>Sites[[#This Row],[SOL'#]]</f>
        <v>SOL-11021</v>
      </c>
      <c r="D91" s="20"/>
      <c r="E91" s="10"/>
      <c r="F91" s="10" t="str">
        <f t="shared" si="6"/>
        <v/>
      </c>
      <c r="G91" s="11" t="str">
        <f t="shared" si="7"/>
        <v/>
      </c>
      <c r="H91" s="12"/>
      <c r="I91" s="12" t="str">
        <f t="shared" si="4"/>
        <v/>
      </c>
      <c r="J91" s="13" t="str">
        <f t="shared" si="5"/>
        <v/>
      </c>
      <c r="K91" s="53"/>
      <c r="L91" s="98"/>
      <c r="M91" s="103"/>
      <c r="N91" s="103"/>
      <c r="O91" s="103"/>
      <c r="P91" s="103"/>
      <c r="Q91" s="103"/>
      <c r="R91" s="103"/>
      <c r="S91" s="103"/>
      <c r="T91" s="103"/>
      <c r="U91" s="103"/>
      <c r="V91" s="103"/>
      <c r="W91" s="103"/>
      <c r="X91" s="103"/>
    </row>
    <row r="92" spans="1:24" ht="54.75" customHeight="1">
      <c r="A92" s="26" t="str">
        <v>Eddy Ridge</v>
      </c>
      <c r="B92" s="27" t="str">
        <v>NY</v>
      </c>
      <c r="C92" s="27" t="str">
        <f>Sites[[#This Row],[SOL'#]]</f>
        <v>SOL-11054</v>
      </c>
      <c r="D92" s="9"/>
      <c r="E92" s="14"/>
      <c r="F92" s="14" t="str">
        <f t="shared" si="6"/>
        <v/>
      </c>
      <c r="G92" s="15" t="str">
        <f t="shared" si="7"/>
        <v/>
      </c>
      <c r="H92" s="16"/>
      <c r="I92" s="16" t="str">
        <f t="shared" si="4"/>
        <v/>
      </c>
      <c r="J92" s="15" t="str">
        <f t="shared" si="5"/>
        <v/>
      </c>
      <c r="K92" s="51"/>
      <c r="L92" s="99"/>
      <c r="M92" s="102"/>
      <c r="N92" s="102"/>
      <c r="O92" s="103"/>
      <c r="P92" s="103"/>
      <c r="Q92" s="103"/>
      <c r="R92" s="103"/>
      <c r="S92" s="103"/>
      <c r="T92" s="103"/>
      <c r="U92" s="103"/>
      <c r="V92" s="103"/>
      <c r="W92" s="103"/>
      <c r="X92" s="103"/>
    </row>
    <row r="93" spans="1:24" ht="15.6">
      <c r="A93" s="28" t="str">
        <v>Ridgeway #1</v>
      </c>
      <c r="B93" s="25" t="str">
        <v>NY</v>
      </c>
      <c r="C93" s="25" t="str">
        <f>Sites[[#This Row],[SOL'#]]</f>
        <v>SOL-11018</v>
      </c>
      <c r="D93" s="20"/>
      <c r="E93" s="10"/>
      <c r="F93" s="10" t="str">
        <f t="shared" ref="F93:F96" si="8">IF(AND(ISNUMBER(D93),ISNUMBER(E93)), D93-E93, "")</f>
        <v/>
      </c>
      <c r="G93" s="11" t="str">
        <f t="shared" si="7"/>
        <v/>
      </c>
      <c r="H93" s="12"/>
      <c r="I93" s="12" t="str">
        <f t="shared" si="4"/>
        <v/>
      </c>
      <c r="J93" s="13" t="str">
        <f t="shared" si="5"/>
        <v/>
      </c>
      <c r="K93" s="53"/>
      <c r="L93" s="98"/>
      <c r="M93" s="102"/>
      <c r="N93" s="103"/>
      <c r="O93" s="103"/>
      <c r="P93" s="103"/>
      <c r="Q93" s="103"/>
      <c r="R93" s="103"/>
      <c r="S93" s="103"/>
      <c r="T93" s="103"/>
      <c r="U93" s="103"/>
      <c r="V93" s="103"/>
      <c r="W93" s="103"/>
      <c r="X93" s="103"/>
    </row>
    <row r="94" spans="1:24" ht="15.6">
      <c r="A94" s="26" t="str">
        <v>Rivard 1</v>
      </c>
      <c r="B94" s="27" t="str">
        <v>NY</v>
      </c>
      <c r="C94" s="27" t="str">
        <f>Sites[[#This Row],[SOL'#]]</f>
        <v>SOL-11011</v>
      </c>
      <c r="D94" s="9"/>
      <c r="E94" s="14"/>
      <c r="F94" s="14" t="str">
        <f t="shared" si="8"/>
        <v/>
      </c>
      <c r="G94" s="15" t="str">
        <f t="shared" ref="G94:G96" si="9">IFERROR(F94/E94, "")</f>
        <v/>
      </c>
      <c r="H94" s="16"/>
      <c r="I94" s="16" t="str">
        <f t="shared" si="4"/>
        <v/>
      </c>
      <c r="J94" s="15" t="str">
        <f t="shared" si="5"/>
        <v/>
      </c>
      <c r="K94" s="51"/>
      <c r="L94" s="99"/>
      <c r="M94" s="103"/>
      <c r="N94" s="103"/>
      <c r="O94" s="103"/>
      <c r="P94" s="103"/>
      <c r="Q94" s="103"/>
      <c r="R94" s="103"/>
      <c r="S94" s="103"/>
      <c r="T94" s="103"/>
      <c r="U94" s="103"/>
      <c r="V94" s="103"/>
      <c r="W94" s="103"/>
      <c r="X94" s="103"/>
    </row>
    <row r="95" spans="1:24" ht="15.6">
      <c r="A95" s="28" t="str">
        <v>Rivard 2</v>
      </c>
      <c r="B95" s="25" t="str">
        <v>NY</v>
      </c>
      <c r="C95" s="25" t="str">
        <f>Sites[[#This Row],[SOL'#]]</f>
        <v>SOL-11012</v>
      </c>
      <c r="D95" s="20"/>
      <c r="E95" s="10"/>
      <c r="F95" s="10" t="str">
        <f t="shared" si="8"/>
        <v/>
      </c>
      <c r="G95" s="11" t="str">
        <f t="shared" si="9"/>
        <v/>
      </c>
      <c r="H95" s="12"/>
      <c r="I95" s="12" t="str">
        <f t="shared" si="4"/>
        <v/>
      </c>
      <c r="J95" s="13" t="str">
        <f t="shared" si="5"/>
        <v/>
      </c>
      <c r="K95" s="53"/>
      <c r="L95" s="98"/>
      <c r="M95" s="103"/>
      <c r="N95" s="103"/>
      <c r="O95" s="103"/>
      <c r="P95" s="103"/>
      <c r="Q95" s="103"/>
      <c r="R95" s="103"/>
      <c r="S95" s="103"/>
      <c r="T95" s="103"/>
      <c r="U95" s="103"/>
      <c r="V95" s="103"/>
      <c r="W95" s="103"/>
      <c r="X95" s="103"/>
    </row>
    <row r="96" spans="1:24" ht="15.6">
      <c r="A96" s="28" t="str">
        <v>Ridgeway #2</v>
      </c>
      <c r="B96" s="25" t="str">
        <v>NY</v>
      </c>
      <c r="C96" s="25" t="str">
        <f>Sites[[#This Row],[SOL'#]]</f>
        <v>SOL-11027</v>
      </c>
      <c r="D96" s="20"/>
      <c r="E96" s="10"/>
      <c r="F96" s="10" t="str">
        <f t="shared" si="8"/>
        <v/>
      </c>
      <c r="G96" s="11" t="str">
        <f t="shared" si="9"/>
        <v/>
      </c>
      <c r="H96" s="12"/>
      <c r="I96" s="12" t="str">
        <f t="shared" ref="I96:I154" si="10">IF(AND(ISNUMBER(D96),ISNUMBER(H96)), D96-H96, "")</f>
        <v/>
      </c>
      <c r="J96" s="13" t="str">
        <f t="shared" ref="J96:J154" si="11">IFERROR(I96/H96, "")</f>
        <v/>
      </c>
      <c r="K96" s="53"/>
      <c r="L96" s="53"/>
      <c r="M96" s="103"/>
      <c r="N96" s="103"/>
      <c r="O96" s="103"/>
      <c r="P96" s="103"/>
      <c r="Q96" s="103"/>
      <c r="R96" s="103"/>
      <c r="S96" s="103"/>
      <c r="T96" s="103"/>
      <c r="U96" s="103"/>
      <c r="V96" s="103"/>
      <c r="W96" s="103"/>
      <c r="X96" s="103"/>
    </row>
    <row r="97" spans="1:24" ht="15.6">
      <c r="A97" s="26" t="str">
        <v>Spencer</v>
      </c>
      <c r="B97" s="27" t="str">
        <v>NY</v>
      </c>
      <c r="C97" s="27" t="str">
        <f>Sites[[#This Row],[SOL'#]]</f>
        <v>SOL-11017</v>
      </c>
      <c r="D97" s="9"/>
      <c r="E97" s="14"/>
      <c r="F97" s="14" t="str">
        <f t="shared" ref="F97:F158" si="12">IF(AND(ISNUMBER(D97),ISNUMBER(E97)), D97-E97, "")</f>
        <v/>
      </c>
      <c r="G97" s="15" t="str">
        <f t="shared" ref="G97:G158" si="13">IFERROR(F97/E97, "")</f>
        <v/>
      </c>
      <c r="H97" s="16"/>
      <c r="I97" s="16" t="str">
        <f t="shared" si="10"/>
        <v/>
      </c>
      <c r="J97" s="15" t="str">
        <f t="shared" si="11"/>
        <v/>
      </c>
      <c r="K97" s="51"/>
      <c r="L97" s="99"/>
      <c r="M97" s="103"/>
      <c r="N97" s="103"/>
      <c r="O97" s="103"/>
      <c r="P97" s="103"/>
      <c r="Q97" s="103"/>
      <c r="R97" s="103"/>
      <c r="S97" s="103"/>
      <c r="T97" s="103"/>
      <c r="U97" s="103"/>
      <c r="V97" s="103"/>
      <c r="W97" s="103"/>
      <c r="X97" s="103"/>
    </row>
    <row r="98" spans="1:24" ht="15.6">
      <c r="A98" s="28" t="str">
        <v>Reisender</v>
      </c>
      <c r="B98" s="25" t="str">
        <v>NY</v>
      </c>
      <c r="C98" s="25" t="str">
        <f>Sites[[#This Row],[SOL'#]]</f>
        <v>SOL-10886</v>
      </c>
      <c r="D98" s="20"/>
      <c r="E98" s="10"/>
      <c r="F98" s="10" t="str">
        <f t="shared" si="12"/>
        <v/>
      </c>
      <c r="G98" s="11" t="str">
        <f t="shared" si="13"/>
        <v/>
      </c>
      <c r="H98" s="12"/>
      <c r="I98" s="12" t="str">
        <f t="shared" si="10"/>
        <v/>
      </c>
      <c r="J98" s="13" t="str">
        <f t="shared" si="11"/>
        <v/>
      </c>
      <c r="K98" s="53"/>
      <c r="L98" s="98"/>
      <c r="M98" s="103"/>
      <c r="N98" s="103"/>
      <c r="O98" s="103"/>
      <c r="P98" s="103"/>
      <c r="Q98" s="103"/>
      <c r="R98" s="103"/>
      <c r="S98" s="103"/>
      <c r="T98" s="103"/>
      <c r="U98" s="103"/>
      <c r="V98" s="103"/>
      <c r="W98" s="103"/>
      <c r="X98" s="103"/>
    </row>
    <row r="99" spans="1:24" ht="15.6">
      <c r="A99" s="26" t="str">
        <v>Finney</v>
      </c>
      <c r="B99" s="27" t="str">
        <v>NY</v>
      </c>
      <c r="C99" s="27" t="str">
        <f>Sites[[#This Row],[SOL'#]]</f>
        <v>SOL-10999</v>
      </c>
      <c r="D99" s="9"/>
      <c r="E99" s="14"/>
      <c r="F99" s="14" t="str">
        <f t="shared" si="12"/>
        <v/>
      </c>
      <c r="G99" s="15" t="str">
        <f t="shared" si="13"/>
        <v/>
      </c>
      <c r="H99" s="16"/>
      <c r="I99" s="16" t="str">
        <f t="shared" si="10"/>
        <v/>
      </c>
      <c r="J99" s="15" t="str">
        <f t="shared" si="11"/>
        <v/>
      </c>
      <c r="K99" s="51"/>
      <c r="L99" s="99"/>
      <c r="M99" s="102"/>
      <c r="N99" s="102"/>
      <c r="O99" s="103"/>
      <c r="P99" s="103"/>
      <c r="Q99" s="103"/>
      <c r="R99" s="103"/>
      <c r="S99" s="103"/>
      <c r="T99" s="103"/>
      <c r="U99" s="103"/>
      <c r="V99" s="103"/>
      <c r="W99" s="103"/>
      <c r="X99" s="103"/>
    </row>
    <row r="100" spans="1:24" ht="121.5" customHeight="1">
      <c r="A100" s="28" t="str">
        <v>Davis Solar</v>
      </c>
      <c r="B100" s="25" t="str">
        <v>NY</v>
      </c>
      <c r="C100" s="25" t="str">
        <f>Sites[[#This Row],[SOL'#]]</f>
        <v>SOL-10958</v>
      </c>
      <c r="D100" s="20"/>
      <c r="E100" s="10"/>
      <c r="F100" s="10" t="str">
        <f t="shared" si="12"/>
        <v/>
      </c>
      <c r="G100" s="11" t="str">
        <f t="shared" si="13"/>
        <v/>
      </c>
      <c r="H100" s="12"/>
      <c r="I100" s="12" t="str">
        <f t="shared" si="10"/>
        <v/>
      </c>
      <c r="J100" s="13" t="str">
        <f t="shared" si="11"/>
        <v/>
      </c>
      <c r="K100" s="73"/>
      <c r="L100" s="98"/>
      <c r="M100" s="102"/>
      <c r="N100" s="102"/>
      <c r="O100" s="102"/>
      <c r="P100" s="102"/>
      <c r="Q100" s="103"/>
      <c r="R100" s="103"/>
      <c r="S100" s="103"/>
      <c r="T100" s="103"/>
      <c r="U100" s="103"/>
      <c r="V100" s="103"/>
      <c r="W100" s="103"/>
      <c r="X100" s="103"/>
    </row>
    <row r="101" spans="1:24" ht="15.6">
      <c r="A101" s="26" t="str">
        <v>Genesee</v>
      </c>
      <c r="B101" s="27" t="str">
        <v>NY</v>
      </c>
      <c r="C101" s="27" t="str">
        <f>Sites[[#This Row],[SOL'#]]</f>
        <v>SOL-10951</v>
      </c>
      <c r="D101" s="9"/>
      <c r="E101" s="14"/>
      <c r="F101" s="14" t="str">
        <f t="shared" si="12"/>
        <v/>
      </c>
      <c r="G101" s="15" t="str">
        <f t="shared" si="13"/>
        <v/>
      </c>
      <c r="H101" s="16"/>
      <c r="I101" s="16" t="str">
        <f t="shared" si="10"/>
        <v/>
      </c>
      <c r="J101" s="15" t="str">
        <f t="shared" si="11"/>
        <v/>
      </c>
      <c r="K101" s="51"/>
      <c r="L101" s="99"/>
      <c r="M101" s="103"/>
      <c r="N101" s="103"/>
      <c r="O101" s="103"/>
      <c r="P101" s="103"/>
      <c r="Q101" s="103"/>
      <c r="R101" s="103"/>
      <c r="S101" s="103"/>
      <c r="T101" s="103"/>
      <c r="U101" s="103"/>
      <c r="V101" s="103"/>
      <c r="W101" s="103"/>
      <c r="X101" s="103"/>
    </row>
    <row r="102" spans="1:24" ht="15.6">
      <c r="A102" s="28" t="str">
        <v>Landau I</v>
      </c>
      <c r="B102" s="25" t="str">
        <v>NY</v>
      </c>
      <c r="C102" s="25" t="str">
        <f>Sites[[#This Row],[SOL'#]]</f>
        <v>SOL-10891</v>
      </c>
      <c r="D102" s="20"/>
      <c r="E102" s="10"/>
      <c r="F102" s="10" t="str">
        <f t="shared" si="12"/>
        <v/>
      </c>
      <c r="G102" s="11" t="str">
        <f t="shared" si="13"/>
        <v/>
      </c>
      <c r="H102" s="12"/>
      <c r="I102" s="12" t="str">
        <f t="shared" si="10"/>
        <v/>
      </c>
      <c r="J102" s="13" t="str">
        <f t="shared" si="11"/>
        <v/>
      </c>
      <c r="K102" s="53"/>
      <c r="L102" s="53"/>
      <c r="M102" s="103"/>
      <c r="N102" s="103"/>
      <c r="O102" s="103"/>
      <c r="P102" s="103"/>
      <c r="Q102" s="103"/>
      <c r="R102" s="103"/>
      <c r="S102" s="103"/>
      <c r="T102" s="103"/>
      <c r="U102" s="103"/>
      <c r="V102" s="103"/>
      <c r="W102" s="103"/>
      <c r="X102" s="103"/>
    </row>
    <row r="103" spans="1:24" ht="209.25" customHeight="1">
      <c r="A103" s="26" t="str">
        <v>Landau II</v>
      </c>
      <c r="B103" s="27" t="str">
        <v>NY</v>
      </c>
      <c r="C103" s="27" t="str">
        <f>Sites[[#This Row],[SOL'#]]</f>
        <v>SOL-10895</v>
      </c>
      <c r="D103" s="9"/>
      <c r="E103" s="14"/>
      <c r="F103" s="14" t="str">
        <f t="shared" si="12"/>
        <v/>
      </c>
      <c r="G103" s="15" t="str">
        <f t="shared" si="13"/>
        <v/>
      </c>
      <c r="H103" s="133"/>
      <c r="I103" s="16" t="str">
        <f t="shared" si="10"/>
        <v/>
      </c>
      <c r="J103" s="15" t="str">
        <f t="shared" si="11"/>
        <v/>
      </c>
      <c r="K103" s="51"/>
      <c r="L103" s="99"/>
      <c r="M103" s="102"/>
      <c r="N103" s="102"/>
      <c r="O103" s="102"/>
      <c r="P103" s="102"/>
      <c r="Q103" s="102"/>
      <c r="R103" s="102"/>
      <c r="S103" s="103"/>
      <c r="T103" s="103"/>
      <c r="U103" s="103"/>
      <c r="V103" s="103"/>
      <c r="W103" s="103"/>
      <c r="X103" s="103"/>
    </row>
    <row r="104" spans="1:24" ht="15.6">
      <c r="A104" s="28" t="str">
        <v>New Beginnings</v>
      </c>
      <c r="B104" s="25" t="str">
        <v>NY</v>
      </c>
      <c r="C104" s="25" t="str">
        <f>Sites[[#This Row],[SOL'#]]</f>
        <v>SOL-10890</v>
      </c>
      <c r="D104" s="20"/>
      <c r="E104" s="10"/>
      <c r="F104" s="10"/>
      <c r="G104" s="11"/>
      <c r="H104" s="12"/>
      <c r="I104" s="12" t="str">
        <f t="shared" si="10"/>
        <v/>
      </c>
      <c r="J104" s="13" t="str">
        <f t="shared" si="11"/>
        <v/>
      </c>
      <c r="K104" s="53"/>
      <c r="L104" s="53"/>
      <c r="M104" s="103"/>
      <c r="N104" s="103"/>
      <c r="O104" s="103"/>
      <c r="P104" s="103"/>
      <c r="Q104" s="103"/>
      <c r="R104" s="103"/>
      <c r="S104" s="103"/>
      <c r="T104" s="103"/>
      <c r="U104" s="103"/>
      <c r="V104" s="103"/>
      <c r="W104" s="103"/>
      <c r="X104" s="103"/>
    </row>
    <row r="105" spans="1:24" ht="15.6">
      <c r="A105" s="26" t="str">
        <v>Bullitt Farm Solar, LLC</v>
      </c>
      <c r="B105" s="27" t="str">
        <v>NY</v>
      </c>
      <c r="C105" s="27" t="str">
        <f>Sites[[#This Row],[SOL'#]]</f>
        <v>SOL-10998</v>
      </c>
      <c r="D105" s="9"/>
      <c r="E105" s="14"/>
      <c r="F105" s="14" t="str">
        <f t="shared" si="12"/>
        <v/>
      </c>
      <c r="G105" s="15" t="str">
        <f t="shared" si="13"/>
        <v/>
      </c>
      <c r="H105" s="16"/>
      <c r="I105" s="16" t="str">
        <f t="shared" si="10"/>
        <v/>
      </c>
      <c r="J105" s="15" t="str">
        <f t="shared" si="11"/>
        <v/>
      </c>
      <c r="K105" s="51"/>
      <c r="L105" s="99"/>
      <c r="M105" s="103"/>
      <c r="N105" s="103"/>
      <c r="O105" s="103"/>
      <c r="P105" s="103"/>
      <c r="Q105" s="103"/>
      <c r="R105" s="103"/>
      <c r="S105" s="103"/>
      <c r="T105" s="103"/>
      <c r="U105" s="103"/>
      <c r="V105" s="103"/>
      <c r="W105" s="103"/>
      <c r="X105" s="103"/>
    </row>
    <row r="106" spans="1:24" ht="15.6">
      <c r="A106" s="28" t="str">
        <v>Brodhead Solar, LLC</v>
      </c>
      <c r="B106" s="25" t="str">
        <v>NY</v>
      </c>
      <c r="C106" s="25" t="str">
        <f>Sites[[#This Row],[SOL'#]]</f>
        <v>SOL-10899</v>
      </c>
      <c r="D106" s="20"/>
      <c r="E106" s="10"/>
      <c r="F106" s="10" t="str">
        <f t="shared" si="12"/>
        <v/>
      </c>
      <c r="G106" s="11" t="str">
        <f t="shared" si="13"/>
        <v/>
      </c>
      <c r="H106" s="12"/>
      <c r="I106" s="12" t="str">
        <f t="shared" si="10"/>
        <v/>
      </c>
      <c r="J106" s="13" t="str">
        <f t="shared" si="11"/>
        <v/>
      </c>
      <c r="K106" s="53"/>
      <c r="L106" s="98"/>
      <c r="M106" s="103"/>
      <c r="N106" s="103"/>
      <c r="O106" s="103"/>
      <c r="P106" s="103"/>
      <c r="Q106" s="103"/>
      <c r="R106" s="103"/>
      <c r="S106" s="103"/>
      <c r="T106" s="103"/>
      <c r="U106" s="103"/>
      <c r="V106" s="103"/>
      <c r="W106" s="103"/>
      <c r="X106" s="103"/>
    </row>
    <row r="107" spans="1:24" ht="84.75" customHeight="1">
      <c r="A107" s="26" t="str">
        <v>Svenski</v>
      </c>
      <c r="B107" s="27" t="str">
        <v>NY</v>
      </c>
      <c r="C107" s="27" t="str">
        <f>Sites[[#This Row],[SOL'#]]</f>
        <v>SOL-10894</v>
      </c>
      <c r="D107" s="9"/>
      <c r="E107" s="14"/>
      <c r="F107" s="14" t="str">
        <f t="shared" si="12"/>
        <v/>
      </c>
      <c r="G107" s="15" t="str">
        <f t="shared" si="13"/>
        <v/>
      </c>
      <c r="H107" s="16"/>
      <c r="I107" s="16" t="str">
        <f t="shared" si="10"/>
        <v/>
      </c>
      <c r="J107" s="15" t="str">
        <f t="shared" si="11"/>
        <v/>
      </c>
      <c r="K107" s="51"/>
      <c r="L107" s="99"/>
      <c r="M107" s="102"/>
      <c r="N107" s="103"/>
      <c r="O107" s="103"/>
      <c r="P107" s="103"/>
      <c r="Q107" s="103"/>
      <c r="R107" s="103"/>
      <c r="S107" s="103"/>
      <c r="T107" s="103"/>
      <c r="U107" s="103"/>
      <c r="V107" s="103"/>
      <c r="W107" s="103"/>
      <c r="X107" s="103"/>
    </row>
    <row r="108" spans="1:24" ht="15.6">
      <c r="A108" s="28" t="str">
        <v>Bantam</v>
      </c>
      <c r="B108" s="25" t="str">
        <v>NY</v>
      </c>
      <c r="C108" s="25" t="str">
        <f>Sites[[#This Row],[SOL'#]]</f>
        <v>SOL-10986</v>
      </c>
      <c r="D108" s="20"/>
      <c r="E108" s="10"/>
      <c r="F108" s="10" t="str">
        <f t="shared" si="12"/>
        <v/>
      </c>
      <c r="G108" s="11" t="str">
        <f t="shared" si="13"/>
        <v/>
      </c>
      <c r="H108" s="12"/>
      <c r="I108" s="12" t="str">
        <f t="shared" si="10"/>
        <v/>
      </c>
      <c r="J108" s="13" t="str">
        <f t="shared" si="11"/>
        <v/>
      </c>
      <c r="K108" s="53"/>
      <c r="L108" s="98"/>
      <c r="M108" s="102"/>
      <c r="N108" s="102"/>
      <c r="O108" s="103"/>
      <c r="P108" s="103"/>
      <c r="Q108" s="103"/>
      <c r="R108" s="103"/>
      <c r="S108" s="103"/>
      <c r="T108" s="103"/>
      <c r="U108" s="103"/>
      <c r="V108" s="103"/>
      <c r="W108" s="103"/>
      <c r="X108" s="103"/>
    </row>
    <row r="109" spans="1:24" ht="15.6">
      <c r="A109" s="26" t="str">
        <v>Bogart</v>
      </c>
      <c r="B109" s="27" t="str">
        <v>NY</v>
      </c>
      <c r="C109" s="27" t="str">
        <f>Sites[[#This Row],[SOL'#]]</f>
        <v>SOL-10887</v>
      </c>
      <c r="D109" s="9"/>
      <c r="E109" s="14"/>
      <c r="F109" s="14" t="str">
        <f t="shared" si="12"/>
        <v/>
      </c>
      <c r="G109" s="15" t="str">
        <f t="shared" si="13"/>
        <v/>
      </c>
      <c r="H109" s="16"/>
      <c r="I109" s="16" t="str">
        <f t="shared" si="10"/>
        <v/>
      </c>
      <c r="J109" s="15" t="str">
        <f t="shared" si="11"/>
        <v/>
      </c>
      <c r="K109" s="51"/>
      <c r="L109" s="99"/>
      <c r="M109" s="103"/>
      <c r="N109" s="103"/>
      <c r="O109" s="103"/>
      <c r="P109" s="103"/>
      <c r="Q109" s="103"/>
      <c r="R109" s="103"/>
      <c r="S109" s="103"/>
      <c r="T109" s="103"/>
      <c r="U109" s="103"/>
      <c r="V109" s="103"/>
      <c r="W109" s="103"/>
      <c r="X109" s="103"/>
    </row>
    <row r="110" spans="1:24" ht="15.6">
      <c r="A110" s="28" t="str">
        <v>Dubois</v>
      </c>
      <c r="B110" s="25" t="str">
        <v>NY</v>
      </c>
      <c r="C110" s="25" t="str">
        <f>Sites[[#This Row],[SOL'#]]</f>
        <v>SOL-10892</v>
      </c>
      <c r="D110" s="20"/>
      <c r="E110" s="10"/>
      <c r="F110" s="10" t="str">
        <f t="shared" si="12"/>
        <v/>
      </c>
      <c r="G110" s="11" t="str">
        <f t="shared" si="13"/>
        <v/>
      </c>
      <c r="H110" s="132"/>
      <c r="I110" s="12" t="str">
        <f t="shared" si="10"/>
        <v/>
      </c>
      <c r="J110" s="13" t="str">
        <f t="shared" si="11"/>
        <v/>
      </c>
      <c r="K110" s="53"/>
      <c r="L110" s="98"/>
      <c r="M110" s="103"/>
      <c r="N110" s="103"/>
      <c r="O110" s="103"/>
      <c r="P110" s="103"/>
      <c r="Q110" s="103"/>
      <c r="R110" s="103"/>
      <c r="S110" s="103"/>
      <c r="T110" s="103"/>
      <c r="U110" s="103"/>
      <c r="V110" s="103"/>
      <c r="W110" s="103"/>
      <c r="X110" s="103"/>
    </row>
    <row r="111" spans="1:24" ht="15.6">
      <c r="A111" s="26" t="str">
        <v>Salt Point</v>
      </c>
      <c r="B111" s="27" t="str">
        <v>NY</v>
      </c>
      <c r="C111" s="27" t="str">
        <f>Sites[[#This Row],[SOL'#]]</f>
        <v>SOL-10888</v>
      </c>
      <c r="D111" s="9"/>
      <c r="E111" s="14"/>
      <c r="F111" s="14" t="str">
        <f t="shared" si="12"/>
        <v/>
      </c>
      <c r="G111" s="15" t="str">
        <f t="shared" si="13"/>
        <v/>
      </c>
      <c r="H111" s="16"/>
      <c r="I111" s="16" t="str">
        <f t="shared" si="10"/>
        <v/>
      </c>
      <c r="J111" s="15" t="str">
        <f t="shared" si="11"/>
        <v/>
      </c>
      <c r="K111" s="51"/>
      <c r="L111" s="99"/>
      <c r="M111" s="102"/>
      <c r="N111" s="102"/>
      <c r="O111" s="102"/>
      <c r="P111" s="102"/>
      <c r="Q111" s="102"/>
      <c r="R111" s="103"/>
      <c r="S111" s="103"/>
      <c r="T111" s="103"/>
      <c r="U111" s="103"/>
      <c r="V111" s="103"/>
      <c r="W111" s="103"/>
      <c r="X111" s="103"/>
    </row>
    <row r="112" spans="1:24" ht="15.6">
      <c r="A112" s="28" t="str">
        <v>Wheatland 2A</v>
      </c>
      <c r="B112" s="25" t="str">
        <v>NY</v>
      </c>
      <c r="C112" s="25" t="str">
        <f>Sites[[#This Row],[SOL'#]]</f>
        <v>SOL-10971</v>
      </c>
      <c r="D112" s="20"/>
      <c r="E112" s="10"/>
      <c r="F112" s="10" t="str">
        <f t="shared" si="12"/>
        <v/>
      </c>
      <c r="G112" s="11" t="str">
        <f t="shared" si="13"/>
        <v/>
      </c>
      <c r="H112" s="12"/>
      <c r="I112" s="12" t="str">
        <f t="shared" si="10"/>
        <v/>
      </c>
      <c r="J112" s="13" t="str">
        <f t="shared" si="11"/>
        <v/>
      </c>
      <c r="K112" s="53"/>
      <c r="L112" s="98"/>
      <c r="M112" s="102"/>
      <c r="N112" s="103"/>
      <c r="O112" s="103"/>
      <c r="P112" s="103"/>
      <c r="Q112" s="103"/>
      <c r="R112" s="103"/>
      <c r="S112" s="103"/>
      <c r="T112" s="103"/>
      <c r="U112" s="103"/>
      <c r="V112" s="103"/>
      <c r="W112" s="103"/>
      <c r="X112" s="103"/>
    </row>
    <row r="113" spans="1:24" ht="15.6">
      <c r="A113" s="26" t="str">
        <v>Wheatland 2B</v>
      </c>
      <c r="B113" s="27" t="str">
        <v>NY</v>
      </c>
      <c r="C113" s="27" t="str">
        <f>Sites[[#This Row],[SOL'#]]</f>
        <v>SOL-10961</v>
      </c>
      <c r="D113" s="9"/>
      <c r="E113" s="14"/>
      <c r="F113" s="14" t="str">
        <f t="shared" si="12"/>
        <v/>
      </c>
      <c r="G113" s="15" t="str">
        <f t="shared" si="13"/>
        <v/>
      </c>
      <c r="H113" s="16"/>
      <c r="I113" s="16" t="str">
        <f t="shared" si="10"/>
        <v/>
      </c>
      <c r="J113" s="15" t="str">
        <f t="shared" si="11"/>
        <v/>
      </c>
      <c r="K113" s="51"/>
      <c r="L113" s="99"/>
      <c r="M113" s="102"/>
      <c r="N113" s="103"/>
      <c r="O113" s="103"/>
      <c r="P113" s="103"/>
      <c r="Q113" s="103"/>
      <c r="R113" s="103"/>
      <c r="S113" s="103"/>
      <c r="T113" s="103"/>
      <c r="U113" s="103"/>
      <c r="V113" s="103"/>
      <c r="W113" s="103"/>
      <c r="X113" s="103"/>
    </row>
    <row r="114" spans="1:24" ht="36" customHeight="1">
      <c r="A114" s="28" t="str">
        <v>Brickchurch</v>
      </c>
      <c r="B114" s="25" t="str">
        <v>NY</v>
      </c>
      <c r="C114" s="25" t="str">
        <f>Sites[[#This Row],[SOL'#]]</f>
        <v>SOL-10889</v>
      </c>
      <c r="D114" s="20"/>
      <c r="E114" s="10"/>
      <c r="F114" s="10" t="str">
        <f t="shared" si="12"/>
        <v/>
      </c>
      <c r="G114" s="11" t="str">
        <f t="shared" si="13"/>
        <v/>
      </c>
      <c r="H114" s="12"/>
      <c r="I114" s="12" t="str">
        <f t="shared" si="10"/>
        <v/>
      </c>
      <c r="J114" s="13" t="str">
        <f t="shared" si="11"/>
        <v/>
      </c>
      <c r="K114" s="53"/>
      <c r="L114" s="98"/>
      <c r="M114" s="103"/>
      <c r="N114" s="103"/>
      <c r="O114" s="103"/>
      <c r="P114" s="103"/>
      <c r="Q114" s="103"/>
      <c r="R114" s="103"/>
      <c r="S114" s="103"/>
      <c r="T114" s="103"/>
      <c r="U114" s="103"/>
      <c r="V114" s="103"/>
      <c r="W114" s="103"/>
      <c r="X114" s="103"/>
    </row>
    <row r="115" spans="1:24" ht="15.6">
      <c r="A115" s="26" t="str">
        <v>McCarthy Solar</v>
      </c>
      <c r="B115" s="27" t="str">
        <v>NY</v>
      </c>
      <c r="C115" s="27" t="str">
        <f>Sites[[#This Row],[SOL'#]]</f>
        <v>SOL-10992</v>
      </c>
      <c r="D115" s="9"/>
      <c r="E115" s="14"/>
      <c r="F115" s="14" t="str">
        <f t="shared" si="12"/>
        <v/>
      </c>
      <c r="G115" s="15" t="str">
        <f t="shared" si="13"/>
        <v/>
      </c>
      <c r="H115" s="16"/>
      <c r="I115" s="16" t="str">
        <f t="shared" si="10"/>
        <v/>
      </c>
      <c r="J115" s="15" t="str">
        <f t="shared" si="11"/>
        <v/>
      </c>
      <c r="K115" s="38"/>
      <c r="L115" s="99"/>
      <c r="M115" s="102"/>
      <c r="N115" s="103"/>
      <c r="O115" s="103"/>
      <c r="P115" s="103"/>
      <c r="Q115" s="103"/>
      <c r="R115" s="103"/>
      <c r="S115" s="103"/>
      <c r="T115" s="103"/>
      <c r="U115" s="103"/>
      <c r="V115" s="103"/>
      <c r="W115" s="103"/>
      <c r="X115" s="103"/>
    </row>
    <row r="116" spans="1:24" ht="133.5" customHeight="1">
      <c r="A116" s="28" t="str">
        <v>Costanza</v>
      </c>
      <c r="B116" s="25" t="str">
        <v>NY</v>
      </c>
      <c r="C116" s="25" t="str">
        <f>Sites[[#This Row],[SOL'#]]</f>
        <v>SOL-10907</v>
      </c>
      <c r="D116" s="20"/>
      <c r="E116" s="10"/>
      <c r="F116" s="10" t="str">
        <f t="shared" si="12"/>
        <v/>
      </c>
      <c r="G116" s="11" t="str">
        <f t="shared" si="13"/>
        <v/>
      </c>
      <c r="H116" s="12"/>
      <c r="I116" s="12" t="str">
        <f t="shared" si="10"/>
        <v/>
      </c>
      <c r="J116" s="13" t="str">
        <f t="shared" si="11"/>
        <v/>
      </c>
      <c r="K116" s="53"/>
      <c r="L116" s="98"/>
      <c r="M116" s="102"/>
      <c r="N116" s="102"/>
      <c r="O116" s="102"/>
      <c r="P116" s="102"/>
      <c r="Q116" s="103"/>
      <c r="R116" s="103"/>
      <c r="S116" s="103"/>
      <c r="T116" s="103"/>
      <c r="U116" s="103"/>
      <c r="V116" s="103"/>
      <c r="W116" s="103"/>
      <c r="X116" s="103"/>
    </row>
    <row r="117" spans="1:24" ht="15.6">
      <c r="A117" s="26" t="str">
        <v>Lockenhurst Pond</v>
      </c>
      <c r="B117" s="27" t="str">
        <v>NY</v>
      </c>
      <c r="C117" s="27" t="str">
        <f>Sites[[#This Row],[SOL'#]]</f>
        <v>SOL-11000</v>
      </c>
      <c r="D117" s="9"/>
      <c r="E117" s="14"/>
      <c r="F117" s="14" t="str">
        <f t="shared" si="12"/>
        <v/>
      </c>
      <c r="G117" s="15" t="str">
        <f t="shared" si="13"/>
        <v/>
      </c>
      <c r="H117" s="16"/>
      <c r="I117" s="16" t="str">
        <f t="shared" si="10"/>
        <v/>
      </c>
      <c r="J117" s="15" t="str">
        <f t="shared" si="11"/>
        <v/>
      </c>
      <c r="K117" s="51"/>
      <c r="L117" s="51"/>
      <c r="M117" s="103"/>
      <c r="N117" s="103"/>
      <c r="O117" s="103"/>
      <c r="P117" s="103"/>
      <c r="Q117" s="103"/>
      <c r="R117" s="103"/>
      <c r="S117" s="103"/>
      <c r="T117" s="103"/>
      <c r="U117" s="103"/>
      <c r="V117" s="103"/>
      <c r="W117" s="103"/>
      <c r="X117" s="103"/>
    </row>
    <row r="118" spans="1:24" ht="15.6">
      <c r="A118" s="28" t="str">
        <v>Drinkwater</v>
      </c>
      <c r="B118" s="25" t="str">
        <v>NY</v>
      </c>
      <c r="C118" s="25" t="str">
        <f>Sites[[#This Row],[SOL'#]]</f>
        <v>SOL-10896</v>
      </c>
      <c r="D118" s="20"/>
      <c r="E118" s="10"/>
      <c r="F118" s="10" t="str">
        <f t="shared" si="12"/>
        <v/>
      </c>
      <c r="G118" s="11" t="str">
        <f t="shared" si="13"/>
        <v/>
      </c>
      <c r="H118" s="12"/>
      <c r="I118" s="12" t="str">
        <f t="shared" si="10"/>
        <v/>
      </c>
      <c r="J118" s="13" t="str">
        <f t="shared" si="11"/>
        <v/>
      </c>
      <c r="K118" s="53"/>
      <c r="L118" s="53"/>
      <c r="M118" s="103"/>
      <c r="N118" s="103"/>
      <c r="O118" s="103"/>
      <c r="P118" s="103"/>
      <c r="Q118" s="103"/>
      <c r="R118" s="103"/>
      <c r="S118" s="103"/>
      <c r="T118" s="103"/>
      <c r="U118" s="103"/>
      <c r="V118" s="103"/>
      <c r="W118" s="103"/>
      <c r="X118" s="103"/>
    </row>
    <row r="119" spans="1:24" ht="15.6">
      <c r="A119" s="26" t="str">
        <v>Altamont</v>
      </c>
      <c r="B119" s="27" t="str">
        <v>NY</v>
      </c>
      <c r="C119" s="27" t="str">
        <f>Sites[[#This Row],[SOL'#]]</f>
        <v>SOL-11085</v>
      </c>
      <c r="D119" s="9"/>
      <c r="E119" s="14"/>
      <c r="F119" s="14" t="str">
        <f t="shared" si="12"/>
        <v/>
      </c>
      <c r="G119" s="15" t="str">
        <f t="shared" si="13"/>
        <v/>
      </c>
      <c r="H119" s="16"/>
      <c r="I119" s="16" t="str">
        <f t="shared" si="10"/>
        <v/>
      </c>
      <c r="J119" s="15" t="str">
        <f t="shared" si="11"/>
        <v/>
      </c>
      <c r="K119" s="51"/>
      <c r="L119" s="51"/>
      <c r="M119" s="103"/>
      <c r="N119" s="103"/>
      <c r="O119" s="103"/>
      <c r="P119" s="103"/>
      <c r="Q119" s="103"/>
      <c r="R119" s="103"/>
      <c r="S119" s="103"/>
      <c r="T119" s="103"/>
      <c r="U119" s="103"/>
      <c r="V119" s="103"/>
      <c r="W119" s="103"/>
      <c r="X119" s="103"/>
    </row>
    <row r="120" spans="1:24" ht="15.6">
      <c r="A120" s="28" t="str">
        <v>Krumkill North</v>
      </c>
      <c r="B120" s="25" t="str">
        <v>NY</v>
      </c>
      <c r="C120" s="25" t="str">
        <f>Sites[[#This Row],[SOL'#]]</f>
        <v>SOL-11086</v>
      </c>
      <c r="D120" s="20"/>
      <c r="E120" s="10"/>
      <c r="F120" s="10" t="str">
        <f t="shared" si="12"/>
        <v/>
      </c>
      <c r="G120" s="11" t="str">
        <f t="shared" si="13"/>
        <v/>
      </c>
      <c r="H120" s="12"/>
      <c r="I120" s="12" t="str">
        <f t="shared" si="10"/>
        <v/>
      </c>
      <c r="J120" s="13" t="str">
        <f t="shared" si="11"/>
        <v/>
      </c>
      <c r="K120" s="53"/>
      <c r="L120" s="53"/>
      <c r="M120" s="103"/>
      <c r="N120" s="103"/>
      <c r="O120" s="103"/>
      <c r="P120" s="103"/>
      <c r="Q120" s="103"/>
      <c r="R120" s="103"/>
      <c r="S120" s="103"/>
      <c r="T120" s="103"/>
      <c r="U120" s="103"/>
      <c r="V120" s="103"/>
      <c r="W120" s="103"/>
      <c r="X120" s="103"/>
    </row>
    <row r="121" spans="1:24" ht="15.6">
      <c r="A121" s="26" t="str">
        <v>Krumkill South</v>
      </c>
      <c r="B121" s="27" t="str">
        <v>NY</v>
      </c>
      <c r="C121" s="27" t="str">
        <f>Sites[[#This Row],[SOL'#]]</f>
        <v>SOL-11087</v>
      </c>
      <c r="D121" s="9"/>
      <c r="E121" s="14"/>
      <c r="F121" s="14" t="str">
        <f t="shared" si="12"/>
        <v/>
      </c>
      <c r="G121" s="15" t="str">
        <f t="shared" si="13"/>
        <v/>
      </c>
      <c r="H121" s="16"/>
      <c r="I121" s="16" t="str">
        <f t="shared" si="10"/>
        <v/>
      </c>
      <c r="J121" s="15" t="str">
        <f t="shared" si="11"/>
        <v/>
      </c>
      <c r="K121" s="51"/>
      <c r="L121" s="51"/>
      <c r="M121" s="103"/>
      <c r="N121" s="103"/>
      <c r="O121" s="103"/>
      <c r="P121" s="103"/>
      <c r="Q121" s="103"/>
      <c r="R121" s="103"/>
      <c r="S121" s="103"/>
      <c r="T121" s="103"/>
      <c r="U121" s="103"/>
      <c r="V121" s="103"/>
      <c r="W121" s="103"/>
      <c r="X121" s="103"/>
    </row>
    <row r="122" spans="1:24" ht="15.6">
      <c r="A122" s="28" t="str">
        <v>X092</v>
      </c>
      <c r="B122" s="25" t="str">
        <v>NY</v>
      </c>
      <c r="C122" s="25" t="str">
        <f>Sites[[#This Row],[SOL'#]]</f>
        <v>SOL-11189</v>
      </c>
      <c r="D122" s="20"/>
      <c r="E122" s="10"/>
      <c r="F122" s="10" t="str">
        <f t="shared" si="12"/>
        <v/>
      </c>
      <c r="G122" s="11" t="str">
        <f t="shared" si="13"/>
        <v/>
      </c>
      <c r="H122" s="12"/>
      <c r="I122" s="12" t="str">
        <f t="shared" si="10"/>
        <v/>
      </c>
      <c r="J122" s="13" t="str">
        <f t="shared" si="11"/>
        <v/>
      </c>
      <c r="K122" s="53"/>
      <c r="L122" s="53"/>
      <c r="M122" s="103"/>
      <c r="N122" s="103"/>
      <c r="O122" s="103"/>
      <c r="P122" s="103"/>
      <c r="Q122" s="103"/>
      <c r="R122" s="103"/>
      <c r="S122" s="103"/>
      <c r="T122" s="103"/>
      <c r="U122" s="103"/>
      <c r="V122" s="103"/>
      <c r="W122" s="103"/>
      <c r="X122" s="103"/>
    </row>
    <row r="123" spans="1:24" ht="15.6">
      <c r="A123" s="26" t="str">
        <v>X093</v>
      </c>
      <c r="B123" s="27" t="str">
        <v>NY</v>
      </c>
      <c r="C123" s="27" t="str">
        <f>Sites[[#This Row],[SOL'#]]</f>
        <v>SOL-10932</v>
      </c>
      <c r="D123" s="9"/>
      <c r="E123" s="14"/>
      <c r="F123" s="14" t="str">
        <f t="shared" si="12"/>
        <v/>
      </c>
      <c r="G123" s="15" t="str">
        <f t="shared" si="13"/>
        <v/>
      </c>
      <c r="H123" s="16"/>
      <c r="I123" s="16" t="str">
        <f t="shared" si="10"/>
        <v/>
      </c>
      <c r="J123" s="15" t="str">
        <f t="shared" si="11"/>
        <v/>
      </c>
      <c r="K123" s="51"/>
      <c r="L123" s="99"/>
      <c r="M123" s="103"/>
      <c r="N123" s="103"/>
      <c r="O123" s="103"/>
      <c r="P123" s="103"/>
      <c r="Q123" s="103"/>
      <c r="R123" s="103"/>
      <c r="S123" s="103"/>
      <c r="T123" s="103"/>
      <c r="U123" s="103"/>
      <c r="V123" s="103"/>
      <c r="W123" s="103"/>
      <c r="X123" s="103"/>
    </row>
    <row r="124" spans="1:24" ht="15.6">
      <c r="A124" s="28" t="str">
        <v>X095</v>
      </c>
      <c r="B124" s="25" t="str">
        <v>NY</v>
      </c>
      <c r="C124" s="25" t="str">
        <f>Sites[[#This Row],[SOL'#]]</f>
        <v>SOL-10929</v>
      </c>
      <c r="D124" s="20"/>
      <c r="E124" s="10"/>
      <c r="F124" s="10" t="str">
        <f t="shared" si="12"/>
        <v/>
      </c>
      <c r="G124" s="11" t="str">
        <f t="shared" si="13"/>
        <v/>
      </c>
      <c r="H124" s="12"/>
      <c r="I124" s="12" t="str">
        <f t="shared" si="10"/>
        <v/>
      </c>
      <c r="J124" s="13" t="str">
        <f t="shared" si="11"/>
        <v/>
      </c>
      <c r="K124" s="53"/>
      <c r="L124" s="53"/>
      <c r="M124" s="103"/>
      <c r="N124" s="103"/>
      <c r="O124" s="103"/>
      <c r="P124" s="103"/>
      <c r="Q124" s="103"/>
      <c r="R124" s="103"/>
      <c r="S124" s="103"/>
      <c r="T124" s="103"/>
      <c r="U124" s="103"/>
      <c r="V124" s="103"/>
      <c r="W124" s="103"/>
      <c r="X124" s="103"/>
    </row>
    <row r="125" spans="1:24" ht="15.6">
      <c r="A125" s="26" t="str">
        <v>X181</v>
      </c>
      <c r="B125" s="27" t="str">
        <v>NY</v>
      </c>
      <c r="C125" s="27" t="str">
        <f>Sites[[#This Row],[SOL'#]]</f>
        <v>SOL-10428</v>
      </c>
      <c r="D125" s="9"/>
      <c r="E125" s="14"/>
      <c r="F125" s="14" t="str">
        <f t="shared" si="12"/>
        <v/>
      </c>
      <c r="G125" s="15" t="str">
        <f t="shared" si="13"/>
        <v/>
      </c>
      <c r="H125" s="16"/>
      <c r="I125" s="16" t="str">
        <f t="shared" si="10"/>
        <v/>
      </c>
      <c r="J125" s="15" t="str">
        <f t="shared" si="11"/>
        <v/>
      </c>
      <c r="K125" s="51"/>
      <c r="L125" s="99"/>
      <c r="M125" s="103"/>
      <c r="N125" s="103"/>
      <c r="O125" s="103"/>
      <c r="P125" s="103"/>
      <c r="Q125" s="103"/>
      <c r="R125" s="103"/>
      <c r="S125" s="103"/>
      <c r="T125" s="103"/>
      <c r="U125" s="103"/>
      <c r="V125" s="103"/>
      <c r="W125" s="103"/>
      <c r="X125" s="103"/>
    </row>
    <row r="126" spans="1:24" ht="15.6">
      <c r="A126" s="28" t="str">
        <v>X415</v>
      </c>
      <c r="B126" s="25" t="str">
        <v>NY</v>
      </c>
      <c r="C126" s="25" t="str">
        <f>Sites[[#This Row],[SOL'#]]</f>
        <v>SOL-10429</v>
      </c>
      <c r="D126" s="20"/>
      <c r="E126" s="10"/>
      <c r="F126" s="10" t="str">
        <f t="shared" si="12"/>
        <v/>
      </c>
      <c r="G126" s="11" t="str">
        <f t="shared" si="13"/>
        <v/>
      </c>
      <c r="H126" s="12"/>
      <c r="I126" s="12" t="str">
        <f t="shared" si="10"/>
        <v/>
      </c>
      <c r="J126" s="13" t="str">
        <f t="shared" si="11"/>
        <v/>
      </c>
      <c r="K126" s="53"/>
      <c r="L126" s="53"/>
      <c r="M126" s="103"/>
      <c r="N126" s="103"/>
      <c r="O126" s="103"/>
      <c r="P126" s="103"/>
      <c r="Q126" s="103"/>
      <c r="R126" s="103"/>
      <c r="S126" s="103"/>
      <c r="T126" s="103"/>
      <c r="U126" s="103"/>
      <c r="V126" s="103"/>
      <c r="W126" s="103"/>
      <c r="X126" s="103"/>
    </row>
    <row r="127" spans="1:24" ht="15.6">
      <c r="A127" s="26" t="str">
        <v>K198</v>
      </c>
      <c r="B127" s="27" t="str">
        <v>NY</v>
      </c>
      <c r="C127" s="27" t="str">
        <f>Sites[[#This Row],[SOL'#]]</f>
        <v>SOL-10930</v>
      </c>
      <c r="D127" s="9"/>
      <c r="E127" s="14"/>
      <c r="F127" s="14" t="str">
        <f t="shared" si="12"/>
        <v/>
      </c>
      <c r="G127" s="15" t="str">
        <f t="shared" si="13"/>
        <v/>
      </c>
      <c r="H127" s="16"/>
      <c r="I127" s="16" t="str">
        <f t="shared" si="10"/>
        <v/>
      </c>
      <c r="J127" s="15" t="str">
        <f t="shared" si="11"/>
        <v/>
      </c>
      <c r="K127" s="51"/>
      <c r="L127" s="99"/>
      <c r="M127" s="103"/>
      <c r="N127" s="103"/>
      <c r="O127" s="103"/>
      <c r="P127" s="103"/>
      <c r="Q127" s="103"/>
      <c r="R127" s="103"/>
      <c r="S127" s="103"/>
      <c r="T127" s="103"/>
      <c r="U127" s="103"/>
      <c r="V127" s="103"/>
      <c r="W127" s="103"/>
      <c r="X127" s="103"/>
    </row>
    <row r="128" spans="1:24" ht="15.6">
      <c r="A128" s="28" t="str">
        <v>K203</v>
      </c>
      <c r="B128" s="25" t="str">
        <v>NY</v>
      </c>
      <c r="C128" s="25" t="str">
        <f>Sites[[#This Row],[SOL'#]]</f>
        <v>SOL-11190</v>
      </c>
      <c r="D128" s="20"/>
      <c r="E128" s="10"/>
      <c r="F128" s="10" t="str">
        <f t="shared" si="12"/>
        <v/>
      </c>
      <c r="G128" s="11" t="str">
        <f t="shared" si="13"/>
        <v/>
      </c>
      <c r="H128" s="12"/>
      <c r="I128" s="12" t="str">
        <f t="shared" si="10"/>
        <v/>
      </c>
      <c r="J128" s="13" t="str">
        <f t="shared" si="11"/>
        <v/>
      </c>
      <c r="K128" s="53"/>
      <c r="L128" s="53"/>
      <c r="M128" s="103"/>
      <c r="N128" s="103"/>
      <c r="O128" s="103"/>
      <c r="P128" s="103"/>
      <c r="Q128" s="103"/>
      <c r="R128" s="103"/>
      <c r="S128" s="103"/>
      <c r="T128" s="103"/>
      <c r="U128" s="103"/>
      <c r="V128" s="103"/>
      <c r="W128" s="103"/>
      <c r="X128" s="103"/>
    </row>
    <row r="129" spans="1:24" ht="15.6">
      <c r="A129" s="26" t="str">
        <v>K213</v>
      </c>
      <c r="B129" s="27" t="str">
        <v>NY</v>
      </c>
      <c r="C129" s="27" t="str">
        <f>Sites[[#This Row],[SOL'#]]</f>
        <v>SOL-11191</v>
      </c>
      <c r="D129" s="9"/>
      <c r="E129" s="14"/>
      <c r="F129" s="14" t="str">
        <f t="shared" si="12"/>
        <v/>
      </c>
      <c r="G129" s="15" t="str">
        <f t="shared" si="13"/>
        <v/>
      </c>
      <c r="H129" s="16"/>
      <c r="I129" s="16" t="str">
        <f t="shared" si="10"/>
        <v/>
      </c>
      <c r="J129" s="15" t="str">
        <f t="shared" si="11"/>
        <v/>
      </c>
      <c r="K129" s="51"/>
      <c r="L129" s="51"/>
      <c r="M129" s="103"/>
      <c r="N129" s="103"/>
      <c r="O129" s="103"/>
      <c r="P129" s="103"/>
      <c r="Q129" s="103"/>
      <c r="R129" s="103"/>
      <c r="S129" s="103"/>
      <c r="T129" s="103"/>
      <c r="U129" s="103"/>
      <c r="V129" s="103"/>
      <c r="W129" s="103"/>
      <c r="X129" s="103"/>
    </row>
    <row r="130" spans="1:24" ht="15.6">
      <c r="A130" s="28" t="str">
        <v>K217</v>
      </c>
      <c r="B130" s="25" t="str">
        <v>NY</v>
      </c>
      <c r="C130" s="25" t="str">
        <f>Sites[[#This Row],[SOL'#]]</f>
        <v>SOL-10933</v>
      </c>
      <c r="D130" s="20"/>
      <c r="E130" s="10"/>
      <c r="F130" s="10" t="str">
        <f t="shared" si="12"/>
        <v/>
      </c>
      <c r="G130" s="11" t="str">
        <f t="shared" si="13"/>
        <v/>
      </c>
      <c r="H130" s="12"/>
      <c r="I130" s="12" t="str">
        <f t="shared" si="10"/>
        <v/>
      </c>
      <c r="J130" s="13" t="str">
        <f t="shared" si="11"/>
        <v/>
      </c>
      <c r="K130" s="53"/>
      <c r="L130" s="53"/>
      <c r="M130" s="103"/>
      <c r="N130" s="103"/>
      <c r="O130" s="103"/>
      <c r="P130" s="103"/>
      <c r="Q130" s="103"/>
      <c r="R130" s="103"/>
      <c r="S130" s="103"/>
      <c r="T130" s="103"/>
      <c r="U130" s="103"/>
      <c r="V130" s="103"/>
      <c r="W130" s="103"/>
      <c r="X130" s="103"/>
    </row>
    <row r="131" spans="1:24" ht="15.6">
      <c r="A131" s="26" t="str">
        <v>K307</v>
      </c>
      <c r="B131" s="27" t="str">
        <v>NY</v>
      </c>
      <c r="C131" s="27" t="str">
        <f>Sites[[#This Row],[SOL'#]]</f>
        <v>SOL-10876</v>
      </c>
      <c r="D131" s="9"/>
      <c r="E131" s="14"/>
      <c r="F131" s="14" t="str">
        <f t="shared" si="12"/>
        <v/>
      </c>
      <c r="G131" s="15" t="str">
        <f t="shared" si="13"/>
        <v/>
      </c>
      <c r="H131" s="16"/>
      <c r="I131" s="16" t="str">
        <f t="shared" si="10"/>
        <v/>
      </c>
      <c r="J131" s="15" t="str">
        <f t="shared" si="11"/>
        <v/>
      </c>
      <c r="K131" s="51"/>
      <c r="L131" s="51"/>
      <c r="M131" s="103"/>
      <c r="N131" s="103"/>
      <c r="O131" s="103"/>
      <c r="P131" s="103"/>
      <c r="Q131" s="103"/>
      <c r="R131" s="103"/>
      <c r="S131" s="103"/>
      <c r="T131" s="103"/>
      <c r="U131" s="103"/>
      <c r="V131" s="103"/>
      <c r="W131" s="103"/>
      <c r="X131" s="103"/>
    </row>
    <row r="132" spans="1:24" ht="15.6">
      <c r="A132" s="28" t="str">
        <v>K610</v>
      </c>
      <c r="B132" s="25" t="str">
        <v>NY</v>
      </c>
      <c r="C132" s="25" t="str">
        <f>Sites[[#This Row],[SOL'#]]</f>
        <v>SOL-11158</v>
      </c>
      <c r="D132" s="20"/>
      <c r="E132" s="10"/>
      <c r="F132" s="10" t="str">
        <f t="shared" si="12"/>
        <v/>
      </c>
      <c r="G132" s="11" t="str">
        <f t="shared" si="13"/>
        <v/>
      </c>
      <c r="H132" s="12"/>
      <c r="I132" s="12" t="str">
        <f t="shared" si="10"/>
        <v/>
      </c>
      <c r="J132" s="13" t="str">
        <f t="shared" si="11"/>
        <v/>
      </c>
      <c r="K132" s="53"/>
      <c r="L132" s="98"/>
      <c r="M132" s="103"/>
      <c r="N132" s="103"/>
      <c r="O132" s="103"/>
      <c r="P132" s="103"/>
      <c r="Q132" s="103"/>
      <c r="R132" s="103"/>
      <c r="S132" s="103"/>
      <c r="T132" s="103"/>
      <c r="U132" s="103"/>
      <c r="V132" s="103"/>
      <c r="W132" s="103"/>
      <c r="X132" s="103"/>
    </row>
    <row r="133" spans="1:24" ht="15.6">
      <c r="A133" s="26" t="str">
        <v>M025</v>
      </c>
      <c r="B133" s="27" t="str">
        <v>NY</v>
      </c>
      <c r="C133" s="27" t="str">
        <f>Sites[[#This Row],[SOL'#]]</f>
        <v>SOL-10392</v>
      </c>
      <c r="D133" s="9"/>
      <c r="E133" s="14"/>
      <c r="F133" s="14" t="str">
        <f t="shared" si="12"/>
        <v/>
      </c>
      <c r="G133" s="15" t="str">
        <f t="shared" si="13"/>
        <v/>
      </c>
      <c r="H133" s="16"/>
      <c r="I133" s="16" t="str">
        <f t="shared" si="10"/>
        <v/>
      </c>
      <c r="J133" s="15" t="str">
        <f t="shared" si="11"/>
        <v/>
      </c>
      <c r="K133" s="51"/>
      <c r="L133" s="99"/>
      <c r="M133" s="102"/>
      <c r="N133" s="102"/>
      <c r="O133" s="102"/>
      <c r="P133" s="103"/>
      <c r="Q133" s="103"/>
      <c r="R133" s="103"/>
      <c r="S133" s="103"/>
      <c r="T133" s="103"/>
      <c r="U133" s="103"/>
      <c r="V133" s="103"/>
      <c r="W133" s="103"/>
      <c r="X133" s="103"/>
    </row>
    <row r="134" spans="1:24" ht="15.6">
      <c r="A134" s="28" t="str">
        <v>M028</v>
      </c>
      <c r="B134" s="25" t="str">
        <v>NY</v>
      </c>
      <c r="C134" s="25" t="str">
        <f>Sites[[#This Row],[SOL'#]]</f>
        <v>SOL-10381</v>
      </c>
      <c r="D134" s="20"/>
      <c r="E134" s="10"/>
      <c r="F134" s="10" t="str">
        <f t="shared" si="12"/>
        <v/>
      </c>
      <c r="G134" s="11" t="str">
        <f t="shared" si="13"/>
        <v/>
      </c>
      <c r="H134" s="12"/>
      <c r="I134" s="12" t="str">
        <f t="shared" si="10"/>
        <v/>
      </c>
      <c r="J134" s="13" t="str">
        <f t="shared" si="11"/>
        <v/>
      </c>
      <c r="K134" s="53"/>
      <c r="L134" s="53"/>
      <c r="M134" s="103"/>
      <c r="N134" s="103"/>
      <c r="O134" s="103"/>
      <c r="P134" s="103"/>
      <c r="Q134" s="103"/>
      <c r="R134" s="103"/>
      <c r="S134" s="103"/>
      <c r="T134" s="103"/>
      <c r="U134" s="103"/>
      <c r="V134" s="103"/>
      <c r="W134" s="103"/>
      <c r="X134" s="103"/>
    </row>
    <row r="135" spans="1:24" ht="15.6">
      <c r="A135" s="26" t="str">
        <v>Q030</v>
      </c>
      <c r="B135" s="27" t="str">
        <v>NY</v>
      </c>
      <c r="C135" s="27" t="str">
        <f>Sites[[#This Row],[SOL'#]]</f>
        <v>SOL-10878</v>
      </c>
      <c r="D135" s="9"/>
      <c r="E135" s="14"/>
      <c r="F135" s="14" t="str">
        <f t="shared" si="12"/>
        <v/>
      </c>
      <c r="G135" s="15" t="str">
        <f t="shared" si="13"/>
        <v/>
      </c>
      <c r="H135" s="16"/>
      <c r="I135" s="16" t="str">
        <f t="shared" si="10"/>
        <v/>
      </c>
      <c r="J135" s="15" t="str">
        <f t="shared" si="11"/>
        <v/>
      </c>
      <c r="K135" s="51"/>
      <c r="L135" s="51"/>
      <c r="M135" s="103"/>
      <c r="N135" s="103"/>
      <c r="O135" s="103"/>
      <c r="P135" s="103"/>
      <c r="Q135" s="103"/>
      <c r="R135" s="103"/>
      <c r="S135" s="103"/>
      <c r="T135" s="103"/>
      <c r="U135" s="103"/>
      <c r="V135" s="103"/>
      <c r="W135" s="103"/>
      <c r="X135" s="103"/>
    </row>
    <row r="136" spans="1:24" ht="15.6">
      <c r="A136" s="28" t="str">
        <v>Q130</v>
      </c>
      <c r="B136" s="25" t="str">
        <v>NY</v>
      </c>
      <c r="C136" s="25" t="str">
        <f>Sites[[#This Row],[SOL'#]]</f>
        <v>SOL-10877</v>
      </c>
      <c r="D136" s="20"/>
      <c r="E136" s="10"/>
      <c r="F136" s="10" t="str">
        <f t="shared" si="12"/>
        <v/>
      </c>
      <c r="G136" s="11" t="str">
        <f t="shared" si="13"/>
        <v/>
      </c>
      <c r="H136" s="12"/>
      <c r="I136" s="12" t="str">
        <f t="shared" si="10"/>
        <v/>
      </c>
      <c r="J136" s="13" t="str">
        <f t="shared" si="11"/>
        <v/>
      </c>
      <c r="K136" s="53"/>
      <c r="L136" s="53"/>
      <c r="M136" s="103"/>
      <c r="N136" s="103"/>
      <c r="O136" s="103"/>
      <c r="P136" s="103"/>
      <c r="Q136" s="103"/>
      <c r="R136" s="103"/>
      <c r="S136" s="103"/>
      <c r="T136" s="103"/>
      <c r="U136" s="103"/>
      <c r="V136" s="103"/>
      <c r="W136" s="103"/>
      <c r="X136" s="103"/>
    </row>
    <row r="137" spans="1:24" ht="15.6">
      <c r="A137" s="26" t="str">
        <v>Q196</v>
      </c>
      <c r="B137" s="27" t="str">
        <v>NY</v>
      </c>
      <c r="C137" s="27" t="str">
        <f>Sites[[#This Row],[SOL'#]]</f>
        <v>SOL-10879</v>
      </c>
      <c r="D137" s="9"/>
      <c r="E137" s="14"/>
      <c r="F137" s="14" t="str">
        <f t="shared" si="12"/>
        <v/>
      </c>
      <c r="G137" s="15" t="str">
        <f t="shared" si="13"/>
        <v/>
      </c>
      <c r="H137" s="16"/>
      <c r="I137" s="16" t="str">
        <f t="shared" si="10"/>
        <v/>
      </c>
      <c r="J137" s="15" t="str">
        <f t="shared" si="11"/>
        <v/>
      </c>
      <c r="K137" s="51"/>
      <c r="L137" s="51"/>
      <c r="M137" s="103"/>
      <c r="N137" s="103"/>
      <c r="O137" s="103"/>
      <c r="P137" s="103"/>
      <c r="Q137" s="103"/>
      <c r="R137" s="103"/>
      <c r="S137" s="103"/>
      <c r="T137" s="103"/>
      <c r="U137" s="103"/>
      <c r="V137" s="103"/>
      <c r="W137" s="103"/>
      <c r="X137" s="103"/>
    </row>
    <row r="138" spans="1:24" ht="15.6">
      <c r="A138" s="28" t="str">
        <v>Q220</v>
      </c>
      <c r="B138" s="25" t="str">
        <v>NY</v>
      </c>
      <c r="C138" s="25" t="str">
        <f>Sites[[#This Row],[SOL'#]]</f>
        <v>SOL-10873</v>
      </c>
      <c r="D138" s="20"/>
      <c r="E138" s="10"/>
      <c r="F138" s="10" t="str">
        <f t="shared" si="12"/>
        <v/>
      </c>
      <c r="G138" s="11" t="str">
        <f t="shared" si="13"/>
        <v/>
      </c>
      <c r="H138" s="12"/>
      <c r="I138" s="12" t="str">
        <f t="shared" si="10"/>
        <v/>
      </c>
      <c r="J138" s="13" t="str">
        <f t="shared" si="11"/>
        <v/>
      </c>
      <c r="K138" s="53"/>
      <c r="L138" s="98"/>
      <c r="M138" s="103"/>
      <c r="N138" s="103"/>
      <c r="O138" s="103"/>
      <c r="P138" s="103"/>
      <c r="Q138" s="103"/>
      <c r="R138" s="103"/>
      <c r="S138" s="103"/>
      <c r="T138" s="103"/>
      <c r="U138" s="103"/>
      <c r="V138" s="103"/>
      <c r="W138" s="103"/>
      <c r="X138" s="103"/>
    </row>
    <row r="139" spans="1:24" ht="15.6">
      <c r="A139" s="26" t="str">
        <v>Q205</v>
      </c>
      <c r="B139" s="27" t="str">
        <v>NY</v>
      </c>
      <c r="C139" s="27" t="str">
        <f>Sites[[#This Row],[SOL'#]]</f>
        <v>SOL-10922</v>
      </c>
      <c r="D139" s="9"/>
      <c r="E139" s="14"/>
      <c r="F139" s="14" t="str">
        <f t="shared" si="12"/>
        <v/>
      </c>
      <c r="G139" s="15" t="str">
        <f t="shared" si="13"/>
        <v/>
      </c>
      <c r="H139" s="16"/>
      <c r="I139" s="16" t="str">
        <f t="shared" si="10"/>
        <v/>
      </c>
      <c r="J139" s="15" t="str">
        <f t="shared" si="11"/>
        <v/>
      </c>
      <c r="K139" s="51"/>
      <c r="L139" s="51"/>
      <c r="M139" s="103"/>
      <c r="N139" s="103"/>
      <c r="O139" s="103"/>
      <c r="P139" s="103"/>
      <c r="Q139" s="103"/>
      <c r="R139" s="103"/>
      <c r="S139" s="103"/>
      <c r="T139" s="103"/>
      <c r="U139" s="103"/>
      <c r="V139" s="103"/>
      <c r="W139" s="103"/>
      <c r="X139" s="103"/>
    </row>
    <row r="140" spans="1:24" ht="15.6">
      <c r="A140" s="28" t="str">
        <v>Q400</v>
      </c>
      <c r="B140" s="25" t="str">
        <v>NY</v>
      </c>
      <c r="C140" s="25" t="str">
        <f>Sites[[#This Row],[SOL'#]]</f>
        <v>SOL-10871</v>
      </c>
      <c r="D140" s="20"/>
      <c r="E140" s="10"/>
      <c r="F140" s="10" t="str">
        <f t="shared" si="12"/>
        <v/>
      </c>
      <c r="G140" s="11" t="str">
        <f t="shared" si="13"/>
        <v/>
      </c>
      <c r="H140" s="12"/>
      <c r="I140" s="12" t="str">
        <f t="shared" si="10"/>
        <v/>
      </c>
      <c r="J140" s="13" t="str">
        <f t="shared" si="11"/>
        <v/>
      </c>
      <c r="K140" s="53"/>
      <c r="L140" s="98"/>
      <c r="M140" s="102"/>
      <c r="N140" s="103"/>
      <c r="O140" s="103"/>
      <c r="P140" s="103"/>
      <c r="Q140" s="103"/>
      <c r="R140" s="103"/>
      <c r="S140" s="103"/>
      <c r="T140" s="103"/>
      <c r="U140" s="103"/>
      <c r="V140" s="103"/>
      <c r="W140" s="103"/>
      <c r="X140" s="103"/>
    </row>
    <row r="141" spans="1:24" ht="15.6">
      <c r="A141" s="26" t="str">
        <v>R003</v>
      </c>
      <c r="B141" s="27" t="str">
        <v>NY</v>
      </c>
      <c r="C141" s="27" t="str">
        <f>Sites[[#This Row],[SOL'#]]</f>
        <v>SOL-10416</v>
      </c>
      <c r="D141" s="9"/>
      <c r="E141" s="14"/>
      <c r="F141" s="14" t="str">
        <f t="shared" si="12"/>
        <v/>
      </c>
      <c r="G141" s="15" t="str">
        <f t="shared" si="13"/>
        <v/>
      </c>
      <c r="H141" s="16"/>
      <c r="I141" s="16" t="str">
        <f t="shared" si="10"/>
        <v/>
      </c>
      <c r="J141" s="15" t="str">
        <f t="shared" si="11"/>
        <v/>
      </c>
      <c r="K141" s="51"/>
      <c r="L141" s="99"/>
      <c r="M141" s="103"/>
      <c r="N141" s="103"/>
      <c r="O141" s="103"/>
      <c r="P141" s="103"/>
      <c r="Q141" s="103"/>
      <c r="R141" s="103"/>
      <c r="S141" s="103"/>
      <c r="T141" s="103"/>
      <c r="U141" s="103"/>
      <c r="V141" s="103"/>
      <c r="W141" s="103"/>
      <c r="X141" s="103"/>
    </row>
    <row r="142" spans="1:24" ht="15.6">
      <c r="A142" s="28" t="str">
        <v>R007</v>
      </c>
      <c r="B142" s="25" t="str">
        <v>NY</v>
      </c>
      <c r="C142" s="25" t="str">
        <f>Sites[[#This Row],[SOL'#]]</f>
        <v>SOL-10417</v>
      </c>
      <c r="D142" s="20"/>
      <c r="E142" s="10"/>
      <c r="F142" s="10" t="str">
        <f t="shared" si="12"/>
        <v/>
      </c>
      <c r="G142" s="11" t="str">
        <f t="shared" si="13"/>
        <v/>
      </c>
      <c r="H142" s="12"/>
      <c r="I142" s="12" t="str">
        <f t="shared" si="10"/>
        <v/>
      </c>
      <c r="J142" s="13" t="str">
        <f t="shared" si="11"/>
        <v/>
      </c>
      <c r="K142" s="53"/>
      <c r="L142" s="53"/>
      <c r="M142" s="103"/>
      <c r="N142" s="103"/>
      <c r="O142" s="103"/>
      <c r="P142" s="103"/>
      <c r="Q142" s="103"/>
      <c r="R142" s="103"/>
      <c r="S142" s="103"/>
      <c r="T142" s="103"/>
      <c r="U142" s="103"/>
      <c r="V142" s="103"/>
      <c r="W142" s="103"/>
      <c r="X142" s="103"/>
    </row>
    <row r="143" spans="1:24" ht="15.6">
      <c r="A143" s="26" t="str">
        <v>BK16</v>
      </c>
      <c r="B143" s="27" t="str">
        <v>NY</v>
      </c>
      <c r="C143" s="27" t="str">
        <f>Sites[[#This Row],[SOL'#]]</f>
        <v>SOL-11093</v>
      </c>
      <c r="D143" s="9"/>
      <c r="E143" s="14"/>
      <c r="F143" s="14" t="str">
        <f t="shared" si="12"/>
        <v/>
      </c>
      <c r="G143" s="15" t="str">
        <f t="shared" si="13"/>
        <v/>
      </c>
      <c r="H143" s="16"/>
      <c r="I143" s="16" t="str">
        <f t="shared" si="10"/>
        <v/>
      </c>
      <c r="J143" s="15" t="str">
        <f t="shared" si="11"/>
        <v/>
      </c>
      <c r="K143" s="51"/>
      <c r="L143" s="51"/>
      <c r="M143" s="103"/>
      <c r="N143" s="103"/>
      <c r="O143" s="103"/>
      <c r="P143" s="103"/>
      <c r="Q143" s="103"/>
      <c r="R143" s="103"/>
      <c r="S143" s="103"/>
      <c r="T143" s="103"/>
      <c r="U143" s="103"/>
      <c r="V143" s="103"/>
      <c r="W143" s="103"/>
      <c r="X143" s="103"/>
    </row>
    <row r="144" spans="1:24" ht="15.6">
      <c r="A144" s="28" t="str">
        <v>Trenton - Trenton East</v>
      </c>
      <c r="B144" s="25" t="str">
        <v>IL</v>
      </c>
      <c r="C144" s="25" t="str">
        <f>Sites[[#This Row],[SOL'#]]</f>
        <v>SOL-11060</v>
      </c>
      <c r="D144" s="20"/>
      <c r="E144" s="10"/>
      <c r="F144" s="10" t="str">
        <f t="shared" si="12"/>
        <v/>
      </c>
      <c r="G144" s="11" t="str">
        <f t="shared" si="13"/>
        <v/>
      </c>
      <c r="H144" s="12"/>
      <c r="I144" s="12" t="str">
        <f t="shared" si="10"/>
        <v/>
      </c>
      <c r="J144" s="13" t="str">
        <f t="shared" si="11"/>
        <v/>
      </c>
      <c r="K144" s="53"/>
      <c r="L144" s="98"/>
      <c r="M144" s="102"/>
      <c r="N144" s="103"/>
      <c r="O144" s="103"/>
      <c r="P144" s="103"/>
      <c r="Q144" s="103"/>
      <c r="R144" s="103"/>
      <c r="S144" s="103"/>
      <c r="T144" s="103"/>
      <c r="U144" s="103"/>
      <c r="V144" s="103"/>
      <c r="W144" s="103"/>
      <c r="X144" s="103"/>
    </row>
    <row r="145" spans="1:24" ht="15.6">
      <c r="A145" s="26" t="str">
        <v>Trenton - Trenton West</v>
      </c>
      <c r="B145" s="27" t="str">
        <v>IL</v>
      </c>
      <c r="C145" s="27" t="str">
        <f>Sites[[#This Row],[SOL'#]]</f>
        <v>SOL-11061</v>
      </c>
      <c r="D145" s="9"/>
      <c r="E145" s="14"/>
      <c r="F145" s="14" t="str">
        <f t="shared" si="12"/>
        <v/>
      </c>
      <c r="G145" s="15" t="str">
        <f t="shared" si="13"/>
        <v/>
      </c>
      <c r="H145" s="16"/>
      <c r="I145" s="16" t="str">
        <f t="shared" si="10"/>
        <v/>
      </c>
      <c r="J145" s="15" t="str">
        <f t="shared" si="11"/>
        <v/>
      </c>
      <c r="K145" s="51"/>
      <c r="L145" s="99"/>
      <c r="M145" s="102"/>
      <c r="N145" s="103"/>
      <c r="O145" s="103"/>
      <c r="P145" s="103"/>
      <c r="Q145" s="103"/>
      <c r="R145" s="103"/>
      <c r="S145" s="103"/>
      <c r="T145" s="103"/>
      <c r="U145" s="103"/>
      <c r="V145" s="103"/>
      <c r="W145" s="103"/>
      <c r="X145" s="103"/>
    </row>
    <row r="146" spans="1:24" ht="15.6">
      <c r="A146" s="28" t="str">
        <v>Dakota - Dakota Solar 1</v>
      </c>
      <c r="B146" s="25" t="str">
        <v>IL</v>
      </c>
      <c r="C146" s="25" t="str">
        <f>Sites[[#This Row],[SOL'#]]</f>
        <v>SOL-11113</v>
      </c>
      <c r="D146" s="20"/>
      <c r="E146" s="10"/>
      <c r="F146" s="10" t="str">
        <f t="shared" si="12"/>
        <v/>
      </c>
      <c r="G146" s="11" t="str">
        <f t="shared" si="13"/>
        <v/>
      </c>
      <c r="H146" s="12"/>
      <c r="I146" s="12" t="str">
        <f t="shared" si="10"/>
        <v/>
      </c>
      <c r="J146" s="13" t="str">
        <f t="shared" si="11"/>
        <v/>
      </c>
      <c r="K146" s="53"/>
      <c r="L146" s="98"/>
      <c r="M146" s="102"/>
      <c r="N146" s="103"/>
      <c r="O146" s="103"/>
      <c r="P146" s="103"/>
      <c r="Q146" s="103"/>
      <c r="R146" s="103"/>
      <c r="S146" s="103"/>
      <c r="T146" s="103"/>
      <c r="U146" s="103"/>
      <c r="V146" s="103"/>
      <c r="W146" s="103"/>
      <c r="X146" s="103"/>
    </row>
    <row r="147" spans="1:24" ht="15.6">
      <c r="A147" s="26" t="str">
        <v>X018</v>
      </c>
      <c r="B147" s="27" t="str">
        <v>NY</v>
      </c>
      <c r="C147" s="27" t="str">
        <f>Sites[[#This Row],[SOL'#]]</f>
        <v>SOL-10418</v>
      </c>
      <c r="D147" s="9"/>
      <c r="E147" s="14"/>
      <c r="F147" s="14" t="str">
        <f t="shared" si="12"/>
        <v/>
      </c>
      <c r="G147" s="15" t="str">
        <f t="shared" si="13"/>
        <v/>
      </c>
      <c r="H147" s="16"/>
      <c r="I147" s="16" t="str">
        <f t="shared" si="10"/>
        <v/>
      </c>
      <c r="J147" s="15" t="str">
        <f t="shared" si="11"/>
        <v/>
      </c>
      <c r="K147" s="51"/>
      <c r="L147" s="99"/>
      <c r="M147" s="103"/>
      <c r="N147" s="103"/>
      <c r="O147" s="103"/>
      <c r="P147" s="103"/>
      <c r="Q147" s="103"/>
      <c r="R147" s="103"/>
      <c r="S147" s="103"/>
      <c r="T147" s="103"/>
      <c r="U147" s="103"/>
      <c r="V147" s="103"/>
      <c r="W147" s="103"/>
      <c r="X147" s="103"/>
    </row>
    <row r="148" spans="1:24" ht="15.6">
      <c r="A148" s="28" t="str">
        <v>Janiak Solar</v>
      </c>
      <c r="B148" s="25" t="str">
        <v>NY</v>
      </c>
      <c r="C148" s="25" t="str">
        <f>Sites[[#This Row],[SOL'#]]</f>
        <v>SOL-10898</v>
      </c>
      <c r="D148" s="20"/>
      <c r="E148" s="10"/>
      <c r="F148" s="10" t="str">
        <f t="shared" si="12"/>
        <v/>
      </c>
      <c r="G148" s="11" t="str">
        <f t="shared" si="13"/>
        <v/>
      </c>
      <c r="H148" s="12"/>
      <c r="I148" s="12" t="str">
        <f t="shared" si="10"/>
        <v/>
      </c>
      <c r="J148" s="13" t="str">
        <f t="shared" si="11"/>
        <v/>
      </c>
      <c r="K148" s="53"/>
      <c r="L148" s="98"/>
      <c r="M148" s="103"/>
      <c r="N148" s="103"/>
      <c r="O148" s="103"/>
      <c r="P148" s="103"/>
      <c r="Q148" s="103"/>
      <c r="R148" s="103"/>
      <c r="S148" s="103"/>
      <c r="T148" s="103"/>
      <c r="U148" s="103"/>
      <c r="V148" s="103"/>
      <c r="W148" s="103"/>
      <c r="X148" s="103"/>
    </row>
    <row r="149" spans="1:24" ht="15.6">
      <c r="A149" s="26" t="str">
        <v>County Route 11B</v>
      </c>
      <c r="B149" s="27" t="str">
        <v>NY</v>
      </c>
      <c r="C149" s="27" t="str">
        <f>Sites[[#This Row],[SOL'#]]</f>
        <v>SOL-10983</v>
      </c>
      <c r="D149" s="9"/>
      <c r="E149" s="14"/>
      <c r="F149" s="14" t="str">
        <f t="shared" si="12"/>
        <v/>
      </c>
      <c r="G149" s="15" t="str">
        <f t="shared" si="13"/>
        <v/>
      </c>
      <c r="H149" s="133"/>
      <c r="I149" s="16" t="str">
        <f t="shared" si="10"/>
        <v/>
      </c>
      <c r="J149" s="15" t="str">
        <f t="shared" si="11"/>
        <v/>
      </c>
      <c r="K149" s="51"/>
      <c r="L149" s="98"/>
      <c r="M149" s="103"/>
      <c r="N149" s="103"/>
      <c r="O149" s="103"/>
      <c r="P149" s="103"/>
      <c r="Q149" s="103"/>
      <c r="R149" s="103"/>
      <c r="S149" s="103"/>
      <c r="T149" s="103"/>
      <c r="U149" s="103"/>
      <c r="V149" s="103"/>
      <c r="W149" s="103"/>
      <c r="X149" s="103"/>
    </row>
    <row r="150" spans="1:24" ht="15.6">
      <c r="A150" s="28" t="str">
        <v>Barone</v>
      </c>
      <c r="B150" s="25" t="str">
        <v>NY</v>
      </c>
      <c r="C150" s="25" t="str">
        <f>Sites[[#This Row],[SOL'#]]</f>
        <v>SOL-11034</v>
      </c>
      <c r="D150" s="20"/>
      <c r="E150" s="10"/>
      <c r="F150" s="10" t="str">
        <f t="shared" si="12"/>
        <v/>
      </c>
      <c r="G150" s="11" t="str">
        <f t="shared" si="13"/>
        <v/>
      </c>
      <c r="H150" s="12"/>
      <c r="I150" s="12" t="str">
        <f t="shared" si="10"/>
        <v/>
      </c>
      <c r="J150" s="13" t="str">
        <f t="shared" si="11"/>
        <v/>
      </c>
      <c r="K150" s="53"/>
      <c r="L150" s="98"/>
      <c r="M150" s="102"/>
      <c r="N150" s="102"/>
      <c r="O150" s="103"/>
      <c r="P150" s="103"/>
      <c r="Q150" s="103"/>
      <c r="R150" s="103"/>
      <c r="S150" s="103"/>
      <c r="T150" s="103"/>
      <c r="U150" s="103"/>
      <c r="V150" s="103"/>
      <c r="W150" s="103"/>
      <c r="X150" s="103"/>
    </row>
    <row r="151" spans="1:24" ht="15.6">
      <c r="A151" s="26" t="str">
        <v>Cedarville</v>
      </c>
      <c r="B151" s="27" t="str">
        <v>IL</v>
      </c>
      <c r="C151" s="27" t="str">
        <f>Sites[[#This Row],[SOL'#]]</f>
        <v>SOL-11069</v>
      </c>
      <c r="D151" s="9"/>
      <c r="E151" s="14"/>
      <c r="F151" s="14" t="str">
        <f t="shared" si="12"/>
        <v/>
      </c>
      <c r="G151" s="15" t="str">
        <f t="shared" si="13"/>
        <v/>
      </c>
      <c r="H151" s="16"/>
      <c r="I151" s="16" t="str">
        <f t="shared" si="10"/>
        <v/>
      </c>
      <c r="J151" s="15" t="str">
        <f t="shared" si="11"/>
        <v/>
      </c>
      <c r="K151" s="51"/>
      <c r="L151" s="99"/>
      <c r="M151" s="103"/>
      <c r="N151" s="103"/>
      <c r="O151" s="103"/>
      <c r="P151" s="103"/>
      <c r="Q151" s="103"/>
      <c r="R151" s="103"/>
      <c r="S151" s="103"/>
      <c r="T151" s="103"/>
      <c r="U151" s="103"/>
      <c r="V151" s="103"/>
      <c r="W151" s="103"/>
      <c r="X151" s="103"/>
    </row>
    <row r="152" spans="1:24" ht="15.6">
      <c r="A152" s="28" t="str">
        <v xml:space="preserve"> O'Brien Hill #1</v>
      </c>
      <c r="B152" s="25" t="str">
        <v>NY</v>
      </c>
      <c r="C152" s="25" t="str">
        <f>Sites[[#This Row],[SOL'#]]</f>
        <v>SOL-11098</v>
      </c>
      <c r="D152" s="20"/>
      <c r="E152" s="10"/>
      <c r="F152" s="10" t="str">
        <f t="shared" si="12"/>
        <v/>
      </c>
      <c r="G152" s="11" t="str">
        <f t="shared" si="13"/>
        <v/>
      </c>
      <c r="H152" s="132"/>
      <c r="I152" s="12" t="str">
        <f t="shared" si="10"/>
        <v/>
      </c>
      <c r="J152" s="13" t="str">
        <f t="shared" si="11"/>
        <v/>
      </c>
      <c r="K152" s="53"/>
      <c r="L152" s="98"/>
      <c r="M152" s="102"/>
      <c r="N152" s="103"/>
      <c r="O152" s="103"/>
      <c r="P152" s="103"/>
      <c r="Q152" s="103"/>
      <c r="R152" s="103"/>
      <c r="S152" s="103"/>
      <c r="T152" s="103"/>
      <c r="U152" s="103"/>
      <c r="V152" s="103"/>
      <c r="W152" s="103"/>
      <c r="X152" s="103"/>
    </row>
    <row r="153" spans="1:24" ht="15.6">
      <c r="A153" s="26" t="str">
        <v xml:space="preserve"> O'Brien Hill #2</v>
      </c>
      <c r="B153" s="27" t="str">
        <v>NY</v>
      </c>
      <c r="C153" s="27" t="str">
        <f>Sites[[#This Row],[SOL'#]]</f>
        <v>SOL-11099</v>
      </c>
      <c r="D153" s="9"/>
      <c r="E153" s="14"/>
      <c r="F153" s="14" t="str">
        <f t="shared" si="12"/>
        <v/>
      </c>
      <c r="G153" s="15" t="str">
        <f t="shared" si="13"/>
        <v/>
      </c>
      <c r="H153" s="133"/>
      <c r="I153" s="16" t="str">
        <f t="shared" si="10"/>
        <v/>
      </c>
      <c r="J153" s="15" t="str">
        <f t="shared" si="11"/>
        <v/>
      </c>
      <c r="K153" s="51"/>
      <c r="L153" s="99"/>
      <c r="M153" s="102"/>
      <c r="N153" s="103"/>
      <c r="O153" s="103"/>
      <c r="P153" s="103"/>
      <c r="Q153" s="103"/>
      <c r="R153" s="103"/>
      <c r="S153" s="103"/>
      <c r="T153" s="103"/>
      <c r="U153" s="103"/>
      <c r="V153" s="103"/>
      <c r="W153" s="103"/>
      <c r="X153" s="103"/>
    </row>
    <row r="154" spans="1:24" ht="15.6">
      <c r="A154" s="28" t="str">
        <v>Trinity - Freeport</v>
      </c>
      <c r="B154" s="25" t="str">
        <v>IL</v>
      </c>
      <c r="C154" s="25" t="str">
        <f>Sites[[#This Row],[SOL'#]]</f>
        <v>SOL-11057</v>
      </c>
      <c r="D154" s="20"/>
      <c r="E154" s="10"/>
      <c r="F154" s="10" t="str">
        <f t="shared" si="12"/>
        <v/>
      </c>
      <c r="G154" s="11" t="str">
        <f t="shared" si="13"/>
        <v/>
      </c>
      <c r="H154" s="12"/>
      <c r="I154" s="12" t="str">
        <f t="shared" si="10"/>
        <v/>
      </c>
      <c r="J154" s="13" t="str">
        <f t="shared" si="11"/>
        <v/>
      </c>
      <c r="K154" s="53"/>
      <c r="L154" s="98"/>
      <c r="M154" s="102"/>
      <c r="N154" s="103"/>
      <c r="O154" s="103"/>
      <c r="P154" s="103"/>
      <c r="Q154" s="103"/>
      <c r="R154" s="103"/>
      <c r="S154" s="103"/>
      <c r="T154" s="103"/>
      <c r="U154" s="103"/>
      <c r="V154" s="103"/>
      <c r="W154" s="103"/>
      <c r="X154" s="103"/>
    </row>
    <row r="155" spans="1:24" ht="15.6">
      <c r="A155" s="26" t="str">
        <v>Ransom</v>
      </c>
      <c r="B155" s="27" t="str">
        <v>NY</v>
      </c>
      <c r="C155" s="27" t="str">
        <f>Sites[[#This Row],[SOL'#]]</f>
        <v>SOL-11157</v>
      </c>
      <c r="D155" s="9"/>
      <c r="E155" s="14"/>
      <c r="F155" s="14" t="str">
        <f t="shared" si="12"/>
        <v/>
      </c>
      <c r="G155" s="15" t="str">
        <f t="shared" si="13"/>
        <v/>
      </c>
      <c r="H155" s="133"/>
      <c r="I155" s="16" t="str">
        <f t="shared" ref="I155" si="14">IF(AND(ISNUMBER(D155),ISNUMBER(H155)), D155-H155, "")</f>
        <v/>
      </c>
      <c r="J155" s="15" t="str">
        <f t="shared" ref="J155:J164" si="15">IFERROR(I155/H155, "")</f>
        <v/>
      </c>
      <c r="K155" s="51"/>
      <c r="L155" s="99"/>
      <c r="M155" s="102"/>
      <c r="N155" s="103"/>
      <c r="O155" s="103"/>
      <c r="P155" s="103"/>
      <c r="Q155" s="103"/>
      <c r="R155" s="103"/>
      <c r="S155" s="103"/>
      <c r="T155" s="103"/>
      <c r="U155" s="103"/>
      <c r="V155" s="103"/>
      <c r="W155" s="103"/>
      <c r="X155" s="103"/>
    </row>
    <row r="156" spans="1:24" ht="15.6">
      <c r="A156" s="28" t="str">
        <v>Horseheads - Wedge</v>
      </c>
      <c r="B156" s="25" t="str">
        <v>NY</v>
      </c>
      <c r="C156" s="25" t="str">
        <f>Sites[[#This Row],[SOL'#]]</f>
        <v>SOL-11160</v>
      </c>
      <c r="D156" s="20"/>
      <c r="E156" s="10"/>
      <c r="F156" s="10" t="str">
        <f t="shared" si="12"/>
        <v/>
      </c>
      <c r="G156" s="11" t="str">
        <f t="shared" si="13"/>
        <v/>
      </c>
      <c r="H156" s="132"/>
      <c r="I156" s="12" t="str">
        <f t="shared" ref="I156:I164" si="16">IF(AND(ISNUMBER(D156),ISNUMBER(H156)), D156-H156, "")</f>
        <v/>
      </c>
      <c r="J156" s="13" t="str">
        <f t="shared" si="15"/>
        <v/>
      </c>
      <c r="K156" s="53"/>
      <c r="L156" s="53"/>
      <c r="M156" s="103"/>
      <c r="N156" s="103"/>
      <c r="O156" s="103"/>
      <c r="P156" s="103"/>
      <c r="Q156" s="103"/>
      <c r="R156" s="103"/>
      <c r="S156" s="103"/>
      <c r="T156" s="103"/>
      <c r="U156" s="103"/>
      <c r="V156" s="103"/>
      <c r="W156" s="103"/>
      <c r="X156" s="103"/>
    </row>
    <row r="157" spans="1:24" ht="15.6">
      <c r="A157" s="26" t="str">
        <v>Otisville - Shoddy Hollow</v>
      </c>
      <c r="B157" s="27" t="str">
        <v>NY</v>
      </c>
      <c r="C157" s="27" t="str">
        <f>Sites[[#This Row],[SOL'#]]</f>
        <v>SOL-11185</v>
      </c>
      <c r="D157" s="9"/>
      <c r="E157" s="14"/>
      <c r="F157" s="14" t="str">
        <f t="shared" si="12"/>
        <v/>
      </c>
      <c r="G157" s="15" t="str">
        <f t="shared" si="13"/>
        <v/>
      </c>
      <c r="H157" s="133"/>
      <c r="I157" s="16" t="str">
        <f t="shared" si="16"/>
        <v/>
      </c>
      <c r="J157" s="15" t="str">
        <f t="shared" si="15"/>
        <v/>
      </c>
      <c r="K157" s="51"/>
      <c r="L157" s="99"/>
      <c r="M157" s="102"/>
      <c r="N157" s="103"/>
      <c r="O157" s="103"/>
      <c r="P157" s="103"/>
      <c r="Q157" s="103"/>
      <c r="R157" s="103"/>
      <c r="S157" s="103"/>
      <c r="T157" s="103"/>
      <c r="U157" s="103"/>
      <c r="V157" s="103"/>
      <c r="W157" s="103"/>
      <c r="X157" s="103"/>
    </row>
    <row r="158" spans="1:24" ht="15.6">
      <c r="A158" s="28" t="str">
        <v>Wellsville - Chenunda Creek</v>
      </c>
      <c r="B158" s="25" t="str">
        <v>NY</v>
      </c>
      <c r="C158" s="25" t="str">
        <f>Sites[[#This Row],[SOL'#]]</f>
        <v>SOL-11187</v>
      </c>
      <c r="D158" s="20"/>
      <c r="E158" s="10"/>
      <c r="F158" s="10" t="str">
        <f t="shared" si="12"/>
        <v/>
      </c>
      <c r="G158" s="11" t="str">
        <f t="shared" si="13"/>
        <v/>
      </c>
      <c r="H158" s="132"/>
      <c r="I158" s="67" t="str">
        <f t="shared" si="16"/>
        <v/>
      </c>
      <c r="J158" s="13" t="str">
        <f t="shared" si="15"/>
        <v/>
      </c>
      <c r="K158" s="53"/>
      <c r="L158" s="98"/>
      <c r="M158" s="103"/>
      <c r="N158" s="103"/>
      <c r="O158" s="103"/>
      <c r="P158" s="103"/>
      <c r="Q158" s="103"/>
      <c r="R158" s="103"/>
      <c r="S158" s="103"/>
      <c r="T158" s="103"/>
      <c r="U158" s="103"/>
      <c r="V158" s="103"/>
      <c r="W158" s="103"/>
      <c r="X158" s="103"/>
    </row>
    <row r="159" spans="1:24" ht="15.6">
      <c r="A159" s="26" t="str">
        <v>DC: Washington - Essex Condominium</v>
      </c>
      <c r="B159" s="27" t="str">
        <v>DC</v>
      </c>
      <c r="C159" s="27" t="str">
        <f>Sites[[#This Row],[SOL'#]]</f>
        <v>SOL-10036</v>
      </c>
      <c r="D159" s="66"/>
      <c r="E159" s="14"/>
      <c r="F159" s="14" t="str">
        <f t="shared" ref="F159:F164" si="17">IF(AND(ISNUMBER(D159),ISNUMBER(E159)), D159-E159, "")</f>
        <v/>
      </c>
      <c r="G159" s="68" t="str">
        <f t="shared" ref="G159:G164" si="18">IFERROR(F159/E159, "")</f>
        <v/>
      </c>
      <c r="H159" s="125"/>
      <c r="I159" s="69" t="str">
        <f t="shared" si="16"/>
        <v/>
      </c>
      <c r="J159" s="68" t="str">
        <f t="shared" si="15"/>
        <v/>
      </c>
      <c r="K159" s="51"/>
      <c r="L159" s="99"/>
    </row>
    <row r="160" spans="1:24" ht="15.6">
      <c r="A160" s="28" t="str">
        <v>HI: Waipahu - 94-246 Leoku St - E.F.G.</v>
      </c>
      <c r="B160" s="25" t="str">
        <v>HI</v>
      </c>
      <c r="C160" s="25" t="str">
        <f>Sites[[#This Row],[SOL'#]]</f>
        <v>SOL-10071</v>
      </c>
      <c r="D160" s="54"/>
      <c r="E160" s="10"/>
      <c r="F160" s="10" t="str">
        <f t="shared" si="17"/>
        <v/>
      </c>
      <c r="G160" s="55" t="str">
        <f t="shared" si="18"/>
        <v/>
      </c>
      <c r="H160" s="146"/>
      <c r="I160" s="67" t="str">
        <f t="shared" si="16"/>
        <v/>
      </c>
      <c r="J160" s="64" t="str">
        <f t="shared" si="15"/>
        <v/>
      </c>
      <c r="K160" s="73"/>
      <c r="L160" s="100"/>
    </row>
    <row r="161" spans="1:12" ht="15.6">
      <c r="A161" s="26" t="str">
        <v>HI: Waipahu - 94-099 Waipahu St - PV</v>
      </c>
      <c r="B161" s="27" t="str">
        <v>HI</v>
      </c>
      <c r="C161" s="27" t="str">
        <f>Sites[[#This Row],[SOL'#]]</f>
        <v>SOL-10068</v>
      </c>
      <c r="D161" s="66"/>
      <c r="E161" s="14"/>
      <c r="F161" s="14" t="str">
        <f t="shared" si="17"/>
        <v/>
      </c>
      <c r="G161" s="68" t="str">
        <f t="shared" si="18"/>
        <v/>
      </c>
      <c r="H161" s="125"/>
      <c r="I161" s="69" t="str">
        <f t="shared" si="16"/>
        <v/>
      </c>
      <c r="J161" s="68" t="str">
        <f t="shared" si="15"/>
        <v/>
      </c>
      <c r="K161" s="51"/>
      <c r="L161" s="101"/>
    </row>
    <row r="162" spans="1:12" ht="15.6">
      <c r="A162" s="28" t="str">
        <v>IL: Prophetstown - 5170 Yager Road (PW)</v>
      </c>
      <c r="B162" s="25" t="str">
        <v>IL</v>
      </c>
      <c r="C162" s="25" t="str">
        <f>Sites[[#This Row],[SOL'#]]</f>
        <v>SOL-11149</v>
      </c>
      <c r="D162" s="54"/>
      <c r="E162" s="10"/>
      <c r="F162" s="10" t="str">
        <f t="shared" si="17"/>
        <v/>
      </c>
      <c r="G162" s="55" t="str">
        <f t="shared" si="18"/>
        <v/>
      </c>
      <c r="H162" s="146"/>
      <c r="I162" s="67" t="str">
        <f t="shared" si="16"/>
        <v/>
      </c>
      <c r="J162" s="64" t="str">
        <f t="shared" si="15"/>
        <v/>
      </c>
      <c r="K162" s="73"/>
      <c r="L162" s="100"/>
    </row>
    <row r="163" spans="1:12" ht="15.6">
      <c r="A163" s="26" t="str">
        <v>IL: Viola - Goldenrod - (PW)</v>
      </c>
      <c r="B163" s="27" t="str">
        <v>IL</v>
      </c>
      <c r="C163" s="27" t="str">
        <f>Sites[[#This Row],[SOL'#]]</f>
        <v>SOL-11132</v>
      </c>
      <c r="D163" s="66"/>
      <c r="E163" s="14"/>
      <c r="F163" s="14" t="str">
        <f t="shared" si="17"/>
        <v/>
      </c>
      <c r="G163" s="68" t="str">
        <f t="shared" si="18"/>
        <v/>
      </c>
      <c r="H163" s="125"/>
      <c r="I163" s="69" t="str">
        <f t="shared" si="16"/>
        <v/>
      </c>
      <c r="J163" s="68" t="str">
        <f t="shared" si="15"/>
        <v/>
      </c>
      <c r="K163" s="51"/>
      <c r="L163" s="99"/>
    </row>
    <row r="164" spans="1:12" ht="15.6">
      <c r="A164" s="28" t="str">
        <v>IL: Marengo - Grant - (PW)</v>
      </c>
      <c r="B164" s="25" t="str">
        <v>IL</v>
      </c>
      <c r="C164" s="25" t="str">
        <f>Sites[[#This Row],[SOL'#]]</f>
        <v>SOL-11147</v>
      </c>
      <c r="D164" s="54"/>
      <c r="E164" s="10"/>
      <c r="F164" s="10" t="str">
        <f t="shared" si="17"/>
        <v/>
      </c>
      <c r="G164" s="55" t="str">
        <f t="shared" si="18"/>
        <v/>
      </c>
      <c r="H164" s="146"/>
      <c r="I164" s="67" t="str">
        <f t="shared" si="16"/>
        <v/>
      </c>
      <c r="J164" s="64" t="str">
        <f t="shared" si="15"/>
        <v/>
      </c>
      <c r="K164" s="73"/>
      <c r="L164" s="100"/>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row r="174" spans="1:12">
      <c r="A174" t="str">
        <v>IL: Morrison - Sawyer (PW)</v>
      </c>
      <c r="B174" s="30" t="str">
        <v>IL</v>
      </c>
    </row>
    <row r="175" spans="1:12">
      <c r="A175" t="str">
        <v>IL: Kankakee - Jeffery (PW)</v>
      </c>
      <c r="B175" s="30" t="str">
        <v>IL</v>
      </c>
    </row>
    <row r="176" spans="1:12">
      <c r="A176" t="str">
        <v>IL: Freeport - 2240 South 18th Ave (PW)</v>
      </c>
      <c r="B176" s="30" t="str">
        <v>IL</v>
      </c>
    </row>
  </sheetData>
  <sortState xmlns:xlrd2="http://schemas.microsoft.com/office/spreadsheetml/2017/richdata2" ref="A3:L3">
    <sortCondition ref="A3"/>
  </sortState>
  <mergeCells count="4">
    <mergeCell ref="H1:J1"/>
    <mergeCell ref="A1:D1"/>
    <mergeCell ref="E1:G1"/>
    <mergeCell ref="A2:B2"/>
  </mergeCells>
  <phoneticPr fontId="40" type="noConversion"/>
  <conditionalFormatting sqref="G2 J2 G4:G57 J4:J164 G59:G164">
    <cfRule type="cellIs" dxfId="26" priority="31" stopIfTrue="1" operator="lessThanOrEqual">
      <formula>-0.1</formula>
    </cfRule>
    <cfRule type="expression" dxfId="25" priority="32">
      <formula>AND(ISNUMBER(G2), G2&gt;=0.1)</formula>
    </cfRule>
  </conditionalFormatting>
  <pageMargins left="0.4" right="0.7" top="0.25" bottom="0.25" header="0.3" footer="0.3"/>
  <pageSetup fitToHeight="9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Z176"/>
  <sheetViews>
    <sheetView zoomScale="40" zoomScaleNormal="40" workbookViewId="0">
      <pane xSplit="2" ySplit="3" topLeftCell="C134"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61" customWidth="1"/>
    <col min="8" max="9" width="13.28515625" customWidth="1"/>
    <col min="10" max="10" width="13.28515625" style="1" customWidth="1"/>
    <col min="11" max="11" width="71.5703125" customWidth="1"/>
    <col min="12" max="12" width="20.5703125" bestFit="1" customWidth="1"/>
  </cols>
  <sheetData>
    <row r="1" spans="1:23" ht="19.5" customHeight="1">
      <c r="A1" s="195" t="str" cm="1">
        <f t="array" ref="A1">portfolio</f>
        <v>Generate Capital</v>
      </c>
      <c r="B1" s="195"/>
      <c r="C1" s="195"/>
      <c r="D1" s="195"/>
      <c r="E1" s="196" t="s">
        <v>384</v>
      </c>
      <c r="F1" s="196"/>
      <c r="G1" s="196"/>
      <c r="H1" s="194" t="s">
        <v>385</v>
      </c>
      <c r="I1" s="194"/>
      <c r="J1" s="194"/>
      <c r="K1" s="4" t="s">
        <v>386</v>
      </c>
      <c r="L1" s="4"/>
    </row>
    <row r="2" spans="1:23" ht="19.5" customHeight="1">
      <c r="A2" s="197" t="s">
        <v>2</v>
      </c>
      <c r="B2" s="197"/>
      <c r="C2" s="57"/>
      <c r="D2" s="5">
        <f>SUM(D4:D173)</f>
        <v>0</v>
      </c>
      <c r="E2" s="5">
        <f>SUM(E4:E100)</f>
        <v>0</v>
      </c>
      <c r="F2" s="5">
        <f>D2-E2</f>
        <v>0</v>
      </c>
      <c r="G2" s="158">
        <f>IFERROR(F2/E2, 0)</f>
        <v>0</v>
      </c>
      <c r="H2" s="5">
        <f>SUM(H4:H173)</f>
        <v>0</v>
      </c>
      <c r="I2" s="7">
        <f>D2-H2</f>
        <v>0</v>
      </c>
      <c r="J2" s="6">
        <f>IFERROR(I2/H2, 0)</f>
        <v>0</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3" ht="14.25" customHeight="1">
      <c r="A3" s="8" t="s">
        <v>3</v>
      </c>
      <c r="B3" s="8" t="s">
        <v>4</v>
      </c>
      <c r="C3" s="8" t="s">
        <v>5</v>
      </c>
      <c r="D3" s="19" t="s">
        <v>6</v>
      </c>
      <c r="E3" s="31" t="s">
        <v>7</v>
      </c>
      <c r="F3" s="31" t="s">
        <v>8</v>
      </c>
      <c r="G3" s="159" t="s">
        <v>9</v>
      </c>
      <c r="H3" s="33" t="s">
        <v>10</v>
      </c>
      <c r="I3" s="34" t="s">
        <v>8</v>
      </c>
      <c r="J3" s="35" t="s">
        <v>9</v>
      </c>
      <c r="K3" s="21" t="s">
        <v>24</v>
      </c>
      <c r="L3" s="21" t="s">
        <v>25</v>
      </c>
    </row>
    <row r="4" spans="1:23" ht="15.6">
      <c r="A4" s="28" t="str" cm="1">
        <f t="array" ref="A4:A176">Sites[Site]</f>
        <v>K026</v>
      </c>
      <c r="B4" s="25" t="str" cm="1">
        <f t="array" ref="B4:B176">Sites[State]</f>
        <v>NY</v>
      </c>
      <c r="C4" s="25" t="str">
        <f>Sites[[#This Row],[SOL'#]]</f>
        <v>SOL-10356</v>
      </c>
      <c r="D4" s="142"/>
      <c r="E4" s="141"/>
      <c r="F4" s="10" t="str">
        <f>IF(AND(ISNUMBER(D4),ISNUMBER(E4)), D4-E4, "")</f>
        <v/>
      </c>
      <c r="G4" s="11" t="str">
        <f>IFERROR(F4/E4, "")</f>
        <v/>
      </c>
      <c r="H4" s="146"/>
      <c r="I4" s="132" t="str">
        <f>IF(AND(ISNUMBER(D4),ISNUMBER(H4)), D4-H4, "")</f>
        <v/>
      </c>
      <c r="J4" s="13" t="str">
        <f>IFERROR(I4/H4, "")</f>
        <v/>
      </c>
      <c r="K4" s="53"/>
      <c r="L4" s="98"/>
      <c r="M4" s="103"/>
      <c r="N4" s="103"/>
      <c r="O4" s="103"/>
      <c r="P4" s="103"/>
      <c r="Q4" s="103"/>
      <c r="R4" s="103"/>
      <c r="S4" s="103"/>
      <c r="T4" s="103"/>
      <c r="U4" s="103"/>
      <c r="V4" s="103"/>
      <c r="W4" s="103"/>
    </row>
    <row r="5" spans="1:23" ht="15.6">
      <c r="A5" s="26" t="str">
        <v>K041</v>
      </c>
      <c r="B5" s="27" t="str">
        <v>NY</v>
      </c>
      <c r="C5" s="140" t="str">
        <f>Sites[[#This Row],[SOL'#]]</f>
        <v>SOL-10357</v>
      </c>
      <c r="D5" s="143"/>
      <c r="E5" s="14"/>
      <c r="F5" s="14" t="str">
        <f t="shared" ref="F5:F68" si="0">IF(AND(ISNUMBER(D5),ISNUMBER(E5)), D5-E5, "")</f>
        <v/>
      </c>
      <c r="G5" s="15" t="str">
        <f>IFERROR(F5/E5, "")</f>
        <v/>
      </c>
      <c r="H5" s="125"/>
      <c r="I5" s="133" t="str">
        <f t="shared" ref="I5:I17" si="1">IF(AND(ISNUMBER(D5),ISNUMBER(H5)), D5-H5, "")</f>
        <v/>
      </c>
      <c r="J5" s="15" t="str">
        <f t="shared" ref="J5:J17" si="2">IFERROR(I5/H5, "")</f>
        <v/>
      </c>
      <c r="K5" s="51"/>
      <c r="L5" s="51"/>
      <c r="M5" s="103"/>
      <c r="N5" s="103"/>
      <c r="O5" s="103"/>
      <c r="P5" s="103"/>
      <c r="Q5" s="103"/>
      <c r="R5" s="103"/>
      <c r="S5" s="103"/>
      <c r="T5" s="103"/>
      <c r="U5" s="103"/>
      <c r="V5" s="103"/>
      <c r="W5" s="103"/>
    </row>
    <row r="6" spans="1:23" ht="15.6">
      <c r="A6" s="24" t="str">
        <v>K043</v>
      </c>
      <c r="B6" s="25" t="str">
        <v>NY</v>
      </c>
      <c r="C6" s="25" t="str">
        <f>Sites[[#This Row],[SOL'#]]</f>
        <v>SOL-10358</v>
      </c>
      <c r="D6" s="142"/>
      <c r="E6" s="141"/>
      <c r="F6" s="10" t="str">
        <f t="shared" si="0"/>
        <v/>
      </c>
      <c r="G6" s="11" t="str">
        <f t="shared" ref="G6:G69" si="3">IFERROR(F6/E6, "")</f>
        <v/>
      </c>
      <c r="H6" s="146"/>
      <c r="I6" s="132" t="str">
        <f t="shared" si="1"/>
        <v/>
      </c>
      <c r="J6" s="13" t="str">
        <f t="shared" si="2"/>
        <v/>
      </c>
      <c r="K6" s="53"/>
      <c r="L6" s="98"/>
      <c r="M6" s="103"/>
      <c r="N6" s="103"/>
      <c r="O6" s="103"/>
      <c r="P6" s="103"/>
      <c r="Q6" s="103"/>
      <c r="R6" s="103"/>
      <c r="S6" s="103"/>
      <c r="T6" s="103"/>
      <c r="U6" s="103"/>
      <c r="V6" s="103"/>
      <c r="W6" s="103"/>
    </row>
    <row r="7" spans="1:23" ht="15.6">
      <c r="A7" s="26" t="str">
        <v>K058</v>
      </c>
      <c r="B7" s="27" t="str">
        <v>NY</v>
      </c>
      <c r="C7" s="140" t="str">
        <f>Sites[[#This Row],[SOL'#]]</f>
        <v>SOL-10360</v>
      </c>
      <c r="D7" s="143"/>
      <c r="E7" s="14"/>
      <c r="F7" s="14" t="str">
        <f t="shared" si="0"/>
        <v/>
      </c>
      <c r="G7" s="15" t="str">
        <f t="shared" si="3"/>
        <v/>
      </c>
      <c r="H7" s="125"/>
      <c r="I7" s="133" t="str">
        <f t="shared" si="1"/>
        <v/>
      </c>
      <c r="J7" s="15" t="str">
        <f t="shared" si="2"/>
        <v/>
      </c>
      <c r="K7" s="51"/>
      <c r="L7" s="99"/>
      <c r="M7" s="102"/>
      <c r="N7" s="103"/>
      <c r="O7" s="103"/>
      <c r="P7" s="103"/>
      <c r="Q7" s="103"/>
      <c r="R7" s="103"/>
      <c r="S7" s="103"/>
      <c r="T7" s="103"/>
      <c r="U7" s="103"/>
      <c r="V7" s="103"/>
      <c r="W7" s="103"/>
    </row>
    <row r="8" spans="1:23" ht="15.6">
      <c r="A8" s="24" t="str">
        <v>K115</v>
      </c>
      <c r="B8" s="25" t="str">
        <v>NY</v>
      </c>
      <c r="C8" s="25" t="str">
        <f>Sites[[#This Row],[SOL'#]]</f>
        <v>SOL-10361</v>
      </c>
      <c r="D8" s="142"/>
      <c r="E8" s="141"/>
      <c r="F8" s="10" t="str">
        <f t="shared" si="0"/>
        <v/>
      </c>
      <c r="G8" s="11" t="str">
        <f t="shared" si="3"/>
        <v/>
      </c>
      <c r="H8" s="146"/>
      <c r="I8" s="132" t="str">
        <f t="shared" si="1"/>
        <v/>
      </c>
      <c r="J8" s="13" t="str">
        <f t="shared" si="2"/>
        <v/>
      </c>
      <c r="K8" s="53"/>
      <c r="L8" s="98"/>
      <c r="M8" s="103"/>
      <c r="N8" s="103"/>
      <c r="O8" s="103"/>
      <c r="P8" s="103"/>
      <c r="Q8" s="103"/>
      <c r="R8" s="103"/>
      <c r="S8" s="103"/>
      <c r="T8" s="103"/>
      <c r="U8" s="103"/>
      <c r="V8" s="103"/>
      <c r="W8" s="103"/>
    </row>
    <row r="9" spans="1:23" ht="15.6">
      <c r="A9" s="26" t="str">
        <v>K152</v>
      </c>
      <c r="B9" s="27" t="str">
        <v>NY</v>
      </c>
      <c r="C9" s="140" t="str">
        <f>Sites[[#This Row],[SOL'#]]</f>
        <v>SOL-10362</v>
      </c>
      <c r="D9" s="143"/>
      <c r="E9" s="14"/>
      <c r="F9" s="14" t="str">
        <f t="shared" si="0"/>
        <v/>
      </c>
      <c r="G9" s="15" t="str">
        <f t="shared" si="3"/>
        <v/>
      </c>
      <c r="H9" s="125"/>
      <c r="I9" s="133" t="str">
        <f t="shared" si="1"/>
        <v/>
      </c>
      <c r="J9" s="15" t="str">
        <f t="shared" si="2"/>
        <v/>
      </c>
      <c r="K9" s="51"/>
      <c r="L9" s="51"/>
      <c r="M9" s="103"/>
      <c r="N9" s="103"/>
      <c r="O9" s="103"/>
      <c r="P9" s="103"/>
      <c r="Q9" s="103"/>
      <c r="R9" s="103"/>
      <c r="S9" s="103"/>
      <c r="T9" s="103"/>
      <c r="U9" s="103"/>
      <c r="V9" s="103"/>
      <c r="W9" s="103"/>
    </row>
    <row r="10" spans="1:23" ht="15.6">
      <c r="A10" s="24" t="str">
        <v>K166</v>
      </c>
      <c r="B10" s="25" t="str">
        <v>NY</v>
      </c>
      <c r="C10" s="25" t="str">
        <f>Sites[[#This Row],[SOL'#]]</f>
        <v>SOL-10363</v>
      </c>
      <c r="D10" s="142"/>
      <c r="E10" s="141"/>
      <c r="F10" s="10" t="str">
        <f t="shared" si="0"/>
        <v/>
      </c>
      <c r="G10" s="11" t="str">
        <f t="shared" si="3"/>
        <v/>
      </c>
      <c r="H10" s="146"/>
      <c r="I10" s="132" t="str">
        <f t="shared" si="1"/>
        <v/>
      </c>
      <c r="J10" s="13" t="str">
        <f t="shared" si="2"/>
        <v/>
      </c>
      <c r="K10" s="53"/>
      <c r="L10" s="53"/>
      <c r="M10" s="103"/>
      <c r="N10" s="103"/>
      <c r="O10" s="103"/>
      <c r="P10" s="103"/>
      <c r="Q10" s="103"/>
      <c r="R10" s="103"/>
      <c r="S10" s="103"/>
      <c r="T10" s="103"/>
      <c r="U10" s="103"/>
      <c r="V10" s="103"/>
      <c r="W10" s="103"/>
    </row>
    <row r="11" spans="1:23" ht="15.6">
      <c r="A11" s="26" t="str">
        <v>K206</v>
      </c>
      <c r="B11" s="27" t="str">
        <v>NY</v>
      </c>
      <c r="C11" s="140" t="str">
        <f>Sites[[#This Row],[SOL'#]]</f>
        <v>SOL-10927</v>
      </c>
      <c r="D11" s="143"/>
      <c r="E11" s="14"/>
      <c r="F11" s="14" t="str">
        <f t="shared" si="0"/>
        <v/>
      </c>
      <c r="G11" s="15" t="str">
        <f t="shared" si="3"/>
        <v/>
      </c>
      <c r="H11" s="125"/>
      <c r="I11" s="133" t="str">
        <f t="shared" si="1"/>
        <v/>
      </c>
      <c r="J11" s="15" t="str">
        <f t="shared" si="2"/>
        <v/>
      </c>
      <c r="K11" s="51"/>
      <c r="L11" s="51"/>
      <c r="M11" s="103"/>
      <c r="N11" s="103"/>
      <c r="O11" s="103"/>
      <c r="P11" s="103"/>
      <c r="Q11" s="103"/>
      <c r="R11" s="103"/>
      <c r="S11" s="103"/>
      <c r="T11" s="103"/>
      <c r="U11" s="103"/>
      <c r="V11" s="103"/>
      <c r="W11" s="103"/>
    </row>
    <row r="12" spans="1:23" ht="15.6">
      <c r="A12" s="24" t="str">
        <v>K251</v>
      </c>
      <c r="B12" s="25" t="str">
        <v>NY</v>
      </c>
      <c r="C12" s="25" t="str">
        <f>Sites[[#This Row],[SOL'#]]</f>
        <v>SOL-10365</v>
      </c>
      <c r="D12" s="142"/>
      <c r="E12" s="141"/>
      <c r="F12" s="10" t="str">
        <f t="shared" si="0"/>
        <v/>
      </c>
      <c r="G12" s="11" t="str">
        <f t="shared" si="3"/>
        <v/>
      </c>
      <c r="H12" s="146"/>
      <c r="I12" s="132" t="str">
        <f t="shared" si="1"/>
        <v/>
      </c>
      <c r="J12" s="13" t="str">
        <f t="shared" si="2"/>
        <v/>
      </c>
      <c r="K12" s="53"/>
      <c r="L12" s="98"/>
      <c r="M12" s="102"/>
      <c r="N12" s="103"/>
      <c r="O12" s="103"/>
      <c r="P12" s="103"/>
      <c r="Q12" s="103"/>
      <c r="R12" s="103"/>
      <c r="S12" s="103"/>
      <c r="T12" s="103"/>
      <c r="U12" s="103"/>
      <c r="V12" s="103"/>
      <c r="W12" s="103"/>
    </row>
    <row r="13" spans="1:23" ht="15.6">
      <c r="A13" s="26" t="str">
        <v>K269</v>
      </c>
      <c r="B13" s="27" t="str">
        <v>NY</v>
      </c>
      <c r="C13" s="140" t="str">
        <f>Sites[[#This Row],[SOL'#]]</f>
        <v>SOL-10366</v>
      </c>
      <c r="D13" s="143"/>
      <c r="E13" s="14"/>
      <c r="F13" s="14" t="str">
        <f t="shared" si="0"/>
        <v/>
      </c>
      <c r="G13" s="15" t="str">
        <f t="shared" si="3"/>
        <v/>
      </c>
      <c r="H13" s="125"/>
      <c r="I13" s="133" t="str">
        <f t="shared" si="1"/>
        <v/>
      </c>
      <c r="J13" s="15" t="str">
        <f t="shared" si="2"/>
        <v/>
      </c>
      <c r="K13" s="51"/>
      <c r="M13" s="103"/>
      <c r="N13" s="103"/>
      <c r="O13" s="103"/>
      <c r="P13" s="103"/>
      <c r="Q13" s="103"/>
      <c r="R13" s="103"/>
      <c r="S13" s="103"/>
      <c r="T13" s="103"/>
      <c r="U13" s="103"/>
      <c r="V13" s="103"/>
      <c r="W13" s="103"/>
    </row>
    <row r="14" spans="1:23" ht="15.6">
      <c r="A14" s="24" t="str">
        <v>K273</v>
      </c>
      <c r="B14" s="25" t="str">
        <v>NY</v>
      </c>
      <c r="C14" s="25" t="str">
        <f>Sites[[#This Row],[SOL'#]]</f>
        <v>SOL-10367</v>
      </c>
      <c r="D14" s="142"/>
      <c r="E14" s="141"/>
      <c r="F14" s="10" t="str">
        <f t="shared" si="0"/>
        <v/>
      </c>
      <c r="G14" s="11" t="str">
        <f t="shared" si="3"/>
        <v/>
      </c>
      <c r="H14" s="146"/>
      <c r="I14" s="132" t="str">
        <f t="shared" si="1"/>
        <v/>
      </c>
      <c r="J14" s="13" t="str">
        <f t="shared" si="2"/>
        <v/>
      </c>
      <c r="K14" s="53"/>
      <c r="L14" s="98"/>
      <c r="M14" s="102"/>
      <c r="N14" s="102"/>
      <c r="O14" s="102"/>
      <c r="P14" s="103"/>
      <c r="Q14" s="103"/>
      <c r="R14" s="103"/>
      <c r="S14" s="103"/>
      <c r="T14" s="103"/>
      <c r="U14" s="103"/>
      <c r="V14" s="103"/>
      <c r="W14" s="103"/>
    </row>
    <row r="15" spans="1:23" ht="15.6">
      <c r="A15" s="26" t="str">
        <v>K287</v>
      </c>
      <c r="B15" s="27" t="str">
        <v>NY</v>
      </c>
      <c r="C15" s="140" t="str">
        <f>Sites[[#This Row],[SOL'#]]</f>
        <v>SOL-10919</v>
      </c>
      <c r="D15" s="143"/>
      <c r="E15" s="14"/>
      <c r="F15" s="14" t="str">
        <f t="shared" si="0"/>
        <v/>
      </c>
      <c r="G15" s="15" t="str">
        <f t="shared" si="3"/>
        <v/>
      </c>
      <c r="H15" s="125"/>
      <c r="I15" s="133" t="str">
        <f t="shared" si="1"/>
        <v/>
      </c>
      <c r="J15" s="15" t="str">
        <f t="shared" si="2"/>
        <v/>
      </c>
      <c r="K15" s="51"/>
      <c r="L15" s="51"/>
      <c r="M15" s="103"/>
      <c r="N15" s="103"/>
      <c r="O15" s="103"/>
      <c r="P15" s="103"/>
      <c r="Q15" s="103"/>
      <c r="R15" s="103"/>
      <c r="S15" s="103"/>
      <c r="T15" s="103"/>
      <c r="U15" s="103"/>
      <c r="V15" s="103"/>
      <c r="W15" s="103"/>
    </row>
    <row r="16" spans="1:23" ht="15.6">
      <c r="A16" s="24" t="str">
        <v>K298</v>
      </c>
      <c r="B16" s="25" t="str">
        <v>NY</v>
      </c>
      <c r="C16" s="25" t="str">
        <f>Sites[[#This Row],[SOL'#]]</f>
        <v>SOL-10368</v>
      </c>
      <c r="D16" s="142"/>
      <c r="E16" s="141"/>
      <c r="F16" s="10" t="str">
        <f t="shared" si="0"/>
        <v/>
      </c>
      <c r="G16" s="11" t="str">
        <f t="shared" si="3"/>
        <v/>
      </c>
      <c r="H16" s="146"/>
      <c r="I16" s="132" t="str">
        <f t="shared" si="1"/>
        <v/>
      </c>
      <c r="J16" s="13" t="str">
        <f t="shared" si="2"/>
        <v/>
      </c>
      <c r="K16" s="53"/>
      <c r="L16" s="53"/>
      <c r="M16" s="103"/>
      <c r="N16" s="103"/>
      <c r="O16" s="103"/>
      <c r="P16" s="103"/>
      <c r="Q16" s="103"/>
      <c r="R16" s="103"/>
      <c r="S16" s="103"/>
      <c r="T16" s="103"/>
      <c r="U16" s="103"/>
      <c r="V16" s="103"/>
      <c r="W16" s="103"/>
    </row>
    <row r="17" spans="1:23" ht="15.6">
      <c r="A17" s="26" t="str">
        <v>K335</v>
      </c>
      <c r="B17" s="27" t="str">
        <v>NY</v>
      </c>
      <c r="C17" s="140" t="str">
        <f>Sites[[#This Row],[SOL'#]]</f>
        <v>SOL-10370</v>
      </c>
      <c r="D17" s="143"/>
      <c r="E17" s="14"/>
      <c r="F17" s="14" t="str">
        <f t="shared" si="0"/>
        <v/>
      </c>
      <c r="G17" s="15" t="str">
        <f t="shared" si="3"/>
        <v/>
      </c>
      <c r="H17" s="125"/>
      <c r="I17" s="133" t="str">
        <f t="shared" si="1"/>
        <v/>
      </c>
      <c r="J17" s="15" t="str">
        <f t="shared" si="2"/>
        <v/>
      </c>
      <c r="K17" s="51"/>
      <c r="L17" s="51"/>
      <c r="M17" s="103"/>
      <c r="N17" s="103"/>
      <c r="O17" s="103"/>
      <c r="P17" s="103"/>
      <c r="Q17" s="103"/>
      <c r="R17" s="103"/>
      <c r="S17" s="103"/>
      <c r="T17" s="103"/>
      <c r="U17" s="103"/>
      <c r="V17" s="103"/>
      <c r="W17" s="103"/>
    </row>
    <row r="18" spans="1:23" ht="70.349999999999994" customHeight="1">
      <c r="A18" s="24" t="str">
        <v>K345</v>
      </c>
      <c r="B18" s="25" t="str">
        <v>NY</v>
      </c>
      <c r="C18" s="25" t="str">
        <f>Sites[[#This Row],[SOL'#]]</f>
        <v>SOL-10920</v>
      </c>
      <c r="D18" s="142"/>
      <c r="E18" s="141"/>
      <c r="F18" s="10" t="str">
        <f t="shared" si="0"/>
        <v/>
      </c>
      <c r="G18" s="11" t="str">
        <f t="shared" si="3"/>
        <v/>
      </c>
      <c r="H18" s="146"/>
      <c r="I18" s="132" t="str">
        <f t="shared" ref="I18:I81" si="4">IF(AND(ISNUMBER(D18),ISNUMBER(H18)), D18-H18, "")</f>
        <v/>
      </c>
      <c r="J18" s="13" t="str">
        <f t="shared" ref="J18:J81" si="5">IFERROR(I18/H18, "")</f>
        <v/>
      </c>
      <c r="K18" s="53"/>
      <c r="L18" s="98"/>
      <c r="M18" s="103"/>
      <c r="N18" s="103"/>
      <c r="O18" s="103"/>
      <c r="P18" s="103"/>
      <c r="Q18" s="103"/>
      <c r="R18" s="103"/>
      <c r="S18" s="103"/>
      <c r="T18" s="103"/>
      <c r="U18" s="103"/>
      <c r="V18" s="103"/>
      <c r="W18" s="103"/>
    </row>
    <row r="19" spans="1:23" ht="15.6">
      <c r="A19" s="26" t="str">
        <v>K445</v>
      </c>
      <c r="B19" s="27" t="str">
        <v>NY</v>
      </c>
      <c r="C19" s="140" t="str">
        <f>Sites[[#This Row],[SOL'#]]</f>
        <v>SOL-10373</v>
      </c>
      <c r="D19" s="143"/>
      <c r="E19" s="14"/>
      <c r="F19" s="14" t="str">
        <f t="shared" si="0"/>
        <v/>
      </c>
      <c r="G19" s="15" t="str">
        <f t="shared" si="3"/>
        <v/>
      </c>
      <c r="H19" s="125"/>
      <c r="I19" s="133" t="str">
        <f t="shared" si="4"/>
        <v/>
      </c>
      <c r="J19" s="15" t="str">
        <f t="shared" si="5"/>
        <v/>
      </c>
      <c r="K19" s="51"/>
      <c r="L19" s="51"/>
      <c r="M19" s="103"/>
      <c r="N19" s="103"/>
      <c r="O19" s="103"/>
      <c r="P19" s="103"/>
      <c r="Q19" s="103"/>
      <c r="R19" s="103"/>
      <c r="S19" s="103"/>
      <c r="T19" s="103"/>
      <c r="U19" s="103"/>
      <c r="V19" s="103"/>
      <c r="W19" s="103"/>
    </row>
    <row r="20" spans="1:23" ht="15.6">
      <c r="A20" s="24" t="str">
        <v>K495</v>
      </c>
      <c r="B20" s="25" t="str">
        <v>NY</v>
      </c>
      <c r="C20" s="25" t="str">
        <f>Sites[[#This Row],[SOL'#]]</f>
        <v>SOL-10374</v>
      </c>
      <c r="D20" s="142"/>
      <c r="E20" s="141"/>
      <c r="F20" s="10" t="str">
        <f t="shared" si="0"/>
        <v/>
      </c>
      <c r="G20" s="11" t="str">
        <f t="shared" si="3"/>
        <v/>
      </c>
      <c r="H20" s="146"/>
      <c r="I20" s="132" t="str">
        <f t="shared" si="4"/>
        <v/>
      </c>
      <c r="J20" s="13" t="str">
        <f t="shared" si="5"/>
        <v/>
      </c>
      <c r="K20" s="53"/>
      <c r="L20" s="98"/>
      <c r="M20" s="102"/>
      <c r="N20" s="103"/>
      <c r="O20" s="103"/>
      <c r="P20" s="103"/>
      <c r="Q20" s="103"/>
      <c r="R20" s="103"/>
      <c r="S20" s="103"/>
      <c r="T20" s="103"/>
      <c r="U20" s="103"/>
      <c r="V20" s="103"/>
      <c r="W20" s="103"/>
    </row>
    <row r="21" spans="1:23" ht="15.6">
      <c r="A21" s="26" t="str">
        <v>M020</v>
      </c>
      <c r="B21" s="27" t="str">
        <v>NY</v>
      </c>
      <c r="C21" s="140" t="str">
        <f>Sites[[#This Row],[SOL'#]]</f>
        <v>SOL-10380</v>
      </c>
      <c r="D21" s="143"/>
      <c r="E21" s="14"/>
      <c r="F21" s="14" t="str">
        <f t="shared" si="0"/>
        <v/>
      </c>
      <c r="G21" s="15" t="str">
        <f t="shared" si="3"/>
        <v/>
      </c>
      <c r="H21" s="125"/>
      <c r="I21" s="133" t="str">
        <f t="shared" si="4"/>
        <v/>
      </c>
      <c r="J21" s="15" t="str">
        <f t="shared" si="5"/>
        <v/>
      </c>
      <c r="K21" s="51"/>
      <c r="L21" s="51"/>
      <c r="M21" s="103"/>
      <c r="N21" s="103"/>
      <c r="O21" s="103"/>
      <c r="P21" s="103"/>
      <c r="Q21" s="103"/>
      <c r="R21" s="103"/>
      <c r="S21" s="103"/>
      <c r="T21" s="103"/>
      <c r="U21" s="103"/>
      <c r="V21" s="103"/>
      <c r="W21" s="103"/>
    </row>
    <row r="22" spans="1:23" ht="15.6">
      <c r="A22" s="24" t="str">
        <v>M092</v>
      </c>
      <c r="B22" s="25" t="str">
        <v>NY</v>
      </c>
      <c r="C22" s="25" t="str">
        <f>Sites[[#This Row],[SOL'#]]</f>
        <v>SOL-10383</v>
      </c>
      <c r="D22" s="142"/>
      <c r="E22" s="141"/>
      <c r="F22" s="10" t="str">
        <f t="shared" si="0"/>
        <v/>
      </c>
      <c r="G22" s="11" t="str">
        <f t="shared" si="3"/>
        <v/>
      </c>
      <c r="H22" s="146"/>
      <c r="I22" s="132" t="str">
        <f t="shared" si="4"/>
        <v/>
      </c>
      <c r="J22" s="13" t="str">
        <f t="shared" si="5"/>
        <v/>
      </c>
      <c r="K22" s="53"/>
      <c r="L22" s="53"/>
      <c r="M22" s="103"/>
      <c r="N22" s="103"/>
      <c r="O22" s="103"/>
      <c r="P22" s="103"/>
      <c r="Q22" s="103"/>
      <c r="R22" s="103"/>
      <c r="S22" s="103"/>
      <c r="T22" s="103"/>
      <c r="U22" s="103"/>
      <c r="V22" s="103"/>
      <c r="W22" s="103"/>
    </row>
    <row r="23" spans="1:23" ht="15.6">
      <c r="A23" s="26" t="str">
        <v>M143</v>
      </c>
      <c r="B23" s="27" t="str">
        <v>NY</v>
      </c>
      <c r="C23" s="140" t="str">
        <f>Sites[[#This Row],[SOL'#]]</f>
        <v>SOL-10384</v>
      </c>
      <c r="D23" s="143"/>
      <c r="E23" s="14"/>
      <c r="F23" s="14" t="str">
        <f t="shared" si="0"/>
        <v/>
      </c>
      <c r="G23" s="15" t="str">
        <f t="shared" si="3"/>
        <v/>
      </c>
      <c r="H23" s="125"/>
      <c r="I23" s="133" t="str">
        <f t="shared" si="4"/>
        <v/>
      </c>
      <c r="J23" s="15" t="str">
        <f t="shared" si="5"/>
        <v/>
      </c>
      <c r="K23" s="51"/>
      <c r="L23" s="99"/>
      <c r="M23" s="103"/>
      <c r="N23" s="103"/>
      <c r="O23" s="103"/>
      <c r="P23" s="103"/>
      <c r="Q23" s="103"/>
      <c r="R23" s="103"/>
      <c r="S23" s="103"/>
      <c r="T23" s="103"/>
      <c r="U23" s="103"/>
      <c r="V23" s="103"/>
      <c r="W23" s="103"/>
    </row>
    <row r="24" spans="1:23" ht="15.6">
      <c r="A24" s="24" t="str">
        <v>M144</v>
      </c>
      <c r="B24" s="25" t="str">
        <v>NY</v>
      </c>
      <c r="C24" s="25" t="str">
        <f>Sites[[#This Row],[SOL'#]]</f>
        <v>SOL-10385</v>
      </c>
      <c r="D24" s="142"/>
      <c r="E24" s="141"/>
      <c r="F24" s="10" t="str">
        <f t="shared" si="0"/>
        <v/>
      </c>
      <c r="G24" s="11" t="str">
        <f t="shared" si="3"/>
        <v/>
      </c>
      <c r="H24" s="146"/>
      <c r="I24" s="132" t="str">
        <f t="shared" si="4"/>
        <v/>
      </c>
      <c r="J24" s="13" t="str">
        <f t="shared" si="5"/>
        <v/>
      </c>
      <c r="K24" s="53"/>
      <c r="L24" s="53"/>
      <c r="M24" s="103"/>
      <c r="N24" s="103"/>
      <c r="O24" s="103"/>
      <c r="P24" s="103"/>
      <c r="Q24" s="103"/>
      <c r="R24" s="103"/>
      <c r="S24" s="103"/>
      <c r="T24" s="103"/>
      <c r="U24" s="103"/>
      <c r="V24" s="103"/>
      <c r="W24" s="103"/>
    </row>
    <row r="25" spans="1:23" ht="15.6">
      <c r="A25" s="26" t="str">
        <v>M167</v>
      </c>
      <c r="B25" s="27" t="str">
        <v>NY</v>
      </c>
      <c r="C25" s="140" t="str">
        <f>Sites[[#This Row],[SOL'#]]</f>
        <v>SOL-10386</v>
      </c>
      <c r="D25" s="143"/>
      <c r="E25" s="14"/>
      <c r="F25" s="14" t="str">
        <f t="shared" si="0"/>
        <v/>
      </c>
      <c r="G25" s="15" t="str">
        <f t="shared" si="3"/>
        <v/>
      </c>
      <c r="H25" s="125"/>
      <c r="I25" s="133" t="str">
        <f t="shared" si="4"/>
        <v/>
      </c>
      <c r="J25" s="15" t="str">
        <f t="shared" si="5"/>
        <v/>
      </c>
      <c r="K25" s="51"/>
      <c r="L25" s="51"/>
      <c r="M25" s="103"/>
      <c r="N25" s="103"/>
      <c r="O25" s="103"/>
      <c r="P25" s="103"/>
      <c r="Q25" s="103"/>
      <c r="R25" s="103"/>
      <c r="S25" s="103"/>
      <c r="T25" s="103"/>
      <c r="U25" s="103"/>
      <c r="V25" s="103"/>
      <c r="W25" s="103"/>
    </row>
    <row r="26" spans="1:23" ht="15.6">
      <c r="A26" s="24" t="str">
        <v>M188</v>
      </c>
      <c r="B26" s="25" t="str">
        <v>NY</v>
      </c>
      <c r="C26" s="25" t="str">
        <f>Sites[[#This Row],[SOL'#]]</f>
        <v>SOL-10387</v>
      </c>
      <c r="D26" s="142"/>
      <c r="E26" s="141"/>
      <c r="F26" s="10" t="str">
        <f t="shared" si="0"/>
        <v/>
      </c>
      <c r="G26" s="11" t="str">
        <f t="shared" si="3"/>
        <v/>
      </c>
      <c r="H26" s="146"/>
      <c r="I26" s="132" t="str">
        <f t="shared" si="4"/>
        <v/>
      </c>
      <c r="J26" s="13" t="str">
        <f t="shared" si="5"/>
        <v/>
      </c>
      <c r="K26" s="53"/>
      <c r="L26" s="53"/>
      <c r="M26" s="103"/>
      <c r="N26" s="103"/>
      <c r="O26" s="103"/>
      <c r="P26" s="103"/>
      <c r="Q26" s="103"/>
      <c r="R26" s="103"/>
      <c r="S26" s="103"/>
      <c r="T26" s="103"/>
      <c r="U26" s="103"/>
      <c r="V26" s="103"/>
      <c r="W26" s="103"/>
    </row>
    <row r="27" spans="1:23" ht="15.6">
      <c r="A27" s="26" t="str">
        <v>EMHC</v>
      </c>
      <c r="B27" s="27" t="str">
        <v>NY</v>
      </c>
      <c r="C27" s="144" t="str">
        <f>Sites[[#This Row],[SOL'#]]</f>
        <v>SOL-10351</v>
      </c>
      <c r="D27" s="143"/>
      <c r="E27" s="14"/>
      <c r="F27" s="14" t="str">
        <f t="shared" si="0"/>
        <v/>
      </c>
      <c r="G27" s="15" t="str">
        <f t="shared" si="3"/>
        <v/>
      </c>
      <c r="H27" s="125"/>
      <c r="I27" s="133" t="str">
        <f t="shared" si="4"/>
        <v/>
      </c>
      <c r="J27" s="15" t="str">
        <f t="shared" si="5"/>
        <v/>
      </c>
      <c r="K27" s="51"/>
      <c r="L27" s="99"/>
      <c r="M27" s="103"/>
      <c r="N27" s="103"/>
      <c r="O27" s="103"/>
      <c r="P27" s="103"/>
      <c r="Q27" s="103"/>
      <c r="R27" s="103"/>
      <c r="S27" s="103"/>
      <c r="T27" s="103"/>
      <c r="U27" s="103"/>
      <c r="V27" s="103"/>
      <c r="W27" s="103"/>
    </row>
    <row r="28" spans="1:23" ht="15.6">
      <c r="A28" s="24" t="str">
        <v>Q008</v>
      </c>
      <c r="B28" s="25" t="str">
        <v>NY</v>
      </c>
      <c r="C28" s="25" t="str">
        <f>Sites[[#This Row],[SOL'#]]</f>
        <v>SOL-10397</v>
      </c>
      <c r="D28" s="142"/>
      <c r="E28" s="141"/>
      <c r="F28" s="10" t="str">
        <f t="shared" si="0"/>
        <v/>
      </c>
      <c r="G28" s="11" t="str">
        <f t="shared" si="3"/>
        <v/>
      </c>
      <c r="H28" s="146"/>
      <c r="I28" s="132" t="str">
        <f t="shared" si="4"/>
        <v/>
      </c>
      <c r="J28" s="13" t="str">
        <f t="shared" si="5"/>
        <v/>
      </c>
      <c r="K28" s="53"/>
      <c r="L28" s="98"/>
      <c r="M28" s="102"/>
      <c r="N28" s="103"/>
      <c r="O28" s="103"/>
      <c r="P28" s="103"/>
      <c r="Q28" s="103"/>
      <c r="R28" s="103"/>
      <c r="S28" s="103"/>
      <c r="T28" s="103"/>
      <c r="U28" s="103"/>
      <c r="V28" s="103"/>
      <c r="W28" s="103"/>
    </row>
    <row r="29" spans="1:23" ht="15.6">
      <c r="A29" s="26" t="str">
        <v>Q018</v>
      </c>
      <c r="B29" s="27" t="str">
        <v>NY</v>
      </c>
      <c r="C29" s="140" t="str">
        <f>Sites[[#This Row],[SOL'#]]</f>
        <v>SOL-10398</v>
      </c>
      <c r="D29" s="143"/>
      <c r="E29" s="14"/>
      <c r="F29" s="14" t="str">
        <f t="shared" si="0"/>
        <v/>
      </c>
      <c r="G29" s="15" t="str">
        <f t="shared" si="3"/>
        <v/>
      </c>
      <c r="H29" s="125"/>
      <c r="I29" s="133" t="str">
        <f t="shared" si="4"/>
        <v/>
      </c>
      <c r="J29" s="15" t="str">
        <f t="shared" si="5"/>
        <v/>
      </c>
      <c r="K29" s="51"/>
      <c r="L29" s="51"/>
      <c r="M29" s="103"/>
      <c r="N29" s="103"/>
      <c r="O29" s="103"/>
      <c r="P29" s="103"/>
      <c r="Q29" s="103"/>
      <c r="R29" s="103"/>
      <c r="S29" s="103"/>
      <c r="T29" s="103"/>
      <c r="U29" s="103"/>
      <c r="V29" s="103"/>
      <c r="W29" s="103"/>
    </row>
    <row r="30" spans="1:23" ht="15.6">
      <c r="A30" s="24" t="str">
        <v>Q021</v>
      </c>
      <c r="B30" s="25" t="str">
        <v>NY</v>
      </c>
      <c r="C30" s="25" t="str">
        <f>Sites[[#This Row],[SOL'#]]</f>
        <v>SOL-10399</v>
      </c>
      <c r="D30" s="142"/>
      <c r="E30" s="141"/>
      <c r="F30" s="10" t="str">
        <f t="shared" si="0"/>
        <v/>
      </c>
      <c r="G30" s="11" t="str">
        <f t="shared" si="3"/>
        <v/>
      </c>
      <c r="H30" s="146"/>
      <c r="I30" s="132" t="str">
        <f t="shared" si="4"/>
        <v/>
      </c>
      <c r="J30" s="13" t="str">
        <f t="shared" si="5"/>
        <v/>
      </c>
      <c r="K30" s="53"/>
      <c r="L30" s="53"/>
      <c r="M30" s="103"/>
      <c r="N30" s="103"/>
      <c r="O30" s="103"/>
      <c r="P30" s="103"/>
      <c r="Q30" s="103"/>
      <c r="R30" s="103"/>
      <c r="S30" s="103"/>
      <c r="T30" s="103"/>
      <c r="U30" s="103"/>
      <c r="V30" s="103"/>
      <c r="W30" s="103"/>
    </row>
    <row r="31" spans="1:23" ht="15.6">
      <c r="A31" s="26" t="str">
        <v>Q025</v>
      </c>
      <c r="B31" s="27" t="str">
        <v>NY</v>
      </c>
      <c r="C31" s="140" t="str">
        <f>Sites[[#This Row],[SOL'#]]</f>
        <v>SOL-10400</v>
      </c>
      <c r="D31" s="143"/>
      <c r="E31" s="14"/>
      <c r="F31" s="14" t="str">
        <f t="shared" si="0"/>
        <v/>
      </c>
      <c r="G31" s="15" t="str">
        <f t="shared" si="3"/>
        <v/>
      </c>
      <c r="H31" s="125"/>
      <c r="I31" s="133" t="str">
        <f t="shared" si="4"/>
        <v/>
      </c>
      <c r="J31" s="15" t="str">
        <f t="shared" si="5"/>
        <v/>
      </c>
      <c r="K31" s="51"/>
      <c r="L31" s="51"/>
      <c r="M31" s="103"/>
      <c r="N31" s="103"/>
      <c r="O31" s="103"/>
      <c r="P31" s="103"/>
      <c r="Q31" s="103"/>
      <c r="R31" s="103"/>
      <c r="S31" s="103"/>
      <c r="T31" s="103"/>
      <c r="U31" s="103"/>
      <c r="V31" s="103"/>
      <c r="W31" s="103"/>
    </row>
    <row r="32" spans="1:23" ht="15.6">
      <c r="A32" s="24" t="str">
        <v>Q074</v>
      </c>
      <c r="B32" s="25" t="str">
        <v>NY</v>
      </c>
      <c r="C32" s="25" t="str">
        <f>Sites[[#This Row],[SOL'#]]</f>
        <v>SOL-10402</v>
      </c>
      <c r="D32" s="142"/>
      <c r="E32" s="141"/>
      <c r="F32" s="10" t="str">
        <f t="shared" si="0"/>
        <v/>
      </c>
      <c r="G32" s="11" t="str">
        <f t="shared" si="3"/>
        <v/>
      </c>
      <c r="H32" s="146"/>
      <c r="I32" s="132" t="str">
        <f t="shared" si="4"/>
        <v/>
      </c>
      <c r="J32" s="13" t="str">
        <f t="shared" si="5"/>
        <v/>
      </c>
      <c r="K32" s="53"/>
      <c r="L32" s="53"/>
      <c r="M32" s="103"/>
      <c r="N32" s="103"/>
      <c r="O32" s="103"/>
      <c r="P32" s="103"/>
      <c r="Q32" s="103"/>
      <c r="R32" s="103"/>
      <c r="S32" s="103"/>
      <c r="T32" s="103"/>
      <c r="U32" s="103"/>
      <c r="V32" s="103"/>
      <c r="W32" s="103"/>
    </row>
    <row r="33" spans="1:23" ht="15.6">
      <c r="A33" s="26" t="str">
        <v>Q115</v>
      </c>
      <c r="B33" s="27" t="str">
        <v>NY</v>
      </c>
      <c r="C33" s="140" t="str">
        <f>Sites[[#This Row],[SOL'#]]</f>
        <v>SOL-10872</v>
      </c>
      <c r="D33" s="143"/>
      <c r="E33" s="14"/>
      <c r="F33" s="14" t="str">
        <f t="shared" si="0"/>
        <v/>
      </c>
      <c r="G33" s="15" t="str">
        <f t="shared" si="3"/>
        <v/>
      </c>
      <c r="H33" s="125"/>
      <c r="I33" s="133" t="str">
        <f t="shared" si="4"/>
        <v/>
      </c>
      <c r="J33" s="15" t="str">
        <f t="shared" si="5"/>
        <v/>
      </c>
      <c r="K33" s="51"/>
      <c r="L33" s="51"/>
      <c r="M33" s="103"/>
      <c r="N33" s="103"/>
      <c r="O33" s="103"/>
      <c r="P33" s="103"/>
      <c r="Q33" s="103"/>
      <c r="R33" s="103"/>
      <c r="S33" s="103"/>
      <c r="T33" s="103"/>
      <c r="U33" s="103"/>
      <c r="V33" s="103"/>
      <c r="W33" s="103"/>
    </row>
    <row r="34" spans="1:23" ht="15.6">
      <c r="A34" s="24" t="str">
        <v>Q139</v>
      </c>
      <c r="B34" s="25" t="str">
        <v>NY</v>
      </c>
      <c r="C34" s="25" t="str">
        <f>Sites[[#This Row],[SOL'#]]</f>
        <v>SOL-10403</v>
      </c>
      <c r="D34" s="142"/>
      <c r="E34" s="141"/>
      <c r="F34" s="10" t="str">
        <f t="shared" si="0"/>
        <v/>
      </c>
      <c r="G34" s="11" t="str">
        <f t="shared" si="3"/>
        <v/>
      </c>
      <c r="H34" s="146"/>
      <c r="I34" s="132" t="str">
        <f t="shared" si="4"/>
        <v/>
      </c>
      <c r="J34" s="13" t="str">
        <f t="shared" si="5"/>
        <v/>
      </c>
      <c r="K34" s="53"/>
      <c r="L34" s="98"/>
      <c r="M34" s="103"/>
      <c r="N34" s="103"/>
      <c r="O34" s="103"/>
      <c r="P34" s="103"/>
      <c r="Q34" s="103"/>
      <c r="R34" s="103"/>
      <c r="S34" s="103"/>
      <c r="T34" s="103"/>
      <c r="U34" s="103"/>
      <c r="V34" s="103"/>
      <c r="W34" s="103"/>
    </row>
    <row r="35" spans="1:23" ht="15.6">
      <c r="A35" s="26" t="str">
        <v>Q157</v>
      </c>
      <c r="B35" s="27" t="str">
        <v>NY</v>
      </c>
      <c r="C35" s="140" t="str">
        <f>Sites[[#This Row],[SOL'#]]</f>
        <v>SOL-10404</v>
      </c>
      <c r="D35" s="143"/>
      <c r="E35" s="14"/>
      <c r="F35" s="14" t="str">
        <f t="shared" si="0"/>
        <v/>
      </c>
      <c r="G35" s="15" t="str">
        <f t="shared" si="3"/>
        <v/>
      </c>
      <c r="H35" s="125"/>
      <c r="I35" s="133" t="str">
        <f t="shared" si="4"/>
        <v/>
      </c>
      <c r="J35" s="15" t="str">
        <f t="shared" si="5"/>
        <v/>
      </c>
      <c r="K35" s="51"/>
      <c r="L35" s="99"/>
      <c r="M35" s="103"/>
      <c r="N35" s="103"/>
      <c r="O35" s="103"/>
      <c r="P35" s="103"/>
      <c r="Q35" s="103"/>
      <c r="R35" s="103"/>
      <c r="S35" s="103"/>
      <c r="T35" s="103"/>
      <c r="U35" s="103"/>
      <c r="V35" s="103"/>
      <c r="W35" s="103"/>
    </row>
    <row r="36" spans="1:23" ht="15.6">
      <c r="A36" s="24" t="str">
        <v>Q192</v>
      </c>
      <c r="B36" s="25" t="str">
        <v>NY</v>
      </c>
      <c r="C36" s="25" t="str">
        <f>Sites[[#This Row],[SOL'#]]</f>
        <v>SOL-10406</v>
      </c>
      <c r="D36" s="142"/>
      <c r="E36" s="141"/>
      <c r="F36" s="10" t="str">
        <f t="shared" si="0"/>
        <v/>
      </c>
      <c r="G36" s="11" t="str">
        <f t="shared" si="3"/>
        <v/>
      </c>
      <c r="H36" s="146"/>
      <c r="I36" s="132" t="str">
        <f t="shared" si="4"/>
        <v/>
      </c>
      <c r="J36" s="13" t="str">
        <f t="shared" si="5"/>
        <v/>
      </c>
      <c r="K36" s="53"/>
      <c r="L36" s="53"/>
      <c r="M36" s="103"/>
      <c r="N36" s="103"/>
      <c r="O36" s="103"/>
      <c r="P36" s="103"/>
      <c r="Q36" s="103"/>
      <c r="R36" s="103"/>
      <c r="S36" s="103"/>
      <c r="T36" s="103"/>
      <c r="U36" s="103"/>
      <c r="V36" s="103"/>
      <c r="W36" s="103"/>
    </row>
    <row r="37" spans="1:23" ht="25.15" customHeight="1">
      <c r="A37" s="26" t="str">
        <v>Q210</v>
      </c>
      <c r="B37" s="27" t="str">
        <v>NY</v>
      </c>
      <c r="C37" s="140" t="str">
        <f>Sites[[#This Row],[SOL'#]]</f>
        <v>SOL-10407</v>
      </c>
      <c r="D37" s="143"/>
      <c r="E37" s="14"/>
      <c r="F37" s="14" t="str">
        <f t="shared" si="0"/>
        <v/>
      </c>
      <c r="G37" s="15" t="str">
        <f t="shared" si="3"/>
        <v/>
      </c>
      <c r="H37" s="125"/>
      <c r="I37" s="133" t="str">
        <f t="shared" si="4"/>
        <v/>
      </c>
      <c r="J37" s="15" t="str">
        <f t="shared" si="5"/>
        <v/>
      </c>
      <c r="K37" s="51"/>
      <c r="L37" s="51"/>
      <c r="M37" s="103"/>
      <c r="N37" s="103"/>
      <c r="O37" s="103"/>
      <c r="P37" s="103"/>
      <c r="Q37" s="103"/>
      <c r="R37" s="103"/>
      <c r="S37" s="103"/>
      <c r="T37" s="103"/>
      <c r="U37" s="103"/>
      <c r="V37" s="103"/>
      <c r="W37" s="103"/>
    </row>
    <row r="38" spans="1:23" ht="15.6">
      <c r="A38" s="24" t="str">
        <v>Q229</v>
      </c>
      <c r="B38" s="25" t="str">
        <v>NY</v>
      </c>
      <c r="C38" s="25" t="str">
        <f>Sites[[#This Row],[SOL'#]]</f>
        <v>SOL-10408</v>
      </c>
      <c r="D38" s="142"/>
      <c r="E38" s="141"/>
      <c r="F38" s="10" t="str">
        <f t="shared" si="0"/>
        <v/>
      </c>
      <c r="G38" s="11" t="str">
        <f t="shared" si="3"/>
        <v/>
      </c>
      <c r="H38" s="146"/>
      <c r="I38" s="132" t="str">
        <f t="shared" si="4"/>
        <v/>
      </c>
      <c r="J38" s="13" t="str">
        <f t="shared" si="5"/>
        <v/>
      </c>
      <c r="K38" s="53"/>
      <c r="L38" s="98"/>
      <c r="M38" s="103"/>
      <c r="N38" s="103"/>
      <c r="O38" s="103"/>
      <c r="P38" s="103"/>
      <c r="Q38" s="103"/>
      <c r="R38" s="103"/>
      <c r="S38" s="103"/>
      <c r="T38" s="103"/>
      <c r="U38" s="103"/>
      <c r="V38" s="103"/>
      <c r="W38" s="103"/>
    </row>
    <row r="39" spans="1:23" ht="15.6">
      <c r="A39" s="26" t="str">
        <v>Q231</v>
      </c>
      <c r="B39" s="27" t="str">
        <v>NY</v>
      </c>
      <c r="C39" s="144" t="str">
        <f>Sites[[#This Row],[SOL'#]]</f>
        <v>SOL-10870</v>
      </c>
      <c r="D39" s="143"/>
      <c r="E39" s="14"/>
      <c r="F39" s="14" t="str">
        <f t="shared" si="0"/>
        <v/>
      </c>
      <c r="G39" s="15" t="str">
        <f t="shared" si="3"/>
        <v/>
      </c>
      <c r="H39" s="125"/>
      <c r="I39" s="133" t="str">
        <f t="shared" si="4"/>
        <v/>
      </c>
      <c r="J39" s="15" t="str">
        <f t="shared" si="5"/>
        <v/>
      </c>
      <c r="K39" s="51"/>
      <c r="L39" s="99"/>
      <c r="M39" s="103"/>
      <c r="N39" s="103"/>
      <c r="O39" s="103"/>
      <c r="P39" s="103"/>
      <c r="Q39" s="103"/>
      <c r="R39" s="103"/>
      <c r="S39" s="103"/>
      <c r="T39" s="103"/>
      <c r="U39" s="103"/>
      <c r="V39" s="103"/>
      <c r="W39" s="103"/>
    </row>
    <row r="40" spans="1:23" ht="15.6">
      <c r="A40" s="24" t="str">
        <v>Q405</v>
      </c>
      <c r="B40" s="25" t="str">
        <v>NY</v>
      </c>
      <c r="C40" s="25" t="str">
        <f>Sites[[#This Row],[SOL'#]]</f>
        <v>SOL-10409</v>
      </c>
      <c r="D40" s="142"/>
      <c r="E40" s="141"/>
      <c r="F40" s="10" t="str">
        <f t="shared" si="0"/>
        <v/>
      </c>
      <c r="G40" s="11" t="str">
        <f t="shared" si="3"/>
        <v/>
      </c>
      <c r="H40" s="146"/>
      <c r="I40" s="132" t="str">
        <f t="shared" si="4"/>
        <v/>
      </c>
      <c r="J40" s="13" t="str">
        <f t="shared" si="5"/>
        <v/>
      </c>
      <c r="K40" s="53"/>
      <c r="L40" s="98"/>
      <c r="M40" s="103"/>
      <c r="N40" s="103"/>
      <c r="O40" s="103"/>
      <c r="P40" s="103"/>
      <c r="Q40" s="103"/>
      <c r="R40" s="103"/>
      <c r="S40" s="103"/>
      <c r="T40" s="103"/>
      <c r="U40" s="103"/>
      <c r="V40" s="103"/>
      <c r="W40" s="103"/>
    </row>
    <row r="41" spans="1:23" ht="15.6">
      <c r="A41" s="26" t="str">
        <v>Q435</v>
      </c>
      <c r="B41" s="27" t="str">
        <v>NY</v>
      </c>
      <c r="C41" s="144" t="str">
        <f>Sites[[#This Row],[SOL'#]]</f>
        <v>SOL-10923</v>
      </c>
      <c r="D41" s="143"/>
      <c r="E41" s="14"/>
      <c r="F41" s="14" t="str">
        <f t="shared" si="0"/>
        <v/>
      </c>
      <c r="G41" s="15" t="str">
        <f t="shared" si="3"/>
        <v/>
      </c>
      <c r="H41" s="125"/>
      <c r="I41" s="133" t="str">
        <f t="shared" si="4"/>
        <v/>
      </c>
      <c r="J41" s="15" t="str">
        <f t="shared" si="5"/>
        <v/>
      </c>
      <c r="K41" s="51"/>
      <c r="L41" s="99"/>
      <c r="M41" s="103"/>
      <c r="N41" s="103"/>
      <c r="O41" s="103"/>
      <c r="P41" s="103"/>
      <c r="Q41" s="103"/>
      <c r="R41" s="103"/>
      <c r="S41" s="103"/>
      <c r="T41" s="103"/>
      <c r="U41" s="103"/>
      <c r="V41" s="103"/>
      <c r="W41" s="103"/>
    </row>
    <row r="42" spans="1:23" ht="15.6">
      <c r="A42" s="24" t="str">
        <v>Q485</v>
      </c>
      <c r="B42" s="25" t="str">
        <v>NY</v>
      </c>
      <c r="C42" s="25" t="str">
        <f>Sites[[#This Row],[SOL'#]]</f>
        <v>SOL-10869</v>
      </c>
      <c r="D42" s="142"/>
      <c r="E42" s="141"/>
      <c r="F42" s="10" t="str">
        <f t="shared" si="0"/>
        <v/>
      </c>
      <c r="G42" s="11" t="str">
        <f t="shared" si="3"/>
        <v/>
      </c>
      <c r="H42" s="146"/>
      <c r="I42" s="132" t="str">
        <f t="shared" si="4"/>
        <v/>
      </c>
      <c r="J42" s="13" t="str">
        <f t="shared" si="5"/>
        <v/>
      </c>
      <c r="K42" s="53"/>
      <c r="L42" s="98"/>
      <c r="M42" s="102"/>
      <c r="N42" s="103"/>
      <c r="O42" s="103"/>
      <c r="P42" s="103"/>
      <c r="Q42" s="103"/>
      <c r="R42" s="103"/>
      <c r="S42" s="103"/>
      <c r="T42" s="103"/>
      <c r="U42" s="103"/>
      <c r="V42" s="103"/>
      <c r="W42" s="103"/>
    </row>
    <row r="43" spans="1:23" ht="15.6">
      <c r="A43" s="26" t="str">
        <v>Q490</v>
      </c>
      <c r="B43" s="27" t="str">
        <v>NY</v>
      </c>
      <c r="C43" s="144" t="str">
        <f>Sites[[#This Row],[SOL'#]]</f>
        <v>SOL-10411</v>
      </c>
      <c r="D43" s="143"/>
      <c r="E43" s="14"/>
      <c r="F43" s="14" t="str">
        <f t="shared" si="0"/>
        <v/>
      </c>
      <c r="G43" s="15" t="str">
        <f t="shared" si="3"/>
        <v/>
      </c>
      <c r="H43" s="125"/>
      <c r="I43" s="133" t="str">
        <f t="shared" si="4"/>
        <v/>
      </c>
      <c r="J43" s="15" t="str">
        <f t="shared" si="5"/>
        <v/>
      </c>
      <c r="K43" s="51"/>
      <c r="L43" s="99"/>
      <c r="M43" s="103"/>
      <c r="N43" s="103"/>
      <c r="O43" s="103"/>
      <c r="P43" s="103"/>
      <c r="Q43" s="103"/>
      <c r="R43" s="103"/>
      <c r="S43" s="103"/>
      <c r="T43" s="103"/>
      <c r="U43" s="103"/>
      <c r="V43" s="103"/>
      <c r="W43" s="103"/>
    </row>
    <row r="44" spans="1:23" ht="15.6">
      <c r="A44" s="24" t="str">
        <v>Q620</v>
      </c>
      <c r="B44" s="25" t="str">
        <v>NY</v>
      </c>
      <c r="C44" s="25" t="str">
        <f>Sites[[#This Row],[SOL'#]]</f>
        <v>SOL-10867</v>
      </c>
      <c r="D44" s="142"/>
      <c r="E44" s="141"/>
      <c r="F44" s="10" t="str">
        <f t="shared" si="0"/>
        <v/>
      </c>
      <c r="G44" s="11" t="str">
        <f t="shared" si="3"/>
        <v/>
      </c>
      <c r="H44" s="146"/>
      <c r="I44" s="132" t="str">
        <f t="shared" si="4"/>
        <v/>
      </c>
      <c r="J44" s="13" t="str">
        <f t="shared" si="5"/>
        <v/>
      </c>
      <c r="K44" s="53"/>
      <c r="L44" s="53"/>
      <c r="M44" s="103"/>
      <c r="N44" s="103"/>
      <c r="O44" s="103"/>
      <c r="P44" s="103"/>
      <c r="Q44" s="103"/>
      <c r="R44" s="103"/>
      <c r="S44" s="103"/>
      <c r="T44" s="103"/>
      <c r="U44" s="103"/>
      <c r="V44" s="103"/>
      <c r="W44" s="103"/>
    </row>
    <row r="45" spans="1:23" ht="15.6">
      <c r="A45" s="26" t="str">
        <v>QMOA</v>
      </c>
      <c r="B45" s="27" t="str">
        <v>NY</v>
      </c>
      <c r="C45" s="140" t="str">
        <f>Sites[[#This Row],[SOL'#]]</f>
        <v>SOL-10415</v>
      </c>
      <c r="D45" s="143"/>
      <c r="E45" s="14"/>
      <c r="F45" s="14" t="str">
        <f t="shared" si="0"/>
        <v/>
      </c>
      <c r="G45" s="15" t="str">
        <f t="shared" si="3"/>
        <v/>
      </c>
      <c r="H45" s="125"/>
      <c r="I45" s="133" t="str">
        <f t="shared" si="4"/>
        <v/>
      </c>
      <c r="J45" s="15" t="str">
        <f t="shared" si="5"/>
        <v/>
      </c>
      <c r="K45" s="51"/>
      <c r="L45" s="51"/>
      <c r="M45" s="103"/>
      <c r="N45" s="103"/>
      <c r="O45" s="103"/>
      <c r="P45" s="103"/>
      <c r="Q45" s="103"/>
      <c r="R45" s="103"/>
      <c r="S45" s="103"/>
      <c r="T45" s="103"/>
      <c r="U45" s="103"/>
      <c r="V45" s="103"/>
      <c r="W45" s="103"/>
    </row>
    <row r="46" spans="1:23" ht="15.6">
      <c r="A46" s="24" t="str">
        <v>X024</v>
      </c>
      <c r="B46" s="25" t="str">
        <v>NY</v>
      </c>
      <c r="C46" s="25" t="str">
        <f>Sites[[#This Row],[SOL'#]]</f>
        <v>SOL-10419</v>
      </c>
      <c r="D46" s="142"/>
      <c r="E46" s="141"/>
      <c r="F46" s="10" t="str">
        <f t="shared" si="0"/>
        <v/>
      </c>
      <c r="G46" s="11" t="str">
        <f t="shared" si="3"/>
        <v/>
      </c>
      <c r="H46" s="146"/>
      <c r="I46" s="132" t="str">
        <f t="shared" si="4"/>
        <v/>
      </c>
      <c r="J46" s="13" t="str">
        <f t="shared" si="5"/>
        <v/>
      </c>
      <c r="K46" s="53"/>
      <c r="L46" s="53"/>
      <c r="M46" s="103"/>
      <c r="N46" s="103"/>
      <c r="O46" s="103"/>
      <c r="P46" s="103"/>
      <c r="Q46" s="103"/>
      <c r="R46" s="103"/>
      <c r="S46" s="103"/>
      <c r="T46" s="103"/>
      <c r="U46" s="103"/>
      <c r="V46" s="103"/>
      <c r="W46" s="103"/>
    </row>
    <row r="47" spans="1:23" ht="15.6">
      <c r="A47" s="26" t="str">
        <v>X026</v>
      </c>
      <c r="B47" s="27" t="str">
        <v>NY</v>
      </c>
      <c r="C47" s="140" t="str">
        <f>Sites[[#This Row],[SOL'#]]</f>
        <v>SOL-10420</v>
      </c>
      <c r="D47" s="143"/>
      <c r="E47" s="14"/>
      <c r="F47" s="14" t="str">
        <f t="shared" si="0"/>
        <v/>
      </c>
      <c r="G47" s="15" t="str">
        <f t="shared" si="3"/>
        <v/>
      </c>
      <c r="H47" s="125"/>
      <c r="I47" s="133" t="str">
        <f t="shared" si="4"/>
        <v/>
      </c>
      <c r="J47" s="15" t="str">
        <f t="shared" si="5"/>
        <v/>
      </c>
      <c r="K47" s="51"/>
      <c r="L47" s="99"/>
      <c r="M47" s="103"/>
      <c r="N47" s="103"/>
      <c r="O47" s="103"/>
      <c r="P47" s="103"/>
      <c r="Q47" s="103"/>
      <c r="R47" s="103"/>
      <c r="S47" s="103"/>
      <c r="T47" s="103"/>
      <c r="U47" s="103"/>
      <c r="V47" s="103"/>
      <c r="W47" s="103"/>
    </row>
    <row r="48" spans="1:23" ht="15.6">
      <c r="A48" s="24" t="str">
        <v>X090</v>
      </c>
      <c r="B48" s="25" t="str">
        <v>NY</v>
      </c>
      <c r="C48" s="25" t="str">
        <f>Sites[[#This Row],[SOL'#]]</f>
        <v>SOL-10925</v>
      </c>
      <c r="D48" s="142"/>
      <c r="E48" s="141"/>
      <c r="F48" s="10" t="str">
        <f t="shared" si="0"/>
        <v/>
      </c>
      <c r="G48" s="11" t="str">
        <f t="shared" si="3"/>
        <v/>
      </c>
      <c r="H48" s="146"/>
      <c r="I48" s="132" t="str">
        <f t="shared" si="4"/>
        <v/>
      </c>
      <c r="J48" s="13" t="str">
        <f t="shared" si="5"/>
        <v/>
      </c>
      <c r="K48" s="53"/>
      <c r="L48" s="53"/>
      <c r="M48" s="103"/>
      <c r="N48" s="103"/>
      <c r="O48" s="103"/>
      <c r="P48" s="103"/>
      <c r="Q48" s="103"/>
      <c r="R48" s="103"/>
      <c r="S48" s="103"/>
      <c r="T48" s="103"/>
      <c r="U48" s="103"/>
      <c r="V48" s="103"/>
      <c r="W48" s="103"/>
    </row>
    <row r="49" spans="1:23" ht="15.6">
      <c r="A49" s="26" t="str">
        <v>X117</v>
      </c>
      <c r="B49" s="27" t="str">
        <v>NY</v>
      </c>
      <c r="C49" s="140" t="str">
        <f>Sites[[#This Row],[SOL'#]]</f>
        <v>SOL-10422</v>
      </c>
      <c r="D49" s="143"/>
      <c r="E49" s="14"/>
      <c r="F49" s="14" t="str">
        <f t="shared" si="0"/>
        <v/>
      </c>
      <c r="G49" s="15" t="str">
        <f t="shared" si="3"/>
        <v/>
      </c>
      <c r="H49" s="125"/>
      <c r="I49" s="133" t="str">
        <f t="shared" si="4"/>
        <v/>
      </c>
      <c r="J49" s="15" t="str">
        <f t="shared" si="5"/>
        <v/>
      </c>
      <c r="K49" s="51"/>
      <c r="L49" s="51"/>
      <c r="M49" s="103"/>
      <c r="N49" s="103"/>
      <c r="O49" s="103"/>
      <c r="P49" s="103"/>
      <c r="Q49" s="103"/>
      <c r="R49" s="103"/>
      <c r="S49" s="103"/>
      <c r="T49" s="103"/>
      <c r="U49" s="103"/>
      <c r="V49" s="103"/>
      <c r="W49" s="103"/>
    </row>
    <row r="50" spans="1:23" ht="15.6">
      <c r="A50" s="24" t="str">
        <v>X125</v>
      </c>
      <c r="B50" s="25" t="str">
        <v>NY</v>
      </c>
      <c r="C50" s="25" t="str">
        <f>Sites[[#This Row],[SOL'#]]</f>
        <v>SOL-10423</v>
      </c>
      <c r="D50" s="142"/>
      <c r="E50" s="141"/>
      <c r="F50" s="10" t="str">
        <f t="shared" si="0"/>
        <v/>
      </c>
      <c r="G50" s="11" t="str">
        <f t="shared" si="3"/>
        <v/>
      </c>
      <c r="H50" s="146"/>
      <c r="I50" s="132" t="str">
        <f t="shared" si="4"/>
        <v/>
      </c>
      <c r="J50" s="13" t="str">
        <f t="shared" si="5"/>
        <v/>
      </c>
      <c r="K50" s="53"/>
      <c r="L50" s="53"/>
      <c r="M50" s="103"/>
      <c r="N50" s="103"/>
      <c r="O50" s="103"/>
      <c r="P50" s="103"/>
      <c r="Q50" s="103"/>
      <c r="R50" s="103"/>
      <c r="S50" s="103"/>
      <c r="T50" s="103"/>
      <c r="U50" s="103"/>
      <c r="V50" s="103"/>
      <c r="W50" s="103"/>
    </row>
    <row r="51" spans="1:23" ht="15.6">
      <c r="A51" s="26" t="str">
        <v>X134</v>
      </c>
      <c r="B51" s="27" t="str">
        <v>NY</v>
      </c>
      <c r="C51" s="140" t="str">
        <f>Sites[[#This Row],[SOL'#]]</f>
        <v>SOL-10424</v>
      </c>
      <c r="D51" s="143"/>
      <c r="E51" s="14"/>
      <c r="F51" s="14" t="str">
        <f t="shared" si="0"/>
        <v/>
      </c>
      <c r="G51" s="15" t="str">
        <f t="shared" si="3"/>
        <v/>
      </c>
      <c r="H51" s="125"/>
      <c r="I51" s="133" t="str">
        <f t="shared" si="4"/>
        <v/>
      </c>
      <c r="J51" s="15" t="str">
        <f t="shared" si="5"/>
        <v/>
      </c>
      <c r="K51" s="51"/>
      <c r="L51" s="99"/>
      <c r="M51" s="103"/>
      <c r="N51" s="103"/>
      <c r="O51" s="103"/>
      <c r="P51" s="103"/>
      <c r="Q51" s="103"/>
      <c r="R51" s="103"/>
      <c r="S51" s="103"/>
      <c r="T51" s="103"/>
      <c r="U51" s="103"/>
      <c r="V51" s="103"/>
      <c r="W51" s="103"/>
    </row>
    <row r="52" spans="1:23" ht="15.6">
      <c r="A52" s="24" t="str">
        <v>X135</v>
      </c>
      <c r="B52" s="25" t="str">
        <v>NY</v>
      </c>
      <c r="C52" s="25" t="str">
        <f>Sites[[#This Row],[SOL'#]]</f>
        <v>SOL-10425</v>
      </c>
      <c r="D52" s="142"/>
      <c r="E52" s="141"/>
      <c r="F52" s="10" t="str">
        <f t="shared" si="0"/>
        <v/>
      </c>
      <c r="G52" s="11" t="str">
        <f t="shared" si="3"/>
        <v/>
      </c>
      <c r="H52" s="146"/>
      <c r="I52" s="132" t="str">
        <f t="shared" si="4"/>
        <v/>
      </c>
      <c r="J52" s="13" t="str">
        <f t="shared" si="5"/>
        <v/>
      </c>
      <c r="K52" s="53"/>
      <c r="L52" s="98"/>
      <c r="M52" s="103"/>
      <c r="N52" s="103"/>
      <c r="O52" s="103"/>
      <c r="P52" s="103"/>
      <c r="Q52" s="103"/>
      <c r="R52" s="103"/>
      <c r="S52" s="103"/>
      <c r="T52" s="103"/>
      <c r="U52" s="103"/>
      <c r="V52" s="103"/>
      <c r="W52" s="103"/>
    </row>
    <row r="53" spans="1:23" ht="15.6">
      <c r="A53" s="26" t="str">
        <v>X139 JHS 222</v>
      </c>
      <c r="B53" s="27" t="str">
        <v>NY</v>
      </c>
      <c r="C53" s="144" t="str">
        <f>Sites[[#This Row],[SOL'#]]</f>
        <v>SOL-10426</v>
      </c>
      <c r="D53" s="143"/>
      <c r="E53" s="14"/>
      <c r="F53" s="14" t="str">
        <f t="shared" si="0"/>
        <v/>
      </c>
      <c r="G53" s="15" t="str">
        <f t="shared" si="3"/>
        <v/>
      </c>
      <c r="H53" s="125"/>
      <c r="I53" s="133" t="str">
        <f t="shared" si="4"/>
        <v/>
      </c>
      <c r="J53" s="15" t="str">
        <f t="shared" si="5"/>
        <v/>
      </c>
      <c r="K53" s="51"/>
      <c r="L53" s="99"/>
      <c r="M53" s="103"/>
      <c r="N53" s="103"/>
      <c r="O53" s="103"/>
      <c r="P53" s="103"/>
      <c r="Q53" s="103"/>
      <c r="R53" s="103"/>
      <c r="S53" s="103"/>
      <c r="T53" s="103"/>
      <c r="U53" s="103"/>
      <c r="V53" s="103"/>
      <c r="W53" s="103"/>
    </row>
    <row r="54" spans="1:23" ht="15.6">
      <c r="A54" s="24" t="str">
        <v>X140</v>
      </c>
      <c r="B54" s="25" t="str">
        <v>NY</v>
      </c>
      <c r="C54" s="25" t="str">
        <f>Sites[[#This Row],[SOL'#]]</f>
        <v>SOL-10926</v>
      </c>
      <c r="D54" s="142"/>
      <c r="E54" s="141"/>
      <c r="F54" s="10" t="str">
        <f t="shared" si="0"/>
        <v/>
      </c>
      <c r="G54" s="11" t="str">
        <f t="shared" si="3"/>
        <v/>
      </c>
      <c r="H54" s="146"/>
      <c r="I54" s="132" t="str">
        <f t="shared" si="4"/>
        <v/>
      </c>
      <c r="J54" s="13" t="str">
        <f t="shared" si="5"/>
        <v/>
      </c>
      <c r="K54" s="53"/>
      <c r="L54" s="98"/>
      <c r="M54" s="102"/>
      <c r="N54" s="103"/>
      <c r="O54" s="103"/>
      <c r="P54" s="103"/>
      <c r="Q54" s="103"/>
      <c r="R54" s="103"/>
      <c r="S54" s="103"/>
      <c r="T54" s="103"/>
      <c r="U54" s="103"/>
      <c r="V54" s="103"/>
      <c r="W54" s="103"/>
    </row>
    <row r="55" spans="1:23" ht="21" customHeight="1">
      <c r="A55" s="26" t="str">
        <v>X166</v>
      </c>
      <c r="B55" s="27" t="str">
        <v>NY</v>
      </c>
      <c r="C55" s="140" t="str">
        <f>Sites[[#This Row],[SOL'#]]</f>
        <v>SOL-10427</v>
      </c>
      <c r="D55" s="143"/>
      <c r="E55" s="14"/>
      <c r="F55" s="14" t="str">
        <f t="shared" si="0"/>
        <v/>
      </c>
      <c r="G55" s="15" t="str">
        <f t="shared" si="3"/>
        <v/>
      </c>
      <c r="H55" s="125"/>
      <c r="I55" s="133" t="str">
        <f t="shared" si="4"/>
        <v/>
      </c>
      <c r="J55" s="15" t="str">
        <f t="shared" si="5"/>
        <v/>
      </c>
      <c r="K55" s="51"/>
      <c r="L55" s="51"/>
      <c r="M55" s="103"/>
      <c r="N55" s="103"/>
      <c r="O55" s="103"/>
      <c r="P55" s="103"/>
      <c r="Q55" s="103"/>
      <c r="R55" s="103"/>
      <c r="S55" s="103"/>
      <c r="T55" s="103"/>
      <c r="U55" s="103"/>
      <c r="V55" s="103"/>
      <c r="W55" s="103"/>
    </row>
    <row r="56" spans="1:23" ht="15.6">
      <c r="A56" s="24" t="str">
        <v>Murphy</v>
      </c>
      <c r="B56" s="25" t="str">
        <v>MN</v>
      </c>
      <c r="C56" s="25" t="str">
        <f>Sites[[#This Row],[SOL'#]]</f>
        <v>SOL-10094</v>
      </c>
      <c r="D56" s="142"/>
      <c r="E56" s="141"/>
      <c r="F56" s="10" t="str">
        <f t="shared" si="0"/>
        <v/>
      </c>
      <c r="G56" s="11" t="str">
        <f t="shared" si="3"/>
        <v/>
      </c>
      <c r="H56" s="146"/>
      <c r="I56" s="132" t="str">
        <f t="shared" si="4"/>
        <v/>
      </c>
      <c r="J56" s="13" t="str">
        <f t="shared" si="5"/>
        <v/>
      </c>
      <c r="K56" s="53"/>
      <c r="L56" s="98"/>
      <c r="M56" s="102"/>
      <c r="N56" s="103"/>
      <c r="O56" s="103"/>
      <c r="P56" s="103"/>
      <c r="Q56" s="103"/>
      <c r="R56" s="103"/>
      <c r="S56" s="103"/>
      <c r="T56" s="103"/>
      <c r="U56" s="103"/>
      <c r="V56" s="103"/>
      <c r="W56" s="103"/>
    </row>
    <row r="57" spans="1:23" ht="15.6">
      <c r="A57" s="26" t="str">
        <v>Terning</v>
      </c>
      <c r="B57" s="27" t="str">
        <v>MN</v>
      </c>
      <c r="C57" s="140" t="str">
        <f>Sites[[#This Row],[SOL'#]]</f>
        <v>SOL-10093</v>
      </c>
      <c r="D57" s="143"/>
      <c r="E57" s="14"/>
      <c r="F57" s="14" t="str">
        <f t="shared" si="0"/>
        <v/>
      </c>
      <c r="G57" s="15" t="str">
        <f t="shared" si="3"/>
        <v/>
      </c>
      <c r="H57" s="125"/>
      <c r="I57" s="133" t="str">
        <f t="shared" si="4"/>
        <v/>
      </c>
      <c r="J57" s="15" t="str">
        <f t="shared" si="5"/>
        <v/>
      </c>
      <c r="K57" s="51"/>
      <c r="L57" s="51"/>
      <c r="M57" s="103"/>
      <c r="N57" s="103"/>
      <c r="O57" s="103"/>
      <c r="P57" s="103"/>
      <c r="Q57" s="103"/>
      <c r="R57" s="103"/>
      <c r="S57" s="103"/>
      <c r="T57" s="103"/>
      <c r="U57" s="103"/>
      <c r="V57" s="103"/>
      <c r="W57" s="103"/>
    </row>
    <row r="58" spans="1:23" ht="72" customHeight="1">
      <c r="A58" s="24" t="str">
        <v>Boas Road 04</v>
      </c>
      <c r="B58" s="25" t="str">
        <v>NY</v>
      </c>
      <c r="C58" s="25" t="str">
        <f>Sites[[#This Row],[SOL'#]]</f>
        <v>SOL-10908</v>
      </c>
      <c r="D58" s="142"/>
      <c r="E58" s="141"/>
      <c r="F58" s="10" t="str">
        <f t="shared" si="0"/>
        <v/>
      </c>
      <c r="G58" s="11" t="str">
        <f t="shared" si="3"/>
        <v/>
      </c>
      <c r="H58" s="146"/>
      <c r="I58" s="132" t="str">
        <f t="shared" si="4"/>
        <v/>
      </c>
      <c r="J58" s="13" t="str">
        <f t="shared" si="5"/>
        <v/>
      </c>
      <c r="K58" s="53"/>
      <c r="L58" s="98"/>
      <c r="M58" s="102"/>
      <c r="N58" s="103"/>
      <c r="O58" s="103"/>
      <c r="P58" s="103"/>
      <c r="Q58" s="103"/>
      <c r="R58" s="103"/>
      <c r="S58" s="103"/>
      <c r="T58" s="103"/>
      <c r="U58" s="103"/>
      <c r="V58" s="103"/>
      <c r="W58" s="103"/>
    </row>
    <row r="59" spans="1:23" ht="15.6">
      <c r="A59" s="26" t="str">
        <v>Kelly Bridge Farm</v>
      </c>
      <c r="B59" s="27" t="str">
        <v>NY</v>
      </c>
      <c r="C59" s="140" t="str">
        <f>Sites[[#This Row],[SOL'#]]</f>
        <v>SOL-10911</v>
      </c>
      <c r="D59" s="143"/>
      <c r="E59" s="14"/>
      <c r="F59" s="14" t="str">
        <f t="shared" si="0"/>
        <v/>
      </c>
      <c r="G59" s="15" t="str">
        <f t="shared" si="3"/>
        <v/>
      </c>
      <c r="H59" s="125"/>
      <c r="I59" s="133" t="str">
        <f t="shared" si="4"/>
        <v/>
      </c>
      <c r="J59" s="15" t="str">
        <f t="shared" si="5"/>
        <v/>
      </c>
      <c r="K59" s="51"/>
      <c r="L59" s="99"/>
      <c r="M59" s="102"/>
      <c r="N59" s="103"/>
      <c r="O59" s="103"/>
      <c r="P59" s="103"/>
      <c r="Q59" s="103"/>
      <c r="R59" s="103"/>
      <c r="S59" s="103"/>
      <c r="T59" s="103"/>
      <c r="U59" s="103"/>
      <c r="V59" s="103"/>
      <c r="W59" s="103"/>
    </row>
    <row r="60" spans="1:23" ht="15.6">
      <c r="A60" s="24" t="str">
        <v>Pool Brook Road</v>
      </c>
      <c r="B60" s="25" t="str">
        <v>NY</v>
      </c>
      <c r="C60" s="25" t="str">
        <f>Sites[[#This Row],[SOL'#]]</f>
        <v>SOL-10909</v>
      </c>
      <c r="D60" s="142"/>
      <c r="E60" s="141"/>
      <c r="F60" s="10" t="str">
        <f t="shared" si="0"/>
        <v/>
      </c>
      <c r="G60" s="11" t="str">
        <f t="shared" si="3"/>
        <v/>
      </c>
      <c r="H60" s="146"/>
      <c r="I60" s="132" t="str">
        <f t="shared" si="4"/>
        <v/>
      </c>
      <c r="J60" s="13" t="str">
        <f t="shared" si="5"/>
        <v/>
      </c>
      <c r="K60" s="53"/>
      <c r="L60" s="98"/>
      <c r="M60" s="102"/>
      <c r="N60" s="102"/>
      <c r="O60" s="103"/>
      <c r="P60" s="103"/>
      <c r="Q60" s="103"/>
      <c r="R60" s="103"/>
      <c r="S60" s="103"/>
      <c r="T60" s="103"/>
      <c r="U60" s="103"/>
      <c r="V60" s="103"/>
      <c r="W60" s="103"/>
    </row>
    <row r="61" spans="1:23" ht="15.6">
      <c r="A61" s="26" t="str">
        <v>Sackett Lake</v>
      </c>
      <c r="B61" s="27" t="str">
        <v>NY</v>
      </c>
      <c r="C61" s="140" t="str">
        <f>Sites[[#This Row],[SOL'#]]</f>
        <v>SOL-10910</v>
      </c>
      <c r="D61" s="143"/>
      <c r="E61" s="14"/>
      <c r="F61" s="14" t="str">
        <f t="shared" si="0"/>
        <v/>
      </c>
      <c r="G61" s="15" t="str">
        <f t="shared" si="3"/>
        <v/>
      </c>
      <c r="H61" s="125"/>
      <c r="I61" s="133" t="str">
        <f t="shared" si="4"/>
        <v/>
      </c>
      <c r="J61" s="15" t="str">
        <f t="shared" si="5"/>
        <v/>
      </c>
      <c r="K61" s="51"/>
      <c r="L61" s="99"/>
      <c r="M61" s="102"/>
      <c r="N61" s="103"/>
      <c r="O61" s="103"/>
      <c r="P61" s="103"/>
      <c r="Q61" s="103"/>
      <c r="R61" s="103"/>
      <c r="S61" s="103"/>
      <c r="T61" s="103"/>
      <c r="U61" s="103"/>
      <c r="V61" s="103"/>
      <c r="W61" s="103"/>
    </row>
    <row r="62" spans="1:23" ht="15.6">
      <c r="A62" s="24" t="str">
        <v>Burritt Road</v>
      </c>
      <c r="B62" s="25" t="str">
        <v>NY</v>
      </c>
      <c r="C62" s="25" t="str">
        <f>Sites[[#This Row],[SOL'#]]</f>
        <v>SOL-10913</v>
      </c>
      <c r="D62" s="142"/>
      <c r="E62" s="141"/>
      <c r="F62" s="10" t="str">
        <f t="shared" si="0"/>
        <v/>
      </c>
      <c r="G62" s="11" t="str">
        <f t="shared" si="3"/>
        <v/>
      </c>
      <c r="H62" s="146"/>
      <c r="I62" s="146" t="str">
        <f t="shared" si="4"/>
        <v/>
      </c>
      <c r="J62" s="64" t="str">
        <f t="shared" si="5"/>
        <v/>
      </c>
      <c r="K62" s="73"/>
      <c r="L62" s="100"/>
      <c r="M62" s="103"/>
      <c r="N62" s="103"/>
      <c r="O62" s="103"/>
      <c r="P62" s="103"/>
      <c r="Q62" s="103"/>
      <c r="R62" s="103"/>
      <c r="S62" s="103"/>
      <c r="T62" s="103"/>
      <c r="U62" s="103"/>
      <c r="V62" s="103"/>
      <c r="W62" s="103"/>
    </row>
    <row r="63" spans="1:23" ht="15.6">
      <c r="A63" s="26" t="str">
        <v>Villa Roma 1</v>
      </c>
      <c r="B63" s="27" t="str">
        <v>NY</v>
      </c>
      <c r="C63" s="140" t="str">
        <f>Sites[[#This Row],[SOL'#]]</f>
        <v>SOL-10914</v>
      </c>
      <c r="D63" s="143"/>
      <c r="E63" s="14"/>
      <c r="F63" s="14" t="str">
        <f t="shared" si="0"/>
        <v/>
      </c>
      <c r="G63" s="15" t="str">
        <f t="shared" si="3"/>
        <v/>
      </c>
      <c r="H63" s="125"/>
      <c r="I63" s="133" t="str">
        <f t="shared" si="4"/>
        <v/>
      </c>
      <c r="J63" s="15" t="str">
        <f t="shared" si="5"/>
        <v/>
      </c>
      <c r="K63" s="51"/>
      <c r="L63" s="99"/>
      <c r="M63" s="103"/>
      <c r="N63" s="103"/>
      <c r="O63" s="103"/>
      <c r="P63" s="103"/>
      <c r="Q63" s="103"/>
      <c r="R63" s="103"/>
      <c r="S63" s="103"/>
      <c r="T63" s="103"/>
      <c r="U63" s="103"/>
      <c r="V63" s="103"/>
      <c r="W63" s="103"/>
    </row>
    <row r="64" spans="1:23" ht="15.6">
      <c r="A64" s="24" t="str">
        <v>Villa Roma 2</v>
      </c>
      <c r="B64" s="25" t="str">
        <v>NY</v>
      </c>
      <c r="C64" s="25" t="str">
        <f>Sites[[#This Row],[SOL'#]]</f>
        <v>SOL-10915</v>
      </c>
      <c r="D64" s="142"/>
      <c r="E64" s="141"/>
      <c r="F64" s="10" t="str">
        <f t="shared" si="0"/>
        <v/>
      </c>
      <c r="G64" s="11" t="str">
        <f t="shared" si="3"/>
        <v/>
      </c>
      <c r="H64" s="146"/>
      <c r="I64" s="132" t="str">
        <f t="shared" si="4"/>
        <v/>
      </c>
      <c r="J64" s="13" t="str">
        <f t="shared" si="5"/>
        <v/>
      </c>
      <c r="K64" s="53"/>
      <c r="L64" s="53"/>
      <c r="M64" s="103"/>
      <c r="N64" s="103"/>
      <c r="O64" s="103"/>
      <c r="P64" s="103"/>
      <c r="Q64" s="103"/>
      <c r="R64" s="103"/>
      <c r="S64" s="103"/>
      <c r="T64" s="103"/>
      <c r="U64" s="103"/>
      <c r="V64" s="103"/>
      <c r="W64" s="103"/>
    </row>
    <row r="65" spans="1:26" ht="15.6">
      <c r="A65" s="26" t="str">
        <v>Washington 1</v>
      </c>
      <c r="B65" s="27" t="str">
        <v>NY</v>
      </c>
      <c r="C65" s="140" t="str">
        <f>Sites[[#This Row],[SOL'#]]</f>
        <v>SOL-10912</v>
      </c>
      <c r="D65" s="143"/>
      <c r="E65" s="14"/>
      <c r="F65" s="14" t="str">
        <f t="shared" si="0"/>
        <v/>
      </c>
      <c r="G65" s="15" t="str">
        <f t="shared" si="3"/>
        <v/>
      </c>
      <c r="H65" s="125"/>
      <c r="I65" s="133" t="str">
        <f t="shared" si="4"/>
        <v/>
      </c>
      <c r="J65" s="15" t="str">
        <f t="shared" si="5"/>
        <v/>
      </c>
      <c r="K65" s="51"/>
      <c r="L65" s="99"/>
      <c r="M65" s="103"/>
      <c r="N65" s="103"/>
      <c r="O65" s="103"/>
      <c r="P65" s="103"/>
      <c r="Q65" s="103"/>
      <c r="R65" s="103"/>
      <c r="S65" s="103"/>
      <c r="T65" s="103"/>
      <c r="U65" s="103"/>
      <c r="V65" s="103"/>
      <c r="W65" s="103"/>
    </row>
    <row r="66" spans="1:26" ht="15.6">
      <c r="A66" s="24" t="str">
        <v>Washington 3</v>
      </c>
      <c r="B66" s="25" t="str">
        <v>NY</v>
      </c>
      <c r="C66" s="25" t="str">
        <f>Sites[[#This Row],[SOL'#]]</f>
        <v>SOL-10828</v>
      </c>
      <c r="D66" s="142"/>
      <c r="E66" s="141"/>
      <c r="F66" s="10" t="str">
        <f t="shared" si="0"/>
        <v/>
      </c>
      <c r="G66" s="11" t="str">
        <f t="shared" si="3"/>
        <v/>
      </c>
      <c r="H66" s="146"/>
      <c r="I66" s="132" t="str">
        <f t="shared" si="4"/>
        <v/>
      </c>
      <c r="J66" s="13" t="str">
        <f t="shared" si="5"/>
        <v/>
      </c>
      <c r="K66" s="53"/>
      <c r="L66" s="98"/>
      <c r="M66" s="103"/>
      <c r="N66" s="103"/>
      <c r="O66" s="103"/>
      <c r="P66" s="103"/>
      <c r="Q66" s="103"/>
      <c r="R66" s="103"/>
      <c r="S66" s="103"/>
      <c r="T66" s="103"/>
      <c r="U66" s="103"/>
      <c r="V66" s="103"/>
      <c r="W66" s="103"/>
    </row>
    <row r="67" spans="1:26" ht="15.6">
      <c r="A67" s="26" t="str">
        <v>Washington 4</v>
      </c>
      <c r="B67" s="27" t="str">
        <v>NY</v>
      </c>
      <c r="C67" s="140" t="str">
        <f>Sites[[#This Row],[SOL'#]]</f>
        <v>SOL-10829</v>
      </c>
      <c r="D67" s="143"/>
      <c r="E67" s="14"/>
      <c r="F67" s="14" t="str">
        <f t="shared" si="0"/>
        <v/>
      </c>
      <c r="G67" s="15" t="str">
        <f t="shared" si="3"/>
        <v/>
      </c>
      <c r="H67" s="125"/>
      <c r="I67" s="133" t="str">
        <f t="shared" si="4"/>
        <v/>
      </c>
      <c r="J67" s="15" t="str">
        <f t="shared" si="5"/>
        <v/>
      </c>
      <c r="K67" s="51"/>
      <c r="L67" s="51"/>
      <c r="M67" s="103"/>
      <c r="N67" s="103"/>
      <c r="O67" s="103"/>
      <c r="P67" s="103"/>
      <c r="Q67" s="103"/>
      <c r="R67" s="103"/>
      <c r="S67" s="103"/>
      <c r="T67" s="103"/>
      <c r="U67" s="103"/>
      <c r="V67" s="103"/>
      <c r="W67" s="103"/>
    </row>
    <row r="68" spans="1:26" ht="15.6">
      <c r="A68" s="24" t="str">
        <v>Big Tree</v>
      </c>
      <c r="B68" s="25" t="str">
        <v>NY</v>
      </c>
      <c r="C68" s="25" t="str">
        <f>Sites[[#This Row],[SOL'#]]</f>
        <v>SOL-10966</v>
      </c>
      <c r="D68" s="142"/>
      <c r="E68" s="141"/>
      <c r="F68" s="10" t="str">
        <f t="shared" si="0"/>
        <v/>
      </c>
      <c r="G68" s="11" t="str">
        <f t="shared" si="3"/>
        <v/>
      </c>
      <c r="H68" s="146"/>
      <c r="I68" s="132" t="str">
        <f t="shared" si="4"/>
        <v/>
      </c>
      <c r="J68" s="13" t="str">
        <f t="shared" si="5"/>
        <v/>
      </c>
      <c r="K68" s="53"/>
      <c r="L68" s="53"/>
      <c r="M68" s="103"/>
      <c r="N68" s="103"/>
      <c r="O68" s="103"/>
      <c r="P68" s="103"/>
      <c r="Q68" s="103"/>
      <c r="R68" s="103"/>
      <c r="S68" s="103"/>
      <c r="T68" s="103"/>
      <c r="U68" s="103"/>
      <c r="V68" s="103"/>
      <c r="W68" s="103"/>
    </row>
    <row r="69" spans="1:26" ht="15.6">
      <c r="A69" s="26" t="str">
        <v>Canoga</v>
      </c>
      <c r="B69" s="27" t="str">
        <v>NY</v>
      </c>
      <c r="C69" s="140" t="str">
        <f>Sites[[#This Row],[SOL'#]]</f>
        <v>SOL-10965</v>
      </c>
      <c r="D69" s="143"/>
      <c r="E69" s="14"/>
      <c r="F69" s="14" t="str">
        <f t="shared" ref="F69:F132" si="6">IF(AND(ISNUMBER(D69),ISNUMBER(E69)), D69-E69, "")</f>
        <v/>
      </c>
      <c r="G69" s="15" t="str">
        <f t="shared" si="3"/>
        <v/>
      </c>
      <c r="H69" s="125"/>
      <c r="I69" s="133" t="str">
        <f t="shared" si="4"/>
        <v/>
      </c>
      <c r="J69" s="15" t="str">
        <f t="shared" si="5"/>
        <v/>
      </c>
      <c r="K69" s="51"/>
      <c r="L69" s="99"/>
      <c r="M69" s="102"/>
      <c r="N69" s="103"/>
      <c r="O69" s="103"/>
      <c r="P69" s="103"/>
      <c r="Q69" s="103"/>
      <c r="R69" s="103"/>
      <c r="S69" s="103"/>
      <c r="T69" s="103"/>
      <c r="U69" s="103"/>
      <c r="V69" s="103"/>
      <c r="W69" s="103"/>
    </row>
    <row r="70" spans="1:26" ht="15.6">
      <c r="A70" s="24" t="str">
        <v>County Route 84</v>
      </c>
      <c r="B70" s="25" t="str">
        <v>NY</v>
      </c>
      <c r="C70" s="25" t="str">
        <f>Sites[[#This Row],[SOL'#]]</f>
        <v>SOL-10967</v>
      </c>
      <c r="D70" s="142"/>
      <c r="E70" s="141"/>
      <c r="F70" s="10" t="str">
        <f t="shared" si="6"/>
        <v/>
      </c>
      <c r="G70" s="11" t="str">
        <f t="shared" ref="G70:G133" si="7">IFERROR(F70/E70, "")</f>
        <v/>
      </c>
      <c r="H70" s="146"/>
      <c r="I70" s="132" t="str">
        <f t="shared" si="4"/>
        <v/>
      </c>
      <c r="J70" s="13" t="str">
        <f t="shared" si="5"/>
        <v/>
      </c>
      <c r="K70" s="53"/>
      <c r="L70" s="98"/>
      <c r="M70" s="103"/>
      <c r="N70" s="103"/>
      <c r="O70" s="103"/>
      <c r="P70" s="103"/>
      <c r="Q70" s="103"/>
      <c r="R70" s="103"/>
      <c r="S70" s="103"/>
      <c r="T70" s="103"/>
      <c r="U70" s="103"/>
      <c r="V70" s="103"/>
      <c r="W70" s="103"/>
    </row>
    <row r="71" spans="1:26" ht="15.6">
      <c r="A71" s="26" t="str">
        <v>Donati</v>
      </c>
      <c r="B71" s="27" t="str">
        <v>NY</v>
      </c>
      <c r="C71" s="140" t="str">
        <f>Sites[[#This Row],[SOL'#]]</f>
        <v>SOL-10968</v>
      </c>
      <c r="D71" s="143"/>
      <c r="E71" s="14"/>
      <c r="F71" s="14" t="str">
        <f t="shared" si="6"/>
        <v/>
      </c>
      <c r="G71" s="15" t="str">
        <f t="shared" si="7"/>
        <v/>
      </c>
      <c r="H71" s="125"/>
      <c r="I71" s="133" t="str">
        <f t="shared" si="4"/>
        <v/>
      </c>
      <c r="J71" s="15" t="str">
        <f t="shared" si="5"/>
        <v/>
      </c>
      <c r="K71" s="51"/>
      <c r="L71" s="99"/>
      <c r="M71" s="102"/>
      <c r="N71" s="103"/>
      <c r="O71" s="103"/>
      <c r="P71" s="103"/>
      <c r="Q71" s="103"/>
      <c r="R71" s="103"/>
      <c r="S71" s="103"/>
      <c r="T71" s="103"/>
      <c r="U71" s="103"/>
      <c r="V71" s="103"/>
      <c r="W71" s="103"/>
    </row>
    <row r="72" spans="1:26" ht="15.6">
      <c r="A72" s="24" t="str">
        <v>Henrietta</v>
      </c>
      <c r="B72" s="25" t="str">
        <v>NY</v>
      </c>
      <c r="C72" s="25" t="str">
        <f>Sites[[#This Row],[SOL'#]]</f>
        <v>SOL-10972</v>
      </c>
      <c r="D72" s="142"/>
      <c r="E72" s="141"/>
      <c r="F72" s="10" t="str">
        <f t="shared" si="6"/>
        <v/>
      </c>
      <c r="G72" s="11" t="str">
        <f t="shared" si="7"/>
        <v/>
      </c>
      <c r="H72" s="146"/>
      <c r="I72" s="132" t="str">
        <f t="shared" si="4"/>
        <v/>
      </c>
      <c r="J72" s="13" t="str">
        <f t="shared" si="5"/>
        <v/>
      </c>
      <c r="K72" s="53"/>
      <c r="L72" s="98"/>
      <c r="M72" s="102"/>
      <c r="N72" s="103"/>
      <c r="O72" s="103"/>
      <c r="P72" s="103"/>
      <c r="Q72" s="103"/>
      <c r="R72" s="103"/>
      <c r="S72" s="103"/>
      <c r="T72" s="103"/>
      <c r="U72" s="103"/>
      <c r="V72" s="103"/>
      <c r="W72" s="103"/>
    </row>
    <row r="73" spans="1:26" ht="15.6">
      <c r="A73" s="26" t="str">
        <v>NY 70</v>
      </c>
      <c r="B73" s="27" t="str">
        <v>NY</v>
      </c>
      <c r="C73" s="140" t="str">
        <f>Sites[[#This Row],[SOL'#]]</f>
        <v>SOL-10970</v>
      </c>
      <c r="D73" s="143"/>
      <c r="E73" s="14"/>
      <c r="F73" s="14" t="str">
        <f t="shared" si="6"/>
        <v/>
      </c>
      <c r="G73" s="15" t="str">
        <f t="shared" si="7"/>
        <v/>
      </c>
      <c r="H73" s="125"/>
      <c r="I73" s="133" t="str">
        <f t="shared" si="4"/>
        <v/>
      </c>
      <c r="J73" s="15" t="str">
        <f t="shared" si="5"/>
        <v/>
      </c>
      <c r="K73" s="51"/>
      <c r="L73" s="99"/>
      <c r="M73" s="102"/>
      <c r="N73" s="102"/>
      <c r="O73" s="102"/>
      <c r="P73" s="103"/>
      <c r="Q73" s="103"/>
      <c r="R73" s="103"/>
      <c r="S73" s="103"/>
      <c r="T73" s="103"/>
      <c r="U73" s="103"/>
      <c r="V73" s="103"/>
      <c r="W73" s="103"/>
    </row>
    <row r="74" spans="1:26" ht="351.75" customHeight="1">
      <c r="A74" s="24" t="str">
        <v>Reid</v>
      </c>
      <c r="B74" s="25" t="str">
        <v>NY</v>
      </c>
      <c r="C74" s="25" t="str">
        <f>Sites[[#This Row],[SOL'#]]</f>
        <v>SOL-10991</v>
      </c>
      <c r="D74" s="142"/>
      <c r="E74" s="141"/>
      <c r="F74" s="10" t="str">
        <f t="shared" si="6"/>
        <v/>
      </c>
      <c r="G74" s="11" t="str">
        <f t="shared" si="7"/>
        <v/>
      </c>
      <c r="H74" s="146"/>
      <c r="I74" s="132" t="str">
        <f t="shared" si="4"/>
        <v/>
      </c>
      <c r="J74" s="13" t="str">
        <f t="shared" si="5"/>
        <v/>
      </c>
      <c r="K74" s="53"/>
      <c r="L74" s="98"/>
      <c r="M74" s="102"/>
      <c r="N74" s="102"/>
      <c r="O74" s="102"/>
      <c r="P74" s="102"/>
      <c r="Q74" s="102"/>
      <c r="R74" s="102"/>
      <c r="S74" s="102"/>
      <c r="T74" s="102"/>
      <c r="U74" s="102"/>
      <c r="V74" s="102"/>
      <c r="W74" s="102"/>
      <c r="X74" s="111"/>
      <c r="Y74" s="111"/>
      <c r="Z74" s="111"/>
    </row>
    <row r="75" spans="1:26" ht="24.75" customHeight="1">
      <c r="A75" s="26" t="str">
        <v>Sangolqui</v>
      </c>
      <c r="B75" s="27" t="str">
        <v>NY</v>
      </c>
      <c r="C75" s="140" t="str">
        <f>Sites[[#This Row],[SOL'#]]</f>
        <v>SOL-10975</v>
      </c>
      <c r="D75" s="143"/>
      <c r="E75" s="14"/>
      <c r="F75" s="14" t="str">
        <f t="shared" si="6"/>
        <v/>
      </c>
      <c r="G75" s="15" t="str">
        <f t="shared" si="7"/>
        <v/>
      </c>
      <c r="H75" s="125"/>
      <c r="I75" s="133" t="str">
        <f t="shared" si="4"/>
        <v/>
      </c>
      <c r="J75" s="15" t="str">
        <f t="shared" si="5"/>
        <v/>
      </c>
      <c r="K75" s="51"/>
      <c r="L75" s="99"/>
      <c r="M75" s="103"/>
      <c r="N75" s="103"/>
      <c r="O75" s="103"/>
      <c r="P75" s="103"/>
      <c r="Q75" s="103"/>
      <c r="R75" s="103"/>
      <c r="S75" s="103"/>
      <c r="T75" s="103"/>
      <c r="U75" s="103"/>
      <c r="V75" s="103"/>
      <c r="W75" s="103"/>
    </row>
    <row r="76" spans="1:26" ht="15.6">
      <c r="A76" s="24" t="str">
        <v>State Highway 17B</v>
      </c>
      <c r="B76" s="25" t="str">
        <v>NY</v>
      </c>
      <c r="C76" s="25" t="str">
        <f>Sites[[#This Row],[SOL'#]]</f>
        <v>SOL-10988</v>
      </c>
      <c r="D76" s="142"/>
      <c r="E76" s="141"/>
      <c r="F76" s="10" t="str">
        <f t="shared" si="6"/>
        <v/>
      </c>
      <c r="G76" s="11" t="str">
        <f t="shared" si="7"/>
        <v/>
      </c>
      <c r="H76" s="146"/>
      <c r="I76" s="132" t="str">
        <f t="shared" si="4"/>
        <v/>
      </c>
      <c r="J76" s="13" t="str">
        <f t="shared" si="5"/>
        <v/>
      </c>
      <c r="K76" s="53"/>
      <c r="L76" s="98"/>
      <c r="M76" s="103"/>
      <c r="N76" s="103"/>
      <c r="O76" s="103"/>
      <c r="P76" s="103"/>
      <c r="Q76" s="103"/>
      <c r="R76" s="103"/>
      <c r="S76" s="103"/>
      <c r="T76" s="103"/>
      <c r="U76" s="103"/>
      <c r="V76" s="103"/>
      <c r="W76" s="103"/>
    </row>
    <row r="77" spans="1:26" ht="15.6">
      <c r="A77" s="26" t="str">
        <v>State Route 14A</v>
      </c>
      <c r="B77" s="27" t="str">
        <v>NY</v>
      </c>
      <c r="C77" s="140" t="str">
        <f>Sites[[#This Row],[SOL'#]]</f>
        <v>SOL-10997</v>
      </c>
      <c r="D77" s="143"/>
      <c r="E77" s="14"/>
      <c r="F77" s="14" t="str">
        <f t="shared" si="6"/>
        <v/>
      </c>
      <c r="G77" s="15" t="str">
        <f t="shared" si="7"/>
        <v/>
      </c>
      <c r="H77" s="125"/>
      <c r="I77" s="133" t="str">
        <f t="shared" si="4"/>
        <v/>
      </c>
      <c r="J77" s="15" t="str">
        <f t="shared" si="5"/>
        <v/>
      </c>
      <c r="K77" s="51"/>
      <c r="L77" s="99"/>
      <c r="M77" s="102"/>
      <c r="N77" s="102"/>
      <c r="O77" s="103"/>
      <c r="P77" s="103"/>
      <c r="Q77" s="103"/>
      <c r="R77" s="103"/>
      <c r="S77" s="103"/>
      <c r="T77" s="103"/>
      <c r="U77" s="103"/>
      <c r="V77" s="103"/>
      <c r="W77" s="103"/>
    </row>
    <row r="78" spans="1:26" ht="61.5" customHeight="1">
      <c r="A78" s="24" t="str">
        <v>West Creek</v>
      </c>
      <c r="B78" s="25" t="str">
        <v>NY</v>
      </c>
      <c r="C78" s="25" t="str">
        <f>Sites[[#This Row],[SOL'#]]</f>
        <v>SOL-10995</v>
      </c>
      <c r="D78" s="142"/>
      <c r="E78" s="141"/>
      <c r="F78" s="10" t="str">
        <f t="shared" si="6"/>
        <v/>
      </c>
      <c r="G78" s="11" t="str">
        <f t="shared" si="7"/>
        <v/>
      </c>
      <c r="H78" s="146"/>
      <c r="I78" s="132" t="str">
        <f t="shared" si="4"/>
        <v/>
      </c>
      <c r="J78" s="13" t="str">
        <f t="shared" si="5"/>
        <v/>
      </c>
      <c r="K78" s="53"/>
      <c r="L78" s="98"/>
      <c r="M78" s="102"/>
      <c r="N78" s="102"/>
      <c r="O78" s="103"/>
      <c r="P78" s="103"/>
      <c r="Q78" s="103"/>
      <c r="R78" s="103"/>
      <c r="S78" s="103"/>
      <c r="T78" s="103"/>
      <c r="U78" s="103"/>
      <c r="V78" s="103"/>
      <c r="W78" s="103"/>
    </row>
    <row r="79" spans="1:26" ht="90.75" customHeight="1">
      <c r="A79" s="26" t="str">
        <v>Wildflower</v>
      </c>
      <c r="B79" s="27" t="str">
        <v>NY</v>
      </c>
      <c r="C79" s="140" t="str">
        <f>Sites[[#This Row],[SOL'#]]</f>
        <v>SOL-10982</v>
      </c>
      <c r="D79" s="143"/>
      <c r="E79" s="14"/>
      <c r="F79" s="14" t="str">
        <f t="shared" si="6"/>
        <v/>
      </c>
      <c r="G79" s="15" t="str">
        <f t="shared" si="7"/>
        <v/>
      </c>
      <c r="H79" s="125"/>
      <c r="I79" s="133" t="str">
        <f t="shared" si="4"/>
        <v/>
      </c>
      <c r="J79" s="15" t="str">
        <f t="shared" si="5"/>
        <v/>
      </c>
      <c r="K79" s="51"/>
      <c r="L79" s="99"/>
      <c r="M79" s="102"/>
      <c r="N79" s="103"/>
      <c r="O79" s="103"/>
      <c r="P79" s="103"/>
      <c r="Q79" s="103"/>
      <c r="R79" s="103"/>
      <c r="S79" s="103"/>
      <c r="T79" s="103"/>
      <c r="U79" s="103"/>
      <c r="V79" s="103"/>
      <c r="W79" s="103"/>
    </row>
    <row r="80" spans="1:26" ht="15.6">
      <c r="A80" s="24" t="str">
        <v>Glen Mary 1</v>
      </c>
      <c r="B80" s="25" t="str">
        <v>NY</v>
      </c>
      <c r="C80" s="25" t="str">
        <f>Sites[[#This Row],[SOL'#]]</f>
        <v>SOL-10993</v>
      </c>
      <c r="D80" s="142"/>
      <c r="E80" s="141"/>
      <c r="F80" s="10" t="str">
        <f t="shared" si="6"/>
        <v/>
      </c>
      <c r="G80" s="11" t="str">
        <f t="shared" si="7"/>
        <v/>
      </c>
      <c r="H80" s="146"/>
      <c r="I80" s="132" t="str">
        <f t="shared" si="4"/>
        <v/>
      </c>
      <c r="J80" s="13" t="str">
        <f t="shared" si="5"/>
        <v/>
      </c>
      <c r="K80" s="53"/>
      <c r="L80" s="98"/>
      <c r="M80" s="103"/>
      <c r="N80" s="103"/>
      <c r="O80" s="103"/>
      <c r="P80" s="103"/>
      <c r="Q80" s="103"/>
      <c r="R80" s="103"/>
      <c r="S80" s="103"/>
      <c r="T80" s="103"/>
      <c r="U80" s="103"/>
      <c r="V80" s="103"/>
      <c r="W80" s="103"/>
    </row>
    <row r="81" spans="1:23" ht="66" customHeight="1">
      <c r="A81" s="26" t="str">
        <v>Glen Mary 2</v>
      </c>
      <c r="B81" s="27" t="str">
        <v>NY</v>
      </c>
      <c r="C81" s="140" t="str">
        <f>Sites[[#This Row],[SOL'#]]</f>
        <v>SOL-10994</v>
      </c>
      <c r="D81" s="143"/>
      <c r="E81" s="14"/>
      <c r="F81" s="14" t="str">
        <f t="shared" si="6"/>
        <v/>
      </c>
      <c r="G81" s="68" t="str">
        <f t="shared" si="7"/>
        <v/>
      </c>
      <c r="H81" s="125"/>
      <c r="I81" s="125" t="str">
        <f t="shared" si="4"/>
        <v/>
      </c>
      <c r="J81" s="68" t="str">
        <f t="shared" si="5"/>
        <v/>
      </c>
      <c r="K81" s="51"/>
      <c r="L81" s="99"/>
      <c r="M81" s="102"/>
      <c r="N81" s="102"/>
      <c r="O81" s="103"/>
      <c r="P81" s="103"/>
      <c r="Q81" s="103"/>
      <c r="R81" s="103"/>
      <c r="S81" s="103"/>
      <c r="T81" s="103"/>
      <c r="U81" s="103"/>
      <c r="V81" s="103"/>
      <c r="W81" s="103"/>
    </row>
    <row r="82" spans="1:23" ht="57.75" customHeight="1">
      <c r="A82" s="24" t="str">
        <v>Telegraph 1</v>
      </c>
      <c r="B82" s="25" t="str">
        <v>NY</v>
      </c>
      <c r="C82" s="25" t="str">
        <f>Sites[[#This Row],[SOL'#]]</f>
        <v>SOL-11003</v>
      </c>
      <c r="D82" s="142"/>
      <c r="E82" s="141"/>
      <c r="F82" s="10" t="str">
        <f t="shared" si="6"/>
        <v/>
      </c>
      <c r="G82" s="11" t="str">
        <f t="shared" si="7"/>
        <v/>
      </c>
      <c r="H82" s="146"/>
      <c r="I82" s="132" t="str">
        <f t="shared" ref="I82:I145" si="8">IF(AND(ISNUMBER(D82),ISNUMBER(H82)), D82-H82, "")</f>
        <v/>
      </c>
      <c r="J82" s="13" t="str">
        <f t="shared" ref="J82:J145" si="9">IFERROR(I82/H82, "")</f>
        <v/>
      </c>
      <c r="K82" s="53"/>
      <c r="L82" s="98"/>
      <c r="M82" s="102"/>
      <c r="N82" s="102"/>
      <c r="O82" s="103"/>
      <c r="P82" s="103"/>
      <c r="Q82" s="103"/>
      <c r="R82" s="103"/>
      <c r="S82" s="103"/>
      <c r="T82" s="103"/>
      <c r="U82" s="103"/>
      <c r="V82" s="103"/>
      <c r="W82" s="103"/>
    </row>
    <row r="83" spans="1:23" ht="59.45" customHeight="1">
      <c r="A83" s="26" t="str">
        <v>Telegraph 2</v>
      </c>
      <c r="B83" s="27" t="str">
        <v>NY</v>
      </c>
      <c r="C83" s="140" t="str">
        <f>Sites[[#This Row],[SOL'#]]</f>
        <v>SOL-11004</v>
      </c>
      <c r="D83" s="143"/>
      <c r="E83" s="14"/>
      <c r="F83" s="14" t="str">
        <f t="shared" si="6"/>
        <v/>
      </c>
      <c r="G83" s="15" t="str">
        <f t="shared" si="7"/>
        <v/>
      </c>
      <c r="H83" s="125"/>
      <c r="I83" s="133" t="str">
        <f t="shared" si="8"/>
        <v/>
      </c>
      <c r="J83" s="15" t="str">
        <f t="shared" si="9"/>
        <v/>
      </c>
      <c r="K83" s="51"/>
      <c r="L83" s="99"/>
      <c r="M83" s="102"/>
      <c r="N83" s="102"/>
      <c r="O83" s="103"/>
      <c r="P83" s="103"/>
      <c r="Q83" s="103"/>
      <c r="R83" s="103"/>
      <c r="S83" s="103"/>
      <c r="T83" s="103"/>
      <c r="U83" s="103"/>
      <c r="V83" s="103"/>
      <c r="W83" s="103"/>
    </row>
    <row r="84" spans="1:23" ht="15.6">
      <c r="A84" s="24" t="str">
        <v>Cafferty Hill</v>
      </c>
      <c r="B84" s="25" t="str">
        <v>NY</v>
      </c>
      <c r="C84" s="25" t="str">
        <f>Sites[[#This Row],[SOL'#]]</f>
        <v>SOL-10996</v>
      </c>
      <c r="D84" s="142"/>
      <c r="E84" s="141"/>
      <c r="F84" s="10" t="str">
        <f t="shared" si="6"/>
        <v/>
      </c>
      <c r="G84" s="11" t="str">
        <f t="shared" si="7"/>
        <v/>
      </c>
      <c r="H84" s="146"/>
      <c r="I84" s="132" t="str">
        <f t="shared" si="8"/>
        <v/>
      </c>
      <c r="J84" s="13" t="str">
        <f t="shared" si="9"/>
        <v/>
      </c>
      <c r="K84" s="53"/>
      <c r="L84" s="53"/>
      <c r="M84" s="103"/>
      <c r="N84" s="103"/>
      <c r="O84" s="103"/>
      <c r="P84" s="103"/>
      <c r="Q84" s="103"/>
      <c r="R84" s="103"/>
      <c r="S84" s="103"/>
      <c r="T84" s="103"/>
      <c r="U84" s="103"/>
      <c r="V84" s="103"/>
      <c r="W84" s="103"/>
    </row>
    <row r="85" spans="1:23" ht="15.6">
      <c r="A85" s="26" t="str">
        <v>Dunkleman</v>
      </c>
      <c r="B85" s="27" t="str">
        <v>NY</v>
      </c>
      <c r="C85" s="140" t="str">
        <f>Sites[[#This Row],[SOL'#]]</f>
        <v>SOL-11008</v>
      </c>
      <c r="D85" s="143"/>
      <c r="E85" s="14"/>
      <c r="F85" s="14" t="str">
        <f t="shared" si="6"/>
        <v/>
      </c>
      <c r="G85" s="15" t="str">
        <f t="shared" si="7"/>
        <v/>
      </c>
      <c r="H85" s="125"/>
      <c r="I85" s="133" t="str">
        <f t="shared" si="8"/>
        <v/>
      </c>
      <c r="J85" s="15" t="str">
        <f t="shared" si="9"/>
        <v/>
      </c>
      <c r="K85" s="51"/>
      <c r="L85" s="51"/>
      <c r="M85" s="103"/>
      <c r="N85" s="103"/>
      <c r="O85" s="103"/>
      <c r="P85" s="103"/>
      <c r="Q85" s="103"/>
      <c r="R85" s="103"/>
      <c r="S85" s="103"/>
      <c r="T85" s="103"/>
      <c r="U85" s="103"/>
      <c r="V85" s="103"/>
      <c r="W85" s="103"/>
    </row>
    <row r="86" spans="1:23" ht="15.6">
      <c r="A86" s="24" t="str">
        <v>Route 19 1</v>
      </c>
      <c r="B86" s="25" t="str">
        <v>NY</v>
      </c>
      <c r="C86" s="25" t="str">
        <f>Sites[[#This Row],[SOL'#]]</f>
        <v>SOL-11001</v>
      </c>
      <c r="D86" s="142"/>
      <c r="E86" s="141"/>
      <c r="F86" s="10" t="str">
        <f t="shared" si="6"/>
        <v/>
      </c>
      <c r="G86" s="11" t="str">
        <f t="shared" si="7"/>
        <v/>
      </c>
      <c r="H86" s="146"/>
      <c r="I86" s="132" t="str">
        <f t="shared" si="8"/>
        <v/>
      </c>
      <c r="J86" s="13" t="str">
        <f t="shared" si="9"/>
        <v/>
      </c>
      <c r="K86" s="53"/>
      <c r="L86" s="98"/>
      <c r="M86" s="102"/>
      <c r="N86" s="102"/>
      <c r="O86" s="103"/>
      <c r="P86" s="103"/>
      <c r="Q86" s="103"/>
      <c r="R86" s="103"/>
      <c r="S86" s="103"/>
      <c r="T86" s="103"/>
      <c r="U86" s="103"/>
      <c r="V86" s="103"/>
      <c r="W86" s="103"/>
    </row>
    <row r="87" spans="1:23" ht="49.5" customHeight="1">
      <c r="A87" s="26" t="str">
        <v>Route 19 2</v>
      </c>
      <c r="B87" s="27" t="str">
        <v>NY</v>
      </c>
      <c r="C87" s="140" t="str">
        <f>Sites[[#This Row],[SOL'#]]</f>
        <v>SOL-11002</v>
      </c>
      <c r="D87" s="143"/>
      <c r="E87" s="14"/>
      <c r="F87" s="14" t="str">
        <f t="shared" si="6"/>
        <v/>
      </c>
      <c r="G87" s="15" t="str">
        <f t="shared" si="7"/>
        <v/>
      </c>
      <c r="H87" s="125"/>
      <c r="I87" s="133" t="str">
        <f t="shared" si="8"/>
        <v/>
      </c>
      <c r="J87" s="15" t="str">
        <f t="shared" si="9"/>
        <v/>
      </c>
      <c r="K87" s="51"/>
      <c r="L87" s="99"/>
      <c r="M87" s="102"/>
      <c r="N87" s="103"/>
      <c r="O87" s="103"/>
      <c r="P87" s="103"/>
      <c r="Q87" s="103"/>
      <c r="R87" s="103"/>
      <c r="S87" s="103"/>
      <c r="T87" s="103"/>
      <c r="U87" s="103"/>
      <c r="V87" s="103"/>
      <c r="W87" s="103"/>
    </row>
    <row r="88" spans="1:23" ht="15.6">
      <c r="A88" s="24" t="str">
        <v>Yellow Mills 1</v>
      </c>
      <c r="B88" s="25" t="str">
        <v>NY</v>
      </c>
      <c r="C88" s="25" t="str">
        <f>Sites[[#This Row],[SOL'#]]</f>
        <v>SOL-11006</v>
      </c>
      <c r="D88" s="142"/>
      <c r="E88" s="141"/>
      <c r="F88" s="10" t="str">
        <f t="shared" si="6"/>
        <v/>
      </c>
      <c r="G88" s="11" t="str">
        <f t="shared" si="7"/>
        <v/>
      </c>
      <c r="H88" s="146"/>
      <c r="I88" s="132" t="str">
        <f t="shared" si="8"/>
        <v/>
      </c>
      <c r="J88" s="13" t="str">
        <f t="shared" si="9"/>
        <v/>
      </c>
      <c r="K88" s="53"/>
      <c r="L88" s="53"/>
      <c r="M88" s="103"/>
      <c r="N88" s="103"/>
      <c r="O88" s="103"/>
      <c r="P88" s="103"/>
      <c r="Q88" s="103"/>
      <c r="R88" s="103"/>
      <c r="S88" s="103"/>
      <c r="T88" s="103"/>
      <c r="U88" s="103"/>
      <c r="V88" s="103"/>
      <c r="W88" s="103"/>
    </row>
    <row r="89" spans="1:23" ht="15.6">
      <c r="A89" s="26" t="str">
        <v>Yellow Mills 2</v>
      </c>
      <c r="B89" s="27" t="str">
        <v>NY</v>
      </c>
      <c r="C89" s="140" t="str">
        <f>Sites[[#This Row],[SOL'#]]</f>
        <v>SOL-11005</v>
      </c>
      <c r="D89" s="143"/>
      <c r="E89" s="14"/>
      <c r="F89" s="14" t="str">
        <f t="shared" si="6"/>
        <v/>
      </c>
      <c r="G89" s="15" t="str">
        <f t="shared" si="7"/>
        <v/>
      </c>
      <c r="H89" s="125"/>
      <c r="I89" s="133" t="str">
        <f t="shared" si="8"/>
        <v/>
      </c>
      <c r="J89" s="15" t="str">
        <f t="shared" si="9"/>
        <v/>
      </c>
      <c r="K89" s="51"/>
      <c r="L89" s="99"/>
      <c r="M89" s="103"/>
      <c r="N89" s="103"/>
      <c r="O89" s="103"/>
      <c r="P89" s="103"/>
      <c r="Q89" s="103"/>
      <c r="R89" s="103"/>
      <c r="S89" s="103"/>
      <c r="T89" s="103"/>
      <c r="U89" s="103"/>
      <c r="V89" s="103"/>
      <c r="W89" s="103"/>
    </row>
    <row r="90" spans="1:23" ht="15.6">
      <c r="A90" s="24" t="str">
        <v>Yellow Mills 3</v>
      </c>
      <c r="B90" s="25" t="str">
        <v>NY</v>
      </c>
      <c r="C90" s="25" t="str">
        <f>Sites[[#This Row],[SOL'#]]</f>
        <v>SOL-11007</v>
      </c>
      <c r="D90" s="142"/>
      <c r="E90" s="141"/>
      <c r="F90" s="10" t="str">
        <f t="shared" si="6"/>
        <v/>
      </c>
      <c r="G90" s="11" t="str">
        <f t="shared" si="7"/>
        <v/>
      </c>
      <c r="H90" s="146"/>
      <c r="I90" s="132" t="str">
        <f t="shared" si="8"/>
        <v/>
      </c>
      <c r="J90" s="13" t="str">
        <f t="shared" si="9"/>
        <v/>
      </c>
      <c r="K90" s="53"/>
      <c r="L90" s="53"/>
      <c r="M90" s="103"/>
      <c r="N90" s="103"/>
      <c r="O90" s="103"/>
      <c r="P90" s="103"/>
      <c r="Q90" s="103"/>
      <c r="R90" s="103"/>
      <c r="S90" s="103"/>
      <c r="T90" s="103"/>
      <c r="U90" s="103"/>
      <c r="V90" s="103"/>
      <c r="W90" s="103"/>
    </row>
    <row r="91" spans="1:23" ht="126.75" customHeight="1">
      <c r="A91" s="26" t="str">
        <v>Catskill</v>
      </c>
      <c r="B91" s="27" t="str">
        <v>NY</v>
      </c>
      <c r="C91" s="140" t="str">
        <f>Sites[[#This Row],[SOL'#]]</f>
        <v>SOL-11021</v>
      </c>
      <c r="D91" s="143"/>
      <c r="E91" s="14"/>
      <c r="F91" s="14" t="str">
        <f t="shared" si="6"/>
        <v/>
      </c>
      <c r="G91" s="15" t="str">
        <f t="shared" si="7"/>
        <v/>
      </c>
      <c r="H91" s="125"/>
      <c r="I91" s="133" t="str">
        <f t="shared" si="8"/>
        <v/>
      </c>
      <c r="J91" s="15" t="str">
        <f t="shared" si="9"/>
        <v/>
      </c>
      <c r="K91" s="51"/>
      <c r="L91" s="99"/>
      <c r="M91" s="102"/>
      <c r="N91" s="102"/>
      <c r="O91" s="102"/>
      <c r="P91" s="102"/>
      <c r="Q91" s="103"/>
      <c r="R91" s="103"/>
      <c r="S91" s="103"/>
      <c r="T91" s="103"/>
      <c r="U91" s="103"/>
      <c r="V91" s="103"/>
      <c r="W91" s="103"/>
    </row>
    <row r="92" spans="1:23" ht="15.6">
      <c r="A92" s="24" t="str">
        <v>Eddy Ridge</v>
      </c>
      <c r="B92" s="25" t="str">
        <v>NY</v>
      </c>
      <c r="C92" s="25" t="str">
        <f>Sites[[#This Row],[SOL'#]]</f>
        <v>SOL-11054</v>
      </c>
      <c r="D92" s="142"/>
      <c r="E92" s="141"/>
      <c r="F92" s="10" t="str">
        <f t="shared" si="6"/>
        <v/>
      </c>
      <c r="G92" s="11" t="str">
        <f t="shared" si="7"/>
        <v/>
      </c>
      <c r="H92" s="146"/>
      <c r="I92" s="132" t="str">
        <f t="shared" si="8"/>
        <v/>
      </c>
      <c r="J92" s="13" t="str">
        <f t="shared" si="9"/>
        <v/>
      </c>
      <c r="K92" s="53"/>
      <c r="L92" s="98"/>
      <c r="M92" s="103"/>
      <c r="N92" s="103"/>
      <c r="O92" s="103"/>
      <c r="P92" s="103"/>
      <c r="Q92" s="103"/>
      <c r="R92" s="103"/>
      <c r="S92" s="103"/>
      <c r="T92" s="103"/>
      <c r="U92" s="103"/>
      <c r="V92" s="103"/>
      <c r="W92" s="103"/>
    </row>
    <row r="93" spans="1:23" ht="15.6">
      <c r="A93" s="26" t="str">
        <v>Ridgeway #1</v>
      </c>
      <c r="B93" s="27" t="str">
        <v>NY</v>
      </c>
      <c r="C93" s="140" t="str">
        <f>Sites[[#This Row],[SOL'#]]</f>
        <v>SOL-11018</v>
      </c>
      <c r="D93" s="143"/>
      <c r="E93" s="14"/>
      <c r="F93" s="14" t="str">
        <f t="shared" si="6"/>
        <v/>
      </c>
      <c r="G93" s="15" t="str">
        <f t="shared" si="7"/>
        <v/>
      </c>
      <c r="H93" s="125"/>
      <c r="I93" s="133" t="str">
        <f t="shared" si="8"/>
        <v/>
      </c>
      <c r="J93" s="15" t="str">
        <f t="shared" si="9"/>
        <v/>
      </c>
      <c r="K93" s="51"/>
      <c r="L93" s="99"/>
      <c r="M93" s="102"/>
      <c r="N93" s="102"/>
      <c r="O93" s="102"/>
      <c r="P93" s="103"/>
      <c r="Q93" s="103"/>
      <c r="R93" s="103"/>
      <c r="S93" s="103"/>
      <c r="T93" s="103"/>
      <c r="U93" s="103"/>
      <c r="V93" s="103"/>
      <c r="W93" s="103"/>
    </row>
    <row r="94" spans="1:23" ht="15.6">
      <c r="A94" s="24" t="str">
        <v>Rivard 1</v>
      </c>
      <c r="B94" s="25" t="str">
        <v>NY</v>
      </c>
      <c r="C94" s="25" t="str">
        <f>Sites[[#This Row],[SOL'#]]</f>
        <v>SOL-11011</v>
      </c>
      <c r="D94" s="142"/>
      <c r="E94" s="141"/>
      <c r="F94" s="10" t="str">
        <f t="shared" si="6"/>
        <v/>
      </c>
      <c r="G94" s="11" t="str">
        <f t="shared" si="7"/>
        <v/>
      </c>
      <c r="H94" s="146"/>
      <c r="I94" s="132" t="str">
        <f t="shared" si="8"/>
        <v/>
      </c>
      <c r="J94" s="13" t="str">
        <f t="shared" si="9"/>
        <v/>
      </c>
      <c r="K94" s="53"/>
      <c r="L94" s="53"/>
      <c r="M94" s="103"/>
      <c r="N94" s="103"/>
      <c r="O94" s="103"/>
      <c r="P94" s="103"/>
      <c r="Q94" s="103"/>
      <c r="R94" s="103"/>
      <c r="S94" s="103"/>
      <c r="T94" s="103"/>
      <c r="U94" s="103"/>
      <c r="V94" s="103"/>
      <c r="W94" s="103"/>
    </row>
    <row r="95" spans="1:23" ht="15.6">
      <c r="A95" s="26" t="str">
        <v>Rivard 2</v>
      </c>
      <c r="B95" s="27" t="str">
        <v>NY</v>
      </c>
      <c r="C95" s="140" t="str">
        <f>Sites[[#This Row],[SOL'#]]</f>
        <v>SOL-11012</v>
      </c>
      <c r="D95" s="143"/>
      <c r="E95" s="14"/>
      <c r="F95" s="14" t="str">
        <f t="shared" si="6"/>
        <v/>
      </c>
      <c r="G95" s="15" t="str">
        <f t="shared" si="7"/>
        <v/>
      </c>
      <c r="H95" s="125"/>
      <c r="I95" s="133" t="str">
        <f t="shared" si="8"/>
        <v/>
      </c>
      <c r="J95" s="15" t="str">
        <f t="shared" si="9"/>
        <v/>
      </c>
      <c r="K95" s="51"/>
      <c r="L95" s="99"/>
      <c r="M95" s="103"/>
      <c r="N95" s="103"/>
      <c r="O95" s="103"/>
      <c r="P95" s="103"/>
      <c r="Q95" s="103"/>
      <c r="R95" s="103"/>
      <c r="S95" s="103"/>
      <c r="T95" s="103"/>
      <c r="U95" s="103"/>
      <c r="V95" s="103"/>
      <c r="W95" s="103"/>
    </row>
    <row r="96" spans="1:23" ht="15.6">
      <c r="A96" s="24" t="str">
        <v>Ridgeway #2</v>
      </c>
      <c r="B96" s="25" t="str">
        <v>NY</v>
      </c>
      <c r="C96" s="25" t="str">
        <f>Sites[[#This Row],[SOL'#]]</f>
        <v>SOL-11027</v>
      </c>
      <c r="D96" s="142"/>
      <c r="E96" s="141"/>
      <c r="F96" s="10" t="str">
        <f t="shared" si="6"/>
        <v/>
      </c>
      <c r="G96" s="11" t="str">
        <f t="shared" si="7"/>
        <v/>
      </c>
      <c r="H96" s="146"/>
      <c r="I96" s="132" t="str">
        <f t="shared" si="8"/>
        <v/>
      </c>
      <c r="J96" s="13" t="str">
        <f t="shared" si="9"/>
        <v/>
      </c>
      <c r="K96" s="53"/>
      <c r="L96" s="53"/>
      <c r="M96" s="103"/>
      <c r="N96" s="103"/>
      <c r="O96" s="103"/>
      <c r="P96" s="103"/>
      <c r="Q96" s="103"/>
      <c r="R96" s="103"/>
      <c r="S96" s="103"/>
      <c r="T96" s="103"/>
      <c r="U96" s="103"/>
      <c r="V96" s="103"/>
      <c r="W96" s="103"/>
    </row>
    <row r="97" spans="1:23" ht="15.6">
      <c r="A97" s="26" t="str">
        <v>Spencer</v>
      </c>
      <c r="B97" s="27" t="str">
        <v>NY</v>
      </c>
      <c r="C97" s="140" t="str">
        <f>Sites[[#This Row],[SOL'#]]</f>
        <v>SOL-11017</v>
      </c>
      <c r="D97" s="143"/>
      <c r="E97" s="14"/>
      <c r="F97" s="14" t="str">
        <f t="shared" si="6"/>
        <v/>
      </c>
      <c r="G97" s="15" t="str">
        <f t="shared" si="7"/>
        <v/>
      </c>
      <c r="H97" s="125"/>
      <c r="I97" s="133" t="str">
        <f t="shared" si="8"/>
        <v/>
      </c>
      <c r="J97" s="15" t="str">
        <f t="shared" si="9"/>
        <v/>
      </c>
      <c r="K97" s="51"/>
      <c r="L97" s="99"/>
      <c r="M97" s="103"/>
      <c r="N97" s="103"/>
      <c r="O97" s="103"/>
      <c r="P97" s="103"/>
      <c r="Q97" s="103"/>
      <c r="R97" s="103"/>
      <c r="S97" s="103"/>
      <c r="T97" s="103"/>
      <c r="U97" s="103"/>
      <c r="V97" s="103"/>
      <c r="W97" s="103"/>
    </row>
    <row r="98" spans="1:23" ht="15.6">
      <c r="A98" s="24" t="str">
        <v>Reisender</v>
      </c>
      <c r="B98" s="25" t="str">
        <v>NY</v>
      </c>
      <c r="C98" s="25" t="str">
        <f>Sites[[#This Row],[SOL'#]]</f>
        <v>SOL-10886</v>
      </c>
      <c r="D98" s="142"/>
      <c r="E98" s="141"/>
      <c r="F98" s="10" t="str">
        <f t="shared" si="6"/>
        <v/>
      </c>
      <c r="G98" s="11" t="str">
        <f t="shared" si="7"/>
        <v/>
      </c>
      <c r="H98" s="146"/>
      <c r="I98" s="132" t="str">
        <f t="shared" si="8"/>
        <v/>
      </c>
      <c r="J98" s="13" t="str">
        <f t="shared" si="9"/>
        <v/>
      </c>
      <c r="K98" s="53"/>
      <c r="L98" s="53"/>
      <c r="M98" s="103"/>
      <c r="N98" s="103"/>
      <c r="O98" s="103"/>
      <c r="P98" s="103"/>
      <c r="Q98" s="103"/>
      <c r="R98" s="103"/>
      <c r="S98" s="103"/>
      <c r="T98" s="103"/>
      <c r="U98" s="103"/>
      <c r="V98" s="103"/>
      <c r="W98" s="103"/>
    </row>
    <row r="99" spans="1:23" ht="15.6">
      <c r="A99" s="26" t="str">
        <v>Finney</v>
      </c>
      <c r="B99" s="27" t="str">
        <v>NY</v>
      </c>
      <c r="C99" s="140" t="str">
        <f>Sites[[#This Row],[SOL'#]]</f>
        <v>SOL-10999</v>
      </c>
      <c r="D99" s="143"/>
      <c r="E99" s="14"/>
      <c r="F99" s="14" t="str">
        <f t="shared" si="6"/>
        <v/>
      </c>
      <c r="G99" s="15" t="str">
        <f t="shared" si="7"/>
        <v/>
      </c>
      <c r="H99" s="125"/>
      <c r="I99" s="133" t="str">
        <f t="shared" si="8"/>
        <v/>
      </c>
      <c r="J99" s="15" t="str">
        <f t="shared" si="9"/>
        <v/>
      </c>
      <c r="K99" s="51"/>
      <c r="L99" s="99"/>
      <c r="M99" s="102"/>
      <c r="N99" s="102"/>
      <c r="O99" s="103"/>
      <c r="P99" s="103"/>
      <c r="Q99" s="103"/>
      <c r="R99" s="103"/>
      <c r="S99" s="103"/>
      <c r="T99" s="103"/>
      <c r="U99" s="103"/>
      <c r="V99" s="103"/>
      <c r="W99" s="103"/>
    </row>
    <row r="100" spans="1:23" ht="15.6">
      <c r="A100" s="24" t="str">
        <v>Davis Solar</v>
      </c>
      <c r="B100" s="25" t="str">
        <v>NY</v>
      </c>
      <c r="C100" s="25" t="str">
        <f>Sites[[#This Row],[SOL'#]]</f>
        <v>SOL-10958</v>
      </c>
      <c r="D100" s="142"/>
      <c r="E100" s="141"/>
      <c r="F100" s="10" t="str">
        <f t="shared" si="6"/>
        <v/>
      </c>
      <c r="G100" s="11" t="str">
        <f t="shared" si="7"/>
        <v/>
      </c>
      <c r="H100" s="146"/>
      <c r="I100" s="132" t="str">
        <f t="shared" si="8"/>
        <v/>
      </c>
      <c r="J100" s="13" t="str">
        <f t="shared" si="9"/>
        <v/>
      </c>
      <c r="K100" s="53"/>
      <c r="L100" s="98"/>
      <c r="M100" s="103"/>
      <c r="N100" s="103"/>
      <c r="O100" s="103"/>
      <c r="P100" s="103"/>
      <c r="Q100" s="103"/>
      <c r="R100" s="103"/>
      <c r="S100" s="103"/>
      <c r="T100" s="103"/>
      <c r="U100" s="103"/>
      <c r="V100" s="103"/>
      <c r="W100" s="103"/>
    </row>
    <row r="101" spans="1:23" ht="15.6">
      <c r="A101" s="26" t="str">
        <v>Genesee</v>
      </c>
      <c r="B101" s="27" t="str">
        <v>NY</v>
      </c>
      <c r="C101" s="140" t="str">
        <f>Sites[[#This Row],[SOL'#]]</f>
        <v>SOL-10951</v>
      </c>
      <c r="D101" s="143"/>
      <c r="E101" s="14"/>
      <c r="F101" s="14" t="str">
        <f t="shared" si="6"/>
        <v/>
      </c>
      <c r="G101" s="15" t="str">
        <f t="shared" si="7"/>
        <v/>
      </c>
      <c r="H101" s="125"/>
      <c r="I101" s="133" t="str">
        <f t="shared" si="8"/>
        <v/>
      </c>
      <c r="J101" s="15" t="str">
        <f t="shared" si="9"/>
        <v/>
      </c>
      <c r="K101" s="51"/>
      <c r="L101" s="99"/>
      <c r="M101" s="103"/>
      <c r="N101" s="103"/>
      <c r="O101" s="103"/>
      <c r="P101" s="103"/>
      <c r="Q101" s="103"/>
      <c r="R101" s="103"/>
      <c r="S101" s="103"/>
      <c r="T101" s="103"/>
      <c r="U101" s="103"/>
      <c r="V101" s="103"/>
      <c r="W101" s="103"/>
    </row>
    <row r="102" spans="1:23" ht="15.6">
      <c r="A102" s="24" t="str">
        <v>Landau I</v>
      </c>
      <c r="B102" s="25" t="str">
        <v>NY</v>
      </c>
      <c r="C102" s="25" t="str">
        <f>Sites[[#This Row],[SOL'#]]</f>
        <v>SOL-10891</v>
      </c>
      <c r="D102" s="142"/>
      <c r="E102" s="141"/>
      <c r="F102" s="10" t="str">
        <f t="shared" si="6"/>
        <v/>
      </c>
      <c r="G102" s="11" t="str">
        <f t="shared" si="7"/>
        <v/>
      </c>
      <c r="H102" s="146"/>
      <c r="I102" s="132" t="str">
        <f t="shared" si="8"/>
        <v/>
      </c>
      <c r="J102" s="13" t="str">
        <f t="shared" si="9"/>
        <v/>
      </c>
      <c r="K102" s="53"/>
      <c r="L102" s="53"/>
      <c r="M102" s="103"/>
      <c r="N102" s="103"/>
      <c r="O102" s="103"/>
      <c r="P102" s="103"/>
      <c r="Q102" s="103"/>
      <c r="R102" s="103"/>
      <c r="S102" s="103"/>
      <c r="T102" s="103"/>
      <c r="U102" s="103"/>
      <c r="V102" s="103"/>
      <c r="W102" s="103"/>
    </row>
    <row r="103" spans="1:23" ht="168.75" customHeight="1">
      <c r="A103" s="26" t="str">
        <v>Landau II</v>
      </c>
      <c r="B103" s="27" t="str">
        <v>NY</v>
      </c>
      <c r="C103" s="140" t="str">
        <f>Sites[[#This Row],[SOL'#]]</f>
        <v>SOL-10895</v>
      </c>
      <c r="D103" s="143"/>
      <c r="E103" s="14"/>
      <c r="F103" s="14" t="str">
        <f t="shared" si="6"/>
        <v/>
      </c>
      <c r="G103" s="15" t="str">
        <f t="shared" si="7"/>
        <v/>
      </c>
      <c r="H103" s="125"/>
      <c r="I103" s="133" t="str">
        <f t="shared" si="8"/>
        <v/>
      </c>
      <c r="J103" s="15" t="str">
        <f t="shared" si="9"/>
        <v/>
      </c>
      <c r="K103" s="51"/>
      <c r="L103" s="99"/>
      <c r="M103" s="102"/>
      <c r="N103" s="103"/>
      <c r="O103" s="103"/>
      <c r="P103" s="103"/>
      <c r="Q103" s="103"/>
      <c r="R103" s="103"/>
      <c r="S103" s="103"/>
      <c r="T103" s="103"/>
      <c r="U103" s="103"/>
      <c r="V103" s="103"/>
      <c r="W103" s="103"/>
    </row>
    <row r="104" spans="1:23" ht="15.6">
      <c r="A104" s="24" t="str">
        <v>New Beginnings</v>
      </c>
      <c r="B104" s="25" t="str">
        <v>NY</v>
      </c>
      <c r="C104" s="25" t="str">
        <f>Sites[[#This Row],[SOL'#]]</f>
        <v>SOL-10890</v>
      </c>
      <c r="D104" s="142"/>
      <c r="E104" s="141"/>
      <c r="F104" s="10" t="str">
        <f t="shared" si="6"/>
        <v/>
      </c>
      <c r="G104" s="11" t="str">
        <f t="shared" si="7"/>
        <v/>
      </c>
      <c r="H104" s="146"/>
      <c r="I104" s="132" t="str">
        <f t="shared" si="8"/>
        <v/>
      </c>
      <c r="J104" s="13" t="str">
        <f t="shared" si="9"/>
        <v/>
      </c>
      <c r="K104" s="53"/>
      <c r="L104" s="53"/>
      <c r="M104" s="103"/>
      <c r="N104" s="103"/>
      <c r="O104" s="103"/>
      <c r="P104" s="103"/>
      <c r="Q104" s="103"/>
      <c r="R104" s="103"/>
      <c r="S104" s="103"/>
      <c r="T104" s="103"/>
      <c r="U104" s="103"/>
      <c r="V104" s="103"/>
      <c r="W104" s="103"/>
    </row>
    <row r="105" spans="1:23" ht="15.6">
      <c r="A105" s="26" t="str">
        <v>Bullitt Farm Solar, LLC</v>
      </c>
      <c r="B105" s="27" t="str">
        <v>NY</v>
      </c>
      <c r="C105" s="140" t="str">
        <f>Sites[[#This Row],[SOL'#]]</f>
        <v>SOL-10998</v>
      </c>
      <c r="D105" s="143"/>
      <c r="E105" s="14"/>
      <c r="F105" s="14"/>
      <c r="G105" s="15" t="str">
        <f t="shared" si="7"/>
        <v/>
      </c>
      <c r="H105" s="125"/>
      <c r="I105" s="133" t="str">
        <f t="shared" si="8"/>
        <v/>
      </c>
      <c r="J105" s="15" t="str">
        <f t="shared" si="9"/>
        <v/>
      </c>
      <c r="K105" s="51"/>
      <c r="L105" s="99"/>
      <c r="M105" s="103"/>
      <c r="N105" s="103"/>
      <c r="O105" s="103"/>
      <c r="P105" s="103"/>
      <c r="Q105" s="103"/>
      <c r="R105" s="103"/>
      <c r="S105" s="103"/>
      <c r="T105" s="103"/>
      <c r="U105" s="103"/>
      <c r="V105" s="103"/>
      <c r="W105" s="103"/>
    </row>
    <row r="106" spans="1:23" ht="15.6">
      <c r="A106" s="24" t="str">
        <v>Brodhead Solar, LLC</v>
      </c>
      <c r="B106" s="25" t="str">
        <v>NY</v>
      </c>
      <c r="C106" s="25" t="str">
        <f>Sites[[#This Row],[SOL'#]]</f>
        <v>SOL-10899</v>
      </c>
      <c r="D106" s="142"/>
      <c r="E106" s="141"/>
      <c r="F106" s="10" t="str">
        <f t="shared" si="6"/>
        <v/>
      </c>
      <c r="G106" s="11" t="str">
        <f t="shared" si="7"/>
        <v/>
      </c>
      <c r="H106" s="146"/>
      <c r="I106" s="132" t="str">
        <f t="shared" si="8"/>
        <v/>
      </c>
      <c r="J106" s="13" t="str">
        <f t="shared" si="9"/>
        <v/>
      </c>
      <c r="K106" s="53"/>
      <c r="L106" s="98"/>
      <c r="M106" s="103"/>
      <c r="N106" s="103"/>
      <c r="O106" s="103"/>
      <c r="P106" s="103"/>
      <c r="Q106" s="103"/>
      <c r="R106" s="103"/>
      <c r="S106" s="103"/>
      <c r="T106" s="103"/>
      <c r="U106" s="103"/>
      <c r="V106" s="103"/>
      <c r="W106" s="103"/>
    </row>
    <row r="107" spans="1:23" ht="15.6">
      <c r="A107" s="26" t="str">
        <v>Svenski</v>
      </c>
      <c r="B107" s="27" t="str">
        <v>NY</v>
      </c>
      <c r="C107" s="140" t="str">
        <f>Sites[[#This Row],[SOL'#]]</f>
        <v>SOL-10894</v>
      </c>
      <c r="D107" s="143"/>
      <c r="E107" s="14"/>
      <c r="F107" s="14" t="str">
        <f t="shared" si="6"/>
        <v/>
      </c>
      <c r="G107" s="15" t="str">
        <f t="shared" si="7"/>
        <v/>
      </c>
      <c r="H107" s="125"/>
      <c r="I107" s="133" t="str">
        <f t="shared" si="8"/>
        <v/>
      </c>
      <c r="J107" s="15" t="str">
        <f t="shared" si="9"/>
        <v/>
      </c>
      <c r="K107" s="51"/>
      <c r="L107" s="51"/>
      <c r="M107" s="103"/>
      <c r="N107" s="103"/>
      <c r="O107" s="103"/>
      <c r="P107" s="103"/>
      <c r="Q107" s="103"/>
      <c r="R107" s="103"/>
      <c r="S107" s="103"/>
      <c r="T107" s="103"/>
      <c r="U107" s="103"/>
      <c r="V107" s="103"/>
      <c r="W107" s="103"/>
    </row>
    <row r="108" spans="1:23" ht="15.6">
      <c r="A108" s="24" t="str">
        <v>Bantam</v>
      </c>
      <c r="B108" s="25" t="str">
        <v>NY</v>
      </c>
      <c r="C108" s="25" t="str">
        <f>Sites[[#This Row],[SOL'#]]</f>
        <v>SOL-10986</v>
      </c>
      <c r="D108" s="142"/>
      <c r="E108" s="141"/>
      <c r="F108" s="10" t="str">
        <f t="shared" si="6"/>
        <v/>
      </c>
      <c r="G108" s="11" t="str">
        <f t="shared" si="7"/>
        <v/>
      </c>
      <c r="H108" s="146"/>
      <c r="I108" s="132" t="str">
        <f t="shared" si="8"/>
        <v/>
      </c>
      <c r="J108" s="13" t="str">
        <f t="shared" si="9"/>
        <v/>
      </c>
      <c r="K108" s="53"/>
      <c r="L108" s="98"/>
      <c r="M108" s="102"/>
      <c r="N108" s="103"/>
      <c r="O108" s="103"/>
      <c r="P108" s="103"/>
      <c r="Q108" s="103"/>
      <c r="R108" s="103"/>
      <c r="S108" s="103"/>
      <c r="T108" s="103"/>
      <c r="U108" s="103"/>
      <c r="V108" s="103"/>
      <c r="W108" s="103"/>
    </row>
    <row r="109" spans="1:23" ht="15.6">
      <c r="A109" s="26" t="str">
        <v>Bogart</v>
      </c>
      <c r="B109" s="27" t="str">
        <v>NY</v>
      </c>
      <c r="C109" s="140" t="str">
        <f>Sites[[#This Row],[SOL'#]]</f>
        <v>SOL-10887</v>
      </c>
      <c r="D109" s="143"/>
      <c r="E109" s="14"/>
      <c r="F109" s="14" t="str">
        <f t="shared" si="6"/>
        <v/>
      </c>
      <c r="G109" s="15" t="str">
        <f t="shared" si="7"/>
        <v/>
      </c>
      <c r="H109" s="125"/>
      <c r="I109" s="133" t="str">
        <f t="shared" si="8"/>
        <v/>
      </c>
      <c r="J109" s="15" t="str">
        <f t="shared" si="9"/>
        <v/>
      </c>
      <c r="K109" s="51"/>
      <c r="L109" s="99"/>
      <c r="M109" s="103"/>
      <c r="N109" s="103"/>
      <c r="O109" s="103"/>
      <c r="P109" s="103"/>
      <c r="Q109" s="103"/>
      <c r="R109" s="103"/>
      <c r="S109" s="103"/>
      <c r="T109" s="103"/>
      <c r="U109" s="103"/>
      <c r="V109" s="103"/>
      <c r="W109" s="103"/>
    </row>
    <row r="110" spans="1:23" ht="15.6">
      <c r="A110" s="24" t="str">
        <v>Dubois</v>
      </c>
      <c r="B110" s="25" t="str">
        <v>NY</v>
      </c>
      <c r="C110" s="25" t="str">
        <f>Sites[[#This Row],[SOL'#]]</f>
        <v>SOL-10892</v>
      </c>
      <c r="D110" s="142"/>
      <c r="E110" s="141"/>
      <c r="F110" s="10" t="str">
        <f t="shared" si="6"/>
        <v/>
      </c>
      <c r="G110" s="11" t="str">
        <f t="shared" si="7"/>
        <v/>
      </c>
      <c r="H110" s="146"/>
      <c r="I110" s="132" t="str">
        <f t="shared" si="8"/>
        <v/>
      </c>
      <c r="J110" s="13" t="str">
        <f t="shared" si="9"/>
        <v/>
      </c>
      <c r="K110" s="53"/>
      <c r="L110" s="98"/>
      <c r="M110" s="102"/>
      <c r="N110" s="103"/>
      <c r="O110" s="103"/>
      <c r="P110" s="103"/>
      <c r="Q110" s="103"/>
      <c r="R110" s="103"/>
      <c r="S110" s="103"/>
      <c r="T110" s="103"/>
      <c r="U110" s="103"/>
      <c r="V110" s="103"/>
      <c r="W110" s="103"/>
    </row>
    <row r="111" spans="1:23" ht="152.25" customHeight="1">
      <c r="A111" s="26" t="str">
        <v>Salt Point</v>
      </c>
      <c r="B111" s="27" t="str">
        <v>NY</v>
      </c>
      <c r="C111" s="140" t="str">
        <f>Sites[[#This Row],[SOL'#]]</f>
        <v>SOL-10888</v>
      </c>
      <c r="D111" s="143"/>
      <c r="E111" s="14"/>
      <c r="F111" s="14" t="str">
        <f t="shared" si="6"/>
        <v/>
      </c>
      <c r="G111" s="15" t="str">
        <f t="shared" si="7"/>
        <v/>
      </c>
      <c r="H111" s="125"/>
      <c r="I111" s="133" t="str">
        <f t="shared" si="8"/>
        <v/>
      </c>
      <c r="J111" s="15" t="str">
        <f t="shared" si="9"/>
        <v/>
      </c>
      <c r="K111" s="51"/>
      <c r="L111" s="99"/>
      <c r="M111" s="102"/>
      <c r="N111" s="102"/>
      <c r="O111" s="102"/>
      <c r="P111" s="102"/>
      <c r="Q111" s="103"/>
      <c r="R111" s="103"/>
      <c r="S111" s="103"/>
      <c r="T111" s="103"/>
      <c r="U111" s="103"/>
      <c r="V111" s="103"/>
      <c r="W111" s="103"/>
    </row>
    <row r="112" spans="1:23" ht="15.6">
      <c r="A112" s="24" t="str">
        <v>Wheatland 2A</v>
      </c>
      <c r="B112" s="25" t="str">
        <v>NY</v>
      </c>
      <c r="C112" s="25" t="str">
        <f>Sites[[#This Row],[SOL'#]]</f>
        <v>SOL-10971</v>
      </c>
      <c r="D112" s="142"/>
      <c r="E112" s="141"/>
      <c r="F112" s="10" t="str">
        <f t="shared" si="6"/>
        <v/>
      </c>
      <c r="G112" s="11" t="str">
        <f t="shared" si="7"/>
        <v/>
      </c>
      <c r="H112" s="146"/>
      <c r="I112" s="132" t="str">
        <f t="shared" si="8"/>
        <v/>
      </c>
      <c r="J112" s="13" t="str">
        <f t="shared" si="9"/>
        <v/>
      </c>
      <c r="K112" s="53"/>
      <c r="L112" s="98"/>
      <c r="M112" s="103"/>
      <c r="N112" s="103"/>
      <c r="O112" s="103"/>
      <c r="P112" s="103"/>
      <c r="Q112" s="103"/>
      <c r="R112" s="103"/>
      <c r="S112" s="103"/>
      <c r="T112" s="103"/>
      <c r="U112" s="103"/>
      <c r="V112" s="103"/>
      <c r="W112" s="103"/>
    </row>
    <row r="113" spans="1:23" ht="15.6">
      <c r="A113" s="26" t="str">
        <v>Wheatland 2B</v>
      </c>
      <c r="B113" s="27" t="str">
        <v>NY</v>
      </c>
      <c r="C113" s="140" t="str">
        <f>Sites[[#This Row],[SOL'#]]</f>
        <v>SOL-10961</v>
      </c>
      <c r="D113" s="143"/>
      <c r="E113" s="14"/>
      <c r="F113" s="14" t="str">
        <f t="shared" si="6"/>
        <v/>
      </c>
      <c r="G113" s="15" t="str">
        <f t="shared" si="7"/>
        <v/>
      </c>
      <c r="H113" s="125"/>
      <c r="I113" s="133" t="str">
        <f t="shared" si="8"/>
        <v/>
      </c>
      <c r="J113" s="15" t="str">
        <f t="shared" si="9"/>
        <v/>
      </c>
      <c r="K113" s="51"/>
      <c r="L113" s="99"/>
      <c r="M113" s="103"/>
      <c r="N113" s="103"/>
      <c r="O113" s="103"/>
      <c r="P113" s="103"/>
      <c r="Q113" s="103"/>
      <c r="R113" s="103"/>
      <c r="S113" s="103"/>
      <c r="T113" s="103"/>
      <c r="U113" s="103"/>
      <c r="V113" s="103"/>
      <c r="W113" s="103"/>
    </row>
    <row r="114" spans="1:23" ht="93" customHeight="1">
      <c r="A114" s="24" t="str">
        <v>Brickchurch</v>
      </c>
      <c r="B114" s="25" t="str">
        <v>NY</v>
      </c>
      <c r="C114" s="25" t="str">
        <f>Sites[[#This Row],[SOL'#]]</f>
        <v>SOL-10889</v>
      </c>
      <c r="D114" s="142"/>
      <c r="E114" s="141"/>
      <c r="F114" s="10" t="str">
        <f t="shared" si="6"/>
        <v/>
      </c>
      <c r="G114" s="11" t="str">
        <f t="shared" si="7"/>
        <v/>
      </c>
      <c r="H114" s="146"/>
      <c r="I114" s="132" t="str">
        <f t="shared" si="8"/>
        <v/>
      </c>
      <c r="J114" s="13" t="str">
        <f t="shared" si="9"/>
        <v/>
      </c>
      <c r="K114" s="53"/>
      <c r="L114" s="98"/>
      <c r="M114" s="102"/>
      <c r="N114" s="102"/>
      <c r="O114" s="103"/>
      <c r="P114" s="103"/>
      <c r="Q114" s="103"/>
      <c r="R114" s="103"/>
      <c r="S114" s="103"/>
      <c r="T114" s="103"/>
      <c r="U114" s="103"/>
      <c r="V114" s="103"/>
      <c r="W114" s="103"/>
    </row>
    <row r="115" spans="1:23" ht="15.6">
      <c r="A115" s="26" t="str">
        <v>McCarthy Solar</v>
      </c>
      <c r="B115" s="27" t="str">
        <v>NY</v>
      </c>
      <c r="C115" s="140" t="str">
        <f>Sites[[#This Row],[SOL'#]]</f>
        <v>SOL-10992</v>
      </c>
      <c r="D115" s="143"/>
      <c r="E115" s="14"/>
      <c r="F115" s="14" t="str">
        <f t="shared" si="6"/>
        <v/>
      </c>
      <c r="G115" s="15" t="str">
        <f t="shared" si="7"/>
        <v/>
      </c>
      <c r="H115" s="125"/>
      <c r="I115" s="133" t="str">
        <f t="shared" si="8"/>
        <v/>
      </c>
      <c r="J115" s="15" t="str">
        <f t="shared" si="9"/>
        <v/>
      </c>
      <c r="K115" s="51"/>
      <c r="L115" s="99"/>
      <c r="M115" s="103"/>
      <c r="N115" s="103"/>
      <c r="O115" s="103"/>
      <c r="P115" s="103"/>
      <c r="Q115" s="103"/>
      <c r="R115" s="103"/>
      <c r="S115" s="103"/>
      <c r="T115" s="103"/>
      <c r="U115" s="103"/>
      <c r="V115" s="103"/>
      <c r="W115" s="103"/>
    </row>
    <row r="116" spans="1:23" ht="15.6">
      <c r="A116" s="24" t="str">
        <v>Costanza</v>
      </c>
      <c r="B116" s="25" t="str">
        <v>NY</v>
      </c>
      <c r="C116" s="25" t="str">
        <f>Sites[[#This Row],[SOL'#]]</f>
        <v>SOL-10907</v>
      </c>
      <c r="D116" s="142"/>
      <c r="E116" s="141"/>
      <c r="F116" s="10" t="str">
        <f t="shared" si="6"/>
        <v/>
      </c>
      <c r="G116" s="11" t="str">
        <f t="shared" si="7"/>
        <v/>
      </c>
      <c r="H116" s="146"/>
      <c r="I116" s="132" t="str">
        <f t="shared" si="8"/>
        <v/>
      </c>
      <c r="J116" s="13" t="str">
        <f t="shared" si="9"/>
        <v/>
      </c>
      <c r="K116" s="53"/>
      <c r="L116" s="98"/>
      <c r="M116" s="102"/>
      <c r="N116" s="102"/>
      <c r="O116" s="102"/>
      <c r="P116" s="102"/>
      <c r="Q116" s="103"/>
      <c r="R116" s="103"/>
      <c r="S116" s="103"/>
      <c r="T116" s="103"/>
      <c r="U116" s="103"/>
      <c r="V116" s="103"/>
      <c r="W116" s="103"/>
    </row>
    <row r="117" spans="1:23" ht="15.6">
      <c r="A117" s="26" t="str">
        <v>Lockenhurst Pond</v>
      </c>
      <c r="B117" s="27" t="str">
        <v>NY</v>
      </c>
      <c r="C117" s="140" t="str">
        <f>Sites[[#This Row],[SOL'#]]</f>
        <v>SOL-11000</v>
      </c>
      <c r="D117" s="143"/>
      <c r="E117" s="14"/>
      <c r="F117" s="14" t="str">
        <f t="shared" si="6"/>
        <v/>
      </c>
      <c r="G117" s="15" t="str">
        <f t="shared" si="7"/>
        <v/>
      </c>
      <c r="H117" s="69"/>
      <c r="I117" s="16" t="str">
        <f t="shared" si="8"/>
        <v/>
      </c>
      <c r="J117" s="15" t="str">
        <f t="shared" si="9"/>
        <v/>
      </c>
      <c r="K117" s="51"/>
      <c r="L117" s="99"/>
      <c r="M117" s="103"/>
      <c r="N117" s="103"/>
      <c r="O117" s="103"/>
      <c r="P117" s="103"/>
      <c r="Q117" s="103"/>
      <c r="R117" s="103"/>
      <c r="S117" s="103"/>
      <c r="T117" s="103"/>
      <c r="U117" s="103"/>
      <c r="V117" s="103"/>
      <c r="W117" s="103"/>
    </row>
    <row r="118" spans="1:23" ht="15.6">
      <c r="A118" s="24" t="str">
        <v>Drinkwater</v>
      </c>
      <c r="B118" s="25" t="str">
        <v>NY</v>
      </c>
      <c r="C118" s="25" t="str">
        <f>Sites[[#This Row],[SOL'#]]</f>
        <v>SOL-10896</v>
      </c>
      <c r="D118" s="77"/>
      <c r="E118" s="78"/>
      <c r="F118" s="10" t="str">
        <f t="shared" si="6"/>
        <v/>
      </c>
      <c r="G118" s="11" t="str">
        <f t="shared" si="7"/>
        <v/>
      </c>
      <c r="H118" s="67"/>
      <c r="I118" s="12" t="str">
        <f t="shared" si="8"/>
        <v/>
      </c>
      <c r="J118" s="13" t="str">
        <f t="shared" si="9"/>
        <v/>
      </c>
      <c r="K118" s="53"/>
      <c r="L118" s="53"/>
      <c r="M118" s="103"/>
      <c r="N118" s="103"/>
      <c r="O118" s="103"/>
      <c r="P118" s="103"/>
      <c r="Q118" s="103"/>
      <c r="R118" s="103"/>
      <c r="S118" s="103"/>
      <c r="T118" s="103"/>
      <c r="U118" s="103"/>
      <c r="V118" s="103"/>
      <c r="W118" s="103"/>
    </row>
    <row r="119" spans="1:23" ht="15.6">
      <c r="A119" s="26" t="str">
        <v>Altamont</v>
      </c>
      <c r="B119" s="27" t="str">
        <v>NY</v>
      </c>
      <c r="C119" s="140" t="str">
        <f>Sites[[#This Row],[SOL'#]]</f>
        <v>SOL-11085</v>
      </c>
      <c r="D119" s="72"/>
      <c r="E119" s="79"/>
      <c r="F119" s="14" t="str">
        <f t="shared" si="6"/>
        <v/>
      </c>
      <c r="G119" s="15" t="str">
        <f t="shared" si="7"/>
        <v/>
      </c>
      <c r="H119" s="69"/>
      <c r="I119" s="16" t="str">
        <f t="shared" si="8"/>
        <v/>
      </c>
      <c r="J119" s="15" t="str">
        <f t="shared" si="9"/>
        <v/>
      </c>
      <c r="K119" s="51"/>
      <c r="L119" s="51"/>
      <c r="M119" s="103"/>
      <c r="N119" s="103"/>
      <c r="O119" s="103"/>
      <c r="P119" s="103"/>
      <c r="Q119" s="103"/>
      <c r="R119" s="103"/>
      <c r="S119" s="103"/>
      <c r="T119" s="103"/>
      <c r="U119" s="103"/>
      <c r="V119" s="103"/>
      <c r="W119" s="103"/>
    </row>
    <row r="120" spans="1:23" ht="15.6">
      <c r="A120" s="24" t="str">
        <v>Krumkill North</v>
      </c>
      <c r="B120" s="25" t="str">
        <v>NY</v>
      </c>
      <c r="C120" s="25" t="str">
        <f>Sites[[#This Row],[SOL'#]]</f>
        <v>SOL-11086</v>
      </c>
      <c r="D120" s="77"/>
      <c r="E120" s="78"/>
      <c r="F120" s="10" t="str">
        <f t="shared" si="6"/>
        <v/>
      </c>
      <c r="G120" s="11" t="str">
        <f t="shared" si="7"/>
        <v/>
      </c>
      <c r="H120" s="67"/>
      <c r="I120" s="12" t="str">
        <f t="shared" si="8"/>
        <v/>
      </c>
      <c r="J120" s="13" t="str">
        <f t="shared" si="9"/>
        <v/>
      </c>
      <c r="K120" s="53"/>
      <c r="L120" s="98"/>
      <c r="M120" s="103"/>
      <c r="N120" s="103"/>
      <c r="O120" s="103"/>
      <c r="P120" s="103"/>
      <c r="Q120" s="103"/>
      <c r="R120" s="103"/>
      <c r="S120" s="103"/>
      <c r="T120" s="103"/>
      <c r="U120" s="103"/>
      <c r="V120" s="103"/>
      <c r="W120" s="103"/>
    </row>
    <row r="121" spans="1:23" ht="15.6">
      <c r="A121" s="26" t="str">
        <v>Krumkill South</v>
      </c>
      <c r="B121" s="27" t="str">
        <v>NY</v>
      </c>
      <c r="C121" s="140" t="str">
        <f>Sites[[#This Row],[SOL'#]]</f>
        <v>SOL-11087</v>
      </c>
      <c r="D121" s="72"/>
      <c r="E121" s="79"/>
      <c r="F121" s="14" t="str">
        <f t="shared" si="6"/>
        <v/>
      </c>
      <c r="G121" s="15" t="str">
        <f t="shared" si="7"/>
        <v/>
      </c>
      <c r="H121" s="69"/>
      <c r="I121" s="16" t="str">
        <f t="shared" si="8"/>
        <v/>
      </c>
      <c r="J121" s="15" t="str">
        <f t="shared" si="9"/>
        <v/>
      </c>
      <c r="K121" s="51"/>
      <c r="L121" s="99"/>
      <c r="M121" s="103"/>
      <c r="N121" s="103"/>
      <c r="O121" s="103"/>
      <c r="P121" s="103"/>
      <c r="Q121" s="103"/>
      <c r="R121" s="103"/>
      <c r="S121" s="103"/>
      <c r="T121" s="103"/>
      <c r="U121" s="103"/>
      <c r="V121" s="103"/>
      <c r="W121" s="103"/>
    </row>
    <row r="122" spans="1:23" ht="15.6">
      <c r="A122" s="24" t="str">
        <v>X092</v>
      </c>
      <c r="B122" s="25" t="str">
        <v>NY</v>
      </c>
      <c r="C122" s="25" t="str">
        <f>Sites[[#This Row],[SOL'#]]</f>
        <v>SOL-11189</v>
      </c>
      <c r="D122" s="77"/>
      <c r="E122" s="78"/>
      <c r="F122" s="10" t="str">
        <f t="shared" si="6"/>
        <v/>
      </c>
      <c r="G122" s="11" t="str">
        <f t="shared" si="7"/>
        <v/>
      </c>
      <c r="H122" s="67"/>
      <c r="I122" s="12" t="str">
        <f t="shared" si="8"/>
        <v/>
      </c>
      <c r="J122" s="13" t="str">
        <f t="shared" si="9"/>
        <v/>
      </c>
      <c r="K122" s="53"/>
      <c r="L122" s="53"/>
      <c r="M122" s="103"/>
      <c r="N122" s="103"/>
      <c r="O122" s="103"/>
      <c r="P122" s="103"/>
      <c r="Q122" s="103"/>
      <c r="R122" s="103"/>
      <c r="S122" s="103"/>
      <c r="T122" s="103"/>
      <c r="U122" s="103"/>
      <c r="V122" s="103"/>
      <c r="W122" s="103"/>
    </row>
    <row r="123" spans="1:23" ht="15.6">
      <c r="A123" s="26" t="str">
        <v>X093</v>
      </c>
      <c r="B123" s="27" t="str">
        <v>NY</v>
      </c>
      <c r="C123" s="140" t="str">
        <f>Sites[[#This Row],[SOL'#]]</f>
        <v>SOL-10932</v>
      </c>
      <c r="D123" s="72"/>
      <c r="E123" s="79"/>
      <c r="F123" s="14" t="str">
        <f t="shared" si="6"/>
        <v/>
      </c>
      <c r="G123" s="15" t="str">
        <f t="shared" si="7"/>
        <v/>
      </c>
      <c r="H123" s="69"/>
      <c r="I123" s="16" t="str">
        <f t="shared" si="8"/>
        <v/>
      </c>
      <c r="J123" s="15" t="str">
        <f t="shared" si="9"/>
        <v/>
      </c>
      <c r="K123" s="51"/>
      <c r="L123" s="51"/>
      <c r="M123" s="103"/>
      <c r="N123" s="103"/>
      <c r="O123" s="103"/>
      <c r="P123" s="103"/>
      <c r="Q123" s="103"/>
      <c r="R123" s="103"/>
      <c r="S123" s="103"/>
      <c r="T123" s="103"/>
      <c r="U123" s="103"/>
      <c r="V123" s="103"/>
      <c r="W123" s="103"/>
    </row>
    <row r="124" spans="1:23" ht="15.6">
      <c r="A124" s="24" t="str">
        <v>X095</v>
      </c>
      <c r="B124" s="25" t="str">
        <v>NY</v>
      </c>
      <c r="C124" s="25" t="str">
        <f>Sites[[#This Row],[SOL'#]]</f>
        <v>SOL-10929</v>
      </c>
      <c r="D124" s="77"/>
      <c r="E124" s="78"/>
      <c r="F124" s="10" t="str">
        <f t="shared" si="6"/>
        <v/>
      </c>
      <c r="G124" s="11" t="str">
        <f t="shared" si="7"/>
        <v/>
      </c>
      <c r="H124" s="67"/>
      <c r="I124" s="12" t="str">
        <f t="shared" si="8"/>
        <v/>
      </c>
      <c r="J124" s="13" t="str">
        <f t="shared" si="9"/>
        <v/>
      </c>
      <c r="K124" s="53"/>
      <c r="L124" s="53"/>
      <c r="M124" s="103"/>
      <c r="N124" s="103"/>
      <c r="O124" s="103"/>
      <c r="P124" s="103"/>
      <c r="Q124" s="103"/>
      <c r="R124" s="103"/>
      <c r="S124" s="103"/>
      <c r="T124" s="103"/>
      <c r="U124" s="103"/>
      <c r="V124" s="103"/>
      <c r="W124" s="103"/>
    </row>
    <row r="125" spans="1:23" ht="15.6">
      <c r="A125" s="26" t="str">
        <v>X181</v>
      </c>
      <c r="B125" s="27" t="str">
        <v>NY</v>
      </c>
      <c r="C125" s="140" t="str">
        <f>Sites[[#This Row],[SOL'#]]</f>
        <v>SOL-10428</v>
      </c>
      <c r="D125" s="143"/>
      <c r="E125" s="14"/>
      <c r="F125" s="14" t="str">
        <f t="shared" si="6"/>
        <v/>
      </c>
      <c r="G125" s="15" t="str">
        <f t="shared" si="7"/>
        <v/>
      </c>
      <c r="H125" s="69"/>
      <c r="I125" s="16" t="str">
        <f>IF(AND(ISNUMBER(D125),ISNUMBER(H125)), D125-H125, "")</f>
        <v/>
      </c>
      <c r="J125" s="15" t="str">
        <f t="shared" si="9"/>
        <v/>
      </c>
      <c r="K125" s="51"/>
      <c r="L125" s="99"/>
      <c r="M125" s="103"/>
      <c r="N125" s="103"/>
      <c r="O125" s="103"/>
      <c r="P125" s="103"/>
      <c r="Q125" s="103"/>
      <c r="R125" s="103"/>
      <c r="S125" s="103"/>
      <c r="T125" s="103"/>
      <c r="U125" s="103"/>
      <c r="V125" s="103"/>
      <c r="W125" s="103"/>
    </row>
    <row r="126" spans="1:23" ht="15" customHeight="1">
      <c r="A126" s="24" t="str">
        <v>X415</v>
      </c>
      <c r="B126" s="25" t="str">
        <v>NY</v>
      </c>
      <c r="C126" s="25" t="str">
        <f>Sites[[#This Row],[SOL'#]]</f>
        <v>SOL-10429</v>
      </c>
      <c r="D126" s="77"/>
      <c r="E126" s="78"/>
      <c r="F126" s="10" t="str">
        <f t="shared" si="6"/>
        <v/>
      </c>
      <c r="G126" s="11" t="str">
        <f t="shared" si="7"/>
        <v/>
      </c>
      <c r="H126" s="67"/>
      <c r="I126" s="12" t="str">
        <f t="shared" si="8"/>
        <v/>
      </c>
      <c r="J126" s="13" t="str">
        <f t="shared" si="9"/>
        <v/>
      </c>
      <c r="K126" s="53"/>
      <c r="L126" s="53"/>
      <c r="M126" s="103"/>
      <c r="N126" s="103"/>
      <c r="O126" s="103"/>
      <c r="P126" s="103"/>
      <c r="Q126" s="103"/>
      <c r="R126" s="103"/>
      <c r="S126" s="103"/>
      <c r="T126" s="103"/>
      <c r="U126" s="103"/>
      <c r="V126" s="103"/>
      <c r="W126" s="103"/>
    </row>
    <row r="127" spans="1:23" ht="15.6">
      <c r="A127" s="26" t="str">
        <v>K198</v>
      </c>
      <c r="B127" s="27" t="str">
        <v>NY</v>
      </c>
      <c r="C127" s="140" t="str">
        <f>Sites[[#This Row],[SOL'#]]</f>
        <v>SOL-10930</v>
      </c>
      <c r="D127" s="72"/>
      <c r="E127" s="79"/>
      <c r="F127" s="14" t="str">
        <f t="shared" si="6"/>
        <v/>
      </c>
      <c r="G127" s="15" t="str">
        <f t="shared" si="7"/>
        <v/>
      </c>
      <c r="H127" s="69"/>
      <c r="I127" s="16" t="str">
        <f t="shared" si="8"/>
        <v/>
      </c>
      <c r="J127" s="15" t="str">
        <f t="shared" si="9"/>
        <v/>
      </c>
      <c r="K127" s="51"/>
      <c r="L127" s="51"/>
      <c r="M127" s="103"/>
      <c r="N127" s="103"/>
      <c r="O127" s="103"/>
      <c r="P127" s="103"/>
      <c r="Q127" s="103"/>
      <c r="R127" s="103"/>
      <c r="S127" s="103"/>
      <c r="T127" s="103"/>
      <c r="U127" s="103"/>
      <c r="V127" s="103"/>
      <c r="W127" s="103"/>
    </row>
    <row r="128" spans="1:23" ht="15.6">
      <c r="A128" s="24" t="str">
        <v>K203</v>
      </c>
      <c r="B128" s="25" t="str">
        <v>NY</v>
      </c>
      <c r="C128" s="25" t="str">
        <f>Sites[[#This Row],[SOL'#]]</f>
        <v>SOL-11190</v>
      </c>
      <c r="D128" s="77"/>
      <c r="E128" s="78"/>
      <c r="F128" s="10" t="str">
        <f t="shared" si="6"/>
        <v/>
      </c>
      <c r="G128" s="11" t="str">
        <f t="shared" si="7"/>
        <v/>
      </c>
      <c r="H128" s="67"/>
      <c r="I128" s="12" t="str">
        <f t="shared" si="8"/>
        <v/>
      </c>
      <c r="J128" s="13" t="str">
        <f t="shared" si="9"/>
        <v/>
      </c>
      <c r="K128" s="53"/>
      <c r="L128" s="53"/>
      <c r="M128" s="103"/>
      <c r="N128" s="103"/>
      <c r="O128" s="103"/>
      <c r="P128" s="103"/>
      <c r="Q128" s="103"/>
      <c r="R128" s="103"/>
      <c r="S128" s="103"/>
      <c r="T128" s="103"/>
      <c r="U128" s="103"/>
      <c r="V128" s="103"/>
      <c r="W128" s="103"/>
    </row>
    <row r="129" spans="1:23" ht="15.6">
      <c r="A129" s="26" t="str">
        <v>K213</v>
      </c>
      <c r="B129" s="27" t="str">
        <v>NY</v>
      </c>
      <c r="C129" s="140" t="str">
        <f>Sites[[#This Row],[SOL'#]]</f>
        <v>SOL-11191</v>
      </c>
      <c r="D129" s="72"/>
      <c r="E129" s="79"/>
      <c r="F129" s="14" t="str">
        <f t="shared" si="6"/>
        <v/>
      </c>
      <c r="G129" s="15" t="str">
        <f t="shared" si="7"/>
        <v/>
      </c>
      <c r="H129" s="69"/>
      <c r="I129" s="16" t="str">
        <f t="shared" si="8"/>
        <v/>
      </c>
      <c r="J129" s="15" t="str">
        <f t="shared" si="9"/>
        <v/>
      </c>
      <c r="K129" s="51"/>
      <c r="L129" s="51"/>
      <c r="M129" s="103"/>
      <c r="N129" s="103"/>
      <c r="O129" s="103"/>
      <c r="P129" s="103"/>
      <c r="Q129" s="103"/>
      <c r="R129" s="103"/>
      <c r="S129" s="103"/>
      <c r="T129" s="103"/>
      <c r="U129" s="103"/>
      <c r="V129" s="103"/>
      <c r="W129" s="103"/>
    </row>
    <row r="130" spans="1:23" ht="15.6">
      <c r="A130" s="24" t="str">
        <v>K217</v>
      </c>
      <c r="B130" s="25" t="str">
        <v>NY</v>
      </c>
      <c r="C130" s="25" t="str">
        <f>Sites[[#This Row],[SOL'#]]</f>
        <v>SOL-10933</v>
      </c>
      <c r="D130" s="77"/>
      <c r="E130" s="78"/>
      <c r="F130" s="10" t="str">
        <f t="shared" si="6"/>
        <v/>
      </c>
      <c r="G130" s="11" t="str">
        <f t="shared" si="7"/>
        <v/>
      </c>
      <c r="H130" s="67"/>
      <c r="I130" s="12" t="str">
        <f t="shared" si="8"/>
        <v/>
      </c>
      <c r="J130" s="13" t="str">
        <f t="shared" si="9"/>
        <v/>
      </c>
      <c r="K130" s="53"/>
      <c r="L130" s="53"/>
      <c r="M130" s="103"/>
      <c r="N130" s="103"/>
      <c r="O130" s="103"/>
      <c r="P130" s="103"/>
      <c r="Q130" s="103"/>
      <c r="R130" s="103"/>
      <c r="S130" s="103"/>
      <c r="T130" s="103"/>
      <c r="U130" s="103"/>
      <c r="V130" s="103"/>
      <c r="W130" s="103"/>
    </row>
    <row r="131" spans="1:23" ht="15.6">
      <c r="A131" s="26" t="str">
        <v>K307</v>
      </c>
      <c r="B131" s="27" t="str">
        <v>NY</v>
      </c>
      <c r="C131" s="140" t="str">
        <f>Sites[[#This Row],[SOL'#]]</f>
        <v>SOL-10876</v>
      </c>
      <c r="D131" s="72"/>
      <c r="E131" s="79"/>
      <c r="F131" s="14" t="str">
        <f t="shared" si="6"/>
        <v/>
      </c>
      <c r="G131" s="15" t="str">
        <f t="shared" si="7"/>
        <v/>
      </c>
      <c r="H131" s="69"/>
      <c r="I131" s="16" t="str">
        <f t="shared" si="8"/>
        <v/>
      </c>
      <c r="J131" s="15" t="str">
        <f t="shared" si="9"/>
        <v/>
      </c>
      <c r="K131" s="51"/>
      <c r="L131" s="51"/>
      <c r="M131" s="103"/>
      <c r="N131" s="103"/>
      <c r="O131" s="103"/>
      <c r="P131" s="103"/>
      <c r="Q131" s="103"/>
      <c r="R131" s="103"/>
      <c r="S131" s="103"/>
      <c r="T131" s="103"/>
      <c r="U131" s="103"/>
      <c r="V131" s="103"/>
      <c r="W131" s="103"/>
    </row>
    <row r="132" spans="1:23" ht="15.6">
      <c r="A132" s="24" t="str">
        <v>K610</v>
      </c>
      <c r="B132" s="25" t="str">
        <v>NY</v>
      </c>
      <c r="C132" s="25" t="str">
        <f>Sites[[#This Row],[SOL'#]]</f>
        <v>SOL-11158</v>
      </c>
      <c r="D132" s="142"/>
      <c r="E132" s="141"/>
      <c r="F132" s="10" t="str">
        <f t="shared" si="6"/>
        <v/>
      </c>
      <c r="G132" s="11" t="str">
        <f t="shared" si="7"/>
        <v/>
      </c>
      <c r="H132" s="67"/>
      <c r="I132" s="12" t="str">
        <f t="shared" si="8"/>
        <v/>
      </c>
      <c r="J132" s="13" t="str">
        <f t="shared" si="9"/>
        <v/>
      </c>
      <c r="K132" s="53"/>
      <c r="L132" s="98"/>
      <c r="M132" s="103"/>
      <c r="N132" s="103"/>
      <c r="O132" s="103"/>
      <c r="P132" s="103"/>
      <c r="Q132" s="103"/>
      <c r="R132" s="103"/>
      <c r="S132" s="103"/>
      <c r="T132" s="103"/>
      <c r="U132" s="103"/>
      <c r="V132" s="103"/>
      <c r="W132" s="103"/>
    </row>
    <row r="133" spans="1:23" ht="15.6">
      <c r="A133" s="26" t="str">
        <v>M025</v>
      </c>
      <c r="B133" s="27" t="str">
        <v>NY</v>
      </c>
      <c r="C133" s="140" t="str">
        <f>Sites[[#This Row],[SOL'#]]</f>
        <v>SOL-10392</v>
      </c>
      <c r="D133" s="143"/>
      <c r="E133" s="14"/>
      <c r="F133" s="14" t="str">
        <f t="shared" ref="F133:F164" si="10">IF(AND(ISNUMBER(D133),ISNUMBER(E133)), D133-E133, "")</f>
        <v/>
      </c>
      <c r="G133" s="15" t="str">
        <f t="shared" si="7"/>
        <v/>
      </c>
      <c r="H133" s="69"/>
      <c r="I133" s="16" t="str">
        <f t="shared" si="8"/>
        <v/>
      </c>
      <c r="J133" s="15" t="str">
        <f t="shared" si="9"/>
        <v/>
      </c>
      <c r="K133" s="51"/>
      <c r="L133" s="99"/>
      <c r="M133" s="102"/>
      <c r="N133" s="103"/>
      <c r="O133" s="103"/>
      <c r="P133" s="103"/>
      <c r="Q133" s="103"/>
      <c r="R133" s="103"/>
      <c r="S133" s="103"/>
      <c r="T133" s="103"/>
      <c r="U133" s="103"/>
      <c r="V133" s="103"/>
      <c r="W133" s="103"/>
    </row>
    <row r="134" spans="1:23" ht="15.6">
      <c r="A134" s="24" t="str">
        <v>M028</v>
      </c>
      <c r="B134" s="25" t="str">
        <v>NY</v>
      </c>
      <c r="C134" s="25" t="str">
        <f>Sites[[#This Row],[SOL'#]]</f>
        <v>SOL-10381</v>
      </c>
      <c r="D134" s="142"/>
      <c r="E134" s="141"/>
      <c r="F134" s="10" t="str">
        <f t="shared" si="10"/>
        <v/>
      </c>
      <c r="G134" s="11" t="str">
        <f t="shared" ref="G134:G164" si="11">IFERROR(F134/E134, "")</f>
        <v/>
      </c>
      <c r="H134" s="146"/>
      <c r="I134" s="132" t="str">
        <f t="shared" si="8"/>
        <v/>
      </c>
      <c r="J134" s="13" t="str">
        <f t="shared" si="9"/>
        <v/>
      </c>
      <c r="K134" s="53"/>
      <c r="L134" s="53"/>
      <c r="M134" s="103"/>
      <c r="N134" s="103"/>
      <c r="O134" s="103"/>
      <c r="P134" s="103"/>
      <c r="Q134" s="103"/>
      <c r="R134" s="103"/>
      <c r="S134" s="103"/>
      <c r="T134" s="103"/>
      <c r="U134" s="103"/>
      <c r="V134" s="103"/>
      <c r="W134" s="103"/>
    </row>
    <row r="135" spans="1:23" ht="15.6">
      <c r="A135" s="26" t="str">
        <v>Q030</v>
      </c>
      <c r="B135" s="27" t="str">
        <v>NY</v>
      </c>
      <c r="C135" s="140" t="str">
        <f>Sites[[#This Row],[SOL'#]]</f>
        <v>SOL-10878</v>
      </c>
      <c r="D135" s="143"/>
      <c r="E135" s="14"/>
      <c r="F135" s="14" t="str">
        <f t="shared" si="10"/>
        <v/>
      </c>
      <c r="G135" s="15" t="str">
        <f t="shared" si="11"/>
        <v/>
      </c>
      <c r="H135" s="125"/>
      <c r="I135" s="133" t="str">
        <f t="shared" si="8"/>
        <v/>
      </c>
      <c r="J135" s="15" t="str">
        <f t="shared" si="9"/>
        <v/>
      </c>
      <c r="K135" s="51"/>
      <c r="L135" s="51"/>
      <c r="M135" s="103"/>
      <c r="N135" s="103"/>
      <c r="O135" s="103"/>
      <c r="P135" s="103"/>
      <c r="Q135" s="103"/>
      <c r="R135" s="103"/>
      <c r="S135" s="103"/>
      <c r="T135" s="103"/>
      <c r="U135" s="103"/>
      <c r="V135" s="103"/>
      <c r="W135" s="103"/>
    </row>
    <row r="136" spans="1:23" ht="15.6">
      <c r="A136" s="24" t="str">
        <v>Q130</v>
      </c>
      <c r="B136" s="25" t="str">
        <v>NY</v>
      </c>
      <c r="C136" s="25" t="str">
        <f>Sites[[#This Row],[SOL'#]]</f>
        <v>SOL-10877</v>
      </c>
      <c r="D136" s="142"/>
      <c r="E136" s="141"/>
      <c r="F136" s="10" t="str">
        <f t="shared" si="10"/>
        <v/>
      </c>
      <c r="G136" s="11" t="str">
        <f t="shared" si="11"/>
        <v/>
      </c>
      <c r="H136" s="146"/>
      <c r="I136" s="132" t="str">
        <f t="shared" si="8"/>
        <v/>
      </c>
      <c r="J136" s="13" t="str">
        <f t="shared" si="9"/>
        <v/>
      </c>
      <c r="K136" s="53"/>
      <c r="L136" s="53"/>
      <c r="M136" s="103"/>
      <c r="N136" s="103"/>
      <c r="O136" s="103"/>
      <c r="P136" s="103"/>
      <c r="Q136" s="103"/>
      <c r="R136" s="103"/>
      <c r="S136" s="103"/>
      <c r="T136" s="103"/>
      <c r="U136" s="103"/>
      <c r="V136" s="103"/>
      <c r="W136" s="103"/>
    </row>
    <row r="137" spans="1:23" ht="15.6">
      <c r="A137" s="26" t="str">
        <v>Q196</v>
      </c>
      <c r="B137" s="27" t="str">
        <v>NY</v>
      </c>
      <c r="C137" s="140" t="str">
        <f>Sites[[#This Row],[SOL'#]]</f>
        <v>SOL-10879</v>
      </c>
      <c r="D137" s="143"/>
      <c r="E137" s="14"/>
      <c r="F137" s="14" t="str">
        <f t="shared" si="10"/>
        <v/>
      </c>
      <c r="G137" s="15" t="str">
        <f t="shared" si="11"/>
        <v/>
      </c>
      <c r="H137" s="125"/>
      <c r="I137" s="133" t="str">
        <f t="shared" si="8"/>
        <v/>
      </c>
      <c r="J137" s="15" t="str">
        <f t="shared" si="9"/>
        <v/>
      </c>
      <c r="K137" s="51"/>
      <c r="L137" s="51"/>
      <c r="M137" s="103"/>
      <c r="N137" s="103"/>
      <c r="O137" s="103"/>
      <c r="P137" s="103"/>
      <c r="Q137" s="103"/>
      <c r="R137" s="103"/>
      <c r="S137" s="103"/>
      <c r="T137" s="103"/>
      <c r="U137" s="103"/>
      <c r="V137" s="103"/>
      <c r="W137" s="103"/>
    </row>
    <row r="138" spans="1:23" ht="15.6">
      <c r="A138" s="24" t="str">
        <v>Q220</v>
      </c>
      <c r="B138" s="25" t="str">
        <v>NY</v>
      </c>
      <c r="C138" s="25" t="str">
        <f>Sites[[#This Row],[SOL'#]]</f>
        <v>SOL-10873</v>
      </c>
      <c r="D138" s="142"/>
      <c r="E138" s="141"/>
      <c r="F138" s="10" t="str">
        <f t="shared" si="10"/>
        <v/>
      </c>
      <c r="G138" s="11" t="str">
        <f t="shared" si="11"/>
        <v/>
      </c>
      <c r="H138" s="146"/>
      <c r="I138" s="132" t="str">
        <f t="shared" si="8"/>
        <v/>
      </c>
      <c r="J138" s="13" t="str">
        <f t="shared" si="9"/>
        <v/>
      </c>
      <c r="K138" s="53"/>
      <c r="L138" s="98"/>
      <c r="M138" s="103"/>
      <c r="N138" s="103"/>
      <c r="O138" s="103"/>
      <c r="P138" s="103"/>
      <c r="Q138" s="103"/>
      <c r="R138" s="103"/>
      <c r="S138" s="103"/>
      <c r="T138" s="103"/>
      <c r="U138" s="103"/>
      <c r="V138" s="103"/>
      <c r="W138" s="103"/>
    </row>
    <row r="139" spans="1:23" ht="15.6">
      <c r="A139" s="26" t="str">
        <v>Q205</v>
      </c>
      <c r="B139" s="27" t="str">
        <v>NY</v>
      </c>
      <c r="C139" s="140" t="str">
        <f>Sites[[#This Row],[SOL'#]]</f>
        <v>SOL-10922</v>
      </c>
      <c r="D139" s="143"/>
      <c r="E139" s="14"/>
      <c r="F139" s="14" t="str">
        <f t="shared" si="10"/>
        <v/>
      </c>
      <c r="G139" s="15" t="str">
        <f t="shared" si="11"/>
        <v/>
      </c>
      <c r="H139" s="125"/>
      <c r="I139" s="133" t="str">
        <f t="shared" si="8"/>
        <v/>
      </c>
      <c r="J139" s="15" t="str">
        <f t="shared" si="9"/>
        <v/>
      </c>
      <c r="K139" s="51"/>
      <c r="L139" s="99"/>
      <c r="M139" s="103"/>
      <c r="N139" s="103"/>
      <c r="O139" s="103"/>
      <c r="P139" s="103"/>
      <c r="Q139" s="103"/>
      <c r="R139" s="103"/>
      <c r="S139" s="103"/>
      <c r="T139" s="103"/>
      <c r="U139" s="103"/>
      <c r="V139" s="103"/>
      <c r="W139" s="103"/>
    </row>
    <row r="140" spans="1:23" ht="15.6">
      <c r="A140" s="28" t="str">
        <v>Q400</v>
      </c>
      <c r="B140" s="25" t="str">
        <v>NY</v>
      </c>
      <c r="C140" s="25" t="str">
        <f>Sites[[#This Row],[SOL'#]]</f>
        <v>SOL-10871</v>
      </c>
      <c r="D140" s="142"/>
      <c r="E140" s="141"/>
      <c r="F140" s="10" t="str">
        <f t="shared" si="10"/>
        <v/>
      </c>
      <c r="G140" s="11" t="str">
        <f t="shared" si="11"/>
        <v/>
      </c>
      <c r="H140" s="146"/>
      <c r="I140" s="132" t="str">
        <f t="shared" si="8"/>
        <v/>
      </c>
      <c r="J140" s="13" t="str">
        <f t="shared" si="9"/>
        <v/>
      </c>
      <c r="K140" s="53"/>
      <c r="L140" s="98"/>
      <c r="M140" s="102"/>
      <c r="N140" s="102"/>
      <c r="O140" s="102"/>
      <c r="P140" s="103"/>
      <c r="Q140" s="103"/>
      <c r="R140" s="103"/>
      <c r="S140" s="103"/>
      <c r="T140" s="103"/>
      <c r="U140" s="103"/>
      <c r="V140" s="103"/>
      <c r="W140" s="103"/>
    </row>
    <row r="141" spans="1:23" ht="15.6">
      <c r="A141" s="26" t="str">
        <v>R003</v>
      </c>
      <c r="B141" s="27" t="str">
        <v>NY</v>
      </c>
      <c r="C141" s="140" t="str">
        <f>Sites[[#This Row],[SOL'#]]</f>
        <v>SOL-10416</v>
      </c>
      <c r="D141" s="153"/>
      <c r="E141" s="14"/>
      <c r="F141" s="14" t="str">
        <f t="shared" si="10"/>
        <v/>
      </c>
      <c r="G141" s="15" t="str">
        <f t="shared" si="11"/>
        <v/>
      </c>
      <c r="H141" s="125"/>
      <c r="I141" s="133" t="str">
        <f t="shared" si="8"/>
        <v/>
      </c>
      <c r="J141" s="15" t="str">
        <f t="shared" si="9"/>
        <v/>
      </c>
      <c r="K141" s="51"/>
      <c r="L141" s="99"/>
      <c r="M141" s="103"/>
      <c r="N141" s="103"/>
      <c r="O141" s="103"/>
      <c r="P141" s="103"/>
      <c r="Q141" s="103"/>
      <c r="R141" s="103"/>
      <c r="S141" s="103"/>
      <c r="T141" s="103"/>
      <c r="U141" s="103"/>
      <c r="V141" s="103"/>
      <c r="W141" s="103"/>
    </row>
    <row r="142" spans="1:23" ht="15.6">
      <c r="A142" s="28" t="str">
        <v>R007</v>
      </c>
      <c r="B142" s="25" t="str">
        <v>NY</v>
      </c>
      <c r="C142" s="25" t="str">
        <f>Sites[[#This Row],[SOL'#]]</f>
        <v>SOL-10417</v>
      </c>
      <c r="D142" s="154"/>
      <c r="E142" s="145"/>
      <c r="F142" s="10" t="str">
        <f t="shared" si="10"/>
        <v/>
      </c>
      <c r="G142" s="11" t="str">
        <f t="shared" si="11"/>
        <v/>
      </c>
      <c r="H142" s="146"/>
      <c r="I142" s="132" t="str">
        <f t="shared" si="8"/>
        <v/>
      </c>
      <c r="J142" s="13" t="str">
        <f t="shared" si="9"/>
        <v/>
      </c>
      <c r="K142" s="53"/>
      <c r="L142" s="53"/>
      <c r="M142" s="103"/>
      <c r="N142" s="103"/>
      <c r="O142" s="103"/>
      <c r="P142" s="103"/>
      <c r="Q142" s="103"/>
      <c r="R142" s="103"/>
      <c r="S142" s="103"/>
      <c r="T142" s="103"/>
      <c r="U142" s="103"/>
      <c r="V142" s="103"/>
      <c r="W142" s="103"/>
    </row>
    <row r="143" spans="1:23" ht="15.6">
      <c r="A143" s="26" t="str">
        <v>BK16</v>
      </c>
      <c r="B143" s="27" t="str">
        <v>NY</v>
      </c>
      <c r="C143" s="140" t="str">
        <f>Sites[[#This Row],[SOL'#]]</f>
        <v>SOL-11093</v>
      </c>
      <c r="D143" s="143"/>
      <c r="E143" s="14"/>
      <c r="F143" s="14" t="str">
        <f t="shared" si="10"/>
        <v/>
      </c>
      <c r="G143" s="15" t="str">
        <f t="shared" si="11"/>
        <v/>
      </c>
      <c r="H143" s="125"/>
      <c r="I143" s="133" t="str">
        <f t="shared" si="8"/>
        <v/>
      </c>
      <c r="J143" s="15" t="str">
        <f t="shared" si="9"/>
        <v/>
      </c>
      <c r="K143" s="51"/>
      <c r="L143" s="51"/>
      <c r="M143" s="103"/>
      <c r="N143" s="103"/>
      <c r="O143" s="103"/>
      <c r="P143" s="103"/>
      <c r="Q143" s="103"/>
      <c r="R143" s="103"/>
      <c r="S143" s="103"/>
      <c r="T143" s="103"/>
      <c r="U143" s="103"/>
      <c r="V143" s="103"/>
      <c r="W143" s="103"/>
    </row>
    <row r="144" spans="1:23" ht="15.6">
      <c r="A144" s="24" t="str">
        <v>Trenton - Trenton East</v>
      </c>
      <c r="B144" s="25" t="str">
        <v>IL</v>
      </c>
      <c r="C144" s="25" t="str">
        <f>Sites[[#This Row],[SOL'#]]</f>
        <v>SOL-11060</v>
      </c>
      <c r="D144" s="142"/>
      <c r="E144" s="141"/>
      <c r="F144" s="10" t="str">
        <f t="shared" si="10"/>
        <v/>
      </c>
      <c r="G144" s="11" t="str">
        <f t="shared" si="11"/>
        <v/>
      </c>
      <c r="H144" s="146"/>
      <c r="I144" s="132" t="str">
        <f t="shared" si="8"/>
        <v/>
      </c>
      <c r="J144" s="13" t="str">
        <f t="shared" si="9"/>
        <v/>
      </c>
      <c r="K144" s="53"/>
      <c r="L144" s="98"/>
      <c r="M144" s="102"/>
      <c r="N144" s="103"/>
      <c r="O144" s="103"/>
      <c r="P144" s="103"/>
      <c r="Q144" s="103"/>
      <c r="R144" s="103"/>
      <c r="S144" s="103"/>
      <c r="T144" s="103"/>
      <c r="U144" s="103"/>
      <c r="V144" s="103"/>
      <c r="W144" s="103"/>
    </row>
    <row r="145" spans="1:23" ht="15.6">
      <c r="A145" s="26" t="str">
        <v>Trenton - Trenton West</v>
      </c>
      <c r="B145" s="27" t="str">
        <v>IL</v>
      </c>
      <c r="C145" s="140" t="str">
        <f>Sites[[#This Row],[SOL'#]]</f>
        <v>SOL-11061</v>
      </c>
      <c r="D145" s="143"/>
      <c r="E145" s="14"/>
      <c r="F145" s="14" t="str">
        <f t="shared" si="10"/>
        <v/>
      </c>
      <c r="G145" s="15" t="str">
        <f t="shared" si="11"/>
        <v/>
      </c>
      <c r="H145" s="125"/>
      <c r="I145" s="133" t="str">
        <f t="shared" si="8"/>
        <v/>
      </c>
      <c r="J145" s="15" t="str">
        <f t="shared" si="9"/>
        <v/>
      </c>
      <c r="K145" s="51"/>
      <c r="L145" s="99"/>
      <c r="M145" s="103"/>
      <c r="N145" s="103"/>
      <c r="O145" s="103"/>
      <c r="P145" s="103"/>
      <c r="Q145" s="103"/>
      <c r="R145" s="103"/>
      <c r="S145" s="103"/>
      <c r="T145" s="103"/>
      <c r="U145" s="103"/>
      <c r="V145" s="103"/>
      <c r="W145" s="103"/>
    </row>
    <row r="146" spans="1:23" ht="15.6">
      <c r="A146" s="24" t="str">
        <v>Dakota - Dakota Solar 1</v>
      </c>
      <c r="B146" s="25" t="str">
        <v>IL</v>
      </c>
      <c r="C146" s="25" t="str">
        <f>Sites[[#This Row],[SOL'#]]</f>
        <v>SOL-11113</v>
      </c>
      <c r="D146" s="142"/>
      <c r="E146" s="141"/>
      <c r="F146" s="10" t="str">
        <f t="shared" si="10"/>
        <v/>
      </c>
      <c r="G146" s="11" t="str">
        <f t="shared" si="11"/>
        <v/>
      </c>
      <c r="H146" s="146"/>
      <c r="I146" s="132" t="str">
        <f t="shared" ref="I146:I164" si="12">IF(AND(ISNUMBER(D146),ISNUMBER(H146)), D146-H146, "")</f>
        <v/>
      </c>
      <c r="J146" s="13" t="str">
        <f t="shared" ref="J146:J164" si="13">IFERROR(I146/H146, "")</f>
        <v/>
      </c>
      <c r="K146" s="53"/>
      <c r="L146" s="98"/>
      <c r="M146" s="102"/>
      <c r="N146" s="102"/>
      <c r="O146" s="103"/>
      <c r="P146" s="103"/>
      <c r="Q146" s="103"/>
      <c r="R146" s="103"/>
      <c r="S146" s="103"/>
      <c r="T146" s="103"/>
      <c r="U146" s="103"/>
      <c r="V146" s="103"/>
      <c r="W146" s="103"/>
    </row>
    <row r="147" spans="1:23" ht="15.6">
      <c r="A147" s="26" t="str">
        <v>X018</v>
      </c>
      <c r="B147" s="27" t="str">
        <v>NY</v>
      </c>
      <c r="C147" s="140" t="str">
        <f>Sites[[#This Row],[SOL'#]]</f>
        <v>SOL-10418</v>
      </c>
      <c r="D147" s="143"/>
      <c r="E147" s="14"/>
      <c r="F147" s="14" t="str">
        <f t="shared" si="10"/>
        <v/>
      </c>
      <c r="G147" s="15" t="str">
        <f t="shared" si="11"/>
        <v/>
      </c>
      <c r="H147" s="125"/>
      <c r="I147" s="133" t="str">
        <f t="shared" si="12"/>
        <v/>
      </c>
      <c r="J147" s="15" t="str">
        <f t="shared" si="13"/>
        <v/>
      </c>
      <c r="K147" s="51"/>
      <c r="L147" s="99"/>
      <c r="M147" s="102"/>
      <c r="N147" s="103"/>
      <c r="O147" s="103"/>
      <c r="P147" s="103"/>
      <c r="Q147" s="103"/>
      <c r="R147" s="103"/>
      <c r="S147" s="103"/>
      <c r="T147" s="103"/>
      <c r="U147" s="103"/>
      <c r="V147" s="103"/>
      <c r="W147" s="103"/>
    </row>
    <row r="148" spans="1:23" ht="15.6">
      <c r="A148" s="24" t="str">
        <v>Janiak Solar</v>
      </c>
      <c r="B148" s="25" t="str">
        <v>NY</v>
      </c>
      <c r="C148" s="25" t="str">
        <f>Sites[[#This Row],[SOL'#]]</f>
        <v>SOL-10898</v>
      </c>
      <c r="D148" s="154"/>
      <c r="E148" s="145"/>
      <c r="F148" s="10" t="str">
        <f t="shared" si="10"/>
        <v/>
      </c>
      <c r="G148" s="11" t="str">
        <f t="shared" si="11"/>
        <v/>
      </c>
      <c r="H148" s="146"/>
      <c r="I148" s="132" t="str">
        <f t="shared" si="12"/>
        <v/>
      </c>
      <c r="J148" s="13" t="str">
        <f t="shared" si="13"/>
        <v/>
      </c>
      <c r="K148" s="53"/>
      <c r="L148" s="98"/>
      <c r="M148" s="103"/>
      <c r="N148" s="103"/>
      <c r="O148" s="103"/>
      <c r="P148" s="103"/>
      <c r="Q148" s="103"/>
      <c r="R148" s="103"/>
      <c r="S148" s="103"/>
      <c r="T148" s="103"/>
      <c r="U148" s="103"/>
      <c r="V148" s="103"/>
      <c r="W148" s="103"/>
    </row>
    <row r="149" spans="1:23" ht="15.6">
      <c r="A149" s="26" t="str">
        <v>County Route 11B</v>
      </c>
      <c r="B149" s="27" t="str">
        <v>NY</v>
      </c>
      <c r="C149" s="140" t="str">
        <f>Sites[[#This Row],[SOL'#]]</f>
        <v>SOL-10983</v>
      </c>
      <c r="D149" s="143"/>
      <c r="E149" s="14"/>
      <c r="F149" s="14" t="str">
        <f t="shared" si="10"/>
        <v/>
      </c>
      <c r="G149" s="15" t="str">
        <f t="shared" si="11"/>
        <v/>
      </c>
      <c r="H149" s="125"/>
      <c r="I149" s="133" t="str">
        <f t="shared" si="12"/>
        <v/>
      </c>
      <c r="J149" s="15" t="str">
        <f t="shared" si="13"/>
        <v/>
      </c>
      <c r="K149" s="51"/>
      <c r="L149" s="99"/>
      <c r="M149" s="103"/>
      <c r="N149" s="103"/>
      <c r="O149" s="103"/>
      <c r="P149" s="103"/>
      <c r="Q149" s="103"/>
      <c r="R149" s="103"/>
      <c r="S149" s="103"/>
      <c r="T149" s="103"/>
      <c r="U149" s="103"/>
      <c r="V149" s="103"/>
      <c r="W149" s="103"/>
    </row>
    <row r="150" spans="1:23" ht="15.6">
      <c r="A150" s="24" t="str">
        <v>Barone</v>
      </c>
      <c r="B150" s="25" t="str">
        <v>NY</v>
      </c>
      <c r="C150" s="25" t="str">
        <f>Sites[[#This Row],[SOL'#]]</f>
        <v>SOL-11034</v>
      </c>
      <c r="D150" s="154"/>
      <c r="E150" s="145"/>
      <c r="F150" s="10" t="str">
        <f t="shared" si="10"/>
        <v/>
      </c>
      <c r="G150" s="11" t="str">
        <f t="shared" si="11"/>
        <v/>
      </c>
      <c r="H150" s="146"/>
      <c r="I150" s="132" t="str">
        <f t="shared" si="12"/>
        <v/>
      </c>
      <c r="J150" s="13" t="str">
        <f t="shared" si="13"/>
        <v/>
      </c>
      <c r="K150" s="53"/>
      <c r="L150" s="53"/>
      <c r="M150" s="103"/>
      <c r="N150" s="103"/>
      <c r="O150" s="103"/>
      <c r="P150" s="103"/>
      <c r="Q150" s="103"/>
      <c r="R150" s="103"/>
      <c r="S150" s="103"/>
      <c r="T150" s="103"/>
      <c r="U150" s="103"/>
      <c r="V150" s="103"/>
      <c r="W150" s="103"/>
    </row>
    <row r="151" spans="1:23" ht="78.75" customHeight="1">
      <c r="A151" s="26" t="str">
        <v>Cedarville</v>
      </c>
      <c r="B151" s="27" t="str">
        <v>IL</v>
      </c>
      <c r="C151" s="140" t="str">
        <f>Sites[[#This Row],[SOL'#]]</f>
        <v>SOL-11069</v>
      </c>
      <c r="D151" s="143"/>
      <c r="E151" s="14"/>
      <c r="F151" s="14" t="str">
        <f t="shared" si="10"/>
        <v/>
      </c>
      <c r="G151" s="15" t="str">
        <f t="shared" si="11"/>
        <v/>
      </c>
      <c r="H151" s="125"/>
      <c r="I151" s="133" t="str">
        <f t="shared" si="12"/>
        <v/>
      </c>
      <c r="J151" s="15" t="str">
        <f t="shared" si="13"/>
        <v/>
      </c>
      <c r="K151" s="51"/>
      <c r="L151" s="99"/>
      <c r="M151" s="102"/>
      <c r="N151" s="102"/>
      <c r="O151" s="103"/>
      <c r="P151" s="103"/>
      <c r="Q151" s="103"/>
      <c r="R151" s="103"/>
      <c r="S151" s="103"/>
      <c r="T151" s="103"/>
      <c r="U151" s="103"/>
      <c r="V151" s="103"/>
      <c r="W151" s="103"/>
    </row>
    <row r="152" spans="1:23" ht="26.25" customHeight="1">
      <c r="A152" s="24" t="str">
        <v xml:space="preserve"> O'Brien Hill #1</v>
      </c>
      <c r="B152" s="25" t="str">
        <v>NY</v>
      </c>
      <c r="C152" s="25" t="str">
        <f>Sites[[#This Row],[SOL'#]]</f>
        <v>SOL-11098</v>
      </c>
      <c r="D152" s="142"/>
      <c r="E152" s="141"/>
      <c r="F152" s="10" t="str">
        <f t="shared" si="10"/>
        <v/>
      </c>
      <c r="G152" s="11" t="str">
        <f t="shared" si="11"/>
        <v/>
      </c>
      <c r="H152" s="146"/>
      <c r="I152" s="132" t="str">
        <f t="shared" si="12"/>
        <v/>
      </c>
      <c r="J152" s="13" t="str">
        <f t="shared" si="13"/>
        <v/>
      </c>
      <c r="K152" s="53"/>
      <c r="L152" s="98"/>
      <c r="M152" s="102"/>
      <c r="N152" s="103"/>
      <c r="O152" s="103"/>
      <c r="P152" s="103"/>
      <c r="Q152" s="103"/>
      <c r="R152" s="103"/>
      <c r="S152" s="103"/>
      <c r="T152" s="103"/>
      <c r="U152" s="103"/>
      <c r="V152" s="103"/>
      <c r="W152" s="103"/>
    </row>
    <row r="153" spans="1:23" ht="15.6">
      <c r="A153" s="26" t="str">
        <v xml:space="preserve"> O'Brien Hill #2</v>
      </c>
      <c r="B153" s="27" t="str">
        <v>NY</v>
      </c>
      <c r="C153" s="140" t="str">
        <f>Sites[[#This Row],[SOL'#]]</f>
        <v>SOL-11099</v>
      </c>
      <c r="D153" s="143"/>
      <c r="E153" s="14"/>
      <c r="F153" s="14" t="str">
        <f t="shared" si="10"/>
        <v/>
      </c>
      <c r="G153" s="15" t="str">
        <f t="shared" si="11"/>
        <v/>
      </c>
      <c r="H153" s="125"/>
      <c r="I153" s="133" t="str">
        <f t="shared" si="12"/>
        <v/>
      </c>
      <c r="J153" s="15" t="str">
        <f t="shared" si="13"/>
        <v/>
      </c>
      <c r="K153" s="51"/>
      <c r="L153" s="99"/>
      <c r="M153" s="102"/>
      <c r="N153" s="102"/>
      <c r="O153" s="103"/>
      <c r="P153" s="103"/>
      <c r="Q153" s="103"/>
      <c r="R153" s="103"/>
      <c r="S153" s="103"/>
      <c r="T153" s="103"/>
      <c r="U153" s="103"/>
      <c r="V153" s="103"/>
      <c r="W153" s="103"/>
    </row>
    <row r="154" spans="1:23" ht="15.6">
      <c r="A154" s="24" t="str">
        <v>Trinity - Freeport</v>
      </c>
      <c r="B154" s="25" t="str">
        <v>IL</v>
      </c>
      <c r="C154" s="25" t="str">
        <f>Sites[[#This Row],[SOL'#]]</f>
        <v>SOL-11057</v>
      </c>
      <c r="D154" s="142"/>
      <c r="E154" s="141"/>
      <c r="F154" s="10" t="str">
        <f t="shared" si="10"/>
        <v/>
      </c>
      <c r="G154" s="11" t="str">
        <f t="shared" si="11"/>
        <v/>
      </c>
      <c r="H154" s="146"/>
      <c r="I154" s="132" t="str">
        <f t="shared" si="12"/>
        <v/>
      </c>
      <c r="J154" s="13" t="str">
        <f t="shared" si="13"/>
        <v/>
      </c>
      <c r="K154" s="53"/>
      <c r="L154" s="98"/>
      <c r="M154" s="103"/>
      <c r="N154" s="103"/>
      <c r="O154" s="103"/>
      <c r="P154" s="103"/>
      <c r="Q154" s="103"/>
      <c r="R154" s="103"/>
      <c r="S154" s="103"/>
      <c r="T154" s="103"/>
      <c r="U154" s="103"/>
      <c r="V154" s="103"/>
      <c r="W154" s="103"/>
    </row>
    <row r="155" spans="1:23" ht="15.6">
      <c r="A155" s="26" t="str">
        <v>Ransom</v>
      </c>
      <c r="B155" s="27" t="str">
        <v>NY</v>
      </c>
      <c r="C155" s="140" t="str">
        <f>Sites[[#This Row],[SOL'#]]</f>
        <v>SOL-11157</v>
      </c>
      <c r="D155" s="143"/>
      <c r="E155" s="14"/>
      <c r="F155" s="14" t="str">
        <f t="shared" si="10"/>
        <v/>
      </c>
      <c r="G155" s="15" t="str">
        <f t="shared" si="11"/>
        <v/>
      </c>
      <c r="H155" s="125"/>
      <c r="I155" s="133" t="str">
        <f t="shared" si="12"/>
        <v/>
      </c>
      <c r="J155" s="15" t="str">
        <f t="shared" si="13"/>
        <v/>
      </c>
      <c r="K155" s="51"/>
      <c r="L155" s="51"/>
      <c r="M155" s="103"/>
      <c r="N155" s="103"/>
      <c r="O155" s="103"/>
      <c r="P155" s="103"/>
      <c r="Q155" s="103"/>
      <c r="R155" s="103"/>
      <c r="S155" s="103"/>
      <c r="T155" s="103"/>
      <c r="U155" s="103"/>
      <c r="V155" s="103"/>
      <c r="W155" s="103"/>
    </row>
    <row r="156" spans="1:23" ht="15.6">
      <c r="A156" s="24" t="str">
        <v>Horseheads - Wedge</v>
      </c>
      <c r="B156" s="25" t="str">
        <v>NY</v>
      </c>
      <c r="C156" s="25" t="str">
        <f>Sites[[#This Row],[SOL'#]]</f>
        <v>SOL-11160</v>
      </c>
      <c r="D156" s="142"/>
      <c r="E156" s="141"/>
      <c r="F156" s="10" t="str">
        <f t="shared" si="10"/>
        <v/>
      </c>
      <c r="G156" s="11" t="str">
        <f t="shared" si="11"/>
        <v/>
      </c>
      <c r="H156" s="146"/>
      <c r="I156" s="132" t="str">
        <f t="shared" si="12"/>
        <v/>
      </c>
      <c r="J156" s="13" t="str">
        <f t="shared" si="13"/>
        <v/>
      </c>
      <c r="K156" s="53"/>
      <c r="L156" s="98"/>
      <c r="M156" s="103"/>
      <c r="N156" s="103"/>
      <c r="O156" s="103"/>
      <c r="P156" s="103"/>
      <c r="Q156" s="103"/>
      <c r="R156" s="103"/>
      <c r="S156" s="103"/>
      <c r="T156" s="103"/>
      <c r="U156" s="103"/>
      <c r="V156" s="103"/>
      <c r="W156" s="103"/>
    </row>
    <row r="157" spans="1:23" ht="15.6">
      <c r="A157" s="26" t="str">
        <v>Otisville - Shoddy Hollow</v>
      </c>
      <c r="B157" s="27" t="str">
        <v>NY</v>
      </c>
      <c r="C157" s="140" t="str">
        <f>Sites[[#This Row],[SOL'#]]</f>
        <v>SOL-11185</v>
      </c>
      <c r="D157" s="143"/>
      <c r="E157" s="14"/>
      <c r="F157" s="14" t="str">
        <f t="shared" si="10"/>
        <v/>
      </c>
      <c r="G157" s="15" t="str">
        <f t="shared" si="11"/>
        <v/>
      </c>
      <c r="H157" s="125"/>
      <c r="I157" s="133" t="str">
        <f t="shared" si="12"/>
        <v/>
      </c>
      <c r="J157" s="15" t="str">
        <f t="shared" si="13"/>
        <v/>
      </c>
      <c r="K157" s="51"/>
      <c r="L157" s="99"/>
      <c r="M157" s="103"/>
      <c r="N157" s="103"/>
      <c r="O157" s="103"/>
      <c r="P157" s="103"/>
      <c r="Q157" s="103"/>
      <c r="R157" s="103"/>
      <c r="S157" s="103"/>
      <c r="T157" s="103"/>
      <c r="U157" s="103"/>
      <c r="V157" s="103"/>
      <c r="W157" s="103"/>
    </row>
    <row r="158" spans="1:23" ht="45.75" customHeight="1">
      <c r="A158" s="24" t="str">
        <v>Wellsville - Chenunda Creek</v>
      </c>
      <c r="B158" s="25" t="str">
        <v>NY</v>
      </c>
      <c r="C158" s="25" t="str">
        <f>Sites[[#This Row],[SOL'#]]</f>
        <v>SOL-11187</v>
      </c>
      <c r="D158" s="142"/>
      <c r="E158" s="141"/>
      <c r="F158" s="10" t="str">
        <f t="shared" si="10"/>
        <v/>
      </c>
      <c r="G158" s="11" t="str">
        <f t="shared" si="11"/>
        <v/>
      </c>
      <c r="H158" s="146"/>
      <c r="I158" s="132" t="str">
        <f t="shared" si="12"/>
        <v/>
      </c>
      <c r="J158" s="13" t="str">
        <f t="shared" si="13"/>
        <v/>
      </c>
      <c r="K158" s="53"/>
      <c r="L158" s="98"/>
      <c r="M158" s="102"/>
      <c r="N158" s="103"/>
      <c r="O158" s="103"/>
      <c r="P158" s="103"/>
      <c r="Q158" s="103"/>
      <c r="R158" s="103"/>
      <c r="S158" s="103"/>
      <c r="T158" s="103"/>
      <c r="U158" s="103"/>
      <c r="V158" s="103"/>
      <c r="W158" s="103"/>
    </row>
    <row r="159" spans="1:23" ht="19.5" customHeight="1">
      <c r="A159" s="26" t="str">
        <v>DC: Washington - Essex Condominium</v>
      </c>
      <c r="B159" s="27" t="str">
        <v>DC</v>
      </c>
      <c r="C159" s="144" t="str">
        <f>Sites[[#This Row],[SOL'#]]</f>
        <v>SOL-10036</v>
      </c>
      <c r="D159" s="143"/>
      <c r="E159" s="14"/>
      <c r="F159" s="14" t="str">
        <f t="shared" si="10"/>
        <v/>
      </c>
      <c r="G159" s="15" t="str">
        <f t="shared" si="11"/>
        <v/>
      </c>
      <c r="H159" s="125"/>
      <c r="I159" s="133" t="str">
        <f t="shared" si="12"/>
        <v/>
      </c>
      <c r="J159" s="15" t="str">
        <f t="shared" si="13"/>
        <v/>
      </c>
      <c r="K159" s="51"/>
      <c r="L159" s="51"/>
      <c r="M159" s="103"/>
      <c r="N159" s="103"/>
      <c r="O159" s="103"/>
      <c r="P159" s="103"/>
      <c r="Q159" s="103"/>
      <c r="R159" s="103"/>
      <c r="S159" s="103"/>
      <c r="T159" s="103"/>
      <c r="U159" s="103"/>
      <c r="V159" s="103"/>
      <c r="W159" s="103"/>
    </row>
    <row r="160" spans="1:23" ht="15.6">
      <c r="A160" s="24" t="str">
        <v>HI: Waipahu - 94-246 Leoku St - E.F.G.</v>
      </c>
      <c r="B160" s="25" t="str">
        <v>HI</v>
      </c>
      <c r="C160" s="25" t="str">
        <f>Sites[[#This Row],[SOL'#]]</f>
        <v>SOL-10071</v>
      </c>
      <c r="D160" s="142"/>
      <c r="E160" s="141"/>
      <c r="F160" s="10" t="str">
        <f t="shared" si="10"/>
        <v/>
      </c>
      <c r="G160" s="11" t="str">
        <f t="shared" si="11"/>
        <v/>
      </c>
      <c r="H160" s="146"/>
      <c r="I160" s="132" t="str">
        <f t="shared" si="12"/>
        <v/>
      </c>
      <c r="J160" s="13" t="str">
        <f t="shared" si="13"/>
        <v/>
      </c>
      <c r="K160" s="53"/>
      <c r="L160" s="98"/>
      <c r="M160" s="102"/>
      <c r="N160" s="103"/>
      <c r="O160" s="103"/>
      <c r="P160" s="103"/>
      <c r="Q160" s="103"/>
      <c r="R160" s="103"/>
      <c r="S160" s="103"/>
      <c r="T160" s="103"/>
      <c r="U160" s="103"/>
      <c r="V160" s="103"/>
      <c r="W160" s="103"/>
    </row>
    <row r="161" spans="1:23" s="148" customFormat="1" ht="15.6">
      <c r="A161" s="149" t="str">
        <v>HI: Waipahu - 94-099 Waipahu St - PV</v>
      </c>
      <c r="B161" s="150" t="str">
        <v>HI</v>
      </c>
      <c r="C161" s="151" t="str">
        <f>Sites[[#This Row],[SOL'#]]</f>
        <v>SOL-10068</v>
      </c>
      <c r="D161" s="155"/>
      <c r="E161" s="43"/>
      <c r="F161" s="43" t="str">
        <f t="shared" si="10"/>
        <v/>
      </c>
      <c r="G161" s="147" t="str">
        <f t="shared" si="11"/>
        <v/>
      </c>
      <c r="H161" s="156"/>
      <c r="I161" s="157" t="str">
        <f t="shared" si="12"/>
        <v/>
      </c>
      <c r="J161" s="147" t="str">
        <f t="shared" si="13"/>
        <v/>
      </c>
      <c r="K161" s="152"/>
      <c r="L161" s="152"/>
      <c r="M161" s="117"/>
      <c r="N161" s="117"/>
      <c r="O161" s="117"/>
      <c r="P161" s="117"/>
      <c r="Q161" s="117"/>
      <c r="R161" s="117"/>
      <c r="S161" s="117"/>
      <c r="T161" s="117"/>
      <c r="U161" s="117"/>
      <c r="V161" s="117"/>
      <c r="W161" s="117"/>
    </row>
    <row r="162" spans="1:23" ht="15.6">
      <c r="A162" s="24" t="str">
        <v>IL: Prophetstown - 5170 Yager Road (PW)</v>
      </c>
      <c r="B162" s="25" t="str">
        <v>IL</v>
      </c>
      <c r="C162" s="25" t="str">
        <f>Sites[[#This Row],[SOL'#]]</f>
        <v>SOL-11149</v>
      </c>
      <c r="D162" s="142"/>
      <c r="E162" s="141"/>
      <c r="F162" s="10" t="str">
        <f t="shared" si="10"/>
        <v/>
      </c>
      <c r="G162" s="11" t="str">
        <f t="shared" si="11"/>
        <v/>
      </c>
      <c r="H162" s="146"/>
      <c r="I162" s="132" t="str">
        <f t="shared" si="12"/>
        <v/>
      </c>
      <c r="J162" s="13" t="str">
        <f t="shared" si="13"/>
        <v/>
      </c>
      <c r="K162" s="53"/>
      <c r="L162" s="98"/>
      <c r="M162" s="102"/>
      <c r="N162" s="102"/>
      <c r="O162" s="103"/>
      <c r="P162" s="103"/>
      <c r="Q162" s="103"/>
      <c r="R162" s="103"/>
      <c r="S162" s="103"/>
      <c r="T162" s="103"/>
      <c r="U162" s="103"/>
      <c r="V162" s="103"/>
      <c r="W162" s="103"/>
    </row>
    <row r="163" spans="1:23" ht="15.6">
      <c r="A163" s="26" t="str">
        <v>IL: Viola - Goldenrod - (PW)</v>
      </c>
      <c r="B163" s="27" t="str">
        <v>IL</v>
      </c>
      <c r="C163" s="140" t="str">
        <f>Sites[[#This Row],[SOL'#]]</f>
        <v>SOL-11132</v>
      </c>
      <c r="D163" s="143"/>
      <c r="E163" s="14"/>
      <c r="F163" s="14" t="str">
        <f t="shared" si="10"/>
        <v/>
      </c>
      <c r="G163" s="15" t="str">
        <f t="shared" si="11"/>
        <v/>
      </c>
      <c r="H163" s="125"/>
      <c r="I163" s="133" t="str">
        <f t="shared" si="12"/>
        <v/>
      </c>
      <c r="J163" s="15" t="str">
        <f t="shared" si="13"/>
        <v/>
      </c>
      <c r="K163" s="51"/>
      <c r="L163" s="51"/>
      <c r="M163" s="163"/>
      <c r="N163" s="103"/>
      <c r="O163" s="103"/>
      <c r="P163" s="103"/>
      <c r="Q163" s="103"/>
      <c r="R163" s="103"/>
      <c r="S163" s="103"/>
      <c r="T163" s="103"/>
      <c r="U163" s="103"/>
      <c r="V163" s="103"/>
      <c r="W163" s="103"/>
    </row>
    <row r="164" spans="1:23" ht="15.6">
      <c r="A164" s="24" t="str">
        <v>IL: Marengo - Grant - (PW)</v>
      </c>
      <c r="B164" s="25" t="str">
        <v>IL</v>
      </c>
      <c r="C164" s="25" t="str">
        <f>Sites[[#This Row],[SOL'#]]</f>
        <v>SOL-11147</v>
      </c>
      <c r="D164" s="142"/>
      <c r="E164" s="141"/>
      <c r="F164" s="10" t="str">
        <f t="shared" si="10"/>
        <v/>
      </c>
      <c r="G164" s="11" t="str">
        <f t="shared" si="11"/>
        <v/>
      </c>
      <c r="H164" s="146"/>
      <c r="I164" s="132" t="str">
        <f t="shared" si="12"/>
        <v/>
      </c>
      <c r="J164" s="13" t="str">
        <f t="shared" si="13"/>
        <v/>
      </c>
      <c r="K164" s="53"/>
      <c r="L164" s="98"/>
      <c r="M164" s="103"/>
      <c r="N164" s="103"/>
      <c r="O164" s="103"/>
      <c r="P164" s="103"/>
      <c r="Q164" s="103"/>
      <c r="R164" s="103"/>
      <c r="S164" s="103"/>
      <c r="T164" s="103"/>
      <c r="U164" s="103"/>
      <c r="V164" s="103"/>
      <c r="W164" s="103"/>
    </row>
    <row r="165" spans="1:23" ht="14.45">
      <c r="A165" s="17" t="str">
        <v>NY: Cambridge - Cambridge (PW)</v>
      </c>
      <c r="B165" s="29" t="str">
        <v>NY</v>
      </c>
      <c r="C165" s="29"/>
      <c r="D165" s="17"/>
      <c r="E165" s="17"/>
      <c r="F165" s="17"/>
      <c r="G165" s="160"/>
      <c r="H165" s="17"/>
      <c r="I165" s="17"/>
      <c r="J165" s="18"/>
      <c r="K165" s="17"/>
      <c r="L165" s="17"/>
    </row>
    <row r="166" spans="1:23" ht="14.45">
      <c r="A166" s="17" t="str">
        <v>NY: Whitesville - Independence North</v>
      </c>
      <c r="B166" s="29" t="str">
        <v>NY</v>
      </c>
      <c r="C166" s="29"/>
      <c r="D166" s="17"/>
      <c r="E166" s="17"/>
      <c r="F166" s="17"/>
      <c r="G166" s="160"/>
      <c r="H166" s="17"/>
      <c r="I166" s="17"/>
      <c r="J166" s="18"/>
      <c r="K166" s="17"/>
      <c r="L166" s="17"/>
    </row>
    <row r="167" spans="1:23" ht="14.45">
      <c r="A167" s="17" t="str">
        <v>IL: Beecher - Cottage Grove North (PW)</v>
      </c>
      <c r="B167" s="29" t="str">
        <v>IL</v>
      </c>
      <c r="C167" s="29"/>
      <c r="D167" s="17"/>
      <c r="E167" s="17"/>
      <c r="F167" s="17"/>
      <c r="G167" s="160"/>
      <c r="H167" s="17"/>
      <c r="I167" s="17"/>
      <c r="J167" s="18"/>
      <c r="K167" s="17"/>
      <c r="L167" s="17"/>
    </row>
    <row r="168" spans="1:23" ht="14.45">
      <c r="A168" s="17" t="str">
        <v>IL: Beecher - Cottage Grove South (PW)</v>
      </c>
      <c r="B168" s="29" t="str">
        <v>IL</v>
      </c>
      <c r="C168" s="29"/>
      <c r="D168" s="17"/>
      <c r="E168" s="17"/>
      <c r="F168" s="17"/>
      <c r="G168" s="160"/>
      <c r="H168" s="17"/>
      <c r="I168" s="17"/>
      <c r="J168" s="18"/>
      <c r="K168" s="17"/>
      <c r="L168" s="17"/>
    </row>
    <row r="169" spans="1:23" ht="14.45">
      <c r="A169" s="17" t="str">
        <v>IL: Harvard - 9618 US HWY 14 (PW)</v>
      </c>
      <c r="B169" s="29" t="str">
        <v>IL</v>
      </c>
      <c r="C169" s="29"/>
      <c r="D169" s="17"/>
      <c r="E169" s="17"/>
      <c r="F169" s="17"/>
      <c r="G169" s="160"/>
      <c r="H169" s="17"/>
      <c r="I169" s="17"/>
      <c r="J169" s="18"/>
      <c r="K169" s="17"/>
      <c r="L169" s="17"/>
    </row>
    <row r="170" spans="1:23" ht="14.45">
      <c r="A170" s="17" t="str">
        <v>IL: Beecher - 701 E Goodenow Rd (PW)</v>
      </c>
      <c r="B170" s="29" t="str">
        <v>IL</v>
      </c>
      <c r="C170" s="29"/>
      <c r="D170" s="17"/>
      <c r="E170" s="17"/>
      <c r="F170" s="17"/>
      <c r="G170" s="160"/>
      <c r="H170" s="17"/>
      <c r="I170" s="17"/>
      <c r="J170" s="18"/>
      <c r="K170" s="17"/>
      <c r="L170" s="17"/>
    </row>
    <row r="171" spans="1:23" ht="14.45">
      <c r="A171" s="17" t="str">
        <v>NY: Stormville - Green Haven - (IRA)</v>
      </c>
      <c r="B171" s="29" t="str">
        <v>NY</v>
      </c>
      <c r="C171" s="29"/>
      <c r="D171" s="17"/>
      <c r="E171" s="17"/>
      <c r="F171" s="17"/>
      <c r="G171" s="160"/>
      <c r="H171" s="17"/>
      <c r="I171" s="17"/>
      <c r="J171" s="18"/>
      <c r="K171" s="17"/>
      <c r="L171" s="17"/>
    </row>
    <row r="172" spans="1:23" ht="14.45">
      <c r="A172" s="17" t="str">
        <v>IL: Hillsboro - Anacott (PW)</v>
      </c>
      <c r="B172" s="29" t="str">
        <v>IL</v>
      </c>
      <c r="C172" s="29"/>
      <c r="D172" s="17"/>
      <c r="E172" s="17"/>
      <c r="F172" s="17"/>
      <c r="G172" s="160"/>
      <c r="H172" s="17"/>
      <c r="I172" s="17"/>
      <c r="J172" s="18"/>
      <c r="K172" s="17"/>
      <c r="L172" s="17"/>
    </row>
    <row r="173" spans="1:23" ht="14.45">
      <c r="A173" s="17" t="str">
        <v>IL: Manhattan - Gougar (PW)</v>
      </c>
      <c r="B173" s="29" t="str">
        <v>IL</v>
      </c>
      <c r="C173" s="29"/>
      <c r="D173" s="17"/>
      <c r="E173" s="17"/>
      <c r="F173" s="17"/>
      <c r="G173" s="160"/>
      <c r="H173" s="17"/>
      <c r="I173" s="17"/>
      <c r="J173" s="18"/>
      <c r="K173" s="17"/>
      <c r="L173" s="17"/>
    </row>
    <row r="174" spans="1:23">
      <c r="A174" t="str">
        <v>IL: Morrison - Sawyer (PW)</v>
      </c>
      <c r="B174" s="30" t="str">
        <v>IL</v>
      </c>
    </row>
    <row r="175" spans="1:23">
      <c r="A175" t="str">
        <v>IL: Kankakee - Jeffery (PW)</v>
      </c>
      <c r="B175" s="30" t="str">
        <v>IL</v>
      </c>
    </row>
    <row r="176" spans="1:23">
      <c r="A176" t="str">
        <v>IL: Freeport - 2240 South 18th Ave (PW)</v>
      </c>
      <c r="B176" s="30" t="str">
        <v>IL</v>
      </c>
    </row>
  </sheetData>
  <mergeCells count="4">
    <mergeCell ref="H1:J1"/>
    <mergeCell ref="A1:D1"/>
    <mergeCell ref="E1:G1"/>
    <mergeCell ref="A2:B2"/>
  </mergeCells>
  <phoneticPr fontId="40" type="noConversion"/>
  <conditionalFormatting sqref="G2 J2">
    <cfRule type="cellIs" dxfId="24" priority="27" stopIfTrue="1" operator="lessThanOrEqual">
      <formula>-0.1</formula>
    </cfRule>
    <cfRule type="expression" dxfId="23" priority="28">
      <formula>AND(ISNUMBER(G2), G2&gt;=0.1)</formula>
    </cfRule>
  </conditionalFormatting>
  <conditionalFormatting sqref="G4:G164">
    <cfRule type="cellIs" dxfId="22" priority="15" stopIfTrue="1" operator="lessThanOrEqual">
      <formula>-0.1</formula>
    </cfRule>
    <cfRule type="expression" dxfId="21" priority="16">
      <formula>AND(ISNUMBER(G4), G4&gt;=0.1)</formula>
    </cfRule>
  </conditionalFormatting>
  <conditionalFormatting sqref="J4:J164">
    <cfRule type="cellIs" dxfId="20" priority="1" stopIfTrue="1" operator="lessThanOrEqual">
      <formula>-0.1</formula>
    </cfRule>
    <cfRule type="expression" dxfId="19" priority="2">
      <formula>AND(ISNUMBER(J4), J4&gt;=0.1)</formula>
    </cfRule>
  </conditionalFormatting>
  <pageMargins left="0.4" right="0.7" top="0.25" bottom="0.25" header="0.3" footer="0.3"/>
  <pageSetup fitToHeight="9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FM176"/>
  <sheetViews>
    <sheetView zoomScale="40" zoomScaleNormal="40" workbookViewId="0">
      <pane xSplit="2" ySplit="3" topLeftCell="C136"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style="103" customWidth="1"/>
    <col min="12" max="12" width="20.5703125" style="103" bestFit="1" customWidth="1"/>
    <col min="13" max="28" width="8.85546875" style="103"/>
  </cols>
  <sheetData>
    <row r="1" spans="1:15" ht="19.5" customHeight="1">
      <c r="A1" s="195" t="str" cm="1">
        <f t="array" ref="A1">portfolio</f>
        <v>Generate Capital</v>
      </c>
      <c r="B1" s="195"/>
      <c r="C1" s="195"/>
      <c r="D1" s="195"/>
      <c r="E1" s="196" t="s">
        <v>387</v>
      </c>
      <c r="F1" s="196"/>
      <c r="G1" s="196"/>
      <c r="H1" s="194" t="s">
        <v>388</v>
      </c>
      <c r="I1" s="194"/>
      <c r="J1" s="194"/>
      <c r="K1" s="168"/>
      <c r="L1" s="168"/>
    </row>
    <row r="2" spans="1:15" ht="19.5" customHeight="1">
      <c r="A2" s="197" t="s">
        <v>2</v>
      </c>
      <c r="B2" s="197"/>
      <c r="C2" s="57"/>
      <c r="D2" s="5">
        <f>SUM(D4:D272)</f>
        <v>0</v>
      </c>
      <c r="E2" s="5">
        <f>SUM(E4:E200)</f>
        <v>0</v>
      </c>
      <c r="F2" s="5">
        <f>D2-E2</f>
        <v>0</v>
      </c>
      <c r="G2" s="6">
        <f>IFERROR(F2/E2, 0)</f>
        <v>0</v>
      </c>
      <c r="H2" s="5">
        <f>SUM(H4:H172)</f>
        <v>0</v>
      </c>
      <c r="I2" s="7">
        <f>D2-H2</f>
        <v>0</v>
      </c>
      <c r="J2" s="6">
        <f>IFERROR(I2/H2, 0)</f>
        <v>0</v>
      </c>
      <c r="K2" s="169"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168"/>
    </row>
    <row r="3" spans="1:15" ht="14.25" customHeight="1">
      <c r="A3" s="8" t="s">
        <v>3</v>
      </c>
      <c r="B3" s="8" t="s">
        <v>4</v>
      </c>
      <c r="C3" s="8" t="s">
        <v>5</v>
      </c>
      <c r="D3" s="19" t="s">
        <v>6</v>
      </c>
      <c r="E3" s="31" t="s">
        <v>7</v>
      </c>
      <c r="F3" s="31" t="s">
        <v>8</v>
      </c>
      <c r="G3" s="32" t="s">
        <v>9</v>
      </c>
      <c r="H3" s="33" t="s">
        <v>10</v>
      </c>
      <c r="I3" s="34" t="s">
        <v>8</v>
      </c>
      <c r="J3" s="35" t="s">
        <v>9</v>
      </c>
      <c r="K3" s="170" t="s">
        <v>24</v>
      </c>
      <c r="L3" s="170" t="s">
        <v>25</v>
      </c>
    </row>
    <row r="4" spans="1:15" ht="15.6">
      <c r="A4" s="28" t="str" cm="1">
        <f t="array" ref="A4:A176">Sites[Site]</f>
        <v>K026</v>
      </c>
      <c r="B4" s="25" t="str" cm="1">
        <f t="array" ref="B4:B176">Sites[State]</f>
        <v>NY</v>
      </c>
      <c r="C4" s="25" t="str">
        <f>Sites[[#This Row],[SOL'#]]</f>
        <v>SOL-10356</v>
      </c>
      <c r="D4" s="20"/>
      <c r="E4" s="10"/>
      <c r="F4" s="10" t="str">
        <f>IF(AND(ISNUMBER(D4),ISNUMBER(E4)), D4-E4, "")</f>
        <v/>
      </c>
      <c r="G4" s="11" t="str">
        <f>IFERROR(F4/E4, "")</f>
        <v/>
      </c>
      <c r="H4" s="12"/>
      <c r="I4" s="12" t="str">
        <f>IF(AND(ISNUMBER(D4),ISNUMBER(H4)), D4-H4, "")</f>
        <v/>
      </c>
      <c r="J4" s="13" t="str">
        <f>IFERROR(I4/H4, "")</f>
        <v/>
      </c>
      <c r="K4" s="53"/>
      <c r="L4" s="98"/>
    </row>
    <row r="5" spans="1:15" ht="15.6">
      <c r="A5" s="26" t="str">
        <v>K041</v>
      </c>
      <c r="B5" s="27" t="str">
        <v>NY</v>
      </c>
      <c r="C5" s="27" t="str">
        <f>Sites[[#This Row],[SOL'#]]</f>
        <v>SOL-10357</v>
      </c>
      <c r="D5" s="9"/>
      <c r="E5" s="14"/>
      <c r="F5" s="14" t="str">
        <f t="shared" ref="F5:F68" si="0">IF(AND(ISNUMBER(D5),ISNUMBER(E5)), D5-E5, "")</f>
        <v/>
      </c>
      <c r="G5" s="15" t="str">
        <f>IFERROR(F5/E5, "")</f>
        <v/>
      </c>
      <c r="H5" s="16"/>
      <c r="I5" s="16" t="str">
        <f t="shared" ref="I5:I68" si="1">IF(AND(ISNUMBER(D5),ISNUMBER(H5)), D5-H5, "")</f>
        <v/>
      </c>
      <c r="J5" s="15" t="str">
        <f t="shared" ref="J5:J68" si="2">IFERROR(I5/H5, "")</f>
        <v/>
      </c>
      <c r="K5" s="51"/>
      <c r="L5" s="51"/>
    </row>
    <row r="6" spans="1:15" ht="15.6">
      <c r="A6" s="24" t="str">
        <v>K043</v>
      </c>
      <c r="B6" s="25" t="str">
        <v>NY</v>
      </c>
      <c r="C6" s="25" t="str">
        <f>Sites[[#This Row],[SOL'#]]</f>
        <v>SOL-10358</v>
      </c>
      <c r="D6" s="20"/>
      <c r="E6" s="10"/>
      <c r="F6" s="10" t="str">
        <f t="shared" si="0"/>
        <v/>
      </c>
      <c r="G6" s="11" t="str">
        <f t="shared" ref="G6:G17" si="3">IFERROR(F6/E6, "")</f>
        <v/>
      </c>
      <c r="H6" s="12"/>
      <c r="I6" s="12" t="str">
        <f t="shared" si="1"/>
        <v/>
      </c>
      <c r="J6" s="13" t="str">
        <f t="shared" si="2"/>
        <v/>
      </c>
      <c r="K6" s="53"/>
      <c r="L6" s="98"/>
    </row>
    <row r="7" spans="1:15" ht="15.6">
      <c r="A7" s="26" t="str">
        <v>K058</v>
      </c>
      <c r="B7" s="27" t="str">
        <v>NY</v>
      </c>
      <c r="C7" s="27" t="str">
        <f>Sites[[#This Row],[SOL'#]]</f>
        <v>SOL-10360</v>
      </c>
      <c r="D7" s="9"/>
      <c r="E7" s="14"/>
      <c r="F7" s="14" t="str">
        <f t="shared" si="0"/>
        <v/>
      </c>
      <c r="G7" s="15" t="str">
        <f t="shared" si="3"/>
        <v/>
      </c>
      <c r="H7" s="16"/>
      <c r="I7" s="16" t="str">
        <f t="shared" si="1"/>
        <v/>
      </c>
      <c r="J7" s="15" t="str">
        <f t="shared" si="2"/>
        <v/>
      </c>
      <c r="K7" s="51"/>
      <c r="L7" s="52"/>
    </row>
    <row r="8" spans="1:15" ht="15.6">
      <c r="A8" s="24" t="str">
        <v>K115</v>
      </c>
      <c r="B8" s="25" t="str">
        <v>NY</v>
      </c>
      <c r="C8" s="25" t="str">
        <f>Sites[[#This Row],[SOL'#]]</f>
        <v>SOL-10361</v>
      </c>
      <c r="D8" s="20"/>
      <c r="E8" s="10"/>
      <c r="F8" s="10" t="str">
        <f t="shared" si="0"/>
        <v/>
      </c>
      <c r="G8" s="11" t="str">
        <f t="shared" si="3"/>
        <v/>
      </c>
      <c r="H8" s="12"/>
      <c r="I8" s="12" t="str">
        <f t="shared" si="1"/>
        <v/>
      </c>
      <c r="J8" s="13" t="str">
        <f t="shared" si="2"/>
        <v/>
      </c>
      <c r="K8" s="53"/>
      <c r="L8" s="98"/>
    </row>
    <row r="9" spans="1:15" ht="15.6">
      <c r="A9" s="26" t="str">
        <v>K152</v>
      </c>
      <c r="B9" s="27" t="str">
        <v>NY</v>
      </c>
      <c r="C9" s="27" t="str">
        <f>Sites[[#This Row],[SOL'#]]</f>
        <v>SOL-10362</v>
      </c>
      <c r="D9" s="9"/>
      <c r="E9" s="14"/>
      <c r="F9" s="14" t="str">
        <f t="shared" si="0"/>
        <v/>
      </c>
      <c r="G9" s="15" t="str">
        <f t="shared" si="3"/>
        <v/>
      </c>
      <c r="H9" s="16"/>
      <c r="I9" s="16" t="str">
        <f t="shared" si="1"/>
        <v/>
      </c>
      <c r="J9" s="15" t="str">
        <f t="shared" si="2"/>
        <v/>
      </c>
      <c r="K9" s="51"/>
      <c r="L9" s="52"/>
    </row>
    <row r="10" spans="1:15" ht="15.6">
      <c r="A10" s="24" t="str">
        <v>K166</v>
      </c>
      <c r="B10" s="25" t="str">
        <v>NY</v>
      </c>
      <c r="C10" s="25" t="str">
        <f>Sites[[#This Row],[SOL'#]]</f>
        <v>SOL-10363</v>
      </c>
      <c r="D10" s="20"/>
      <c r="E10" s="10"/>
      <c r="F10" s="10" t="str">
        <f t="shared" si="0"/>
        <v/>
      </c>
      <c r="G10" s="11" t="str">
        <f t="shared" si="3"/>
        <v/>
      </c>
      <c r="H10" s="12"/>
      <c r="I10" s="12" t="str">
        <f t="shared" si="1"/>
        <v/>
      </c>
      <c r="J10" s="13" t="str">
        <f t="shared" si="2"/>
        <v/>
      </c>
      <c r="K10" s="53"/>
      <c r="L10" s="98"/>
    </row>
    <row r="11" spans="1:15" ht="15.6">
      <c r="A11" s="26" t="str">
        <v>K206</v>
      </c>
      <c r="B11" s="27" t="str">
        <v>NY</v>
      </c>
      <c r="C11" s="27" t="str">
        <f>Sites[[#This Row],[SOL'#]]</f>
        <v>SOL-10927</v>
      </c>
      <c r="D11" s="9"/>
      <c r="E11" s="14"/>
      <c r="F11" s="14" t="str">
        <f t="shared" si="0"/>
        <v/>
      </c>
      <c r="G11" s="15" t="str">
        <f t="shared" si="3"/>
        <v/>
      </c>
      <c r="H11" s="16"/>
      <c r="I11" s="16" t="str">
        <f t="shared" si="1"/>
        <v/>
      </c>
      <c r="J11" s="15" t="str">
        <f t="shared" si="2"/>
        <v/>
      </c>
      <c r="K11" s="51"/>
      <c r="L11" s="51"/>
    </row>
    <row r="12" spans="1:15"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53"/>
      <c r="L12" s="98"/>
      <c r="M12" s="102"/>
    </row>
    <row r="13" spans="1:15" ht="15.6">
      <c r="A13" s="26" t="str">
        <v>K269</v>
      </c>
      <c r="B13" s="27" t="str">
        <v>NY</v>
      </c>
      <c r="C13" s="27" t="str">
        <f>Sites[[#This Row],[SOL'#]]</f>
        <v>SOL-10366</v>
      </c>
      <c r="D13" s="9"/>
      <c r="E13" s="14"/>
      <c r="F13" s="14" t="str">
        <f t="shared" si="0"/>
        <v/>
      </c>
      <c r="G13" s="15" t="str">
        <f t="shared" si="3"/>
        <v/>
      </c>
      <c r="H13" s="16"/>
      <c r="I13" s="16" t="str">
        <f t="shared" si="1"/>
        <v/>
      </c>
      <c r="J13" s="15" t="str">
        <f t="shared" si="2"/>
        <v/>
      </c>
      <c r="K13" s="51"/>
      <c r="L13" s="52"/>
    </row>
    <row r="14" spans="1:15" ht="15.6">
      <c r="A14" s="24" t="str">
        <v>K273</v>
      </c>
      <c r="B14" s="25" t="str">
        <v>NY</v>
      </c>
      <c r="C14" s="25" t="str">
        <f>Sites[[#This Row],[SOL'#]]</f>
        <v>SOL-10367</v>
      </c>
      <c r="D14" s="20"/>
      <c r="E14" s="10"/>
      <c r="F14" s="10" t="str">
        <f t="shared" si="0"/>
        <v/>
      </c>
      <c r="G14" s="11" t="str">
        <f t="shared" si="3"/>
        <v/>
      </c>
      <c r="H14" s="132"/>
      <c r="I14" s="12" t="str">
        <f t="shared" si="1"/>
        <v/>
      </c>
      <c r="J14" s="13" t="str">
        <f t="shared" si="2"/>
        <v/>
      </c>
      <c r="K14" s="53"/>
      <c r="L14" s="98"/>
      <c r="M14" s="102"/>
      <c r="N14" s="102"/>
      <c r="O14" s="102"/>
    </row>
    <row r="15" spans="1:15" ht="15.6">
      <c r="A15" s="26" t="str">
        <v>K287</v>
      </c>
      <c r="B15" s="27" t="str">
        <v>NY</v>
      </c>
      <c r="C15" s="27" t="str">
        <f>Sites[[#This Row],[SOL'#]]</f>
        <v>SOL-10919</v>
      </c>
      <c r="D15" s="9"/>
      <c r="E15" s="14"/>
      <c r="F15" s="14" t="str">
        <f t="shared" si="0"/>
        <v/>
      </c>
      <c r="G15" s="15" t="str">
        <f t="shared" si="3"/>
        <v/>
      </c>
      <c r="H15" s="16"/>
      <c r="I15" s="16" t="str">
        <f t="shared" si="1"/>
        <v/>
      </c>
      <c r="J15" s="15" t="str">
        <f t="shared" si="2"/>
        <v/>
      </c>
      <c r="K15" s="51"/>
      <c r="L15" s="52"/>
    </row>
    <row r="16" spans="1:15" ht="15.6">
      <c r="A16" s="24" t="str">
        <v>K298</v>
      </c>
      <c r="B16" s="25" t="str">
        <v>NY</v>
      </c>
      <c r="C16" s="25" t="str">
        <f>Sites[[#This Row],[SOL'#]]</f>
        <v>SOL-10368</v>
      </c>
      <c r="D16" s="20"/>
      <c r="E16" s="10"/>
      <c r="F16" s="10" t="str">
        <f t="shared" si="0"/>
        <v/>
      </c>
      <c r="G16" s="11" t="str">
        <f t="shared" si="3"/>
        <v/>
      </c>
      <c r="H16" s="12"/>
      <c r="I16" s="12" t="str">
        <f t="shared" si="1"/>
        <v/>
      </c>
      <c r="J16" s="13" t="str">
        <f t="shared" si="2"/>
        <v/>
      </c>
      <c r="K16" s="53"/>
      <c r="L16" s="53"/>
    </row>
    <row r="17" spans="1:15" ht="15.6">
      <c r="A17" s="26" t="str">
        <v>K335</v>
      </c>
      <c r="B17" s="27" t="str">
        <v>NY</v>
      </c>
      <c r="C17" s="27" t="str">
        <f>Sites[[#This Row],[SOL'#]]</f>
        <v>SOL-10370</v>
      </c>
      <c r="D17" s="9"/>
      <c r="E17" s="14"/>
      <c r="F17" s="14" t="str">
        <f t="shared" si="0"/>
        <v/>
      </c>
      <c r="G17" s="15" t="str">
        <f t="shared" si="3"/>
        <v/>
      </c>
      <c r="H17" s="16"/>
      <c r="I17" s="16" t="str">
        <f t="shared" si="1"/>
        <v/>
      </c>
      <c r="J17" s="15" t="str">
        <f t="shared" si="2"/>
        <v/>
      </c>
      <c r="K17" s="51"/>
      <c r="L17" s="51"/>
    </row>
    <row r="18" spans="1:15" ht="63" customHeight="1">
      <c r="A18" s="24" t="str">
        <v>K345</v>
      </c>
      <c r="B18" s="25" t="str">
        <v>NY</v>
      </c>
      <c r="C18" s="25" t="str">
        <f>Sites[[#This Row],[SOL'#]]</f>
        <v>SOL-10920</v>
      </c>
      <c r="D18" s="20"/>
      <c r="E18" s="10"/>
      <c r="F18" s="10" t="str">
        <f t="shared" si="0"/>
        <v/>
      </c>
      <c r="G18" s="11" t="str">
        <f t="shared" ref="G18:G50" si="4">IFERROR(F18/E18, "")</f>
        <v/>
      </c>
      <c r="H18" s="12"/>
      <c r="I18" s="12" t="str">
        <f t="shared" si="1"/>
        <v/>
      </c>
      <c r="J18" s="13" t="str">
        <f t="shared" si="2"/>
        <v/>
      </c>
      <c r="K18" s="53"/>
      <c r="L18" s="98"/>
    </row>
    <row r="19" spans="1:15" ht="15.6">
      <c r="A19" s="26" t="str">
        <v>K445</v>
      </c>
      <c r="B19" s="27" t="str">
        <v>NY</v>
      </c>
      <c r="C19" s="27" t="str">
        <f>Sites[[#This Row],[SOL'#]]</f>
        <v>SOL-10373</v>
      </c>
      <c r="D19" s="9"/>
      <c r="E19" s="14"/>
      <c r="F19" s="14" t="str">
        <f t="shared" si="0"/>
        <v/>
      </c>
      <c r="G19" s="15" t="str">
        <f t="shared" si="4"/>
        <v/>
      </c>
      <c r="H19" s="16"/>
      <c r="I19" s="16" t="str">
        <f t="shared" si="1"/>
        <v/>
      </c>
      <c r="J19" s="15" t="str">
        <f t="shared" si="2"/>
        <v/>
      </c>
      <c r="K19" s="51"/>
      <c r="L19" s="52"/>
    </row>
    <row r="20" spans="1:15" ht="15.6">
      <c r="A20" s="24" t="str">
        <v>K495</v>
      </c>
      <c r="B20" s="25" t="str">
        <v>NY</v>
      </c>
      <c r="C20" s="25" t="str">
        <f>Sites[[#This Row],[SOL'#]]</f>
        <v>SOL-10374</v>
      </c>
      <c r="D20" s="20"/>
      <c r="E20" s="10"/>
      <c r="F20" s="10" t="str">
        <f t="shared" si="0"/>
        <v/>
      </c>
      <c r="G20" s="11" t="str">
        <f t="shared" si="4"/>
        <v/>
      </c>
      <c r="H20" s="12"/>
      <c r="I20" s="12" t="str">
        <f t="shared" si="1"/>
        <v/>
      </c>
      <c r="J20" s="13" t="str">
        <f t="shared" si="2"/>
        <v/>
      </c>
      <c r="K20" s="53"/>
      <c r="L20" s="98"/>
      <c r="M20" s="102"/>
      <c r="N20" s="102"/>
      <c r="O20" s="102"/>
    </row>
    <row r="21" spans="1:15" ht="15.6">
      <c r="A21" s="26" t="str">
        <v>M020</v>
      </c>
      <c r="B21" s="27" t="str">
        <v>NY</v>
      </c>
      <c r="C21" s="27" t="str">
        <f>Sites[[#This Row],[SOL'#]]</f>
        <v>SOL-10380</v>
      </c>
      <c r="D21" s="9"/>
      <c r="E21" s="14"/>
      <c r="F21" s="14" t="str">
        <f t="shared" si="0"/>
        <v/>
      </c>
      <c r="G21" s="15" t="str">
        <f t="shared" si="4"/>
        <v/>
      </c>
      <c r="H21" s="16"/>
      <c r="I21" s="16" t="str">
        <f t="shared" si="1"/>
        <v/>
      </c>
      <c r="J21" s="15" t="str">
        <f t="shared" si="2"/>
        <v/>
      </c>
      <c r="K21" s="51"/>
      <c r="L21" s="51"/>
    </row>
    <row r="22" spans="1:15" ht="15.6">
      <c r="A22" s="24" t="str">
        <v>M092</v>
      </c>
      <c r="B22" s="25" t="str">
        <v>NY</v>
      </c>
      <c r="C22" s="25" t="str">
        <f>Sites[[#This Row],[SOL'#]]</f>
        <v>SOL-10383</v>
      </c>
      <c r="D22" s="20"/>
      <c r="E22" s="10"/>
      <c r="F22" s="10" t="str">
        <f t="shared" si="0"/>
        <v/>
      </c>
      <c r="G22" s="11" t="str">
        <f t="shared" si="4"/>
        <v/>
      </c>
      <c r="H22" s="12"/>
      <c r="I22" s="12" t="str">
        <f t="shared" si="1"/>
        <v/>
      </c>
      <c r="J22" s="13" t="str">
        <f t="shared" si="2"/>
        <v/>
      </c>
      <c r="K22" s="53"/>
      <c r="L22" s="53"/>
    </row>
    <row r="23" spans="1:15" ht="15.6">
      <c r="A23" s="26" t="str">
        <v>M143</v>
      </c>
      <c r="B23" s="27" t="str">
        <v>NY</v>
      </c>
      <c r="C23" s="27" t="str">
        <f>Sites[[#This Row],[SOL'#]]</f>
        <v>SOL-10384</v>
      </c>
      <c r="D23" s="9"/>
      <c r="E23" s="14"/>
      <c r="F23" s="14" t="str">
        <f t="shared" si="0"/>
        <v/>
      </c>
      <c r="G23" s="15" t="str">
        <f t="shared" si="4"/>
        <v/>
      </c>
      <c r="H23" s="16"/>
      <c r="I23" s="16" t="str">
        <f t="shared" si="1"/>
        <v/>
      </c>
      <c r="J23" s="15" t="str">
        <f t="shared" si="2"/>
        <v/>
      </c>
      <c r="K23" s="51"/>
      <c r="L23" s="99"/>
    </row>
    <row r="24" spans="1:15" ht="15.6">
      <c r="A24" s="24" t="str">
        <v>M144</v>
      </c>
      <c r="B24" s="25" t="str">
        <v>NY</v>
      </c>
      <c r="C24" s="25" t="str">
        <f>Sites[[#This Row],[SOL'#]]</f>
        <v>SOL-10385</v>
      </c>
      <c r="D24" s="20"/>
      <c r="E24" s="10"/>
      <c r="F24" s="10" t="str">
        <f t="shared" si="0"/>
        <v/>
      </c>
      <c r="G24" s="11" t="str">
        <f t="shared" si="4"/>
        <v/>
      </c>
      <c r="H24" s="12"/>
      <c r="I24" s="12" t="str">
        <f t="shared" si="1"/>
        <v/>
      </c>
      <c r="J24" s="13" t="str">
        <f t="shared" si="2"/>
        <v/>
      </c>
      <c r="K24" s="53"/>
      <c r="L24" s="53"/>
    </row>
    <row r="25" spans="1:15" ht="35.25" customHeight="1">
      <c r="A25" s="26" t="str">
        <v>M167</v>
      </c>
      <c r="B25" s="27" t="str">
        <v>NY</v>
      </c>
      <c r="C25" s="27" t="str">
        <f>Sites[[#This Row],[SOL'#]]</f>
        <v>SOL-10386</v>
      </c>
      <c r="D25" s="9"/>
      <c r="E25" s="14"/>
      <c r="F25" s="14" t="str">
        <f t="shared" si="0"/>
        <v/>
      </c>
      <c r="G25" s="15" t="str">
        <f t="shared" si="4"/>
        <v/>
      </c>
      <c r="H25" s="16"/>
      <c r="I25" s="16" t="str">
        <f t="shared" si="1"/>
        <v/>
      </c>
      <c r="J25" s="15" t="str">
        <f t="shared" si="2"/>
        <v/>
      </c>
      <c r="K25" s="51"/>
      <c r="L25" s="51"/>
    </row>
    <row r="26" spans="1:15" ht="15.6">
      <c r="A26" s="24" t="str">
        <v>M188</v>
      </c>
      <c r="B26" s="25" t="str">
        <v>NY</v>
      </c>
      <c r="C26" s="25" t="str">
        <f>Sites[[#This Row],[SOL'#]]</f>
        <v>SOL-10387</v>
      </c>
      <c r="D26" s="20"/>
      <c r="E26" s="10"/>
      <c r="F26" s="10" t="str">
        <f>IF(AND(ISNUMBER(D26),ISNUMBER(E26)), D26-E26, "")</f>
        <v/>
      </c>
      <c r="G26" s="11" t="str">
        <f t="shared" si="4"/>
        <v/>
      </c>
      <c r="H26" s="12"/>
      <c r="I26" s="12" t="str">
        <f>IF(AND(ISNUMBER(D26),ISNUMBER(H26)), D26-H26, "")</f>
        <v/>
      </c>
      <c r="J26" s="13" t="str">
        <f t="shared" si="2"/>
        <v/>
      </c>
      <c r="K26" s="53"/>
      <c r="L26" s="53"/>
    </row>
    <row r="27" spans="1:15" ht="15.6">
      <c r="A27" s="26" t="str">
        <v>EMHC</v>
      </c>
      <c r="B27" s="27" t="str">
        <v>NY</v>
      </c>
      <c r="C27" s="27" t="str">
        <f>Sites[[#This Row],[SOL'#]]</f>
        <v>SOL-10351</v>
      </c>
      <c r="D27" s="9"/>
      <c r="E27" s="14"/>
      <c r="F27" s="14" t="str">
        <f>IF(AND(ISNUMBER(D27),ISNUMBER(E27)), D27-E27, "")</f>
        <v/>
      </c>
      <c r="G27" s="15" t="str">
        <f t="shared" si="4"/>
        <v/>
      </c>
      <c r="H27" s="16"/>
      <c r="I27" s="16" t="str">
        <f>IF(AND(ISNUMBER(D27),ISNUMBER(H27)), D27-H27, "")</f>
        <v/>
      </c>
      <c r="J27" s="15" t="str">
        <f t="shared" si="2"/>
        <v/>
      </c>
      <c r="K27" s="61"/>
      <c r="L27" s="99"/>
    </row>
    <row r="28" spans="1:15" ht="15.6">
      <c r="A28" s="24" t="str">
        <v>Q008</v>
      </c>
      <c r="B28" s="25" t="str">
        <v>NY</v>
      </c>
      <c r="C28" s="25" t="str">
        <f>Sites[[#This Row],[SOL'#]]</f>
        <v>SOL-10397</v>
      </c>
      <c r="D28" s="20"/>
      <c r="E28" s="10"/>
      <c r="F28" s="10" t="str">
        <f t="shared" si="0"/>
        <v/>
      </c>
      <c r="G28" s="11" t="str">
        <f t="shared" si="4"/>
        <v/>
      </c>
      <c r="H28" s="12"/>
      <c r="I28" s="12" t="str">
        <f t="shared" si="1"/>
        <v/>
      </c>
      <c r="J28" s="13" t="str">
        <f t="shared" si="2"/>
        <v/>
      </c>
      <c r="K28" s="53"/>
      <c r="L28" s="98"/>
    </row>
    <row r="29" spans="1:15" ht="15.6">
      <c r="A29" s="26" t="str">
        <v>Q018</v>
      </c>
      <c r="B29" s="27" t="str">
        <v>NY</v>
      </c>
      <c r="C29" s="27" t="str">
        <f>Sites[[#This Row],[SOL'#]]</f>
        <v>SOL-10398</v>
      </c>
      <c r="D29" s="9"/>
      <c r="E29" s="14"/>
      <c r="F29" s="14" t="str">
        <f t="shared" si="0"/>
        <v/>
      </c>
      <c r="G29" s="15" t="str">
        <f t="shared" si="4"/>
        <v/>
      </c>
      <c r="H29" s="16"/>
      <c r="I29" s="16" t="str">
        <f t="shared" si="1"/>
        <v/>
      </c>
      <c r="J29" s="15" t="str">
        <f t="shared" si="2"/>
        <v/>
      </c>
      <c r="K29" s="51"/>
      <c r="L29" s="51"/>
    </row>
    <row r="30" spans="1:15" ht="15.6">
      <c r="A30" s="24" t="str">
        <v>Q021</v>
      </c>
      <c r="B30" s="25" t="str">
        <v>NY</v>
      </c>
      <c r="C30" s="25" t="str">
        <f>Sites[[#This Row],[SOL'#]]</f>
        <v>SOL-10399</v>
      </c>
      <c r="D30" s="20"/>
      <c r="E30" s="10"/>
      <c r="F30" s="10" t="str">
        <f t="shared" si="0"/>
        <v/>
      </c>
      <c r="G30" s="11" t="str">
        <f t="shared" si="4"/>
        <v/>
      </c>
      <c r="H30" s="12"/>
      <c r="I30" s="12" t="str">
        <f t="shared" si="1"/>
        <v/>
      </c>
      <c r="J30" s="13" t="str">
        <f t="shared" si="2"/>
        <v/>
      </c>
      <c r="K30" s="53"/>
      <c r="L30" s="53"/>
    </row>
    <row r="31" spans="1:15" ht="15.6">
      <c r="A31" s="26" t="str">
        <v>Q025</v>
      </c>
      <c r="B31" s="27" t="str">
        <v>NY</v>
      </c>
      <c r="C31" s="27" t="str">
        <f>Sites[[#This Row],[SOL'#]]</f>
        <v>SOL-10400</v>
      </c>
      <c r="D31" s="9"/>
      <c r="E31" s="14"/>
      <c r="F31" s="14" t="str">
        <f t="shared" si="0"/>
        <v/>
      </c>
      <c r="G31" s="15" t="str">
        <f t="shared" si="4"/>
        <v/>
      </c>
      <c r="H31" s="16"/>
      <c r="I31" s="16" t="str">
        <f t="shared" si="1"/>
        <v/>
      </c>
      <c r="J31" s="15" t="str">
        <f t="shared" si="2"/>
        <v/>
      </c>
      <c r="K31" s="51"/>
      <c r="L31" s="52"/>
    </row>
    <row r="32" spans="1:15" ht="15.6">
      <c r="A32" s="24" t="str">
        <v>Q074</v>
      </c>
      <c r="B32" s="25" t="str">
        <v>NY</v>
      </c>
      <c r="C32" s="25" t="str">
        <f>Sites[[#This Row],[SOL'#]]</f>
        <v>SOL-10402</v>
      </c>
      <c r="D32" s="20"/>
      <c r="E32" s="10"/>
      <c r="F32" s="10" t="str">
        <f t="shared" si="0"/>
        <v/>
      </c>
      <c r="G32" s="11" t="str">
        <f t="shared" si="4"/>
        <v/>
      </c>
      <c r="H32" s="12"/>
      <c r="I32" s="12" t="str">
        <f t="shared" si="1"/>
        <v/>
      </c>
      <c r="J32" s="13" t="str">
        <f t="shared" si="2"/>
        <v/>
      </c>
      <c r="K32" s="53"/>
      <c r="L32" s="98"/>
    </row>
    <row r="33" spans="1:13" ht="15.6">
      <c r="A33" s="26" t="str">
        <v>Q115</v>
      </c>
      <c r="B33" s="27" t="str">
        <v>NY</v>
      </c>
      <c r="C33" s="27" t="str">
        <f>Sites[[#This Row],[SOL'#]]</f>
        <v>SOL-10872</v>
      </c>
      <c r="D33" s="9"/>
      <c r="E33" s="14"/>
      <c r="F33" s="14" t="str">
        <f t="shared" si="0"/>
        <v/>
      </c>
      <c r="G33" s="15" t="str">
        <f t="shared" si="4"/>
        <v/>
      </c>
      <c r="H33" s="16"/>
      <c r="I33" s="16" t="str">
        <f t="shared" si="1"/>
        <v/>
      </c>
      <c r="J33" s="15" t="str">
        <f t="shared" si="2"/>
        <v/>
      </c>
      <c r="K33" s="51"/>
      <c r="L33" s="52"/>
    </row>
    <row r="34" spans="1:13" ht="15.6">
      <c r="A34" s="24" t="str">
        <v>Q139</v>
      </c>
      <c r="B34" s="25" t="str">
        <v>NY</v>
      </c>
      <c r="C34" s="25" t="str">
        <f>Sites[[#This Row],[SOL'#]]</f>
        <v>SOL-10403</v>
      </c>
      <c r="D34" s="20"/>
      <c r="E34" s="10"/>
      <c r="F34" s="10" t="str">
        <f t="shared" si="0"/>
        <v/>
      </c>
      <c r="G34" s="11" t="str">
        <f t="shared" si="4"/>
        <v/>
      </c>
      <c r="H34" s="12"/>
      <c r="I34" s="12" t="str">
        <f t="shared" si="1"/>
        <v/>
      </c>
      <c r="J34" s="13" t="str">
        <f t="shared" si="2"/>
        <v/>
      </c>
      <c r="K34" s="73"/>
      <c r="L34" s="98"/>
    </row>
    <row r="35" spans="1:13" ht="15.6">
      <c r="A35" s="26" t="str">
        <v>Q157</v>
      </c>
      <c r="B35" s="27" t="str">
        <v>NY</v>
      </c>
      <c r="C35" s="27" t="str">
        <f>Sites[[#This Row],[SOL'#]]</f>
        <v>SOL-10404</v>
      </c>
      <c r="D35" s="9"/>
      <c r="E35" s="14"/>
      <c r="F35" s="14" t="str">
        <f t="shared" si="0"/>
        <v/>
      </c>
      <c r="G35" s="15" t="str">
        <f t="shared" si="4"/>
        <v/>
      </c>
      <c r="H35" s="16"/>
      <c r="I35" s="16" t="str">
        <f t="shared" si="1"/>
        <v/>
      </c>
      <c r="J35" s="15" t="str">
        <f t="shared" si="2"/>
        <v/>
      </c>
      <c r="K35" s="51"/>
      <c r="L35" s="99"/>
    </row>
    <row r="36" spans="1:13" ht="15.6">
      <c r="A36" s="24" t="str">
        <v>Q192</v>
      </c>
      <c r="B36" s="25" t="str">
        <v>NY</v>
      </c>
      <c r="C36" s="25" t="str">
        <f>Sites[[#This Row],[SOL'#]]</f>
        <v>SOL-10406</v>
      </c>
      <c r="D36" s="165"/>
      <c r="E36" s="10"/>
      <c r="F36" s="10" t="str">
        <f t="shared" si="0"/>
        <v/>
      </c>
      <c r="G36" s="55" t="str">
        <f t="shared" si="4"/>
        <v/>
      </c>
      <c r="H36" s="67"/>
      <c r="I36" s="67" t="str">
        <f t="shared" si="1"/>
        <v/>
      </c>
      <c r="J36" s="64" t="str">
        <f t="shared" si="2"/>
        <v/>
      </c>
      <c r="K36" s="73"/>
      <c r="L36" s="100"/>
    </row>
    <row r="37" spans="1:13" ht="28.9" customHeight="1">
      <c r="A37" s="26" t="str">
        <v>Q210</v>
      </c>
      <c r="B37" s="27" t="str">
        <v>NY</v>
      </c>
      <c r="C37" s="27" t="str">
        <f>Sites[[#This Row],[SOL'#]]</f>
        <v>SOL-10407</v>
      </c>
      <c r="D37" s="9"/>
      <c r="E37" s="14"/>
      <c r="F37" s="14" t="str">
        <f t="shared" si="0"/>
        <v/>
      </c>
      <c r="G37" s="15" t="str">
        <f t="shared" si="4"/>
        <v/>
      </c>
      <c r="H37" s="16"/>
      <c r="I37" s="16" t="str">
        <f t="shared" si="1"/>
        <v/>
      </c>
      <c r="J37" s="15" t="str">
        <f t="shared" si="2"/>
        <v/>
      </c>
      <c r="K37" s="51"/>
      <c r="L37" s="51"/>
    </row>
    <row r="38" spans="1:13" ht="15.6">
      <c r="A38" s="24" t="str">
        <v>Q229</v>
      </c>
      <c r="B38" s="25" t="str">
        <v>NY</v>
      </c>
      <c r="C38" s="25" t="str">
        <f>Sites[[#This Row],[SOL'#]]</f>
        <v>SOL-10408</v>
      </c>
      <c r="D38" s="54"/>
      <c r="E38" s="10"/>
      <c r="F38" s="10" t="str">
        <f t="shared" si="0"/>
        <v/>
      </c>
      <c r="G38" s="55" t="str">
        <f t="shared" si="4"/>
        <v/>
      </c>
      <c r="H38" s="67"/>
      <c r="I38" s="67" t="str">
        <f t="shared" si="1"/>
        <v/>
      </c>
      <c r="J38" s="64" t="str">
        <f t="shared" si="2"/>
        <v/>
      </c>
      <c r="K38" s="73"/>
      <c r="L38" s="100"/>
    </row>
    <row r="39" spans="1:13" ht="15.6">
      <c r="A39" s="26" t="str">
        <v>Q231</v>
      </c>
      <c r="B39" s="27" t="str">
        <v>NY</v>
      </c>
      <c r="C39" s="27" t="str">
        <f>Sites[[#This Row],[SOL'#]]</f>
        <v>SOL-10870</v>
      </c>
      <c r="D39" s="9"/>
      <c r="E39" s="14"/>
      <c r="F39" s="14" t="str">
        <f t="shared" si="0"/>
        <v/>
      </c>
      <c r="G39" s="15" t="str">
        <f t="shared" si="4"/>
        <v/>
      </c>
      <c r="H39" s="16"/>
      <c r="I39" s="16" t="str">
        <f t="shared" si="1"/>
        <v/>
      </c>
      <c r="J39" s="15" t="str">
        <f t="shared" si="2"/>
        <v/>
      </c>
      <c r="K39" s="51"/>
      <c r="L39" s="99"/>
    </row>
    <row r="40" spans="1:13" ht="15.6">
      <c r="A40" s="24" t="str">
        <v>Q405</v>
      </c>
      <c r="B40" s="25" t="str">
        <v>NY</v>
      </c>
      <c r="C40" s="25" t="str">
        <f>Sites[[#This Row],[SOL'#]]</f>
        <v>SOL-10409</v>
      </c>
      <c r="D40" s="54"/>
      <c r="E40" s="10"/>
      <c r="F40" s="10" t="str">
        <f t="shared" si="0"/>
        <v/>
      </c>
      <c r="G40" s="55" t="str">
        <f t="shared" si="4"/>
        <v/>
      </c>
      <c r="H40" s="67"/>
      <c r="I40" s="67" t="str">
        <f t="shared" si="1"/>
        <v/>
      </c>
      <c r="J40" s="64" t="str">
        <f t="shared" si="2"/>
        <v/>
      </c>
      <c r="K40" s="73"/>
      <c r="L40" s="100"/>
      <c r="M40" s="102"/>
    </row>
    <row r="41" spans="1:13" ht="15.6">
      <c r="A41" s="26" t="str">
        <v>Q435</v>
      </c>
      <c r="B41" s="27" t="str">
        <v>NY</v>
      </c>
      <c r="C41" s="27" t="str">
        <f>Sites[[#This Row],[SOL'#]]</f>
        <v>SOL-10923</v>
      </c>
      <c r="D41" s="9"/>
      <c r="E41" s="14"/>
      <c r="F41" s="14" t="str">
        <f t="shared" si="0"/>
        <v/>
      </c>
      <c r="G41" s="15" t="str">
        <f t="shared" si="4"/>
        <v/>
      </c>
      <c r="H41" s="16"/>
      <c r="I41" s="16" t="str">
        <f t="shared" si="1"/>
        <v/>
      </c>
      <c r="J41" s="15" t="str">
        <f t="shared" si="2"/>
        <v/>
      </c>
      <c r="K41" s="51"/>
      <c r="L41" s="99"/>
    </row>
    <row r="42" spans="1:13" ht="15.6">
      <c r="A42" s="24" t="str">
        <v>Q485</v>
      </c>
      <c r="B42" s="25" t="str">
        <v>NY</v>
      </c>
      <c r="C42" s="25" t="str">
        <f>Sites[[#This Row],[SOL'#]]</f>
        <v>SOL-10869</v>
      </c>
      <c r="D42" s="54"/>
      <c r="E42" s="10"/>
      <c r="F42" s="10" t="str">
        <f t="shared" si="0"/>
        <v/>
      </c>
      <c r="G42" s="55" t="str">
        <f t="shared" si="4"/>
        <v/>
      </c>
      <c r="H42" s="67"/>
      <c r="I42" s="67" t="str">
        <f t="shared" si="1"/>
        <v/>
      </c>
      <c r="J42" s="64" t="str">
        <f t="shared" si="2"/>
        <v/>
      </c>
      <c r="K42" s="73"/>
      <c r="L42" s="73"/>
    </row>
    <row r="43" spans="1:13" ht="15.6">
      <c r="A43" s="26" t="str">
        <v>Q490</v>
      </c>
      <c r="B43" s="27" t="str">
        <v>NY</v>
      </c>
      <c r="C43" s="27" t="str">
        <f>Sites[[#This Row],[SOL'#]]</f>
        <v>SOL-10411</v>
      </c>
      <c r="D43" s="9"/>
      <c r="E43" s="14"/>
      <c r="F43" s="14" t="str">
        <f t="shared" si="0"/>
        <v/>
      </c>
      <c r="G43" s="15" t="str">
        <f t="shared" si="4"/>
        <v/>
      </c>
      <c r="H43" s="16"/>
      <c r="I43" s="16" t="str">
        <f t="shared" si="1"/>
        <v/>
      </c>
      <c r="J43" s="15" t="str">
        <f t="shared" si="2"/>
        <v/>
      </c>
      <c r="K43" s="51"/>
      <c r="L43" s="99"/>
      <c r="M43" s="102"/>
    </row>
    <row r="44" spans="1:13" ht="15.6">
      <c r="A44" s="24" t="str">
        <v>Q620</v>
      </c>
      <c r="B44" s="25" t="str">
        <v>NY</v>
      </c>
      <c r="C44" s="25" t="str">
        <f>Sites[[#This Row],[SOL'#]]</f>
        <v>SOL-10867</v>
      </c>
      <c r="D44" s="54"/>
      <c r="E44" s="10"/>
      <c r="F44" s="10" t="str">
        <f t="shared" si="0"/>
        <v/>
      </c>
      <c r="G44" s="55" t="str">
        <f t="shared" si="4"/>
        <v/>
      </c>
      <c r="H44" s="67"/>
      <c r="I44" s="67" t="str">
        <f t="shared" si="1"/>
        <v/>
      </c>
      <c r="J44" s="64" t="str">
        <f t="shared" si="2"/>
        <v/>
      </c>
      <c r="K44" s="73"/>
      <c r="L44" s="100"/>
    </row>
    <row r="45" spans="1:13" ht="15.6">
      <c r="A45" s="26" t="str">
        <v>QMOA</v>
      </c>
      <c r="B45" s="27" t="str">
        <v>NY</v>
      </c>
      <c r="C45" s="27" t="str">
        <f>Sites[[#This Row],[SOL'#]]</f>
        <v>SOL-10415</v>
      </c>
      <c r="D45" s="9"/>
      <c r="E45" s="14"/>
      <c r="F45" s="14" t="str">
        <f t="shared" si="0"/>
        <v/>
      </c>
      <c r="G45" s="15" t="str">
        <f t="shared" si="4"/>
        <v/>
      </c>
      <c r="H45" s="16"/>
      <c r="I45" s="16" t="str">
        <f t="shared" si="1"/>
        <v/>
      </c>
      <c r="J45" s="15" t="str">
        <f t="shared" si="2"/>
        <v/>
      </c>
      <c r="K45" s="51"/>
      <c r="L45" s="52"/>
    </row>
    <row r="46" spans="1:13" ht="15.6">
      <c r="A46" s="24" t="str">
        <v>X024</v>
      </c>
      <c r="B46" s="25" t="str">
        <v>NY</v>
      </c>
      <c r="C46" s="25" t="str">
        <f>Sites[[#This Row],[SOL'#]]</f>
        <v>SOL-10419</v>
      </c>
      <c r="D46" s="54"/>
      <c r="E46" s="10"/>
      <c r="F46" s="10" t="str">
        <f t="shared" si="0"/>
        <v/>
      </c>
      <c r="G46" s="55" t="str">
        <f t="shared" si="4"/>
        <v/>
      </c>
      <c r="H46" s="67"/>
      <c r="I46" s="67" t="str">
        <f t="shared" si="1"/>
        <v/>
      </c>
      <c r="J46" s="64" t="str">
        <f t="shared" si="2"/>
        <v/>
      </c>
      <c r="K46" s="73"/>
      <c r="L46" s="73"/>
    </row>
    <row r="47" spans="1:13" ht="15.6">
      <c r="A47" s="26" t="str">
        <v>X026</v>
      </c>
      <c r="B47" s="27" t="str">
        <v>NY</v>
      </c>
      <c r="C47" s="27" t="str">
        <f>Sites[[#This Row],[SOL'#]]</f>
        <v>SOL-10420</v>
      </c>
      <c r="D47" s="9"/>
      <c r="E47" s="14"/>
      <c r="F47" s="14" t="str">
        <f t="shared" si="0"/>
        <v/>
      </c>
      <c r="G47" s="15" t="str">
        <f t="shared" si="4"/>
        <v/>
      </c>
      <c r="H47" s="16"/>
      <c r="I47" s="16" t="str">
        <f t="shared" si="1"/>
        <v/>
      </c>
      <c r="J47" s="15" t="str">
        <f t="shared" si="2"/>
        <v/>
      </c>
      <c r="K47" s="51"/>
      <c r="L47" s="99"/>
    </row>
    <row r="48" spans="1:13" ht="15.6">
      <c r="A48" s="24" t="str">
        <v>X090</v>
      </c>
      <c r="B48" s="25" t="str">
        <v>NY</v>
      </c>
      <c r="C48" s="25" t="str">
        <f>Sites[[#This Row],[SOL'#]]</f>
        <v>SOL-10925</v>
      </c>
      <c r="D48" s="54"/>
      <c r="E48" s="10"/>
      <c r="F48" s="10" t="str">
        <f t="shared" si="0"/>
        <v/>
      </c>
      <c r="G48" s="55" t="str">
        <f t="shared" si="4"/>
        <v/>
      </c>
      <c r="H48" s="67"/>
      <c r="I48" s="67" t="str">
        <f t="shared" si="1"/>
        <v/>
      </c>
      <c r="J48" s="64" t="str">
        <f t="shared" si="2"/>
        <v/>
      </c>
      <c r="K48" s="73"/>
      <c r="L48" s="73"/>
    </row>
    <row r="49" spans="1:14" ht="15.6">
      <c r="A49" s="26" t="str">
        <v>X117</v>
      </c>
      <c r="B49" s="27" t="str">
        <v>NY</v>
      </c>
      <c r="C49" s="27" t="str">
        <f>Sites[[#This Row],[SOL'#]]</f>
        <v>SOL-10422</v>
      </c>
      <c r="D49" s="9"/>
      <c r="E49" s="14"/>
      <c r="F49" s="14" t="str">
        <f t="shared" si="0"/>
        <v/>
      </c>
      <c r="G49" s="15" t="str">
        <f t="shared" si="4"/>
        <v/>
      </c>
      <c r="H49" s="16"/>
      <c r="I49" s="16" t="str">
        <f t="shared" si="1"/>
        <v/>
      </c>
      <c r="J49" s="15" t="str">
        <f t="shared" si="2"/>
        <v/>
      </c>
      <c r="K49" s="51"/>
      <c r="L49" s="52"/>
    </row>
    <row r="50" spans="1:14" ht="15.6">
      <c r="A50" s="24" t="str">
        <v>X125</v>
      </c>
      <c r="B50" s="25" t="str">
        <v>NY</v>
      </c>
      <c r="C50" s="25" t="str">
        <f>Sites[[#This Row],[SOL'#]]</f>
        <v>SOL-10423</v>
      </c>
      <c r="D50" s="54"/>
      <c r="E50" s="10"/>
      <c r="F50" s="10" t="str">
        <f t="shared" si="0"/>
        <v/>
      </c>
      <c r="G50" s="15" t="str">
        <f t="shared" si="4"/>
        <v/>
      </c>
      <c r="H50" s="67"/>
      <c r="I50" s="67" t="str">
        <f t="shared" si="1"/>
        <v/>
      </c>
      <c r="J50" s="64" t="str">
        <f t="shared" si="2"/>
        <v/>
      </c>
      <c r="K50" s="73"/>
      <c r="L50" s="73"/>
    </row>
    <row r="51" spans="1:14" ht="141" customHeight="1">
      <c r="A51" s="26" t="str">
        <v>X134</v>
      </c>
      <c r="B51" s="27" t="str">
        <v>NY</v>
      </c>
      <c r="C51" s="27" t="str">
        <f>Sites[[#This Row],[SOL'#]]</f>
        <v>SOL-10424</v>
      </c>
      <c r="D51" s="9"/>
      <c r="E51" s="14"/>
      <c r="F51" s="14" t="str">
        <f t="shared" si="0"/>
        <v/>
      </c>
      <c r="G51" s="15" t="str">
        <f t="shared" ref="G51:G81" si="5">IFERROR(F51/E51, "")</f>
        <v/>
      </c>
      <c r="H51" s="16"/>
      <c r="I51" s="16" t="str">
        <f t="shared" si="1"/>
        <v/>
      </c>
      <c r="J51" s="15" t="str">
        <f t="shared" si="2"/>
        <v/>
      </c>
      <c r="K51" s="51"/>
      <c r="L51" s="99"/>
      <c r="M51" s="102"/>
      <c r="N51" s="102"/>
    </row>
    <row r="52" spans="1:14" ht="15.6">
      <c r="A52" s="24" t="str">
        <v>X135</v>
      </c>
      <c r="B52" s="25" t="str">
        <v>NY</v>
      </c>
      <c r="C52" s="25" t="str">
        <f>Sites[[#This Row],[SOL'#]]</f>
        <v>SOL-10425</v>
      </c>
      <c r="D52" s="54"/>
      <c r="E52" s="10"/>
      <c r="F52" s="10" t="str">
        <f t="shared" si="0"/>
        <v/>
      </c>
      <c r="G52" s="55" t="str">
        <f t="shared" si="5"/>
        <v/>
      </c>
      <c r="H52" s="67"/>
      <c r="I52" s="67" t="str">
        <f t="shared" si="1"/>
        <v/>
      </c>
      <c r="J52" s="64" t="str">
        <f t="shared" si="2"/>
        <v/>
      </c>
      <c r="K52" s="73"/>
      <c r="L52" s="73"/>
    </row>
    <row r="53" spans="1:14" ht="15.6">
      <c r="A53" s="26" t="str">
        <v>X139 JHS 222</v>
      </c>
      <c r="B53" s="27" t="str">
        <v>NY</v>
      </c>
      <c r="C53" s="27" t="str">
        <f>Sites[[#This Row],[SOL'#]]</f>
        <v>SOL-10426</v>
      </c>
      <c r="D53" s="9"/>
      <c r="E53" s="14"/>
      <c r="F53" s="14" t="str">
        <f t="shared" si="0"/>
        <v/>
      </c>
      <c r="G53" s="15" t="str">
        <f t="shared" si="5"/>
        <v/>
      </c>
      <c r="H53" s="16"/>
      <c r="I53" s="16" t="str">
        <f t="shared" si="1"/>
        <v/>
      </c>
      <c r="J53" s="15" t="str">
        <f t="shared" si="2"/>
        <v/>
      </c>
      <c r="K53" s="51"/>
      <c r="L53" s="99"/>
      <c r="M53" s="102"/>
    </row>
    <row r="54" spans="1:14" ht="15.6">
      <c r="A54" s="24" t="str">
        <v>X140</v>
      </c>
      <c r="B54" s="25" t="str">
        <v>NY</v>
      </c>
      <c r="C54" s="25" t="str">
        <f>Sites[[#This Row],[SOL'#]]</f>
        <v>SOL-10926</v>
      </c>
      <c r="D54" s="54"/>
      <c r="E54" s="10"/>
      <c r="F54" s="10" t="str">
        <f t="shared" si="0"/>
        <v/>
      </c>
      <c r="G54" s="55" t="str">
        <f t="shared" si="5"/>
        <v/>
      </c>
      <c r="H54" s="67"/>
      <c r="I54" s="67" t="str">
        <f t="shared" si="1"/>
        <v/>
      </c>
      <c r="J54" s="64" t="str">
        <f t="shared" si="2"/>
        <v/>
      </c>
      <c r="K54" s="73"/>
      <c r="L54" s="100"/>
    </row>
    <row r="55" spans="1:14" ht="15.6">
      <c r="A55" s="26" t="str">
        <v>X166</v>
      </c>
      <c r="B55" s="27" t="str">
        <v>NY</v>
      </c>
      <c r="C55" s="27" t="str">
        <f>Sites[[#This Row],[SOL'#]]</f>
        <v>SOL-10427</v>
      </c>
      <c r="D55" s="9"/>
      <c r="E55" s="14"/>
      <c r="F55" s="14" t="str">
        <f t="shared" si="0"/>
        <v/>
      </c>
      <c r="G55" s="15" t="str">
        <f t="shared" si="5"/>
        <v/>
      </c>
      <c r="H55" s="16"/>
      <c r="I55" s="16" t="str">
        <f t="shared" si="1"/>
        <v/>
      </c>
      <c r="J55" s="15" t="str">
        <f t="shared" si="2"/>
        <v/>
      </c>
      <c r="K55" s="51"/>
      <c r="L55" s="96"/>
    </row>
    <row r="56" spans="1:14" ht="15.6">
      <c r="A56" s="24" t="str">
        <v>Murphy</v>
      </c>
      <c r="B56" s="25" t="str">
        <v>MN</v>
      </c>
      <c r="C56" s="25" t="str">
        <f>Sites[[#This Row],[SOL'#]]</f>
        <v>SOL-10094</v>
      </c>
      <c r="D56" s="54"/>
      <c r="E56" s="10"/>
      <c r="F56" s="10" t="str">
        <f t="shared" si="0"/>
        <v/>
      </c>
      <c r="G56" s="55" t="str">
        <f t="shared" si="5"/>
        <v/>
      </c>
      <c r="H56" s="67"/>
      <c r="I56" s="67" t="str">
        <f t="shared" si="1"/>
        <v/>
      </c>
      <c r="J56" s="64" t="str">
        <f t="shared" si="2"/>
        <v/>
      </c>
      <c r="K56" s="73"/>
      <c r="L56" s="100"/>
      <c r="M56" s="102"/>
      <c r="N56" s="102"/>
    </row>
    <row r="57" spans="1:14" ht="15.6">
      <c r="A57" s="26" t="str">
        <v>Terning</v>
      </c>
      <c r="B57" s="27" t="str">
        <v>MN</v>
      </c>
      <c r="C57" s="27" t="str">
        <f>Sites[[#This Row],[SOL'#]]</f>
        <v>SOL-10093</v>
      </c>
      <c r="D57" s="9"/>
      <c r="E57" s="14"/>
      <c r="F57" s="14" t="str">
        <f t="shared" si="0"/>
        <v/>
      </c>
      <c r="G57" s="15" t="str">
        <f t="shared" si="5"/>
        <v/>
      </c>
      <c r="H57" s="16"/>
      <c r="I57" s="16" t="str">
        <f t="shared" si="1"/>
        <v/>
      </c>
      <c r="J57" s="15" t="str">
        <f t="shared" si="2"/>
        <v/>
      </c>
      <c r="K57" s="51"/>
      <c r="L57" s="52"/>
    </row>
    <row r="58" spans="1:14" ht="15.6">
      <c r="A58" s="24" t="str">
        <v>Boas Road 04</v>
      </c>
      <c r="B58" s="25" t="str">
        <v>NY</v>
      </c>
      <c r="C58" s="25" t="str">
        <f>Sites[[#This Row],[SOL'#]]</f>
        <v>SOL-10908</v>
      </c>
      <c r="D58" s="54"/>
      <c r="E58" s="10"/>
      <c r="F58" s="10" t="str">
        <f t="shared" si="0"/>
        <v/>
      </c>
      <c r="G58" s="55" t="str">
        <f t="shared" si="5"/>
        <v/>
      </c>
      <c r="H58" s="67"/>
      <c r="I58" s="67" t="str">
        <f t="shared" si="1"/>
        <v/>
      </c>
      <c r="J58" s="64" t="str">
        <f t="shared" si="2"/>
        <v/>
      </c>
      <c r="K58" s="73"/>
      <c r="L58" s="100"/>
    </row>
    <row r="59" spans="1:14" ht="15.6">
      <c r="A59" s="26" t="str">
        <v>Kelly Bridge Farm</v>
      </c>
      <c r="B59" s="27" t="str">
        <v>NY</v>
      </c>
      <c r="C59" s="27" t="str">
        <f>Sites[[#This Row],[SOL'#]]</f>
        <v>SOL-10911</v>
      </c>
      <c r="D59" s="9"/>
      <c r="E59" s="14"/>
      <c r="F59" s="14" t="str">
        <f t="shared" si="0"/>
        <v/>
      </c>
      <c r="G59" s="15" t="str">
        <f t="shared" si="5"/>
        <v/>
      </c>
      <c r="H59" s="16"/>
      <c r="I59" s="16" t="str">
        <f t="shared" si="1"/>
        <v/>
      </c>
      <c r="J59" s="15" t="str">
        <f t="shared" si="2"/>
        <v/>
      </c>
      <c r="K59" s="51"/>
      <c r="L59" s="99"/>
    </row>
    <row r="60" spans="1:14" ht="15.6">
      <c r="A60" s="24" t="str">
        <v>Pool Brook Road</v>
      </c>
      <c r="B60" s="25" t="str">
        <v>NY</v>
      </c>
      <c r="C60" s="25" t="str">
        <f>Sites[[#This Row],[SOL'#]]</f>
        <v>SOL-10909</v>
      </c>
      <c r="D60" s="54"/>
      <c r="E60" s="10"/>
      <c r="F60" s="10" t="str">
        <f>IF(AND(ISNUMBER(D60),ISNUMBER(E60)), D60-E60, "")</f>
        <v/>
      </c>
      <c r="G60" s="55" t="str">
        <f t="shared" si="5"/>
        <v/>
      </c>
      <c r="H60" s="67"/>
      <c r="I60" s="67" t="str">
        <f t="shared" si="1"/>
        <v/>
      </c>
      <c r="J60" s="64" t="str">
        <f t="shared" si="2"/>
        <v/>
      </c>
      <c r="K60" s="73"/>
      <c r="L60" s="100"/>
    </row>
    <row r="61" spans="1:14" ht="15.6">
      <c r="A61" s="26" t="str">
        <v>Sackett Lake</v>
      </c>
      <c r="B61" s="27" t="str">
        <v>NY</v>
      </c>
      <c r="C61" s="27" t="str">
        <f>Sites[[#This Row],[SOL'#]]</f>
        <v>SOL-10910</v>
      </c>
      <c r="D61" s="9"/>
      <c r="E61" s="14"/>
      <c r="F61" s="14" t="str">
        <f t="shared" si="0"/>
        <v/>
      </c>
      <c r="G61" s="15" t="str">
        <f t="shared" si="5"/>
        <v/>
      </c>
      <c r="H61" s="16"/>
      <c r="I61" s="16" t="str">
        <f t="shared" si="1"/>
        <v/>
      </c>
      <c r="J61" s="15" t="str">
        <f t="shared" si="2"/>
        <v/>
      </c>
      <c r="K61" s="51"/>
      <c r="L61" s="99"/>
      <c r="M61" s="102"/>
    </row>
    <row r="62" spans="1:14" ht="15.6">
      <c r="A62" s="24" t="str">
        <v>Burritt Road</v>
      </c>
      <c r="B62" s="25" t="str">
        <v>NY</v>
      </c>
      <c r="C62" s="25" t="str">
        <f>Sites[[#This Row],[SOL'#]]</f>
        <v>SOL-10913</v>
      </c>
      <c r="D62" s="54"/>
      <c r="E62" s="10"/>
      <c r="F62" s="10" t="str">
        <f t="shared" si="0"/>
        <v/>
      </c>
      <c r="G62" s="55" t="str">
        <f t="shared" si="5"/>
        <v/>
      </c>
      <c r="H62" s="67"/>
      <c r="I62" s="67" t="str">
        <f t="shared" si="1"/>
        <v/>
      </c>
      <c r="J62" s="64" t="str">
        <f t="shared" si="2"/>
        <v/>
      </c>
      <c r="K62" s="73"/>
      <c r="L62" s="73"/>
    </row>
    <row r="63" spans="1:14" ht="15.6">
      <c r="A63" s="26" t="str">
        <v>Villa Roma 1</v>
      </c>
      <c r="B63" s="27" t="str">
        <v>NY</v>
      </c>
      <c r="C63" s="27" t="str">
        <f>Sites[[#This Row],[SOL'#]]</f>
        <v>SOL-10914</v>
      </c>
      <c r="D63" s="66"/>
      <c r="E63" s="14"/>
      <c r="F63" s="14" t="str">
        <f t="shared" si="0"/>
        <v/>
      </c>
      <c r="G63" s="68" t="str">
        <f t="shared" si="5"/>
        <v/>
      </c>
      <c r="H63" s="69"/>
      <c r="I63" s="69" t="str">
        <f t="shared" si="1"/>
        <v/>
      </c>
      <c r="J63" s="68" t="str">
        <f t="shared" si="2"/>
        <v/>
      </c>
      <c r="K63" s="51"/>
      <c r="L63" s="99"/>
      <c r="M63" s="102"/>
    </row>
    <row r="64" spans="1:14" ht="15.6">
      <c r="A64" s="24" t="str">
        <v>Villa Roma 2</v>
      </c>
      <c r="B64" s="25" t="str">
        <v>NY</v>
      </c>
      <c r="C64" s="25" t="str">
        <f>Sites[[#This Row],[SOL'#]]</f>
        <v>SOL-10915</v>
      </c>
      <c r="D64" s="54"/>
      <c r="E64" s="10"/>
      <c r="F64" s="10" t="str">
        <f t="shared" si="0"/>
        <v/>
      </c>
      <c r="G64" s="55" t="str">
        <f t="shared" si="5"/>
        <v/>
      </c>
      <c r="H64" s="67"/>
      <c r="I64" s="67" t="str">
        <f t="shared" si="1"/>
        <v/>
      </c>
      <c r="J64" s="64" t="str">
        <f t="shared" si="2"/>
        <v/>
      </c>
      <c r="K64" s="73"/>
      <c r="L64" s="73"/>
    </row>
    <row r="65" spans="1:169" ht="15.6">
      <c r="A65" s="26" t="str">
        <v>Washington 1</v>
      </c>
      <c r="B65" s="27" t="str">
        <v>NY</v>
      </c>
      <c r="C65" s="27" t="str">
        <f>Sites[[#This Row],[SOL'#]]</f>
        <v>SOL-10912</v>
      </c>
      <c r="D65" s="9"/>
      <c r="E65" s="14"/>
      <c r="F65" s="14" t="str">
        <f t="shared" si="0"/>
        <v/>
      </c>
      <c r="G65" s="15" t="str">
        <f t="shared" si="5"/>
        <v/>
      </c>
      <c r="H65" s="16"/>
      <c r="I65" s="16" t="str">
        <f t="shared" si="1"/>
        <v/>
      </c>
      <c r="J65" s="15" t="str">
        <f t="shared" si="2"/>
        <v/>
      </c>
      <c r="K65" s="51"/>
      <c r="L65" s="99"/>
    </row>
    <row r="66" spans="1:169" ht="15.6">
      <c r="A66" s="24" t="str">
        <v>Washington 3</v>
      </c>
      <c r="B66" s="25" t="str">
        <v>NY</v>
      </c>
      <c r="C66" s="25" t="str">
        <f>Sites[[#This Row],[SOL'#]]</f>
        <v>SOL-10828</v>
      </c>
      <c r="D66" s="20"/>
      <c r="E66" s="10"/>
      <c r="F66" s="10" t="str">
        <f t="shared" si="0"/>
        <v/>
      </c>
      <c r="G66" s="55" t="str">
        <f t="shared" si="5"/>
        <v/>
      </c>
      <c r="H66" s="12"/>
      <c r="I66" s="67" t="str">
        <f t="shared" si="1"/>
        <v/>
      </c>
      <c r="J66" s="64" t="str">
        <f t="shared" si="2"/>
        <v/>
      </c>
      <c r="K66" s="53"/>
      <c r="L66" s="98"/>
      <c r="M66" s="102"/>
      <c r="N66" s="102"/>
      <c r="O66" s="102"/>
    </row>
    <row r="67" spans="1:169" ht="15.6">
      <c r="A67" s="26" t="str">
        <v>Washington 4</v>
      </c>
      <c r="B67" s="27" t="str">
        <v>NY</v>
      </c>
      <c r="C67" s="27" t="str">
        <f>Sites[[#This Row],[SOL'#]]</f>
        <v>SOL-10829</v>
      </c>
      <c r="D67" s="9"/>
      <c r="E67" s="14"/>
      <c r="F67" s="14" t="str">
        <f t="shared" si="0"/>
        <v/>
      </c>
      <c r="G67" s="15" t="str">
        <f t="shared" si="5"/>
        <v/>
      </c>
      <c r="H67" s="16"/>
      <c r="I67" s="16" t="str">
        <f t="shared" si="1"/>
        <v/>
      </c>
      <c r="J67" s="15" t="str">
        <f t="shared" si="2"/>
        <v/>
      </c>
      <c r="K67" s="51"/>
      <c r="L67" s="99"/>
      <c r="M67" s="102"/>
      <c r="N67" s="102"/>
    </row>
    <row r="68" spans="1:169" ht="15.6">
      <c r="A68" s="24" t="str">
        <v>Big Tree</v>
      </c>
      <c r="B68" s="25" t="str">
        <v>NY</v>
      </c>
      <c r="C68" s="25" t="str">
        <f>Sites[[#This Row],[SOL'#]]</f>
        <v>SOL-10966</v>
      </c>
      <c r="D68" s="20"/>
      <c r="E68" s="10"/>
      <c r="F68" s="10" t="str">
        <f t="shared" si="0"/>
        <v/>
      </c>
      <c r="G68" s="55" t="str">
        <f t="shared" si="5"/>
        <v/>
      </c>
      <c r="H68" s="12"/>
      <c r="I68" s="67" t="str">
        <f t="shared" si="1"/>
        <v/>
      </c>
      <c r="J68" s="64" t="str">
        <f t="shared" si="2"/>
        <v/>
      </c>
      <c r="K68" s="53"/>
      <c r="L68" s="98"/>
    </row>
    <row r="69" spans="1:169" ht="15.6">
      <c r="A69" s="26" t="str">
        <v>Canoga</v>
      </c>
      <c r="B69" s="27" t="str">
        <v>NY</v>
      </c>
      <c r="C69" s="27" t="str">
        <f>Sites[[#This Row],[SOL'#]]</f>
        <v>SOL-10965</v>
      </c>
      <c r="D69" s="9"/>
      <c r="E69" s="14"/>
      <c r="F69" s="14" t="str">
        <f t="shared" ref="F69:F131" si="6">IF(AND(ISNUMBER(D69),ISNUMBER(E69)), D69-E69, "")</f>
        <v/>
      </c>
      <c r="G69" s="15" t="str">
        <f t="shared" si="5"/>
        <v/>
      </c>
      <c r="H69" s="16"/>
      <c r="I69" s="16" t="str">
        <f t="shared" ref="I69:I132" si="7">IF(AND(ISNUMBER(D69),ISNUMBER(H69)), D69-H69, "")</f>
        <v/>
      </c>
      <c r="J69" s="15" t="str">
        <f t="shared" ref="J69:J132" si="8">IFERROR(I69/H69, "")</f>
        <v/>
      </c>
      <c r="K69" s="51"/>
      <c r="L69" s="51"/>
    </row>
    <row r="70" spans="1:169" ht="15.6">
      <c r="A70" s="24" t="str">
        <v>County Route 84</v>
      </c>
      <c r="B70" s="25" t="str">
        <v>NY</v>
      </c>
      <c r="C70" s="25" t="str">
        <f>Sites[[#This Row],[SOL'#]]</f>
        <v>SOL-10967</v>
      </c>
      <c r="D70" s="20"/>
      <c r="E70" s="10"/>
      <c r="F70" s="10" t="str">
        <f t="shared" si="6"/>
        <v/>
      </c>
      <c r="G70" s="55" t="str">
        <f t="shared" si="5"/>
        <v/>
      </c>
      <c r="H70" s="12"/>
      <c r="I70" s="67" t="str">
        <f t="shared" si="7"/>
        <v/>
      </c>
      <c r="J70" s="64" t="str">
        <f t="shared" si="8"/>
        <v/>
      </c>
      <c r="K70" s="53"/>
      <c r="L70" s="98"/>
    </row>
    <row r="71" spans="1:169" s="164" customFormat="1" ht="15.6">
      <c r="A71" s="26" t="str">
        <v>Donati</v>
      </c>
      <c r="B71" s="27" t="str">
        <v>NY</v>
      </c>
      <c r="C71" s="27" t="str">
        <f>Sites[[#This Row],[SOL'#]]</f>
        <v>SOL-10968</v>
      </c>
      <c r="D71" s="66"/>
      <c r="E71" s="14"/>
      <c r="F71" s="14" t="str">
        <f t="shared" si="6"/>
        <v/>
      </c>
      <c r="G71" s="68" t="str">
        <f t="shared" si="5"/>
        <v/>
      </c>
      <c r="H71" s="69"/>
      <c r="I71" s="69" t="str">
        <f t="shared" si="7"/>
        <v/>
      </c>
      <c r="J71" s="68" t="str">
        <f t="shared" si="8"/>
        <v/>
      </c>
      <c r="K71" s="51"/>
      <c r="L71" s="99"/>
      <c r="M71" s="102"/>
      <c r="N71" s="103"/>
      <c r="O71" s="103"/>
      <c r="P71" s="103"/>
      <c r="Q71" s="103"/>
      <c r="R71" s="103"/>
      <c r="S71" s="103"/>
      <c r="T71" s="103"/>
      <c r="U71" s="103"/>
      <c r="V71" s="103"/>
      <c r="W71" s="103"/>
      <c r="X71" s="103"/>
      <c r="Y71" s="103"/>
      <c r="Z71" s="103"/>
      <c r="AA71" s="103"/>
      <c r="AB71" s="103"/>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row>
    <row r="72" spans="1:169" ht="15.6">
      <c r="A72" s="24" t="str">
        <v>Henrietta</v>
      </c>
      <c r="B72" s="25" t="str">
        <v>NY</v>
      </c>
      <c r="C72" s="25" t="str">
        <f>Sites[[#This Row],[SOL'#]]</f>
        <v>SOL-10972</v>
      </c>
      <c r="D72" s="20"/>
      <c r="E72" s="10"/>
      <c r="F72" s="10" t="str">
        <f t="shared" si="6"/>
        <v/>
      </c>
      <c r="G72" s="55" t="str">
        <f t="shared" si="5"/>
        <v/>
      </c>
      <c r="H72" s="12"/>
      <c r="I72" s="67" t="str">
        <f t="shared" si="7"/>
        <v/>
      </c>
      <c r="J72" s="64" t="str">
        <f t="shared" si="8"/>
        <v/>
      </c>
      <c r="K72" s="53"/>
      <c r="L72" s="98"/>
      <c r="M72" s="102"/>
    </row>
    <row r="73" spans="1:169" ht="15.6">
      <c r="A73" s="26" t="str">
        <v>NY 70</v>
      </c>
      <c r="B73" s="27" t="str">
        <v>NY</v>
      </c>
      <c r="C73" s="27" t="str">
        <f>Sites[[#This Row],[SOL'#]]</f>
        <v>SOL-10970</v>
      </c>
      <c r="D73" s="9"/>
      <c r="E73" s="14"/>
      <c r="F73" s="14" t="str">
        <f t="shared" si="6"/>
        <v/>
      </c>
      <c r="G73" s="15" t="str">
        <f t="shared" si="5"/>
        <v/>
      </c>
      <c r="H73" s="16"/>
      <c r="I73" s="16" t="str">
        <f t="shared" si="7"/>
        <v/>
      </c>
      <c r="J73" s="15" t="str">
        <f t="shared" si="8"/>
        <v/>
      </c>
      <c r="K73" s="51"/>
      <c r="L73" s="99"/>
      <c r="M73" s="102"/>
      <c r="N73" s="102"/>
      <c r="O73" s="102"/>
    </row>
    <row r="74" spans="1:169" ht="15.6">
      <c r="A74" s="24" t="str">
        <v>Reid</v>
      </c>
      <c r="B74" s="25" t="str">
        <v>NY</v>
      </c>
      <c r="C74" s="25" t="str">
        <f>Sites[[#This Row],[SOL'#]]</f>
        <v>SOL-10991</v>
      </c>
      <c r="D74" s="20"/>
      <c r="E74" s="10"/>
      <c r="F74" s="10" t="str">
        <f t="shared" si="6"/>
        <v/>
      </c>
      <c r="G74" s="55" t="str">
        <f t="shared" si="5"/>
        <v/>
      </c>
      <c r="H74" s="12"/>
      <c r="I74" s="67" t="str">
        <f t="shared" si="7"/>
        <v/>
      </c>
      <c r="J74" s="64" t="str">
        <f t="shared" si="8"/>
        <v/>
      </c>
      <c r="K74" s="53"/>
      <c r="L74" s="98"/>
      <c r="M74" s="102"/>
      <c r="N74" s="102"/>
      <c r="O74" s="102"/>
      <c r="P74" s="102"/>
      <c r="Q74" s="102"/>
      <c r="R74" s="102"/>
      <c r="S74" s="102"/>
      <c r="T74" s="102"/>
      <c r="U74" s="102"/>
      <c r="V74" s="102"/>
    </row>
    <row r="75" spans="1:169" ht="15.6">
      <c r="A75" s="26" t="str">
        <v>Sangolqui</v>
      </c>
      <c r="B75" s="27" t="str">
        <v>NY</v>
      </c>
      <c r="C75" s="27" t="str">
        <f>Sites[[#This Row],[SOL'#]]</f>
        <v>SOL-10975</v>
      </c>
      <c r="D75" s="9"/>
      <c r="E75" s="14"/>
      <c r="F75" s="14" t="str">
        <f t="shared" si="6"/>
        <v/>
      </c>
      <c r="G75" s="15" t="str">
        <f t="shared" si="5"/>
        <v/>
      </c>
      <c r="H75" s="16"/>
      <c r="I75" s="16" t="str">
        <f t="shared" si="7"/>
        <v/>
      </c>
      <c r="J75" s="15" t="str">
        <f t="shared" si="8"/>
        <v/>
      </c>
      <c r="K75" s="51"/>
      <c r="L75" s="99"/>
      <c r="M75" s="102"/>
      <c r="N75" s="102"/>
    </row>
    <row r="76" spans="1:169" ht="15.6">
      <c r="A76" s="24" t="str">
        <v>State Highway 17B</v>
      </c>
      <c r="B76" s="25" t="str">
        <v>NY</v>
      </c>
      <c r="C76" s="25" t="str">
        <f>Sites[[#This Row],[SOL'#]]</f>
        <v>SOL-10988</v>
      </c>
      <c r="D76" s="20"/>
      <c r="E76" s="10"/>
      <c r="F76" s="10" t="str">
        <f t="shared" si="6"/>
        <v/>
      </c>
      <c r="G76" s="55" t="str">
        <f t="shared" si="5"/>
        <v/>
      </c>
      <c r="H76" s="167"/>
      <c r="I76" s="67" t="str">
        <f t="shared" si="7"/>
        <v/>
      </c>
      <c r="J76" s="64" t="str">
        <f t="shared" si="8"/>
        <v/>
      </c>
      <c r="K76" s="53"/>
      <c r="L76" s="98"/>
    </row>
    <row r="77" spans="1:169" ht="15.6">
      <c r="A77" s="26" t="str">
        <v>State Route 14A</v>
      </c>
      <c r="B77" s="27" t="str">
        <v>NY</v>
      </c>
      <c r="C77" s="27" t="str">
        <f>Sites[[#This Row],[SOL'#]]</f>
        <v>SOL-10997</v>
      </c>
      <c r="D77" s="9"/>
      <c r="E77" s="14"/>
      <c r="F77" s="14" t="str">
        <f t="shared" si="6"/>
        <v/>
      </c>
      <c r="G77" s="15" t="str">
        <f t="shared" si="5"/>
        <v/>
      </c>
      <c r="H77" s="16"/>
      <c r="I77" s="16" t="str">
        <f t="shared" si="7"/>
        <v/>
      </c>
      <c r="J77" s="15" t="str">
        <f t="shared" si="8"/>
        <v/>
      </c>
      <c r="K77" s="51"/>
      <c r="L77" s="99"/>
    </row>
    <row r="78" spans="1:169" ht="15.6">
      <c r="A78" s="24" t="str">
        <v>West Creek</v>
      </c>
      <c r="B78" s="25" t="str">
        <v>NY</v>
      </c>
      <c r="C78" s="25" t="str">
        <f>Sites[[#This Row],[SOL'#]]</f>
        <v>SOL-10995</v>
      </c>
      <c r="D78" s="20"/>
      <c r="E78" s="10"/>
      <c r="F78" s="10" t="str">
        <f t="shared" si="6"/>
        <v/>
      </c>
      <c r="G78" s="55" t="str">
        <f t="shared" si="5"/>
        <v/>
      </c>
      <c r="H78" s="12"/>
      <c r="I78" s="67" t="str">
        <f t="shared" si="7"/>
        <v/>
      </c>
      <c r="J78" s="64" t="str">
        <f t="shared" si="8"/>
        <v/>
      </c>
      <c r="K78" s="53"/>
      <c r="L78" s="53"/>
    </row>
    <row r="79" spans="1:169" ht="15.6">
      <c r="A79" s="26" t="str">
        <v>Wildflower</v>
      </c>
      <c r="B79" s="27" t="str">
        <v>NY</v>
      </c>
      <c r="C79" s="27" t="str">
        <f>Sites[[#This Row],[SOL'#]]</f>
        <v>SOL-10982</v>
      </c>
      <c r="D79" s="9"/>
      <c r="E79" s="14"/>
      <c r="F79" s="14" t="str">
        <f t="shared" si="6"/>
        <v/>
      </c>
      <c r="G79" s="15" t="str">
        <f t="shared" si="5"/>
        <v/>
      </c>
      <c r="H79" s="16"/>
      <c r="I79" s="16" t="str">
        <f t="shared" si="7"/>
        <v/>
      </c>
      <c r="J79" s="15" t="str">
        <f t="shared" si="8"/>
        <v/>
      </c>
      <c r="K79" s="51"/>
      <c r="L79" s="99"/>
    </row>
    <row r="80" spans="1:169" ht="44.25" customHeight="1">
      <c r="A80" s="24" t="str">
        <v>Glen Mary 1</v>
      </c>
      <c r="B80" s="25" t="str">
        <v>NY</v>
      </c>
      <c r="C80" s="25" t="str">
        <f>Sites[[#This Row],[SOL'#]]</f>
        <v>SOL-10993</v>
      </c>
      <c r="D80" s="20"/>
      <c r="E80" s="10"/>
      <c r="F80" s="10" t="str">
        <f t="shared" si="6"/>
        <v/>
      </c>
      <c r="G80" s="55" t="str">
        <f t="shared" si="5"/>
        <v/>
      </c>
      <c r="H80" s="12"/>
      <c r="I80" s="67" t="str">
        <f t="shared" si="7"/>
        <v/>
      </c>
      <c r="J80" s="64" t="str">
        <f t="shared" si="8"/>
        <v/>
      </c>
      <c r="K80" s="53"/>
      <c r="L80" s="53"/>
    </row>
    <row r="81" spans="1:15" ht="47.25" customHeight="1">
      <c r="A81" s="26" t="str">
        <v>Glen Mary 2</v>
      </c>
      <c r="B81" s="27" t="str">
        <v>NY</v>
      </c>
      <c r="C81" s="27" t="str">
        <f>Sites[[#This Row],[SOL'#]]</f>
        <v>SOL-10994</v>
      </c>
      <c r="D81" s="9"/>
      <c r="E81" s="14"/>
      <c r="F81" s="14" t="str">
        <f t="shared" si="6"/>
        <v/>
      </c>
      <c r="G81" s="15" t="str">
        <f t="shared" si="5"/>
        <v/>
      </c>
      <c r="H81" s="16"/>
      <c r="I81" s="16" t="str">
        <f t="shared" si="7"/>
        <v/>
      </c>
      <c r="J81" s="15" t="str">
        <f t="shared" si="8"/>
        <v/>
      </c>
      <c r="K81" s="51"/>
      <c r="L81" s="99"/>
    </row>
    <row r="82" spans="1:15" ht="15.6">
      <c r="A82" s="24" t="str">
        <v>Telegraph 1</v>
      </c>
      <c r="B82" s="25" t="str">
        <v>NY</v>
      </c>
      <c r="C82" s="25" t="str">
        <f>Sites[[#This Row],[SOL'#]]</f>
        <v>SOL-11003</v>
      </c>
      <c r="D82" s="54"/>
      <c r="E82" s="10"/>
      <c r="F82" s="10" t="str">
        <f t="shared" si="6"/>
        <v/>
      </c>
      <c r="G82" s="55" t="str">
        <f t="shared" ref="G82:G113" si="9">IFERROR(F82/E82, "")</f>
        <v/>
      </c>
      <c r="H82" s="67"/>
      <c r="I82" s="67" t="str">
        <f t="shared" si="7"/>
        <v/>
      </c>
      <c r="J82" s="64" t="str">
        <f t="shared" si="8"/>
        <v/>
      </c>
      <c r="K82" s="73"/>
      <c r="L82" s="100"/>
      <c r="M82" s="102"/>
    </row>
    <row r="83" spans="1:15" ht="60.75" customHeight="1">
      <c r="A83" s="26" t="str">
        <v>Telegraph 2</v>
      </c>
      <c r="B83" s="27" t="str">
        <v>NY</v>
      </c>
      <c r="C83" s="27" t="str">
        <f>Sites[[#This Row],[SOL'#]]</f>
        <v>SOL-11004</v>
      </c>
      <c r="D83" s="9"/>
      <c r="E83" s="14"/>
      <c r="F83" s="14" t="str">
        <f t="shared" si="6"/>
        <v/>
      </c>
      <c r="G83" s="15" t="str">
        <f t="shared" si="9"/>
        <v/>
      </c>
      <c r="H83" s="16"/>
      <c r="I83" s="16" t="str">
        <f t="shared" si="7"/>
        <v/>
      </c>
      <c r="J83" s="15" t="str">
        <f t="shared" si="8"/>
        <v/>
      </c>
      <c r="K83" s="51"/>
      <c r="L83" s="99"/>
      <c r="M83" s="102"/>
      <c r="N83" s="102"/>
      <c r="O83" s="102"/>
    </row>
    <row r="84" spans="1:15" ht="15.6">
      <c r="A84" s="24" t="str">
        <v>Cafferty Hill</v>
      </c>
      <c r="B84" s="25" t="str">
        <v>NY</v>
      </c>
      <c r="C84" s="25" t="str">
        <f>Sites[[#This Row],[SOL'#]]</f>
        <v>SOL-10996</v>
      </c>
      <c r="D84" s="54"/>
      <c r="E84" s="10"/>
      <c r="F84" s="10" t="str">
        <f t="shared" si="6"/>
        <v/>
      </c>
      <c r="G84" s="55" t="str">
        <f t="shared" si="9"/>
        <v/>
      </c>
      <c r="H84" s="67"/>
      <c r="I84" s="67" t="str">
        <f t="shared" si="7"/>
        <v/>
      </c>
      <c r="J84" s="64" t="str">
        <f t="shared" si="8"/>
        <v/>
      </c>
      <c r="K84" s="73"/>
      <c r="L84" s="73"/>
    </row>
    <row r="85" spans="1:15" ht="15.6">
      <c r="A85" s="26" t="str">
        <v>Dunkleman</v>
      </c>
      <c r="B85" s="27" t="str">
        <v>NY</v>
      </c>
      <c r="C85" s="27" t="str">
        <f>Sites[[#This Row],[SOL'#]]</f>
        <v>SOL-11008</v>
      </c>
      <c r="D85" s="9"/>
      <c r="E85" s="14"/>
      <c r="F85" s="14" t="str">
        <f t="shared" si="6"/>
        <v/>
      </c>
      <c r="G85" s="15" t="str">
        <f t="shared" si="9"/>
        <v/>
      </c>
      <c r="H85" s="16"/>
      <c r="I85" s="16" t="str">
        <f t="shared" si="7"/>
        <v/>
      </c>
      <c r="J85" s="15" t="str">
        <f t="shared" si="8"/>
        <v/>
      </c>
      <c r="K85" s="51"/>
      <c r="L85" s="99"/>
    </row>
    <row r="86" spans="1:15" ht="15.6">
      <c r="A86" s="24" t="str">
        <v>Route 19 1</v>
      </c>
      <c r="B86" s="25" t="str">
        <v>NY</v>
      </c>
      <c r="C86" s="25" t="str">
        <f>Sites[[#This Row],[SOL'#]]</f>
        <v>SOL-11001</v>
      </c>
      <c r="D86" s="54"/>
      <c r="E86" s="10"/>
      <c r="F86" s="10" t="str">
        <f t="shared" si="6"/>
        <v/>
      </c>
      <c r="G86" s="55" t="str">
        <f t="shared" si="9"/>
        <v/>
      </c>
      <c r="H86" s="67"/>
      <c r="I86" s="67" t="str">
        <f t="shared" si="7"/>
        <v/>
      </c>
      <c r="J86" s="64" t="str">
        <f t="shared" si="8"/>
        <v/>
      </c>
      <c r="K86" s="73"/>
      <c r="L86" s="100"/>
      <c r="M86" s="102"/>
    </row>
    <row r="87" spans="1:15" ht="39" customHeight="1">
      <c r="A87" s="26" t="str">
        <v>Route 19 2</v>
      </c>
      <c r="B87" s="27" t="str">
        <v>NY</v>
      </c>
      <c r="C87" s="27" t="str">
        <f>Sites[[#This Row],[SOL'#]]</f>
        <v>SOL-11002</v>
      </c>
      <c r="D87" s="9"/>
      <c r="E87" s="14"/>
      <c r="F87" s="14" t="str">
        <f t="shared" si="6"/>
        <v/>
      </c>
      <c r="G87" s="15" t="str">
        <f t="shared" si="9"/>
        <v/>
      </c>
      <c r="H87" s="16"/>
      <c r="I87" s="16" t="str">
        <f t="shared" si="7"/>
        <v/>
      </c>
      <c r="J87" s="15" t="str">
        <f t="shared" si="8"/>
        <v/>
      </c>
      <c r="K87" s="51"/>
      <c r="L87" s="99"/>
    </row>
    <row r="88" spans="1:15" ht="15.6">
      <c r="A88" s="24" t="str">
        <v>Yellow Mills 1</v>
      </c>
      <c r="B88" s="25" t="str">
        <v>NY</v>
      </c>
      <c r="C88" s="25" t="str">
        <f>Sites[[#This Row],[SOL'#]]</f>
        <v>SOL-11006</v>
      </c>
      <c r="D88" s="20"/>
      <c r="E88" s="10"/>
      <c r="F88" s="10" t="str">
        <f t="shared" si="6"/>
        <v/>
      </c>
      <c r="G88" s="55" t="str">
        <f t="shared" si="9"/>
        <v/>
      </c>
      <c r="H88" s="12"/>
      <c r="I88" s="67" t="str">
        <f t="shared" si="7"/>
        <v/>
      </c>
      <c r="J88" s="64" t="str">
        <f t="shared" si="8"/>
        <v/>
      </c>
      <c r="K88" s="73"/>
      <c r="L88" s="98"/>
    </row>
    <row r="89" spans="1:15" ht="15.6">
      <c r="A89" s="26" t="str">
        <v>Yellow Mills 2</v>
      </c>
      <c r="B89" s="27" t="str">
        <v>NY</v>
      </c>
      <c r="C89" s="27" t="str">
        <f>Sites[[#This Row],[SOL'#]]</f>
        <v>SOL-11005</v>
      </c>
      <c r="D89" s="9"/>
      <c r="E89" s="14"/>
      <c r="F89" s="14" t="str">
        <f t="shared" si="6"/>
        <v/>
      </c>
      <c r="G89" s="15" t="str">
        <f t="shared" si="9"/>
        <v/>
      </c>
      <c r="H89" s="16"/>
      <c r="I89" s="16" t="str">
        <f t="shared" si="7"/>
        <v/>
      </c>
      <c r="J89" s="15" t="str">
        <f t="shared" si="8"/>
        <v/>
      </c>
      <c r="K89" s="51"/>
      <c r="L89" s="99"/>
      <c r="M89" s="102"/>
    </row>
    <row r="90" spans="1:15" ht="15.6">
      <c r="A90" s="24" t="str">
        <v>Yellow Mills 3</v>
      </c>
      <c r="B90" s="25" t="str">
        <v>NY</v>
      </c>
      <c r="C90" s="25" t="str">
        <f>Sites[[#This Row],[SOL'#]]</f>
        <v>SOL-11007</v>
      </c>
      <c r="D90" s="54"/>
      <c r="E90" s="10"/>
      <c r="F90" s="10" t="str">
        <f>IF(AND(ISNUMBER(D90),ISNUMBER(E90)), D90-E90, "")</f>
        <v/>
      </c>
      <c r="G90" s="55" t="str">
        <f t="shared" si="9"/>
        <v/>
      </c>
      <c r="H90" s="67"/>
      <c r="I90" s="67" t="str">
        <f t="shared" si="7"/>
        <v/>
      </c>
      <c r="J90" s="64" t="str">
        <f t="shared" si="8"/>
        <v/>
      </c>
      <c r="K90" s="73"/>
      <c r="L90" s="100"/>
    </row>
    <row r="91" spans="1:15" ht="15.6">
      <c r="A91" s="26" t="str">
        <v>Catskill</v>
      </c>
      <c r="B91" s="27" t="str">
        <v>NY</v>
      </c>
      <c r="C91" s="27" t="str">
        <f>Sites[[#This Row],[SOL'#]]</f>
        <v>SOL-11021</v>
      </c>
      <c r="D91" s="9"/>
      <c r="E91" s="14"/>
      <c r="F91" s="14" t="str">
        <f t="shared" si="6"/>
        <v/>
      </c>
      <c r="G91" s="15" t="str">
        <f t="shared" si="9"/>
        <v/>
      </c>
      <c r="H91" s="16"/>
      <c r="I91" s="16" t="str">
        <f t="shared" si="7"/>
        <v/>
      </c>
      <c r="J91" s="15" t="str">
        <f t="shared" si="8"/>
        <v/>
      </c>
      <c r="K91" s="51"/>
      <c r="L91" s="99"/>
    </row>
    <row r="92" spans="1:15" ht="15.6">
      <c r="A92" s="24" t="str">
        <v>Eddy Ridge</v>
      </c>
      <c r="B92" s="25" t="str">
        <v>NY</v>
      </c>
      <c r="C92" s="25" t="str">
        <f>Sites[[#This Row],[SOL'#]]</f>
        <v>SOL-11054</v>
      </c>
      <c r="D92" s="20"/>
      <c r="E92" s="10"/>
      <c r="F92" s="10" t="str">
        <f t="shared" si="6"/>
        <v/>
      </c>
      <c r="G92" s="55" t="str">
        <f t="shared" si="9"/>
        <v/>
      </c>
      <c r="H92" s="12"/>
      <c r="I92" s="67" t="str">
        <f t="shared" si="7"/>
        <v/>
      </c>
      <c r="J92" s="64" t="str">
        <f t="shared" si="8"/>
        <v/>
      </c>
      <c r="K92" s="53"/>
      <c r="L92" s="98"/>
    </row>
    <row r="93" spans="1:15" ht="45" customHeight="1">
      <c r="A93" s="26" t="str">
        <v>Ridgeway #1</v>
      </c>
      <c r="B93" s="27" t="str">
        <v>NY</v>
      </c>
      <c r="C93" s="27" t="str">
        <f>Sites[[#This Row],[SOL'#]]</f>
        <v>SOL-11018</v>
      </c>
      <c r="D93" s="9"/>
      <c r="E93" s="14"/>
      <c r="F93" s="14" t="str">
        <f t="shared" si="6"/>
        <v/>
      </c>
      <c r="G93" s="15" t="str">
        <f t="shared" si="9"/>
        <v/>
      </c>
      <c r="H93" s="16"/>
      <c r="I93" s="16" t="str">
        <f t="shared" si="7"/>
        <v/>
      </c>
      <c r="J93" s="15" t="str">
        <f t="shared" si="8"/>
        <v/>
      </c>
      <c r="K93" s="51"/>
      <c r="L93" s="99"/>
    </row>
    <row r="94" spans="1:15" ht="15.6">
      <c r="A94" s="24" t="str">
        <v>Rivard 1</v>
      </c>
      <c r="B94" s="25" t="str">
        <v>NY</v>
      </c>
      <c r="C94" s="25" t="str">
        <f>Sites[[#This Row],[SOL'#]]</f>
        <v>SOL-11011</v>
      </c>
      <c r="D94" s="20"/>
      <c r="E94" s="10"/>
      <c r="F94" s="10" t="str">
        <f t="shared" si="6"/>
        <v/>
      </c>
      <c r="G94" s="55" t="str">
        <f t="shared" si="9"/>
        <v/>
      </c>
      <c r="H94" s="12"/>
      <c r="I94" s="67" t="str">
        <f t="shared" si="7"/>
        <v/>
      </c>
      <c r="J94" s="64" t="str">
        <f t="shared" si="8"/>
        <v/>
      </c>
      <c r="K94" s="53"/>
      <c r="L94" s="53"/>
    </row>
    <row r="95" spans="1:15" ht="15.6">
      <c r="A95" s="26" t="str">
        <v>Rivard 2</v>
      </c>
      <c r="B95" s="27" t="str">
        <v>NY</v>
      </c>
      <c r="C95" s="27" t="str">
        <f>Sites[[#This Row],[SOL'#]]</f>
        <v>SOL-11012</v>
      </c>
      <c r="D95" s="9"/>
      <c r="E95" s="14"/>
      <c r="F95" s="14" t="str">
        <f t="shared" si="6"/>
        <v/>
      </c>
      <c r="G95" s="15" t="str">
        <f t="shared" si="9"/>
        <v/>
      </c>
      <c r="H95" s="16"/>
      <c r="I95" s="16" t="str">
        <f t="shared" si="7"/>
        <v/>
      </c>
      <c r="J95" s="15" t="str">
        <f t="shared" si="8"/>
        <v/>
      </c>
      <c r="K95" s="51"/>
      <c r="L95" s="52"/>
    </row>
    <row r="96" spans="1:15" ht="15.6">
      <c r="A96" s="24" t="str">
        <v>Ridgeway #2</v>
      </c>
      <c r="B96" s="25" t="str">
        <v>NY</v>
      </c>
      <c r="C96" s="25" t="str">
        <f>Sites[[#This Row],[SOL'#]]</f>
        <v>SOL-11027</v>
      </c>
      <c r="D96" s="20"/>
      <c r="E96" s="10"/>
      <c r="F96" s="10" t="str">
        <f t="shared" si="6"/>
        <v/>
      </c>
      <c r="G96" s="55" t="str">
        <f t="shared" si="9"/>
        <v/>
      </c>
      <c r="H96" s="12"/>
      <c r="I96" s="67" t="str">
        <f t="shared" si="7"/>
        <v/>
      </c>
      <c r="J96" s="64" t="str">
        <f t="shared" si="8"/>
        <v/>
      </c>
      <c r="K96" s="53"/>
      <c r="L96" s="53"/>
    </row>
    <row r="97" spans="1:76" ht="15.6">
      <c r="A97" s="26" t="str">
        <v>Spencer</v>
      </c>
      <c r="B97" s="27" t="str">
        <v>NY</v>
      </c>
      <c r="C97" s="27" t="str">
        <f>Sites[[#This Row],[SOL'#]]</f>
        <v>SOL-11017</v>
      </c>
      <c r="D97" s="9"/>
      <c r="E97" s="14"/>
      <c r="F97" s="14" t="str">
        <f t="shared" si="6"/>
        <v/>
      </c>
      <c r="G97" s="15" t="str">
        <f t="shared" si="9"/>
        <v/>
      </c>
      <c r="H97" s="16"/>
      <c r="I97" s="16" t="str">
        <f t="shared" si="7"/>
        <v/>
      </c>
      <c r="J97" s="15" t="str">
        <f t="shared" si="8"/>
        <v/>
      </c>
      <c r="K97" s="51"/>
      <c r="L97" s="99"/>
    </row>
    <row r="98" spans="1:76" ht="15.6">
      <c r="A98" s="24" t="str">
        <v>Reisender</v>
      </c>
      <c r="B98" s="25" t="str">
        <v>NY</v>
      </c>
      <c r="C98" s="25" t="str">
        <f>Sites[[#This Row],[SOL'#]]</f>
        <v>SOL-10886</v>
      </c>
      <c r="D98" s="20"/>
      <c r="E98" s="10"/>
      <c r="F98" s="10" t="str">
        <f t="shared" si="6"/>
        <v/>
      </c>
      <c r="G98" s="55" t="str">
        <f t="shared" si="9"/>
        <v/>
      </c>
      <c r="H98" s="12"/>
      <c r="I98" s="67" t="str">
        <f t="shared" si="7"/>
        <v/>
      </c>
      <c r="J98" s="64" t="str">
        <f t="shared" si="8"/>
        <v/>
      </c>
      <c r="K98" s="53"/>
      <c r="L98" s="53"/>
    </row>
    <row r="99" spans="1:76" ht="15.6">
      <c r="A99" s="26" t="str">
        <v>Finney</v>
      </c>
      <c r="B99" s="27" t="str">
        <v>NY</v>
      </c>
      <c r="C99" s="27" t="str">
        <f>Sites[[#This Row],[SOL'#]]</f>
        <v>SOL-10999</v>
      </c>
      <c r="D99" s="9"/>
      <c r="E99" s="14"/>
      <c r="F99" s="14" t="str">
        <f t="shared" si="6"/>
        <v/>
      </c>
      <c r="G99" s="15" t="str">
        <f t="shared" si="9"/>
        <v/>
      </c>
      <c r="H99" s="16"/>
      <c r="I99" s="16" t="str">
        <f t="shared" si="7"/>
        <v/>
      </c>
      <c r="J99" s="15" t="str">
        <f t="shared" si="8"/>
        <v/>
      </c>
      <c r="K99" s="51"/>
      <c r="L99" s="99"/>
      <c r="M99" s="102"/>
      <c r="N99" s="102"/>
    </row>
    <row r="100" spans="1:76" ht="15.6">
      <c r="A100" s="24" t="str">
        <v>Davis Solar</v>
      </c>
      <c r="B100" s="25" t="str">
        <v>NY</v>
      </c>
      <c r="C100" s="25" t="str">
        <f>Sites[[#This Row],[SOL'#]]</f>
        <v>SOL-10958</v>
      </c>
      <c r="D100" s="20"/>
      <c r="E100" s="10"/>
      <c r="F100" s="10" t="str">
        <f t="shared" si="6"/>
        <v/>
      </c>
      <c r="G100" s="55" t="str">
        <f t="shared" si="9"/>
        <v/>
      </c>
      <c r="H100" s="12"/>
      <c r="I100" s="67" t="str">
        <f t="shared" si="7"/>
        <v/>
      </c>
      <c r="J100" s="64" t="str">
        <f t="shared" si="8"/>
        <v/>
      </c>
      <c r="K100" s="53"/>
      <c r="L100" s="98"/>
    </row>
    <row r="101" spans="1:76" ht="15.6">
      <c r="A101" s="26" t="str">
        <v>Genesee</v>
      </c>
      <c r="B101" s="27" t="str">
        <v>NY</v>
      </c>
      <c r="C101" s="27" t="str">
        <f>Sites[[#This Row],[SOL'#]]</f>
        <v>SOL-10951</v>
      </c>
      <c r="D101" s="9"/>
      <c r="E101" s="14"/>
      <c r="F101" s="14" t="str">
        <f t="shared" si="6"/>
        <v/>
      </c>
      <c r="G101" s="15" t="str">
        <f t="shared" si="9"/>
        <v/>
      </c>
      <c r="H101" s="16"/>
      <c r="I101" s="16" t="str">
        <f t="shared" si="7"/>
        <v/>
      </c>
      <c r="J101" s="15" t="str">
        <f t="shared" si="8"/>
        <v/>
      </c>
      <c r="K101" s="51"/>
      <c r="L101" s="99"/>
    </row>
    <row r="102" spans="1:76" ht="15.6">
      <c r="A102" s="24" t="str">
        <v>Landau I</v>
      </c>
      <c r="B102" s="25" t="str">
        <v>NY</v>
      </c>
      <c r="C102" s="25" t="str">
        <f>Sites[[#This Row],[SOL'#]]</f>
        <v>SOL-10891</v>
      </c>
      <c r="D102" s="20"/>
      <c r="E102" s="10"/>
      <c r="F102" s="10" t="str">
        <f t="shared" si="6"/>
        <v/>
      </c>
      <c r="G102" s="55" t="str">
        <f t="shared" si="9"/>
        <v/>
      </c>
      <c r="H102" s="12"/>
      <c r="I102" s="67" t="str">
        <f t="shared" si="7"/>
        <v/>
      </c>
      <c r="J102" s="64" t="str">
        <f t="shared" si="8"/>
        <v/>
      </c>
      <c r="K102" s="53"/>
      <c r="L102" s="53"/>
    </row>
    <row r="103" spans="1:76" s="164" customFormat="1" ht="15.6">
      <c r="A103" s="26" t="str">
        <v>Landau II</v>
      </c>
      <c r="B103" s="27" t="str">
        <v>NY</v>
      </c>
      <c r="C103" s="27" t="str">
        <f>Sites[[#This Row],[SOL'#]]</f>
        <v>SOL-10895</v>
      </c>
      <c r="D103" s="66"/>
      <c r="E103" s="14"/>
      <c r="F103" s="14" t="str">
        <f t="shared" si="6"/>
        <v/>
      </c>
      <c r="G103" s="68" t="str">
        <f t="shared" si="9"/>
        <v/>
      </c>
      <c r="H103" s="166"/>
      <c r="I103" s="69" t="str">
        <f t="shared" si="7"/>
        <v/>
      </c>
      <c r="J103" s="68" t="str">
        <f t="shared" si="8"/>
        <v/>
      </c>
      <c r="K103" s="51"/>
      <c r="L103" s="51"/>
      <c r="M103" s="103"/>
      <c r="N103" s="103"/>
      <c r="O103" s="103"/>
      <c r="P103" s="103"/>
      <c r="Q103" s="103"/>
      <c r="R103" s="103"/>
      <c r="S103" s="103"/>
      <c r="T103" s="103"/>
      <c r="U103" s="103"/>
      <c r="V103" s="103"/>
      <c r="W103" s="103"/>
      <c r="X103" s="103"/>
      <c r="Y103" s="103"/>
      <c r="Z103" s="103"/>
      <c r="AA103" s="103"/>
      <c r="AB103" s="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row>
    <row r="104" spans="1:76" ht="40.5" customHeight="1">
      <c r="A104" s="24" t="str">
        <v>New Beginnings</v>
      </c>
      <c r="B104" s="25" t="str">
        <v>NY</v>
      </c>
      <c r="C104" s="25" t="str">
        <f>Sites[[#This Row],[SOL'#]]</f>
        <v>SOL-10890</v>
      </c>
      <c r="D104" s="20"/>
      <c r="E104" s="10"/>
      <c r="F104" s="10" t="str">
        <f t="shared" si="6"/>
        <v/>
      </c>
      <c r="G104" s="55" t="str">
        <f t="shared" si="9"/>
        <v/>
      </c>
      <c r="H104" s="12"/>
      <c r="I104" s="67" t="str">
        <f t="shared" si="7"/>
        <v/>
      </c>
      <c r="J104" s="64" t="str">
        <f t="shared" si="8"/>
        <v/>
      </c>
      <c r="K104" s="53"/>
      <c r="L104" s="53"/>
    </row>
    <row r="105" spans="1:76" ht="15.6">
      <c r="A105" s="26" t="str">
        <v>Bullitt Farm Solar, LLC</v>
      </c>
      <c r="B105" s="27" t="str">
        <v>NY</v>
      </c>
      <c r="C105" s="27" t="str">
        <f>Sites[[#This Row],[SOL'#]]</f>
        <v>SOL-10998</v>
      </c>
      <c r="D105" s="9"/>
      <c r="E105" s="14"/>
      <c r="F105" s="14" t="str">
        <f t="shared" si="6"/>
        <v/>
      </c>
      <c r="G105" s="15" t="str">
        <f t="shared" si="9"/>
        <v/>
      </c>
      <c r="H105" s="16"/>
      <c r="I105" s="16" t="str">
        <f t="shared" si="7"/>
        <v/>
      </c>
      <c r="J105" s="15" t="str">
        <f t="shared" si="8"/>
        <v/>
      </c>
      <c r="K105" s="51"/>
      <c r="L105" s="52"/>
    </row>
    <row r="106" spans="1:76" ht="15.6">
      <c r="A106" s="24" t="str">
        <v>Brodhead Solar, LLC</v>
      </c>
      <c r="B106" s="25" t="str">
        <v>NY</v>
      </c>
      <c r="C106" s="25" t="str">
        <f>Sites[[#This Row],[SOL'#]]</f>
        <v>SOL-10899</v>
      </c>
      <c r="D106" s="20"/>
      <c r="E106" s="10"/>
      <c r="F106" s="10" t="str">
        <f t="shared" si="6"/>
        <v/>
      </c>
      <c r="G106" s="55" t="str">
        <f t="shared" si="9"/>
        <v/>
      </c>
      <c r="H106" s="12"/>
      <c r="I106" s="67" t="str">
        <f t="shared" si="7"/>
        <v/>
      </c>
      <c r="J106" s="64" t="str">
        <f t="shared" si="8"/>
        <v/>
      </c>
      <c r="K106" s="53"/>
      <c r="L106" s="53"/>
    </row>
    <row r="107" spans="1:76" ht="15.6">
      <c r="A107" s="26" t="str">
        <v>Svenski</v>
      </c>
      <c r="B107" s="27" t="str">
        <v>NY</v>
      </c>
      <c r="C107" s="27" t="str">
        <f>Sites[[#This Row],[SOL'#]]</f>
        <v>SOL-10894</v>
      </c>
      <c r="D107" s="9"/>
      <c r="E107" s="14"/>
      <c r="F107" s="14" t="str">
        <f t="shared" si="6"/>
        <v/>
      </c>
      <c r="G107" s="15" t="str">
        <f t="shared" si="9"/>
        <v/>
      </c>
      <c r="H107" s="16"/>
      <c r="I107" s="16" t="str">
        <f t="shared" si="7"/>
        <v/>
      </c>
      <c r="J107" s="15" t="str">
        <f t="shared" si="8"/>
        <v/>
      </c>
      <c r="K107" s="51"/>
      <c r="L107" s="96"/>
    </row>
    <row r="108" spans="1:76" ht="15.6">
      <c r="A108" s="24" t="str">
        <v>Bantam</v>
      </c>
      <c r="B108" s="25" t="str">
        <v>NY</v>
      </c>
      <c r="C108" s="25" t="str">
        <f>Sites[[#This Row],[SOL'#]]</f>
        <v>SOL-10986</v>
      </c>
      <c r="D108" s="20"/>
      <c r="E108" s="10"/>
      <c r="F108" s="10" t="str">
        <f t="shared" si="6"/>
        <v/>
      </c>
      <c r="G108" s="55" t="str">
        <f t="shared" si="9"/>
        <v/>
      </c>
      <c r="H108" s="12"/>
      <c r="I108" s="67" t="str">
        <f t="shared" si="7"/>
        <v/>
      </c>
      <c r="J108" s="64" t="str">
        <f t="shared" si="8"/>
        <v/>
      </c>
      <c r="K108" s="53"/>
      <c r="L108" s="98"/>
      <c r="M108" s="102"/>
      <c r="N108" s="102"/>
    </row>
    <row r="109" spans="1:76" ht="15.6">
      <c r="A109" s="26" t="str">
        <v>Bogart</v>
      </c>
      <c r="B109" s="27" t="str">
        <v>NY</v>
      </c>
      <c r="C109" s="27" t="str">
        <f>Sites[[#This Row],[SOL'#]]</f>
        <v>SOL-10887</v>
      </c>
      <c r="D109" s="9"/>
      <c r="E109" s="14"/>
      <c r="F109" s="14" t="str">
        <f t="shared" si="6"/>
        <v/>
      </c>
      <c r="G109" s="15" t="str">
        <f t="shared" si="9"/>
        <v/>
      </c>
      <c r="H109" s="16"/>
      <c r="I109" s="16" t="str">
        <f t="shared" si="7"/>
        <v/>
      </c>
      <c r="J109" s="15" t="str">
        <f t="shared" si="8"/>
        <v/>
      </c>
      <c r="K109" s="51"/>
      <c r="L109" s="96"/>
    </row>
    <row r="110" spans="1:76" ht="15.6">
      <c r="A110" s="24" t="str">
        <v>Dubois</v>
      </c>
      <c r="B110" s="25" t="str">
        <v>NY</v>
      </c>
      <c r="C110" s="25" t="str">
        <f>Sites[[#This Row],[SOL'#]]</f>
        <v>SOL-10892</v>
      </c>
      <c r="D110" s="20"/>
      <c r="E110" s="10"/>
      <c r="F110" s="10" t="str">
        <f t="shared" si="6"/>
        <v/>
      </c>
      <c r="G110" s="55" t="str">
        <f t="shared" si="9"/>
        <v/>
      </c>
      <c r="H110" s="12"/>
      <c r="I110" s="67" t="str">
        <f t="shared" si="7"/>
        <v/>
      </c>
      <c r="J110" s="64" t="str">
        <f t="shared" si="8"/>
        <v/>
      </c>
      <c r="K110" s="53"/>
      <c r="L110" s="98"/>
      <c r="M110" s="102"/>
    </row>
    <row r="111" spans="1:76" ht="15.6">
      <c r="A111" s="26" t="str">
        <v>Salt Point</v>
      </c>
      <c r="B111" s="27" t="str">
        <v>NY</v>
      </c>
      <c r="C111" s="27" t="str">
        <f>Sites[[#This Row],[SOL'#]]</f>
        <v>SOL-10888</v>
      </c>
      <c r="D111" s="9"/>
      <c r="E111" s="14"/>
      <c r="F111" s="14" t="str">
        <f t="shared" si="6"/>
        <v/>
      </c>
      <c r="G111" s="15" t="str">
        <f t="shared" si="9"/>
        <v/>
      </c>
      <c r="H111" s="16"/>
      <c r="I111" s="16" t="str">
        <f t="shared" si="7"/>
        <v/>
      </c>
      <c r="J111" s="15" t="str">
        <f t="shared" si="8"/>
        <v/>
      </c>
      <c r="K111" s="51"/>
      <c r="L111" s="99"/>
      <c r="M111" s="102"/>
      <c r="N111" s="102"/>
      <c r="O111" s="102"/>
      <c r="P111" s="102"/>
      <c r="Q111" s="102"/>
    </row>
    <row r="112" spans="1:76" ht="15.6">
      <c r="A112" s="24" t="str">
        <v>Wheatland 2A</v>
      </c>
      <c r="B112" s="25" t="str">
        <v>NY</v>
      </c>
      <c r="C112" s="25" t="str">
        <f>Sites[[#This Row],[SOL'#]]</f>
        <v>SOL-10971</v>
      </c>
      <c r="D112" s="20"/>
      <c r="E112" s="10"/>
      <c r="F112" s="10" t="str">
        <f t="shared" si="6"/>
        <v/>
      </c>
      <c r="G112" s="55" t="str">
        <f t="shared" si="9"/>
        <v/>
      </c>
      <c r="H112" s="12"/>
      <c r="I112" s="67" t="str">
        <f t="shared" si="7"/>
        <v/>
      </c>
      <c r="J112" s="64" t="str">
        <f t="shared" si="8"/>
        <v/>
      </c>
      <c r="K112" s="53"/>
      <c r="L112" s="98"/>
      <c r="M112" s="102"/>
    </row>
    <row r="113" spans="1:14" ht="15.6">
      <c r="A113" s="26" t="str">
        <v>Wheatland 2B</v>
      </c>
      <c r="B113" s="27" t="str">
        <v>NY</v>
      </c>
      <c r="C113" s="27" t="str">
        <f>Sites[[#This Row],[SOL'#]]</f>
        <v>SOL-10961</v>
      </c>
      <c r="D113" s="9"/>
      <c r="E113" s="14"/>
      <c r="F113" s="14" t="str">
        <f t="shared" si="6"/>
        <v/>
      </c>
      <c r="G113" s="15" t="str">
        <f t="shared" si="9"/>
        <v/>
      </c>
      <c r="H113" s="16"/>
      <c r="I113" s="16" t="str">
        <f t="shared" si="7"/>
        <v/>
      </c>
      <c r="J113" s="15" t="str">
        <f t="shared" si="8"/>
        <v/>
      </c>
      <c r="K113" s="51"/>
      <c r="L113" s="51"/>
    </row>
    <row r="114" spans="1:14" ht="15.6">
      <c r="A114" s="24" t="str">
        <v>Brickchurch</v>
      </c>
      <c r="B114" s="25" t="str">
        <v>NY</v>
      </c>
      <c r="C114" s="25" t="str">
        <f>Sites[[#This Row],[SOL'#]]</f>
        <v>SOL-10889</v>
      </c>
      <c r="D114" s="20"/>
      <c r="E114" s="10"/>
      <c r="F114" s="10" t="str">
        <f t="shared" si="6"/>
        <v/>
      </c>
      <c r="G114" s="55" t="str">
        <f t="shared" ref="G114:G145" si="10">IFERROR(F114/E114, "")</f>
        <v/>
      </c>
      <c r="H114" s="12"/>
      <c r="I114" s="67" t="str">
        <f t="shared" si="7"/>
        <v/>
      </c>
      <c r="J114" s="64" t="str">
        <f t="shared" si="8"/>
        <v/>
      </c>
      <c r="K114" s="53"/>
      <c r="L114" s="98"/>
      <c r="M114" s="102"/>
    </row>
    <row r="115" spans="1:14" ht="15.6">
      <c r="A115" s="26" t="str">
        <v>McCarthy Solar</v>
      </c>
      <c r="B115" s="27" t="str">
        <v>NY</v>
      </c>
      <c r="C115" s="27" t="str">
        <f>Sites[[#This Row],[SOL'#]]</f>
        <v>SOL-10992</v>
      </c>
      <c r="D115" s="9"/>
      <c r="E115" s="14"/>
      <c r="F115" s="14" t="str">
        <f t="shared" si="6"/>
        <v/>
      </c>
      <c r="G115" s="15" t="str">
        <f t="shared" si="10"/>
        <v/>
      </c>
      <c r="H115" s="16"/>
      <c r="I115" s="16" t="str">
        <f t="shared" si="7"/>
        <v/>
      </c>
      <c r="J115" s="15" t="str">
        <f t="shared" si="8"/>
        <v/>
      </c>
      <c r="K115" s="51"/>
      <c r="L115" s="52"/>
    </row>
    <row r="116" spans="1:14" ht="15.6">
      <c r="A116" s="24" t="str">
        <v>Costanza</v>
      </c>
      <c r="B116" s="25" t="str">
        <v>NY</v>
      </c>
      <c r="C116" s="25" t="str">
        <f>Sites[[#This Row],[SOL'#]]</f>
        <v>SOL-10907</v>
      </c>
      <c r="D116" s="20"/>
      <c r="E116" s="10"/>
      <c r="F116" s="10" t="str">
        <f t="shared" si="6"/>
        <v/>
      </c>
      <c r="G116" s="55" t="str">
        <f t="shared" si="10"/>
        <v/>
      </c>
      <c r="H116" s="12"/>
      <c r="I116" s="67" t="str">
        <f t="shared" si="7"/>
        <v/>
      </c>
      <c r="J116" s="64" t="str">
        <f t="shared" si="8"/>
        <v/>
      </c>
      <c r="K116" s="53"/>
      <c r="L116" s="98"/>
      <c r="M116" s="102"/>
      <c r="N116" s="102"/>
    </row>
    <row r="117" spans="1:14" ht="15.6">
      <c r="A117" s="26" t="str">
        <v>Lockenhurst Pond</v>
      </c>
      <c r="B117" s="27" t="str">
        <v>NY</v>
      </c>
      <c r="C117" s="27" t="str">
        <f>Sites[[#This Row],[SOL'#]]</f>
        <v>SOL-11000</v>
      </c>
      <c r="D117" s="9"/>
      <c r="E117" s="14"/>
      <c r="F117" s="14" t="str">
        <f t="shared" si="6"/>
        <v/>
      </c>
      <c r="G117" s="15" t="str">
        <f t="shared" si="10"/>
        <v/>
      </c>
      <c r="H117" s="16"/>
      <c r="I117" s="16" t="str">
        <f t="shared" si="7"/>
        <v/>
      </c>
      <c r="J117" s="15" t="str">
        <f t="shared" si="8"/>
        <v/>
      </c>
      <c r="K117" s="51"/>
      <c r="L117" s="52"/>
    </row>
    <row r="118" spans="1:14" ht="15.6">
      <c r="A118" s="24" t="str">
        <v>Drinkwater</v>
      </c>
      <c r="B118" s="25" t="str">
        <v>NY</v>
      </c>
      <c r="C118" s="25" t="str">
        <f>Sites[[#This Row],[SOL'#]]</f>
        <v>SOL-10896</v>
      </c>
      <c r="D118" s="20"/>
      <c r="E118" s="10"/>
      <c r="F118" s="10" t="str">
        <f t="shared" si="6"/>
        <v/>
      </c>
      <c r="G118" s="55" t="str">
        <f t="shared" si="10"/>
        <v/>
      </c>
      <c r="H118" s="12"/>
      <c r="I118" s="67" t="str">
        <f t="shared" si="7"/>
        <v/>
      </c>
      <c r="J118" s="64" t="str">
        <f t="shared" si="8"/>
        <v/>
      </c>
      <c r="K118" s="53"/>
      <c r="L118" s="53"/>
    </row>
    <row r="119" spans="1:14" ht="15.6">
      <c r="A119" s="26" t="str">
        <v>Altamont</v>
      </c>
      <c r="B119" s="27" t="str">
        <v>NY</v>
      </c>
      <c r="C119" s="27" t="str">
        <f>Sites[[#This Row],[SOL'#]]</f>
        <v>SOL-11085</v>
      </c>
      <c r="D119" s="9"/>
      <c r="E119" s="14"/>
      <c r="F119" s="14" t="str">
        <f t="shared" si="6"/>
        <v/>
      </c>
      <c r="G119" s="15" t="str">
        <f t="shared" si="10"/>
        <v/>
      </c>
      <c r="H119" s="16"/>
      <c r="I119" s="16" t="str">
        <f t="shared" si="7"/>
        <v/>
      </c>
      <c r="J119" s="15" t="str">
        <f t="shared" si="8"/>
        <v/>
      </c>
      <c r="K119" s="51"/>
      <c r="L119" s="96"/>
    </row>
    <row r="120" spans="1:14" ht="15.6">
      <c r="A120" s="24" t="str">
        <v>Krumkill North</v>
      </c>
      <c r="B120" s="25" t="str">
        <v>NY</v>
      </c>
      <c r="C120" s="25" t="str">
        <f>Sites[[#This Row],[SOL'#]]</f>
        <v>SOL-11086</v>
      </c>
      <c r="D120" s="20"/>
      <c r="E120" s="10"/>
      <c r="F120" s="10" t="str">
        <f t="shared" si="6"/>
        <v/>
      </c>
      <c r="G120" s="55" t="str">
        <f t="shared" si="10"/>
        <v/>
      </c>
      <c r="H120" s="12"/>
      <c r="I120" s="67" t="str">
        <f t="shared" si="7"/>
        <v/>
      </c>
      <c r="J120" s="64" t="str">
        <f t="shared" si="8"/>
        <v/>
      </c>
      <c r="K120" s="53"/>
      <c r="L120" s="53"/>
    </row>
    <row r="121" spans="1:14" ht="15.6">
      <c r="A121" s="26" t="str">
        <v>Krumkill South</v>
      </c>
      <c r="B121" s="27" t="str">
        <v>NY</v>
      </c>
      <c r="C121" s="27" t="str">
        <f>Sites[[#This Row],[SOL'#]]</f>
        <v>SOL-11087</v>
      </c>
      <c r="D121" s="9"/>
      <c r="E121" s="14"/>
      <c r="F121" s="14" t="str">
        <f t="shared" si="6"/>
        <v/>
      </c>
      <c r="G121" s="15" t="str">
        <f>IFERROR(F121/E121, "")</f>
        <v/>
      </c>
      <c r="H121" s="16"/>
      <c r="I121" s="16" t="str">
        <f t="shared" si="7"/>
        <v/>
      </c>
      <c r="J121" s="15" t="str">
        <f t="shared" si="8"/>
        <v/>
      </c>
      <c r="K121" s="51"/>
      <c r="L121" s="52"/>
    </row>
    <row r="122" spans="1:14" ht="15.6">
      <c r="A122" s="24" t="str">
        <v>X092</v>
      </c>
      <c r="B122" s="25" t="str">
        <v>NY</v>
      </c>
      <c r="C122" s="25" t="str">
        <f>Sites[[#This Row],[SOL'#]]</f>
        <v>SOL-11189</v>
      </c>
      <c r="D122" s="20"/>
      <c r="E122" s="10"/>
      <c r="F122" s="10" t="str">
        <f t="shared" si="6"/>
        <v/>
      </c>
      <c r="G122" s="55" t="str">
        <f t="shared" si="10"/>
        <v/>
      </c>
      <c r="H122" s="12"/>
      <c r="I122" s="67" t="str">
        <f t="shared" si="7"/>
        <v/>
      </c>
      <c r="J122" s="64" t="str">
        <f t="shared" si="8"/>
        <v/>
      </c>
      <c r="K122" s="53"/>
      <c r="L122" s="53"/>
    </row>
    <row r="123" spans="1:14" ht="15.6">
      <c r="A123" s="26" t="str">
        <v>X093</v>
      </c>
      <c r="B123" s="27" t="str">
        <v>NY</v>
      </c>
      <c r="C123" s="27" t="str">
        <f>Sites[[#This Row],[SOL'#]]</f>
        <v>SOL-10932</v>
      </c>
      <c r="D123" s="9"/>
      <c r="E123" s="14"/>
      <c r="F123" s="14" t="str">
        <f t="shared" si="6"/>
        <v/>
      </c>
      <c r="G123" s="15" t="str">
        <f t="shared" si="10"/>
        <v/>
      </c>
      <c r="H123" s="16"/>
      <c r="I123" s="16" t="str">
        <f t="shared" si="7"/>
        <v/>
      </c>
      <c r="J123" s="15" t="str">
        <f t="shared" si="8"/>
        <v/>
      </c>
      <c r="K123" s="51"/>
      <c r="L123" s="52"/>
    </row>
    <row r="124" spans="1:14" ht="15.6">
      <c r="A124" s="24" t="str">
        <v>X095</v>
      </c>
      <c r="B124" s="25" t="str">
        <v>NY</v>
      </c>
      <c r="C124" s="25" t="str">
        <f>Sites[[#This Row],[SOL'#]]</f>
        <v>SOL-10929</v>
      </c>
      <c r="D124" s="54"/>
      <c r="E124" s="10"/>
      <c r="F124" s="10" t="str">
        <f t="shared" si="6"/>
        <v/>
      </c>
      <c r="G124" s="55" t="str">
        <f t="shared" si="10"/>
        <v/>
      </c>
      <c r="H124" s="67"/>
      <c r="I124" s="67" t="str">
        <f t="shared" si="7"/>
        <v/>
      </c>
      <c r="J124" s="64" t="str">
        <f t="shared" si="8"/>
        <v/>
      </c>
      <c r="K124" s="73"/>
      <c r="L124" s="73"/>
    </row>
    <row r="125" spans="1:14" ht="15.6">
      <c r="A125" s="26" t="str">
        <v>X181</v>
      </c>
      <c r="B125" s="27" t="str">
        <v>NY</v>
      </c>
      <c r="C125" s="27" t="str">
        <f>Sites[[#This Row],[SOL'#]]</f>
        <v>SOL-10428</v>
      </c>
      <c r="D125" s="9"/>
      <c r="E125" s="14"/>
      <c r="F125" s="14" t="str">
        <f t="shared" si="6"/>
        <v/>
      </c>
      <c r="G125" s="15" t="str">
        <f t="shared" si="10"/>
        <v/>
      </c>
      <c r="H125" s="16"/>
      <c r="I125" s="16" t="str">
        <f t="shared" si="7"/>
        <v/>
      </c>
      <c r="J125" s="15" t="str">
        <f t="shared" si="8"/>
        <v/>
      </c>
      <c r="K125" s="51"/>
      <c r="L125" s="51"/>
    </row>
    <row r="126" spans="1:14" ht="15.6">
      <c r="A126" s="24" t="str">
        <v>X415</v>
      </c>
      <c r="B126" s="25" t="str">
        <v>NY</v>
      </c>
      <c r="C126" s="25" t="str">
        <f>Sites[[#This Row],[SOL'#]]</f>
        <v>SOL-10429</v>
      </c>
      <c r="D126" s="20"/>
      <c r="E126" s="10"/>
      <c r="F126" s="10" t="str">
        <f t="shared" si="6"/>
        <v/>
      </c>
      <c r="G126" s="55" t="str">
        <f t="shared" si="10"/>
        <v/>
      </c>
      <c r="H126" s="12"/>
      <c r="I126" s="67" t="str">
        <f t="shared" si="7"/>
        <v/>
      </c>
      <c r="J126" s="64" t="str">
        <f t="shared" si="8"/>
        <v/>
      </c>
      <c r="K126" s="53"/>
      <c r="L126" s="53"/>
    </row>
    <row r="127" spans="1:14" ht="75" customHeight="1">
      <c r="A127" s="26" t="str">
        <v>K198</v>
      </c>
      <c r="B127" s="27" t="str">
        <v>NY</v>
      </c>
      <c r="C127" s="27" t="str">
        <f>Sites[[#This Row],[SOL'#]]</f>
        <v>SOL-10930</v>
      </c>
      <c r="D127" s="9"/>
      <c r="E127" s="14"/>
      <c r="F127" s="14" t="str">
        <f t="shared" si="6"/>
        <v/>
      </c>
      <c r="G127" s="15" t="str">
        <f t="shared" si="10"/>
        <v/>
      </c>
      <c r="H127" s="16"/>
      <c r="I127" s="16" t="str">
        <f t="shared" si="7"/>
        <v/>
      </c>
      <c r="J127" s="15" t="str">
        <f t="shared" si="8"/>
        <v/>
      </c>
      <c r="K127" s="51"/>
      <c r="L127" s="96"/>
    </row>
    <row r="128" spans="1:14" ht="15.6">
      <c r="A128" s="24" t="str">
        <v>K203</v>
      </c>
      <c r="B128" s="25" t="str">
        <v>NY</v>
      </c>
      <c r="C128" s="25" t="str">
        <f>Sites[[#This Row],[SOL'#]]</f>
        <v>SOL-11190</v>
      </c>
      <c r="D128" s="20"/>
      <c r="E128" s="10"/>
      <c r="F128" s="10" t="str">
        <f t="shared" si="6"/>
        <v/>
      </c>
      <c r="G128" s="55" t="str">
        <f t="shared" si="10"/>
        <v/>
      </c>
      <c r="H128" s="12"/>
      <c r="I128" s="67" t="str">
        <f t="shared" si="7"/>
        <v/>
      </c>
      <c r="J128" s="64" t="str">
        <f t="shared" si="8"/>
        <v/>
      </c>
      <c r="K128" s="53"/>
      <c r="L128" s="53"/>
    </row>
    <row r="129" spans="1:15" ht="15.6">
      <c r="A129" s="26" t="str">
        <v>K213</v>
      </c>
      <c r="B129" s="27" t="str">
        <v>NY</v>
      </c>
      <c r="C129" s="27" t="str">
        <f>Sites[[#This Row],[SOL'#]]</f>
        <v>SOL-11191</v>
      </c>
      <c r="D129" s="9"/>
      <c r="E129" s="14"/>
      <c r="F129" s="14" t="str">
        <f t="shared" si="6"/>
        <v/>
      </c>
      <c r="G129" s="15" t="str">
        <f t="shared" si="10"/>
        <v/>
      </c>
      <c r="H129" s="16"/>
      <c r="I129" s="16" t="str">
        <f t="shared" si="7"/>
        <v/>
      </c>
      <c r="J129" s="15" t="str">
        <f t="shared" si="8"/>
        <v/>
      </c>
      <c r="K129" s="51"/>
      <c r="L129" s="52"/>
    </row>
    <row r="130" spans="1:15" ht="15.6">
      <c r="A130" s="24" t="str">
        <v>K217</v>
      </c>
      <c r="B130" s="25" t="str">
        <v>NY</v>
      </c>
      <c r="C130" s="25" t="str">
        <f>Sites[[#This Row],[SOL'#]]</f>
        <v>SOL-10933</v>
      </c>
      <c r="D130" s="20"/>
      <c r="E130" s="10"/>
      <c r="F130" s="10" t="str">
        <f t="shared" si="6"/>
        <v/>
      </c>
      <c r="G130" s="55" t="str">
        <f t="shared" si="10"/>
        <v/>
      </c>
      <c r="H130" s="12"/>
      <c r="I130" s="67" t="str">
        <f t="shared" si="7"/>
        <v/>
      </c>
      <c r="J130" s="64" t="str">
        <f t="shared" si="8"/>
        <v/>
      </c>
      <c r="K130" s="53"/>
      <c r="L130" s="53"/>
    </row>
    <row r="131" spans="1:15" ht="15.6">
      <c r="A131" s="26" t="str">
        <v>K307</v>
      </c>
      <c r="B131" s="27" t="str">
        <v>NY</v>
      </c>
      <c r="C131" s="27" t="str">
        <f>Sites[[#This Row],[SOL'#]]</f>
        <v>SOL-10876</v>
      </c>
      <c r="D131" s="9"/>
      <c r="E131" s="14"/>
      <c r="F131" s="14" t="str">
        <f t="shared" si="6"/>
        <v/>
      </c>
      <c r="G131" s="15" t="str">
        <f t="shared" si="10"/>
        <v/>
      </c>
      <c r="H131" s="16"/>
      <c r="I131" s="16" t="str">
        <f t="shared" si="7"/>
        <v/>
      </c>
      <c r="J131" s="15" t="str">
        <f t="shared" si="8"/>
        <v/>
      </c>
      <c r="K131" s="51"/>
      <c r="L131" s="52"/>
    </row>
    <row r="132" spans="1:15" ht="15.6">
      <c r="A132" s="24" t="str">
        <v>K610</v>
      </c>
      <c r="B132" s="25" t="str">
        <v>NY</v>
      </c>
      <c r="C132" s="25" t="str">
        <f>Sites[[#This Row],[SOL'#]]</f>
        <v>SOL-11158</v>
      </c>
      <c r="D132" s="20"/>
      <c r="E132" s="10"/>
      <c r="F132" s="10" t="str">
        <f>IF(AND(ISNUMBER(D132),ISNUMBER(E132)), D132-E132, "")</f>
        <v/>
      </c>
      <c r="G132" s="55" t="str">
        <f t="shared" si="10"/>
        <v/>
      </c>
      <c r="H132" s="12"/>
      <c r="I132" s="67" t="str">
        <f t="shared" si="7"/>
        <v/>
      </c>
      <c r="J132" s="64" t="str">
        <f t="shared" si="8"/>
        <v/>
      </c>
      <c r="K132" s="53"/>
      <c r="L132" s="98"/>
    </row>
    <row r="133" spans="1:15" ht="59.25" customHeight="1">
      <c r="A133" s="26" t="str">
        <v>M025</v>
      </c>
      <c r="B133" s="27" t="str">
        <v>NY</v>
      </c>
      <c r="C133" s="27" t="str">
        <f>Sites[[#This Row],[SOL'#]]</f>
        <v>SOL-10392</v>
      </c>
      <c r="D133" s="9"/>
      <c r="E133" s="14"/>
      <c r="F133" s="14" t="str">
        <f>IF(AND(ISNUMBER(D133),ISNUMBER(E133)), D133-E133, "")</f>
        <v/>
      </c>
      <c r="G133" s="15" t="str">
        <f t="shared" si="10"/>
        <v/>
      </c>
      <c r="H133" s="16"/>
      <c r="I133" s="16" t="str">
        <f>IF(AND(ISNUMBER(D133),ISNUMBER(H133)), D133-H133, "")</f>
        <v/>
      </c>
      <c r="J133" s="15" t="str">
        <f t="shared" ref="J133:J158" si="11">IFERROR(I133/H133, "")</f>
        <v/>
      </c>
      <c r="K133" s="51"/>
      <c r="L133" s="99"/>
      <c r="M133" s="102"/>
    </row>
    <row r="134" spans="1:15" ht="15.6">
      <c r="A134" s="24" t="str">
        <v>M028</v>
      </c>
      <c r="B134" s="25" t="str">
        <v>NY</v>
      </c>
      <c r="C134" s="25" t="str">
        <f>Sites[[#This Row],[SOL'#]]</f>
        <v>SOL-10381</v>
      </c>
      <c r="D134" s="20"/>
      <c r="E134" s="10"/>
      <c r="F134" s="10" t="str">
        <f t="shared" ref="F134:F158" si="12">IF(AND(ISNUMBER(D134),ISNUMBER(E134)), D134-E134, "")</f>
        <v/>
      </c>
      <c r="G134" s="55" t="str">
        <f t="shared" si="10"/>
        <v/>
      </c>
      <c r="H134" s="12"/>
      <c r="I134" s="67" t="str">
        <f t="shared" ref="I134:I158" si="13">IF(AND(ISNUMBER(D134),ISNUMBER(H134)), D134-H134, "")</f>
        <v/>
      </c>
      <c r="J134" s="64" t="str">
        <f t="shared" si="11"/>
        <v/>
      </c>
      <c r="K134" s="53"/>
      <c r="L134" s="53"/>
    </row>
    <row r="135" spans="1:15" ht="15.6">
      <c r="A135" s="26" t="str">
        <v>Q030</v>
      </c>
      <c r="B135" s="27" t="str">
        <v>NY</v>
      </c>
      <c r="C135" s="27" t="str">
        <f>Sites[[#This Row],[SOL'#]]</f>
        <v>SOL-10878</v>
      </c>
      <c r="D135" s="9"/>
      <c r="E135" s="14"/>
      <c r="F135" s="14" t="str">
        <f t="shared" si="12"/>
        <v/>
      </c>
      <c r="G135" s="15" t="str">
        <f t="shared" si="10"/>
        <v/>
      </c>
      <c r="H135" s="16"/>
      <c r="I135" s="16" t="str">
        <f t="shared" si="13"/>
        <v/>
      </c>
      <c r="J135" s="15" t="str">
        <f t="shared" si="11"/>
        <v/>
      </c>
      <c r="K135" s="51"/>
      <c r="L135" s="52"/>
    </row>
    <row r="136" spans="1:15" ht="15.6">
      <c r="A136" s="24" t="str">
        <v>Q130</v>
      </c>
      <c r="B136" s="25" t="str">
        <v>NY</v>
      </c>
      <c r="C136" s="25" t="str">
        <f>Sites[[#This Row],[SOL'#]]</f>
        <v>SOL-10877</v>
      </c>
      <c r="D136" s="20"/>
      <c r="E136" s="10"/>
      <c r="F136" s="10" t="str">
        <f t="shared" si="12"/>
        <v/>
      </c>
      <c r="G136" s="55" t="str">
        <f t="shared" si="10"/>
        <v/>
      </c>
      <c r="H136" s="12"/>
      <c r="I136" s="67" t="str">
        <f>IF(AND(ISNUMBER(D136),ISNUMBER(H136)), D136-H136, "")</f>
        <v/>
      </c>
      <c r="J136" s="64" t="str">
        <f t="shared" si="11"/>
        <v/>
      </c>
      <c r="K136" s="53"/>
      <c r="L136" s="53"/>
    </row>
    <row r="137" spans="1:15" ht="15.6">
      <c r="A137" s="26" t="str">
        <v>Q196</v>
      </c>
      <c r="B137" s="27" t="str">
        <v>NY</v>
      </c>
      <c r="C137" s="27" t="str">
        <f>Sites[[#This Row],[SOL'#]]</f>
        <v>SOL-10879</v>
      </c>
      <c r="D137" s="9"/>
      <c r="E137" s="14"/>
      <c r="F137" s="14" t="str">
        <f t="shared" si="12"/>
        <v/>
      </c>
      <c r="G137" s="15" t="str">
        <f t="shared" si="10"/>
        <v/>
      </c>
      <c r="H137" s="16"/>
      <c r="I137" s="16" t="str">
        <f t="shared" si="13"/>
        <v/>
      </c>
      <c r="J137" s="15" t="str">
        <f t="shared" si="11"/>
        <v/>
      </c>
      <c r="K137" s="51"/>
      <c r="L137" s="52"/>
    </row>
    <row r="138" spans="1:15" ht="15.6">
      <c r="A138" s="24" t="str">
        <v>Q220</v>
      </c>
      <c r="B138" s="25" t="str">
        <v>NY</v>
      </c>
      <c r="C138" s="25" t="str">
        <f>Sites[[#This Row],[SOL'#]]</f>
        <v>SOL-10873</v>
      </c>
      <c r="D138" s="20"/>
      <c r="E138" s="10"/>
      <c r="F138" s="10" t="str">
        <f>IF(AND(ISNUMBER(D138),ISNUMBER(E138)), D138-E138, "")</f>
        <v/>
      </c>
      <c r="G138" s="55" t="str">
        <f t="shared" si="10"/>
        <v/>
      </c>
      <c r="H138" s="12"/>
      <c r="I138" s="67" t="str">
        <f t="shared" si="13"/>
        <v/>
      </c>
      <c r="J138" s="64" t="str">
        <f t="shared" si="11"/>
        <v/>
      </c>
      <c r="K138" s="53"/>
      <c r="L138" s="53"/>
    </row>
    <row r="139" spans="1:15" ht="15.6">
      <c r="A139" s="26" t="str">
        <v>Q205</v>
      </c>
      <c r="B139" s="27" t="str">
        <v>NY</v>
      </c>
      <c r="C139" s="27" t="str">
        <f>Sites[[#This Row],[SOL'#]]</f>
        <v>SOL-10922</v>
      </c>
      <c r="D139" s="9"/>
      <c r="E139" s="14"/>
      <c r="F139" s="14" t="str">
        <f t="shared" si="12"/>
        <v/>
      </c>
      <c r="G139" s="15" t="str">
        <f t="shared" si="10"/>
        <v/>
      </c>
      <c r="H139" s="16"/>
      <c r="I139" s="16" t="str">
        <f t="shared" si="13"/>
        <v/>
      </c>
      <c r="J139" s="15" t="str">
        <f t="shared" si="11"/>
        <v/>
      </c>
      <c r="K139" s="51"/>
      <c r="L139" s="99"/>
    </row>
    <row r="140" spans="1:15" ht="84.75" customHeight="1">
      <c r="A140" s="24" t="str">
        <v>Q400</v>
      </c>
      <c r="B140" s="25" t="str">
        <v>NY</v>
      </c>
      <c r="C140" s="25" t="str">
        <f>Sites[[#This Row],[SOL'#]]</f>
        <v>SOL-10871</v>
      </c>
      <c r="D140" s="54"/>
      <c r="E140" s="10"/>
      <c r="F140" s="10" t="str">
        <f t="shared" si="12"/>
        <v/>
      </c>
      <c r="G140" s="55" t="str">
        <f t="shared" si="10"/>
        <v/>
      </c>
      <c r="H140" s="67"/>
      <c r="I140" s="67" t="str">
        <f t="shared" si="13"/>
        <v/>
      </c>
      <c r="J140" s="64" t="str">
        <f t="shared" si="11"/>
        <v/>
      </c>
      <c r="K140" s="73"/>
      <c r="L140" s="98"/>
      <c r="M140" s="102"/>
      <c r="N140" s="102"/>
      <c r="O140" s="102"/>
    </row>
    <row r="141" spans="1:15" ht="15.6">
      <c r="A141" s="26" t="str">
        <v>R003</v>
      </c>
      <c r="B141" s="27" t="str">
        <v>NY</v>
      </c>
      <c r="C141" s="27" t="str">
        <f>Sites[[#This Row],[SOL'#]]</f>
        <v>SOL-10416</v>
      </c>
      <c r="D141" s="66"/>
      <c r="E141" s="14"/>
      <c r="F141" s="14" t="str">
        <f t="shared" si="12"/>
        <v/>
      </c>
      <c r="G141" s="68" t="str">
        <f t="shared" si="10"/>
        <v/>
      </c>
      <c r="H141" s="69"/>
      <c r="I141" s="16" t="str">
        <f t="shared" si="13"/>
        <v/>
      </c>
      <c r="J141" s="15" t="str">
        <f t="shared" si="11"/>
        <v/>
      </c>
      <c r="K141" s="51"/>
      <c r="L141" s="102"/>
    </row>
    <row r="142" spans="1:15" ht="15.6">
      <c r="A142" s="24" t="str">
        <v>R007</v>
      </c>
      <c r="B142" s="25" t="str">
        <v>NY</v>
      </c>
      <c r="C142" s="25" t="str">
        <f>Sites[[#This Row],[SOL'#]]</f>
        <v>SOL-10417</v>
      </c>
      <c r="D142" s="54"/>
      <c r="E142" s="10"/>
      <c r="F142" s="10" t="str">
        <f t="shared" si="12"/>
        <v/>
      </c>
      <c r="G142" s="55" t="str">
        <f t="shared" si="10"/>
        <v/>
      </c>
      <c r="H142" s="67"/>
      <c r="I142" s="67" t="str">
        <f t="shared" si="13"/>
        <v/>
      </c>
      <c r="J142" s="64" t="str">
        <f t="shared" si="11"/>
        <v/>
      </c>
      <c r="K142" s="73"/>
      <c r="L142" s="98"/>
    </row>
    <row r="143" spans="1:15" ht="15.6">
      <c r="A143" s="26" t="str">
        <v>BK16</v>
      </c>
      <c r="B143" s="27" t="str">
        <v>NY</v>
      </c>
      <c r="C143" s="27" t="str">
        <f>Sites[[#This Row],[SOL'#]]</f>
        <v>SOL-11093</v>
      </c>
      <c r="D143" s="66"/>
      <c r="E143" s="14"/>
      <c r="F143" s="14" t="str">
        <f t="shared" si="12"/>
        <v/>
      </c>
      <c r="G143" s="68" t="str">
        <f t="shared" si="10"/>
        <v/>
      </c>
      <c r="H143" s="69"/>
      <c r="I143" s="16" t="str">
        <f t="shared" si="13"/>
        <v/>
      </c>
      <c r="J143" s="15" t="str">
        <f t="shared" si="11"/>
        <v/>
      </c>
      <c r="K143" s="51"/>
      <c r="L143" s="74"/>
    </row>
    <row r="144" spans="1:15" ht="15.6">
      <c r="A144" s="24" t="str">
        <v>Trenton - Trenton East</v>
      </c>
      <c r="B144" s="25" t="str">
        <v>IL</v>
      </c>
      <c r="C144" s="25" t="str">
        <f>Sites[[#This Row],[SOL'#]]</f>
        <v>SOL-11060</v>
      </c>
      <c r="D144" s="54"/>
      <c r="E144" s="10"/>
      <c r="F144" s="10" t="str">
        <f t="shared" si="12"/>
        <v/>
      </c>
      <c r="G144" s="55" t="str">
        <f t="shared" si="10"/>
        <v/>
      </c>
      <c r="H144" s="67"/>
      <c r="I144" s="67"/>
      <c r="J144" s="64" t="str">
        <f t="shared" si="11"/>
        <v/>
      </c>
      <c r="K144" s="73"/>
      <c r="L144" s="98"/>
      <c r="M144" s="102"/>
    </row>
    <row r="145" spans="1:15" ht="127.5" customHeight="1">
      <c r="A145" s="26" t="str">
        <v>Trenton - Trenton West</v>
      </c>
      <c r="B145" s="27" t="str">
        <v>IL</v>
      </c>
      <c r="C145" s="27" t="str">
        <f>Sites[[#This Row],[SOL'#]]</f>
        <v>SOL-11061</v>
      </c>
      <c r="D145" s="66"/>
      <c r="E145" s="14"/>
      <c r="F145" s="14" t="str">
        <f t="shared" si="12"/>
        <v/>
      </c>
      <c r="G145" s="68" t="str">
        <f t="shared" si="10"/>
        <v/>
      </c>
      <c r="H145" s="69"/>
      <c r="I145" s="16" t="str">
        <f t="shared" si="13"/>
        <v/>
      </c>
      <c r="J145" s="15" t="str">
        <f t="shared" si="11"/>
        <v/>
      </c>
      <c r="K145" s="51"/>
      <c r="L145" s="101"/>
      <c r="M145" s="102"/>
      <c r="N145" s="102"/>
      <c r="O145" s="102"/>
    </row>
    <row r="146" spans="1:15" ht="15.6">
      <c r="A146" s="24" t="str">
        <v>Dakota - Dakota Solar 1</v>
      </c>
      <c r="B146" s="25" t="str">
        <v>IL</v>
      </c>
      <c r="C146" s="25" t="str">
        <f>Sites[[#This Row],[SOL'#]]</f>
        <v>SOL-11113</v>
      </c>
      <c r="D146" s="54"/>
      <c r="E146" s="10"/>
      <c r="F146" s="10" t="str">
        <f t="shared" si="12"/>
        <v/>
      </c>
      <c r="G146" s="55" t="str">
        <f t="shared" ref="G146:G158" si="14">IFERROR(F146/E146, "")</f>
        <v/>
      </c>
      <c r="H146" s="67"/>
      <c r="I146" s="67" t="str">
        <f t="shared" si="13"/>
        <v/>
      </c>
      <c r="J146" s="64" t="str">
        <f t="shared" si="11"/>
        <v/>
      </c>
      <c r="K146" s="73"/>
      <c r="L146" s="98"/>
      <c r="M146" s="102"/>
    </row>
    <row r="147" spans="1:15" ht="15.6">
      <c r="A147" s="26" t="str">
        <v>X018</v>
      </c>
      <c r="B147" s="27" t="str">
        <v>NY</v>
      </c>
      <c r="C147" s="27" t="str">
        <f>Sites[[#This Row],[SOL'#]]</f>
        <v>SOL-10418</v>
      </c>
      <c r="D147" s="66"/>
      <c r="E147" s="14"/>
      <c r="F147" s="14"/>
      <c r="G147" s="68" t="str">
        <f t="shared" si="14"/>
        <v/>
      </c>
      <c r="H147" s="69"/>
      <c r="I147" s="16" t="str">
        <f t="shared" si="13"/>
        <v/>
      </c>
      <c r="J147" s="15" t="str">
        <f t="shared" si="11"/>
        <v/>
      </c>
      <c r="K147" s="51"/>
      <c r="L147" s="74"/>
    </row>
    <row r="148" spans="1:15" ht="15.6">
      <c r="A148" s="24" t="str">
        <v>Janiak Solar</v>
      </c>
      <c r="B148" s="25" t="str">
        <v>NY</v>
      </c>
      <c r="C148" s="25" t="str">
        <f>Sites[[#This Row],[SOL'#]]</f>
        <v>SOL-10898</v>
      </c>
      <c r="D148" s="54"/>
      <c r="E148" s="10"/>
      <c r="F148" s="10" t="str">
        <f t="shared" si="12"/>
        <v/>
      </c>
      <c r="G148" s="55" t="str">
        <f t="shared" si="14"/>
        <v/>
      </c>
      <c r="H148" s="67"/>
      <c r="I148" s="67" t="str">
        <f t="shared" si="13"/>
        <v/>
      </c>
      <c r="J148" s="64" t="str">
        <f t="shared" si="11"/>
        <v/>
      </c>
      <c r="K148" s="73"/>
      <c r="L148" s="53"/>
    </row>
    <row r="149" spans="1:15" ht="15.6">
      <c r="A149" s="26" t="str">
        <v>County Route 11B</v>
      </c>
      <c r="B149" s="27" t="str">
        <v>NY</v>
      </c>
      <c r="C149" s="27" t="str">
        <f>Sites[[#This Row],[SOL'#]]</f>
        <v>SOL-10983</v>
      </c>
      <c r="D149" s="66"/>
      <c r="E149" s="14"/>
      <c r="F149" s="14" t="str">
        <f t="shared" si="12"/>
        <v/>
      </c>
      <c r="G149" s="68" t="str">
        <f t="shared" si="14"/>
        <v/>
      </c>
      <c r="H149" s="166"/>
      <c r="I149" s="16" t="str">
        <f t="shared" si="13"/>
        <v/>
      </c>
      <c r="J149" s="15" t="str">
        <f t="shared" si="11"/>
        <v/>
      </c>
      <c r="K149" s="51"/>
      <c r="L149" s="82"/>
    </row>
    <row r="150" spans="1:15" ht="15.6">
      <c r="A150" s="24" t="str">
        <v>Barone</v>
      </c>
      <c r="B150" s="25" t="str">
        <v>NY</v>
      </c>
      <c r="C150" s="25" t="str">
        <f>Sites[[#This Row],[SOL'#]]</f>
        <v>SOL-11034</v>
      </c>
      <c r="D150" s="54"/>
      <c r="E150" s="10"/>
      <c r="F150" s="10" t="str">
        <f t="shared" si="12"/>
        <v/>
      </c>
      <c r="G150" s="55" t="str">
        <f t="shared" si="14"/>
        <v/>
      </c>
      <c r="H150" s="67"/>
      <c r="I150" s="67" t="str">
        <f t="shared" si="13"/>
        <v/>
      </c>
      <c r="J150" s="64" t="str">
        <f t="shared" si="11"/>
        <v/>
      </c>
      <c r="K150" s="73"/>
      <c r="L150" s="98"/>
      <c r="M150" s="102"/>
    </row>
    <row r="151" spans="1:15" ht="15.6">
      <c r="A151" s="26" t="str">
        <v>Cedarville</v>
      </c>
      <c r="B151" s="27" t="str">
        <v>IL</v>
      </c>
      <c r="C151" s="27" t="str">
        <f>Sites[[#This Row],[SOL'#]]</f>
        <v>SOL-11069</v>
      </c>
      <c r="D151" s="66"/>
      <c r="E151" s="14"/>
      <c r="F151" s="14" t="str">
        <f t="shared" si="12"/>
        <v/>
      </c>
      <c r="G151" s="68" t="str">
        <f t="shared" si="14"/>
        <v/>
      </c>
      <c r="H151" s="69"/>
      <c r="I151" s="16" t="str">
        <f t="shared" si="13"/>
        <v/>
      </c>
      <c r="J151" s="15" t="str">
        <f t="shared" si="11"/>
        <v/>
      </c>
      <c r="K151" s="51"/>
      <c r="L151" s="74"/>
    </row>
    <row r="152" spans="1:15" ht="15.6">
      <c r="A152" s="24" t="str">
        <v xml:space="preserve"> O'Brien Hill #1</v>
      </c>
      <c r="B152" s="25" t="str">
        <v>NY</v>
      </c>
      <c r="C152" s="25" t="str">
        <f>Sites[[#This Row],[SOL'#]]</f>
        <v>SOL-11098</v>
      </c>
      <c r="D152" s="54"/>
      <c r="E152" s="10"/>
      <c r="F152" s="10" t="str">
        <f t="shared" si="12"/>
        <v/>
      </c>
      <c r="G152" s="55" t="str">
        <f t="shared" si="14"/>
        <v/>
      </c>
      <c r="H152" s="126"/>
      <c r="I152" s="67" t="str">
        <f t="shared" si="13"/>
        <v/>
      </c>
      <c r="J152" s="64" t="str">
        <f t="shared" si="11"/>
        <v/>
      </c>
      <c r="K152" s="73"/>
      <c r="L152" s="100"/>
      <c r="M152" s="102"/>
    </row>
    <row r="153" spans="1:15" ht="15.6">
      <c r="A153" s="26" t="str">
        <v xml:space="preserve"> O'Brien Hill #2</v>
      </c>
      <c r="B153" s="27" t="str">
        <v>NY</v>
      </c>
      <c r="C153" s="27" t="str">
        <f>Sites[[#This Row],[SOL'#]]</f>
        <v>SOL-11099</v>
      </c>
      <c r="D153" s="66"/>
      <c r="E153" s="14"/>
      <c r="F153" s="14" t="str">
        <f t="shared" si="12"/>
        <v/>
      </c>
      <c r="G153" s="68" t="str">
        <f t="shared" si="14"/>
        <v/>
      </c>
      <c r="H153" s="166"/>
      <c r="I153" s="16" t="str">
        <f t="shared" si="13"/>
        <v/>
      </c>
      <c r="J153" s="15" t="str">
        <f t="shared" si="11"/>
        <v/>
      </c>
      <c r="K153" s="186"/>
      <c r="L153" s="102"/>
      <c r="M153" s="102"/>
    </row>
    <row r="154" spans="1:15" ht="15.6">
      <c r="A154" s="24" t="str">
        <v>Trinity - Freeport</v>
      </c>
      <c r="B154" s="25" t="str">
        <v>IL</v>
      </c>
      <c r="C154" s="25" t="str">
        <f>Sites[[#This Row],[SOL'#]]</f>
        <v>SOL-11057</v>
      </c>
      <c r="D154" s="54"/>
      <c r="E154" s="10"/>
      <c r="F154" s="10" t="str">
        <f t="shared" si="12"/>
        <v/>
      </c>
      <c r="G154" s="55" t="str">
        <f t="shared" si="14"/>
        <v/>
      </c>
      <c r="H154" s="67"/>
      <c r="I154" s="67" t="str">
        <f t="shared" si="13"/>
        <v/>
      </c>
      <c r="J154" s="64" t="str">
        <f t="shared" si="11"/>
        <v/>
      </c>
      <c r="K154" s="73"/>
      <c r="L154" s="98"/>
      <c r="M154" s="102"/>
    </row>
    <row r="155" spans="1:15" ht="15.6">
      <c r="A155" s="26" t="str">
        <v>Ransom</v>
      </c>
      <c r="B155" s="27" t="str">
        <v>NY</v>
      </c>
      <c r="C155" s="27" t="str">
        <f>Sites[[#This Row],[SOL'#]]</f>
        <v>SOL-11157</v>
      </c>
      <c r="D155" s="66"/>
      <c r="E155" s="14"/>
      <c r="F155" s="14" t="str">
        <f t="shared" si="12"/>
        <v/>
      </c>
      <c r="G155" s="68" t="str">
        <f t="shared" si="14"/>
        <v/>
      </c>
      <c r="H155" s="166"/>
      <c r="I155" s="16" t="str">
        <f t="shared" si="13"/>
        <v/>
      </c>
      <c r="J155" s="15" t="str">
        <f t="shared" si="11"/>
        <v/>
      </c>
      <c r="K155" s="51"/>
      <c r="L155" s="102"/>
    </row>
    <row r="156" spans="1:15" ht="15.6">
      <c r="A156" s="24" t="str">
        <v>Horseheads - Wedge</v>
      </c>
      <c r="B156" s="25" t="str">
        <v>NY</v>
      </c>
      <c r="C156" s="25" t="str">
        <f>Sites[[#This Row],[SOL'#]]</f>
        <v>SOL-11160</v>
      </c>
      <c r="D156" s="54"/>
      <c r="E156" s="10"/>
      <c r="F156" s="10" t="str">
        <f t="shared" si="12"/>
        <v/>
      </c>
      <c r="G156" s="55" t="str">
        <f t="shared" si="14"/>
        <v/>
      </c>
      <c r="H156" s="126"/>
      <c r="I156" s="67" t="str">
        <f t="shared" si="13"/>
        <v/>
      </c>
      <c r="J156" s="64" t="str">
        <f t="shared" si="11"/>
        <v/>
      </c>
      <c r="K156" s="73"/>
      <c r="L156" s="98"/>
    </row>
    <row r="157" spans="1:15" ht="15.6">
      <c r="A157" s="26" t="str">
        <v>Otisville - Shoddy Hollow</v>
      </c>
      <c r="B157" s="27" t="str">
        <v>NY</v>
      </c>
      <c r="C157" s="27" t="str">
        <f>Sites[[#This Row],[SOL'#]]</f>
        <v>SOL-11185</v>
      </c>
      <c r="D157" s="66"/>
      <c r="E157" s="14"/>
      <c r="F157" s="14" t="str">
        <f t="shared" si="12"/>
        <v/>
      </c>
      <c r="G157" s="68" t="str">
        <f t="shared" si="14"/>
        <v/>
      </c>
      <c r="H157" s="166"/>
      <c r="I157" s="16" t="str">
        <f t="shared" si="13"/>
        <v/>
      </c>
      <c r="J157" s="15" t="str">
        <f t="shared" si="11"/>
        <v/>
      </c>
      <c r="L157" s="74"/>
    </row>
    <row r="158" spans="1:15" ht="15.6">
      <c r="A158" s="24" t="str">
        <v>Wellsville - Chenunda Creek</v>
      </c>
      <c r="B158" s="25" t="str">
        <v>NY</v>
      </c>
      <c r="C158" s="25" t="str">
        <f>Sites[[#This Row],[SOL'#]]</f>
        <v>SOL-11187</v>
      </c>
      <c r="D158" s="54"/>
      <c r="E158" s="10"/>
      <c r="F158" s="10" t="str">
        <f t="shared" si="12"/>
        <v/>
      </c>
      <c r="G158" s="55" t="str">
        <f t="shared" si="14"/>
        <v/>
      </c>
      <c r="H158" s="126"/>
      <c r="I158" s="67" t="str">
        <f t="shared" si="13"/>
        <v/>
      </c>
      <c r="J158" s="64" t="str">
        <f t="shared" si="11"/>
        <v/>
      </c>
      <c r="K158" s="73"/>
      <c r="L158" s="98"/>
      <c r="M158" s="102"/>
      <c r="N158" s="102"/>
    </row>
    <row r="159" spans="1:15" ht="15.6">
      <c r="A159" s="26" t="str">
        <v>DC: Washington - Essex Condominium</v>
      </c>
      <c r="B159" s="27" t="str">
        <v>DC</v>
      </c>
      <c r="C159" s="27" t="str">
        <f>Sites[[#This Row],[SOL'#]]</f>
        <v>SOL-10036</v>
      </c>
      <c r="D159" s="66"/>
      <c r="E159" s="14"/>
      <c r="F159" s="14" t="str">
        <f t="shared" ref="F159:F166" si="15">IF(AND(ISNUMBER(D159),ISNUMBER(E159)), D159-E159, "")</f>
        <v/>
      </c>
      <c r="G159" s="68" t="str">
        <f t="shared" ref="G159:G166" si="16">IFERROR(F159/E159, "")</f>
        <v/>
      </c>
      <c r="H159" s="69"/>
      <c r="I159" s="69" t="str">
        <f t="shared" ref="I159:I166" si="17">IF(AND(ISNUMBER(D159),ISNUMBER(H159)), D159-H159, "")</f>
        <v/>
      </c>
      <c r="J159" s="68" t="str">
        <f t="shared" ref="J159:J166" si="18">IFERROR(I159/H159, "")</f>
        <v/>
      </c>
      <c r="K159" s="51"/>
      <c r="L159" s="74"/>
    </row>
    <row r="160" spans="1:15" ht="15.6">
      <c r="A160" s="24" t="str">
        <v>HI: Waipahu - 94-246 Leoku St - E.F.G.</v>
      </c>
      <c r="B160" s="25" t="str">
        <v>HI</v>
      </c>
      <c r="C160" s="25" t="str">
        <f>Sites[[#This Row],[SOL'#]]</f>
        <v>SOL-10071</v>
      </c>
      <c r="D160" s="54"/>
      <c r="E160" s="10"/>
      <c r="F160" s="10" t="str">
        <f t="shared" si="15"/>
        <v/>
      </c>
      <c r="G160" s="55" t="str">
        <f t="shared" si="16"/>
        <v/>
      </c>
      <c r="H160" s="67"/>
      <c r="I160" s="67" t="str">
        <f t="shared" si="17"/>
        <v/>
      </c>
      <c r="J160" s="64" t="str">
        <f t="shared" si="18"/>
        <v/>
      </c>
      <c r="K160" s="73"/>
      <c r="L160" s="100"/>
      <c r="M160" s="102"/>
    </row>
    <row r="161" spans="1:13" ht="15.6">
      <c r="A161" s="26" t="str">
        <v>HI: Waipahu - 94-099 Waipahu St - PV</v>
      </c>
      <c r="B161" s="27" t="str">
        <v>HI</v>
      </c>
      <c r="C161" s="27" t="str">
        <f>Sites[[#This Row],[SOL'#]]</f>
        <v>SOL-10068</v>
      </c>
      <c r="D161" s="66"/>
      <c r="E161" s="14"/>
      <c r="F161" s="14" t="str">
        <f t="shared" si="15"/>
        <v/>
      </c>
      <c r="G161" s="68" t="str">
        <f t="shared" si="16"/>
        <v/>
      </c>
      <c r="H161" s="69"/>
      <c r="I161" s="69" t="str">
        <f t="shared" si="17"/>
        <v/>
      </c>
      <c r="J161" s="68" t="str">
        <f t="shared" si="18"/>
        <v/>
      </c>
      <c r="L161" s="74"/>
    </row>
    <row r="162" spans="1:13" ht="15.6">
      <c r="A162" s="24" t="str">
        <v>IL: Prophetstown - 5170 Yager Road (PW)</v>
      </c>
      <c r="B162" s="25" t="str">
        <v>IL</v>
      </c>
      <c r="C162" s="25" t="str">
        <f>Sites[[#This Row],[SOL'#]]</f>
        <v>SOL-11149</v>
      </c>
      <c r="D162" s="54"/>
      <c r="E162" s="10"/>
      <c r="F162" s="10" t="str">
        <f t="shared" si="15"/>
        <v/>
      </c>
      <c r="G162" s="55" t="str">
        <f t="shared" si="16"/>
        <v/>
      </c>
      <c r="H162" s="67"/>
      <c r="I162" s="67" t="str">
        <f t="shared" si="17"/>
        <v/>
      </c>
      <c r="J162" s="64" t="str">
        <f t="shared" si="18"/>
        <v/>
      </c>
      <c r="K162" s="73"/>
      <c r="L162" s="73"/>
    </row>
    <row r="163" spans="1:13" ht="15.6">
      <c r="A163" s="26" t="str">
        <v>IL: Viola - Goldenrod - (PW)</v>
      </c>
      <c r="B163" s="27" t="str">
        <v>IL</v>
      </c>
      <c r="C163" s="27" t="str">
        <f>Sites[[#This Row],[SOL'#]]</f>
        <v>SOL-11132</v>
      </c>
      <c r="D163" s="66"/>
      <c r="E163" s="14"/>
      <c r="F163" s="14" t="str">
        <f t="shared" si="15"/>
        <v/>
      </c>
      <c r="G163" s="68" t="str">
        <f t="shared" si="16"/>
        <v/>
      </c>
      <c r="H163" s="69"/>
      <c r="I163" s="69" t="str">
        <f t="shared" si="17"/>
        <v/>
      </c>
      <c r="J163" s="68" t="str">
        <f t="shared" si="18"/>
        <v/>
      </c>
      <c r="K163" s="48"/>
      <c r="L163" s="102"/>
    </row>
    <row r="164" spans="1:13" ht="15.6">
      <c r="A164" s="24" t="str">
        <v>IL: Marengo - Grant - (PW)</v>
      </c>
      <c r="B164" s="25" t="str">
        <v>IL</v>
      </c>
      <c r="C164" s="25" t="str">
        <f>Sites[[#This Row],[SOL'#]]</f>
        <v>SOL-11147</v>
      </c>
      <c r="D164" s="54"/>
      <c r="E164" s="10"/>
      <c r="F164" s="10" t="str">
        <f t="shared" si="15"/>
        <v/>
      </c>
      <c r="G164" s="55" t="str">
        <f t="shared" si="16"/>
        <v/>
      </c>
      <c r="H164" s="67"/>
      <c r="I164" s="67" t="str">
        <f t="shared" si="17"/>
        <v/>
      </c>
      <c r="J164" s="64" t="str">
        <f t="shared" si="18"/>
        <v/>
      </c>
      <c r="K164" s="73"/>
      <c r="L164" s="100"/>
      <c r="M164" s="102"/>
    </row>
    <row r="165" spans="1:13" ht="15.6">
      <c r="A165" s="26" t="str">
        <v>NY: Cambridge - Cambridge (PW)</v>
      </c>
      <c r="B165" s="27" t="str">
        <v>NY</v>
      </c>
      <c r="C165" s="27" t="str">
        <f>Sites[[#This Row],[SOL'#]]</f>
        <v>SOL-11126</v>
      </c>
      <c r="D165" s="66"/>
      <c r="E165" s="14"/>
      <c r="F165" s="14" t="str">
        <f t="shared" si="15"/>
        <v/>
      </c>
      <c r="G165" s="68" t="str">
        <f t="shared" si="16"/>
        <v/>
      </c>
      <c r="H165" s="69"/>
      <c r="I165" s="69"/>
      <c r="J165" s="68" t="str">
        <f t="shared" si="18"/>
        <v/>
      </c>
      <c r="K165" s="48"/>
      <c r="L165" s="75"/>
    </row>
    <row r="166" spans="1:13" ht="15.6">
      <c r="A166" s="24" t="str">
        <v>NY: Whitesville - Independence North</v>
      </c>
      <c r="B166" s="25" t="str">
        <v>NY</v>
      </c>
      <c r="C166" s="25" t="str">
        <f>Sites[[#This Row],[SOL'#]]</f>
        <v>SOL-11186</v>
      </c>
      <c r="D166" s="54"/>
      <c r="E166" s="10"/>
      <c r="F166" s="10" t="str">
        <f t="shared" si="15"/>
        <v/>
      </c>
      <c r="G166" s="55" t="str">
        <f t="shared" si="16"/>
        <v/>
      </c>
      <c r="H166" s="146"/>
      <c r="I166" s="67" t="str">
        <f t="shared" si="17"/>
        <v/>
      </c>
      <c r="J166" s="64" t="str">
        <f t="shared" si="18"/>
        <v/>
      </c>
      <c r="K166" s="73"/>
      <c r="L166" s="73"/>
    </row>
    <row r="167" spans="1:13" ht="14.45">
      <c r="A167" s="17" t="str">
        <v>IL: Beecher - Cottage Grove North (PW)</v>
      </c>
      <c r="B167" s="29" t="str">
        <v>IL</v>
      </c>
      <c r="C167" s="29"/>
      <c r="D167" s="17"/>
      <c r="E167" s="17"/>
      <c r="F167" s="17"/>
      <c r="G167" s="18"/>
      <c r="H167" s="17"/>
      <c r="I167" s="17"/>
      <c r="J167" s="18"/>
      <c r="K167" s="74"/>
      <c r="L167" s="74"/>
    </row>
    <row r="168" spans="1:13" ht="14.45">
      <c r="A168" s="17" t="str">
        <v>IL: Beecher - Cottage Grove South (PW)</v>
      </c>
      <c r="B168" s="29" t="str">
        <v>IL</v>
      </c>
      <c r="C168" s="29"/>
      <c r="D168" s="17"/>
      <c r="E168" s="17"/>
      <c r="F168" s="17"/>
      <c r="G168" s="18"/>
      <c r="H168" s="17"/>
      <c r="I168" s="17"/>
      <c r="J168" s="18"/>
      <c r="K168" s="74"/>
      <c r="L168" s="74"/>
    </row>
    <row r="169" spans="1:13" ht="14.45">
      <c r="A169" s="17" t="str">
        <v>IL: Harvard - 9618 US HWY 14 (PW)</v>
      </c>
      <c r="B169" s="29" t="str">
        <v>IL</v>
      </c>
      <c r="C169" s="29"/>
      <c r="D169" s="17"/>
      <c r="E169" s="17"/>
      <c r="F169" s="17"/>
      <c r="G169" s="18"/>
      <c r="H169" s="17"/>
      <c r="I169" s="17"/>
      <c r="J169" s="18"/>
      <c r="K169" s="74"/>
      <c r="L169" s="74"/>
    </row>
    <row r="170" spans="1:13" ht="14.45">
      <c r="A170" s="17" t="str">
        <v>IL: Beecher - 701 E Goodenow Rd (PW)</v>
      </c>
      <c r="B170" s="29" t="str">
        <v>IL</v>
      </c>
      <c r="C170" s="29"/>
      <c r="D170" s="17"/>
      <c r="E170" s="17"/>
      <c r="F170" s="17"/>
      <c r="G170" s="18"/>
      <c r="H170" s="17"/>
      <c r="I170" s="17"/>
      <c r="J170" s="18"/>
      <c r="K170" s="74"/>
      <c r="L170" s="74"/>
    </row>
    <row r="171" spans="1:13" ht="14.45">
      <c r="A171" s="17" t="str">
        <v>NY: Stormville - Green Haven - (IRA)</v>
      </c>
      <c r="B171" s="29" t="str">
        <v>NY</v>
      </c>
      <c r="C171" s="29"/>
      <c r="D171" s="17"/>
      <c r="E171" s="17"/>
      <c r="F171" s="17"/>
      <c r="G171" s="18"/>
      <c r="H171" s="17"/>
      <c r="I171" s="17"/>
      <c r="J171" s="18"/>
      <c r="K171" s="74"/>
      <c r="L171" s="74"/>
    </row>
    <row r="172" spans="1:13" ht="14.45">
      <c r="A172" s="17" t="str">
        <v>IL: Hillsboro - Anacott (PW)</v>
      </c>
      <c r="B172" s="29" t="str">
        <v>IL</v>
      </c>
      <c r="C172" s="29"/>
      <c r="D172" s="17"/>
      <c r="E172" s="17"/>
      <c r="F172" s="17"/>
      <c r="G172" s="18"/>
      <c r="H172" s="17"/>
      <c r="I172" s="17"/>
      <c r="J172" s="18"/>
      <c r="K172" s="74"/>
      <c r="L172" s="74"/>
    </row>
    <row r="173" spans="1:13">
      <c r="A173" t="str">
        <v>IL: Manhattan - Gougar (PW)</v>
      </c>
      <c r="B173" s="30" t="str">
        <v>IL</v>
      </c>
    </row>
    <row r="174" spans="1:13">
      <c r="A174" t="str">
        <v>IL: Morrison - Sawyer (PW)</v>
      </c>
      <c r="B174" s="30" t="str">
        <v>IL</v>
      </c>
    </row>
    <row r="175" spans="1:13">
      <c r="A175" t="str">
        <v>IL: Kankakee - Jeffery (PW)</v>
      </c>
      <c r="B175" s="30" t="str">
        <v>IL</v>
      </c>
    </row>
    <row r="176" spans="1:13">
      <c r="A176" t="str">
        <v>IL: Freeport - 2240 South 18th Ave (PW)</v>
      </c>
      <c r="B176" s="30" t="str">
        <v>IL</v>
      </c>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66 J4:J166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cfRule type="cellIs" dxfId="16" priority="1" stopIfTrue="1" operator="lessThanOrEqual">
      <formula>-0.1</formula>
    </cfRule>
    <cfRule type="expression" dxfId="15" priority="2">
      <formula>AND(ISNUMBER(G4), G4&gt;=0.1)</formula>
    </cfRule>
  </conditionalFormatting>
  <pageMargins left="0.4" right="0.7" top="0.25" bottom="0.25" header="0.3" footer="0.3"/>
  <pageSetup scale="45" fitToHeight="9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S176"/>
  <sheetViews>
    <sheetView zoomScale="40" zoomScaleNormal="40" workbookViewId="0">
      <pane xSplit="2" ySplit="3" topLeftCell="C142"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16" style="30" customWidth="1"/>
    <col min="3" max="3" width="10.57031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 min="13" max="13" width="13.42578125" style="103" customWidth="1"/>
    <col min="14" max="19" width="9.140625" style="103"/>
  </cols>
  <sheetData>
    <row r="1" spans="1:16" ht="19.5" customHeight="1">
      <c r="A1" s="195" t="str" cm="1">
        <f t="array" ref="A1">portfolio</f>
        <v>Generate Capital</v>
      </c>
      <c r="B1" s="195"/>
      <c r="C1" s="195"/>
      <c r="D1" s="195"/>
      <c r="E1" s="196" t="s">
        <v>389</v>
      </c>
      <c r="F1" s="196"/>
      <c r="G1" s="196"/>
      <c r="H1" s="194" t="s">
        <v>390</v>
      </c>
      <c r="I1" s="194"/>
      <c r="J1" s="194"/>
      <c r="K1" s="4"/>
      <c r="L1" s="4"/>
    </row>
    <row r="2" spans="1:16" ht="19.5" customHeight="1">
      <c r="A2" s="197" t="s">
        <v>2</v>
      </c>
      <c r="B2" s="197"/>
      <c r="C2" s="57"/>
      <c r="D2" s="5">
        <f>SUM(D4:D172)</f>
        <v>0</v>
      </c>
      <c r="E2" s="5">
        <f>SUM(E4:E100)</f>
        <v>0</v>
      </c>
      <c r="F2" s="5">
        <f>D2-E2</f>
        <v>0</v>
      </c>
      <c r="G2" s="6">
        <f>IFERROR(F2/E2, 0)</f>
        <v>0</v>
      </c>
      <c r="H2" s="5">
        <f>SUM(H4:H172)</f>
        <v>0</v>
      </c>
      <c r="I2" s="7">
        <f>D2-H2</f>
        <v>0</v>
      </c>
      <c r="J2" s="6">
        <f>IFERROR(I2/H2, 0)</f>
        <v>0</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6" ht="14.25" customHeight="1">
      <c r="A3" s="8" t="s">
        <v>3</v>
      </c>
      <c r="B3" s="8" t="s">
        <v>4</v>
      </c>
      <c r="C3" s="8" t="s">
        <v>5</v>
      </c>
      <c r="D3" s="19" t="s">
        <v>6</v>
      </c>
      <c r="E3" s="31" t="s">
        <v>7</v>
      </c>
      <c r="F3" s="31" t="s">
        <v>8</v>
      </c>
      <c r="G3" s="32" t="s">
        <v>9</v>
      </c>
      <c r="H3" s="33" t="s">
        <v>10</v>
      </c>
      <c r="I3" s="34" t="s">
        <v>8</v>
      </c>
      <c r="J3" s="35" t="s">
        <v>9</v>
      </c>
      <c r="K3" s="21" t="s">
        <v>24</v>
      </c>
      <c r="L3" s="21" t="s">
        <v>25</v>
      </c>
      <c r="M3" s="170" t="s">
        <v>26</v>
      </c>
    </row>
    <row r="4" spans="1:16" ht="15.6">
      <c r="A4" s="28" t="str" cm="1">
        <f t="array" ref="A4:A176">Sites[Site]</f>
        <v>K026</v>
      </c>
      <c r="B4" s="25" t="str" cm="1">
        <f t="array" ref="B4:B176">Sites[State]</f>
        <v>NY</v>
      </c>
      <c r="C4" s="25" t="str">
        <f>Sites[[#This Row],[SOL'#]]</f>
        <v>SOL-10356</v>
      </c>
      <c r="D4" s="20"/>
      <c r="E4" s="10"/>
      <c r="F4" s="10" t="str">
        <f>IF(AND(ISNUMBER(D4),ISNUMBER(E4)), D4-E4, "")</f>
        <v/>
      </c>
      <c r="G4" s="11" t="str">
        <f>IFERROR(F4/E4, "")</f>
        <v/>
      </c>
      <c r="H4" s="12"/>
      <c r="I4" s="12" t="str">
        <f>IF(AND(ISNUMBER(D4),ISNUMBER(H4)), D4-H4, "")</f>
        <v/>
      </c>
      <c r="J4" s="13" t="str">
        <f>IFERROR(I4/H4, "")</f>
        <v/>
      </c>
      <c r="K4" s="53"/>
      <c r="L4" s="98"/>
    </row>
    <row r="5" spans="1:16" ht="15.6">
      <c r="A5" s="26" t="str">
        <v>K041</v>
      </c>
      <c r="B5" s="27" t="str">
        <v>NY</v>
      </c>
      <c r="C5" s="27" t="str">
        <f>Sites[[#This Row],[SOL'#]]</f>
        <v>SOL-10357</v>
      </c>
      <c r="D5" s="9"/>
      <c r="E5" s="14"/>
      <c r="F5" s="14" t="str">
        <f t="shared" ref="F5:F17" si="0">IF(AND(ISNUMBER(D5),ISNUMBER(E5)), D5-E5, "")</f>
        <v/>
      </c>
      <c r="G5" s="15" t="str">
        <f>IFERROR(F5/E5, "")</f>
        <v/>
      </c>
      <c r="H5" s="16"/>
      <c r="I5" s="16" t="str">
        <f t="shared" ref="I5:I17" si="1">IF(AND(ISNUMBER(D5),ISNUMBER(H5)), D5-H5, "")</f>
        <v/>
      </c>
      <c r="J5" s="15" t="str">
        <f t="shared" ref="J5:J17" si="2">IFERROR(I5/H5, "")</f>
        <v/>
      </c>
      <c r="K5" s="51"/>
      <c r="L5" s="186"/>
      <c r="M5"/>
    </row>
    <row r="6" spans="1:16" ht="63.75" customHeight="1">
      <c r="A6" s="24" t="str">
        <v>K043</v>
      </c>
      <c r="B6" s="25" t="str">
        <v>NY</v>
      </c>
      <c r="C6" s="25" t="str">
        <f>Sites[[#This Row],[SOL'#]]</f>
        <v>SOL-10358</v>
      </c>
      <c r="D6" s="20"/>
      <c r="E6" s="10"/>
      <c r="F6" s="10" t="str">
        <f t="shared" si="0"/>
        <v/>
      </c>
      <c r="G6" s="11" t="str">
        <f t="shared" ref="G6:G17" si="3">IFERROR(F6/E6, "")</f>
        <v/>
      </c>
      <c r="H6" s="12"/>
      <c r="I6" s="12" t="str">
        <f t="shared" si="1"/>
        <v/>
      </c>
      <c r="J6" s="13" t="str">
        <f t="shared" si="2"/>
        <v/>
      </c>
      <c r="K6" s="53"/>
      <c r="L6" s="98"/>
    </row>
    <row r="7" spans="1:16" ht="15.6">
      <c r="A7" s="26" t="str">
        <v>K058</v>
      </c>
      <c r="B7" s="27" t="str">
        <v>NY</v>
      </c>
      <c r="C7" s="27" t="str">
        <f>Sites[[#This Row],[SOL'#]]</f>
        <v>SOL-10360</v>
      </c>
      <c r="D7" s="9"/>
      <c r="E7" s="14"/>
      <c r="F7" s="14" t="str">
        <f t="shared" si="0"/>
        <v/>
      </c>
      <c r="G7" s="15" t="str">
        <f t="shared" si="3"/>
        <v/>
      </c>
      <c r="H7" s="16"/>
      <c r="I7" s="16" t="str">
        <f t="shared" si="1"/>
        <v/>
      </c>
      <c r="J7" s="15" t="str">
        <f t="shared" si="2"/>
        <v/>
      </c>
      <c r="K7" s="51"/>
      <c r="L7" s="186"/>
    </row>
    <row r="8" spans="1:16" ht="15.6">
      <c r="A8" s="24" t="str">
        <v>K115</v>
      </c>
      <c r="B8" s="25" t="str">
        <v>NY</v>
      </c>
      <c r="C8" s="25" t="str">
        <f>Sites[[#This Row],[SOL'#]]</f>
        <v>SOL-10361</v>
      </c>
      <c r="D8" s="20"/>
      <c r="E8" s="10"/>
      <c r="F8" s="10" t="str">
        <f t="shared" si="0"/>
        <v/>
      </c>
      <c r="G8" s="11" t="str">
        <f t="shared" si="3"/>
        <v/>
      </c>
      <c r="H8" s="12"/>
      <c r="I8" s="12" t="str">
        <f t="shared" si="1"/>
        <v/>
      </c>
      <c r="J8" s="13" t="str">
        <f t="shared" si="2"/>
        <v/>
      </c>
      <c r="K8" s="53"/>
      <c r="L8" s="98"/>
    </row>
    <row r="9" spans="1:16" ht="15.6">
      <c r="A9" s="26" t="str">
        <v>K152</v>
      </c>
      <c r="B9" s="27" t="str">
        <v>NY</v>
      </c>
      <c r="C9" s="27" t="str">
        <f>Sites[[#This Row],[SOL'#]]</f>
        <v>SOL-10362</v>
      </c>
      <c r="D9" s="9"/>
      <c r="E9" s="14"/>
      <c r="F9" s="14" t="str">
        <f t="shared" si="0"/>
        <v/>
      </c>
      <c r="G9" s="15" t="str">
        <f t="shared" si="3"/>
        <v/>
      </c>
      <c r="H9" s="16"/>
      <c r="I9" s="16" t="str">
        <f t="shared" si="1"/>
        <v/>
      </c>
      <c r="J9" s="15" t="str">
        <f t="shared" si="2"/>
        <v/>
      </c>
      <c r="K9" s="51"/>
      <c r="L9" s="85"/>
    </row>
    <row r="10" spans="1:16" ht="15.6">
      <c r="A10" s="24" t="str">
        <v>K166</v>
      </c>
      <c r="B10" s="25" t="str">
        <v>NY</v>
      </c>
      <c r="C10" s="25" t="str">
        <f>Sites[[#This Row],[SOL'#]]</f>
        <v>SOL-10363</v>
      </c>
      <c r="D10" s="20"/>
      <c r="E10" s="10"/>
      <c r="F10" s="10" t="str">
        <f t="shared" si="0"/>
        <v/>
      </c>
      <c r="G10" s="11" t="str">
        <f t="shared" si="3"/>
        <v/>
      </c>
      <c r="H10" s="12"/>
      <c r="I10" s="12" t="str">
        <f t="shared" si="1"/>
        <v/>
      </c>
      <c r="J10" s="13" t="str">
        <f t="shared" si="2"/>
        <v/>
      </c>
      <c r="K10" s="53"/>
      <c r="L10" s="98"/>
    </row>
    <row r="11" spans="1:16" ht="15.6">
      <c r="A11" s="26" t="str">
        <v>K206</v>
      </c>
      <c r="B11" s="27" t="str">
        <v>NY</v>
      </c>
      <c r="C11" s="27" t="str">
        <f>Sites[[#This Row],[SOL'#]]</f>
        <v>SOL-10927</v>
      </c>
      <c r="D11" s="9"/>
      <c r="E11" s="14"/>
      <c r="F11" s="14" t="str">
        <f t="shared" si="0"/>
        <v/>
      </c>
      <c r="G11" s="15" t="str">
        <f t="shared" si="3"/>
        <v/>
      </c>
      <c r="H11" s="16"/>
      <c r="I11" s="16" t="str">
        <f t="shared" si="1"/>
        <v/>
      </c>
      <c r="J11" s="15" t="str">
        <f t="shared" si="2"/>
        <v/>
      </c>
      <c r="K11" s="51"/>
      <c r="L11" s="86"/>
    </row>
    <row r="12" spans="1:16"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53"/>
      <c r="L12" s="98"/>
      <c r="M12" s="65"/>
      <c r="N12" s="102"/>
    </row>
    <row r="13" spans="1:16" ht="15.6">
      <c r="A13" s="26" t="str">
        <v>K269</v>
      </c>
      <c r="B13" s="27" t="str">
        <v>NY</v>
      </c>
      <c r="C13" s="27" t="str">
        <f>Sites[[#This Row],[SOL'#]]</f>
        <v>SOL-10366</v>
      </c>
      <c r="D13" s="9"/>
      <c r="E13" s="14"/>
      <c r="F13" s="14" t="str">
        <f t="shared" si="0"/>
        <v/>
      </c>
      <c r="G13" s="15" t="str">
        <f t="shared" si="3"/>
        <v/>
      </c>
      <c r="H13" s="16"/>
      <c r="I13" s="16" t="str">
        <f t="shared" si="1"/>
        <v/>
      </c>
      <c r="J13" s="15" t="str">
        <f t="shared" si="2"/>
        <v/>
      </c>
      <c r="K13" s="51"/>
      <c r="L13" s="186"/>
    </row>
    <row r="14" spans="1:16" ht="15.6">
      <c r="A14" s="24" t="str">
        <v>K273</v>
      </c>
      <c r="B14" s="25" t="str">
        <v>NY</v>
      </c>
      <c r="C14" s="25" t="str">
        <f>Sites[[#This Row],[SOL'#]]</f>
        <v>SOL-10367</v>
      </c>
      <c r="D14" s="20"/>
      <c r="E14" s="10"/>
      <c r="F14" s="10" t="str">
        <f t="shared" si="0"/>
        <v/>
      </c>
      <c r="G14" s="11" t="str">
        <f t="shared" si="3"/>
        <v/>
      </c>
      <c r="H14" s="12"/>
      <c r="I14" s="12" t="str">
        <f t="shared" si="1"/>
        <v/>
      </c>
      <c r="J14" s="13" t="str">
        <f t="shared" si="2"/>
        <v/>
      </c>
      <c r="K14" s="53"/>
      <c r="L14" s="98"/>
      <c r="M14" s="65"/>
      <c r="N14" s="102"/>
      <c r="O14" s="102"/>
      <c r="P14" s="102"/>
    </row>
    <row r="15" spans="1:16" ht="15.6">
      <c r="A15" s="26" t="str">
        <v>K287</v>
      </c>
      <c r="B15" s="27" t="str">
        <v>NY</v>
      </c>
      <c r="C15" s="27" t="str">
        <f>Sites[[#This Row],[SOL'#]]</f>
        <v>SOL-10919</v>
      </c>
      <c r="D15" s="9"/>
      <c r="E15" s="14"/>
      <c r="F15" s="14" t="str">
        <f t="shared" si="0"/>
        <v/>
      </c>
      <c r="G15" s="15" t="str">
        <f t="shared" si="3"/>
        <v/>
      </c>
      <c r="H15" s="16"/>
      <c r="I15" s="16" t="str">
        <f t="shared" si="1"/>
        <v/>
      </c>
      <c r="J15" s="15" t="str">
        <f t="shared" si="2"/>
        <v/>
      </c>
      <c r="K15" s="51"/>
      <c r="L15" s="186"/>
    </row>
    <row r="16" spans="1:16" ht="15.6">
      <c r="A16" s="24" t="str">
        <v>K298</v>
      </c>
      <c r="B16" s="25" t="str">
        <v>NY</v>
      </c>
      <c r="C16" s="25" t="str">
        <f>Sites[[#This Row],[SOL'#]]</f>
        <v>SOL-10368</v>
      </c>
      <c r="D16" s="20"/>
      <c r="E16" s="10"/>
      <c r="F16" s="10" t="str">
        <f t="shared" si="0"/>
        <v/>
      </c>
      <c r="G16" s="11" t="str">
        <f t="shared" si="3"/>
        <v/>
      </c>
      <c r="H16" s="12"/>
      <c r="I16" s="12" t="str">
        <f t="shared" si="1"/>
        <v/>
      </c>
      <c r="J16" s="13" t="str">
        <f t="shared" si="2"/>
        <v/>
      </c>
      <c r="K16" s="53"/>
      <c r="L16" s="98"/>
      <c r="M16" s="171"/>
    </row>
    <row r="17" spans="1:13" ht="15.6">
      <c r="A17" s="26" t="str">
        <v>K335</v>
      </c>
      <c r="B17" s="27" t="str">
        <v>NY</v>
      </c>
      <c r="C17" s="27" t="str">
        <f>Sites[[#This Row],[SOL'#]]</f>
        <v>SOL-10370</v>
      </c>
      <c r="D17" s="9"/>
      <c r="E17" s="14"/>
      <c r="F17" s="14" t="str">
        <f t="shared" si="0"/>
        <v/>
      </c>
      <c r="G17" s="15" t="str">
        <f t="shared" si="3"/>
        <v/>
      </c>
      <c r="H17" s="16"/>
      <c r="I17" s="16" t="str">
        <f t="shared" si="1"/>
        <v/>
      </c>
      <c r="J17" s="15" t="str">
        <f t="shared" si="2"/>
        <v/>
      </c>
      <c r="K17" s="51"/>
      <c r="L17" s="186"/>
      <c r="M17"/>
    </row>
    <row r="18" spans="1:13" ht="63.75" customHeight="1">
      <c r="A18" s="24" t="str">
        <v>K345</v>
      </c>
      <c r="B18" s="25" t="str">
        <v>NY</v>
      </c>
      <c r="C18" s="25" t="str">
        <f>Sites[[#This Row],[SOL'#]]</f>
        <v>SOL-10920</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ref="J18:J81" si="7">IFERROR(I18/H18, "")</f>
        <v/>
      </c>
      <c r="K18" s="53"/>
      <c r="L18" s="98"/>
    </row>
    <row r="19" spans="1:13" ht="15.6">
      <c r="A19" s="26" t="str">
        <v>K445</v>
      </c>
      <c r="B19" s="27" t="str">
        <v>NY</v>
      </c>
      <c r="C19" s="27" t="str">
        <f>Sites[[#This Row],[SOL'#]]</f>
        <v>SOL-10373</v>
      </c>
      <c r="D19" s="9"/>
      <c r="E19" s="14"/>
      <c r="F19" s="14" t="str">
        <f t="shared" si="4"/>
        <v/>
      </c>
      <c r="G19" s="15" t="str">
        <f t="shared" si="5"/>
        <v/>
      </c>
      <c r="H19" s="16"/>
      <c r="I19" s="16" t="str">
        <f t="shared" si="6"/>
        <v/>
      </c>
      <c r="J19" s="15" t="str">
        <f t="shared" si="7"/>
        <v/>
      </c>
      <c r="K19" s="51"/>
      <c r="L19" s="99"/>
      <c r="M19" s="51"/>
    </row>
    <row r="20" spans="1:13" ht="15.6">
      <c r="A20" s="24" t="str">
        <v>K495</v>
      </c>
      <c r="B20" s="25" t="str">
        <v>NY</v>
      </c>
      <c r="C20" s="25" t="str">
        <f>Sites[[#This Row],[SOL'#]]</f>
        <v>SOL-10374</v>
      </c>
      <c r="D20" s="20"/>
      <c r="E20" s="10"/>
      <c r="F20" s="10" t="str">
        <f t="shared" si="4"/>
        <v/>
      </c>
      <c r="G20" s="11" t="str">
        <f t="shared" si="5"/>
        <v/>
      </c>
      <c r="H20" s="12"/>
      <c r="I20" s="12" t="str">
        <f t="shared" si="6"/>
        <v/>
      </c>
      <c r="J20" s="13" t="str">
        <f t="shared" si="7"/>
        <v/>
      </c>
      <c r="K20" s="53"/>
      <c r="L20" s="98"/>
    </row>
    <row r="21" spans="1:13" ht="15.6">
      <c r="A21" s="26" t="str">
        <v>M020</v>
      </c>
      <c r="B21" s="27" t="str">
        <v>NY</v>
      </c>
      <c r="C21" s="27" t="str">
        <f>Sites[[#This Row],[SOL'#]]</f>
        <v>SOL-10380</v>
      </c>
      <c r="D21" s="9"/>
      <c r="E21" s="14"/>
      <c r="F21" s="14" t="str">
        <f t="shared" si="4"/>
        <v/>
      </c>
      <c r="G21" s="15" t="str">
        <f t="shared" si="5"/>
        <v/>
      </c>
      <c r="H21" s="16"/>
      <c r="I21" s="16" t="str">
        <f t="shared" si="6"/>
        <v/>
      </c>
      <c r="J21" s="15" t="str">
        <f t="shared" si="7"/>
        <v/>
      </c>
      <c r="K21" s="51"/>
      <c r="L21" s="85"/>
    </row>
    <row r="22" spans="1:13" ht="15.6">
      <c r="A22" s="24" t="str">
        <v>M092</v>
      </c>
      <c r="B22" s="25" t="str">
        <v>NY</v>
      </c>
      <c r="C22" s="25" t="str">
        <f>Sites[[#This Row],[SOL'#]]</f>
        <v>SOL-10383</v>
      </c>
      <c r="D22" s="20"/>
      <c r="E22" s="10"/>
      <c r="F22" s="10" t="str">
        <f t="shared" si="4"/>
        <v/>
      </c>
      <c r="G22" s="11" t="str">
        <f t="shared" si="5"/>
        <v/>
      </c>
      <c r="H22" s="12"/>
      <c r="I22" s="12" t="str">
        <f t="shared" si="6"/>
        <v/>
      </c>
      <c r="J22" s="13" t="str">
        <f t="shared" si="7"/>
        <v/>
      </c>
      <c r="K22" s="53"/>
      <c r="L22" s="47"/>
    </row>
    <row r="23" spans="1:13" ht="15.6">
      <c r="A23" s="26" t="str">
        <v>M143</v>
      </c>
      <c r="B23" s="27" t="str">
        <v>NY</v>
      </c>
      <c r="C23" s="27" t="str">
        <f>Sites[[#This Row],[SOL'#]]</f>
        <v>SOL-10384</v>
      </c>
      <c r="D23" s="9"/>
      <c r="E23" s="14"/>
      <c r="F23" s="14" t="str">
        <f t="shared" si="4"/>
        <v/>
      </c>
      <c r="G23" s="15" t="str">
        <f t="shared" si="5"/>
        <v/>
      </c>
      <c r="H23" s="16"/>
      <c r="I23" s="16" t="str">
        <f t="shared" si="6"/>
        <v/>
      </c>
      <c r="J23" s="15" t="str">
        <f t="shared" si="7"/>
        <v/>
      </c>
      <c r="K23" s="51"/>
      <c r="L23" s="99"/>
    </row>
    <row r="24" spans="1:13" ht="15.6">
      <c r="A24" s="24" t="str">
        <v>M144</v>
      </c>
      <c r="B24" s="25" t="str">
        <v>NY</v>
      </c>
      <c r="C24" s="25" t="str">
        <f>Sites[[#This Row],[SOL'#]]</f>
        <v>SOL-10385</v>
      </c>
      <c r="D24" s="20"/>
      <c r="E24" s="10"/>
      <c r="F24" s="10" t="str">
        <f t="shared" si="4"/>
        <v/>
      </c>
      <c r="G24" s="11" t="str">
        <f t="shared" si="5"/>
        <v/>
      </c>
      <c r="H24" s="12"/>
      <c r="I24" s="12" t="str">
        <f t="shared" si="6"/>
        <v/>
      </c>
      <c r="J24" s="13" t="str">
        <f t="shared" si="7"/>
        <v/>
      </c>
      <c r="K24" s="53"/>
      <c r="L24" s="47"/>
    </row>
    <row r="25" spans="1:13" ht="15.6">
      <c r="A25" s="26" t="str">
        <v>M167</v>
      </c>
      <c r="B25" s="27" t="str">
        <v>NY</v>
      </c>
      <c r="C25" s="27" t="str">
        <f>Sites[[#This Row],[SOL'#]]</f>
        <v>SOL-10386</v>
      </c>
      <c r="D25" s="9"/>
      <c r="E25" s="14"/>
      <c r="F25" s="14" t="str">
        <f t="shared" si="4"/>
        <v/>
      </c>
      <c r="G25" s="15" t="str">
        <f t="shared" si="5"/>
        <v/>
      </c>
      <c r="H25" s="16"/>
      <c r="I25" s="16" t="str">
        <f t="shared" si="6"/>
        <v/>
      </c>
      <c r="J25" s="15" t="str">
        <f t="shared" si="7"/>
        <v/>
      </c>
      <c r="K25" s="51"/>
      <c r="L25" s="85"/>
    </row>
    <row r="26" spans="1:13" ht="15.6">
      <c r="A26" s="24" t="str">
        <v>M188</v>
      </c>
      <c r="B26" s="25" t="str">
        <v>NY</v>
      </c>
      <c r="C26" s="25" t="str">
        <f>Sites[[#This Row],[SOL'#]]</f>
        <v>SOL-10387</v>
      </c>
      <c r="D26" s="20"/>
      <c r="E26" s="10"/>
      <c r="F26" s="10" t="str">
        <f t="shared" si="4"/>
        <v/>
      </c>
      <c r="G26" s="11" t="str">
        <f t="shared" si="5"/>
        <v/>
      </c>
      <c r="H26" s="12"/>
      <c r="I26" s="12" t="str">
        <f t="shared" si="6"/>
        <v/>
      </c>
      <c r="J26" s="13" t="str">
        <f t="shared" si="7"/>
        <v/>
      </c>
      <c r="K26" s="53"/>
      <c r="L26" s="47"/>
    </row>
    <row r="27" spans="1:13" ht="15.6">
      <c r="A27" s="26" t="str">
        <v>EMHC</v>
      </c>
      <c r="B27" s="27" t="str">
        <v>NY</v>
      </c>
      <c r="C27" s="27" t="str">
        <f>Sites[[#This Row],[SOL'#]]</f>
        <v>SOL-10351</v>
      </c>
      <c r="D27" s="9"/>
      <c r="E27" s="14"/>
      <c r="F27" s="14" t="str">
        <f t="shared" si="4"/>
        <v/>
      </c>
      <c r="G27" s="15" t="str">
        <f t="shared" si="5"/>
        <v/>
      </c>
      <c r="H27" s="16"/>
      <c r="I27" s="16" t="str">
        <f t="shared" si="6"/>
        <v/>
      </c>
      <c r="J27" s="15" t="str">
        <f t="shared" si="7"/>
        <v/>
      </c>
      <c r="K27" s="51"/>
      <c r="L27" s="99"/>
    </row>
    <row r="28" spans="1:13" ht="15.6">
      <c r="A28" s="24" t="str">
        <v>Q008</v>
      </c>
      <c r="B28" s="25" t="str">
        <v>NY</v>
      </c>
      <c r="C28" s="25" t="str">
        <f>Sites[[#This Row],[SOL'#]]</f>
        <v>SOL-10397</v>
      </c>
      <c r="D28" s="20"/>
      <c r="E28" s="10"/>
      <c r="F28" s="10" t="str">
        <f t="shared" si="4"/>
        <v/>
      </c>
      <c r="G28" s="11" t="str">
        <f t="shared" si="5"/>
        <v/>
      </c>
      <c r="H28" s="12"/>
      <c r="I28" s="12" t="str">
        <f t="shared" si="6"/>
        <v/>
      </c>
      <c r="J28" s="13" t="str">
        <f t="shared" si="7"/>
        <v/>
      </c>
      <c r="K28" s="53"/>
      <c r="L28" s="100"/>
    </row>
    <row r="29" spans="1:13" ht="15.6">
      <c r="A29" s="26" t="str">
        <v>Q018</v>
      </c>
      <c r="B29" s="27" t="str">
        <v>NY</v>
      </c>
      <c r="C29" s="27" t="str">
        <f>Sites[[#This Row],[SOL'#]]</f>
        <v>SOL-10398</v>
      </c>
      <c r="D29" s="9"/>
      <c r="E29" s="14"/>
      <c r="F29" s="14" t="str">
        <f t="shared" si="4"/>
        <v/>
      </c>
      <c r="G29" s="15" t="str">
        <f t="shared" si="5"/>
        <v/>
      </c>
      <c r="H29" s="16"/>
      <c r="I29" s="16" t="str">
        <f t="shared" si="6"/>
        <v/>
      </c>
      <c r="J29" s="15" t="str">
        <f t="shared" si="7"/>
        <v/>
      </c>
      <c r="K29" s="51"/>
      <c r="L29" s="186"/>
    </row>
    <row r="30" spans="1:13" ht="15.6">
      <c r="A30" s="24" t="str">
        <v>Q021</v>
      </c>
      <c r="B30" s="25" t="str">
        <v>NY</v>
      </c>
      <c r="C30" s="25" t="str">
        <f>Sites[[#This Row],[SOL'#]]</f>
        <v>SOL-10399</v>
      </c>
      <c r="D30" s="20"/>
      <c r="E30" s="10"/>
      <c r="F30" s="10" t="str">
        <f t="shared" si="4"/>
        <v/>
      </c>
      <c r="G30" s="11" t="str">
        <f t="shared" si="5"/>
        <v/>
      </c>
      <c r="H30" s="12"/>
      <c r="I30" s="12" t="str">
        <f t="shared" si="6"/>
        <v/>
      </c>
      <c r="J30" s="13" t="str">
        <f t="shared" si="7"/>
        <v/>
      </c>
      <c r="K30" s="53"/>
      <c r="L30" s="47"/>
    </row>
    <row r="31" spans="1:13" ht="15.6">
      <c r="A31" s="26" t="str">
        <v>Q025</v>
      </c>
      <c r="B31" s="27" t="str">
        <v>NY</v>
      </c>
      <c r="C31" s="27" t="str">
        <f>Sites[[#This Row],[SOL'#]]</f>
        <v>SOL-10400</v>
      </c>
      <c r="D31" s="9"/>
      <c r="E31" s="14"/>
      <c r="F31" s="14" t="str">
        <f t="shared" si="4"/>
        <v/>
      </c>
      <c r="G31" s="15" t="str">
        <f t="shared" si="5"/>
        <v/>
      </c>
      <c r="H31" s="16"/>
      <c r="I31" s="16" t="str">
        <f t="shared" si="6"/>
        <v/>
      </c>
      <c r="J31" s="15" t="str">
        <f t="shared" si="7"/>
        <v/>
      </c>
      <c r="K31" s="51"/>
      <c r="L31" s="186"/>
    </row>
    <row r="32" spans="1:13" ht="15.6">
      <c r="A32" s="24" t="str">
        <v>Q074</v>
      </c>
      <c r="B32" s="25" t="str">
        <v>NY</v>
      </c>
      <c r="C32" s="25" t="str">
        <f>Sites[[#This Row],[SOL'#]]</f>
        <v>SOL-10402</v>
      </c>
      <c r="D32" s="20"/>
      <c r="E32" s="10"/>
      <c r="F32" s="10" t="str">
        <f t="shared" si="4"/>
        <v/>
      </c>
      <c r="G32" s="11" t="str">
        <f t="shared" si="5"/>
        <v/>
      </c>
      <c r="H32" s="12"/>
      <c r="I32" s="12" t="str">
        <f t="shared" si="6"/>
        <v/>
      </c>
      <c r="J32" s="13" t="str">
        <f t="shared" si="7"/>
        <v/>
      </c>
      <c r="K32" s="53"/>
      <c r="L32" s="98"/>
    </row>
    <row r="33" spans="1:14" ht="15.6">
      <c r="A33" s="26" t="str">
        <v>Q115</v>
      </c>
      <c r="B33" s="27" t="str">
        <v>NY</v>
      </c>
      <c r="C33" s="27" t="str">
        <f>Sites[[#This Row],[SOL'#]]</f>
        <v>SOL-10872</v>
      </c>
      <c r="D33" s="9"/>
      <c r="E33" s="14"/>
      <c r="F33" s="14" t="str">
        <f t="shared" si="4"/>
        <v/>
      </c>
      <c r="G33" s="15" t="str">
        <f t="shared" si="5"/>
        <v/>
      </c>
      <c r="H33" s="16"/>
      <c r="I33" s="16" t="str">
        <f t="shared" si="6"/>
        <v/>
      </c>
      <c r="J33" s="15" t="str">
        <f t="shared" si="7"/>
        <v/>
      </c>
      <c r="K33" s="51"/>
      <c r="L33" s="99"/>
      <c r="M33"/>
    </row>
    <row r="34" spans="1:14" ht="15.6">
      <c r="A34" s="24" t="str">
        <v>Q139</v>
      </c>
      <c r="B34" s="25" t="str">
        <v>NY</v>
      </c>
      <c r="C34" s="25" t="str">
        <f>Sites[[#This Row],[SOL'#]]</f>
        <v>SOL-10403</v>
      </c>
      <c r="D34" s="20"/>
      <c r="E34" s="10"/>
      <c r="F34" s="10" t="str">
        <f t="shared" si="4"/>
        <v/>
      </c>
      <c r="G34" s="11" t="str">
        <f t="shared" si="5"/>
        <v/>
      </c>
      <c r="H34" s="12"/>
      <c r="I34" s="12" t="str">
        <f t="shared" si="6"/>
        <v/>
      </c>
      <c r="J34" s="13" t="str">
        <f t="shared" si="7"/>
        <v/>
      </c>
      <c r="K34" s="53"/>
      <c r="L34" s="98"/>
    </row>
    <row r="35" spans="1:14" ht="15.6">
      <c r="A35" s="26" t="str">
        <v>Q157</v>
      </c>
      <c r="B35" s="27" t="str">
        <v>NY</v>
      </c>
      <c r="C35" s="27" t="str">
        <f>Sites[[#This Row],[SOL'#]]</f>
        <v>SOL-10404</v>
      </c>
      <c r="D35" s="9"/>
      <c r="E35" s="14"/>
      <c r="F35" s="14" t="str">
        <f t="shared" si="4"/>
        <v/>
      </c>
      <c r="G35" s="15" t="str">
        <f t="shared" si="5"/>
        <v/>
      </c>
      <c r="H35" s="16"/>
      <c r="I35" s="16" t="str">
        <f t="shared" si="6"/>
        <v/>
      </c>
      <c r="J35" s="15" t="str">
        <f t="shared" si="7"/>
        <v/>
      </c>
      <c r="K35" s="51"/>
      <c r="L35" s="85"/>
      <c r="M35"/>
    </row>
    <row r="36" spans="1:14" ht="15.6">
      <c r="A36" s="24" t="str">
        <v>Q192</v>
      </c>
      <c r="B36" s="25" t="str">
        <v>NY</v>
      </c>
      <c r="C36" s="25" t="str">
        <f>Sites[[#This Row],[SOL'#]]</f>
        <v>SOL-10406</v>
      </c>
      <c r="D36" s="20"/>
      <c r="E36" s="10"/>
      <c r="F36" s="10" t="str">
        <f t="shared" si="4"/>
        <v/>
      </c>
      <c r="G36" s="11" t="str">
        <f t="shared" si="5"/>
        <v/>
      </c>
      <c r="H36" s="12"/>
      <c r="I36" s="12" t="str">
        <f t="shared" si="6"/>
        <v/>
      </c>
      <c r="J36" s="13" t="str">
        <f t="shared" si="7"/>
        <v/>
      </c>
      <c r="K36" s="53"/>
      <c r="L36" s="98"/>
      <c r="M36"/>
    </row>
    <row r="37" spans="1:14" ht="15.6">
      <c r="A37" s="26" t="str">
        <v>Q210</v>
      </c>
      <c r="B37" s="27" t="str">
        <v>NY</v>
      </c>
      <c r="C37" s="27" t="str">
        <f>Sites[[#This Row],[SOL'#]]</f>
        <v>SOL-10407</v>
      </c>
      <c r="D37" s="9"/>
      <c r="E37" s="14"/>
      <c r="F37" s="14" t="str">
        <f t="shared" si="4"/>
        <v/>
      </c>
      <c r="G37" s="15" t="str">
        <f t="shared" si="5"/>
        <v/>
      </c>
      <c r="H37" s="16"/>
      <c r="I37" s="16" t="str">
        <f t="shared" si="6"/>
        <v/>
      </c>
      <c r="J37" s="15" t="str">
        <f t="shared" si="7"/>
        <v/>
      </c>
      <c r="K37" s="51"/>
      <c r="L37" s="99"/>
      <c r="M37"/>
    </row>
    <row r="38" spans="1:14" ht="15.6">
      <c r="A38" s="24" t="str">
        <v>Q229</v>
      </c>
      <c r="B38" s="25" t="str">
        <v>NY</v>
      </c>
      <c r="C38" s="25" t="str">
        <f>Sites[[#This Row],[SOL'#]]</f>
        <v>SOL-10408</v>
      </c>
      <c r="D38" s="20"/>
      <c r="E38" s="10"/>
      <c r="F38" s="10" t="str">
        <f t="shared" si="4"/>
        <v/>
      </c>
      <c r="G38" s="11" t="str">
        <f t="shared" si="5"/>
        <v/>
      </c>
      <c r="H38" s="12"/>
      <c r="I38" s="12" t="str">
        <f t="shared" si="6"/>
        <v/>
      </c>
      <c r="J38" s="13" t="str">
        <f t="shared" si="7"/>
        <v/>
      </c>
      <c r="K38" s="53"/>
      <c r="L38" s="98"/>
      <c r="M38"/>
    </row>
    <row r="39" spans="1:14" ht="15.6">
      <c r="A39" s="26" t="str">
        <v>Q231</v>
      </c>
      <c r="B39" s="27" t="str">
        <v>NY</v>
      </c>
      <c r="C39" s="27" t="str">
        <f>Sites[[#This Row],[SOL'#]]</f>
        <v>SOL-10870</v>
      </c>
      <c r="D39" s="9"/>
      <c r="E39" s="14"/>
      <c r="F39" s="14" t="str">
        <f t="shared" si="4"/>
        <v/>
      </c>
      <c r="G39" s="15" t="str">
        <f t="shared" si="5"/>
        <v/>
      </c>
      <c r="H39" s="16"/>
      <c r="I39" s="16" t="str">
        <f t="shared" si="6"/>
        <v/>
      </c>
      <c r="J39" s="15" t="str">
        <f t="shared" si="7"/>
        <v/>
      </c>
      <c r="K39" s="51"/>
      <c r="L39" s="99"/>
      <c r="M39"/>
    </row>
    <row r="40" spans="1:14" ht="15.6">
      <c r="A40" s="24" t="str">
        <v>Q405</v>
      </c>
      <c r="B40" s="25" t="str">
        <v>NY</v>
      </c>
      <c r="C40" s="25" t="str">
        <f>Sites[[#This Row],[SOL'#]]</f>
        <v>SOL-10409</v>
      </c>
      <c r="D40" s="20"/>
      <c r="E40" s="10"/>
      <c r="F40" s="10" t="str">
        <f t="shared" si="4"/>
        <v/>
      </c>
      <c r="G40" s="11" t="str">
        <f t="shared" si="5"/>
        <v/>
      </c>
      <c r="H40" s="12"/>
      <c r="I40" s="12" t="str">
        <f t="shared" si="6"/>
        <v/>
      </c>
      <c r="J40" s="13" t="str">
        <f t="shared" si="7"/>
        <v/>
      </c>
      <c r="K40" s="53"/>
      <c r="L40" s="98"/>
      <c r="M40"/>
      <c r="N40" s="102"/>
    </row>
    <row r="41" spans="1:14" ht="15.6">
      <c r="A41" s="26" t="str">
        <v>Q435</v>
      </c>
      <c r="B41" s="27" t="str">
        <v>NY</v>
      </c>
      <c r="C41" s="27" t="str">
        <f>Sites[[#This Row],[SOL'#]]</f>
        <v>SOL-10923</v>
      </c>
      <c r="D41" s="9"/>
      <c r="E41" s="14"/>
      <c r="F41" s="14" t="str">
        <f t="shared" si="4"/>
        <v/>
      </c>
      <c r="G41" s="15" t="str">
        <f t="shared" si="5"/>
        <v/>
      </c>
      <c r="H41" s="16"/>
      <c r="I41" s="16" t="str">
        <f t="shared" si="6"/>
        <v/>
      </c>
      <c r="J41" s="15" t="str">
        <f t="shared" si="7"/>
        <v/>
      </c>
      <c r="K41" s="51"/>
      <c r="L41" s="186"/>
      <c r="M41"/>
    </row>
    <row r="42" spans="1:14" ht="15.6">
      <c r="A42" s="24" t="str">
        <v>Q485</v>
      </c>
      <c r="B42" s="25" t="str">
        <v>NY</v>
      </c>
      <c r="C42" s="25" t="str">
        <f>Sites[[#This Row],[SOL'#]]</f>
        <v>SOL-10869</v>
      </c>
      <c r="D42" s="20"/>
      <c r="E42" s="10"/>
      <c r="F42" s="10" t="str">
        <f t="shared" si="4"/>
        <v/>
      </c>
      <c r="G42" s="11" t="str">
        <f t="shared" si="5"/>
        <v/>
      </c>
      <c r="H42" s="12"/>
      <c r="I42" s="12" t="str">
        <f t="shared" si="6"/>
        <v/>
      </c>
      <c r="J42" s="13" t="str">
        <f t="shared" si="7"/>
        <v/>
      </c>
      <c r="K42" s="53"/>
      <c r="L42" s="47"/>
    </row>
    <row r="43" spans="1:14" ht="15.6">
      <c r="A43" s="26" t="str">
        <v>Q490</v>
      </c>
      <c r="B43" s="27" t="str">
        <v>NY</v>
      </c>
      <c r="C43" s="27" t="str">
        <f>Sites[[#This Row],[SOL'#]]</f>
        <v>SOL-10411</v>
      </c>
      <c r="D43" s="9"/>
      <c r="E43" s="14"/>
      <c r="F43" s="14" t="str">
        <f t="shared" si="4"/>
        <v/>
      </c>
      <c r="G43" s="15" t="str">
        <f t="shared" si="5"/>
        <v/>
      </c>
      <c r="H43" s="16"/>
      <c r="I43" s="16" t="str">
        <f t="shared" si="6"/>
        <v/>
      </c>
      <c r="J43" s="15" t="str">
        <f t="shared" si="7"/>
        <v/>
      </c>
      <c r="K43" s="51"/>
      <c r="L43" s="99"/>
      <c r="M43" s="65"/>
      <c r="N43" s="102"/>
    </row>
    <row r="44" spans="1:14" ht="15.6">
      <c r="A44" s="24" t="str">
        <v>Q620</v>
      </c>
      <c r="B44" s="25" t="str">
        <v>NY</v>
      </c>
      <c r="C44" s="25" t="str">
        <f>Sites[[#This Row],[SOL'#]]</f>
        <v>SOL-10867</v>
      </c>
      <c r="D44" s="20"/>
      <c r="E44" s="10"/>
      <c r="F44" s="10" t="str">
        <f t="shared" si="4"/>
        <v/>
      </c>
      <c r="G44" s="11" t="str">
        <f t="shared" si="5"/>
        <v/>
      </c>
      <c r="H44" s="12"/>
      <c r="I44" s="12" t="str">
        <f t="shared" si="6"/>
        <v/>
      </c>
      <c r="J44" s="13" t="str">
        <f t="shared" si="7"/>
        <v/>
      </c>
      <c r="K44" s="53"/>
      <c r="L44" s="98"/>
    </row>
    <row r="45" spans="1:14" ht="15.6">
      <c r="A45" s="26" t="str">
        <v>QMOA</v>
      </c>
      <c r="B45" s="27" t="str">
        <v>NY</v>
      </c>
      <c r="C45" s="27" t="str">
        <f>Sites[[#This Row],[SOL'#]]</f>
        <v>SOL-10415</v>
      </c>
      <c r="D45" s="9"/>
      <c r="E45" s="14"/>
      <c r="F45" s="14" t="str">
        <f t="shared" si="4"/>
        <v/>
      </c>
      <c r="G45" s="15" t="str">
        <f t="shared" si="5"/>
        <v/>
      </c>
      <c r="H45" s="16"/>
      <c r="I45" s="16" t="str">
        <f t="shared" si="6"/>
        <v/>
      </c>
      <c r="J45" s="15" t="str">
        <f t="shared" si="7"/>
        <v/>
      </c>
      <c r="K45" s="51"/>
      <c r="L45" s="85"/>
    </row>
    <row r="46" spans="1:14" ht="15.6">
      <c r="A46" s="24" t="str">
        <v>X024</v>
      </c>
      <c r="B46" s="25" t="str">
        <v>NY</v>
      </c>
      <c r="C46" s="25" t="str">
        <f>Sites[[#This Row],[SOL'#]]</f>
        <v>SOL-10419</v>
      </c>
      <c r="D46" s="20"/>
      <c r="E46" s="10"/>
      <c r="F46" s="10" t="str">
        <f t="shared" si="4"/>
        <v/>
      </c>
      <c r="G46" s="11" t="str">
        <f t="shared" si="5"/>
        <v/>
      </c>
      <c r="H46" s="12"/>
      <c r="I46" s="12" t="str">
        <f t="shared" si="6"/>
        <v/>
      </c>
      <c r="J46" s="13" t="str">
        <f t="shared" si="7"/>
        <v/>
      </c>
      <c r="K46" s="53"/>
      <c r="L46" s="47"/>
    </row>
    <row r="47" spans="1:14" ht="15.6">
      <c r="A47" s="26" t="str">
        <v>X026</v>
      </c>
      <c r="B47" s="27" t="str">
        <v>NY</v>
      </c>
      <c r="C47" s="27" t="str">
        <f>Sites[[#This Row],[SOL'#]]</f>
        <v>SOL-10420</v>
      </c>
      <c r="D47" s="9"/>
      <c r="E47" s="14"/>
      <c r="F47" s="14" t="str">
        <f t="shared" si="4"/>
        <v/>
      </c>
      <c r="G47" s="15" t="str">
        <f t="shared" si="5"/>
        <v/>
      </c>
      <c r="H47" s="16"/>
      <c r="I47" s="16" t="str">
        <f t="shared" si="6"/>
        <v/>
      </c>
      <c r="J47" s="15" t="str">
        <f t="shared" si="7"/>
        <v/>
      </c>
      <c r="K47" s="51"/>
      <c r="L47" s="99"/>
    </row>
    <row r="48" spans="1:14" ht="15.6">
      <c r="A48" s="24" t="str">
        <v>X090</v>
      </c>
      <c r="B48" s="25" t="str">
        <v>NY</v>
      </c>
      <c r="C48" s="25" t="str">
        <f>Sites[[#This Row],[SOL'#]]</f>
        <v>SOL-10925</v>
      </c>
      <c r="D48" s="20"/>
      <c r="E48" s="10"/>
      <c r="F48" s="10" t="str">
        <f t="shared" si="4"/>
        <v/>
      </c>
      <c r="G48" s="11" t="str">
        <f t="shared" si="5"/>
        <v/>
      </c>
      <c r="H48" s="12"/>
      <c r="I48" s="12" t="str">
        <f t="shared" si="6"/>
        <v/>
      </c>
      <c r="J48" s="13" t="str">
        <f t="shared" si="7"/>
        <v/>
      </c>
      <c r="K48" s="53"/>
      <c r="L48" s="98"/>
    </row>
    <row r="49" spans="1:17" ht="15.6">
      <c r="A49" s="26" t="str">
        <v>X117</v>
      </c>
      <c r="B49" s="27" t="str">
        <v>NY</v>
      </c>
      <c r="C49" s="27" t="str">
        <f>Sites[[#This Row],[SOL'#]]</f>
        <v>SOL-10422</v>
      </c>
      <c r="D49" s="9"/>
      <c r="E49" s="14"/>
      <c r="F49" s="14" t="str">
        <f t="shared" si="4"/>
        <v/>
      </c>
      <c r="G49" s="15" t="str">
        <f t="shared" si="5"/>
        <v/>
      </c>
      <c r="H49" s="16"/>
      <c r="I49" s="16" t="str">
        <f t="shared" si="6"/>
        <v/>
      </c>
      <c r="J49" s="15" t="str">
        <f t="shared" si="7"/>
        <v/>
      </c>
      <c r="K49" s="51"/>
      <c r="L49" s="85"/>
    </row>
    <row r="50" spans="1:17" ht="15.6">
      <c r="A50" s="24" t="str">
        <v>X125</v>
      </c>
      <c r="B50" s="25" t="str">
        <v>NY</v>
      </c>
      <c r="C50" s="25" t="str">
        <f>Sites[[#This Row],[SOL'#]]</f>
        <v>SOL-10423</v>
      </c>
      <c r="D50" s="20"/>
      <c r="E50" s="10"/>
      <c r="F50" s="10" t="str">
        <f t="shared" si="4"/>
        <v/>
      </c>
      <c r="G50" s="11" t="str">
        <f t="shared" si="5"/>
        <v/>
      </c>
      <c r="H50" s="12"/>
      <c r="I50" s="12" t="str">
        <f t="shared" si="6"/>
        <v/>
      </c>
      <c r="J50" s="13" t="str">
        <f t="shared" si="7"/>
        <v/>
      </c>
      <c r="K50" s="53"/>
      <c r="L50" s="47"/>
    </row>
    <row r="51" spans="1:17" ht="15.6">
      <c r="A51" s="26" t="str">
        <v>X134</v>
      </c>
      <c r="B51" s="27" t="str">
        <v>NY</v>
      </c>
      <c r="C51" s="27" t="str">
        <f>Sites[[#This Row],[SOL'#]]</f>
        <v>SOL-10424</v>
      </c>
      <c r="D51" s="9"/>
      <c r="E51" s="14"/>
      <c r="F51" s="14" t="str">
        <f t="shared" si="4"/>
        <v/>
      </c>
      <c r="G51" s="15" t="str">
        <f t="shared" si="5"/>
        <v/>
      </c>
      <c r="H51" s="16"/>
      <c r="I51" s="16" t="str">
        <f t="shared" si="6"/>
        <v/>
      </c>
      <c r="J51" s="15" t="str">
        <f t="shared" si="7"/>
        <v/>
      </c>
      <c r="K51" s="51"/>
      <c r="L51" s="99"/>
      <c r="M51" s="65"/>
      <c r="N51" s="102"/>
      <c r="O51" s="102"/>
    </row>
    <row r="52" spans="1:17" ht="15.6">
      <c r="A52" s="24" t="str">
        <v>X135</v>
      </c>
      <c r="B52" s="25" t="str">
        <v>NY</v>
      </c>
      <c r="C52" s="25" t="str">
        <f>Sites[[#This Row],[SOL'#]]</f>
        <v>SOL-10425</v>
      </c>
      <c r="D52" s="20"/>
      <c r="E52" s="10"/>
      <c r="F52" s="10" t="str">
        <f t="shared" si="4"/>
        <v/>
      </c>
      <c r="G52" s="11" t="str">
        <f t="shared" si="5"/>
        <v/>
      </c>
      <c r="H52" s="12"/>
      <c r="I52" s="12" t="str">
        <f t="shared" si="6"/>
        <v/>
      </c>
      <c r="J52" s="13" t="str">
        <f t="shared" si="7"/>
        <v/>
      </c>
      <c r="K52" s="73"/>
      <c r="L52" s="107"/>
    </row>
    <row r="53" spans="1:17" ht="15.6">
      <c r="A53" s="26" t="str">
        <v>X139 JHS 222</v>
      </c>
      <c r="B53" s="27" t="str">
        <v>NY</v>
      </c>
      <c r="C53" s="27" t="str">
        <f>Sites[[#This Row],[SOL'#]]</f>
        <v>SOL-10426</v>
      </c>
      <c r="D53" s="9"/>
      <c r="E53" s="14"/>
      <c r="F53" s="14" t="str">
        <f t="shared" si="4"/>
        <v/>
      </c>
      <c r="G53" s="15" t="str">
        <f t="shared" si="5"/>
        <v/>
      </c>
      <c r="H53" s="16"/>
      <c r="I53" s="16" t="str">
        <f t="shared" si="6"/>
        <v/>
      </c>
      <c r="J53" s="15" t="str">
        <f t="shared" si="7"/>
        <v/>
      </c>
      <c r="K53" s="51"/>
      <c r="L53" s="186"/>
    </row>
    <row r="54" spans="1:17" ht="15.6">
      <c r="A54" s="24" t="str">
        <v>X140</v>
      </c>
      <c r="B54" s="25" t="str">
        <v>NY</v>
      </c>
      <c r="C54" s="25" t="str">
        <f>Sites[[#This Row],[SOL'#]]</f>
        <v>SOL-10926</v>
      </c>
      <c r="D54" s="20"/>
      <c r="E54" s="10"/>
      <c r="F54" s="10" t="str">
        <f t="shared" si="4"/>
        <v/>
      </c>
      <c r="G54" s="11" t="str">
        <f t="shared" si="5"/>
        <v/>
      </c>
      <c r="H54" s="12"/>
      <c r="I54" s="12" t="str">
        <f t="shared" si="6"/>
        <v/>
      </c>
      <c r="J54" s="13" t="str">
        <f t="shared" si="7"/>
        <v/>
      </c>
      <c r="K54" s="53"/>
      <c r="L54" s="47"/>
      <c r="M54"/>
    </row>
    <row r="55" spans="1:17" ht="15.6">
      <c r="A55" s="26" t="str">
        <v>X166</v>
      </c>
      <c r="B55" s="27" t="str">
        <v>NY</v>
      </c>
      <c r="C55" s="27" t="str">
        <f>Sites[[#This Row],[SOL'#]]</f>
        <v>SOL-10427</v>
      </c>
      <c r="D55" s="9"/>
      <c r="E55" s="14"/>
      <c r="F55" s="14" t="str">
        <f t="shared" si="4"/>
        <v/>
      </c>
      <c r="G55" s="15" t="str">
        <f t="shared" si="5"/>
        <v/>
      </c>
      <c r="H55" s="16"/>
      <c r="I55" s="16" t="str">
        <f t="shared" si="6"/>
        <v/>
      </c>
      <c r="J55" s="15" t="str">
        <f t="shared" si="7"/>
        <v/>
      </c>
      <c r="K55" s="51"/>
      <c r="L55" s="85"/>
      <c r="M55"/>
    </row>
    <row r="56" spans="1:17" ht="15.6">
      <c r="A56" s="24" t="str">
        <v>Murphy</v>
      </c>
      <c r="B56" s="25" t="str">
        <v>MN</v>
      </c>
      <c r="C56" s="25" t="str">
        <f>Sites[[#This Row],[SOL'#]]</f>
        <v>SOL-10094</v>
      </c>
      <c r="D56" s="20"/>
      <c r="E56" s="10"/>
      <c r="F56" s="10" t="str">
        <f t="shared" si="4"/>
        <v/>
      </c>
      <c r="G56" s="11" t="str">
        <f t="shared" si="5"/>
        <v/>
      </c>
      <c r="H56" s="12"/>
      <c r="I56" s="12" t="str">
        <f t="shared" si="6"/>
        <v/>
      </c>
      <c r="J56" s="13" t="str">
        <f t="shared" si="7"/>
        <v/>
      </c>
      <c r="K56" s="53"/>
      <c r="L56" s="98"/>
    </row>
    <row r="57" spans="1:17" ht="15.6">
      <c r="A57" s="26" t="str">
        <v>Terning</v>
      </c>
      <c r="B57" s="27" t="str">
        <v>MN</v>
      </c>
      <c r="C57" s="27" t="str">
        <f>Sites[[#This Row],[SOL'#]]</f>
        <v>SOL-10093</v>
      </c>
      <c r="D57" s="9"/>
      <c r="E57" s="14"/>
      <c r="F57" s="14" t="str">
        <f t="shared" si="4"/>
        <v/>
      </c>
      <c r="G57" s="15" t="str">
        <f t="shared" si="5"/>
        <v/>
      </c>
      <c r="H57" s="16"/>
      <c r="I57" s="16" t="str">
        <f t="shared" si="6"/>
        <v/>
      </c>
      <c r="J57" s="15" t="str">
        <f t="shared" si="7"/>
        <v/>
      </c>
      <c r="K57" s="51"/>
      <c r="L57" s="85"/>
    </row>
    <row r="58" spans="1:17" ht="15.6">
      <c r="A58" s="24" t="str">
        <v>Boas Road 04</v>
      </c>
      <c r="B58" s="25" t="str">
        <v>NY</v>
      </c>
      <c r="C58" s="25" t="str">
        <f>Sites[[#This Row],[SOL'#]]</f>
        <v>SOL-10908</v>
      </c>
      <c r="D58" s="20"/>
      <c r="E58" s="10"/>
      <c r="F58" s="10" t="str">
        <f t="shared" si="4"/>
        <v/>
      </c>
      <c r="G58" s="11" t="str">
        <f t="shared" si="5"/>
        <v/>
      </c>
      <c r="H58" s="12"/>
      <c r="I58" s="12" t="str">
        <f t="shared" si="6"/>
        <v/>
      </c>
      <c r="J58" s="13" t="str">
        <f t="shared" si="7"/>
        <v/>
      </c>
      <c r="K58" s="53"/>
      <c r="L58" s="98"/>
      <c r="M58" s="65"/>
      <c r="N58" s="102"/>
    </row>
    <row r="59" spans="1:17" ht="15.6">
      <c r="A59" s="26" t="str">
        <v>Kelly Bridge Farm</v>
      </c>
      <c r="B59" s="27" t="str">
        <v>NY</v>
      </c>
      <c r="C59" s="27" t="str">
        <f>Sites[[#This Row],[SOL'#]]</f>
        <v>SOL-10911</v>
      </c>
      <c r="D59" s="9"/>
      <c r="E59" s="14"/>
      <c r="F59" s="14" t="str">
        <f t="shared" si="4"/>
        <v/>
      </c>
      <c r="G59" s="15" t="str">
        <f t="shared" si="5"/>
        <v/>
      </c>
      <c r="H59" s="16"/>
      <c r="I59" s="16" t="str">
        <f t="shared" si="6"/>
        <v/>
      </c>
      <c r="J59" s="15" t="str">
        <f t="shared" si="7"/>
        <v/>
      </c>
      <c r="K59" s="51"/>
      <c r="L59" s="99"/>
    </row>
    <row r="60" spans="1:17" ht="100.5" customHeight="1">
      <c r="A60" s="24" t="str">
        <v>Pool Brook Road</v>
      </c>
      <c r="B60" s="25" t="str">
        <v>NY</v>
      </c>
      <c r="C60" s="25" t="str">
        <f>Sites[[#This Row],[SOL'#]]</f>
        <v>SOL-10909</v>
      </c>
      <c r="D60" s="20"/>
      <c r="E60" s="10"/>
      <c r="F60" s="10" t="str">
        <f t="shared" si="4"/>
        <v/>
      </c>
      <c r="G60" s="11" t="str">
        <f t="shared" si="5"/>
        <v/>
      </c>
      <c r="H60" s="12"/>
      <c r="I60" s="12" t="str">
        <f t="shared" si="6"/>
        <v/>
      </c>
      <c r="J60" s="13" t="str">
        <f t="shared" si="7"/>
        <v/>
      </c>
      <c r="K60" s="53"/>
      <c r="L60" s="98"/>
      <c r="M60" s="65"/>
      <c r="N60" s="102"/>
    </row>
    <row r="61" spans="1:17" ht="15.6">
      <c r="A61" s="26" t="str">
        <v>Sackett Lake</v>
      </c>
      <c r="B61" s="27" t="str">
        <v>NY</v>
      </c>
      <c r="C61" s="27" t="str">
        <f>Sites[[#This Row],[SOL'#]]</f>
        <v>SOL-10910</v>
      </c>
      <c r="D61" s="9"/>
      <c r="E61" s="14"/>
      <c r="F61" s="14" t="str">
        <f t="shared" si="4"/>
        <v/>
      </c>
      <c r="G61" s="15" t="str">
        <f t="shared" si="5"/>
        <v/>
      </c>
      <c r="H61" s="16"/>
      <c r="I61" s="16" t="str">
        <f t="shared" si="6"/>
        <v/>
      </c>
      <c r="J61" s="15" t="str">
        <f t="shared" si="7"/>
        <v/>
      </c>
      <c r="K61" s="51"/>
      <c r="L61" s="99"/>
      <c r="M61" s="65"/>
      <c r="N61" s="102"/>
      <c r="O61" s="102"/>
      <c r="P61" s="102"/>
      <c r="Q61" s="102"/>
    </row>
    <row r="62" spans="1:17" ht="15.6">
      <c r="A62" s="24" t="str">
        <v>Burritt Road</v>
      </c>
      <c r="B62" s="25" t="str">
        <v>NY</v>
      </c>
      <c r="C62" s="25" t="str">
        <f>Sites[[#This Row],[SOL'#]]</f>
        <v>SOL-10913</v>
      </c>
      <c r="D62" s="20"/>
      <c r="E62" s="10"/>
      <c r="F62" s="10" t="str">
        <f t="shared" si="4"/>
        <v/>
      </c>
      <c r="G62" s="11" t="str">
        <f t="shared" si="5"/>
        <v/>
      </c>
      <c r="H62" s="12"/>
      <c r="I62" s="12" t="str">
        <f t="shared" si="6"/>
        <v/>
      </c>
      <c r="J62" s="13" t="str">
        <f t="shared" si="7"/>
        <v/>
      </c>
      <c r="K62" s="53"/>
      <c r="L62" s="47"/>
    </row>
    <row r="63" spans="1:17" ht="15.6">
      <c r="A63" s="26" t="str">
        <v>Villa Roma 1</v>
      </c>
      <c r="B63" s="27" t="str">
        <v>NY</v>
      </c>
      <c r="C63" s="27" t="str">
        <f>Sites[[#This Row],[SOL'#]]</f>
        <v>SOL-10914</v>
      </c>
      <c r="D63" s="9"/>
      <c r="E63" s="14"/>
      <c r="F63" s="14" t="str">
        <f t="shared" si="4"/>
        <v/>
      </c>
      <c r="G63" s="15" t="str">
        <f t="shared" si="5"/>
        <v/>
      </c>
      <c r="H63" s="16"/>
      <c r="I63" s="16" t="str">
        <f t="shared" si="6"/>
        <v/>
      </c>
      <c r="J63" s="15" t="str">
        <f t="shared" si="7"/>
        <v/>
      </c>
      <c r="K63" s="51"/>
      <c r="L63" s="99"/>
    </row>
    <row r="64" spans="1:17" ht="15.6">
      <c r="A64" s="24" t="str">
        <v>Villa Roma 2</v>
      </c>
      <c r="B64" s="25" t="str">
        <v>NY</v>
      </c>
      <c r="C64" s="25" t="str">
        <f>Sites[[#This Row],[SOL'#]]</f>
        <v>SOL-10915</v>
      </c>
      <c r="D64" s="20"/>
      <c r="E64" s="10"/>
      <c r="F64" s="10" t="str">
        <f t="shared" si="4"/>
        <v/>
      </c>
      <c r="G64" s="11" t="str">
        <f t="shared" si="5"/>
        <v/>
      </c>
      <c r="H64" s="12"/>
      <c r="I64" s="12" t="str">
        <f t="shared" si="6"/>
        <v/>
      </c>
      <c r="J64" s="13" t="str">
        <f t="shared" si="7"/>
        <v/>
      </c>
      <c r="K64" s="53"/>
      <c r="L64" s="47"/>
    </row>
    <row r="65" spans="1:19" ht="15.6">
      <c r="A65" s="26" t="str">
        <v>Washington 1</v>
      </c>
      <c r="B65" s="27" t="str">
        <v>NY</v>
      </c>
      <c r="C65" s="27" t="str">
        <f>Sites[[#This Row],[SOL'#]]</f>
        <v>SOL-10912</v>
      </c>
      <c r="D65" s="9"/>
      <c r="E65" s="14"/>
      <c r="F65" s="14" t="str">
        <f t="shared" si="4"/>
        <v/>
      </c>
      <c r="G65" s="15" t="str">
        <f t="shared" si="5"/>
        <v/>
      </c>
      <c r="H65" s="16"/>
      <c r="I65" s="16" t="str">
        <f t="shared" si="6"/>
        <v/>
      </c>
      <c r="J65" s="15" t="str">
        <f t="shared" si="7"/>
        <v/>
      </c>
      <c r="K65" s="51"/>
      <c r="L65" s="186"/>
    </row>
    <row r="66" spans="1:19" ht="15.6">
      <c r="A66" s="24" t="str">
        <v>Washington 3</v>
      </c>
      <c r="B66" s="25" t="str">
        <v>NY</v>
      </c>
      <c r="C66" s="25" t="str">
        <f>Sites[[#This Row],[SOL'#]]</f>
        <v>SOL-10828</v>
      </c>
      <c r="D66" s="20"/>
      <c r="E66" s="10"/>
      <c r="F66" s="10" t="str">
        <f t="shared" si="4"/>
        <v/>
      </c>
      <c r="G66" s="11" t="str">
        <f t="shared" si="5"/>
        <v/>
      </c>
      <c r="H66" s="12"/>
      <c r="I66" s="12" t="str">
        <f t="shared" si="6"/>
        <v/>
      </c>
      <c r="J66" s="13" t="str">
        <f t="shared" si="7"/>
        <v/>
      </c>
      <c r="K66" s="53"/>
      <c r="L66" s="98"/>
      <c r="M66" s="65"/>
      <c r="N66" s="102"/>
    </row>
    <row r="67" spans="1:19" ht="15.6">
      <c r="A67" s="26" t="str">
        <v>Washington 4</v>
      </c>
      <c r="B67" s="27" t="str">
        <v>NY</v>
      </c>
      <c r="C67" s="27" t="str">
        <f>Sites[[#This Row],[SOL'#]]</f>
        <v>SOL-10829</v>
      </c>
      <c r="D67" s="9"/>
      <c r="E67" s="14"/>
      <c r="F67" s="14" t="str">
        <f t="shared" si="4"/>
        <v/>
      </c>
      <c r="G67" s="15" t="str">
        <f t="shared" si="5"/>
        <v/>
      </c>
      <c r="H67" s="16"/>
      <c r="I67" s="16" t="str">
        <f t="shared" si="6"/>
        <v/>
      </c>
      <c r="J67" s="15" t="str">
        <f t="shared" si="7"/>
        <v/>
      </c>
      <c r="K67" s="51"/>
      <c r="L67" s="99"/>
      <c r="M67" s="65"/>
      <c r="N67" s="102"/>
      <c r="O67" s="102"/>
      <c r="P67" s="102"/>
      <c r="Q67" s="102"/>
    </row>
    <row r="68" spans="1:19" ht="15.6">
      <c r="A68" s="24" t="str">
        <v>Big Tree</v>
      </c>
      <c r="B68" s="25" t="str">
        <v>NY</v>
      </c>
      <c r="C68" s="25" t="str">
        <f>Sites[[#This Row],[SOL'#]]</f>
        <v>SOL-10966</v>
      </c>
      <c r="D68" s="20"/>
      <c r="E68" s="10"/>
      <c r="F68" s="10" t="str">
        <f t="shared" si="4"/>
        <v/>
      </c>
      <c r="G68" s="11" t="str">
        <f t="shared" si="5"/>
        <v/>
      </c>
      <c r="H68" s="12"/>
      <c r="I68" s="12" t="str">
        <f t="shared" si="6"/>
        <v/>
      </c>
      <c r="J68" s="13" t="str">
        <f t="shared" si="7"/>
        <v/>
      </c>
      <c r="K68" s="53"/>
      <c r="L68" s="47"/>
    </row>
    <row r="69" spans="1:19" ht="15.6">
      <c r="A69" s="26" t="str">
        <v>Canoga</v>
      </c>
      <c r="B69" s="27" t="str">
        <v>NY</v>
      </c>
      <c r="C69" s="27" t="str">
        <f>Sites[[#This Row],[SOL'#]]</f>
        <v>SOL-10965</v>
      </c>
      <c r="D69" s="9"/>
      <c r="E69" s="14"/>
      <c r="F69" s="14" t="str">
        <f t="shared" si="4"/>
        <v/>
      </c>
      <c r="G69" s="15" t="str">
        <f t="shared" si="5"/>
        <v/>
      </c>
      <c r="H69" s="174"/>
      <c r="I69" s="16" t="str">
        <f t="shared" si="6"/>
        <v/>
      </c>
      <c r="J69" s="15" t="str">
        <f t="shared" si="7"/>
        <v/>
      </c>
      <c r="K69" s="173"/>
      <c r="L69" s="99"/>
    </row>
    <row r="70" spans="1:19" ht="15.6">
      <c r="A70" s="24" t="str">
        <v>County Route 84</v>
      </c>
      <c r="B70" s="25" t="str">
        <v>NY</v>
      </c>
      <c r="C70" s="25" t="str">
        <f>Sites[[#This Row],[SOL'#]]</f>
        <v>SOL-10967</v>
      </c>
      <c r="D70" s="20"/>
      <c r="E70" s="10"/>
      <c r="F70" s="10" t="str">
        <f t="shared" si="4"/>
        <v/>
      </c>
      <c r="G70" s="11" t="str">
        <f t="shared" si="5"/>
        <v/>
      </c>
      <c r="H70" s="12"/>
      <c r="I70" s="12" t="str">
        <f t="shared" si="6"/>
        <v/>
      </c>
      <c r="J70" s="13" t="str">
        <f t="shared" si="7"/>
        <v/>
      </c>
      <c r="K70" s="53"/>
      <c r="L70" s="98"/>
      <c r="M70" s="65"/>
      <c r="N70" s="102"/>
    </row>
    <row r="71" spans="1:19" ht="15.6">
      <c r="A71" s="26" t="str">
        <v>Donati</v>
      </c>
      <c r="B71" s="27" t="str">
        <v>NY</v>
      </c>
      <c r="C71" s="27" t="str">
        <f>Sites[[#This Row],[SOL'#]]</f>
        <v>SOL-10968</v>
      </c>
      <c r="D71" s="9"/>
      <c r="E71" s="14"/>
      <c r="F71" s="14" t="str">
        <f t="shared" si="4"/>
        <v/>
      </c>
      <c r="G71" s="15" t="str">
        <f t="shared" si="5"/>
        <v/>
      </c>
      <c r="H71" s="16"/>
      <c r="I71" s="16" t="str">
        <f t="shared" si="6"/>
        <v/>
      </c>
      <c r="J71" s="15" t="str">
        <f t="shared" si="7"/>
        <v/>
      </c>
      <c r="K71" s="51"/>
      <c r="L71" s="99"/>
      <c r="M71" s="65"/>
      <c r="N71" s="102"/>
    </row>
    <row r="72" spans="1:19" ht="15.6">
      <c r="A72" s="24" t="str">
        <v>Henrietta</v>
      </c>
      <c r="B72" s="25" t="str">
        <v>NY</v>
      </c>
      <c r="C72" s="25" t="str">
        <f>Sites[[#This Row],[SOL'#]]</f>
        <v>SOL-10972</v>
      </c>
      <c r="D72" s="20"/>
      <c r="E72" s="10"/>
      <c r="F72" s="10" t="str">
        <f t="shared" si="4"/>
        <v/>
      </c>
      <c r="G72" s="11" t="str">
        <f t="shared" si="5"/>
        <v/>
      </c>
      <c r="H72" s="12"/>
      <c r="I72" s="12" t="str">
        <f t="shared" si="6"/>
        <v/>
      </c>
      <c r="J72" s="13" t="str">
        <f t="shared" si="7"/>
        <v/>
      </c>
      <c r="K72" s="53"/>
      <c r="L72" s="47"/>
    </row>
    <row r="73" spans="1:19" ht="15.6">
      <c r="A73" s="26" t="str">
        <v>NY 70</v>
      </c>
      <c r="B73" s="27" t="str">
        <v>NY</v>
      </c>
      <c r="C73" s="27" t="str">
        <f>Sites[[#This Row],[SOL'#]]</f>
        <v>SOL-10970</v>
      </c>
      <c r="D73" s="9"/>
      <c r="E73" s="14"/>
      <c r="F73" s="14" t="str">
        <f t="shared" si="4"/>
        <v/>
      </c>
      <c r="G73" s="15" t="str">
        <f t="shared" si="5"/>
        <v/>
      </c>
      <c r="H73" s="16"/>
      <c r="I73" s="16" t="str">
        <f t="shared" si="6"/>
        <v/>
      </c>
      <c r="J73" s="15" t="str">
        <f t="shared" si="7"/>
        <v/>
      </c>
      <c r="K73" s="51"/>
      <c r="L73" s="99"/>
      <c r="M73" s="65"/>
      <c r="N73" s="102"/>
      <c r="O73" s="102"/>
      <c r="P73" s="102"/>
    </row>
    <row r="74" spans="1:19" ht="15.6">
      <c r="A74" s="24" t="str">
        <v>Reid</v>
      </c>
      <c r="B74" s="25" t="str">
        <v>NY</v>
      </c>
      <c r="C74" s="25" t="str">
        <f>Sites[[#This Row],[SOL'#]]</f>
        <v>SOL-10991</v>
      </c>
      <c r="D74" s="20"/>
      <c r="E74" s="10"/>
      <c r="F74" s="10" t="str">
        <f t="shared" si="4"/>
        <v/>
      </c>
      <c r="G74" s="11" t="str">
        <f t="shared" si="5"/>
        <v/>
      </c>
      <c r="H74" s="12"/>
      <c r="I74" s="12" t="str">
        <f t="shared" si="6"/>
        <v/>
      </c>
      <c r="J74" s="13" t="str">
        <f t="shared" si="7"/>
        <v/>
      </c>
      <c r="K74" s="53"/>
      <c r="L74" s="98"/>
      <c r="M74" s="101"/>
      <c r="N74" s="102"/>
      <c r="O74" s="102"/>
      <c r="P74" s="102"/>
      <c r="Q74" s="102"/>
      <c r="R74" s="102"/>
      <c r="S74" s="102"/>
    </row>
    <row r="75" spans="1:19" ht="15.6">
      <c r="A75" s="26" t="str">
        <v>Sangolqui</v>
      </c>
      <c r="B75" s="27" t="str">
        <v>NY</v>
      </c>
      <c r="C75" s="27" t="str">
        <f>Sites[[#This Row],[SOL'#]]</f>
        <v>SOL-10975</v>
      </c>
      <c r="D75" s="9"/>
      <c r="E75" s="14"/>
      <c r="F75" s="14" t="str">
        <f t="shared" si="4"/>
        <v/>
      </c>
      <c r="G75" s="15" t="str">
        <f t="shared" si="5"/>
        <v/>
      </c>
      <c r="H75" s="16"/>
      <c r="I75" s="16" t="str">
        <f t="shared" si="6"/>
        <v/>
      </c>
      <c r="J75" s="15" t="str">
        <f t="shared" si="7"/>
        <v/>
      </c>
      <c r="K75" s="51"/>
      <c r="L75" s="99"/>
      <c r="M75" s="65"/>
      <c r="N75" s="102"/>
    </row>
    <row r="76" spans="1:19" ht="15.6">
      <c r="A76" s="24" t="str">
        <v>State Highway 17B</v>
      </c>
      <c r="B76" s="25" t="str">
        <v>NY</v>
      </c>
      <c r="C76" s="25" t="str">
        <f>Sites[[#This Row],[SOL'#]]</f>
        <v>SOL-10988</v>
      </c>
      <c r="D76" s="20"/>
      <c r="E76" s="10"/>
      <c r="F76" s="10" t="str">
        <f t="shared" si="4"/>
        <v/>
      </c>
      <c r="G76" s="11" t="str">
        <f t="shared" si="5"/>
        <v/>
      </c>
      <c r="H76" s="12"/>
      <c r="I76" s="12" t="str">
        <f t="shared" si="6"/>
        <v/>
      </c>
      <c r="J76" s="13" t="str">
        <f t="shared" si="7"/>
        <v/>
      </c>
      <c r="K76" s="53"/>
      <c r="L76" s="47"/>
    </row>
    <row r="77" spans="1:19" ht="94.5" customHeight="1">
      <c r="A77" s="26" t="str">
        <v>State Route 14A</v>
      </c>
      <c r="B77" s="27" t="str">
        <v>NY</v>
      </c>
      <c r="C77" s="27" t="str">
        <f>Sites[[#This Row],[SOL'#]]</f>
        <v>SOL-10997</v>
      </c>
      <c r="D77" s="9"/>
      <c r="E77" s="14"/>
      <c r="F77" s="14" t="str">
        <f t="shared" si="4"/>
        <v/>
      </c>
      <c r="G77" s="15" t="str">
        <f t="shared" si="5"/>
        <v/>
      </c>
      <c r="H77" s="16"/>
      <c r="I77" s="16" t="str">
        <f t="shared" si="6"/>
        <v/>
      </c>
      <c r="J77" s="15" t="str">
        <f t="shared" si="7"/>
        <v/>
      </c>
      <c r="K77" s="51"/>
      <c r="L77" s="99"/>
    </row>
    <row r="78" spans="1:19" ht="15.6">
      <c r="A78" s="24" t="str">
        <v>West Creek</v>
      </c>
      <c r="B78" s="25" t="str">
        <v>NY</v>
      </c>
      <c r="C78" s="25" t="str">
        <f>Sites[[#This Row],[SOL'#]]</f>
        <v>SOL-10995</v>
      </c>
      <c r="D78" s="20"/>
      <c r="E78" s="10"/>
      <c r="F78" s="10" t="str">
        <f t="shared" si="4"/>
        <v/>
      </c>
      <c r="G78" s="11" t="str">
        <f t="shared" si="5"/>
        <v/>
      </c>
      <c r="H78" s="12"/>
      <c r="I78" s="12" t="str">
        <f t="shared" si="6"/>
        <v/>
      </c>
      <c r="J78" s="13" t="str">
        <f t="shared" si="7"/>
        <v/>
      </c>
      <c r="K78" s="53"/>
      <c r="L78" s="47"/>
    </row>
    <row r="79" spans="1:19" ht="15.6">
      <c r="A79" s="26" t="str">
        <v>Wildflower</v>
      </c>
      <c r="B79" s="27" t="str">
        <v>NY</v>
      </c>
      <c r="C79" s="27" t="str">
        <f>Sites[[#This Row],[SOL'#]]</f>
        <v>SOL-10982</v>
      </c>
      <c r="D79" s="9"/>
      <c r="E79" s="14"/>
      <c r="F79" s="14" t="str">
        <f t="shared" si="4"/>
        <v/>
      </c>
      <c r="G79" s="15" t="str">
        <f t="shared" si="5"/>
        <v/>
      </c>
      <c r="H79" s="16"/>
      <c r="I79" s="16" t="str">
        <f t="shared" si="6"/>
        <v/>
      </c>
      <c r="J79" s="15" t="str">
        <f t="shared" si="7"/>
        <v/>
      </c>
      <c r="K79" s="51"/>
      <c r="L79" s="99"/>
      <c r="M79" s="65"/>
      <c r="N79" s="102"/>
    </row>
    <row r="80" spans="1:19" ht="15.6">
      <c r="A80" s="24" t="str">
        <v>Glen Mary 1</v>
      </c>
      <c r="B80" s="25" t="str">
        <v>NY</v>
      </c>
      <c r="C80" s="25" t="str">
        <f>Sites[[#This Row],[SOL'#]]</f>
        <v>SOL-10993</v>
      </c>
      <c r="D80" s="20"/>
      <c r="E80" s="10"/>
      <c r="F80" s="10" t="str">
        <f t="shared" si="4"/>
        <v/>
      </c>
      <c r="G80" s="11" t="str">
        <f t="shared" si="5"/>
        <v/>
      </c>
      <c r="H80" s="12"/>
      <c r="I80" s="12" t="str">
        <f t="shared" si="6"/>
        <v/>
      </c>
      <c r="J80" s="13" t="str">
        <f t="shared" si="7"/>
        <v/>
      </c>
      <c r="K80" s="53"/>
      <c r="L80" s="47"/>
    </row>
    <row r="81" spans="1:17" ht="94.5" customHeight="1">
      <c r="A81" s="26" t="str">
        <v>Glen Mary 2</v>
      </c>
      <c r="B81" s="27" t="str">
        <v>NY</v>
      </c>
      <c r="C81" s="27" t="str">
        <f>Sites[[#This Row],[SOL'#]]</f>
        <v>SOL-10994</v>
      </c>
      <c r="D81" s="9"/>
      <c r="E81" s="14"/>
      <c r="F81" s="14" t="str">
        <f t="shared" si="4"/>
        <v/>
      </c>
      <c r="G81" s="15" t="str">
        <f t="shared" si="5"/>
        <v/>
      </c>
      <c r="H81" s="16"/>
      <c r="I81" s="16" t="str">
        <f t="shared" si="6"/>
        <v/>
      </c>
      <c r="J81" s="15" t="str">
        <f t="shared" si="7"/>
        <v/>
      </c>
      <c r="K81" s="51"/>
      <c r="L81" s="99"/>
    </row>
    <row r="82" spans="1:17" ht="15.6">
      <c r="A82" s="24" t="str">
        <v>Telegraph 1</v>
      </c>
      <c r="B82" s="25" t="str">
        <v>NY</v>
      </c>
      <c r="C82" s="25" t="str">
        <f>Sites[[#This Row],[SOL'#]]</f>
        <v>SOL-11003</v>
      </c>
      <c r="D82" s="20"/>
      <c r="E82" s="10"/>
      <c r="F82" s="10" t="str">
        <f t="shared" ref="F82:F145" si="8">IF(AND(ISNUMBER(D82),ISNUMBER(E82)), D82-E82, "")</f>
        <v/>
      </c>
      <c r="G82" s="11" t="str">
        <f t="shared" ref="G82:G145" si="9">IFERROR(F82/E82, "")</f>
        <v/>
      </c>
      <c r="H82" s="12"/>
      <c r="I82" s="12" t="str">
        <f t="shared" ref="I82:I145" si="10">IF(AND(ISNUMBER(D82),ISNUMBER(H82)), D82-H82, "")</f>
        <v/>
      </c>
      <c r="J82" s="13" t="str">
        <f t="shared" ref="J82:J145" si="11">IFERROR(I82/H82, "")</f>
        <v/>
      </c>
      <c r="K82" s="53"/>
      <c r="L82" s="98"/>
      <c r="M82" s="65"/>
      <c r="N82" s="102"/>
      <c r="O82" s="102"/>
    </row>
    <row r="83" spans="1:17" ht="121.5" customHeight="1">
      <c r="A83" s="26" t="str">
        <v>Telegraph 2</v>
      </c>
      <c r="B83" s="27" t="str">
        <v>NY</v>
      </c>
      <c r="C83" s="27" t="str">
        <f>Sites[[#This Row],[SOL'#]]</f>
        <v>SOL-11004</v>
      </c>
      <c r="D83" s="9"/>
      <c r="E83" s="14"/>
      <c r="F83" s="14" t="str">
        <f t="shared" si="8"/>
        <v/>
      </c>
      <c r="G83" s="15" t="str">
        <f t="shared" si="9"/>
        <v/>
      </c>
      <c r="H83" s="16"/>
      <c r="I83" s="16" t="str">
        <f t="shared" si="10"/>
        <v/>
      </c>
      <c r="J83" s="15" t="str">
        <f t="shared" si="11"/>
        <v/>
      </c>
      <c r="K83" s="51"/>
      <c r="L83" s="99"/>
      <c r="M83" s="65"/>
      <c r="N83" s="102"/>
      <c r="O83" s="102"/>
      <c r="P83" s="102"/>
      <c r="Q83" s="102"/>
    </row>
    <row r="84" spans="1:17" ht="15.6">
      <c r="A84" s="24" t="str">
        <v>Cafferty Hill</v>
      </c>
      <c r="B84" s="25" t="str">
        <v>NY</v>
      </c>
      <c r="C84" s="25" t="str">
        <f>Sites[[#This Row],[SOL'#]]</f>
        <v>SOL-10996</v>
      </c>
      <c r="D84" s="20"/>
      <c r="E84" s="10"/>
      <c r="F84" s="10" t="str">
        <f t="shared" si="8"/>
        <v/>
      </c>
      <c r="G84" s="11" t="str">
        <f t="shared" si="9"/>
        <v/>
      </c>
      <c r="H84" s="12"/>
      <c r="I84" s="12" t="str">
        <f t="shared" si="10"/>
        <v/>
      </c>
      <c r="J84" s="13" t="str">
        <f t="shared" si="11"/>
        <v/>
      </c>
      <c r="K84" s="53"/>
      <c r="L84" s="47"/>
    </row>
    <row r="85" spans="1:17" ht="15.6">
      <c r="A85" s="26" t="str">
        <v>Dunkleman</v>
      </c>
      <c r="B85" s="27" t="str">
        <v>NY</v>
      </c>
      <c r="C85" s="27" t="str">
        <f>Sites[[#This Row],[SOL'#]]</f>
        <v>SOL-11008</v>
      </c>
      <c r="D85" s="9"/>
      <c r="E85" s="14"/>
      <c r="F85" s="14" t="str">
        <f t="shared" si="8"/>
        <v/>
      </c>
      <c r="G85" s="15" t="str">
        <f t="shared" si="9"/>
        <v/>
      </c>
      <c r="H85" s="16"/>
      <c r="I85" s="16" t="str">
        <f t="shared" si="10"/>
        <v/>
      </c>
      <c r="J85" s="15" t="str">
        <f t="shared" si="11"/>
        <v/>
      </c>
      <c r="K85" s="51"/>
      <c r="L85" s="99"/>
    </row>
    <row r="86" spans="1:17" ht="15.6">
      <c r="A86" s="24" t="str">
        <v>Route 19 1</v>
      </c>
      <c r="B86" s="25" t="str">
        <v>NY</v>
      </c>
      <c r="C86" s="25" t="str">
        <f>Sites[[#This Row],[SOL'#]]</f>
        <v>SOL-11001</v>
      </c>
      <c r="D86" s="20"/>
      <c r="E86" s="10"/>
      <c r="F86" s="10" t="str">
        <f t="shared" si="8"/>
        <v/>
      </c>
      <c r="G86" s="11" t="str">
        <f t="shared" si="9"/>
        <v/>
      </c>
      <c r="H86" s="12"/>
      <c r="I86" s="12" t="str">
        <f t="shared" si="10"/>
        <v/>
      </c>
      <c r="J86" s="13" t="str">
        <f t="shared" si="11"/>
        <v/>
      </c>
      <c r="K86" s="53"/>
      <c r="L86" s="98"/>
      <c r="M86" s="65"/>
      <c r="N86" s="102"/>
      <c r="O86" s="102"/>
    </row>
    <row r="87" spans="1:17" ht="15.6">
      <c r="A87" s="26" t="str">
        <v>Route 19 2</v>
      </c>
      <c r="B87" s="27" t="str">
        <v>NY</v>
      </c>
      <c r="C87" s="27" t="str">
        <f>Sites[[#This Row],[SOL'#]]</f>
        <v>SOL-11002</v>
      </c>
      <c r="D87" s="9"/>
      <c r="E87" s="14"/>
      <c r="F87" s="14" t="str">
        <f t="shared" si="8"/>
        <v/>
      </c>
      <c r="G87" s="15" t="str">
        <f t="shared" si="9"/>
        <v/>
      </c>
      <c r="H87" s="16"/>
      <c r="I87" s="16" t="str">
        <f t="shared" si="10"/>
        <v/>
      </c>
      <c r="J87" s="15" t="str">
        <f t="shared" si="11"/>
        <v/>
      </c>
      <c r="K87" s="51"/>
      <c r="L87" s="99"/>
      <c r="M87" s="65"/>
      <c r="N87" s="102"/>
      <c r="O87" s="102"/>
    </row>
    <row r="88" spans="1:17" ht="15.6">
      <c r="A88" s="24" t="str">
        <v>Yellow Mills 1</v>
      </c>
      <c r="B88" s="25" t="str">
        <v>NY</v>
      </c>
      <c r="C88" s="25" t="str">
        <f>Sites[[#This Row],[SOL'#]]</f>
        <v>SOL-11006</v>
      </c>
      <c r="D88" s="20"/>
      <c r="E88" s="10"/>
      <c r="F88" s="10" t="str">
        <f t="shared" si="8"/>
        <v/>
      </c>
      <c r="G88" s="11" t="str">
        <f t="shared" si="9"/>
        <v/>
      </c>
      <c r="H88" s="12"/>
      <c r="I88" s="12" t="str">
        <f t="shared" si="10"/>
        <v/>
      </c>
      <c r="J88" s="13" t="str">
        <f t="shared" si="11"/>
        <v/>
      </c>
      <c r="K88" s="53"/>
      <c r="L88" s="98"/>
    </row>
    <row r="89" spans="1:17" ht="15.6">
      <c r="A89" s="26" t="str">
        <v>Yellow Mills 2</v>
      </c>
      <c r="B89" s="27" t="str">
        <v>NY</v>
      </c>
      <c r="C89" s="27" t="str">
        <f>Sites[[#This Row],[SOL'#]]</f>
        <v>SOL-11005</v>
      </c>
      <c r="D89" s="9"/>
      <c r="E89" s="14"/>
      <c r="F89" s="14" t="str">
        <f t="shared" si="8"/>
        <v/>
      </c>
      <c r="G89" s="15" t="str">
        <f t="shared" si="9"/>
        <v/>
      </c>
      <c r="H89" s="16"/>
      <c r="I89" s="16" t="str">
        <f t="shared" si="10"/>
        <v/>
      </c>
      <c r="J89" s="15" t="str">
        <f t="shared" si="11"/>
        <v/>
      </c>
      <c r="K89" s="51"/>
      <c r="L89" s="99"/>
      <c r="M89" s="65"/>
      <c r="N89" s="102"/>
    </row>
    <row r="90" spans="1:17" ht="15.6">
      <c r="A90" s="24" t="str">
        <v>Yellow Mills 3</v>
      </c>
      <c r="B90" s="25" t="str">
        <v>NY</v>
      </c>
      <c r="C90" s="25" t="str">
        <f>Sites[[#This Row],[SOL'#]]</f>
        <v>SOL-11007</v>
      </c>
      <c r="D90" s="20"/>
      <c r="E90" s="10"/>
      <c r="F90" s="10" t="str">
        <f t="shared" si="8"/>
        <v/>
      </c>
      <c r="G90" s="11" t="str">
        <f t="shared" si="9"/>
        <v/>
      </c>
      <c r="H90" s="12"/>
      <c r="I90" s="12" t="str">
        <f t="shared" si="10"/>
        <v/>
      </c>
      <c r="J90" s="13" t="str">
        <f t="shared" si="11"/>
        <v/>
      </c>
      <c r="K90" s="53"/>
      <c r="L90" s="98"/>
    </row>
    <row r="91" spans="1:17" ht="48.75" customHeight="1">
      <c r="A91" s="26" t="str">
        <v>Catskill</v>
      </c>
      <c r="B91" s="27" t="str">
        <v>NY</v>
      </c>
      <c r="C91" s="27" t="str">
        <f>Sites[[#This Row],[SOL'#]]</f>
        <v>SOL-11021</v>
      </c>
      <c r="D91" s="9"/>
      <c r="E91" s="14"/>
      <c r="F91" s="14" t="str">
        <f t="shared" si="8"/>
        <v/>
      </c>
      <c r="G91" s="15" t="str">
        <f t="shared" si="9"/>
        <v/>
      </c>
      <c r="H91" s="16"/>
      <c r="I91" s="16" t="str">
        <f t="shared" si="10"/>
        <v/>
      </c>
      <c r="J91" s="15" t="str">
        <f t="shared" si="11"/>
        <v/>
      </c>
      <c r="K91" s="51"/>
      <c r="L91" s="99"/>
      <c r="M91" s="65"/>
      <c r="N91" s="102"/>
    </row>
    <row r="92" spans="1:17" ht="15.6">
      <c r="A92" s="24" t="str">
        <v>Eddy Ridge</v>
      </c>
      <c r="B92" s="25" t="str">
        <v>NY</v>
      </c>
      <c r="C92" s="25" t="str">
        <f>Sites[[#This Row],[SOL'#]]</f>
        <v>SOL-11054</v>
      </c>
      <c r="D92" s="20"/>
      <c r="E92" s="10"/>
      <c r="F92" s="10" t="str">
        <f t="shared" si="8"/>
        <v/>
      </c>
      <c r="G92" s="11" t="str">
        <f t="shared" si="9"/>
        <v/>
      </c>
      <c r="H92" s="12"/>
      <c r="I92" s="12" t="str">
        <f t="shared" si="10"/>
        <v/>
      </c>
      <c r="J92" s="13" t="str">
        <f t="shared" si="11"/>
        <v/>
      </c>
      <c r="K92" s="53"/>
      <c r="L92" s="98"/>
    </row>
    <row r="93" spans="1:17" ht="54" customHeight="1">
      <c r="A93" s="26" t="str">
        <v>Ridgeway #1</v>
      </c>
      <c r="B93" s="27" t="str">
        <v>NY</v>
      </c>
      <c r="C93" s="27" t="str">
        <f>Sites[[#This Row],[SOL'#]]</f>
        <v>SOL-11018</v>
      </c>
      <c r="D93" s="9"/>
      <c r="E93" s="14"/>
      <c r="F93" s="14" t="str">
        <f t="shared" si="8"/>
        <v/>
      </c>
      <c r="G93" s="15" t="str">
        <f t="shared" si="9"/>
        <v/>
      </c>
      <c r="H93" s="16"/>
      <c r="I93" s="16" t="str">
        <f t="shared" si="10"/>
        <v/>
      </c>
      <c r="J93" s="15" t="str">
        <f t="shared" si="11"/>
        <v/>
      </c>
      <c r="K93" s="51"/>
      <c r="L93" s="186"/>
    </row>
    <row r="94" spans="1:17" ht="15.6">
      <c r="A94" s="24" t="str">
        <v>Rivard 1</v>
      </c>
      <c r="B94" s="25" t="str">
        <v>NY</v>
      </c>
      <c r="C94" s="25" t="str">
        <f>Sites[[#This Row],[SOL'#]]</f>
        <v>SOL-11011</v>
      </c>
      <c r="D94" s="20"/>
      <c r="E94" s="10"/>
      <c r="F94" s="10" t="str">
        <f t="shared" si="8"/>
        <v/>
      </c>
      <c r="G94" s="11" t="str">
        <f t="shared" si="9"/>
        <v/>
      </c>
      <c r="H94" s="12"/>
      <c r="I94" s="12" t="str">
        <f t="shared" si="10"/>
        <v/>
      </c>
      <c r="J94" s="13" t="str">
        <f t="shared" si="11"/>
        <v/>
      </c>
      <c r="K94" s="73"/>
      <c r="L94" s="47"/>
    </row>
    <row r="95" spans="1:17" ht="15.6">
      <c r="A95" s="26" t="str">
        <v>Rivard 2</v>
      </c>
      <c r="B95" s="27" t="str">
        <v>NY</v>
      </c>
      <c r="C95" s="27" t="str">
        <f>Sites[[#This Row],[SOL'#]]</f>
        <v>SOL-11012</v>
      </c>
      <c r="D95" s="9"/>
      <c r="E95" s="14"/>
      <c r="F95" s="14" t="str">
        <f t="shared" si="8"/>
        <v/>
      </c>
      <c r="G95" s="15" t="str">
        <f t="shared" si="9"/>
        <v/>
      </c>
      <c r="H95" s="16"/>
      <c r="I95" s="16" t="str">
        <f t="shared" si="10"/>
        <v/>
      </c>
      <c r="J95" s="15" t="str">
        <f t="shared" si="11"/>
        <v/>
      </c>
      <c r="K95" s="51"/>
      <c r="L95" s="87"/>
    </row>
    <row r="96" spans="1:17" ht="15.6">
      <c r="A96" s="24" t="str">
        <v>Ridgeway #2</v>
      </c>
      <c r="B96" s="25" t="str">
        <v>NY</v>
      </c>
      <c r="C96" s="25" t="str">
        <f>Sites[[#This Row],[SOL'#]]</f>
        <v>SOL-11027</v>
      </c>
      <c r="D96" s="20"/>
      <c r="E96" s="10"/>
      <c r="F96" s="10" t="str">
        <f t="shared" si="8"/>
        <v/>
      </c>
      <c r="G96" s="11" t="str">
        <f t="shared" si="9"/>
        <v/>
      </c>
      <c r="H96" s="12"/>
      <c r="I96" s="12" t="str">
        <f t="shared" si="10"/>
        <v/>
      </c>
      <c r="J96" s="13" t="str">
        <f t="shared" si="11"/>
        <v/>
      </c>
      <c r="K96" s="53"/>
      <c r="L96" s="47"/>
    </row>
    <row r="97" spans="1:16" ht="15.6">
      <c r="A97" s="26" t="str">
        <v>Spencer</v>
      </c>
      <c r="B97" s="27" t="str">
        <v>NY</v>
      </c>
      <c r="C97" s="27" t="str">
        <f>Sites[[#This Row],[SOL'#]]</f>
        <v>SOL-11017</v>
      </c>
      <c r="D97" s="9"/>
      <c r="E97" s="14"/>
      <c r="F97" s="14" t="str">
        <f t="shared" si="8"/>
        <v/>
      </c>
      <c r="G97" s="15" t="str">
        <f t="shared" si="9"/>
        <v/>
      </c>
      <c r="H97" s="16"/>
      <c r="I97" s="16" t="str">
        <f t="shared" si="10"/>
        <v/>
      </c>
      <c r="J97" s="15" t="str">
        <f t="shared" si="11"/>
        <v/>
      </c>
      <c r="K97" s="51"/>
      <c r="L97" s="99"/>
    </row>
    <row r="98" spans="1:16" ht="15.6">
      <c r="A98" s="24" t="str">
        <v>Reisender</v>
      </c>
      <c r="B98" s="25" t="str">
        <v>NY</v>
      </c>
      <c r="C98" s="25" t="str">
        <f>Sites[[#This Row],[SOL'#]]</f>
        <v>SOL-10886</v>
      </c>
      <c r="D98" s="20"/>
      <c r="E98" s="10"/>
      <c r="F98" s="10" t="str">
        <f t="shared" si="8"/>
        <v/>
      </c>
      <c r="G98" s="11" t="str">
        <f t="shared" si="9"/>
        <v/>
      </c>
      <c r="H98" s="12"/>
      <c r="I98" s="12" t="str">
        <f t="shared" si="10"/>
        <v/>
      </c>
      <c r="J98" s="13" t="str">
        <f t="shared" si="11"/>
        <v/>
      </c>
      <c r="K98" s="53"/>
      <c r="L98" s="47"/>
    </row>
    <row r="99" spans="1:16" ht="15.6">
      <c r="A99" s="26" t="str">
        <v>Finney</v>
      </c>
      <c r="B99" s="27" t="str">
        <v>NY</v>
      </c>
      <c r="C99" s="27" t="str">
        <f>Sites[[#This Row],[SOL'#]]</f>
        <v>SOL-10999</v>
      </c>
      <c r="D99" s="9"/>
      <c r="E99" s="14"/>
      <c r="F99" s="14" t="str">
        <f t="shared" si="8"/>
        <v/>
      </c>
      <c r="G99" s="15" t="str">
        <f t="shared" si="9"/>
        <v/>
      </c>
      <c r="H99" s="16"/>
      <c r="I99" s="16" t="str">
        <f t="shared" si="10"/>
        <v/>
      </c>
      <c r="J99" s="15" t="str">
        <f t="shared" si="11"/>
        <v/>
      </c>
      <c r="K99" s="51"/>
      <c r="L99" s="99"/>
      <c r="M99" s="65"/>
      <c r="N99" s="102"/>
    </row>
    <row r="100" spans="1:16" ht="15.6">
      <c r="A100" s="24" t="str">
        <v>Davis Solar</v>
      </c>
      <c r="B100" s="25" t="str">
        <v>NY</v>
      </c>
      <c r="C100" s="25" t="str">
        <f>Sites[[#This Row],[SOL'#]]</f>
        <v>SOL-10958</v>
      </c>
      <c r="D100" s="20"/>
      <c r="E100" s="10"/>
      <c r="F100" s="10" t="str">
        <f t="shared" si="8"/>
        <v/>
      </c>
      <c r="G100" s="11" t="str">
        <f t="shared" si="9"/>
        <v/>
      </c>
      <c r="H100" s="12"/>
      <c r="I100" s="12" t="str">
        <f t="shared" si="10"/>
        <v/>
      </c>
      <c r="J100" s="13" t="str">
        <f t="shared" si="11"/>
        <v/>
      </c>
      <c r="K100" s="53"/>
      <c r="L100" s="47"/>
    </row>
    <row r="101" spans="1:16" ht="15.6">
      <c r="A101" s="26" t="str">
        <v>Genesee</v>
      </c>
      <c r="B101" s="27" t="str">
        <v>NY</v>
      </c>
      <c r="C101" s="27" t="str">
        <f>Sites[[#This Row],[SOL'#]]</f>
        <v>SOL-10951</v>
      </c>
      <c r="D101" s="9"/>
      <c r="E101" s="14"/>
      <c r="F101" s="14" t="str">
        <f t="shared" si="8"/>
        <v/>
      </c>
      <c r="G101" s="15" t="str">
        <f t="shared" si="9"/>
        <v/>
      </c>
      <c r="H101" s="16"/>
      <c r="I101" s="16" t="str">
        <f t="shared" si="10"/>
        <v/>
      </c>
      <c r="J101" s="15" t="str">
        <f t="shared" si="11"/>
        <v/>
      </c>
      <c r="K101" s="51"/>
      <c r="L101" s="99"/>
    </row>
    <row r="102" spans="1:16" ht="15.6">
      <c r="A102" s="24" t="str">
        <v>Landau I</v>
      </c>
      <c r="B102" s="25" t="str">
        <v>NY</v>
      </c>
      <c r="C102" s="25" t="str">
        <f>Sites[[#This Row],[SOL'#]]</f>
        <v>SOL-10891</v>
      </c>
      <c r="D102" s="20"/>
      <c r="E102" s="10"/>
      <c r="F102" s="10" t="str">
        <f t="shared" si="8"/>
        <v/>
      </c>
      <c r="G102" s="11" t="str">
        <f t="shared" si="9"/>
        <v/>
      </c>
      <c r="H102" s="12"/>
      <c r="I102" s="12" t="str">
        <f t="shared" si="10"/>
        <v/>
      </c>
      <c r="J102" s="13" t="str">
        <f t="shared" si="11"/>
        <v/>
      </c>
      <c r="K102" s="53"/>
      <c r="L102" s="47"/>
    </row>
    <row r="103" spans="1:16" ht="15.6">
      <c r="A103" s="26" t="str">
        <v>Landau II</v>
      </c>
      <c r="B103" s="27" t="str">
        <v>NY</v>
      </c>
      <c r="C103" s="27" t="str">
        <f>Sites[[#This Row],[SOL'#]]</f>
        <v>SOL-10895</v>
      </c>
      <c r="D103" s="9"/>
      <c r="E103" s="14"/>
      <c r="F103" s="14" t="str">
        <f t="shared" si="8"/>
        <v/>
      </c>
      <c r="G103" s="15" t="str">
        <f t="shared" si="9"/>
        <v/>
      </c>
      <c r="H103" s="174"/>
      <c r="I103" s="16" t="str">
        <f t="shared" si="10"/>
        <v/>
      </c>
      <c r="J103" s="15" t="str">
        <f t="shared" si="11"/>
        <v/>
      </c>
      <c r="K103" s="51"/>
      <c r="L103" s="99"/>
      <c r="M103" s="65"/>
      <c r="N103" s="102"/>
    </row>
    <row r="104" spans="1:16" ht="42" customHeight="1">
      <c r="A104" s="24" t="str">
        <v>New Beginnings</v>
      </c>
      <c r="B104" s="25" t="str">
        <v>NY</v>
      </c>
      <c r="C104" s="25" t="str">
        <f>Sites[[#This Row],[SOL'#]]</f>
        <v>SOL-10890</v>
      </c>
      <c r="D104" s="20"/>
      <c r="E104" s="10"/>
      <c r="F104" s="10" t="str">
        <f t="shared" si="8"/>
        <v/>
      </c>
      <c r="G104" s="11" t="str">
        <f t="shared" si="9"/>
        <v/>
      </c>
      <c r="H104" s="12"/>
      <c r="I104" s="12" t="str">
        <f t="shared" si="10"/>
        <v/>
      </c>
      <c r="J104" s="13" t="str">
        <f t="shared" si="11"/>
        <v/>
      </c>
      <c r="K104" s="53"/>
      <c r="L104" s="98"/>
    </row>
    <row r="105" spans="1:16" ht="15.6">
      <c r="A105" s="26" t="str">
        <v>Bullitt Farm Solar, LLC</v>
      </c>
      <c r="B105" s="27" t="str">
        <v>NY</v>
      </c>
      <c r="C105" s="27" t="str">
        <f>Sites[[#This Row],[SOL'#]]</f>
        <v>SOL-10998</v>
      </c>
      <c r="D105" s="9"/>
      <c r="E105" s="14"/>
      <c r="F105" s="14" t="str">
        <f t="shared" si="8"/>
        <v/>
      </c>
      <c r="G105" s="15" t="str">
        <f t="shared" si="9"/>
        <v/>
      </c>
      <c r="H105" s="16"/>
      <c r="I105" s="16" t="str">
        <f t="shared" si="10"/>
        <v/>
      </c>
      <c r="J105" s="15" t="str">
        <f t="shared" si="11"/>
        <v/>
      </c>
      <c r="K105" s="51"/>
      <c r="L105" s="99"/>
    </row>
    <row r="106" spans="1:16" ht="15.6">
      <c r="A106" s="24" t="str">
        <v>Brodhead Solar, LLC</v>
      </c>
      <c r="B106" s="25" t="str">
        <v>NY</v>
      </c>
      <c r="C106" s="25" t="str">
        <f>Sites[[#This Row],[SOL'#]]</f>
        <v>SOL-10899</v>
      </c>
      <c r="D106" s="20"/>
      <c r="E106" s="10"/>
      <c r="F106" s="10" t="str">
        <f t="shared" si="8"/>
        <v/>
      </c>
      <c r="G106" s="11" t="str">
        <f t="shared" si="9"/>
        <v/>
      </c>
      <c r="H106" s="12"/>
      <c r="I106" s="12" t="str">
        <f t="shared" si="10"/>
        <v/>
      </c>
      <c r="J106" s="13" t="str">
        <f t="shared" si="11"/>
        <v/>
      </c>
      <c r="K106" s="53"/>
      <c r="L106" s="47"/>
    </row>
    <row r="107" spans="1:16" ht="15.6">
      <c r="A107" s="26" t="str">
        <v>Svenski</v>
      </c>
      <c r="B107" s="27" t="str">
        <v>NY</v>
      </c>
      <c r="C107" s="27" t="str">
        <f>Sites[[#This Row],[SOL'#]]</f>
        <v>SOL-10894</v>
      </c>
      <c r="D107" s="9"/>
      <c r="E107" s="14"/>
      <c r="F107" s="14" t="str">
        <f t="shared" si="8"/>
        <v/>
      </c>
      <c r="G107" s="15" t="str">
        <f t="shared" si="9"/>
        <v/>
      </c>
      <c r="H107" s="16"/>
      <c r="I107" s="16" t="str">
        <f t="shared" si="10"/>
        <v/>
      </c>
      <c r="J107" s="15" t="str">
        <f t="shared" si="11"/>
        <v/>
      </c>
      <c r="K107" s="51"/>
      <c r="L107" s="99"/>
      <c r="M107" s="65"/>
      <c r="N107" s="102"/>
      <c r="O107" s="102"/>
      <c r="P107" s="102"/>
    </row>
    <row r="108" spans="1:16" ht="108.75" customHeight="1">
      <c r="A108" s="24" t="str">
        <v>Bantam</v>
      </c>
      <c r="B108" s="25" t="str">
        <v>NY</v>
      </c>
      <c r="C108" s="25" t="str">
        <f>Sites[[#This Row],[SOL'#]]</f>
        <v>SOL-10986</v>
      </c>
      <c r="D108" s="20"/>
      <c r="E108" s="10"/>
      <c r="F108" s="10" t="str">
        <f t="shared" si="8"/>
        <v/>
      </c>
      <c r="G108" s="11" t="str">
        <f t="shared" si="9"/>
        <v/>
      </c>
      <c r="H108" s="12"/>
      <c r="I108" s="12" t="str">
        <f t="shared" si="10"/>
        <v/>
      </c>
      <c r="J108" s="13" t="str">
        <f t="shared" si="11"/>
        <v/>
      </c>
      <c r="K108" s="53"/>
      <c r="L108" s="98"/>
      <c r="M108" s="65"/>
      <c r="N108" s="102"/>
      <c r="O108" s="102"/>
      <c r="P108" s="102"/>
    </row>
    <row r="109" spans="1:16" ht="15.6">
      <c r="A109" s="26" t="str">
        <v>Bogart</v>
      </c>
      <c r="B109" s="27" t="str">
        <v>NY</v>
      </c>
      <c r="C109" s="27" t="str">
        <f>Sites[[#This Row],[SOL'#]]</f>
        <v>SOL-10887</v>
      </c>
      <c r="D109" s="9"/>
      <c r="E109" s="14"/>
      <c r="F109" s="14" t="str">
        <f t="shared" si="8"/>
        <v/>
      </c>
      <c r="G109" s="15" t="str">
        <f t="shared" si="9"/>
        <v/>
      </c>
      <c r="H109" s="16"/>
      <c r="I109" s="16" t="str">
        <f t="shared" si="10"/>
        <v/>
      </c>
      <c r="J109" s="15" t="str">
        <f t="shared" si="11"/>
        <v/>
      </c>
      <c r="K109" s="51"/>
      <c r="L109" s="87"/>
    </row>
    <row r="110" spans="1:16" ht="15.6">
      <c r="A110" s="24" t="str">
        <v>Dubois</v>
      </c>
      <c r="B110" s="25" t="str">
        <v>NY</v>
      </c>
      <c r="C110" s="25" t="str">
        <f>Sites[[#This Row],[SOL'#]]</f>
        <v>SOL-10892</v>
      </c>
      <c r="D110" s="20"/>
      <c r="E110" s="10"/>
      <c r="F110" s="10" t="str">
        <f t="shared" si="8"/>
        <v/>
      </c>
      <c r="G110" s="11" t="str">
        <f t="shared" si="9"/>
        <v/>
      </c>
      <c r="H110" s="12"/>
      <c r="I110" s="12" t="str">
        <f t="shared" si="10"/>
        <v/>
      </c>
      <c r="J110" s="13" t="str">
        <f t="shared" si="11"/>
        <v/>
      </c>
      <c r="K110" s="53"/>
      <c r="L110" s="98"/>
    </row>
    <row r="111" spans="1:16" ht="63.75" customHeight="1">
      <c r="A111" s="26" t="str">
        <v>Salt Point</v>
      </c>
      <c r="B111" s="27" t="str">
        <v>NY</v>
      </c>
      <c r="C111" s="27" t="str">
        <f>Sites[[#This Row],[SOL'#]]</f>
        <v>SOL-10888</v>
      </c>
      <c r="D111" s="9"/>
      <c r="E111" s="14"/>
      <c r="F111" s="14" t="str">
        <f t="shared" si="8"/>
        <v/>
      </c>
      <c r="G111" s="15" t="str">
        <f t="shared" si="9"/>
        <v/>
      </c>
      <c r="H111" s="16"/>
      <c r="I111" s="16" t="str">
        <f t="shared" si="10"/>
        <v/>
      </c>
      <c r="J111" s="15" t="str">
        <f t="shared" si="11"/>
        <v/>
      </c>
      <c r="K111" s="51"/>
      <c r="L111" s="99"/>
    </row>
    <row r="112" spans="1:16" ht="84.75" customHeight="1">
      <c r="A112" s="24" t="str">
        <v>Wheatland 2A</v>
      </c>
      <c r="B112" s="25" t="str">
        <v>NY</v>
      </c>
      <c r="C112" s="25" t="str">
        <f>Sites[[#This Row],[SOL'#]]</f>
        <v>SOL-10971</v>
      </c>
      <c r="D112" s="20"/>
      <c r="E112" s="10"/>
      <c r="F112" s="10" t="str">
        <f t="shared" si="8"/>
        <v/>
      </c>
      <c r="G112" s="11" t="str">
        <f t="shared" si="9"/>
        <v/>
      </c>
      <c r="H112" s="12"/>
      <c r="I112" s="12" t="str">
        <f t="shared" si="10"/>
        <v/>
      </c>
      <c r="J112" s="13" t="str">
        <f t="shared" si="11"/>
        <v/>
      </c>
      <c r="K112" s="53"/>
      <c r="L112" s="98"/>
    </row>
    <row r="113" spans="1:15" ht="15.6">
      <c r="A113" s="26" t="str">
        <v>Wheatland 2B</v>
      </c>
      <c r="B113" s="27" t="str">
        <v>NY</v>
      </c>
      <c r="C113" s="27" t="str">
        <f>Sites[[#This Row],[SOL'#]]</f>
        <v>SOL-10961</v>
      </c>
      <c r="D113" s="9"/>
      <c r="E113" s="14"/>
      <c r="F113" s="14" t="str">
        <f t="shared" si="8"/>
        <v/>
      </c>
      <c r="G113" s="15" t="str">
        <f t="shared" si="9"/>
        <v/>
      </c>
      <c r="H113" s="16"/>
      <c r="I113" s="16" t="str">
        <f t="shared" si="10"/>
        <v/>
      </c>
      <c r="J113" s="15" t="str">
        <f t="shared" si="11"/>
        <v/>
      </c>
      <c r="K113" s="51"/>
      <c r="L113" s="99"/>
      <c r="M113" s="65"/>
      <c r="N113" s="102"/>
    </row>
    <row r="114" spans="1:15" ht="15.6">
      <c r="A114" s="24" t="str">
        <v>Brickchurch</v>
      </c>
      <c r="B114" s="25" t="str">
        <v>NY</v>
      </c>
      <c r="C114" s="25" t="str">
        <f>Sites[[#This Row],[SOL'#]]</f>
        <v>SOL-10889</v>
      </c>
      <c r="D114" s="20"/>
      <c r="E114" s="10"/>
      <c r="F114" s="10" t="str">
        <f t="shared" si="8"/>
        <v/>
      </c>
      <c r="G114" s="11" t="str">
        <f t="shared" si="9"/>
        <v/>
      </c>
      <c r="H114" s="12"/>
      <c r="I114" s="12" t="str">
        <f t="shared" si="10"/>
        <v/>
      </c>
      <c r="J114" s="13" t="str">
        <f t="shared" si="11"/>
        <v/>
      </c>
      <c r="K114" s="53"/>
      <c r="L114" s="98"/>
      <c r="M114" s="65"/>
      <c r="N114" s="102"/>
    </row>
    <row r="115" spans="1:15" ht="60.75" customHeight="1">
      <c r="A115" s="26" t="str">
        <v>McCarthy Solar</v>
      </c>
      <c r="B115" s="27" t="str">
        <v>NY</v>
      </c>
      <c r="C115" s="27" t="str">
        <f>Sites[[#This Row],[SOL'#]]</f>
        <v>SOL-10992</v>
      </c>
      <c r="D115" s="9"/>
      <c r="E115" s="14"/>
      <c r="F115" s="14" t="str">
        <f t="shared" si="8"/>
        <v/>
      </c>
      <c r="G115" s="15" t="str">
        <f t="shared" si="9"/>
        <v/>
      </c>
      <c r="H115" s="16"/>
      <c r="I115" s="16" t="str">
        <f t="shared" si="10"/>
        <v/>
      </c>
      <c r="J115" s="15" t="str">
        <f t="shared" si="11"/>
        <v/>
      </c>
      <c r="K115" s="51"/>
      <c r="L115" s="99"/>
      <c r="M115" s="65"/>
      <c r="N115" s="102"/>
    </row>
    <row r="116" spans="1:15" ht="15.6">
      <c r="A116" s="24" t="str">
        <v>Costanza</v>
      </c>
      <c r="B116" s="25" t="str">
        <v>NY</v>
      </c>
      <c r="C116" s="25" t="str">
        <f>Sites[[#This Row],[SOL'#]]</f>
        <v>SOL-10907</v>
      </c>
      <c r="D116" s="20"/>
      <c r="E116" s="10"/>
      <c r="F116" s="10" t="str">
        <f t="shared" si="8"/>
        <v/>
      </c>
      <c r="G116" s="11" t="str">
        <f t="shared" si="9"/>
        <v/>
      </c>
      <c r="H116" s="12"/>
      <c r="I116" s="12" t="str">
        <f t="shared" si="10"/>
        <v/>
      </c>
      <c r="J116" s="13" t="str">
        <f t="shared" si="11"/>
        <v/>
      </c>
      <c r="K116" s="53"/>
      <c r="L116" s="98"/>
      <c r="M116" s="65"/>
      <c r="N116" s="102"/>
      <c r="O116" s="102"/>
    </row>
    <row r="117" spans="1:15" ht="15.6">
      <c r="A117" s="26" t="str">
        <v>Lockenhurst Pond</v>
      </c>
      <c r="B117" s="27" t="str">
        <v>NY</v>
      </c>
      <c r="C117" s="27" t="str">
        <f>Sites[[#This Row],[SOL'#]]</f>
        <v>SOL-11000</v>
      </c>
      <c r="D117" s="9"/>
      <c r="E117" s="14"/>
      <c r="F117" s="14" t="str">
        <f t="shared" si="8"/>
        <v/>
      </c>
      <c r="G117" s="15" t="str">
        <f t="shared" si="9"/>
        <v/>
      </c>
      <c r="H117" s="16"/>
      <c r="I117" s="16" t="str">
        <f t="shared" si="10"/>
        <v/>
      </c>
      <c r="J117" s="15" t="str">
        <f t="shared" si="11"/>
        <v/>
      </c>
      <c r="K117" s="51"/>
      <c r="L117" s="99"/>
    </row>
    <row r="118" spans="1:15" ht="15.6">
      <c r="A118" s="24" t="str">
        <v>Drinkwater</v>
      </c>
      <c r="B118" s="25" t="str">
        <v>NY</v>
      </c>
      <c r="C118" s="25" t="str">
        <f>Sites[[#This Row],[SOL'#]]</f>
        <v>SOL-10896</v>
      </c>
      <c r="D118" s="20"/>
      <c r="E118" s="10"/>
      <c r="F118" s="10" t="str">
        <f t="shared" si="8"/>
        <v/>
      </c>
      <c r="G118" s="11" t="str">
        <f t="shared" si="9"/>
        <v/>
      </c>
      <c r="H118" s="12"/>
      <c r="I118" s="12" t="str">
        <f t="shared" si="10"/>
        <v/>
      </c>
      <c r="J118" s="13" t="str">
        <f t="shared" si="11"/>
        <v/>
      </c>
      <c r="K118" s="53"/>
      <c r="L118" s="47"/>
    </row>
    <row r="119" spans="1:15" ht="15.6">
      <c r="A119" s="26" t="str">
        <v>Altamont</v>
      </c>
      <c r="B119" s="27" t="str">
        <v>NY</v>
      </c>
      <c r="C119" s="27" t="str">
        <f>Sites[[#This Row],[SOL'#]]</f>
        <v>SOL-11085</v>
      </c>
      <c r="D119" s="9"/>
      <c r="E119" s="14"/>
      <c r="F119" s="14" t="str">
        <f t="shared" si="8"/>
        <v/>
      </c>
      <c r="G119" s="15" t="str">
        <f t="shared" si="9"/>
        <v/>
      </c>
      <c r="H119" s="16"/>
      <c r="I119" s="16" t="str">
        <f t="shared" si="10"/>
        <v/>
      </c>
      <c r="J119" s="15" t="str">
        <f t="shared" si="11"/>
        <v/>
      </c>
      <c r="K119" s="51"/>
      <c r="L119" s="186"/>
    </row>
    <row r="120" spans="1:15" ht="15.6">
      <c r="A120" s="24" t="str">
        <v>Krumkill North</v>
      </c>
      <c r="B120" s="25" t="str">
        <v>NY</v>
      </c>
      <c r="C120" s="25" t="str">
        <f>Sites[[#This Row],[SOL'#]]</f>
        <v>SOL-11086</v>
      </c>
      <c r="D120" s="20"/>
      <c r="E120" s="10"/>
      <c r="F120" s="10" t="str">
        <f t="shared" si="8"/>
        <v/>
      </c>
      <c r="G120" s="11" t="str">
        <f t="shared" si="9"/>
        <v/>
      </c>
      <c r="H120" s="12"/>
      <c r="I120" s="12" t="str">
        <f t="shared" si="10"/>
        <v/>
      </c>
      <c r="J120" s="13" t="str">
        <f t="shared" si="11"/>
        <v/>
      </c>
      <c r="K120" s="53"/>
      <c r="L120" s="47"/>
    </row>
    <row r="121" spans="1:15" ht="15.6">
      <c r="A121" s="26" t="str">
        <v>Krumkill South</v>
      </c>
      <c r="B121" s="27" t="str">
        <v>NY</v>
      </c>
      <c r="C121" s="27" t="str">
        <f>Sites[[#This Row],[SOL'#]]</f>
        <v>SOL-11087</v>
      </c>
      <c r="D121" s="9"/>
      <c r="E121" s="14"/>
      <c r="F121" s="14" t="str">
        <f t="shared" si="8"/>
        <v/>
      </c>
      <c r="G121" s="15" t="str">
        <f t="shared" si="9"/>
        <v/>
      </c>
      <c r="H121" s="16"/>
      <c r="I121" s="16" t="str">
        <f t="shared" si="10"/>
        <v/>
      </c>
      <c r="J121" s="15" t="str">
        <f t="shared" si="11"/>
        <v/>
      </c>
      <c r="K121" s="51"/>
      <c r="L121" s="99"/>
    </row>
    <row r="122" spans="1:15" ht="15.6">
      <c r="A122" s="24" t="str">
        <v>X092</v>
      </c>
      <c r="B122" s="25" t="str">
        <v>NY</v>
      </c>
      <c r="C122" s="25" t="str">
        <f>Sites[[#This Row],[SOL'#]]</f>
        <v>SOL-11189</v>
      </c>
      <c r="D122" s="20"/>
      <c r="E122" s="10"/>
      <c r="F122" s="10" t="str">
        <f t="shared" si="8"/>
        <v/>
      </c>
      <c r="G122" s="11" t="str">
        <f t="shared" si="9"/>
        <v/>
      </c>
      <c r="H122" s="12"/>
      <c r="I122" s="12" t="str">
        <f t="shared" si="10"/>
        <v/>
      </c>
      <c r="J122" s="13" t="str">
        <f t="shared" si="11"/>
        <v/>
      </c>
      <c r="K122" s="53"/>
      <c r="L122" s="47"/>
    </row>
    <row r="123" spans="1:15" ht="15.6">
      <c r="A123" s="26" t="str">
        <v>X093</v>
      </c>
      <c r="B123" s="27" t="str">
        <v>NY</v>
      </c>
      <c r="C123" s="27" t="str">
        <f>Sites[[#This Row],[SOL'#]]</f>
        <v>SOL-10932</v>
      </c>
      <c r="D123" s="9"/>
      <c r="E123" s="14"/>
      <c r="F123" s="14" t="str">
        <f t="shared" si="8"/>
        <v/>
      </c>
      <c r="G123" s="15" t="str">
        <f t="shared" si="9"/>
        <v/>
      </c>
      <c r="H123" s="16"/>
      <c r="I123" s="16" t="str">
        <f t="shared" si="10"/>
        <v/>
      </c>
      <c r="J123" s="15" t="str">
        <f t="shared" si="11"/>
        <v/>
      </c>
      <c r="K123" s="51"/>
      <c r="L123" s="85"/>
    </row>
    <row r="124" spans="1:15" ht="15.6">
      <c r="A124" s="24" t="str">
        <v>X095</v>
      </c>
      <c r="B124" s="25" t="str">
        <v>NY</v>
      </c>
      <c r="C124" s="25" t="str">
        <f>Sites[[#This Row],[SOL'#]]</f>
        <v>SOL-10929</v>
      </c>
      <c r="D124" s="20"/>
      <c r="E124" s="10"/>
      <c r="F124" s="10" t="str">
        <f t="shared" si="8"/>
        <v/>
      </c>
      <c r="G124" s="11" t="str">
        <f t="shared" si="9"/>
        <v/>
      </c>
      <c r="H124" s="12"/>
      <c r="I124" s="12" t="str">
        <f t="shared" si="10"/>
        <v/>
      </c>
      <c r="J124" s="13" t="str">
        <f t="shared" si="11"/>
        <v/>
      </c>
      <c r="K124" s="53"/>
      <c r="L124" s="98"/>
    </row>
    <row r="125" spans="1:15" ht="15.6">
      <c r="A125" s="26" t="str">
        <v>X181</v>
      </c>
      <c r="B125" s="27" t="str">
        <v>NY</v>
      </c>
      <c r="C125" s="27" t="str">
        <f>Sites[[#This Row],[SOL'#]]</f>
        <v>SOL-10428</v>
      </c>
      <c r="D125" s="9"/>
      <c r="E125" s="14"/>
      <c r="F125" s="14" t="str">
        <f t="shared" si="8"/>
        <v/>
      </c>
      <c r="G125" s="15" t="str">
        <f t="shared" si="9"/>
        <v/>
      </c>
      <c r="H125" s="16"/>
      <c r="I125" s="16" t="str">
        <f t="shared" si="10"/>
        <v/>
      </c>
      <c r="J125" s="15" t="str">
        <f t="shared" si="11"/>
        <v/>
      </c>
      <c r="K125" s="51"/>
      <c r="L125" s="186"/>
    </row>
    <row r="126" spans="1:15" ht="44.25" customHeight="1">
      <c r="A126" s="24" t="str">
        <v>X415</v>
      </c>
      <c r="B126" s="25" t="str">
        <v>NY</v>
      </c>
      <c r="C126" s="25" t="str">
        <f>Sites[[#This Row],[SOL'#]]</f>
        <v>SOL-10429</v>
      </c>
      <c r="D126" s="20"/>
      <c r="E126" s="10"/>
      <c r="F126" s="10" t="str">
        <f t="shared" si="8"/>
        <v/>
      </c>
      <c r="G126" s="11" t="str">
        <f t="shared" si="9"/>
        <v/>
      </c>
      <c r="H126" s="12"/>
      <c r="I126" s="12" t="str">
        <f t="shared" si="10"/>
        <v/>
      </c>
      <c r="J126" s="13" t="str">
        <f t="shared" si="11"/>
        <v/>
      </c>
      <c r="K126" s="53"/>
      <c r="L126" s="47"/>
    </row>
    <row r="127" spans="1:15" ht="36" customHeight="1">
      <c r="A127" s="26" t="str">
        <v>K198</v>
      </c>
      <c r="B127" s="27" t="str">
        <v>NY</v>
      </c>
      <c r="C127" s="27" t="str">
        <f>Sites[[#This Row],[SOL'#]]</f>
        <v>SOL-10930</v>
      </c>
      <c r="D127" s="9"/>
      <c r="E127" s="14"/>
      <c r="F127" s="14" t="str">
        <f t="shared" si="8"/>
        <v/>
      </c>
      <c r="G127" s="15" t="str">
        <f t="shared" si="9"/>
        <v/>
      </c>
      <c r="H127" s="16"/>
      <c r="I127" s="16" t="str">
        <f>IF(AND(ISNUMBER(D127),ISNUMBER(H127)), D127-H127, "")</f>
        <v/>
      </c>
      <c r="J127" s="15" t="str">
        <f t="shared" si="11"/>
        <v/>
      </c>
      <c r="K127" s="51"/>
      <c r="L127" s="186"/>
    </row>
    <row r="128" spans="1:15" ht="15.6">
      <c r="A128" s="24" t="str">
        <v>K203</v>
      </c>
      <c r="B128" s="25" t="str">
        <v>NY</v>
      </c>
      <c r="C128" s="25" t="str">
        <f>Sites[[#This Row],[SOL'#]]</f>
        <v>SOL-11190</v>
      </c>
      <c r="D128" s="20"/>
      <c r="E128" s="10"/>
      <c r="F128" s="10" t="str">
        <f t="shared" si="8"/>
        <v/>
      </c>
      <c r="G128" s="11" t="str">
        <f t="shared" si="9"/>
        <v/>
      </c>
      <c r="H128" s="12"/>
      <c r="I128" s="12" t="str">
        <f t="shared" si="10"/>
        <v/>
      </c>
      <c r="J128" s="13" t="str">
        <f t="shared" si="11"/>
        <v/>
      </c>
      <c r="K128" s="53"/>
      <c r="L128" s="47"/>
    </row>
    <row r="129" spans="1:15" ht="15.6">
      <c r="A129" s="26" t="str">
        <v>K213</v>
      </c>
      <c r="B129" s="27" t="str">
        <v>NY</v>
      </c>
      <c r="C129" s="27" t="str">
        <f>Sites[[#This Row],[SOL'#]]</f>
        <v>SOL-11191</v>
      </c>
      <c r="D129" s="9"/>
      <c r="E129" s="14"/>
      <c r="F129" s="14" t="str">
        <f t="shared" si="8"/>
        <v/>
      </c>
      <c r="G129" s="15" t="str">
        <f t="shared" si="9"/>
        <v/>
      </c>
      <c r="H129" s="16"/>
      <c r="I129" s="16" t="str">
        <f t="shared" si="10"/>
        <v/>
      </c>
      <c r="J129" s="15" t="str">
        <f t="shared" si="11"/>
        <v/>
      </c>
      <c r="K129" s="51"/>
      <c r="L129" s="85"/>
      <c r="M129"/>
    </row>
    <row r="130" spans="1:15" ht="15.6">
      <c r="A130" s="24" t="str">
        <v>K217</v>
      </c>
      <c r="B130" s="25" t="str">
        <v>NY</v>
      </c>
      <c r="C130" s="25" t="str">
        <f>Sites[[#This Row],[SOL'#]]</f>
        <v>SOL-10933</v>
      </c>
      <c r="D130" s="20"/>
      <c r="E130" s="10"/>
      <c r="F130" s="10" t="str">
        <f t="shared" si="8"/>
        <v/>
      </c>
      <c r="G130" s="11" t="str">
        <f t="shared" si="9"/>
        <v/>
      </c>
      <c r="H130" s="12"/>
      <c r="I130" s="12" t="str">
        <f t="shared" si="10"/>
        <v/>
      </c>
      <c r="J130" s="13" t="str">
        <f t="shared" si="11"/>
        <v/>
      </c>
      <c r="K130" s="53"/>
      <c r="L130" s="47"/>
    </row>
    <row r="131" spans="1:15" ht="15.6">
      <c r="A131" s="26" t="str">
        <v>K307</v>
      </c>
      <c r="B131" s="27" t="str">
        <v>NY</v>
      </c>
      <c r="C131" s="27" t="str">
        <f>Sites[[#This Row],[SOL'#]]</f>
        <v>SOL-10876</v>
      </c>
      <c r="D131" s="9"/>
      <c r="E131" s="14"/>
      <c r="F131" s="14" t="str">
        <f t="shared" si="8"/>
        <v/>
      </c>
      <c r="G131" s="15" t="str">
        <f t="shared" si="9"/>
        <v/>
      </c>
      <c r="H131" s="16"/>
      <c r="I131" s="16" t="str">
        <f t="shared" si="10"/>
        <v/>
      </c>
      <c r="J131" s="15" t="str">
        <f t="shared" si="11"/>
        <v/>
      </c>
      <c r="K131" s="51"/>
      <c r="L131" s="87"/>
    </row>
    <row r="132" spans="1:15" ht="15.6">
      <c r="A132" s="24" t="str">
        <v>K610</v>
      </c>
      <c r="B132" s="25" t="str">
        <v>NY</v>
      </c>
      <c r="C132" s="25" t="str">
        <f>Sites[[#This Row],[SOL'#]]</f>
        <v>SOL-11158</v>
      </c>
      <c r="D132" s="20"/>
      <c r="E132" s="10"/>
      <c r="F132" s="10" t="str">
        <f t="shared" si="8"/>
        <v/>
      </c>
      <c r="G132" s="11" t="str">
        <f t="shared" si="9"/>
        <v/>
      </c>
      <c r="H132" s="12"/>
      <c r="I132" s="12" t="str">
        <f t="shared" si="10"/>
        <v/>
      </c>
      <c r="J132" s="13" t="str">
        <f t="shared" si="11"/>
        <v/>
      </c>
      <c r="K132" s="53"/>
      <c r="L132" s="47"/>
    </row>
    <row r="133" spans="1:15" ht="15.6">
      <c r="A133" s="26" t="str">
        <v>M025</v>
      </c>
      <c r="B133" s="27" t="str">
        <v>NY</v>
      </c>
      <c r="C133" s="27" t="str">
        <f>Sites[[#This Row],[SOL'#]]</f>
        <v>SOL-10392</v>
      </c>
      <c r="D133" s="9"/>
      <c r="E133" s="14"/>
      <c r="F133" s="14" t="str">
        <f t="shared" si="8"/>
        <v/>
      </c>
      <c r="G133" s="15" t="str">
        <f t="shared" si="9"/>
        <v/>
      </c>
      <c r="H133" s="16"/>
      <c r="I133" s="16" t="str">
        <f t="shared" si="10"/>
        <v/>
      </c>
      <c r="J133" s="15" t="str">
        <f t="shared" si="11"/>
        <v/>
      </c>
      <c r="K133" s="51"/>
      <c r="L133" s="99"/>
      <c r="M133"/>
      <c r="N133" s="102"/>
    </row>
    <row r="134" spans="1:15" ht="15.6">
      <c r="A134" s="24" t="str">
        <v>M028</v>
      </c>
      <c r="B134" s="25" t="str">
        <v>NY</v>
      </c>
      <c r="C134" s="25" t="str">
        <f>Sites[[#This Row],[SOL'#]]</f>
        <v>SOL-10381</v>
      </c>
      <c r="D134" s="20"/>
      <c r="E134" s="10"/>
      <c r="F134" s="10" t="str">
        <f t="shared" si="8"/>
        <v/>
      </c>
      <c r="G134" s="11" t="str">
        <f t="shared" si="9"/>
        <v/>
      </c>
      <c r="H134" s="12"/>
      <c r="I134" s="12" t="str">
        <f t="shared" si="10"/>
        <v/>
      </c>
      <c r="J134" s="13" t="str">
        <f t="shared" si="11"/>
        <v/>
      </c>
      <c r="K134" s="53"/>
      <c r="L134" s="47"/>
    </row>
    <row r="135" spans="1:15" ht="15.6">
      <c r="A135" s="26" t="str">
        <v>Q030</v>
      </c>
      <c r="B135" s="27" t="str">
        <v>NY</v>
      </c>
      <c r="C135" s="27" t="str">
        <f>Sites[[#This Row],[SOL'#]]</f>
        <v>SOL-10878</v>
      </c>
      <c r="D135" s="9"/>
      <c r="E135" s="14"/>
      <c r="F135" s="14" t="str">
        <f t="shared" si="8"/>
        <v/>
      </c>
      <c r="G135" s="15" t="str">
        <f t="shared" si="9"/>
        <v/>
      </c>
      <c r="H135" s="16"/>
      <c r="I135" s="16" t="str">
        <f t="shared" si="10"/>
        <v/>
      </c>
      <c r="J135" s="15" t="str">
        <f t="shared" si="11"/>
        <v/>
      </c>
      <c r="K135" s="51"/>
      <c r="L135" s="85"/>
    </row>
    <row r="136" spans="1:15" ht="15.6">
      <c r="A136" s="24" t="str">
        <v>Q130</v>
      </c>
      <c r="B136" s="25" t="str">
        <v>NY</v>
      </c>
      <c r="C136" s="25" t="str">
        <f>Sites[[#This Row],[SOL'#]]</f>
        <v>SOL-10877</v>
      </c>
      <c r="D136" s="20"/>
      <c r="E136" s="10"/>
      <c r="F136" s="10" t="str">
        <f t="shared" si="8"/>
        <v/>
      </c>
      <c r="G136" s="11" t="str">
        <f t="shared" si="9"/>
        <v/>
      </c>
      <c r="H136" s="12"/>
      <c r="I136" s="12" t="str">
        <f t="shared" si="10"/>
        <v/>
      </c>
      <c r="J136" s="13" t="str">
        <f t="shared" si="11"/>
        <v/>
      </c>
      <c r="K136" s="53"/>
      <c r="L136" s="47"/>
      <c r="M136"/>
    </row>
    <row r="137" spans="1:15" ht="15.6">
      <c r="A137" s="26" t="str">
        <v>Q196</v>
      </c>
      <c r="B137" s="27" t="str">
        <v>NY</v>
      </c>
      <c r="C137" s="27" t="str">
        <f>Sites[[#This Row],[SOL'#]]</f>
        <v>SOL-10879</v>
      </c>
      <c r="D137" s="9"/>
      <c r="E137" s="14"/>
      <c r="F137" s="14" t="str">
        <f t="shared" si="8"/>
        <v/>
      </c>
      <c r="G137" s="15" t="str">
        <f t="shared" si="9"/>
        <v/>
      </c>
      <c r="H137" s="16"/>
      <c r="I137" s="16" t="str">
        <f t="shared" si="10"/>
        <v/>
      </c>
      <c r="J137" s="15" t="str">
        <f t="shared" si="11"/>
        <v/>
      </c>
      <c r="K137" s="51"/>
      <c r="L137" s="85"/>
      <c r="M137"/>
    </row>
    <row r="138" spans="1:15" ht="15.6">
      <c r="A138" s="24" t="str">
        <v>Q220</v>
      </c>
      <c r="B138" s="25" t="str">
        <v>NY</v>
      </c>
      <c r="C138" s="25" t="str">
        <f>Sites[[#This Row],[SOL'#]]</f>
        <v>SOL-10873</v>
      </c>
      <c r="D138" s="20"/>
      <c r="E138" s="10"/>
      <c r="F138" s="10" t="str">
        <f t="shared" si="8"/>
        <v/>
      </c>
      <c r="G138" s="11" t="str">
        <f t="shared" si="9"/>
        <v/>
      </c>
      <c r="H138" s="12"/>
      <c r="I138" s="12" t="str">
        <f t="shared" si="10"/>
        <v/>
      </c>
      <c r="J138" s="13" t="str">
        <f t="shared" si="11"/>
        <v/>
      </c>
      <c r="K138" s="53"/>
      <c r="L138" s="107"/>
    </row>
    <row r="139" spans="1:15" ht="15.6">
      <c r="A139" s="26" t="str">
        <v>Q205</v>
      </c>
      <c r="B139" s="27" t="str">
        <v>NY</v>
      </c>
      <c r="C139" s="27" t="str">
        <f>Sites[[#This Row],[SOL'#]]</f>
        <v>SOL-10922</v>
      </c>
      <c r="D139" s="9"/>
      <c r="E139" s="14"/>
      <c r="F139" s="14" t="str">
        <f t="shared" si="8"/>
        <v/>
      </c>
      <c r="G139" s="15" t="str">
        <f t="shared" si="9"/>
        <v/>
      </c>
      <c r="H139" s="16"/>
      <c r="I139" s="16" t="str">
        <f t="shared" si="10"/>
        <v/>
      </c>
      <c r="J139" s="15" t="str">
        <f t="shared" si="11"/>
        <v/>
      </c>
      <c r="K139" s="51"/>
      <c r="L139" s="85"/>
    </row>
    <row r="140" spans="1:15" ht="15.6">
      <c r="A140" s="28" t="str">
        <v>Q400</v>
      </c>
      <c r="B140" s="25" t="str">
        <v>NY</v>
      </c>
      <c r="C140" s="25" t="str">
        <f>Sites[[#This Row],[SOL'#]]</f>
        <v>SOL-10871</v>
      </c>
      <c r="D140" s="54"/>
      <c r="E140" s="10"/>
      <c r="F140" s="10" t="str">
        <f t="shared" si="8"/>
        <v/>
      </c>
      <c r="G140" s="55" t="str">
        <f t="shared" si="9"/>
        <v/>
      </c>
      <c r="H140" s="67"/>
      <c r="I140" s="67" t="str">
        <f t="shared" si="10"/>
        <v/>
      </c>
      <c r="J140" s="64" t="str">
        <f t="shared" si="11"/>
        <v/>
      </c>
      <c r="K140" s="73"/>
      <c r="L140" s="98"/>
    </row>
    <row r="141" spans="1:15" ht="15.6">
      <c r="A141" s="26" t="str">
        <v>R003</v>
      </c>
      <c r="B141" s="27" t="str">
        <v>NY</v>
      </c>
      <c r="C141" s="27" t="str">
        <f>Sites[[#This Row],[SOL'#]]</f>
        <v>SOL-10416</v>
      </c>
      <c r="D141" s="66"/>
      <c r="E141" s="14"/>
      <c r="F141" s="14" t="str">
        <f t="shared" si="8"/>
        <v/>
      </c>
      <c r="G141" s="68" t="str">
        <f t="shared" si="9"/>
        <v/>
      </c>
      <c r="H141" s="69"/>
      <c r="I141" s="69" t="str">
        <f t="shared" si="10"/>
        <v/>
      </c>
      <c r="J141" s="68" t="str">
        <f t="shared" si="11"/>
        <v/>
      </c>
      <c r="K141" s="51"/>
      <c r="L141" s="88"/>
    </row>
    <row r="142" spans="1:15" ht="51.75" customHeight="1">
      <c r="A142" s="24" t="str">
        <v>R007</v>
      </c>
      <c r="B142" s="25" t="str">
        <v>NY</v>
      </c>
      <c r="C142" s="25" t="str">
        <f>Sites[[#This Row],[SOL'#]]</f>
        <v>SOL-10417</v>
      </c>
      <c r="D142" s="54"/>
      <c r="E142" s="10"/>
      <c r="F142" s="10" t="str">
        <f t="shared" si="8"/>
        <v/>
      </c>
      <c r="G142" s="55" t="str">
        <f t="shared" si="9"/>
        <v/>
      </c>
      <c r="H142" s="67"/>
      <c r="I142" s="67" t="str">
        <f t="shared" si="10"/>
        <v/>
      </c>
      <c r="J142" s="64" t="str">
        <f t="shared" si="11"/>
        <v/>
      </c>
      <c r="K142" s="73"/>
      <c r="L142" s="98"/>
    </row>
    <row r="143" spans="1:15" ht="15.6">
      <c r="A143" s="26" t="str">
        <v>BK16</v>
      </c>
      <c r="B143" s="27" t="str">
        <v>NY</v>
      </c>
      <c r="C143" s="27" t="str">
        <f>Sites[[#This Row],[SOL'#]]</f>
        <v>SOL-11093</v>
      </c>
      <c r="D143" s="66"/>
      <c r="E143" s="14"/>
      <c r="F143" s="14" t="str">
        <f t="shared" si="8"/>
        <v/>
      </c>
      <c r="G143" s="68" t="str">
        <f t="shared" si="9"/>
        <v/>
      </c>
      <c r="H143" s="69"/>
      <c r="I143" s="69" t="str">
        <f t="shared" si="10"/>
        <v/>
      </c>
      <c r="J143" s="68" t="str">
        <f t="shared" si="11"/>
        <v/>
      </c>
      <c r="K143" s="51"/>
      <c r="L143" s="89"/>
    </row>
    <row r="144" spans="1:15" ht="15.6">
      <c r="A144" s="24" t="str">
        <v>Trenton - Trenton East</v>
      </c>
      <c r="B144" s="25" t="str">
        <v>IL</v>
      </c>
      <c r="C144" s="25" t="str">
        <f>Sites[[#This Row],[SOL'#]]</f>
        <v>SOL-11060</v>
      </c>
      <c r="D144" s="54"/>
      <c r="E144" s="10"/>
      <c r="F144" s="10" t="str">
        <f t="shared" si="8"/>
        <v/>
      </c>
      <c r="G144" s="55" t="str">
        <f t="shared" si="9"/>
        <v/>
      </c>
      <c r="H144" s="67"/>
      <c r="I144" s="67" t="str">
        <f t="shared" si="10"/>
        <v/>
      </c>
      <c r="J144" s="64" t="str">
        <f t="shared" si="11"/>
        <v/>
      </c>
      <c r="K144" s="73"/>
      <c r="L144" s="98"/>
      <c r="M144" s="65"/>
      <c r="N144" s="102"/>
      <c r="O144" s="102"/>
    </row>
    <row r="145" spans="1:16" ht="84.75" customHeight="1">
      <c r="A145" s="26" t="str">
        <v>Trenton - Trenton West</v>
      </c>
      <c r="B145" s="27" t="str">
        <v>IL</v>
      </c>
      <c r="C145" s="27" t="str">
        <f>Sites[[#This Row],[SOL'#]]</f>
        <v>SOL-11061</v>
      </c>
      <c r="D145" s="66"/>
      <c r="E145" s="14"/>
      <c r="F145" s="14" t="str">
        <f t="shared" si="8"/>
        <v/>
      </c>
      <c r="G145" s="68" t="str">
        <f t="shared" si="9"/>
        <v/>
      </c>
      <c r="H145" s="69"/>
      <c r="I145" s="69" t="str">
        <f t="shared" si="10"/>
        <v/>
      </c>
      <c r="J145" s="68" t="str">
        <f t="shared" si="11"/>
        <v/>
      </c>
      <c r="K145" s="51"/>
      <c r="L145" s="101"/>
      <c r="M145" s="65"/>
      <c r="N145" s="102"/>
      <c r="O145" s="102"/>
      <c r="P145" s="102"/>
    </row>
    <row r="146" spans="1:16" ht="15.6">
      <c r="A146" s="24" t="str">
        <v>Dakota - Dakota Solar 1</v>
      </c>
      <c r="B146" s="25" t="str">
        <v>IL</v>
      </c>
      <c r="C146" s="25" t="str">
        <f>Sites[[#This Row],[SOL'#]]</f>
        <v>SOL-11113</v>
      </c>
      <c r="D146" s="54"/>
      <c r="E146" s="10"/>
      <c r="F146" s="10" t="str">
        <f t="shared" ref="F146:F171" si="12">IF(AND(ISNUMBER(D146),ISNUMBER(E146)), D146-E146, "")</f>
        <v/>
      </c>
      <c r="G146" s="55" t="str">
        <f t="shared" ref="G146:G171" si="13">IFERROR(F146/E146, "")</f>
        <v/>
      </c>
      <c r="H146" s="67"/>
      <c r="I146" s="67" t="str">
        <f t="shared" ref="I146:I171" si="14">IF(AND(ISNUMBER(D146),ISNUMBER(H146)), D146-H146, "")</f>
        <v/>
      </c>
      <c r="J146" s="64" t="str">
        <f t="shared" ref="J146:J171" si="15">IFERROR(I146/H146, "")</f>
        <v/>
      </c>
      <c r="K146" s="73"/>
      <c r="L146" s="98"/>
      <c r="M146" s="65"/>
      <c r="N146" s="102"/>
    </row>
    <row r="147" spans="1:16" ht="15.6">
      <c r="A147" s="26" t="str">
        <v>X018</v>
      </c>
      <c r="B147" s="27" t="str">
        <v>NY</v>
      </c>
      <c r="C147" s="27" t="str">
        <f>Sites[[#This Row],[SOL'#]]</f>
        <v>SOL-10418</v>
      </c>
      <c r="D147" s="66"/>
      <c r="E147" s="14"/>
      <c r="F147" s="14" t="str">
        <f t="shared" si="12"/>
        <v/>
      </c>
      <c r="G147" s="68" t="str">
        <f t="shared" si="13"/>
        <v/>
      </c>
      <c r="H147" s="69"/>
      <c r="I147" s="69" t="str">
        <f t="shared" si="14"/>
        <v/>
      </c>
      <c r="J147" s="68" t="str">
        <f t="shared" si="15"/>
        <v/>
      </c>
      <c r="K147" s="51"/>
      <c r="L147" s="88"/>
    </row>
    <row r="148" spans="1:16" ht="15.6">
      <c r="A148" s="24" t="str">
        <v>Janiak Solar</v>
      </c>
      <c r="B148" s="25" t="str">
        <v>NY</v>
      </c>
      <c r="C148" s="25" t="str">
        <f>Sites[[#This Row],[SOL'#]]</f>
        <v>SOL-10898</v>
      </c>
      <c r="D148" s="54"/>
      <c r="E148" s="10"/>
      <c r="F148" s="10" t="str">
        <f t="shared" si="12"/>
        <v/>
      </c>
      <c r="G148" s="55" t="str">
        <f t="shared" si="13"/>
        <v/>
      </c>
      <c r="H148" s="67"/>
      <c r="I148" s="67" t="str">
        <f t="shared" si="14"/>
        <v/>
      </c>
      <c r="J148" s="64" t="str">
        <f t="shared" si="15"/>
        <v/>
      </c>
      <c r="K148" s="73"/>
      <c r="L148" s="98"/>
      <c r="M148" s="65"/>
    </row>
    <row r="149" spans="1:16" ht="15.6">
      <c r="A149" s="26" t="str">
        <v>County Route 11B</v>
      </c>
      <c r="B149" s="27" t="str">
        <v>NY</v>
      </c>
      <c r="C149" s="27" t="str">
        <f>Sites[[#This Row],[SOL'#]]</f>
        <v>SOL-10983</v>
      </c>
      <c r="D149" s="66"/>
      <c r="E149" s="14"/>
      <c r="F149" s="14" t="str">
        <f t="shared" si="12"/>
        <v/>
      </c>
      <c r="G149" s="68" t="str">
        <f t="shared" si="13"/>
        <v/>
      </c>
      <c r="H149" s="166"/>
      <c r="I149" s="69" t="str">
        <f t="shared" si="14"/>
        <v/>
      </c>
      <c r="J149" s="68" t="str">
        <f t="shared" si="15"/>
        <v/>
      </c>
      <c r="K149" s="51"/>
      <c r="L149" s="101"/>
      <c r="M149" s="65"/>
    </row>
    <row r="150" spans="1:16" ht="15.6">
      <c r="A150" s="24" t="str">
        <v>Barone</v>
      </c>
      <c r="B150" s="25" t="str">
        <v>NY</v>
      </c>
      <c r="C150" s="25" t="str">
        <f>Sites[[#This Row],[SOL'#]]</f>
        <v>SOL-11034</v>
      </c>
      <c r="D150" s="54"/>
      <c r="E150" s="10"/>
      <c r="F150" s="10" t="str">
        <f t="shared" si="12"/>
        <v/>
      </c>
      <c r="G150" s="55" t="str">
        <f t="shared" si="13"/>
        <v/>
      </c>
      <c r="H150" s="67"/>
      <c r="I150" s="67" t="str">
        <f t="shared" si="14"/>
        <v/>
      </c>
      <c r="J150" s="64" t="str">
        <f t="shared" si="15"/>
        <v/>
      </c>
      <c r="K150" s="73"/>
      <c r="L150" s="98"/>
      <c r="M150" s="65"/>
      <c r="N150" s="102"/>
    </row>
    <row r="151" spans="1:16" ht="15.6">
      <c r="A151" s="26" t="str">
        <v>Cedarville</v>
      </c>
      <c r="B151" s="27" t="str">
        <v>IL</v>
      </c>
      <c r="C151" s="27" t="str">
        <f>Sites[[#This Row],[SOL'#]]</f>
        <v>SOL-11069</v>
      </c>
      <c r="D151" s="66"/>
      <c r="E151" s="14"/>
      <c r="F151" s="14" t="str">
        <f t="shared" si="12"/>
        <v/>
      </c>
      <c r="G151" s="68" t="str">
        <f t="shared" si="13"/>
        <v/>
      </c>
      <c r="H151" s="69"/>
      <c r="I151" s="69" t="str">
        <f t="shared" si="14"/>
        <v/>
      </c>
      <c r="J151" s="68" t="str">
        <f t="shared" si="15"/>
        <v/>
      </c>
      <c r="K151" s="51"/>
      <c r="L151" s="101"/>
      <c r="M151" s="65"/>
      <c r="N151" s="102"/>
    </row>
    <row r="152" spans="1:16" ht="15.6">
      <c r="A152" s="24" t="str">
        <v xml:space="preserve"> O'Brien Hill #1</v>
      </c>
      <c r="B152" s="25" t="str">
        <v>NY</v>
      </c>
      <c r="C152" s="25" t="str">
        <f>Sites[[#This Row],[SOL'#]]</f>
        <v>SOL-11098</v>
      </c>
      <c r="D152" s="54"/>
      <c r="E152" s="10"/>
      <c r="F152" s="10" t="str">
        <f t="shared" si="12"/>
        <v/>
      </c>
      <c r="G152" s="55" t="str">
        <f t="shared" si="13"/>
        <v/>
      </c>
      <c r="H152" s="126"/>
      <c r="I152" s="67" t="str">
        <f t="shared" si="14"/>
        <v/>
      </c>
      <c r="J152" s="64" t="str">
        <f t="shared" si="15"/>
        <v/>
      </c>
      <c r="K152" s="73"/>
      <c r="L152" s="98"/>
      <c r="M152" s="65"/>
      <c r="N152" s="102"/>
    </row>
    <row r="153" spans="1:16" ht="15.6">
      <c r="A153" s="26" t="str">
        <v xml:space="preserve"> O'Brien Hill #2</v>
      </c>
      <c r="B153" s="27" t="str">
        <v>NY</v>
      </c>
      <c r="C153" s="27" t="str">
        <f>Sites[[#This Row],[SOL'#]]</f>
        <v>SOL-11099</v>
      </c>
      <c r="D153" s="66"/>
      <c r="E153" s="14"/>
      <c r="F153" s="14" t="str">
        <f t="shared" si="12"/>
        <v/>
      </c>
      <c r="G153" s="68" t="str">
        <f t="shared" si="13"/>
        <v/>
      </c>
      <c r="H153" s="166"/>
      <c r="I153" s="69" t="str">
        <f t="shared" si="14"/>
        <v/>
      </c>
      <c r="J153" s="68" t="str">
        <f t="shared" si="15"/>
        <v/>
      </c>
      <c r="K153" s="186"/>
      <c r="L153" s="102"/>
    </row>
    <row r="154" spans="1:16" ht="15.6">
      <c r="A154" s="24" t="str">
        <v>Trinity - Freeport</v>
      </c>
      <c r="B154" s="25" t="str">
        <v>IL</v>
      </c>
      <c r="C154" s="25" t="str">
        <f>Sites[[#This Row],[SOL'#]]</f>
        <v>SOL-11057</v>
      </c>
      <c r="D154" s="54"/>
      <c r="E154" s="10"/>
      <c r="F154" s="10" t="str">
        <f t="shared" si="12"/>
        <v/>
      </c>
      <c r="G154" s="55" t="str">
        <f t="shared" si="13"/>
        <v/>
      </c>
      <c r="H154" s="67"/>
      <c r="I154" s="67" t="str">
        <f t="shared" si="14"/>
        <v/>
      </c>
      <c r="J154" s="64" t="str">
        <f t="shared" si="15"/>
        <v/>
      </c>
      <c r="K154" s="73"/>
      <c r="L154" s="98"/>
      <c r="M154" s="65"/>
      <c r="N154" s="102"/>
    </row>
    <row r="155" spans="1:16" ht="15.6">
      <c r="A155" s="26" t="str">
        <v>Ransom</v>
      </c>
      <c r="B155" s="27" t="str">
        <v>NY</v>
      </c>
      <c r="C155" s="27" t="str">
        <f>Sites[[#This Row],[SOL'#]]</f>
        <v>SOL-11157</v>
      </c>
      <c r="D155" s="66"/>
      <c r="E155" s="14"/>
      <c r="F155" s="14" t="str">
        <f t="shared" si="12"/>
        <v/>
      </c>
      <c r="G155" s="68" t="str">
        <f t="shared" si="13"/>
        <v/>
      </c>
      <c r="H155" s="166"/>
      <c r="I155" s="69" t="str">
        <f t="shared" si="14"/>
        <v/>
      </c>
      <c r="J155" s="68" t="str">
        <f t="shared" si="15"/>
        <v/>
      </c>
      <c r="K155" s="51"/>
      <c r="L155" s="101"/>
      <c r="M155" s="65"/>
      <c r="N155" s="102"/>
      <c r="O155" s="102"/>
    </row>
    <row r="156" spans="1:16" ht="15.6">
      <c r="A156" s="24" t="str">
        <v>Horseheads - Wedge</v>
      </c>
      <c r="B156" s="25" t="str">
        <v>NY</v>
      </c>
      <c r="C156" s="25" t="str">
        <f>Sites[[#This Row],[SOL'#]]</f>
        <v>SOL-11160</v>
      </c>
      <c r="D156" s="54"/>
      <c r="E156" s="10"/>
      <c r="F156" s="10" t="str">
        <f t="shared" si="12"/>
        <v/>
      </c>
      <c r="G156" s="55" t="str">
        <f t="shared" si="13"/>
        <v/>
      </c>
      <c r="H156" s="126"/>
      <c r="I156" s="67" t="str">
        <f t="shared" si="14"/>
        <v/>
      </c>
      <c r="J156" s="64" t="str">
        <f t="shared" si="15"/>
        <v/>
      </c>
      <c r="K156" s="73"/>
      <c r="L156" s="98"/>
      <c r="M156" s="65"/>
      <c r="N156" s="102"/>
    </row>
    <row r="157" spans="1:16" ht="15.6">
      <c r="A157" s="26" t="str">
        <v>Otisville - Shoddy Hollow</v>
      </c>
      <c r="B157" s="27" t="str">
        <v>NY</v>
      </c>
      <c r="C157" s="27" t="str">
        <f>Sites[[#This Row],[SOL'#]]</f>
        <v>SOL-11185</v>
      </c>
      <c r="D157" s="66"/>
      <c r="E157" s="14"/>
      <c r="F157" s="14" t="str">
        <f t="shared" si="12"/>
        <v/>
      </c>
      <c r="G157" s="68" t="str">
        <f t="shared" si="13"/>
        <v/>
      </c>
      <c r="H157" s="166"/>
      <c r="I157" s="69" t="str">
        <f t="shared" si="14"/>
        <v/>
      </c>
      <c r="J157" s="68" t="str">
        <f t="shared" si="15"/>
        <v/>
      </c>
      <c r="K157" s="51"/>
      <c r="L157" s="102"/>
      <c r="M157" s="65"/>
    </row>
    <row r="158" spans="1:16" ht="15.6">
      <c r="A158" s="24" t="str">
        <v>Wellsville - Chenunda Creek</v>
      </c>
      <c r="B158" s="25" t="str">
        <v>NY</v>
      </c>
      <c r="C158" s="25" t="str">
        <f>Sites[[#This Row],[SOL'#]]</f>
        <v>SOL-11187</v>
      </c>
      <c r="D158" s="54"/>
      <c r="E158" s="10"/>
      <c r="F158" s="10" t="str">
        <f t="shared" si="12"/>
        <v/>
      </c>
      <c r="G158" s="55" t="str">
        <f t="shared" si="13"/>
        <v/>
      </c>
      <c r="H158" s="126"/>
      <c r="I158" s="67" t="str">
        <f t="shared" si="14"/>
        <v/>
      </c>
      <c r="J158" s="64" t="str">
        <f t="shared" si="15"/>
        <v/>
      </c>
      <c r="K158" s="73"/>
      <c r="L158" s="98"/>
      <c r="M158" s="65"/>
      <c r="N158" s="102"/>
      <c r="O158" s="102"/>
      <c r="P158" s="102"/>
    </row>
    <row r="159" spans="1:16" ht="15.6">
      <c r="A159" s="26" t="str">
        <v>DC: Washington - Essex Condominium</v>
      </c>
      <c r="B159" s="27" t="str">
        <v>DC</v>
      </c>
      <c r="C159" s="27" t="str">
        <f>Sites[[#This Row],[SOL'#]]</f>
        <v>SOL-10036</v>
      </c>
      <c r="D159" s="66"/>
      <c r="E159" s="14"/>
      <c r="F159" s="14" t="str">
        <f t="shared" si="12"/>
        <v/>
      </c>
      <c r="G159" s="68" t="str">
        <f t="shared" si="13"/>
        <v/>
      </c>
      <c r="H159" s="69"/>
      <c r="I159" s="69" t="str">
        <f t="shared" si="14"/>
        <v/>
      </c>
      <c r="J159" s="68" t="str">
        <f t="shared" si="15"/>
        <v/>
      </c>
      <c r="K159" s="51"/>
      <c r="L159" s="88"/>
    </row>
    <row r="160" spans="1:16" ht="15.6">
      <c r="A160" s="24" t="str">
        <v>HI: Waipahu - 94-246 Leoku St - E.F.G.</v>
      </c>
      <c r="B160" s="25" t="str">
        <v>HI</v>
      </c>
      <c r="C160" s="25" t="str">
        <f>Sites[[#This Row],[SOL'#]]</f>
        <v>SOL-10071</v>
      </c>
      <c r="D160" s="54"/>
      <c r="E160" s="10"/>
      <c r="F160" s="10" t="str">
        <f t="shared" si="12"/>
        <v/>
      </c>
      <c r="G160" s="55" t="str">
        <f t="shared" si="13"/>
        <v/>
      </c>
      <c r="H160" s="67"/>
      <c r="I160" s="67" t="str">
        <f t="shared" si="14"/>
        <v/>
      </c>
      <c r="J160" s="64" t="str">
        <f t="shared" si="15"/>
        <v/>
      </c>
      <c r="K160" s="73"/>
      <c r="L160" s="98"/>
      <c r="M160" s="172"/>
      <c r="N160" s="102"/>
    </row>
    <row r="161" spans="1:19" ht="15.6">
      <c r="A161" s="26" t="str">
        <v>HI: Waipahu - 94-099 Waipahu St - PV</v>
      </c>
      <c r="B161" s="27" t="str">
        <v>HI</v>
      </c>
      <c r="C161" s="27" t="str">
        <f>Sites[[#This Row],[SOL'#]]</f>
        <v>SOL-10068</v>
      </c>
      <c r="D161" s="66"/>
      <c r="E161" s="14"/>
      <c r="F161" s="14" t="str">
        <f t="shared" si="12"/>
        <v/>
      </c>
      <c r="G161" s="68" t="str">
        <f t="shared" si="13"/>
        <v/>
      </c>
      <c r="H161" s="69"/>
      <c r="I161" s="69" t="str">
        <f t="shared" si="14"/>
        <v/>
      </c>
      <c r="J161" s="68" t="str">
        <f t="shared" si="15"/>
        <v/>
      </c>
      <c r="K161" s="51"/>
      <c r="L161" s="88"/>
    </row>
    <row r="162" spans="1:19" ht="15.6">
      <c r="A162" s="24" t="str">
        <v>IL: Prophetstown - 5170 Yager Road (PW)</v>
      </c>
      <c r="B162" s="25" t="str">
        <v>IL</v>
      </c>
      <c r="C162" s="25" t="str">
        <f>Sites[[#This Row],[SOL'#]]</f>
        <v>SOL-11149</v>
      </c>
      <c r="D162" s="54"/>
      <c r="E162" s="10"/>
      <c r="F162" s="10" t="str">
        <f t="shared" si="12"/>
        <v/>
      </c>
      <c r="G162" s="55" t="str">
        <f t="shared" si="13"/>
        <v/>
      </c>
      <c r="H162" s="67"/>
      <c r="I162" s="67" t="str">
        <f t="shared" si="14"/>
        <v/>
      </c>
      <c r="J162" s="64" t="str">
        <f t="shared" si="15"/>
        <v/>
      </c>
      <c r="K162" s="73"/>
      <c r="L162" s="98"/>
      <c r="M162" s="101"/>
      <c r="N162" s="102"/>
      <c r="O162" s="102"/>
      <c r="P162" s="102"/>
      <c r="Q162" s="102"/>
      <c r="R162" s="102"/>
      <c r="S162" s="102"/>
    </row>
    <row r="163" spans="1:19" ht="15.6">
      <c r="A163" s="26" t="str">
        <v>IL: Viola - Goldenrod - (PW)</v>
      </c>
      <c r="B163" s="27" t="str">
        <v>IL</v>
      </c>
      <c r="C163" s="27" t="str">
        <f>Sites[[#This Row],[SOL'#]]</f>
        <v>SOL-11132</v>
      </c>
      <c r="D163" s="66"/>
      <c r="E163" s="14"/>
      <c r="F163" s="14" t="str">
        <f t="shared" si="12"/>
        <v/>
      </c>
      <c r="G163" s="68" t="str">
        <f t="shared" si="13"/>
        <v/>
      </c>
      <c r="H163" s="69"/>
      <c r="I163" s="69" t="str">
        <f t="shared" si="14"/>
        <v/>
      </c>
      <c r="J163" s="68" t="str">
        <f t="shared" si="15"/>
        <v/>
      </c>
      <c r="K163" s="51"/>
      <c r="L163" s="102"/>
    </row>
    <row r="164" spans="1:19" ht="15.6">
      <c r="A164" s="24" t="str">
        <v>IL: Marengo - Grant - (PW)</v>
      </c>
      <c r="B164" s="25" t="str">
        <v>IL</v>
      </c>
      <c r="C164" s="25" t="str">
        <f>Sites[[#This Row],[SOL'#]]</f>
        <v>SOL-11147</v>
      </c>
      <c r="D164" s="54"/>
      <c r="E164" s="10"/>
      <c r="F164" s="10" t="str">
        <f t="shared" si="12"/>
        <v/>
      </c>
      <c r="G164" s="55" t="str">
        <f t="shared" si="13"/>
        <v/>
      </c>
      <c r="H164" s="67"/>
      <c r="I164" s="67" t="str">
        <f t="shared" si="14"/>
        <v/>
      </c>
      <c r="J164" s="64" t="str">
        <f t="shared" si="15"/>
        <v/>
      </c>
      <c r="K164" s="73"/>
      <c r="L164" s="98"/>
      <c r="M164" s="65"/>
      <c r="N164" s="102"/>
    </row>
    <row r="165" spans="1:19" ht="15.6">
      <c r="A165" s="26" t="str">
        <v>NY: Cambridge - Cambridge (PW)</v>
      </c>
      <c r="B165" s="27" t="str">
        <v>NY</v>
      </c>
      <c r="C165" s="27" t="str">
        <f>Sites[[#This Row],[SOL'#]]</f>
        <v>SOL-11126</v>
      </c>
      <c r="D165" s="66"/>
      <c r="E165" s="14"/>
      <c r="F165" s="14" t="str">
        <f t="shared" si="12"/>
        <v/>
      </c>
      <c r="G165" s="68" t="str">
        <f t="shared" si="13"/>
        <v/>
      </c>
      <c r="H165" s="69"/>
      <c r="I165" s="69" t="str">
        <f t="shared" si="14"/>
        <v/>
      </c>
      <c r="J165" s="68" t="str">
        <f t="shared" si="15"/>
        <v/>
      </c>
      <c r="K165" s="51"/>
      <c r="L165" s="102"/>
    </row>
    <row r="166" spans="1:19" ht="15.6">
      <c r="A166" s="24" t="str">
        <v>NY: Whitesville - Independence North</v>
      </c>
      <c r="B166" s="25" t="str">
        <v>NY</v>
      </c>
      <c r="C166" s="25" t="str">
        <f>Sites[[#This Row],[SOL'#]]</f>
        <v>SOL-11186</v>
      </c>
      <c r="D166" s="54"/>
      <c r="E166" s="10"/>
      <c r="F166" s="10" t="str">
        <f t="shared" si="12"/>
        <v/>
      </c>
      <c r="G166" s="55" t="str">
        <f t="shared" si="13"/>
        <v/>
      </c>
      <c r="H166" s="126"/>
      <c r="I166" s="67" t="str">
        <f t="shared" si="14"/>
        <v/>
      </c>
      <c r="J166" s="64" t="str">
        <f t="shared" si="15"/>
        <v/>
      </c>
      <c r="K166" s="73"/>
      <c r="L166" s="98"/>
      <c r="M166" s="65"/>
      <c r="N166" s="102"/>
      <c r="O166" s="102"/>
      <c r="P166" s="102"/>
    </row>
    <row r="167" spans="1:19" ht="15.6">
      <c r="A167" s="26" t="str">
        <v>IL: Beecher - Cottage Grove North (PW)</v>
      </c>
      <c r="B167" s="27" t="str">
        <v>IL</v>
      </c>
      <c r="C167" s="27" t="str">
        <f>Sites[[#This Row],[SOL'#]]</f>
        <v>SOL-11114</v>
      </c>
      <c r="D167" s="66"/>
      <c r="E167" s="14"/>
      <c r="F167" s="14" t="str">
        <f t="shared" si="12"/>
        <v/>
      </c>
      <c r="G167" s="68" t="str">
        <f t="shared" si="13"/>
        <v/>
      </c>
      <c r="H167" s="69"/>
      <c r="I167" s="69" t="str">
        <f t="shared" si="14"/>
        <v/>
      </c>
      <c r="J167" s="68" t="str">
        <f t="shared" si="15"/>
        <v/>
      </c>
      <c r="K167" s="51"/>
      <c r="L167" s="102"/>
      <c r="M167" s="65"/>
    </row>
    <row r="168" spans="1:19" ht="15.6">
      <c r="A168" s="24" t="str">
        <v>IL: Beecher - Cottage Grove South (PW)</v>
      </c>
      <c r="B168" s="25" t="str">
        <v>IL</v>
      </c>
      <c r="C168" s="25" t="str">
        <f>Sites[[#This Row],[SOL'#]]</f>
        <v>SOL-11115</v>
      </c>
      <c r="D168" s="54"/>
      <c r="E168" s="10"/>
      <c r="F168" s="10" t="str">
        <f t="shared" si="12"/>
        <v/>
      </c>
      <c r="G168" s="55" t="str">
        <f t="shared" si="13"/>
        <v/>
      </c>
      <c r="H168" s="67"/>
      <c r="I168" s="67" t="str">
        <f t="shared" si="14"/>
        <v/>
      </c>
      <c r="J168" s="64" t="str">
        <f t="shared" si="15"/>
        <v/>
      </c>
      <c r="K168" s="73"/>
      <c r="L168" s="100"/>
    </row>
    <row r="169" spans="1:19" ht="15.6">
      <c r="A169" s="26" t="str">
        <v>IL: Harvard - 9618 US HWY 14 (PW)</v>
      </c>
      <c r="B169" s="27" t="str">
        <v>IL</v>
      </c>
      <c r="C169" s="27" t="str">
        <f>Sites[[#This Row],[SOL'#]]</f>
        <v>SOL-11110</v>
      </c>
      <c r="D169" s="66"/>
      <c r="E169" s="14"/>
      <c r="F169" s="14" t="str">
        <f t="shared" si="12"/>
        <v/>
      </c>
      <c r="G169" s="68" t="str">
        <f t="shared" si="13"/>
        <v/>
      </c>
      <c r="H169" s="69"/>
      <c r="I169" s="69" t="str">
        <f t="shared" si="14"/>
        <v/>
      </c>
      <c r="J169" s="68" t="str">
        <f t="shared" si="15"/>
        <v/>
      </c>
      <c r="K169" s="51"/>
      <c r="L169" s="102"/>
    </row>
    <row r="170" spans="1:19" ht="15.6">
      <c r="A170" s="24" t="str">
        <v>IL: Beecher - 701 E Goodenow Rd (PW)</v>
      </c>
      <c r="B170" s="25" t="str">
        <v>IL</v>
      </c>
      <c r="C170" s="25" t="str">
        <f>Sites[[#This Row],[SOL'#]]</f>
        <v>SOL-11112</v>
      </c>
      <c r="D170" s="54"/>
      <c r="E170" s="10"/>
      <c r="F170" s="10" t="str">
        <f t="shared" si="12"/>
        <v/>
      </c>
      <c r="G170" s="55" t="str">
        <f t="shared" si="13"/>
        <v/>
      </c>
      <c r="H170" s="67"/>
      <c r="I170" s="67" t="str">
        <f t="shared" si="14"/>
        <v/>
      </c>
      <c r="J170" s="64" t="str">
        <f t="shared" si="15"/>
        <v/>
      </c>
      <c r="K170" s="73"/>
      <c r="L170" s="100"/>
      <c r="N170" s="102"/>
      <c r="O170" s="102"/>
    </row>
    <row r="171" spans="1:19" ht="15.6">
      <c r="A171" s="26" t="str">
        <v>NY: Stormville - Green Haven - (IRA)</v>
      </c>
      <c r="B171" s="27" t="str">
        <v>NY</v>
      </c>
      <c r="C171" s="27" t="str">
        <f>Sites[[#This Row],[SOL'#]]</f>
        <v>SOL-11151</v>
      </c>
      <c r="D171" s="66"/>
      <c r="E171" s="14"/>
      <c r="F171" s="14" t="str">
        <f t="shared" si="12"/>
        <v/>
      </c>
      <c r="G171" s="68" t="str">
        <f t="shared" si="13"/>
        <v/>
      </c>
      <c r="H171" s="166"/>
      <c r="I171" s="69" t="str">
        <f t="shared" si="14"/>
        <v/>
      </c>
      <c r="J171" s="68" t="str">
        <f t="shared" si="15"/>
        <v/>
      </c>
      <c r="K171" s="51"/>
      <c r="L171" s="88"/>
    </row>
    <row r="172" spans="1:19" ht="14.45">
      <c r="A172" s="17" t="str">
        <v>IL: Hillsboro - Anacott (PW)</v>
      </c>
      <c r="B172" s="29" t="str">
        <v>IL</v>
      </c>
      <c r="C172" s="29"/>
      <c r="D172" s="17"/>
      <c r="E172" s="17"/>
      <c r="F172" s="17"/>
      <c r="G172" s="18"/>
      <c r="H172" s="17"/>
      <c r="I172" s="17"/>
      <c r="J172" s="18"/>
      <c r="K172" s="17"/>
      <c r="L172" s="17"/>
    </row>
    <row r="173" spans="1:19">
      <c r="A173" t="str">
        <v>IL: Manhattan - Gougar (PW)</v>
      </c>
      <c r="B173" s="30" t="str">
        <v>IL</v>
      </c>
    </row>
    <row r="174" spans="1:19">
      <c r="A174" t="str">
        <v>IL: Morrison - Sawyer (PW)</v>
      </c>
      <c r="B174" s="30" t="str">
        <v>IL</v>
      </c>
    </row>
    <row r="175" spans="1:19">
      <c r="A175" t="str">
        <v>IL: Kankakee - Jeffery (PW)</v>
      </c>
      <c r="B175" s="30" t="str">
        <v>IL</v>
      </c>
    </row>
    <row r="176" spans="1:19">
      <c r="A176" t="str">
        <v>IL: Freeport - 2240 South 18th Ave (PW)</v>
      </c>
      <c r="B176" s="30" t="str">
        <v>IL</v>
      </c>
    </row>
  </sheetData>
  <mergeCells count="4">
    <mergeCell ref="H1:J1"/>
    <mergeCell ref="A1:D1"/>
    <mergeCell ref="E1:G1"/>
    <mergeCell ref="A2:B2"/>
  </mergeCells>
  <phoneticPr fontId="40" type="noConversion"/>
  <conditionalFormatting sqref="G2 J2">
    <cfRule type="cellIs" dxfId="14" priority="29" stopIfTrue="1" operator="lessThanOrEqual">
      <formula>-0.1</formula>
    </cfRule>
    <cfRule type="expression" dxfId="13" priority="30">
      <formula>AND(ISNUMBER(G2), G2&gt;=0.1)</formula>
    </cfRule>
  </conditionalFormatting>
  <conditionalFormatting sqref="G4:G171 J4:J171">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R176"/>
  <sheetViews>
    <sheetView zoomScale="40" zoomScaleNormal="40" workbookViewId="0">
      <pane xSplit="2" ySplit="3" topLeftCell="C142"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 min="13" max="13" width="18" style="103" customWidth="1"/>
  </cols>
  <sheetData>
    <row r="1" spans="1:14" ht="19.5" customHeight="1">
      <c r="A1" s="195" t="str" cm="1">
        <f t="array" ref="A1">portfolio</f>
        <v>Generate Capital</v>
      </c>
      <c r="B1" s="195"/>
      <c r="C1" s="195"/>
      <c r="D1" s="195"/>
      <c r="E1" s="196" t="s">
        <v>391</v>
      </c>
      <c r="F1" s="196"/>
      <c r="G1" s="196"/>
      <c r="H1" s="194" t="s">
        <v>392</v>
      </c>
      <c r="I1" s="194"/>
      <c r="J1" s="194"/>
      <c r="K1" s="4"/>
      <c r="L1" s="4"/>
    </row>
    <row r="2" spans="1:14" ht="19.5" customHeight="1">
      <c r="A2" s="197" t="s">
        <v>2</v>
      </c>
      <c r="B2" s="197"/>
      <c r="C2" s="57"/>
      <c r="D2" s="5">
        <f>SUM(D4:D200)</f>
        <v>0</v>
      </c>
      <c r="E2" s="5">
        <f>SUM(E4:E200)</f>
        <v>0</v>
      </c>
      <c r="F2" s="5">
        <f>D2-E2</f>
        <v>0</v>
      </c>
      <c r="G2" s="6">
        <f>IFERROR(F2/E2, 0)</f>
        <v>0</v>
      </c>
      <c r="H2" s="5">
        <f>SUM(H4:H200)</f>
        <v>0</v>
      </c>
      <c r="I2" s="7">
        <f>D2-H2</f>
        <v>0</v>
      </c>
      <c r="J2" s="6">
        <f>IFERROR(I2/H2, 0)</f>
        <v>0</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4" ht="14.25" customHeight="1">
      <c r="A3" s="8" t="s">
        <v>3</v>
      </c>
      <c r="B3" s="8" t="s">
        <v>4</v>
      </c>
      <c r="C3" s="8" t="s">
        <v>5</v>
      </c>
      <c r="D3" s="19" t="s">
        <v>6</v>
      </c>
      <c r="E3" s="31" t="s">
        <v>7</v>
      </c>
      <c r="F3" s="31" t="s">
        <v>8</v>
      </c>
      <c r="G3" s="32" t="s">
        <v>9</v>
      </c>
      <c r="H3" s="33" t="s">
        <v>10</v>
      </c>
      <c r="I3" s="34" t="s">
        <v>8</v>
      </c>
      <c r="J3" s="35" t="s">
        <v>9</v>
      </c>
      <c r="K3" s="21" t="s">
        <v>24</v>
      </c>
      <c r="L3" s="21" t="s">
        <v>25</v>
      </c>
      <c r="M3" s="170" t="s">
        <v>26</v>
      </c>
    </row>
    <row r="4" spans="1:14" ht="15.6">
      <c r="A4" s="28" t="str" cm="1">
        <f t="array" ref="A4:A176">Sites[Site]</f>
        <v>K026</v>
      </c>
      <c r="B4" s="25" t="str" cm="1">
        <f t="array" ref="B4:B176">Sites[State]</f>
        <v>NY</v>
      </c>
      <c r="C4" s="25" t="str">
        <f>Sites[[#This Row],[SOL'#]]</f>
        <v>SOL-10356</v>
      </c>
      <c r="D4" s="20"/>
      <c r="E4" s="10"/>
      <c r="F4" s="10" t="str">
        <f>IF(AND(ISNUMBER(D4),ISNUMBER(E4)), D4-E4, "")</f>
        <v/>
      </c>
      <c r="G4" s="11" t="str">
        <f>IFERROR(F4/E4, "")</f>
        <v/>
      </c>
      <c r="H4" s="12"/>
      <c r="I4" s="12" t="str">
        <f>IF(AND(ISNUMBER(D4),ISNUMBER(H4)), D4-H4, "")</f>
        <v/>
      </c>
      <c r="J4" s="13" t="str">
        <f>IFERROR(I4/H4, "")</f>
        <v/>
      </c>
      <c r="K4" s="49"/>
      <c r="L4" s="109"/>
      <c r="M4" s="47"/>
    </row>
    <row r="5" spans="1:14" ht="15.6">
      <c r="A5" s="26" t="str">
        <v>K041</v>
      </c>
      <c r="B5" s="27" t="str">
        <v>NY</v>
      </c>
      <c r="C5" s="26" t="str">
        <f>Sites[[#This Row],[SOL'#]]</f>
        <v>SOL-10357</v>
      </c>
      <c r="D5" s="9"/>
      <c r="E5" s="14"/>
      <c r="F5" s="14" t="str">
        <f t="shared" ref="F5:F17" si="0">IF(AND(ISNUMBER(D5),ISNUMBER(E5)), D5-E5, "")</f>
        <v/>
      </c>
      <c r="G5" s="15" t="str">
        <f>IFERROR(F5/E5, "")</f>
        <v/>
      </c>
      <c r="H5" s="16"/>
      <c r="I5" s="16" t="str">
        <f t="shared" ref="I5:I17" si="1">IF(AND(ISNUMBER(D5),ISNUMBER(H5)), D5-H5, "")</f>
        <v/>
      </c>
      <c r="J5" s="15" t="str">
        <f t="shared" ref="J5:J17" si="2">IFERROR(I5/H5, "")</f>
        <v/>
      </c>
      <c r="K5" s="185"/>
      <c r="L5" s="185"/>
      <c r="M5" s="186"/>
    </row>
    <row r="6" spans="1:14" ht="15.6">
      <c r="A6" s="24" t="str">
        <v>K043</v>
      </c>
      <c r="B6" s="25" t="str">
        <v>NY</v>
      </c>
      <c r="C6" s="25" t="str">
        <f>Sites[[#This Row],[SOL'#]]</f>
        <v>SOL-10358</v>
      </c>
      <c r="D6" s="20"/>
      <c r="E6" s="10"/>
      <c r="F6" s="10" t="str">
        <f t="shared" si="0"/>
        <v/>
      </c>
      <c r="G6" s="11" t="str">
        <f t="shared" ref="G6:G16" si="3">IFERROR(F6/E6, "")</f>
        <v/>
      </c>
      <c r="H6" s="12"/>
      <c r="I6" s="12" t="str">
        <f t="shared" si="1"/>
        <v/>
      </c>
      <c r="J6" s="13" t="str">
        <f t="shared" si="2"/>
        <v/>
      </c>
      <c r="K6" s="49"/>
      <c r="L6" s="49"/>
      <c r="M6" s="47"/>
    </row>
    <row r="7" spans="1:14" ht="24.75" customHeight="1">
      <c r="A7" s="26" t="str">
        <v>K058</v>
      </c>
      <c r="B7" s="27" t="str">
        <v>NY</v>
      </c>
      <c r="C7" s="26" t="str">
        <f>Sites[[#This Row],[SOL'#]]</f>
        <v>SOL-10360</v>
      </c>
      <c r="D7" s="9"/>
      <c r="E7" s="14"/>
      <c r="F7" s="14" t="str">
        <f t="shared" si="0"/>
        <v/>
      </c>
      <c r="G7" s="15" t="str">
        <f t="shared" si="3"/>
        <v/>
      </c>
      <c r="H7" s="16"/>
      <c r="I7" s="16" t="str">
        <f t="shared" si="1"/>
        <v/>
      </c>
      <c r="J7" s="15" t="str">
        <f t="shared" si="2"/>
        <v/>
      </c>
      <c r="K7" s="185"/>
      <c r="L7" s="91"/>
    </row>
    <row r="8" spans="1:14" ht="15.6">
      <c r="A8" s="24" t="str">
        <v>K115</v>
      </c>
      <c r="B8" s="25" t="str">
        <v>NY</v>
      </c>
      <c r="C8" s="25" t="str">
        <f>Sites[[#This Row],[SOL'#]]</f>
        <v>SOL-10361</v>
      </c>
      <c r="D8" s="20"/>
      <c r="E8" s="10"/>
      <c r="F8" s="10" t="str">
        <f t="shared" si="0"/>
        <v/>
      </c>
      <c r="G8" s="11" t="str">
        <f t="shared" si="3"/>
        <v/>
      </c>
      <c r="H8" s="12"/>
      <c r="I8" s="12" t="str">
        <f t="shared" si="1"/>
        <v/>
      </c>
      <c r="J8" s="13" t="str">
        <f t="shared" si="2"/>
        <v/>
      </c>
      <c r="K8" s="49"/>
      <c r="L8" s="109"/>
      <c r="M8" s="47"/>
    </row>
    <row r="9" spans="1:14" ht="15.6">
      <c r="A9" s="26" t="str">
        <v>K152</v>
      </c>
      <c r="B9" s="27" t="str">
        <v>NY</v>
      </c>
      <c r="C9" s="26" t="str">
        <f>Sites[[#This Row],[SOL'#]]</f>
        <v>SOL-10362</v>
      </c>
      <c r="D9" s="9"/>
      <c r="E9" s="14"/>
      <c r="F9" s="14" t="str">
        <f t="shared" si="0"/>
        <v/>
      </c>
      <c r="G9" s="15" t="str">
        <f t="shared" si="3"/>
        <v/>
      </c>
      <c r="H9" s="16"/>
      <c r="I9" s="16" t="str">
        <f t="shared" si="1"/>
        <v/>
      </c>
      <c r="J9" s="15" t="str">
        <f t="shared" si="2"/>
        <v/>
      </c>
      <c r="K9" s="185"/>
      <c r="L9" s="92"/>
    </row>
    <row r="10" spans="1:14" ht="64.5" customHeight="1">
      <c r="A10" s="24" t="str">
        <v>K166</v>
      </c>
      <c r="B10" s="25" t="str">
        <v>NY</v>
      </c>
      <c r="C10" s="25" t="str">
        <f>Sites[[#This Row],[SOL'#]]</f>
        <v>SOL-10363</v>
      </c>
      <c r="D10" s="20"/>
      <c r="E10" s="10"/>
      <c r="F10" s="10" t="str">
        <f t="shared" si="0"/>
        <v/>
      </c>
      <c r="G10" s="11" t="str">
        <f t="shared" si="3"/>
        <v/>
      </c>
      <c r="H10" s="12"/>
      <c r="I10" s="12" t="str">
        <f t="shared" si="1"/>
        <v/>
      </c>
      <c r="J10" s="13" t="str">
        <f t="shared" si="2"/>
        <v/>
      </c>
      <c r="K10" s="49"/>
      <c r="L10" s="109"/>
      <c r="M10" s="47"/>
    </row>
    <row r="11" spans="1:14" ht="15.6">
      <c r="A11" s="26" t="str">
        <v>K206</v>
      </c>
      <c r="B11" s="27" t="str">
        <v>NY</v>
      </c>
      <c r="C11" s="26" t="str">
        <f>Sites[[#This Row],[SOL'#]]</f>
        <v>SOL-10927</v>
      </c>
      <c r="D11" s="9"/>
      <c r="E11" s="14"/>
      <c r="F11" s="14" t="str">
        <f t="shared" si="0"/>
        <v/>
      </c>
      <c r="G11" s="15" t="str">
        <f t="shared" si="3"/>
        <v/>
      </c>
      <c r="H11" s="16"/>
      <c r="I11" s="16" t="str">
        <f t="shared" si="1"/>
        <v/>
      </c>
      <c r="J11" s="15" t="str">
        <f t="shared" si="2"/>
        <v/>
      </c>
      <c r="K11" s="185"/>
      <c r="L11" s="91"/>
    </row>
    <row r="12" spans="1:14"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49"/>
      <c r="L12" s="109"/>
      <c r="M12" s="47"/>
    </row>
    <row r="13" spans="1:14" ht="39" customHeight="1">
      <c r="A13" s="26" t="str">
        <v>K269</v>
      </c>
      <c r="B13" s="27" t="str">
        <v>NY</v>
      </c>
      <c r="C13" s="26" t="str">
        <f>Sites[[#This Row],[SOL'#]]</f>
        <v>SOL-10366</v>
      </c>
      <c r="D13" s="9"/>
      <c r="E13" s="14"/>
      <c r="F13" s="14" t="str">
        <f t="shared" si="0"/>
        <v/>
      </c>
      <c r="G13" s="15" t="str">
        <f t="shared" si="3"/>
        <v/>
      </c>
      <c r="H13" s="16"/>
      <c r="I13" s="16" t="str">
        <f t="shared" si="1"/>
        <v/>
      </c>
      <c r="J13" s="15" t="str">
        <f t="shared" si="2"/>
        <v/>
      </c>
      <c r="K13" s="185"/>
      <c r="L13" s="91"/>
    </row>
    <row r="14" spans="1:14" ht="39" customHeight="1">
      <c r="A14" s="24" t="str">
        <v>K273</v>
      </c>
      <c r="B14" s="25" t="str">
        <v>NY</v>
      </c>
      <c r="C14" s="25" t="str">
        <f>Sites[[#This Row],[SOL'#]]</f>
        <v>SOL-10367</v>
      </c>
      <c r="D14" s="20"/>
      <c r="E14" s="10"/>
      <c r="F14" s="10" t="str">
        <f t="shared" si="0"/>
        <v/>
      </c>
      <c r="G14" s="11" t="str">
        <f t="shared" si="3"/>
        <v/>
      </c>
      <c r="H14" s="12"/>
      <c r="I14" s="12" t="str">
        <f t="shared" si="1"/>
        <v/>
      </c>
      <c r="J14" s="13" t="str">
        <f t="shared" si="2"/>
        <v/>
      </c>
      <c r="K14" s="49"/>
      <c r="L14" s="109"/>
      <c r="M14" s="49"/>
      <c r="N14" s="111"/>
    </row>
    <row r="15" spans="1:14" ht="15.6">
      <c r="A15" s="26" t="str">
        <v>K287</v>
      </c>
      <c r="B15" s="27" t="str">
        <v>NY</v>
      </c>
      <c r="C15" s="26" t="str">
        <f>Sites[[#This Row],[SOL'#]]</f>
        <v>SOL-10919</v>
      </c>
      <c r="D15" s="9"/>
      <c r="E15" s="14"/>
      <c r="F15" s="14" t="str">
        <f t="shared" si="0"/>
        <v/>
      </c>
      <c r="G15" s="15" t="str">
        <f t="shared" si="3"/>
        <v/>
      </c>
      <c r="H15" s="16"/>
      <c r="I15" s="16" t="str">
        <f t="shared" si="1"/>
        <v/>
      </c>
      <c r="J15" s="15" t="str">
        <f t="shared" si="2"/>
        <v/>
      </c>
      <c r="K15" s="185"/>
      <c r="L15" s="91"/>
      <c r="M15" s="91"/>
    </row>
    <row r="16" spans="1:14" ht="42" customHeight="1">
      <c r="A16" s="24" t="str">
        <v>K298</v>
      </c>
      <c r="B16" s="25" t="str">
        <v>NY</v>
      </c>
      <c r="C16" s="25" t="str">
        <f>Sites[[#This Row],[SOL'#]]</f>
        <v>SOL-10368</v>
      </c>
      <c r="D16" s="20"/>
      <c r="E16" s="10"/>
      <c r="F16" s="10" t="str">
        <f>IF(AND(ISNUMBER(D16),ISNUMBER(E16)), D16-E16, "")</f>
        <v/>
      </c>
      <c r="G16" s="11" t="str">
        <f t="shared" si="3"/>
        <v/>
      </c>
      <c r="H16" s="12"/>
      <c r="I16" s="12" t="str">
        <f t="shared" si="1"/>
        <v/>
      </c>
      <c r="J16" s="13" t="str">
        <f>IFERROR(I16/H16, "")</f>
        <v/>
      </c>
      <c r="K16" s="49"/>
      <c r="L16" s="49"/>
      <c r="M16" s="49"/>
    </row>
    <row r="17" spans="1:13" ht="15.6">
      <c r="A17" s="26" t="str">
        <v>K335</v>
      </c>
      <c r="B17" s="27" t="str">
        <v>NY</v>
      </c>
      <c r="C17" s="26" t="str">
        <f>Sites[[#This Row],[SOL'#]]</f>
        <v>SOL-10370</v>
      </c>
      <c r="D17" s="9"/>
      <c r="E17" s="14"/>
      <c r="F17" s="14" t="str">
        <f t="shared" si="0"/>
        <v/>
      </c>
      <c r="G17" s="15" t="str">
        <f t="shared" ref="G17:G48" si="4">IFERROR(F17/E17, "")</f>
        <v/>
      </c>
      <c r="H17" s="16"/>
      <c r="I17" s="16" t="str">
        <f t="shared" si="1"/>
        <v/>
      </c>
      <c r="J17" s="15" t="str">
        <f t="shared" si="2"/>
        <v/>
      </c>
      <c r="K17" s="185"/>
      <c r="L17" s="91"/>
      <c r="M17" s="91"/>
    </row>
    <row r="18" spans="1:13" ht="74.25" customHeight="1">
      <c r="A18" s="24" t="str">
        <v>K345</v>
      </c>
      <c r="B18" s="25" t="str">
        <v>NY</v>
      </c>
      <c r="C18" s="25" t="str">
        <f>Sites[[#This Row],[SOL'#]]</f>
        <v>SOL-10920</v>
      </c>
      <c r="D18" s="20"/>
      <c r="E18" s="10"/>
      <c r="F18" s="10" t="str">
        <f t="shared" ref="F18:F49" si="5">IF(AND(ISNUMBER(D18),ISNUMBER(E18)), D18-E18, "")</f>
        <v/>
      </c>
      <c r="G18" s="11" t="str">
        <f t="shared" si="4"/>
        <v/>
      </c>
      <c r="H18" s="12"/>
      <c r="I18" s="12" t="str">
        <f t="shared" ref="I18:I49" si="6">IF(AND(ISNUMBER(D18),ISNUMBER(H18)), D18-H18, "")</f>
        <v/>
      </c>
      <c r="J18" s="13" t="str">
        <f t="shared" ref="J18:J49" si="7">IFERROR(I18/H18, "")</f>
        <v/>
      </c>
      <c r="K18" s="49"/>
      <c r="L18" s="109"/>
      <c r="M18" s="49"/>
    </row>
    <row r="19" spans="1:13" ht="15.6">
      <c r="A19" s="26" t="str">
        <v>K445</v>
      </c>
      <c r="B19" s="27" t="str">
        <v>NY</v>
      </c>
      <c r="C19" s="26" t="str">
        <f>Sites[[#This Row],[SOL'#]]</f>
        <v>SOL-10373</v>
      </c>
      <c r="D19" s="9"/>
      <c r="E19" s="14"/>
      <c r="F19" s="14" t="str">
        <f t="shared" si="5"/>
        <v/>
      </c>
      <c r="G19" s="15" t="str">
        <f t="shared" si="4"/>
        <v/>
      </c>
      <c r="H19" s="16"/>
      <c r="I19" s="16" t="str">
        <f t="shared" si="6"/>
        <v/>
      </c>
      <c r="J19" s="15" t="str">
        <f t="shared" si="7"/>
        <v/>
      </c>
      <c r="K19" s="185"/>
      <c r="L19" s="110"/>
      <c r="M19" s="91"/>
    </row>
    <row r="20" spans="1:13" ht="36" customHeight="1">
      <c r="A20" s="24" t="str">
        <v>K495</v>
      </c>
      <c r="B20" s="25" t="str">
        <v>NY</v>
      </c>
      <c r="C20" s="25" t="str">
        <f>Sites[[#This Row],[SOL'#]]</f>
        <v>SOL-10374</v>
      </c>
      <c r="D20" s="20"/>
      <c r="E20" s="10"/>
      <c r="F20" s="10" t="str">
        <f t="shared" si="5"/>
        <v/>
      </c>
      <c r="G20" s="11" t="str">
        <f t="shared" si="4"/>
        <v/>
      </c>
      <c r="H20" s="12"/>
      <c r="I20" s="12" t="str">
        <f t="shared" si="6"/>
        <v/>
      </c>
      <c r="J20" s="13" t="str">
        <f t="shared" si="7"/>
        <v/>
      </c>
      <c r="K20" s="49"/>
      <c r="L20" s="109"/>
      <c r="M20" s="49"/>
    </row>
    <row r="21" spans="1:13" ht="15.6">
      <c r="A21" s="26" t="str">
        <v>M020</v>
      </c>
      <c r="B21" s="27" t="str">
        <v>NY</v>
      </c>
      <c r="C21" s="26" t="str">
        <f>Sites[[#This Row],[SOL'#]]</f>
        <v>SOL-10380</v>
      </c>
      <c r="D21" s="9"/>
      <c r="E21" s="14"/>
      <c r="F21" s="14" t="str">
        <f t="shared" si="5"/>
        <v/>
      </c>
      <c r="G21" s="15" t="str">
        <f t="shared" si="4"/>
        <v/>
      </c>
      <c r="H21" s="16"/>
      <c r="I21" s="16" t="str">
        <f t="shared" si="6"/>
        <v/>
      </c>
      <c r="J21" s="15" t="str">
        <f t="shared" si="7"/>
        <v/>
      </c>
      <c r="K21" s="185"/>
      <c r="L21" s="110"/>
    </row>
    <row r="22" spans="1:13" ht="15.6">
      <c r="A22" s="24" t="str">
        <v>M092</v>
      </c>
      <c r="B22" s="25" t="str">
        <v>NY</v>
      </c>
      <c r="C22" s="25" t="str">
        <f>Sites[[#This Row],[SOL'#]]</f>
        <v>SOL-10383</v>
      </c>
      <c r="D22" s="20"/>
      <c r="E22" s="10"/>
      <c r="F22" s="10" t="str">
        <f t="shared" si="5"/>
        <v/>
      </c>
      <c r="G22" s="11" t="str">
        <f t="shared" si="4"/>
        <v/>
      </c>
      <c r="H22" s="12"/>
      <c r="I22" s="12" t="str">
        <f t="shared" si="6"/>
        <v/>
      </c>
      <c r="J22" s="13" t="str">
        <f t="shared" si="7"/>
        <v/>
      </c>
      <c r="K22" s="49"/>
      <c r="L22" s="49"/>
    </row>
    <row r="23" spans="1:13" ht="27" customHeight="1">
      <c r="A23" s="26" t="str">
        <v>M143</v>
      </c>
      <c r="B23" s="27" t="str">
        <v>NY</v>
      </c>
      <c r="C23" s="26" t="str">
        <f>Sites[[#This Row],[SOL'#]]</f>
        <v>SOL-10384</v>
      </c>
      <c r="D23" s="9"/>
      <c r="E23" s="14"/>
      <c r="F23" s="14" t="str">
        <f t="shared" si="5"/>
        <v/>
      </c>
      <c r="G23" s="15" t="str">
        <f t="shared" si="4"/>
        <v/>
      </c>
      <c r="H23" s="16"/>
      <c r="I23" s="16" t="str">
        <f t="shared" si="6"/>
        <v/>
      </c>
      <c r="J23" s="15" t="str">
        <f t="shared" si="7"/>
        <v/>
      </c>
      <c r="K23" s="185"/>
      <c r="L23" s="92"/>
    </row>
    <row r="24" spans="1:13" ht="15.6">
      <c r="A24" s="24" t="str">
        <v>M144</v>
      </c>
      <c r="B24" s="25" t="str">
        <v>NY</v>
      </c>
      <c r="C24" s="25" t="str">
        <f>Sites[[#This Row],[SOL'#]]</f>
        <v>SOL-10385</v>
      </c>
      <c r="D24" s="20"/>
      <c r="E24" s="10"/>
      <c r="F24" s="10" t="str">
        <f t="shared" si="5"/>
        <v/>
      </c>
      <c r="G24" s="11" t="str">
        <f t="shared" si="4"/>
        <v/>
      </c>
      <c r="H24" s="12"/>
      <c r="I24" s="12" t="str">
        <f t="shared" si="6"/>
        <v/>
      </c>
      <c r="J24" s="13" t="str">
        <f t="shared" si="7"/>
        <v/>
      </c>
      <c r="K24" s="49"/>
      <c r="L24" s="49"/>
    </row>
    <row r="25" spans="1:13" ht="15.6">
      <c r="A25" s="26" t="str">
        <v>M167</v>
      </c>
      <c r="B25" s="27" t="str">
        <v>NY</v>
      </c>
      <c r="C25" s="26" t="str">
        <f>Sites[[#This Row],[SOL'#]]</f>
        <v>SOL-10386</v>
      </c>
      <c r="D25" s="9"/>
      <c r="E25" s="14"/>
      <c r="F25" s="14" t="str">
        <f t="shared" si="5"/>
        <v/>
      </c>
      <c r="G25" s="15" t="str">
        <f t="shared" si="4"/>
        <v/>
      </c>
      <c r="H25" s="16"/>
      <c r="I25" s="16" t="str">
        <f t="shared" si="6"/>
        <v/>
      </c>
      <c r="J25" s="15" t="str">
        <f t="shared" si="7"/>
        <v/>
      </c>
      <c r="K25" s="185"/>
      <c r="L25" s="93"/>
    </row>
    <row r="26" spans="1:13" ht="15.6">
      <c r="A26" s="24" t="str">
        <v>M188</v>
      </c>
      <c r="B26" s="25" t="str">
        <v>NY</v>
      </c>
      <c r="C26" s="25" t="str">
        <f>Sites[[#This Row],[SOL'#]]</f>
        <v>SOL-10387</v>
      </c>
      <c r="D26" s="20"/>
      <c r="E26" s="10"/>
      <c r="F26" s="10" t="str">
        <f t="shared" si="5"/>
        <v/>
      </c>
      <c r="G26" s="11" t="str">
        <f t="shared" si="4"/>
        <v/>
      </c>
      <c r="H26" s="12"/>
      <c r="I26" s="12" t="str">
        <f t="shared" si="6"/>
        <v/>
      </c>
      <c r="J26" s="13" t="str">
        <f t="shared" si="7"/>
        <v/>
      </c>
      <c r="K26" s="49"/>
      <c r="L26" s="49"/>
    </row>
    <row r="27" spans="1:13" ht="15.6">
      <c r="A27" s="26" t="str">
        <v>EMHC</v>
      </c>
      <c r="B27" s="27" t="str">
        <v>NY</v>
      </c>
      <c r="C27" s="26" t="str">
        <f>Sites[[#This Row],[SOL'#]]</f>
        <v>SOL-10351</v>
      </c>
      <c r="D27" s="9"/>
      <c r="E27" s="14"/>
      <c r="F27" s="14" t="str">
        <f t="shared" si="5"/>
        <v/>
      </c>
      <c r="G27" s="15" t="str">
        <f t="shared" si="4"/>
        <v/>
      </c>
      <c r="H27" s="16"/>
      <c r="I27" s="16" t="str">
        <f t="shared" si="6"/>
        <v/>
      </c>
      <c r="J27" s="15" t="str">
        <f t="shared" si="7"/>
        <v/>
      </c>
      <c r="K27" s="185"/>
      <c r="L27" s="110"/>
    </row>
    <row r="28" spans="1:13" ht="15.6">
      <c r="A28" s="24" t="str">
        <v>Q008</v>
      </c>
      <c r="B28" s="25" t="str">
        <v>NY</v>
      </c>
      <c r="C28" s="25" t="str">
        <f>Sites[[#This Row],[SOL'#]]</f>
        <v>SOL-10397</v>
      </c>
      <c r="D28" s="20"/>
      <c r="E28" s="10"/>
      <c r="F28" s="10" t="str">
        <f t="shared" si="5"/>
        <v/>
      </c>
      <c r="G28" s="11" t="str">
        <f t="shared" si="4"/>
        <v/>
      </c>
      <c r="H28" s="12"/>
      <c r="I28" s="12" t="str">
        <f t="shared" si="6"/>
        <v/>
      </c>
      <c r="J28" s="13" t="str">
        <f t="shared" si="7"/>
        <v/>
      </c>
      <c r="K28" s="49"/>
      <c r="L28" s="49"/>
    </row>
    <row r="29" spans="1:13" ht="15.6">
      <c r="A29" s="26" t="str">
        <v>Q018</v>
      </c>
      <c r="B29" s="27" t="str">
        <v>NY</v>
      </c>
      <c r="C29" s="26" t="str">
        <f>Sites[[#This Row],[SOL'#]]</f>
        <v>SOL-10398</v>
      </c>
      <c r="D29" s="9"/>
      <c r="E29" s="14"/>
      <c r="F29" s="14" t="str">
        <f t="shared" si="5"/>
        <v/>
      </c>
      <c r="G29" s="15" t="str">
        <f t="shared" si="4"/>
        <v/>
      </c>
      <c r="H29" s="16"/>
      <c r="I29" s="16" t="str">
        <f t="shared" si="6"/>
        <v/>
      </c>
      <c r="J29" s="15" t="str">
        <f t="shared" si="7"/>
        <v/>
      </c>
      <c r="K29" s="185"/>
      <c r="L29" s="185"/>
    </row>
    <row r="30" spans="1:13" ht="15.6">
      <c r="A30" s="24" t="str">
        <v>Q021</v>
      </c>
      <c r="B30" s="25" t="str">
        <v>NY</v>
      </c>
      <c r="C30" s="25" t="str">
        <f>Sites[[#This Row],[SOL'#]]</f>
        <v>SOL-10399</v>
      </c>
      <c r="D30" s="20"/>
      <c r="E30" s="10"/>
      <c r="F30" s="10" t="str">
        <f t="shared" si="5"/>
        <v/>
      </c>
      <c r="G30" s="11" t="str">
        <f t="shared" si="4"/>
        <v/>
      </c>
      <c r="H30" s="12"/>
      <c r="I30" s="12" t="str">
        <f t="shared" si="6"/>
        <v/>
      </c>
      <c r="J30" s="13" t="str">
        <f t="shared" si="7"/>
        <v/>
      </c>
      <c r="K30" s="49"/>
      <c r="L30" s="49"/>
    </row>
    <row r="31" spans="1:13" ht="15.6">
      <c r="A31" s="26" t="str">
        <v>Q025</v>
      </c>
      <c r="B31" s="27" t="str">
        <v>NY</v>
      </c>
      <c r="C31" s="26" t="str">
        <f>Sites[[#This Row],[SOL'#]]</f>
        <v>SOL-10400</v>
      </c>
      <c r="D31" s="9"/>
      <c r="E31" s="14"/>
      <c r="F31" s="14" t="str">
        <f t="shared" si="5"/>
        <v/>
      </c>
      <c r="G31" s="15" t="str">
        <f t="shared" si="4"/>
        <v/>
      </c>
      <c r="H31" s="16"/>
      <c r="I31" s="16" t="str">
        <f t="shared" si="6"/>
        <v/>
      </c>
      <c r="J31" s="15" t="str">
        <f t="shared" si="7"/>
        <v/>
      </c>
      <c r="K31" s="185"/>
      <c r="L31" s="185"/>
    </row>
    <row r="32" spans="1:13" ht="15.6">
      <c r="A32" s="24" t="str">
        <v>Q074</v>
      </c>
      <c r="B32" s="25" t="str">
        <v>NY</v>
      </c>
      <c r="C32" s="25" t="str">
        <f>Sites[[#This Row],[SOL'#]]</f>
        <v>SOL-10402</v>
      </c>
      <c r="D32" s="20"/>
      <c r="E32" s="10"/>
      <c r="F32" s="10" t="str">
        <f t="shared" si="5"/>
        <v/>
      </c>
      <c r="G32" s="11" t="str">
        <f t="shared" si="4"/>
        <v/>
      </c>
      <c r="H32" s="12"/>
      <c r="I32" s="12" t="str">
        <f t="shared" si="6"/>
        <v/>
      </c>
      <c r="J32" s="13" t="str">
        <f t="shared" si="7"/>
        <v/>
      </c>
      <c r="K32" s="49"/>
      <c r="L32" s="109"/>
    </row>
    <row r="33" spans="1:15" ht="15.6">
      <c r="A33" s="26" t="str">
        <v>Q115</v>
      </c>
      <c r="B33" s="27" t="str">
        <v>NY</v>
      </c>
      <c r="C33" s="26" t="str">
        <f>Sites[[#This Row],[SOL'#]]</f>
        <v>SOL-10872</v>
      </c>
      <c r="D33" s="9"/>
      <c r="E33" s="14"/>
      <c r="F33" s="14" t="str">
        <f t="shared" si="5"/>
        <v/>
      </c>
      <c r="G33" s="15" t="str">
        <f t="shared" si="4"/>
        <v/>
      </c>
      <c r="H33" s="16"/>
      <c r="I33" s="16" t="str">
        <f t="shared" si="6"/>
        <v/>
      </c>
      <c r="J33" s="15" t="str">
        <f t="shared" si="7"/>
        <v/>
      </c>
      <c r="K33" s="185"/>
      <c r="L33" s="110"/>
    </row>
    <row r="34" spans="1:15" ht="15.6">
      <c r="A34" s="24" t="str">
        <v>Q139</v>
      </c>
      <c r="B34" s="25" t="str">
        <v>NY</v>
      </c>
      <c r="C34" s="25" t="str">
        <f>Sites[[#This Row],[SOL'#]]</f>
        <v>SOL-10403</v>
      </c>
      <c r="D34" s="20"/>
      <c r="E34" s="10"/>
      <c r="F34" s="10" t="str">
        <f t="shared" si="5"/>
        <v/>
      </c>
      <c r="G34" s="11" t="str">
        <f t="shared" si="4"/>
        <v/>
      </c>
      <c r="H34" s="12"/>
      <c r="I34" s="12" t="str">
        <f t="shared" si="6"/>
        <v/>
      </c>
      <c r="J34" s="13" t="str">
        <f t="shared" si="7"/>
        <v/>
      </c>
      <c r="K34" s="49"/>
      <c r="L34" s="109"/>
      <c r="M34" s="108"/>
    </row>
    <row r="35" spans="1:15" ht="15.6">
      <c r="A35" s="26" t="str">
        <v>Q157</v>
      </c>
      <c r="B35" s="27" t="str">
        <v>NY</v>
      </c>
      <c r="C35" s="26" t="str">
        <f>Sites[[#This Row],[SOL'#]]</f>
        <v>SOL-10404</v>
      </c>
      <c r="D35" s="9"/>
      <c r="E35" s="14"/>
      <c r="F35" s="14" t="str">
        <f t="shared" si="5"/>
        <v/>
      </c>
      <c r="G35" s="15" t="str">
        <f t="shared" si="4"/>
        <v/>
      </c>
      <c r="H35" s="16"/>
      <c r="I35" s="16" t="str">
        <f t="shared" si="6"/>
        <v/>
      </c>
      <c r="J35" s="15" t="str">
        <f t="shared" si="7"/>
        <v/>
      </c>
      <c r="K35" s="185"/>
      <c r="L35" s="92"/>
    </row>
    <row r="36" spans="1:15" ht="15.6">
      <c r="A36" s="24" t="str">
        <v>Q192</v>
      </c>
      <c r="B36" s="25" t="str">
        <v>NY</v>
      </c>
      <c r="C36" s="25" t="str">
        <f>Sites[[#This Row],[SOL'#]]</f>
        <v>SOL-10406</v>
      </c>
      <c r="D36" s="20"/>
      <c r="E36" s="10"/>
      <c r="F36" s="10" t="str">
        <f t="shared" si="5"/>
        <v/>
      </c>
      <c r="G36" s="11" t="str">
        <f t="shared" si="4"/>
        <v/>
      </c>
      <c r="H36" s="12"/>
      <c r="I36" s="12" t="str">
        <f t="shared" si="6"/>
        <v/>
      </c>
      <c r="J36" s="13" t="str">
        <f t="shared" si="7"/>
        <v/>
      </c>
      <c r="K36" s="49"/>
      <c r="L36" s="109"/>
      <c r="M36" s="108"/>
      <c r="N36" s="111"/>
      <c r="O36" s="111"/>
    </row>
    <row r="37" spans="1:15" ht="15.6">
      <c r="A37" s="26" t="str">
        <v>Q210</v>
      </c>
      <c r="B37" s="27" t="str">
        <v>NY</v>
      </c>
      <c r="C37" s="26" t="str">
        <f>Sites[[#This Row],[SOL'#]]</f>
        <v>SOL-10407</v>
      </c>
      <c r="D37" s="9"/>
      <c r="E37" s="14"/>
      <c r="F37" s="14" t="str">
        <f t="shared" si="5"/>
        <v/>
      </c>
      <c r="G37" s="15" t="str">
        <f t="shared" si="4"/>
        <v/>
      </c>
      <c r="H37" s="16"/>
      <c r="I37" s="16" t="str">
        <f t="shared" si="6"/>
        <v/>
      </c>
      <c r="J37" s="15" t="str">
        <f t="shared" si="7"/>
        <v/>
      </c>
      <c r="K37" s="185"/>
      <c r="L37" s="92"/>
    </row>
    <row r="38" spans="1:15" ht="15.6">
      <c r="A38" s="24" t="str">
        <v>Q229</v>
      </c>
      <c r="B38" s="25" t="str">
        <v>NY</v>
      </c>
      <c r="C38" s="25" t="str">
        <f>Sites[[#This Row],[SOL'#]]</f>
        <v>SOL-10408</v>
      </c>
      <c r="D38" s="20"/>
      <c r="E38" s="10"/>
      <c r="F38" s="10" t="str">
        <f t="shared" si="5"/>
        <v/>
      </c>
      <c r="G38" s="11" t="str">
        <f t="shared" si="4"/>
        <v/>
      </c>
      <c r="H38" s="12"/>
      <c r="I38" s="12" t="str">
        <f t="shared" si="6"/>
        <v/>
      </c>
      <c r="J38" s="13" t="str">
        <f t="shared" si="7"/>
        <v/>
      </c>
      <c r="K38" s="49"/>
      <c r="L38" s="109"/>
    </row>
    <row r="39" spans="1:15" ht="15.6">
      <c r="A39" s="26" t="str">
        <v>Q231</v>
      </c>
      <c r="B39" s="27" t="str">
        <v>NY</v>
      </c>
      <c r="C39" s="26" t="str">
        <f>Sites[[#This Row],[SOL'#]]</f>
        <v>SOL-10870</v>
      </c>
      <c r="D39" s="9"/>
      <c r="E39" s="14"/>
      <c r="F39" s="14" t="str">
        <f t="shared" si="5"/>
        <v/>
      </c>
      <c r="G39" s="15" t="str">
        <f t="shared" si="4"/>
        <v/>
      </c>
      <c r="H39" s="16"/>
      <c r="I39" s="16" t="str">
        <f t="shared" si="6"/>
        <v/>
      </c>
      <c r="J39" s="15" t="str">
        <f t="shared" si="7"/>
        <v/>
      </c>
      <c r="K39" s="185"/>
      <c r="L39" s="92"/>
    </row>
    <row r="40" spans="1:15" ht="15.6">
      <c r="A40" s="24" t="str">
        <v>Q405</v>
      </c>
      <c r="B40" s="25" t="str">
        <v>NY</v>
      </c>
      <c r="C40" s="25" t="str">
        <f>Sites[[#This Row],[SOL'#]]</f>
        <v>SOL-10409</v>
      </c>
      <c r="D40" s="20"/>
      <c r="E40" s="10"/>
      <c r="F40" s="10" t="str">
        <f t="shared" si="5"/>
        <v/>
      </c>
      <c r="G40" s="11" t="str">
        <f t="shared" si="4"/>
        <v/>
      </c>
      <c r="H40" s="12"/>
      <c r="I40" s="12" t="str">
        <f t="shared" si="6"/>
        <v/>
      </c>
      <c r="J40" s="13" t="str">
        <f t="shared" si="7"/>
        <v/>
      </c>
      <c r="K40" s="49"/>
      <c r="L40" s="109"/>
    </row>
    <row r="41" spans="1:15" ht="15.6">
      <c r="A41" s="26" t="str">
        <v>Q435</v>
      </c>
      <c r="B41" s="27" t="str">
        <v>NY</v>
      </c>
      <c r="C41" s="26" t="str">
        <f>Sites[[#This Row],[SOL'#]]</f>
        <v>SOL-10923</v>
      </c>
      <c r="D41" s="9"/>
      <c r="E41" s="14"/>
      <c r="F41" s="14" t="str">
        <f t="shared" si="5"/>
        <v/>
      </c>
      <c r="G41" s="15" t="str">
        <f t="shared" si="4"/>
        <v/>
      </c>
      <c r="H41" s="16"/>
      <c r="I41" s="16" t="str">
        <f t="shared" si="6"/>
        <v/>
      </c>
      <c r="J41" s="15" t="str">
        <f t="shared" si="7"/>
        <v/>
      </c>
      <c r="K41" s="185"/>
      <c r="L41" s="185"/>
    </row>
    <row r="42" spans="1:15" ht="15.6">
      <c r="A42" s="24" t="str">
        <v>Q485</v>
      </c>
      <c r="B42" s="25" t="str">
        <v>NY</v>
      </c>
      <c r="C42" s="25" t="str">
        <f>Sites[[#This Row],[SOL'#]]</f>
        <v>SOL-10869</v>
      </c>
      <c r="D42" s="20"/>
      <c r="E42" s="10"/>
      <c r="F42" s="10" t="str">
        <f t="shared" si="5"/>
        <v/>
      </c>
      <c r="G42" s="11" t="str">
        <f t="shared" si="4"/>
        <v/>
      </c>
      <c r="H42" s="12"/>
      <c r="I42" s="12" t="str">
        <f t="shared" si="6"/>
        <v/>
      </c>
      <c r="J42" s="13" t="str">
        <f t="shared" si="7"/>
        <v/>
      </c>
      <c r="K42" s="49"/>
      <c r="L42" s="109"/>
    </row>
    <row r="43" spans="1:15" ht="15.6">
      <c r="A43" s="26" t="str">
        <v>Q490</v>
      </c>
      <c r="B43" s="27" t="str">
        <v>NY</v>
      </c>
      <c r="C43" s="26" t="str">
        <f>Sites[[#This Row],[SOL'#]]</f>
        <v>SOL-10411</v>
      </c>
      <c r="D43" s="9"/>
      <c r="E43" s="14"/>
      <c r="F43" s="14" t="str">
        <f t="shared" si="5"/>
        <v/>
      </c>
      <c r="G43" s="15" t="str">
        <f t="shared" si="4"/>
        <v/>
      </c>
      <c r="H43" s="16"/>
      <c r="I43" s="16" t="str">
        <f t="shared" si="6"/>
        <v/>
      </c>
      <c r="J43" s="15" t="str">
        <f t="shared" si="7"/>
        <v/>
      </c>
      <c r="K43" s="185"/>
      <c r="L43" s="110"/>
      <c r="N43" s="111"/>
    </row>
    <row r="44" spans="1:15" ht="15.6">
      <c r="A44" s="24" t="str">
        <v>Q620</v>
      </c>
      <c r="B44" s="25" t="str">
        <v>NY</v>
      </c>
      <c r="C44" s="25" t="str">
        <f>Sites[[#This Row],[SOL'#]]</f>
        <v>SOL-10867</v>
      </c>
      <c r="D44" s="20"/>
      <c r="E44" s="10"/>
      <c r="F44" s="10" t="str">
        <f t="shared" si="5"/>
        <v/>
      </c>
      <c r="G44" s="11" t="str">
        <f t="shared" si="4"/>
        <v/>
      </c>
      <c r="H44" s="12"/>
      <c r="I44" s="12" t="str">
        <f t="shared" si="6"/>
        <v/>
      </c>
      <c r="J44" s="13" t="str">
        <f t="shared" si="7"/>
        <v/>
      </c>
      <c r="K44" s="49"/>
      <c r="L44" s="109"/>
    </row>
    <row r="45" spans="1:15" ht="15.6">
      <c r="A45" s="26" t="str">
        <v>QMOA</v>
      </c>
      <c r="B45" s="27" t="str">
        <v>NY</v>
      </c>
      <c r="C45" s="26" t="str">
        <f>Sites[[#This Row],[SOL'#]]</f>
        <v>SOL-10415</v>
      </c>
      <c r="D45" s="9"/>
      <c r="E45" s="14"/>
      <c r="F45" s="14" t="str">
        <f t="shared" si="5"/>
        <v/>
      </c>
      <c r="G45" s="15" t="str">
        <f t="shared" si="4"/>
        <v/>
      </c>
      <c r="H45" s="16"/>
      <c r="I45" s="16" t="str">
        <f t="shared" si="6"/>
        <v/>
      </c>
      <c r="J45" s="15" t="str">
        <f t="shared" si="7"/>
        <v/>
      </c>
      <c r="K45" s="185"/>
      <c r="L45" s="92"/>
    </row>
    <row r="46" spans="1:15" ht="15.6">
      <c r="A46" s="24" t="str">
        <v>X024</v>
      </c>
      <c r="B46" s="25" t="str">
        <v>NY</v>
      </c>
      <c r="C46" s="25" t="str">
        <f>Sites[[#This Row],[SOL'#]]</f>
        <v>SOL-10419</v>
      </c>
      <c r="D46" s="20"/>
      <c r="E46" s="10"/>
      <c r="F46" s="10" t="str">
        <f t="shared" si="5"/>
        <v/>
      </c>
      <c r="G46" s="11" t="str">
        <f t="shared" si="4"/>
        <v/>
      </c>
      <c r="H46" s="12"/>
      <c r="I46" s="12" t="str">
        <f t="shared" si="6"/>
        <v/>
      </c>
      <c r="J46" s="13" t="str">
        <f t="shared" si="7"/>
        <v/>
      </c>
      <c r="K46" s="49"/>
      <c r="L46" s="49"/>
    </row>
    <row r="47" spans="1:15" ht="15.6">
      <c r="A47" s="26" t="str">
        <v>X026</v>
      </c>
      <c r="B47" s="27" t="str">
        <v>NY</v>
      </c>
      <c r="C47" s="26" t="str">
        <f>Sites[[#This Row],[SOL'#]]</f>
        <v>SOL-10420</v>
      </c>
      <c r="D47" s="9"/>
      <c r="E47" s="14"/>
      <c r="F47" s="14" t="str">
        <f t="shared" si="5"/>
        <v/>
      </c>
      <c r="G47" s="15" t="str">
        <f t="shared" si="4"/>
        <v/>
      </c>
      <c r="H47" s="16"/>
      <c r="I47" s="16" t="str">
        <f t="shared" si="6"/>
        <v/>
      </c>
      <c r="J47" s="15" t="str">
        <f t="shared" si="7"/>
        <v/>
      </c>
      <c r="K47" s="185"/>
      <c r="L47" s="110"/>
    </row>
    <row r="48" spans="1:15" ht="63.75" customHeight="1">
      <c r="A48" s="24" t="str">
        <v>X090</v>
      </c>
      <c r="B48" s="25" t="str">
        <v>NY</v>
      </c>
      <c r="C48" s="25" t="str">
        <f>Sites[[#This Row],[SOL'#]]</f>
        <v>SOL-10925</v>
      </c>
      <c r="D48" s="20"/>
      <c r="E48" s="10"/>
      <c r="F48" s="10" t="str">
        <f t="shared" si="5"/>
        <v/>
      </c>
      <c r="G48" s="11" t="str">
        <f t="shared" si="4"/>
        <v/>
      </c>
      <c r="H48" s="12"/>
      <c r="I48" s="12" t="str">
        <f t="shared" si="6"/>
        <v/>
      </c>
      <c r="J48" s="13" t="str">
        <f t="shared" si="7"/>
        <v/>
      </c>
      <c r="K48" s="49"/>
      <c r="L48" s="109"/>
    </row>
    <row r="49" spans="1:15" ht="15.6">
      <c r="A49" s="26" t="str">
        <v>X117</v>
      </c>
      <c r="B49" s="27" t="str">
        <v>NY</v>
      </c>
      <c r="C49" s="26" t="str">
        <f>Sites[[#This Row],[SOL'#]]</f>
        <v>SOL-10422</v>
      </c>
      <c r="D49" s="9"/>
      <c r="E49" s="14"/>
      <c r="F49" s="14" t="str">
        <f t="shared" si="5"/>
        <v/>
      </c>
      <c r="G49" s="15" t="str">
        <f t="shared" ref="G49:G80" si="8">IFERROR(F49/E49, "")</f>
        <v/>
      </c>
      <c r="H49" s="16"/>
      <c r="I49" s="16" t="str">
        <f t="shared" si="6"/>
        <v/>
      </c>
      <c r="J49" s="15" t="str">
        <f t="shared" si="7"/>
        <v/>
      </c>
      <c r="K49" s="185"/>
      <c r="L49" s="91"/>
    </row>
    <row r="50" spans="1:15" ht="15.6">
      <c r="A50" s="24" t="str">
        <v>X125</v>
      </c>
      <c r="B50" s="25" t="str">
        <v>NY</v>
      </c>
      <c r="C50" s="25" t="str">
        <f>Sites[[#This Row],[SOL'#]]</f>
        <v>SOL-10423</v>
      </c>
      <c r="D50" s="20"/>
      <c r="E50" s="10"/>
      <c r="F50" s="10" t="str">
        <f t="shared" ref="F50:F81" si="9">IF(AND(ISNUMBER(D50),ISNUMBER(E50)), D50-E50, "")</f>
        <v/>
      </c>
      <c r="G50" s="11" t="str">
        <f t="shared" si="8"/>
        <v/>
      </c>
      <c r="H50" s="12"/>
      <c r="I50" s="12" t="str">
        <f t="shared" ref="I50:I81" si="10">IF(AND(ISNUMBER(D50),ISNUMBER(H50)), D50-H50, "")</f>
        <v/>
      </c>
      <c r="J50" s="13" t="str">
        <f t="shared" ref="J50:J81" si="11">IFERROR(I50/H50, "")</f>
        <v/>
      </c>
      <c r="K50" s="49"/>
      <c r="L50" s="49"/>
    </row>
    <row r="51" spans="1:15" ht="130.5" customHeight="1">
      <c r="A51" s="26" t="str">
        <v>X134</v>
      </c>
      <c r="B51" s="27" t="str">
        <v>NY</v>
      </c>
      <c r="C51" s="26" t="str">
        <f>Sites[[#This Row],[SOL'#]]</f>
        <v>SOL-10424</v>
      </c>
      <c r="D51" s="9"/>
      <c r="E51" s="14"/>
      <c r="F51" s="14" t="str">
        <f t="shared" si="9"/>
        <v/>
      </c>
      <c r="G51" s="15" t="str">
        <f t="shared" si="8"/>
        <v/>
      </c>
      <c r="H51" s="16"/>
      <c r="I51" s="16" t="str">
        <f t="shared" si="10"/>
        <v/>
      </c>
      <c r="J51" s="15" t="str">
        <f t="shared" si="11"/>
        <v/>
      </c>
      <c r="K51" s="185"/>
      <c r="L51" s="110"/>
      <c r="M51" s="65"/>
      <c r="N51" s="111"/>
      <c r="O51" s="111"/>
    </row>
    <row r="52" spans="1:15" ht="15.6">
      <c r="A52" s="24" t="str">
        <v>X135</v>
      </c>
      <c r="B52" s="25" t="str">
        <v>NY</v>
      </c>
      <c r="C52" s="25" t="str">
        <f>Sites[[#This Row],[SOL'#]]</f>
        <v>SOL-10425</v>
      </c>
      <c r="D52" s="20"/>
      <c r="E52" s="10"/>
      <c r="F52" s="10" t="str">
        <f t="shared" si="9"/>
        <v/>
      </c>
      <c r="G52" s="11" t="str">
        <f t="shared" si="8"/>
        <v/>
      </c>
      <c r="H52" s="12"/>
      <c r="I52" s="12" t="str">
        <f t="shared" si="10"/>
        <v/>
      </c>
      <c r="J52" s="13" t="str">
        <f t="shared" si="11"/>
        <v/>
      </c>
      <c r="K52" s="49"/>
      <c r="L52" s="49"/>
    </row>
    <row r="53" spans="1:15" ht="15.6">
      <c r="A53" s="26" t="str">
        <v>X139 JHS 222</v>
      </c>
      <c r="B53" s="27" t="str">
        <v>NY</v>
      </c>
      <c r="C53" s="26" t="str">
        <f>Sites[[#This Row],[SOL'#]]</f>
        <v>SOL-10426</v>
      </c>
      <c r="D53" s="9"/>
      <c r="E53" s="14"/>
      <c r="F53" s="14" t="str">
        <f t="shared" si="9"/>
        <v/>
      </c>
      <c r="G53" s="15" t="str">
        <f t="shared" si="8"/>
        <v/>
      </c>
      <c r="H53" s="16"/>
      <c r="I53" s="16" t="str">
        <f t="shared" si="10"/>
        <v/>
      </c>
      <c r="J53" s="15" t="str">
        <f t="shared" si="11"/>
        <v/>
      </c>
      <c r="K53" s="185"/>
      <c r="L53" s="185"/>
    </row>
    <row r="54" spans="1:15" ht="15.6">
      <c r="A54" s="24" t="str">
        <v>X140</v>
      </c>
      <c r="B54" s="25" t="str">
        <v>NY</v>
      </c>
      <c r="C54" s="25" t="str">
        <f>Sites[[#This Row],[SOL'#]]</f>
        <v>SOL-10926</v>
      </c>
      <c r="D54" s="20"/>
      <c r="E54" s="10"/>
      <c r="F54" s="10" t="str">
        <f t="shared" si="9"/>
        <v/>
      </c>
      <c r="G54" s="11" t="str">
        <f t="shared" si="8"/>
        <v/>
      </c>
      <c r="H54" s="12"/>
      <c r="I54" s="12" t="str">
        <f t="shared" si="10"/>
        <v/>
      </c>
      <c r="J54" s="13" t="str">
        <f t="shared" si="11"/>
        <v/>
      </c>
      <c r="K54" s="49"/>
      <c r="L54" s="49"/>
    </row>
    <row r="55" spans="1:15" ht="15.6">
      <c r="A55" s="26" t="str">
        <v>X166</v>
      </c>
      <c r="B55" s="27" t="str">
        <v>NY</v>
      </c>
      <c r="C55" s="26" t="str">
        <f>Sites[[#This Row],[SOL'#]]</f>
        <v>SOL-10427</v>
      </c>
      <c r="D55" s="9"/>
      <c r="E55" s="14"/>
      <c r="F55" s="14" t="str">
        <f t="shared" si="9"/>
        <v/>
      </c>
      <c r="G55" s="15" t="str">
        <f t="shared" si="8"/>
        <v/>
      </c>
      <c r="H55" s="16"/>
      <c r="I55" s="16" t="str">
        <f t="shared" si="10"/>
        <v/>
      </c>
      <c r="J55" s="15" t="str">
        <f t="shared" si="11"/>
        <v/>
      </c>
      <c r="K55" s="185"/>
      <c r="L55" s="91"/>
    </row>
    <row r="56" spans="1:15" ht="15.6">
      <c r="A56" s="24" t="str">
        <v>Murphy</v>
      </c>
      <c r="B56" s="25" t="str">
        <v>MN</v>
      </c>
      <c r="C56" s="25" t="str">
        <f>Sites[[#This Row],[SOL'#]]</f>
        <v>SOL-10094</v>
      </c>
      <c r="D56" s="20"/>
      <c r="E56" s="10"/>
      <c r="F56" s="10" t="str">
        <f t="shared" si="9"/>
        <v/>
      </c>
      <c r="G56" s="11" t="str">
        <f t="shared" si="8"/>
        <v/>
      </c>
      <c r="H56" s="12"/>
      <c r="I56" s="12" t="str">
        <f t="shared" si="10"/>
        <v/>
      </c>
      <c r="J56" s="13" t="str">
        <f t="shared" si="11"/>
        <v/>
      </c>
      <c r="K56" s="49"/>
      <c r="L56" s="109"/>
    </row>
    <row r="57" spans="1:15" ht="54.75" customHeight="1">
      <c r="A57" s="26" t="str">
        <v>Terning</v>
      </c>
      <c r="B57" s="27" t="str">
        <v>MN</v>
      </c>
      <c r="C57" s="26" t="str">
        <f>Sites[[#This Row],[SOL'#]]</f>
        <v>SOL-10093</v>
      </c>
      <c r="D57" s="9"/>
      <c r="E57" s="14"/>
      <c r="F57" s="14" t="str">
        <f t="shared" si="9"/>
        <v/>
      </c>
      <c r="G57" s="15" t="str">
        <f t="shared" si="8"/>
        <v/>
      </c>
      <c r="H57" s="16"/>
      <c r="I57" s="16" t="str">
        <f t="shared" si="10"/>
        <v/>
      </c>
      <c r="J57" s="15" t="str">
        <f t="shared" si="11"/>
        <v/>
      </c>
      <c r="K57" s="175"/>
      <c r="L57" s="110"/>
    </row>
    <row r="58" spans="1:15" ht="15.6">
      <c r="A58" s="24" t="str">
        <v>Boas Road 04</v>
      </c>
      <c r="B58" s="25" t="str">
        <v>NY</v>
      </c>
      <c r="C58" s="25" t="str">
        <f>Sites[[#This Row],[SOL'#]]</f>
        <v>SOL-10908</v>
      </c>
      <c r="D58" s="20"/>
      <c r="E58" s="10"/>
      <c r="F58" s="10" t="str">
        <f t="shared" si="9"/>
        <v/>
      </c>
      <c r="G58" s="11" t="str">
        <f t="shared" si="8"/>
        <v/>
      </c>
      <c r="H58" s="12"/>
      <c r="I58" s="12" t="str">
        <f t="shared" si="10"/>
        <v/>
      </c>
      <c r="J58" s="13" t="str">
        <f t="shared" si="11"/>
        <v/>
      </c>
      <c r="K58" s="108"/>
      <c r="L58" s="109"/>
    </row>
    <row r="59" spans="1:15" ht="53.25" customHeight="1">
      <c r="A59" s="26" t="str">
        <v>Kelly Bridge Farm</v>
      </c>
      <c r="B59" s="27" t="str">
        <v>NY</v>
      </c>
      <c r="C59" s="26" t="str">
        <f>Sites[[#This Row],[SOL'#]]</f>
        <v>SOL-10911</v>
      </c>
      <c r="D59" s="9"/>
      <c r="E59" s="14"/>
      <c r="F59" s="14" t="str">
        <f t="shared" si="9"/>
        <v/>
      </c>
      <c r="G59" s="15" t="str">
        <f t="shared" si="8"/>
        <v/>
      </c>
      <c r="H59" s="16"/>
      <c r="I59" s="16" t="str">
        <f t="shared" si="10"/>
        <v/>
      </c>
      <c r="J59" s="15" t="str">
        <f t="shared" si="11"/>
        <v/>
      </c>
      <c r="K59" s="185"/>
      <c r="L59" s="110"/>
      <c r="N59" s="111"/>
    </row>
    <row r="60" spans="1:15" ht="15.6">
      <c r="A60" s="24" t="str">
        <v>Pool Brook Road</v>
      </c>
      <c r="B60" s="25" t="str">
        <v>NY</v>
      </c>
      <c r="C60" s="25" t="str">
        <f>Sites[[#This Row],[SOL'#]]</f>
        <v>SOL-10909</v>
      </c>
      <c r="D60" s="20"/>
      <c r="E60" s="10"/>
      <c r="F60" s="10" t="str">
        <f t="shared" si="9"/>
        <v/>
      </c>
      <c r="G60" s="11" t="str">
        <f t="shared" si="8"/>
        <v/>
      </c>
      <c r="H60" s="12"/>
      <c r="I60" s="12" t="str">
        <f t="shared" si="10"/>
        <v/>
      </c>
      <c r="J60" s="13" t="str">
        <f t="shared" si="11"/>
        <v/>
      </c>
      <c r="K60" s="49"/>
      <c r="L60" s="49"/>
    </row>
    <row r="61" spans="1:15" ht="21.4" customHeight="1">
      <c r="A61" s="26" t="str">
        <v>Sackett Lake</v>
      </c>
      <c r="B61" s="27" t="str">
        <v>NY</v>
      </c>
      <c r="C61" s="26" t="str">
        <f>Sites[[#This Row],[SOL'#]]</f>
        <v>SOL-10910</v>
      </c>
      <c r="D61" s="9"/>
      <c r="E61" s="14"/>
      <c r="F61" s="14" t="str">
        <f t="shared" si="9"/>
        <v/>
      </c>
      <c r="G61" s="15" t="str">
        <f t="shared" si="8"/>
        <v/>
      </c>
      <c r="H61" s="16"/>
      <c r="I61" s="16" t="str">
        <f t="shared" si="10"/>
        <v/>
      </c>
      <c r="J61" s="15" t="str">
        <f t="shared" si="11"/>
        <v/>
      </c>
      <c r="K61" s="185"/>
      <c r="L61" s="110"/>
    </row>
    <row r="62" spans="1:15" ht="15.6">
      <c r="A62" s="24" t="str">
        <v>Burritt Road</v>
      </c>
      <c r="B62" s="25" t="str">
        <v>NY</v>
      </c>
      <c r="C62" s="25" t="str">
        <f>Sites[[#This Row],[SOL'#]]</f>
        <v>SOL-10913</v>
      </c>
      <c r="D62" s="20"/>
      <c r="E62" s="10"/>
      <c r="F62" s="10" t="str">
        <f t="shared" si="9"/>
        <v/>
      </c>
      <c r="G62" s="11" t="str">
        <f t="shared" si="8"/>
        <v/>
      </c>
      <c r="H62" s="12"/>
      <c r="I62" s="12" t="str">
        <f t="shared" si="10"/>
        <v/>
      </c>
      <c r="J62" s="13" t="str">
        <f t="shared" si="11"/>
        <v/>
      </c>
      <c r="K62" s="49"/>
      <c r="L62" s="49"/>
    </row>
    <row r="63" spans="1:15" ht="15.6">
      <c r="A63" s="26" t="str">
        <v>Villa Roma 1</v>
      </c>
      <c r="B63" s="27" t="str">
        <v>NY</v>
      </c>
      <c r="C63" s="26" t="str">
        <f>Sites[[#This Row],[SOL'#]]</f>
        <v>SOL-10914</v>
      </c>
      <c r="D63" s="9"/>
      <c r="E63" s="14"/>
      <c r="F63" s="14" t="str">
        <f t="shared" si="9"/>
        <v/>
      </c>
      <c r="G63" s="15" t="str">
        <f t="shared" si="8"/>
        <v/>
      </c>
      <c r="H63" s="16"/>
      <c r="I63" s="16" t="str">
        <f t="shared" si="10"/>
        <v/>
      </c>
      <c r="J63" s="15" t="str">
        <f t="shared" si="11"/>
        <v/>
      </c>
      <c r="K63" s="185"/>
      <c r="L63" s="91"/>
    </row>
    <row r="64" spans="1:15" ht="15.6">
      <c r="A64" s="24" t="str">
        <v>Villa Roma 2</v>
      </c>
      <c r="B64" s="25" t="str">
        <v>NY</v>
      </c>
      <c r="C64" s="25" t="str">
        <f>Sites[[#This Row],[SOL'#]]</f>
        <v>SOL-10915</v>
      </c>
      <c r="D64" s="20"/>
      <c r="E64" s="10"/>
      <c r="F64" s="10" t="str">
        <f t="shared" si="9"/>
        <v/>
      </c>
      <c r="G64" s="11" t="str">
        <f t="shared" si="8"/>
        <v/>
      </c>
      <c r="H64" s="12"/>
      <c r="I64" s="12" t="str">
        <f t="shared" si="10"/>
        <v/>
      </c>
      <c r="J64" s="13" t="str">
        <f t="shared" si="11"/>
        <v/>
      </c>
      <c r="K64" s="49"/>
      <c r="L64" s="49"/>
    </row>
    <row r="65" spans="1:15" ht="15.6">
      <c r="A65" s="26" t="str">
        <v>Washington 1</v>
      </c>
      <c r="B65" s="27" t="str">
        <v>NY</v>
      </c>
      <c r="C65" s="26" t="str">
        <f>Sites[[#This Row],[SOL'#]]</f>
        <v>SOL-10912</v>
      </c>
      <c r="D65" s="9"/>
      <c r="E65" s="14"/>
      <c r="F65" s="14" t="str">
        <f t="shared" si="9"/>
        <v/>
      </c>
      <c r="G65" s="15" t="str">
        <f t="shared" si="8"/>
        <v/>
      </c>
      <c r="H65" s="16"/>
      <c r="I65" s="16" t="str">
        <f t="shared" si="10"/>
        <v/>
      </c>
      <c r="J65" s="15" t="str">
        <f t="shared" si="11"/>
        <v/>
      </c>
      <c r="K65" s="185"/>
      <c r="L65" s="185"/>
    </row>
    <row r="66" spans="1:15" ht="120" customHeight="1">
      <c r="A66" s="24" t="str">
        <v>Washington 3</v>
      </c>
      <c r="B66" s="25" t="str">
        <v>NY</v>
      </c>
      <c r="C66" s="25" t="str">
        <f>Sites[[#This Row],[SOL'#]]</f>
        <v>SOL-10828</v>
      </c>
      <c r="D66" s="20"/>
      <c r="E66" s="10"/>
      <c r="F66" s="10" t="str">
        <f t="shared" si="9"/>
        <v/>
      </c>
      <c r="G66" s="11" t="str">
        <f t="shared" si="8"/>
        <v/>
      </c>
      <c r="H66" s="12"/>
      <c r="I66" s="12" t="str">
        <f t="shared" si="10"/>
        <v/>
      </c>
      <c r="J66" s="13" t="str">
        <f t="shared" si="11"/>
        <v/>
      </c>
      <c r="K66" s="49"/>
      <c r="L66" s="109"/>
      <c r="M66" s="65"/>
      <c r="N66" s="111"/>
    </row>
    <row r="67" spans="1:15" ht="81" customHeight="1">
      <c r="A67" s="26" t="str">
        <v>Washington 4</v>
      </c>
      <c r="B67" s="27" t="str">
        <v>NY</v>
      </c>
      <c r="C67" s="26" t="str">
        <f>Sites[[#This Row],[SOL'#]]</f>
        <v>SOL-10829</v>
      </c>
      <c r="D67" s="9"/>
      <c r="E67" s="14"/>
      <c r="F67" s="14" t="str">
        <f t="shared" si="9"/>
        <v/>
      </c>
      <c r="G67" s="15" t="str">
        <f t="shared" si="8"/>
        <v/>
      </c>
      <c r="H67" s="16"/>
      <c r="I67" s="16" t="str">
        <f t="shared" si="10"/>
        <v/>
      </c>
      <c r="J67" s="15" t="str">
        <f t="shared" si="11"/>
        <v/>
      </c>
      <c r="K67" s="185"/>
      <c r="L67" s="110"/>
      <c r="M67" s="65"/>
      <c r="N67" s="111"/>
      <c r="O67" s="111"/>
    </row>
    <row r="68" spans="1:15" ht="15.6">
      <c r="A68" s="24" t="str">
        <v>Big Tree</v>
      </c>
      <c r="B68" s="25" t="str">
        <v>NY</v>
      </c>
      <c r="C68" s="25" t="str">
        <f>Sites[[#This Row],[SOL'#]]</f>
        <v>SOL-10966</v>
      </c>
      <c r="D68" s="20"/>
      <c r="E68" s="10"/>
      <c r="F68" s="10" t="str">
        <f t="shared" si="9"/>
        <v/>
      </c>
      <c r="G68" s="11" t="str">
        <f t="shared" si="8"/>
        <v/>
      </c>
      <c r="H68" s="12"/>
      <c r="I68" s="12" t="str">
        <f t="shared" si="10"/>
        <v/>
      </c>
      <c r="J68" s="13" t="str">
        <f t="shared" si="11"/>
        <v/>
      </c>
      <c r="K68" s="49"/>
      <c r="L68" s="109"/>
    </row>
    <row r="69" spans="1:15" ht="15.6">
      <c r="A69" s="26" t="str">
        <v>Canoga</v>
      </c>
      <c r="B69" s="27" t="str">
        <v>NY</v>
      </c>
      <c r="C69" s="26" t="str">
        <f>Sites[[#This Row],[SOL'#]]</f>
        <v>SOL-10965</v>
      </c>
      <c r="D69" s="9"/>
      <c r="E69" s="14"/>
      <c r="F69" s="14" t="str">
        <f t="shared" si="9"/>
        <v/>
      </c>
      <c r="G69" s="15" t="str">
        <f t="shared" si="8"/>
        <v/>
      </c>
      <c r="H69" s="16"/>
      <c r="I69" s="16" t="str">
        <f t="shared" si="10"/>
        <v/>
      </c>
      <c r="J69" s="15" t="str">
        <f t="shared" si="11"/>
        <v/>
      </c>
      <c r="K69" s="185"/>
      <c r="L69" s="110"/>
    </row>
    <row r="70" spans="1:15" ht="82.5" customHeight="1">
      <c r="A70" s="24" t="str">
        <v>County Route 84</v>
      </c>
      <c r="B70" s="25" t="str">
        <v>NY</v>
      </c>
      <c r="C70" s="25" t="str">
        <f>Sites[[#This Row],[SOL'#]]</f>
        <v>SOL-10967</v>
      </c>
      <c r="D70" s="20"/>
      <c r="E70" s="10"/>
      <c r="F70" s="10" t="str">
        <f t="shared" si="9"/>
        <v/>
      </c>
      <c r="G70" s="11" t="str">
        <f t="shared" si="8"/>
        <v/>
      </c>
      <c r="H70" s="12"/>
      <c r="I70" s="12" t="str">
        <f t="shared" si="10"/>
        <v/>
      </c>
      <c r="J70" s="13" t="str">
        <f t="shared" si="11"/>
        <v/>
      </c>
      <c r="K70" s="49"/>
      <c r="L70" s="116"/>
      <c r="M70" s="65"/>
      <c r="N70" s="111"/>
    </row>
    <row r="71" spans="1:15" ht="78" customHeight="1">
      <c r="A71" s="26" t="str">
        <v>Donati</v>
      </c>
      <c r="B71" s="27" t="str">
        <v>NY</v>
      </c>
      <c r="C71" s="26" t="str">
        <f>Sites[[#This Row],[SOL'#]]</f>
        <v>SOL-10968</v>
      </c>
      <c r="D71" s="9"/>
      <c r="E71" s="14"/>
      <c r="F71" s="14" t="str">
        <f t="shared" si="9"/>
        <v/>
      </c>
      <c r="G71" s="15" t="str">
        <f t="shared" si="8"/>
        <v/>
      </c>
      <c r="H71" s="16"/>
      <c r="I71" s="16" t="str">
        <f t="shared" si="10"/>
        <v/>
      </c>
      <c r="J71" s="15" t="str">
        <f t="shared" si="11"/>
        <v/>
      </c>
      <c r="K71" s="185"/>
      <c r="L71" s="110"/>
    </row>
    <row r="72" spans="1:15" ht="15.6">
      <c r="A72" s="24" t="str">
        <v>Henrietta</v>
      </c>
      <c r="B72" s="25" t="str">
        <v>NY</v>
      </c>
      <c r="C72" s="25" t="str">
        <f>Sites[[#This Row],[SOL'#]]</f>
        <v>SOL-10972</v>
      </c>
      <c r="D72" s="20"/>
      <c r="E72" s="10"/>
      <c r="F72" s="10" t="str">
        <f t="shared" si="9"/>
        <v/>
      </c>
      <c r="G72" s="11" t="str">
        <f t="shared" si="8"/>
        <v/>
      </c>
      <c r="H72" s="12"/>
      <c r="I72" s="12" t="str">
        <f t="shared" si="10"/>
        <v/>
      </c>
      <c r="J72" s="13" t="str">
        <f t="shared" si="11"/>
        <v/>
      </c>
      <c r="K72" s="49"/>
      <c r="L72" s="109"/>
      <c r="N72" s="111"/>
    </row>
    <row r="73" spans="1:15" ht="15.6">
      <c r="A73" s="26" t="str">
        <v>NY 70</v>
      </c>
      <c r="B73" s="27" t="str">
        <v>NY</v>
      </c>
      <c r="C73" s="26" t="str">
        <f>Sites[[#This Row],[SOL'#]]</f>
        <v>SOL-10970</v>
      </c>
      <c r="D73" s="9"/>
      <c r="E73" s="14"/>
      <c r="F73" s="14" t="str">
        <f t="shared" si="9"/>
        <v/>
      </c>
      <c r="G73" s="15" t="str">
        <f t="shared" si="8"/>
        <v/>
      </c>
      <c r="H73" s="16"/>
      <c r="I73" s="16" t="str">
        <f t="shared" si="10"/>
        <v/>
      </c>
      <c r="J73" s="15" t="str">
        <f t="shared" si="11"/>
        <v/>
      </c>
      <c r="K73" s="185"/>
      <c r="L73" s="110"/>
      <c r="M73" s="65"/>
      <c r="N73" s="111"/>
      <c r="O73" s="111"/>
    </row>
    <row r="74" spans="1:15" ht="105.75" customHeight="1">
      <c r="A74" s="24" t="str">
        <v>Reid</v>
      </c>
      <c r="B74" s="25" t="str">
        <v>NY</v>
      </c>
      <c r="C74" s="25" t="str">
        <f>Sites[[#This Row],[SOL'#]]</f>
        <v>SOL-10991</v>
      </c>
      <c r="D74" s="20"/>
      <c r="E74" s="10"/>
      <c r="F74" s="10" t="str">
        <f t="shared" si="9"/>
        <v/>
      </c>
      <c r="G74" s="11" t="str">
        <f t="shared" si="8"/>
        <v/>
      </c>
      <c r="H74" s="12"/>
      <c r="I74" s="12" t="str">
        <f t="shared" si="10"/>
        <v/>
      </c>
      <c r="J74" s="13" t="str">
        <f t="shared" si="11"/>
        <v/>
      </c>
      <c r="K74" s="49"/>
      <c r="L74" s="109"/>
      <c r="M74" s="65"/>
      <c r="N74" s="111"/>
      <c r="O74" s="111"/>
    </row>
    <row r="75" spans="1:15" ht="86.25" customHeight="1">
      <c r="A75" s="26" t="str">
        <v>Sangolqui</v>
      </c>
      <c r="B75" s="27" t="str">
        <v>NY</v>
      </c>
      <c r="C75" s="26" t="str">
        <f>Sites[[#This Row],[SOL'#]]</f>
        <v>SOL-10975</v>
      </c>
      <c r="D75" s="9"/>
      <c r="E75" s="14"/>
      <c r="F75" s="14" t="str">
        <f t="shared" si="9"/>
        <v/>
      </c>
      <c r="G75" s="15" t="str">
        <f t="shared" si="8"/>
        <v/>
      </c>
      <c r="H75" s="16"/>
      <c r="I75" s="16" t="str">
        <f t="shared" si="10"/>
        <v/>
      </c>
      <c r="J75" s="15" t="str">
        <f t="shared" si="11"/>
        <v/>
      </c>
      <c r="K75" s="185"/>
      <c r="L75" s="110"/>
      <c r="M75" s="65"/>
      <c r="N75" s="111"/>
    </row>
    <row r="76" spans="1:15" ht="30.75" customHeight="1">
      <c r="A76" s="24" t="str">
        <v>State Highway 17B</v>
      </c>
      <c r="B76" s="25" t="str">
        <v>NY</v>
      </c>
      <c r="C76" s="25" t="str">
        <f>Sites[[#This Row],[SOL'#]]</f>
        <v>SOL-10988</v>
      </c>
      <c r="D76" s="20"/>
      <c r="E76" s="10"/>
      <c r="F76" s="10" t="str">
        <f t="shared" si="9"/>
        <v/>
      </c>
      <c r="G76" s="11" t="str">
        <f t="shared" si="8"/>
        <v/>
      </c>
      <c r="H76" s="12"/>
      <c r="I76" s="12" t="str">
        <f t="shared" si="10"/>
        <v/>
      </c>
      <c r="J76" s="13" t="str">
        <f t="shared" si="11"/>
        <v/>
      </c>
      <c r="K76" s="49"/>
      <c r="L76" s="49"/>
    </row>
    <row r="77" spans="1:15" ht="15.6">
      <c r="A77" s="26" t="str">
        <v>State Route 14A</v>
      </c>
      <c r="B77" s="27" t="str">
        <v>NY</v>
      </c>
      <c r="C77" s="26" t="str">
        <f>Sites[[#This Row],[SOL'#]]</f>
        <v>SOL-10997</v>
      </c>
      <c r="D77" s="9"/>
      <c r="E77" s="14"/>
      <c r="F77" s="14" t="str">
        <f t="shared" si="9"/>
        <v/>
      </c>
      <c r="G77" s="15" t="str">
        <f t="shared" si="8"/>
        <v/>
      </c>
      <c r="H77" s="16"/>
      <c r="I77" s="16" t="str">
        <f t="shared" si="10"/>
        <v/>
      </c>
      <c r="J77" s="15" t="str">
        <f t="shared" si="11"/>
        <v/>
      </c>
      <c r="K77" s="185"/>
      <c r="L77" s="110"/>
    </row>
    <row r="78" spans="1:15" ht="15.6">
      <c r="A78" s="24" t="str">
        <v>West Creek</v>
      </c>
      <c r="B78" s="25" t="str">
        <v>NY</v>
      </c>
      <c r="C78" s="25" t="str">
        <f>Sites[[#This Row],[SOL'#]]</f>
        <v>SOL-10995</v>
      </c>
      <c r="D78" s="20"/>
      <c r="E78" s="10"/>
      <c r="F78" s="10" t="str">
        <f t="shared" si="9"/>
        <v/>
      </c>
      <c r="G78" s="11" t="str">
        <f t="shared" si="8"/>
        <v/>
      </c>
      <c r="H78" s="12"/>
      <c r="I78" s="12" t="str">
        <f t="shared" si="10"/>
        <v/>
      </c>
      <c r="J78" s="13" t="str">
        <f t="shared" si="11"/>
        <v/>
      </c>
      <c r="K78" s="49"/>
      <c r="L78" s="49"/>
    </row>
    <row r="79" spans="1:15" ht="45" customHeight="1">
      <c r="A79" s="26" t="str">
        <v>Wildflower</v>
      </c>
      <c r="B79" s="27" t="str">
        <v>NY</v>
      </c>
      <c r="C79" s="26" t="str">
        <f>Sites[[#This Row],[SOL'#]]</f>
        <v>SOL-10982</v>
      </c>
      <c r="D79" s="9"/>
      <c r="E79" s="14"/>
      <c r="F79" s="14" t="str">
        <f t="shared" si="9"/>
        <v/>
      </c>
      <c r="G79" s="15" t="str">
        <f t="shared" si="8"/>
        <v/>
      </c>
      <c r="H79" s="16"/>
      <c r="I79" s="16" t="str">
        <f t="shared" si="10"/>
        <v/>
      </c>
      <c r="J79" s="15" t="str">
        <f t="shared" si="11"/>
        <v/>
      </c>
      <c r="K79" s="185"/>
      <c r="L79" s="110"/>
    </row>
    <row r="80" spans="1:15" ht="80.25" customHeight="1">
      <c r="A80" s="24" t="str">
        <v>Glen Mary 1</v>
      </c>
      <c r="B80" s="25" t="str">
        <v>NY</v>
      </c>
      <c r="C80" s="25" t="str">
        <f>Sites[[#This Row],[SOL'#]]</f>
        <v>SOL-10993</v>
      </c>
      <c r="D80" s="20"/>
      <c r="E80" s="10"/>
      <c r="F80" s="10" t="str">
        <f t="shared" si="9"/>
        <v/>
      </c>
      <c r="G80" s="11" t="str">
        <f t="shared" si="8"/>
        <v/>
      </c>
      <c r="H80" s="12"/>
      <c r="I80" s="12" t="str">
        <f t="shared" si="10"/>
        <v/>
      </c>
      <c r="J80" s="13" t="str">
        <f t="shared" si="11"/>
        <v/>
      </c>
      <c r="K80" s="49"/>
      <c r="L80" s="109"/>
      <c r="M80" s="65"/>
      <c r="N80" s="111"/>
    </row>
    <row r="81" spans="1:14" ht="31.15" customHeight="1">
      <c r="A81" s="26" t="str">
        <v>Glen Mary 2</v>
      </c>
      <c r="B81" s="27" t="str">
        <v>NY</v>
      </c>
      <c r="C81" s="26" t="str">
        <f>Sites[[#This Row],[SOL'#]]</f>
        <v>SOL-10994</v>
      </c>
      <c r="D81" s="9"/>
      <c r="E81" s="14"/>
      <c r="F81" s="14" t="str">
        <f t="shared" si="9"/>
        <v/>
      </c>
      <c r="G81" s="15" t="str">
        <f t="shared" ref="G81:G83" si="12">IFERROR(F81/E81, "")</f>
        <v/>
      </c>
      <c r="H81" s="16"/>
      <c r="I81" s="16" t="str">
        <f t="shared" si="10"/>
        <v/>
      </c>
      <c r="J81" s="15" t="str">
        <f t="shared" si="11"/>
        <v/>
      </c>
      <c r="K81" s="185"/>
      <c r="L81" s="110"/>
    </row>
    <row r="82" spans="1:14" ht="15.6">
      <c r="A82" s="24" t="str">
        <v>Telegraph 1</v>
      </c>
      <c r="B82" s="25" t="str">
        <v>NY</v>
      </c>
      <c r="C82" s="25" t="str">
        <f>Sites[[#This Row],[SOL'#]]</f>
        <v>SOL-11003</v>
      </c>
      <c r="D82" s="20"/>
      <c r="E82" s="10"/>
      <c r="F82" s="10" t="str">
        <f t="shared" ref="F82:F113" si="13">IF(AND(ISNUMBER(D82),ISNUMBER(E82)), D82-E82, "")</f>
        <v/>
      </c>
      <c r="G82" s="11" t="str">
        <f t="shared" si="12"/>
        <v/>
      </c>
      <c r="H82" s="12"/>
      <c r="I82" s="12" t="str">
        <f t="shared" ref="I82:I113" si="14">IF(AND(ISNUMBER(D82),ISNUMBER(H82)), D82-H82, "")</f>
        <v/>
      </c>
      <c r="J82" s="13" t="str">
        <f t="shared" ref="J82:J113" si="15">IFERROR(I82/H82, "")</f>
        <v/>
      </c>
      <c r="K82" s="49"/>
      <c r="L82" s="109"/>
      <c r="M82" s="108"/>
      <c r="N82" s="111"/>
    </row>
    <row r="83" spans="1:14" ht="16.899999999999999" customHeight="1">
      <c r="A83" s="26" t="str">
        <v>Telegraph 2</v>
      </c>
      <c r="B83" s="27" t="str">
        <v>NY</v>
      </c>
      <c r="C83" s="26" t="str">
        <f>Sites[[#This Row],[SOL'#]]</f>
        <v>SOL-11004</v>
      </c>
      <c r="D83" s="9"/>
      <c r="E83" s="14"/>
      <c r="F83" s="14" t="str">
        <f t="shared" si="13"/>
        <v/>
      </c>
      <c r="G83" s="15" t="str">
        <f t="shared" si="12"/>
        <v/>
      </c>
      <c r="H83" s="16"/>
      <c r="I83" s="16" t="str">
        <f t="shared" si="14"/>
        <v/>
      </c>
      <c r="J83" s="15" t="str">
        <f t="shared" si="15"/>
        <v/>
      </c>
      <c r="K83" s="185"/>
      <c r="L83" s="110"/>
    </row>
    <row r="84" spans="1:14" ht="52.15" customHeight="1">
      <c r="A84" s="24" t="str">
        <v>Cafferty Hill</v>
      </c>
      <c r="B84" s="25" t="str">
        <v>NY</v>
      </c>
      <c r="C84" s="25" t="str">
        <f>Sites[[#This Row],[SOL'#]]</f>
        <v>SOL-10996</v>
      </c>
      <c r="D84" s="20"/>
      <c r="E84" s="10"/>
      <c r="F84" s="10" t="str">
        <f t="shared" si="13"/>
        <v/>
      </c>
      <c r="G84" s="11" t="str">
        <f t="shared" ref="G84:G90" si="16">IFERROR(F84/E84, "")</f>
        <v/>
      </c>
      <c r="H84" s="12"/>
      <c r="I84" s="12" t="str">
        <f t="shared" si="14"/>
        <v/>
      </c>
      <c r="J84" s="13" t="str">
        <f t="shared" si="15"/>
        <v/>
      </c>
      <c r="K84" s="49"/>
      <c r="L84" s="109"/>
      <c r="M84" s="108"/>
    </row>
    <row r="85" spans="1:14" ht="15.6">
      <c r="A85" s="26" t="str">
        <v>Dunkleman</v>
      </c>
      <c r="B85" s="27" t="str">
        <v>NY</v>
      </c>
      <c r="C85" s="26" t="str">
        <f>Sites[[#This Row],[SOL'#]]</f>
        <v>SOL-11008</v>
      </c>
      <c r="D85" s="9"/>
      <c r="E85" s="14"/>
      <c r="F85" s="14" t="str">
        <f t="shared" si="13"/>
        <v/>
      </c>
      <c r="G85" s="15" t="str">
        <f t="shared" si="16"/>
        <v/>
      </c>
      <c r="H85" s="16"/>
      <c r="I85" s="16" t="str">
        <f t="shared" si="14"/>
        <v/>
      </c>
      <c r="J85" s="15" t="str">
        <f t="shared" si="15"/>
        <v/>
      </c>
      <c r="K85" s="185"/>
      <c r="L85" s="110"/>
    </row>
    <row r="86" spans="1:14" ht="35.25" customHeight="1">
      <c r="A86" s="24" t="str">
        <v>Route 19 1</v>
      </c>
      <c r="B86" s="25" t="str">
        <v>NY</v>
      </c>
      <c r="C86" s="25" t="str">
        <f>Sites[[#This Row],[SOL'#]]</f>
        <v>SOL-11001</v>
      </c>
      <c r="D86" s="20"/>
      <c r="E86" s="10"/>
      <c r="F86" s="10" t="str">
        <f t="shared" si="13"/>
        <v/>
      </c>
      <c r="G86" s="11" t="str">
        <f t="shared" si="16"/>
        <v/>
      </c>
      <c r="H86" s="12"/>
      <c r="I86" s="12" t="str">
        <f t="shared" si="14"/>
        <v/>
      </c>
      <c r="J86" s="13" t="str">
        <f t="shared" si="15"/>
        <v/>
      </c>
      <c r="K86" s="49"/>
      <c r="L86" s="109"/>
      <c r="M86" s="65"/>
      <c r="N86" s="111"/>
    </row>
    <row r="87" spans="1:14" ht="15.6">
      <c r="A87" s="26" t="str">
        <v>Route 19 2</v>
      </c>
      <c r="B87" s="27" t="str">
        <v>NY</v>
      </c>
      <c r="C87" s="26" t="str">
        <f>Sites[[#This Row],[SOL'#]]</f>
        <v>SOL-11002</v>
      </c>
      <c r="D87" s="9"/>
      <c r="E87" s="14"/>
      <c r="F87" s="14" t="str">
        <f t="shared" si="13"/>
        <v/>
      </c>
      <c r="G87" s="15" t="str">
        <f t="shared" si="16"/>
        <v/>
      </c>
      <c r="H87" s="16"/>
      <c r="I87" s="16" t="str">
        <f t="shared" si="14"/>
        <v/>
      </c>
      <c r="J87" s="15" t="str">
        <f t="shared" si="15"/>
        <v/>
      </c>
      <c r="K87" s="185"/>
      <c r="L87" s="110"/>
      <c r="M87" s="65"/>
      <c r="N87" s="111"/>
    </row>
    <row r="88" spans="1:14" ht="15.6">
      <c r="A88" s="24" t="str">
        <v>Yellow Mills 1</v>
      </c>
      <c r="B88" s="25" t="str">
        <v>NY</v>
      </c>
      <c r="C88" s="25" t="str">
        <f>Sites[[#This Row],[SOL'#]]</f>
        <v>SOL-11006</v>
      </c>
      <c r="D88" s="20"/>
      <c r="E88" s="10"/>
      <c r="F88" s="10" t="str">
        <f t="shared" si="13"/>
        <v/>
      </c>
      <c r="G88" s="11" t="str">
        <f t="shared" si="16"/>
        <v/>
      </c>
      <c r="H88" s="12"/>
      <c r="I88" s="12" t="str">
        <f t="shared" si="14"/>
        <v/>
      </c>
      <c r="J88" s="13" t="str">
        <f t="shared" si="15"/>
        <v/>
      </c>
      <c r="K88" s="49"/>
      <c r="L88" s="49"/>
    </row>
    <row r="89" spans="1:14" ht="60.75" customHeight="1">
      <c r="A89" s="26" t="str">
        <v>Yellow Mills 2</v>
      </c>
      <c r="B89" s="27" t="str">
        <v>NY</v>
      </c>
      <c r="C89" s="26" t="str">
        <f>Sites[[#This Row],[SOL'#]]</f>
        <v>SOL-11005</v>
      </c>
      <c r="D89" s="9"/>
      <c r="E89" s="14"/>
      <c r="F89" s="14" t="str">
        <f t="shared" si="13"/>
        <v/>
      </c>
      <c r="G89" s="15" t="str">
        <f t="shared" si="16"/>
        <v/>
      </c>
      <c r="H89" s="16"/>
      <c r="I89" s="16" t="str">
        <f t="shared" si="14"/>
        <v/>
      </c>
      <c r="J89" s="15" t="str">
        <f t="shared" si="15"/>
        <v/>
      </c>
      <c r="K89" s="185"/>
      <c r="L89" s="110"/>
    </row>
    <row r="90" spans="1:14" ht="15.6">
      <c r="A90" s="24" t="str">
        <v>Yellow Mills 3</v>
      </c>
      <c r="B90" s="25" t="str">
        <v>NY</v>
      </c>
      <c r="C90" s="25" t="str">
        <f>Sites[[#This Row],[SOL'#]]</f>
        <v>SOL-11007</v>
      </c>
      <c r="D90" s="20"/>
      <c r="E90" s="10"/>
      <c r="F90" s="10" t="str">
        <f t="shared" si="13"/>
        <v/>
      </c>
      <c r="G90" s="11" t="str">
        <f t="shared" si="16"/>
        <v/>
      </c>
      <c r="H90" s="12"/>
      <c r="I90" s="12" t="str">
        <f t="shared" si="14"/>
        <v/>
      </c>
      <c r="J90" s="13" t="str">
        <f t="shared" si="15"/>
        <v/>
      </c>
      <c r="K90" s="49"/>
      <c r="L90" s="49"/>
    </row>
    <row r="91" spans="1:14" ht="15.6">
      <c r="A91" s="26" t="str">
        <v>Catskill</v>
      </c>
      <c r="B91" s="27" t="str">
        <v>NY</v>
      </c>
      <c r="C91" s="26" t="str">
        <f>Sites[[#This Row],[SOL'#]]</f>
        <v>SOL-11021</v>
      </c>
      <c r="D91" s="9"/>
      <c r="E91" s="14"/>
      <c r="F91" s="14" t="str">
        <f t="shared" si="13"/>
        <v/>
      </c>
      <c r="G91" s="15" t="str">
        <f t="shared" ref="G91:G122" si="17">IFERROR(F91/E91, "")</f>
        <v/>
      </c>
      <c r="H91" s="16"/>
      <c r="I91" s="16" t="str">
        <f t="shared" si="14"/>
        <v/>
      </c>
      <c r="J91" s="15" t="str">
        <f t="shared" si="15"/>
        <v/>
      </c>
      <c r="K91" s="185"/>
      <c r="L91" s="110"/>
      <c r="M91" s="92"/>
      <c r="N91" s="111"/>
    </row>
    <row r="92" spans="1:14" ht="15.6">
      <c r="A92" s="24" t="str">
        <v>Eddy Ridge</v>
      </c>
      <c r="B92" s="25" t="str">
        <v>NY</v>
      </c>
      <c r="C92" s="25" t="str">
        <f>Sites[[#This Row],[SOL'#]]</f>
        <v>SOL-11054</v>
      </c>
      <c r="D92" s="20"/>
      <c r="E92" s="10"/>
      <c r="F92" s="10" t="str">
        <f t="shared" si="13"/>
        <v/>
      </c>
      <c r="G92" s="11" t="str">
        <f t="shared" si="17"/>
        <v/>
      </c>
      <c r="H92" s="12"/>
      <c r="I92" s="12" t="str">
        <f t="shared" si="14"/>
        <v/>
      </c>
      <c r="J92" s="13" t="str">
        <f t="shared" si="15"/>
        <v/>
      </c>
      <c r="K92" s="49"/>
      <c r="L92" s="109"/>
      <c r="M92" s="108"/>
    </row>
    <row r="93" spans="1:14" ht="15.6">
      <c r="A93" s="26" t="str">
        <v>Ridgeway #1</v>
      </c>
      <c r="B93" s="27" t="str">
        <v>NY</v>
      </c>
      <c r="C93" s="26" t="str">
        <f>Sites[[#This Row],[SOL'#]]</f>
        <v>SOL-11018</v>
      </c>
      <c r="D93" s="9"/>
      <c r="E93" s="14"/>
      <c r="F93" s="14" t="str">
        <f t="shared" si="13"/>
        <v/>
      </c>
      <c r="G93" s="15" t="str">
        <f t="shared" si="17"/>
        <v/>
      </c>
      <c r="H93" s="16"/>
      <c r="I93" s="16" t="str">
        <f t="shared" si="14"/>
        <v/>
      </c>
      <c r="J93" s="15" t="str">
        <f t="shared" si="15"/>
        <v/>
      </c>
      <c r="K93" s="185"/>
      <c r="L93" s="185"/>
    </row>
    <row r="94" spans="1:14" ht="29.25" customHeight="1">
      <c r="A94" s="24" t="str">
        <v>Rivard 1</v>
      </c>
      <c r="B94" s="25" t="str">
        <v>NY</v>
      </c>
      <c r="C94" s="25" t="str">
        <f>Sites[[#This Row],[SOL'#]]</f>
        <v>SOL-11011</v>
      </c>
      <c r="D94" s="20"/>
      <c r="E94" s="10"/>
      <c r="F94" s="10" t="str">
        <f t="shared" si="13"/>
        <v/>
      </c>
      <c r="G94" s="11" t="str">
        <f t="shared" si="17"/>
        <v/>
      </c>
      <c r="H94" s="12"/>
      <c r="I94" s="12" t="str">
        <f t="shared" si="14"/>
        <v/>
      </c>
      <c r="J94" s="13" t="str">
        <f t="shared" si="15"/>
        <v/>
      </c>
      <c r="K94" s="49"/>
      <c r="L94" s="49"/>
    </row>
    <row r="95" spans="1:14" ht="15.6">
      <c r="A95" s="26" t="str">
        <v>Rivard 2</v>
      </c>
      <c r="B95" s="27" t="str">
        <v>NY</v>
      </c>
      <c r="C95" s="26" t="str">
        <f>Sites[[#This Row],[SOL'#]]</f>
        <v>SOL-11012</v>
      </c>
      <c r="D95" s="9"/>
      <c r="E95" s="14"/>
      <c r="F95" s="14" t="str">
        <f t="shared" si="13"/>
        <v/>
      </c>
      <c r="G95" s="15" t="str">
        <f t="shared" si="17"/>
        <v/>
      </c>
      <c r="H95" s="16"/>
      <c r="I95" s="16" t="str">
        <f t="shared" si="14"/>
        <v/>
      </c>
      <c r="J95" s="15" t="str">
        <f t="shared" si="15"/>
        <v/>
      </c>
      <c r="K95" s="185"/>
      <c r="L95" s="92"/>
    </row>
    <row r="96" spans="1:14" ht="15.6">
      <c r="A96" s="24" t="str">
        <v>Ridgeway #2</v>
      </c>
      <c r="B96" s="25" t="str">
        <v>NY</v>
      </c>
      <c r="C96" s="25" t="str">
        <f>Sites[[#This Row],[SOL'#]]</f>
        <v>SOL-11027</v>
      </c>
      <c r="D96" s="20"/>
      <c r="E96" s="10"/>
      <c r="F96" s="10" t="str">
        <f t="shared" si="13"/>
        <v/>
      </c>
      <c r="G96" s="11" t="str">
        <f t="shared" si="17"/>
        <v/>
      </c>
      <c r="H96" s="12"/>
      <c r="I96" s="12" t="str">
        <f t="shared" si="14"/>
        <v/>
      </c>
      <c r="J96" s="13" t="str">
        <f t="shared" si="15"/>
        <v/>
      </c>
      <c r="K96" s="49"/>
      <c r="L96" s="109"/>
      <c r="M96" s="49"/>
    </row>
    <row r="97" spans="1:15" ht="15.6">
      <c r="A97" s="26" t="str">
        <v>Spencer</v>
      </c>
      <c r="B97" s="27" t="str">
        <v>NY</v>
      </c>
      <c r="C97" s="26" t="str">
        <f>Sites[[#This Row],[SOL'#]]</f>
        <v>SOL-11017</v>
      </c>
      <c r="D97" s="9"/>
      <c r="E97" s="14"/>
      <c r="F97" s="14" t="str">
        <f t="shared" si="13"/>
        <v/>
      </c>
      <c r="G97" s="15" t="str">
        <f t="shared" si="17"/>
        <v/>
      </c>
      <c r="H97" s="16"/>
      <c r="I97" s="16" t="str">
        <f t="shared" si="14"/>
        <v/>
      </c>
      <c r="J97" s="15" t="str">
        <f t="shared" si="15"/>
        <v/>
      </c>
      <c r="K97" s="185"/>
      <c r="L97" s="110"/>
      <c r="M97" s="92"/>
      <c r="N97" s="111"/>
      <c r="O97" s="111"/>
    </row>
    <row r="98" spans="1:15" ht="15.6">
      <c r="A98" s="24" t="str">
        <v>Reisender</v>
      </c>
      <c r="B98" s="25" t="str">
        <v>NY</v>
      </c>
      <c r="C98" s="25" t="str">
        <f>Sites[[#This Row],[SOL'#]]</f>
        <v>SOL-10886</v>
      </c>
      <c r="D98" s="20"/>
      <c r="E98" s="10"/>
      <c r="F98" s="10" t="str">
        <f t="shared" si="13"/>
        <v/>
      </c>
      <c r="G98" s="11" t="str">
        <f t="shared" si="17"/>
        <v/>
      </c>
      <c r="H98" s="12"/>
      <c r="I98" s="12" t="str">
        <f t="shared" si="14"/>
        <v/>
      </c>
      <c r="J98" s="13" t="str">
        <f t="shared" si="15"/>
        <v/>
      </c>
      <c r="K98" s="49"/>
      <c r="L98" s="109"/>
      <c r="M98" s="49"/>
    </row>
    <row r="99" spans="1:15" ht="15.6">
      <c r="A99" s="26" t="str">
        <v>Finney</v>
      </c>
      <c r="B99" s="27" t="str">
        <v>NY</v>
      </c>
      <c r="C99" s="26" t="str">
        <f>Sites[[#This Row],[SOL'#]]</f>
        <v>SOL-10999</v>
      </c>
      <c r="D99" s="9"/>
      <c r="E99" s="14"/>
      <c r="F99" s="14" t="str">
        <f t="shared" si="13"/>
        <v/>
      </c>
      <c r="G99" s="15" t="str">
        <f t="shared" si="17"/>
        <v/>
      </c>
      <c r="H99" s="16"/>
      <c r="I99" s="16" t="str">
        <f t="shared" si="14"/>
        <v/>
      </c>
      <c r="J99" s="15" t="str">
        <f t="shared" si="15"/>
        <v/>
      </c>
      <c r="K99" s="185"/>
      <c r="L99" s="110"/>
    </row>
    <row r="100" spans="1:15" ht="15.6">
      <c r="A100" s="24" t="str">
        <v>Davis Solar</v>
      </c>
      <c r="B100" s="25" t="str">
        <v>NY</v>
      </c>
      <c r="C100" s="25" t="str">
        <f>Sites[[#This Row],[SOL'#]]</f>
        <v>SOL-10958</v>
      </c>
      <c r="D100" s="20"/>
      <c r="E100" s="10"/>
      <c r="F100" s="10" t="str">
        <f t="shared" si="13"/>
        <v/>
      </c>
      <c r="G100" s="11" t="str">
        <f t="shared" si="17"/>
        <v/>
      </c>
      <c r="H100" s="12"/>
      <c r="I100" s="12" t="str">
        <f t="shared" si="14"/>
        <v/>
      </c>
      <c r="J100" s="13" t="str">
        <f t="shared" si="15"/>
        <v/>
      </c>
      <c r="K100" s="49"/>
      <c r="L100" s="109"/>
      <c r="M100" s="49"/>
      <c r="N100" s="111"/>
    </row>
    <row r="101" spans="1:15" ht="15.6">
      <c r="A101" s="26" t="str">
        <v>Genesee</v>
      </c>
      <c r="B101" s="27" t="str">
        <v>NY</v>
      </c>
      <c r="C101" s="26" t="str">
        <f>Sites[[#This Row],[SOL'#]]</f>
        <v>SOL-10951</v>
      </c>
      <c r="D101" s="9"/>
      <c r="E101" s="14"/>
      <c r="F101" s="14" t="str">
        <f t="shared" si="13"/>
        <v/>
      </c>
      <c r="G101" s="15" t="str">
        <f t="shared" si="17"/>
        <v/>
      </c>
      <c r="H101" s="16"/>
      <c r="I101" s="16" t="str">
        <f t="shared" si="14"/>
        <v/>
      </c>
      <c r="J101" s="15" t="str">
        <f t="shared" si="15"/>
        <v/>
      </c>
      <c r="K101" s="185"/>
      <c r="L101" s="110"/>
      <c r="M101" s="185"/>
      <c r="N101" s="111"/>
      <c r="O101" s="111"/>
    </row>
    <row r="102" spans="1:15" ht="15.6">
      <c r="A102" s="24" t="str">
        <v>Landau I</v>
      </c>
      <c r="B102" s="25" t="str">
        <v>NY</v>
      </c>
      <c r="C102" s="25" t="str">
        <f>Sites[[#This Row],[SOL'#]]</f>
        <v>SOL-10891</v>
      </c>
      <c r="D102" s="20"/>
      <c r="E102" s="10"/>
      <c r="F102" s="10" t="str">
        <f t="shared" si="13"/>
        <v/>
      </c>
      <c r="G102" s="11" t="str">
        <f t="shared" si="17"/>
        <v/>
      </c>
      <c r="H102" s="12"/>
      <c r="I102" s="12" t="str">
        <f t="shared" si="14"/>
        <v/>
      </c>
      <c r="J102" s="13" t="str">
        <f t="shared" si="15"/>
        <v/>
      </c>
      <c r="K102" s="49"/>
      <c r="L102" s="49"/>
    </row>
    <row r="103" spans="1:15" ht="15.6">
      <c r="A103" s="26" t="str">
        <v>Landau II</v>
      </c>
      <c r="B103" s="27" t="str">
        <v>NY</v>
      </c>
      <c r="C103" s="26" t="str">
        <f>Sites[[#This Row],[SOL'#]]</f>
        <v>SOL-10895</v>
      </c>
      <c r="D103" s="9"/>
      <c r="E103" s="14"/>
      <c r="F103" s="14" t="str">
        <f t="shared" si="13"/>
        <v/>
      </c>
      <c r="G103" s="15" t="str">
        <f t="shared" si="17"/>
        <v/>
      </c>
      <c r="H103" s="133"/>
      <c r="I103" s="16" t="str">
        <f t="shared" si="14"/>
        <v/>
      </c>
      <c r="J103" s="15" t="str">
        <f t="shared" si="15"/>
        <v/>
      </c>
      <c r="K103" s="185"/>
      <c r="L103" s="110"/>
      <c r="M103" s="92"/>
    </row>
    <row r="104" spans="1:15" ht="23.25" customHeight="1">
      <c r="A104" s="24" t="str">
        <v>New Beginnings</v>
      </c>
      <c r="B104" s="25" t="str">
        <v>NY</v>
      </c>
      <c r="C104" s="25" t="str">
        <f>Sites[[#This Row],[SOL'#]]</f>
        <v>SOL-10890</v>
      </c>
      <c r="D104" s="20"/>
      <c r="E104" s="10"/>
      <c r="F104" s="10" t="str">
        <f t="shared" si="13"/>
        <v/>
      </c>
      <c r="G104" s="11" t="str">
        <f t="shared" si="17"/>
        <v/>
      </c>
      <c r="H104" s="12"/>
      <c r="I104" s="12" t="str">
        <f t="shared" si="14"/>
        <v/>
      </c>
      <c r="J104" s="13" t="str">
        <f t="shared" si="15"/>
        <v/>
      </c>
      <c r="K104" s="49"/>
      <c r="L104" s="109"/>
    </row>
    <row r="105" spans="1:15" ht="22.5" customHeight="1">
      <c r="A105" s="26" t="str">
        <v>Bullitt Farm Solar, LLC</v>
      </c>
      <c r="B105" s="27" t="str">
        <v>NY</v>
      </c>
      <c r="C105" s="26" t="str">
        <f>Sites[[#This Row],[SOL'#]]</f>
        <v>SOL-10998</v>
      </c>
      <c r="D105" s="9"/>
      <c r="E105" s="14"/>
      <c r="F105" s="14" t="str">
        <f t="shared" si="13"/>
        <v/>
      </c>
      <c r="G105" s="15" t="str">
        <f t="shared" si="17"/>
        <v/>
      </c>
      <c r="H105" s="16"/>
      <c r="I105" s="16" t="str">
        <f t="shared" si="14"/>
        <v/>
      </c>
      <c r="J105" s="15" t="str">
        <f t="shared" si="15"/>
        <v/>
      </c>
      <c r="K105" s="185"/>
      <c r="L105" s="92"/>
    </row>
    <row r="106" spans="1:15" ht="15.6">
      <c r="A106" s="24" t="str">
        <v>Brodhead Solar, LLC</v>
      </c>
      <c r="B106" s="25" t="str">
        <v>NY</v>
      </c>
      <c r="C106" s="25" t="str">
        <f>Sites[[#This Row],[SOL'#]]</f>
        <v>SOL-10899</v>
      </c>
      <c r="D106" s="20"/>
      <c r="E106" s="10"/>
      <c r="F106" s="10" t="str">
        <f t="shared" si="13"/>
        <v/>
      </c>
      <c r="G106" s="11" t="str">
        <f t="shared" si="17"/>
        <v/>
      </c>
      <c r="H106" s="12"/>
      <c r="I106" s="12" t="str">
        <f t="shared" si="14"/>
        <v/>
      </c>
      <c r="J106" s="13" t="str">
        <f t="shared" si="15"/>
        <v/>
      </c>
      <c r="K106" s="108"/>
      <c r="L106" s="49"/>
    </row>
    <row r="107" spans="1:15" ht="56.25" customHeight="1">
      <c r="A107" s="26" t="str">
        <v>Svenski</v>
      </c>
      <c r="B107" s="27" t="str">
        <v>NY</v>
      </c>
      <c r="C107" s="26" t="str">
        <f>Sites[[#This Row],[SOL'#]]</f>
        <v>SOL-10894</v>
      </c>
      <c r="D107" s="9"/>
      <c r="E107" s="14"/>
      <c r="F107" s="14" t="str">
        <f t="shared" si="13"/>
        <v/>
      </c>
      <c r="G107" s="15" t="str">
        <f t="shared" si="17"/>
        <v/>
      </c>
      <c r="H107" s="16"/>
      <c r="I107" s="16" t="str">
        <f t="shared" si="14"/>
        <v/>
      </c>
      <c r="J107" s="15" t="str">
        <f t="shared" si="15"/>
        <v/>
      </c>
      <c r="K107" s="185"/>
      <c r="L107" s="110"/>
      <c r="M107" s="65"/>
      <c r="N107" s="111"/>
    </row>
    <row r="108" spans="1:15" ht="15.6">
      <c r="A108" s="24" t="str">
        <v>Bantam</v>
      </c>
      <c r="B108" s="25" t="str">
        <v>NY</v>
      </c>
      <c r="C108" s="25" t="str">
        <f>Sites[[#This Row],[SOL'#]]</f>
        <v>SOL-10986</v>
      </c>
      <c r="D108" s="20"/>
      <c r="E108" s="10"/>
      <c r="F108" s="10" t="str">
        <f t="shared" si="13"/>
        <v/>
      </c>
      <c r="G108" s="11" t="str">
        <f t="shared" si="17"/>
        <v/>
      </c>
      <c r="H108" s="12"/>
      <c r="I108" s="12" t="str">
        <f t="shared" si="14"/>
        <v/>
      </c>
      <c r="J108" s="13" t="str">
        <f t="shared" si="15"/>
        <v/>
      </c>
      <c r="K108" s="108"/>
      <c r="L108" s="109"/>
      <c r="M108" s="65"/>
      <c r="N108" s="111"/>
    </row>
    <row r="109" spans="1:15" ht="15.6">
      <c r="A109" s="26" t="str">
        <v>Bogart</v>
      </c>
      <c r="B109" s="27" t="str">
        <v>NY</v>
      </c>
      <c r="C109" s="26" t="str">
        <f>Sites[[#This Row],[SOL'#]]</f>
        <v>SOL-10887</v>
      </c>
      <c r="D109" s="9"/>
      <c r="E109" s="14"/>
      <c r="F109" s="14" t="str">
        <f t="shared" si="13"/>
        <v/>
      </c>
      <c r="G109" s="15" t="str">
        <f t="shared" si="17"/>
        <v/>
      </c>
      <c r="H109" s="16"/>
      <c r="I109" s="16" t="str">
        <f t="shared" si="14"/>
        <v/>
      </c>
      <c r="J109" s="15" t="str">
        <f t="shared" si="15"/>
        <v/>
      </c>
      <c r="K109" s="185"/>
      <c r="L109" s="110"/>
    </row>
    <row r="110" spans="1:15" ht="15.6">
      <c r="A110" s="24" t="str">
        <v>Dubois</v>
      </c>
      <c r="B110" s="25" t="str">
        <v>NY</v>
      </c>
      <c r="C110" s="25" t="str">
        <f>Sites[[#This Row],[SOL'#]]</f>
        <v>SOL-10892</v>
      </c>
      <c r="D110" s="20"/>
      <c r="E110" s="10"/>
      <c r="F110" s="10" t="str">
        <f t="shared" si="13"/>
        <v/>
      </c>
      <c r="G110" s="11" t="str">
        <f t="shared" si="17"/>
        <v/>
      </c>
      <c r="H110" s="132"/>
      <c r="I110" s="12" t="str">
        <f t="shared" si="14"/>
        <v/>
      </c>
      <c r="J110" s="13" t="str">
        <f t="shared" si="15"/>
        <v/>
      </c>
      <c r="K110" s="49"/>
      <c r="L110" s="109"/>
    </row>
    <row r="111" spans="1:15" ht="15.6">
      <c r="A111" s="26" t="str">
        <v>Salt Point</v>
      </c>
      <c r="B111" s="27" t="str">
        <v>NY</v>
      </c>
      <c r="C111" s="26" t="str">
        <f>Sites[[#This Row],[SOL'#]]</f>
        <v>SOL-10888</v>
      </c>
      <c r="D111" s="9"/>
      <c r="E111" s="14"/>
      <c r="F111" s="14" t="str">
        <f t="shared" si="13"/>
        <v/>
      </c>
      <c r="G111" s="15" t="str">
        <f t="shared" si="17"/>
        <v/>
      </c>
      <c r="H111" s="16"/>
      <c r="I111" s="16" t="str">
        <f t="shared" si="14"/>
        <v/>
      </c>
      <c r="J111" s="15" t="str">
        <f t="shared" si="15"/>
        <v/>
      </c>
      <c r="K111" s="185"/>
      <c r="L111" s="110"/>
    </row>
    <row r="112" spans="1:15" ht="15.6">
      <c r="A112" s="24" t="str">
        <v>Wheatland 2A</v>
      </c>
      <c r="B112" s="25" t="str">
        <v>NY</v>
      </c>
      <c r="C112" s="25" t="str">
        <f>Sites[[#This Row],[SOL'#]]</f>
        <v>SOL-10971</v>
      </c>
      <c r="D112" s="20"/>
      <c r="E112" s="10"/>
      <c r="F112" s="10" t="str">
        <f t="shared" si="13"/>
        <v/>
      </c>
      <c r="G112" s="11" t="str">
        <f t="shared" si="17"/>
        <v/>
      </c>
      <c r="H112" s="12"/>
      <c r="I112" s="12" t="str">
        <f t="shared" si="14"/>
        <v/>
      </c>
      <c r="J112" s="13" t="str">
        <f t="shared" si="15"/>
        <v/>
      </c>
      <c r="K112" s="49"/>
      <c r="L112" s="109"/>
    </row>
    <row r="113" spans="1:18" ht="15.6">
      <c r="A113" s="26" t="str">
        <v>Wheatland 2B</v>
      </c>
      <c r="B113" s="27" t="str">
        <v>NY</v>
      </c>
      <c r="C113" s="26" t="str">
        <f>Sites[[#This Row],[SOL'#]]</f>
        <v>SOL-10961</v>
      </c>
      <c r="D113" s="9"/>
      <c r="E113" s="14"/>
      <c r="F113" s="14" t="str">
        <f t="shared" si="13"/>
        <v/>
      </c>
      <c r="G113" s="15" t="str">
        <f t="shared" si="17"/>
        <v/>
      </c>
      <c r="H113" s="16"/>
      <c r="I113" s="16" t="str">
        <f t="shared" si="14"/>
        <v/>
      </c>
      <c r="J113" s="15" t="str">
        <f t="shared" si="15"/>
        <v/>
      </c>
      <c r="K113" s="188"/>
      <c r="L113" s="110"/>
      <c r="M113" s="65"/>
      <c r="N113" s="111"/>
    </row>
    <row r="114" spans="1:18" ht="15.6">
      <c r="A114" s="24" t="str">
        <v>Brickchurch</v>
      </c>
      <c r="B114" s="25" t="str">
        <v>NY</v>
      </c>
      <c r="C114" s="25" t="str">
        <f>Sites[[#This Row],[SOL'#]]</f>
        <v>SOL-10889</v>
      </c>
      <c r="D114" s="20"/>
      <c r="E114" s="10"/>
      <c r="F114" s="10" t="str">
        <f t="shared" ref="F114:F145" si="18">IF(AND(ISNUMBER(D114),ISNUMBER(E114)), D114-E114, "")</f>
        <v/>
      </c>
      <c r="G114" s="11" t="str">
        <f t="shared" si="17"/>
        <v/>
      </c>
      <c r="H114" s="12"/>
      <c r="I114" s="12" t="str">
        <f t="shared" ref="I114:I145" si="19">IF(AND(ISNUMBER(D114),ISNUMBER(H114)), D114-H114, "")</f>
        <v/>
      </c>
      <c r="J114" s="13" t="str">
        <f t="shared" ref="J114:J145" si="20">IFERROR(I114/H114, "")</f>
        <v/>
      </c>
      <c r="K114" s="49"/>
      <c r="L114" s="109"/>
      <c r="M114" s="108"/>
      <c r="N114" s="111"/>
      <c r="O114" s="111"/>
      <c r="P114" s="111"/>
    </row>
    <row r="115" spans="1:18" ht="29.25" customHeight="1">
      <c r="A115" s="26" t="str">
        <v>McCarthy Solar</v>
      </c>
      <c r="B115" s="27" t="str">
        <v>NY</v>
      </c>
      <c r="C115" s="26" t="str">
        <f>Sites[[#This Row],[SOL'#]]</f>
        <v>SOL-10992</v>
      </c>
      <c r="D115" s="9"/>
      <c r="E115" s="14"/>
      <c r="F115" s="14" t="str">
        <f t="shared" si="18"/>
        <v/>
      </c>
      <c r="G115" s="15" t="str">
        <f t="shared" si="17"/>
        <v/>
      </c>
      <c r="H115" s="16"/>
      <c r="I115" s="16" t="str">
        <f t="shared" si="19"/>
        <v/>
      </c>
      <c r="J115" s="15" t="str">
        <f t="shared" si="20"/>
        <v/>
      </c>
      <c r="K115" s="185"/>
      <c r="L115" s="110"/>
      <c r="M115" s="92"/>
      <c r="N115" s="111"/>
    </row>
    <row r="116" spans="1:18" ht="15.6">
      <c r="A116" s="24" t="str">
        <v>Costanza</v>
      </c>
      <c r="B116" s="25" t="str">
        <v>NY</v>
      </c>
      <c r="C116" s="25" t="str">
        <f>Sites[[#This Row],[SOL'#]]</f>
        <v>SOL-10907</v>
      </c>
      <c r="D116" s="20"/>
      <c r="E116" s="10"/>
      <c r="F116" s="10" t="str">
        <f t="shared" si="18"/>
        <v/>
      </c>
      <c r="G116" s="11" t="str">
        <f t="shared" si="17"/>
        <v/>
      </c>
      <c r="H116" s="12"/>
      <c r="I116" s="12" t="str">
        <f t="shared" si="19"/>
        <v/>
      </c>
      <c r="J116" s="13" t="str">
        <f t="shared" si="20"/>
        <v/>
      </c>
      <c r="K116" s="49"/>
      <c r="L116" s="109"/>
      <c r="M116" s="108"/>
      <c r="N116" s="111"/>
      <c r="O116" s="111"/>
      <c r="P116" s="111"/>
      <c r="Q116" s="111"/>
      <c r="R116" s="111"/>
    </row>
    <row r="117" spans="1:18" ht="15.6">
      <c r="A117" s="26" t="str">
        <v>Lockenhurst Pond</v>
      </c>
      <c r="B117" s="27" t="str">
        <v>NY</v>
      </c>
      <c r="C117" s="26" t="str">
        <f>Sites[[#This Row],[SOL'#]]</f>
        <v>SOL-11000</v>
      </c>
      <c r="D117" s="9"/>
      <c r="E117" s="14"/>
      <c r="F117" s="14" t="str">
        <f t="shared" si="18"/>
        <v/>
      </c>
      <c r="G117" s="15" t="str">
        <f t="shared" si="17"/>
        <v/>
      </c>
      <c r="H117" s="16"/>
      <c r="I117" s="16" t="str">
        <f t="shared" si="19"/>
        <v/>
      </c>
      <c r="J117" s="15" t="str">
        <f t="shared" si="20"/>
        <v/>
      </c>
      <c r="K117" s="177"/>
      <c r="L117" s="92"/>
    </row>
    <row r="118" spans="1:18" ht="15.6">
      <c r="A118" s="24" t="str">
        <v>Drinkwater</v>
      </c>
      <c r="B118" s="25" t="str">
        <v>NY</v>
      </c>
      <c r="C118" s="25" t="str">
        <f>Sites[[#This Row],[SOL'#]]</f>
        <v>SOL-10896</v>
      </c>
      <c r="D118" s="20"/>
      <c r="E118" s="10"/>
      <c r="F118" s="10" t="str">
        <f t="shared" si="18"/>
        <v/>
      </c>
      <c r="G118" s="11" t="str">
        <f t="shared" si="17"/>
        <v/>
      </c>
      <c r="H118" s="12"/>
      <c r="I118" s="12" t="str">
        <f t="shared" si="19"/>
        <v/>
      </c>
      <c r="J118" s="13" t="str">
        <f t="shared" si="20"/>
        <v/>
      </c>
      <c r="K118" s="49"/>
      <c r="L118" s="49"/>
    </row>
    <row r="119" spans="1:18" ht="15.6">
      <c r="A119" s="26" t="str">
        <v>Altamont</v>
      </c>
      <c r="B119" s="27" t="str">
        <v>NY</v>
      </c>
      <c r="C119" s="26" t="str">
        <f>Sites[[#This Row],[SOL'#]]</f>
        <v>SOL-11085</v>
      </c>
      <c r="D119" s="9"/>
      <c r="E119" s="14"/>
      <c r="F119" s="14" t="str">
        <f t="shared" si="18"/>
        <v/>
      </c>
      <c r="G119" s="15" t="str">
        <f t="shared" si="17"/>
        <v/>
      </c>
      <c r="H119" s="90"/>
      <c r="I119" s="16" t="str">
        <f t="shared" si="19"/>
        <v/>
      </c>
      <c r="J119" s="15" t="str">
        <f t="shared" si="20"/>
        <v/>
      </c>
      <c r="K119" s="185"/>
      <c r="L119" s="110"/>
      <c r="M119" s="65"/>
      <c r="N119" s="111"/>
    </row>
    <row r="120" spans="1:18" ht="15.6">
      <c r="A120" s="24" t="str">
        <v>Krumkill North</v>
      </c>
      <c r="B120" s="25" t="str">
        <v>NY</v>
      </c>
      <c r="C120" s="25" t="str">
        <f>Sites[[#This Row],[SOL'#]]</f>
        <v>SOL-11086</v>
      </c>
      <c r="D120" s="20"/>
      <c r="E120" s="10"/>
      <c r="F120" s="10" t="str">
        <f t="shared" si="18"/>
        <v/>
      </c>
      <c r="G120" s="11" t="str">
        <f t="shared" si="17"/>
        <v/>
      </c>
      <c r="H120" s="12"/>
      <c r="I120" s="12" t="str">
        <f t="shared" si="19"/>
        <v/>
      </c>
      <c r="J120" s="13" t="str">
        <f t="shared" si="20"/>
        <v/>
      </c>
      <c r="K120" s="49"/>
      <c r="L120" s="49"/>
    </row>
    <row r="121" spans="1:18" ht="30" customHeight="1">
      <c r="A121" s="26" t="str">
        <v>Krumkill South</v>
      </c>
      <c r="B121" s="27" t="str">
        <v>NY</v>
      </c>
      <c r="C121" s="26" t="str">
        <f>Sites[[#This Row],[SOL'#]]</f>
        <v>SOL-11087</v>
      </c>
      <c r="D121" s="9"/>
      <c r="E121" s="14"/>
      <c r="F121" s="14" t="str">
        <f t="shared" si="18"/>
        <v/>
      </c>
      <c r="G121" s="15" t="str">
        <f t="shared" si="17"/>
        <v/>
      </c>
      <c r="H121" s="16"/>
      <c r="I121" s="16" t="str">
        <f t="shared" si="19"/>
        <v/>
      </c>
      <c r="J121" s="15" t="str">
        <f t="shared" si="20"/>
        <v/>
      </c>
      <c r="K121" s="185"/>
      <c r="L121" s="110"/>
    </row>
    <row r="122" spans="1:18" ht="15.6">
      <c r="A122" s="24" t="str">
        <v>X092</v>
      </c>
      <c r="B122" s="25" t="str">
        <v>NY</v>
      </c>
      <c r="C122" s="25" t="str">
        <f>Sites[[#This Row],[SOL'#]]</f>
        <v>SOL-11189</v>
      </c>
      <c r="D122" s="20"/>
      <c r="E122" s="10"/>
      <c r="F122" s="10" t="str">
        <f t="shared" si="18"/>
        <v/>
      </c>
      <c r="G122" s="11" t="str">
        <f t="shared" si="17"/>
        <v/>
      </c>
      <c r="H122" s="12"/>
      <c r="I122" s="12" t="str">
        <f t="shared" si="19"/>
        <v/>
      </c>
      <c r="J122" s="13" t="str">
        <f t="shared" si="20"/>
        <v/>
      </c>
      <c r="K122" s="49"/>
      <c r="L122" s="49"/>
    </row>
    <row r="123" spans="1:18" ht="15.6">
      <c r="A123" s="26" t="str">
        <v>X093</v>
      </c>
      <c r="B123" s="27" t="str">
        <v>NY</v>
      </c>
      <c r="C123" s="26" t="str">
        <f>Sites[[#This Row],[SOL'#]]</f>
        <v>SOL-10932</v>
      </c>
      <c r="D123" s="9"/>
      <c r="E123" s="14"/>
      <c r="F123" s="14" t="str">
        <f t="shared" si="18"/>
        <v/>
      </c>
      <c r="G123" s="15" t="str">
        <f t="shared" ref="G123:G154" si="21">IFERROR(F123/E123, "")</f>
        <v/>
      </c>
      <c r="H123" s="16"/>
      <c r="I123" s="16" t="str">
        <f t="shared" si="19"/>
        <v/>
      </c>
      <c r="J123" s="15" t="str">
        <f t="shared" si="20"/>
        <v/>
      </c>
      <c r="K123" s="185"/>
      <c r="L123" s="92"/>
    </row>
    <row r="124" spans="1:18" ht="15.6">
      <c r="A124" s="24" t="str">
        <v>X095</v>
      </c>
      <c r="B124" s="25" t="str">
        <v>NY</v>
      </c>
      <c r="C124" s="25" t="str">
        <f>Sites[[#This Row],[SOL'#]]</f>
        <v>SOL-10929</v>
      </c>
      <c r="D124" s="20"/>
      <c r="E124" s="10"/>
      <c r="F124" s="10" t="str">
        <f t="shared" si="18"/>
        <v/>
      </c>
      <c r="G124" s="11" t="str">
        <f t="shared" si="21"/>
        <v/>
      </c>
      <c r="H124" s="12"/>
      <c r="I124" s="12" t="str">
        <f t="shared" si="19"/>
        <v/>
      </c>
      <c r="J124" s="13" t="str">
        <f t="shared" si="20"/>
        <v/>
      </c>
      <c r="K124" s="49"/>
      <c r="L124" s="49"/>
    </row>
    <row r="125" spans="1:18" ht="18" customHeight="1">
      <c r="A125" s="26" t="str">
        <v>X181</v>
      </c>
      <c r="B125" s="27" t="str">
        <v>NY</v>
      </c>
      <c r="C125" s="26" t="str">
        <f>Sites[[#This Row],[SOL'#]]</f>
        <v>SOL-10428</v>
      </c>
      <c r="D125" s="9"/>
      <c r="E125" s="14"/>
      <c r="F125" s="14" t="str">
        <f t="shared" si="18"/>
        <v/>
      </c>
      <c r="G125" s="15" t="str">
        <f t="shared" si="21"/>
        <v/>
      </c>
      <c r="H125" s="16"/>
      <c r="I125" s="16" t="str">
        <f t="shared" si="19"/>
        <v/>
      </c>
      <c r="J125" s="15" t="str">
        <f t="shared" si="20"/>
        <v/>
      </c>
      <c r="K125" s="185"/>
      <c r="L125" s="185"/>
    </row>
    <row r="126" spans="1:18" ht="15.6">
      <c r="A126" s="24" t="str">
        <v>X415</v>
      </c>
      <c r="B126" s="25" t="str">
        <v>NY</v>
      </c>
      <c r="C126" s="25" t="str">
        <f>Sites[[#This Row],[SOL'#]]</f>
        <v>SOL-10429</v>
      </c>
      <c r="D126" s="20"/>
      <c r="E126" s="10"/>
      <c r="F126" s="10" t="str">
        <f t="shared" si="18"/>
        <v/>
      </c>
      <c r="G126" s="11" t="str">
        <f t="shared" si="21"/>
        <v/>
      </c>
      <c r="H126" s="12"/>
      <c r="I126" s="12" t="str">
        <f t="shared" si="19"/>
        <v/>
      </c>
      <c r="J126" s="13" t="str">
        <f t="shared" si="20"/>
        <v/>
      </c>
      <c r="K126" s="49"/>
      <c r="L126" s="49"/>
    </row>
    <row r="127" spans="1:18" ht="15.6">
      <c r="A127" s="26" t="str">
        <v>K198</v>
      </c>
      <c r="B127" s="27" t="str">
        <v>NY</v>
      </c>
      <c r="C127" s="26" t="str">
        <f>Sites[[#This Row],[SOL'#]]</f>
        <v>SOL-10930</v>
      </c>
      <c r="D127" s="9"/>
      <c r="E127" s="14"/>
      <c r="F127" s="14" t="str">
        <f t="shared" si="18"/>
        <v/>
      </c>
      <c r="G127" s="15" t="str">
        <f t="shared" si="21"/>
        <v/>
      </c>
      <c r="H127" s="16"/>
      <c r="I127" s="16" t="str">
        <f t="shared" si="19"/>
        <v/>
      </c>
      <c r="J127" s="15" t="str">
        <f t="shared" si="20"/>
        <v/>
      </c>
      <c r="K127" s="185"/>
      <c r="L127" s="92"/>
    </row>
    <row r="128" spans="1:18" ht="15.6">
      <c r="A128" s="24" t="str">
        <v>K203</v>
      </c>
      <c r="B128" s="25" t="str">
        <v>NY</v>
      </c>
      <c r="C128" s="25" t="str">
        <f>Sites[[#This Row],[SOL'#]]</f>
        <v>SOL-11190</v>
      </c>
      <c r="D128" s="20"/>
      <c r="E128" s="10"/>
      <c r="F128" s="10" t="str">
        <f t="shared" si="18"/>
        <v/>
      </c>
      <c r="G128" s="11" t="str">
        <f t="shared" si="21"/>
        <v/>
      </c>
      <c r="H128" s="12"/>
      <c r="I128" s="12" t="str">
        <f t="shared" si="19"/>
        <v/>
      </c>
      <c r="J128" s="13" t="str">
        <f t="shared" si="20"/>
        <v/>
      </c>
      <c r="K128" s="49"/>
      <c r="L128" s="49"/>
    </row>
    <row r="129" spans="1:14" ht="15.6">
      <c r="A129" s="26" t="str">
        <v>K213</v>
      </c>
      <c r="B129" s="27" t="str">
        <v>NY</v>
      </c>
      <c r="C129" s="26" t="str">
        <f>Sites[[#This Row],[SOL'#]]</f>
        <v>SOL-11191</v>
      </c>
      <c r="D129" s="9"/>
      <c r="E129" s="14"/>
      <c r="F129" s="14" t="str">
        <f t="shared" si="18"/>
        <v/>
      </c>
      <c r="G129" s="15" t="str">
        <f t="shared" si="21"/>
        <v/>
      </c>
      <c r="H129" s="16"/>
      <c r="I129" s="16" t="str">
        <f t="shared" si="19"/>
        <v/>
      </c>
      <c r="J129" s="15" t="str">
        <f t="shared" si="20"/>
        <v/>
      </c>
      <c r="K129" s="185"/>
      <c r="L129" s="92"/>
    </row>
    <row r="130" spans="1:14" ht="15.6">
      <c r="A130" s="24" t="str">
        <v>K217</v>
      </c>
      <c r="B130" s="25" t="str">
        <v>NY</v>
      </c>
      <c r="C130" s="25" t="str">
        <f>Sites[[#This Row],[SOL'#]]</f>
        <v>SOL-10933</v>
      </c>
      <c r="D130" s="20"/>
      <c r="E130" s="10"/>
      <c r="F130" s="10" t="str">
        <f t="shared" si="18"/>
        <v/>
      </c>
      <c r="G130" s="11" t="str">
        <f t="shared" si="21"/>
        <v/>
      </c>
      <c r="H130" s="12"/>
      <c r="I130" s="12" t="str">
        <f t="shared" si="19"/>
        <v/>
      </c>
      <c r="J130" s="13" t="str">
        <f t="shared" si="20"/>
        <v/>
      </c>
      <c r="K130" s="108"/>
      <c r="L130" s="49"/>
    </row>
    <row r="131" spans="1:14" ht="15.6">
      <c r="A131" s="26" t="str">
        <v>K307</v>
      </c>
      <c r="B131" s="27" t="str">
        <v>NY</v>
      </c>
      <c r="C131" s="26" t="str">
        <f>Sites[[#This Row],[SOL'#]]</f>
        <v>SOL-10876</v>
      </c>
      <c r="D131" s="9"/>
      <c r="E131" s="14"/>
      <c r="F131" s="14" t="str">
        <f t="shared" si="18"/>
        <v/>
      </c>
      <c r="G131" s="15" t="str">
        <f t="shared" si="21"/>
        <v/>
      </c>
      <c r="H131" s="16"/>
      <c r="I131" s="16" t="str">
        <f t="shared" si="19"/>
        <v/>
      </c>
      <c r="J131" s="15" t="str">
        <f t="shared" si="20"/>
        <v/>
      </c>
      <c r="K131" s="185"/>
      <c r="L131" s="92"/>
    </row>
    <row r="132" spans="1:14" ht="15.6">
      <c r="A132" s="24" t="str">
        <v>K610</v>
      </c>
      <c r="B132" s="25" t="str">
        <v>NY</v>
      </c>
      <c r="C132" s="25" t="str">
        <f>Sites[[#This Row],[SOL'#]]</f>
        <v>SOL-11158</v>
      </c>
      <c r="D132" s="20"/>
      <c r="E132" s="10"/>
      <c r="F132" s="10" t="str">
        <f t="shared" si="18"/>
        <v/>
      </c>
      <c r="G132" s="11" t="str">
        <f t="shared" si="21"/>
        <v/>
      </c>
      <c r="H132" s="12"/>
      <c r="I132" s="12" t="str">
        <f t="shared" si="19"/>
        <v/>
      </c>
      <c r="J132" s="13" t="str">
        <f t="shared" si="20"/>
        <v/>
      </c>
      <c r="K132" s="49"/>
      <c r="L132" s="49"/>
    </row>
    <row r="133" spans="1:14" ht="15.6">
      <c r="A133" s="26" t="str">
        <v>M025</v>
      </c>
      <c r="B133" s="27" t="str">
        <v>NY</v>
      </c>
      <c r="C133" s="26" t="str">
        <f>Sites[[#This Row],[SOL'#]]</f>
        <v>SOL-10392</v>
      </c>
      <c r="D133" s="9"/>
      <c r="E133" s="14"/>
      <c r="F133" s="14" t="str">
        <f t="shared" si="18"/>
        <v/>
      </c>
      <c r="G133" s="15" t="str">
        <f t="shared" si="21"/>
        <v/>
      </c>
      <c r="H133" s="16"/>
      <c r="I133" s="16" t="str">
        <f t="shared" si="19"/>
        <v/>
      </c>
      <c r="J133" s="15" t="str">
        <f t="shared" si="20"/>
        <v/>
      </c>
      <c r="K133" s="185"/>
      <c r="L133" s="110"/>
      <c r="M133" s="65"/>
      <c r="N133" s="111"/>
    </row>
    <row r="134" spans="1:14" ht="15.6">
      <c r="A134" s="24" t="str">
        <v>M028</v>
      </c>
      <c r="B134" s="25" t="str">
        <v>NY</v>
      </c>
      <c r="C134" s="25" t="str">
        <f>Sites[[#This Row],[SOL'#]]</f>
        <v>SOL-10381</v>
      </c>
      <c r="D134" s="20"/>
      <c r="E134" s="10"/>
      <c r="F134" s="10" t="str">
        <f t="shared" si="18"/>
        <v/>
      </c>
      <c r="G134" s="11" t="str">
        <f t="shared" si="21"/>
        <v/>
      </c>
      <c r="H134" s="12"/>
      <c r="I134" s="12" t="str">
        <f t="shared" si="19"/>
        <v/>
      </c>
      <c r="J134" s="13" t="str">
        <f t="shared" si="20"/>
        <v/>
      </c>
      <c r="K134" s="49"/>
      <c r="L134" s="49"/>
    </row>
    <row r="135" spans="1:14" ht="15.6">
      <c r="A135" s="26" t="str">
        <v>Q030</v>
      </c>
      <c r="B135" s="27" t="str">
        <v>NY</v>
      </c>
      <c r="C135" s="26" t="str">
        <f>Sites[[#This Row],[SOL'#]]</f>
        <v>SOL-10878</v>
      </c>
      <c r="D135" s="9"/>
      <c r="E135" s="14"/>
      <c r="F135" s="14" t="str">
        <f t="shared" si="18"/>
        <v/>
      </c>
      <c r="G135" s="15" t="str">
        <f t="shared" si="21"/>
        <v/>
      </c>
      <c r="H135" s="16"/>
      <c r="I135" s="16" t="str">
        <f t="shared" si="19"/>
        <v/>
      </c>
      <c r="J135" s="15" t="str">
        <f t="shared" si="20"/>
        <v/>
      </c>
      <c r="K135" s="185"/>
      <c r="L135" s="92"/>
    </row>
    <row r="136" spans="1:14" ht="15.6">
      <c r="A136" s="24" t="str">
        <v>Q130</v>
      </c>
      <c r="B136" s="25" t="str">
        <v>NY</v>
      </c>
      <c r="C136" s="25" t="str">
        <f>Sites[[#This Row],[SOL'#]]</f>
        <v>SOL-10877</v>
      </c>
      <c r="D136" s="20"/>
      <c r="E136" s="10"/>
      <c r="F136" s="10" t="str">
        <f t="shared" si="18"/>
        <v/>
      </c>
      <c r="G136" s="11" t="str">
        <f t="shared" si="21"/>
        <v/>
      </c>
      <c r="H136" s="12"/>
      <c r="I136" s="12" t="str">
        <f t="shared" si="19"/>
        <v/>
      </c>
      <c r="J136" s="13" t="str">
        <f t="shared" si="20"/>
        <v/>
      </c>
      <c r="K136" s="49"/>
      <c r="L136" s="49"/>
    </row>
    <row r="137" spans="1:14" ht="15.6">
      <c r="A137" s="26" t="str">
        <v>Q196</v>
      </c>
      <c r="B137" s="27" t="str">
        <v>NY</v>
      </c>
      <c r="C137" s="26" t="str">
        <f>Sites[[#This Row],[SOL'#]]</f>
        <v>SOL-10879</v>
      </c>
      <c r="D137" s="9"/>
      <c r="E137" s="14"/>
      <c r="F137" s="14" t="str">
        <f t="shared" si="18"/>
        <v/>
      </c>
      <c r="G137" s="15" t="str">
        <f t="shared" si="21"/>
        <v/>
      </c>
      <c r="H137" s="16"/>
      <c r="I137" s="16" t="str">
        <f t="shared" si="19"/>
        <v/>
      </c>
      <c r="J137" s="15" t="str">
        <f t="shared" si="20"/>
        <v/>
      </c>
      <c r="K137" s="185"/>
      <c r="L137" s="92"/>
    </row>
    <row r="138" spans="1:14" ht="15.6">
      <c r="A138" s="24" t="str">
        <v>Q220</v>
      </c>
      <c r="B138" s="25" t="str">
        <v>NY</v>
      </c>
      <c r="C138" s="25" t="str">
        <f>Sites[[#This Row],[SOL'#]]</f>
        <v>SOL-10873</v>
      </c>
      <c r="D138" s="20"/>
      <c r="E138" s="10"/>
      <c r="F138" s="10" t="str">
        <f t="shared" si="18"/>
        <v/>
      </c>
      <c r="G138" s="11" t="str">
        <f t="shared" si="21"/>
        <v/>
      </c>
      <c r="H138" s="12"/>
      <c r="I138" s="12" t="str">
        <f t="shared" si="19"/>
        <v/>
      </c>
      <c r="J138" s="13" t="str">
        <f t="shared" si="20"/>
        <v/>
      </c>
      <c r="K138" s="49"/>
      <c r="L138" s="49"/>
    </row>
    <row r="139" spans="1:14" ht="15.6">
      <c r="A139" s="26" t="str">
        <v>Q205</v>
      </c>
      <c r="B139" s="27" t="str">
        <v>NY</v>
      </c>
      <c r="C139" s="26" t="str">
        <f>Sites[[#This Row],[SOL'#]]</f>
        <v>SOL-10922</v>
      </c>
      <c r="D139" s="9"/>
      <c r="E139" s="14"/>
      <c r="F139" s="14" t="str">
        <f t="shared" si="18"/>
        <v/>
      </c>
      <c r="G139" s="15" t="str">
        <f t="shared" si="21"/>
        <v/>
      </c>
      <c r="H139" s="16"/>
      <c r="I139" s="16" t="str">
        <f t="shared" si="19"/>
        <v/>
      </c>
      <c r="J139" s="15" t="str">
        <f t="shared" si="20"/>
        <v/>
      </c>
      <c r="K139" s="185"/>
      <c r="L139" s="92"/>
    </row>
    <row r="140" spans="1:14" ht="15.6">
      <c r="A140" s="28" t="str">
        <v>Q400</v>
      </c>
      <c r="B140" s="25" t="str">
        <v>NY</v>
      </c>
      <c r="C140" s="25" t="str">
        <f>Sites[[#This Row],[SOL'#]]</f>
        <v>SOL-10871</v>
      </c>
      <c r="D140" s="54"/>
      <c r="E140" s="10"/>
      <c r="F140" s="10" t="str">
        <f t="shared" si="18"/>
        <v/>
      </c>
      <c r="G140" s="55" t="str">
        <f t="shared" si="21"/>
        <v/>
      </c>
      <c r="H140" s="67"/>
      <c r="I140" s="67" t="str">
        <f t="shared" si="19"/>
        <v/>
      </c>
      <c r="J140" s="64" t="str">
        <f t="shared" si="20"/>
        <v/>
      </c>
      <c r="K140" s="108"/>
      <c r="L140" s="109"/>
    </row>
    <row r="141" spans="1:14" ht="15.6">
      <c r="A141" s="26" t="str">
        <v>R003</v>
      </c>
      <c r="B141" s="27" t="str">
        <v>NY</v>
      </c>
      <c r="C141" s="26" t="str">
        <f>Sites[[#This Row],[SOL'#]]</f>
        <v>SOL-10416</v>
      </c>
      <c r="D141" s="66"/>
      <c r="E141" s="14"/>
      <c r="F141" s="14" t="str">
        <f t="shared" si="18"/>
        <v/>
      </c>
      <c r="G141" s="68" t="str">
        <f t="shared" si="21"/>
        <v/>
      </c>
      <c r="H141" s="69"/>
      <c r="I141" s="69" t="str">
        <f t="shared" si="19"/>
        <v/>
      </c>
      <c r="J141" s="68" t="str">
        <f t="shared" si="20"/>
        <v/>
      </c>
      <c r="K141" s="185"/>
      <c r="L141" s="94"/>
    </row>
    <row r="142" spans="1:14" ht="15.6">
      <c r="A142" s="24" t="str">
        <v>R007</v>
      </c>
      <c r="B142" s="25" t="str">
        <v>NY</v>
      </c>
      <c r="C142" s="25" t="str">
        <f>Sites[[#This Row],[SOL'#]]</f>
        <v>SOL-10417</v>
      </c>
      <c r="D142" s="54"/>
      <c r="E142" s="10"/>
      <c r="F142" s="10" t="str">
        <f t="shared" si="18"/>
        <v/>
      </c>
      <c r="G142" s="55" t="str">
        <f t="shared" si="21"/>
        <v/>
      </c>
      <c r="H142" s="67"/>
      <c r="I142" s="67" t="str">
        <f t="shared" si="19"/>
        <v/>
      </c>
      <c r="J142" s="64" t="str">
        <f t="shared" si="20"/>
        <v/>
      </c>
      <c r="K142" s="108"/>
      <c r="L142" s="49"/>
    </row>
    <row r="143" spans="1:14" ht="15.6">
      <c r="A143" s="26" t="str">
        <v>BK16</v>
      </c>
      <c r="B143" s="27" t="str">
        <v>NY</v>
      </c>
      <c r="C143" s="26" t="str">
        <f>Sites[[#This Row],[SOL'#]]</f>
        <v>SOL-11093</v>
      </c>
      <c r="D143" s="66"/>
      <c r="E143" s="14"/>
      <c r="F143" s="14" t="str">
        <f t="shared" si="18"/>
        <v/>
      </c>
      <c r="G143" s="68" t="str">
        <f t="shared" si="21"/>
        <v/>
      </c>
      <c r="H143" s="69"/>
      <c r="I143" s="69" t="str">
        <f t="shared" si="19"/>
        <v/>
      </c>
      <c r="J143" s="68" t="str">
        <f t="shared" si="20"/>
        <v/>
      </c>
      <c r="K143" s="185"/>
      <c r="L143" s="94"/>
    </row>
    <row r="144" spans="1:14" ht="15.6">
      <c r="A144" s="24" t="str">
        <v>Trenton - Trenton East</v>
      </c>
      <c r="B144" s="25" t="str">
        <v>IL</v>
      </c>
      <c r="C144" s="25" t="str">
        <f>Sites[[#This Row],[SOL'#]]</f>
        <v>SOL-11060</v>
      </c>
      <c r="D144" s="54"/>
      <c r="E144" s="10"/>
      <c r="F144" s="10" t="str">
        <f t="shared" si="18"/>
        <v/>
      </c>
      <c r="G144" s="55" t="str">
        <f t="shared" si="21"/>
        <v/>
      </c>
      <c r="H144" s="67"/>
      <c r="I144" s="67" t="str">
        <f t="shared" si="19"/>
        <v/>
      </c>
      <c r="J144" s="64" t="str">
        <f t="shared" si="20"/>
        <v/>
      </c>
      <c r="K144" s="108"/>
      <c r="L144" s="109"/>
    </row>
    <row r="145" spans="1:15" ht="48" customHeight="1">
      <c r="A145" s="26" t="str">
        <v>Trenton - Trenton West</v>
      </c>
      <c r="B145" s="27" t="str">
        <v>IL</v>
      </c>
      <c r="C145" s="26" t="str">
        <f>Sites[[#This Row],[SOL'#]]</f>
        <v>SOL-11061</v>
      </c>
      <c r="D145" s="66"/>
      <c r="E145" s="14"/>
      <c r="F145" s="14" t="str">
        <f t="shared" si="18"/>
        <v/>
      </c>
      <c r="G145" s="68" t="str">
        <f t="shared" si="21"/>
        <v/>
      </c>
      <c r="H145" s="69"/>
      <c r="I145" s="69" t="str">
        <f t="shared" si="19"/>
        <v/>
      </c>
      <c r="J145" s="68" t="str">
        <f t="shared" si="20"/>
        <v/>
      </c>
      <c r="K145" s="185"/>
      <c r="L145" s="121"/>
      <c r="M145" s="65"/>
      <c r="N145" s="111"/>
    </row>
    <row r="146" spans="1:15" ht="15.6">
      <c r="A146" s="24" t="str">
        <v>Dakota - Dakota Solar 1</v>
      </c>
      <c r="B146" s="25" t="str">
        <v>IL</v>
      </c>
      <c r="C146" s="25" t="str">
        <f>Sites[[#This Row],[SOL'#]]</f>
        <v>SOL-11113</v>
      </c>
      <c r="D146" s="54"/>
      <c r="E146" s="10"/>
      <c r="F146" s="10" t="str">
        <f t="shared" ref="F146:F154" si="22">IF(AND(ISNUMBER(D146),ISNUMBER(E146)), D146-E146, "")</f>
        <v/>
      </c>
      <c r="G146" s="55" t="str">
        <f t="shared" si="21"/>
        <v/>
      </c>
      <c r="H146" s="67"/>
      <c r="I146" s="67" t="str">
        <f t="shared" ref="I146:I158" si="23">IF(AND(ISNUMBER(D146),ISNUMBER(H146)), D146-H146, "")</f>
        <v/>
      </c>
      <c r="J146" s="64" t="str">
        <f t="shared" ref="J146:J158" si="24">IFERROR(I146/H146, "")</f>
        <v/>
      </c>
      <c r="K146" s="108"/>
      <c r="L146" s="49"/>
    </row>
    <row r="147" spans="1:15" ht="15.6">
      <c r="A147" s="26" t="str">
        <v>X018</v>
      </c>
      <c r="B147" s="27" t="str">
        <v>NY</v>
      </c>
      <c r="C147" s="26" t="str">
        <f>Sites[[#This Row],[SOL'#]]</f>
        <v>SOL-10418</v>
      </c>
      <c r="D147" s="66"/>
      <c r="E147" s="14"/>
      <c r="F147" s="14" t="str">
        <f t="shared" si="22"/>
        <v/>
      </c>
      <c r="G147" s="68" t="str">
        <f t="shared" si="21"/>
        <v/>
      </c>
      <c r="H147" s="69"/>
      <c r="I147" s="69" t="str">
        <f t="shared" si="23"/>
        <v/>
      </c>
      <c r="J147" s="68" t="str">
        <f t="shared" si="24"/>
        <v/>
      </c>
      <c r="K147" s="185"/>
      <c r="L147" s="94"/>
    </row>
    <row r="148" spans="1:15" ht="15.6">
      <c r="A148" s="24" t="str">
        <v>Janiak Solar</v>
      </c>
      <c r="B148" s="25" t="str">
        <v>NY</v>
      </c>
      <c r="C148" s="25" t="str">
        <f>Sites[[#This Row],[SOL'#]]</f>
        <v>SOL-10898</v>
      </c>
      <c r="D148" s="54"/>
      <c r="E148" s="10"/>
      <c r="F148" s="10" t="str">
        <f t="shared" si="22"/>
        <v/>
      </c>
      <c r="G148" s="55" t="str">
        <f t="shared" si="21"/>
        <v/>
      </c>
      <c r="H148" s="67"/>
      <c r="I148" s="67" t="str">
        <f t="shared" si="23"/>
        <v/>
      </c>
      <c r="J148" s="64" t="str">
        <f t="shared" si="24"/>
        <v/>
      </c>
      <c r="K148" s="108"/>
      <c r="L148" s="109"/>
      <c r="M148" s="65"/>
      <c r="N148" s="111"/>
    </row>
    <row r="149" spans="1:15" ht="15.6">
      <c r="A149" s="26" t="str">
        <v>County Route 11B</v>
      </c>
      <c r="B149" s="27" t="str">
        <v>NY</v>
      </c>
      <c r="C149" s="26" t="str">
        <f>Sites[[#This Row],[SOL'#]]</f>
        <v>SOL-10983</v>
      </c>
      <c r="D149" s="66"/>
      <c r="E149" s="14"/>
      <c r="F149" s="14" t="str">
        <f t="shared" si="22"/>
        <v/>
      </c>
      <c r="G149" s="68" t="str">
        <f t="shared" si="21"/>
        <v/>
      </c>
      <c r="H149" s="125"/>
      <c r="I149" s="69" t="str">
        <f t="shared" si="23"/>
        <v/>
      </c>
      <c r="J149" s="68" t="str">
        <f t="shared" si="24"/>
        <v/>
      </c>
      <c r="K149" s="185"/>
      <c r="L149" s="95"/>
    </row>
    <row r="150" spans="1:15" ht="15.6">
      <c r="A150" s="24" t="str">
        <v>Barone</v>
      </c>
      <c r="B150" s="25" t="str">
        <v>NY</v>
      </c>
      <c r="C150" s="25" t="str">
        <f>Sites[[#This Row],[SOL'#]]</f>
        <v>SOL-11034</v>
      </c>
      <c r="D150" s="54"/>
      <c r="E150" s="10"/>
      <c r="F150" s="10" t="str">
        <f t="shared" si="22"/>
        <v/>
      </c>
      <c r="G150" s="55" t="str">
        <f t="shared" si="21"/>
        <v/>
      </c>
      <c r="H150" s="67"/>
      <c r="I150" s="67" t="str">
        <f t="shared" si="23"/>
        <v/>
      </c>
      <c r="J150" s="64" t="str">
        <f t="shared" si="24"/>
        <v/>
      </c>
      <c r="K150" s="108"/>
      <c r="L150" s="109"/>
      <c r="M150" s="65"/>
      <c r="N150" s="111"/>
      <c r="O150" s="111"/>
    </row>
    <row r="151" spans="1:15" ht="15.6">
      <c r="A151" s="26" t="str">
        <v>Cedarville</v>
      </c>
      <c r="B151" s="27" t="str">
        <v>IL</v>
      </c>
      <c r="C151" s="26" t="str">
        <f>Sites[[#This Row],[SOL'#]]</f>
        <v>SOL-11069</v>
      </c>
      <c r="D151" s="66"/>
      <c r="E151" s="14"/>
      <c r="F151" s="14" t="str">
        <f t="shared" si="22"/>
        <v/>
      </c>
      <c r="G151" s="68" t="str">
        <f t="shared" si="21"/>
        <v/>
      </c>
      <c r="H151" s="69"/>
      <c r="I151" s="69" t="str">
        <f t="shared" si="23"/>
        <v/>
      </c>
      <c r="J151" s="68" t="str">
        <f t="shared" si="24"/>
        <v/>
      </c>
      <c r="K151" s="185"/>
      <c r="L151" s="114"/>
    </row>
    <row r="152" spans="1:15" ht="15.6">
      <c r="A152" s="24" t="str">
        <v xml:space="preserve"> O'Brien Hill #1</v>
      </c>
      <c r="B152" s="25" t="str">
        <v>NY</v>
      </c>
      <c r="C152" s="25" t="str">
        <f>Sites[[#This Row],[SOL'#]]</f>
        <v>SOL-11098</v>
      </c>
      <c r="D152" s="54"/>
      <c r="E152" s="10"/>
      <c r="F152" s="10" t="str">
        <f t="shared" si="22"/>
        <v/>
      </c>
      <c r="G152" s="55" t="str">
        <f t="shared" si="21"/>
        <v/>
      </c>
      <c r="H152" s="146"/>
      <c r="I152" s="67" t="str">
        <f t="shared" si="23"/>
        <v/>
      </c>
      <c r="J152" s="64" t="str">
        <f t="shared" si="24"/>
        <v/>
      </c>
      <c r="K152" s="108"/>
      <c r="L152" s="109"/>
      <c r="N152" s="111"/>
    </row>
    <row r="153" spans="1:15" ht="15.6">
      <c r="A153" s="26" t="str">
        <v xml:space="preserve"> O'Brien Hill #2</v>
      </c>
      <c r="B153" s="27" t="str">
        <v>NY</v>
      </c>
      <c r="C153" s="26" t="str">
        <f>Sites[[#This Row],[SOL'#]]</f>
        <v>SOL-11099</v>
      </c>
      <c r="D153" s="66"/>
      <c r="E153" s="14"/>
      <c r="F153" s="14" t="str">
        <f t="shared" si="22"/>
        <v/>
      </c>
      <c r="G153" s="68" t="str">
        <f t="shared" si="21"/>
        <v/>
      </c>
      <c r="H153" s="125"/>
      <c r="I153" s="69" t="str">
        <f t="shared" si="23"/>
        <v/>
      </c>
      <c r="J153" s="68" t="str">
        <f t="shared" si="24"/>
        <v/>
      </c>
      <c r="K153" s="185"/>
      <c r="L153" s="121"/>
      <c r="M153" s="65"/>
      <c r="N153" s="111"/>
      <c r="O153" s="111"/>
    </row>
    <row r="154" spans="1:15" ht="15.6">
      <c r="A154" s="24" t="str">
        <v>Trinity - Freeport</v>
      </c>
      <c r="B154" s="25" t="str">
        <v>IL</v>
      </c>
      <c r="C154" s="25" t="str">
        <f>Sites[[#This Row],[SOL'#]]</f>
        <v>SOL-11057</v>
      </c>
      <c r="D154" s="54"/>
      <c r="E154" s="10"/>
      <c r="F154" s="10" t="str">
        <f t="shared" si="22"/>
        <v/>
      </c>
      <c r="G154" s="55" t="str">
        <f t="shared" si="21"/>
        <v/>
      </c>
      <c r="H154" s="67"/>
      <c r="I154" s="67" t="str">
        <f t="shared" si="23"/>
        <v/>
      </c>
      <c r="J154" s="64" t="str">
        <f t="shared" si="24"/>
        <v/>
      </c>
      <c r="K154" s="108"/>
      <c r="L154" s="109"/>
    </row>
    <row r="155" spans="1:15" ht="15.6">
      <c r="A155" s="26" t="str">
        <v>Ransom</v>
      </c>
      <c r="B155" s="27" t="str">
        <v>NY</v>
      </c>
      <c r="C155" s="26" t="str">
        <f>Sites[[#This Row],[SOL'#]]</f>
        <v>SOL-11157</v>
      </c>
      <c r="D155" s="66"/>
      <c r="E155" s="14"/>
      <c r="F155" s="14">
        <v>0</v>
      </c>
      <c r="G155" s="68" t="str">
        <f t="shared" ref="G155:G158" si="25">IFERROR(F155/E155, "")</f>
        <v/>
      </c>
      <c r="H155" s="125"/>
      <c r="I155" s="69" t="str">
        <f t="shared" si="23"/>
        <v/>
      </c>
      <c r="J155" s="68" t="str">
        <f t="shared" si="24"/>
        <v/>
      </c>
      <c r="K155" s="185"/>
      <c r="L155" s="114"/>
    </row>
    <row r="156" spans="1:15" ht="15.6">
      <c r="A156" s="24" t="str">
        <v>Horseheads - Wedge</v>
      </c>
      <c r="B156" s="25" t="str">
        <v>NY</v>
      </c>
      <c r="C156" s="25" t="str">
        <f>Sites[[#This Row],[SOL'#]]</f>
        <v>SOL-11160</v>
      </c>
      <c r="D156" s="54"/>
      <c r="E156" s="10"/>
      <c r="F156" s="10" t="str">
        <f t="shared" ref="F156:F158" si="26">IF(AND(ISNUMBER(D156),ISNUMBER(E156)), D156-E156, "")</f>
        <v/>
      </c>
      <c r="G156" s="55" t="str">
        <f t="shared" si="25"/>
        <v/>
      </c>
      <c r="H156" s="146"/>
      <c r="I156" s="67" t="str">
        <f t="shared" si="23"/>
        <v/>
      </c>
      <c r="J156" s="64" t="str">
        <f t="shared" si="24"/>
        <v/>
      </c>
      <c r="K156" s="108"/>
      <c r="L156" s="109"/>
    </row>
    <row r="157" spans="1:15" ht="15.6">
      <c r="A157" s="26" t="str">
        <v>Otisville - Shoddy Hollow</v>
      </c>
      <c r="B157" s="27" t="str">
        <v>NY</v>
      </c>
      <c r="C157" s="26" t="str">
        <f>Sites[[#This Row],[SOL'#]]</f>
        <v>SOL-11185</v>
      </c>
      <c r="D157" s="66"/>
      <c r="E157" s="14"/>
      <c r="F157" s="14" t="str">
        <f t="shared" si="26"/>
        <v/>
      </c>
      <c r="G157" s="68" t="str">
        <f t="shared" si="25"/>
        <v/>
      </c>
      <c r="H157" s="125"/>
      <c r="I157" s="69" t="str">
        <f t="shared" si="23"/>
        <v/>
      </c>
      <c r="J157" s="68" t="str">
        <f t="shared" si="24"/>
        <v/>
      </c>
      <c r="K157" s="185"/>
      <c r="L157" s="121"/>
      <c r="M157" s="65"/>
      <c r="N157" s="111"/>
    </row>
    <row r="158" spans="1:15" ht="15.6">
      <c r="A158" s="24" t="str">
        <v>Wellsville - Chenunda Creek</v>
      </c>
      <c r="B158" s="25" t="str">
        <v>NY</v>
      </c>
      <c r="C158" s="25" t="str">
        <f>Sites[[#This Row],[SOL'#]]</f>
        <v>SOL-11187</v>
      </c>
      <c r="D158" s="54"/>
      <c r="E158" s="10"/>
      <c r="F158" s="10" t="str">
        <f t="shared" si="26"/>
        <v/>
      </c>
      <c r="G158" s="55" t="str">
        <f t="shared" si="25"/>
        <v/>
      </c>
      <c r="H158" s="146"/>
      <c r="I158" s="67" t="str">
        <f t="shared" si="23"/>
        <v/>
      </c>
      <c r="J158" s="64" t="str">
        <f t="shared" si="24"/>
        <v/>
      </c>
      <c r="K158" s="108"/>
      <c r="L158" s="109"/>
      <c r="M158" s="65"/>
      <c r="N158" s="111"/>
    </row>
    <row r="159" spans="1:15" ht="15.6">
      <c r="A159" s="26" t="str">
        <v>DC: Washington - Essex Condominium</v>
      </c>
      <c r="B159" s="27" t="str">
        <v>DC</v>
      </c>
      <c r="C159" s="26" t="str">
        <f>Sites[[#This Row],[SOL'#]]</f>
        <v>SOL-10036</v>
      </c>
      <c r="D159" s="66"/>
      <c r="E159" s="14"/>
      <c r="F159" s="14" t="str">
        <f t="shared" ref="F159:F171" si="27">IF(AND(ISNUMBER(D159),ISNUMBER(E159)), D159-E159, "")</f>
        <v/>
      </c>
      <c r="G159" s="68" t="str">
        <f t="shared" ref="G159:G171" si="28">IFERROR(F159/E159, "")</f>
        <v/>
      </c>
      <c r="H159" s="69"/>
      <c r="I159" s="69" t="str">
        <f t="shared" ref="I159:I172" si="29">IF(AND(ISNUMBER(D159),ISNUMBER(H159)), D159-H159, "")</f>
        <v/>
      </c>
      <c r="J159" s="68" t="str">
        <f t="shared" ref="J159:J172" si="30">IFERROR(I159/H159, "")</f>
        <v/>
      </c>
      <c r="K159" s="185"/>
      <c r="L159" s="94"/>
    </row>
    <row r="160" spans="1:15" ht="15.6">
      <c r="A160" s="24" t="str">
        <v>HI: Waipahu - 94-246 Leoku St - E.F.G.</v>
      </c>
      <c r="B160" s="25" t="str">
        <v>HI</v>
      </c>
      <c r="C160" s="25" t="str">
        <f>Sites[[#This Row],[SOL'#]]</f>
        <v>SOL-10071</v>
      </c>
      <c r="D160" s="54"/>
      <c r="E160" s="10"/>
      <c r="F160" s="10" t="str">
        <f t="shared" si="27"/>
        <v/>
      </c>
      <c r="G160" s="55" t="str">
        <f t="shared" si="28"/>
        <v/>
      </c>
      <c r="H160" s="67"/>
      <c r="I160" s="67" t="str">
        <f t="shared" si="29"/>
        <v/>
      </c>
      <c r="J160" s="64" t="str">
        <f t="shared" si="30"/>
        <v/>
      </c>
      <c r="K160" s="108"/>
      <c r="L160" s="116"/>
      <c r="M160" s="65"/>
      <c r="N160" s="111"/>
    </row>
    <row r="161" spans="1:16" ht="15.6">
      <c r="A161" s="26" t="str">
        <v>HI: Waipahu - 94-099 Waipahu St - PV</v>
      </c>
      <c r="B161" s="27" t="str">
        <v>HI</v>
      </c>
      <c r="C161" s="26" t="str">
        <f>Sites[[#This Row],[SOL'#]]</f>
        <v>SOL-10068</v>
      </c>
      <c r="D161" s="66"/>
      <c r="E161" s="14"/>
      <c r="F161" s="14" t="str">
        <f t="shared" si="27"/>
        <v/>
      </c>
      <c r="G161" s="68" t="str">
        <f t="shared" si="28"/>
        <v/>
      </c>
      <c r="H161" s="69"/>
      <c r="I161" s="69" t="str">
        <f t="shared" si="29"/>
        <v/>
      </c>
      <c r="J161" s="68" t="str">
        <f t="shared" si="30"/>
        <v/>
      </c>
      <c r="K161" s="185"/>
      <c r="L161" s="94"/>
    </row>
    <row r="162" spans="1:16" ht="15.6">
      <c r="A162" s="24" t="str">
        <v>IL: Prophetstown - 5170 Yager Road (PW)</v>
      </c>
      <c r="B162" s="25" t="str">
        <v>IL</v>
      </c>
      <c r="C162" s="25" t="str">
        <f>Sites[[#This Row],[SOL'#]]</f>
        <v>SOL-11149</v>
      </c>
      <c r="D162" s="54"/>
      <c r="E162" s="10"/>
      <c r="F162" s="10" t="str">
        <f t="shared" si="27"/>
        <v/>
      </c>
      <c r="G162" s="55" t="str">
        <f t="shared" si="28"/>
        <v/>
      </c>
      <c r="H162" s="67"/>
      <c r="I162" s="67" t="str">
        <f t="shared" si="29"/>
        <v/>
      </c>
      <c r="J162" s="64" t="str">
        <f t="shared" si="30"/>
        <v/>
      </c>
      <c r="K162" s="108"/>
      <c r="L162" s="116"/>
      <c r="M162" s="65"/>
      <c r="N162" s="111"/>
      <c r="O162" s="111"/>
    </row>
    <row r="163" spans="1:16" ht="15.6">
      <c r="A163" s="26" t="str">
        <v>IL: Viola - Goldenrod - (PW)</v>
      </c>
      <c r="B163" s="27" t="str">
        <v>IL</v>
      </c>
      <c r="C163" s="26" t="str">
        <f>Sites[[#This Row],[SOL'#]]</f>
        <v>SOL-11132</v>
      </c>
      <c r="D163" s="66"/>
      <c r="E163" s="14"/>
      <c r="F163" s="14" t="str">
        <f t="shared" si="27"/>
        <v/>
      </c>
      <c r="G163" s="68" t="str">
        <f t="shared" si="28"/>
        <v/>
      </c>
      <c r="H163" s="69"/>
      <c r="I163" s="69" t="str">
        <f t="shared" si="29"/>
        <v/>
      </c>
      <c r="J163" s="68" t="str">
        <f t="shared" si="30"/>
        <v/>
      </c>
      <c r="K163" s="185"/>
      <c r="L163" s="94"/>
    </row>
    <row r="164" spans="1:16" ht="87.4" customHeight="1">
      <c r="A164" s="24" t="str">
        <v>IL: Marengo - Grant - (PW)</v>
      </c>
      <c r="B164" s="25" t="str">
        <v>IL</v>
      </c>
      <c r="C164" s="25" t="str">
        <f>Sites[[#This Row],[SOL'#]]</f>
        <v>SOL-11147</v>
      </c>
      <c r="D164" s="54"/>
      <c r="E164" s="10"/>
      <c r="F164" s="10" t="str">
        <f t="shared" si="27"/>
        <v/>
      </c>
      <c r="G164" s="55" t="str">
        <f t="shared" si="28"/>
        <v/>
      </c>
      <c r="H164" s="67"/>
      <c r="I164" s="67" t="str">
        <f t="shared" si="29"/>
        <v/>
      </c>
      <c r="J164" s="64" t="str">
        <f t="shared" si="30"/>
        <v/>
      </c>
      <c r="K164" s="108"/>
      <c r="L164" s="116"/>
      <c r="M164" s="65"/>
      <c r="N164" s="111"/>
      <c r="O164" s="111"/>
      <c r="P164" s="111"/>
    </row>
    <row r="165" spans="1:16" ht="15.6">
      <c r="A165" s="26" t="str">
        <v>NY: Cambridge - Cambridge (PW)</v>
      </c>
      <c r="B165" s="27" t="str">
        <v>NY</v>
      </c>
      <c r="C165" s="26" t="str">
        <f>Sites[[#This Row],[SOL'#]]</f>
        <v>SOL-11126</v>
      </c>
      <c r="D165" s="66"/>
      <c r="E165" s="14"/>
      <c r="F165" s="14" t="str">
        <f t="shared" si="27"/>
        <v/>
      </c>
      <c r="G165" s="68" t="str">
        <f t="shared" si="28"/>
        <v/>
      </c>
      <c r="H165" s="69"/>
      <c r="I165" s="69" t="str">
        <f t="shared" si="29"/>
        <v/>
      </c>
      <c r="J165" s="68" t="str">
        <f t="shared" si="30"/>
        <v/>
      </c>
      <c r="K165" s="185"/>
      <c r="L165" s="121"/>
      <c r="M165" s="176"/>
      <c r="N165" s="111"/>
      <c r="O165" s="111"/>
    </row>
    <row r="166" spans="1:16" ht="15.6">
      <c r="A166" s="24" t="str">
        <v>NY: Whitesville - Independence North</v>
      </c>
      <c r="B166" s="25" t="str">
        <v>NY</v>
      </c>
      <c r="C166" s="25" t="str">
        <f>Sites[[#This Row],[SOL'#]]</f>
        <v>SOL-11186</v>
      </c>
      <c r="D166" s="54"/>
      <c r="E166" s="10"/>
      <c r="F166" s="10" t="str">
        <f t="shared" si="27"/>
        <v/>
      </c>
      <c r="G166" s="55" t="str">
        <f t="shared" si="28"/>
        <v/>
      </c>
      <c r="H166" s="146"/>
      <c r="I166" s="67" t="str">
        <f t="shared" si="29"/>
        <v/>
      </c>
      <c r="J166" s="64" t="str">
        <f t="shared" si="30"/>
        <v/>
      </c>
      <c r="K166" s="108"/>
      <c r="L166" s="116"/>
    </row>
    <row r="167" spans="1:16" ht="15.6">
      <c r="A167" s="26" t="str">
        <v>IL: Beecher - Cottage Grove North (PW)</v>
      </c>
      <c r="B167" s="27" t="str">
        <v>IL</v>
      </c>
      <c r="C167" s="26" t="str">
        <f>Sites[[#This Row],[SOL'#]]</f>
        <v>SOL-11114</v>
      </c>
      <c r="D167" s="66"/>
      <c r="E167" s="14"/>
      <c r="F167" s="14" t="str">
        <f t="shared" si="27"/>
        <v/>
      </c>
      <c r="G167" s="68" t="str">
        <f t="shared" si="28"/>
        <v/>
      </c>
      <c r="H167" s="69"/>
      <c r="I167" s="69" t="str">
        <f t="shared" si="29"/>
        <v/>
      </c>
      <c r="J167" s="68" t="str">
        <f t="shared" si="30"/>
        <v/>
      </c>
      <c r="K167" s="185"/>
      <c r="L167" s="114"/>
    </row>
    <row r="168" spans="1:16" ht="25.5" customHeight="1">
      <c r="A168" s="24" t="str">
        <v>IL: Beecher - Cottage Grove South (PW)</v>
      </c>
      <c r="B168" s="25" t="str">
        <v>IL</v>
      </c>
      <c r="C168" s="25" t="str">
        <f>Sites[[#This Row],[SOL'#]]</f>
        <v>SOL-11115</v>
      </c>
      <c r="D168" s="54"/>
      <c r="E168" s="10"/>
      <c r="F168" s="10" t="str">
        <f t="shared" si="27"/>
        <v/>
      </c>
      <c r="G168" s="55" t="str">
        <f t="shared" si="28"/>
        <v/>
      </c>
      <c r="H168" s="67"/>
      <c r="I168" s="67" t="str">
        <f t="shared" si="29"/>
        <v/>
      </c>
      <c r="J168" s="64" t="str">
        <f t="shared" si="30"/>
        <v/>
      </c>
      <c r="K168" s="73"/>
      <c r="L168" s="116"/>
    </row>
    <row r="169" spans="1:16" ht="48.75" customHeight="1">
      <c r="A169" s="26" t="str">
        <v>IL: Harvard - 9618 US HWY 14 (PW)</v>
      </c>
      <c r="B169" s="27" t="str">
        <v>IL</v>
      </c>
      <c r="C169" s="26" t="str">
        <f>Sites[[#This Row],[SOL'#]]</f>
        <v>SOL-11110</v>
      </c>
      <c r="D169" s="66"/>
      <c r="E169" s="14"/>
      <c r="F169" s="14" t="str">
        <f t="shared" si="27"/>
        <v/>
      </c>
      <c r="G169" s="68" t="str">
        <f t="shared" si="28"/>
        <v/>
      </c>
      <c r="H169" s="69"/>
      <c r="I169" s="69" t="str">
        <f t="shared" si="29"/>
        <v/>
      </c>
      <c r="J169" s="68" t="str">
        <f t="shared" si="30"/>
        <v/>
      </c>
      <c r="K169" s="185"/>
      <c r="L169" s="114"/>
    </row>
    <row r="170" spans="1:16" ht="15.6">
      <c r="A170" s="24" t="str">
        <v>IL: Beecher - 701 E Goodenow Rd (PW)</v>
      </c>
      <c r="B170" s="25" t="str">
        <v>IL</v>
      </c>
      <c r="C170" s="25" t="str">
        <f>Sites[[#This Row],[SOL'#]]</f>
        <v>SOL-11112</v>
      </c>
      <c r="D170" s="54"/>
      <c r="E170" s="10"/>
      <c r="F170" s="10" t="str">
        <f t="shared" si="27"/>
        <v/>
      </c>
      <c r="G170" s="55" t="str">
        <f t="shared" si="28"/>
        <v/>
      </c>
      <c r="H170" s="67"/>
      <c r="I170" s="67" t="str">
        <f t="shared" si="29"/>
        <v/>
      </c>
      <c r="J170" s="64" t="str">
        <f t="shared" si="30"/>
        <v/>
      </c>
      <c r="K170" s="108"/>
      <c r="L170" s="108"/>
    </row>
    <row r="171" spans="1:16" ht="15.6">
      <c r="A171" s="26" t="str">
        <v>NY: Stormville - Green Haven - (IRA)</v>
      </c>
      <c r="B171" s="27" t="str">
        <v>NY</v>
      </c>
      <c r="C171" s="26" t="str">
        <f>Sites[[#This Row],[SOL'#]]</f>
        <v>SOL-11151</v>
      </c>
      <c r="D171" s="66"/>
      <c r="E171" s="14"/>
      <c r="F171" s="14" t="str">
        <f t="shared" si="27"/>
        <v/>
      </c>
      <c r="G171" s="68" t="str">
        <f t="shared" si="28"/>
        <v/>
      </c>
      <c r="H171" s="125"/>
      <c r="I171" s="69" t="str">
        <f t="shared" si="29"/>
        <v/>
      </c>
      <c r="J171" s="68" t="str">
        <f t="shared" si="30"/>
        <v/>
      </c>
      <c r="K171" s="185"/>
      <c r="L171" s="94"/>
    </row>
    <row r="172" spans="1:16" ht="15.6">
      <c r="A172" s="24" t="str">
        <v>IL: Hillsboro - Anacott (PW)</v>
      </c>
      <c r="B172" s="25" t="str">
        <v>IL</v>
      </c>
      <c r="C172" s="25" t="str">
        <f>Sites[[#This Row],[SOL'#]]</f>
        <v>SOL-11134</v>
      </c>
      <c r="D172" s="54"/>
      <c r="E172" s="10"/>
      <c r="F172" s="10"/>
      <c r="G172" s="55"/>
      <c r="H172" s="67"/>
      <c r="I172" s="67" t="str">
        <f t="shared" si="29"/>
        <v/>
      </c>
      <c r="J172" s="64" t="str">
        <f t="shared" si="30"/>
        <v/>
      </c>
      <c r="K172" s="108"/>
      <c r="L172" s="116"/>
    </row>
    <row r="173" spans="1:16">
      <c r="A173" t="str">
        <v>IL: Manhattan - Gougar (PW)</v>
      </c>
      <c r="B173" s="30" t="str">
        <v>IL</v>
      </c>
    </row>
    <row r="174" spans="1:16">
      <c r="A174" t="str">
        <v>IL: Morrison - Sawyer (PW)</v>
      </c>
      <c r="B174" s="30" t="str">
        <v>IL</v>
      </c>
    </row>
    <row r="175" spans="1:16">
      <c r="A175" t="str">
        <v>IL: Kankakee - Jeffery (PW)</v>
      </c>
      <c r="B175" s="30" t="str">
        <v>IL</v>
      </c>
    </row>
    <row r="176" spans="1:16">
      <c r="A176" t="str">
        <v>IL: Freeport - 2240 South 18th Ave (PW)</v>
      </c>
      <c r="B176" s="30" t="str">
        <v>IL</v>
      </c>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172 J4:J172">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S176"/>
  <sheetViews>
    <sheetView zoomScale="40" zoomScaleNormal="40" workbookViewId="0">
      <pane xSplit="2" ySplit="3" topLeftCell="S101" activePane="bottomRight" state="frozen"/>
      <selection pane="bottomRight" activeCell="S101" sqref="S101"/>
      <selection pane="bottomLeft" activeCell="R159" sqref="R159:S166"/>
      <selection pane="topRight" activeCell="R159" sqref="R159:S166"/>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9.140625" style="180" customWidth="1"/>
    <col min="12" max="12" width="20.5703125" style="180" bestFit="1" customWidth="1"/>
    <col min="13" max="13" width="19.28515625" style="180" customWidth="1"/>
  </cols>
  <sheetData>
    <row r="1" spans="1:13" ht="19.5" customHeight="1">
      <c r="A1" s="195" t="str" cm="1">
        <f t="array" ref="A1">portfolio</f>
        <v>Generate Capital</v>
      </c>
      <c r="B1" s="195"/>
      <c r="C1" s="195"/>
      <c r="D1" s="195"/>
      <c r="E1" s="196" t="s">
        <v>393</v>
      </c>
      <c r="F1" s="196"/>
      <c r="G1" s="196"/>
      <c r="H1" s="194" t="s">
        <v>394</v>
      </c>
      <c r="I1" s="194"/>
      <c r="J1" s="194"/>
      <c r="K1" s="182"/>
      <c r="L1" s="182"/>
      <c r="M1" s="182"/>
    </row>
    <row r="2" spans="1:13" ht="19.5" customHeight="1">
      <c r="A2" s="197" t="s">
        <v>2</v>
      </c>
      <c r="B2" s="197"/>
      <c r="C2" s="57"/>
      <c r="D2" s="5">
        <f>SUM(D4:D200)</f>
        <v>0</v>
      </c>
      <c r="E2" s="5">
        <f>SUM(E4:E200)</f>
        <v>0</v>
      </c>
      <c r="F2" s="5">
        <f>D2-E2</f>
        <v>0</v>
      </c>
      <c r="G2" s="6">
        <f>IFERROR(F2/E2, 0)</f>
        <v>0</v>
      </c>
      <c r="H2" s="5">
        <f>SUM(H4:H200)</f>
        <v>0</v>
      </c>
      <c r="I2" s="7">
        <f>D2-H2</f>
        <v>0</v>
      </c>
      <c r="J2" s="6">
        <f>IFERROR(I2/H2, 0)</f>
        <v>0</v>
      </c>
      <c r="K2" s="184"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182"/>
      <c r="M2" s="182"/>
    </row>
    <row r="3" spans="1:13" ht="14.25" customHeight="1">
      <c r="A3" s="8" t="s">
        <v>3</v>
      </c>
      <c r="B3" s="8" t="s">
        <v>4</v>
      </c>
      <c r="C3" s="8" t="s">
        <v>5</v>
      </c>
      <c r="D3" s="19" t="s">
        <v>6</v>
      </c>
      <c r="E3" s="31" t="s">
        <v>7</v>
      </c>
      <c r="F3" s="31" t="s">
        <v>8</v>
      </c>
      <c r="G3" s="32" t="s">
        <v>9</v>
      </c>
      <c r="H3" s="33" t="s">
        <v>10</v>
      </c>
      <c r="I3" s="34" t="s">
        <v>8</v>
      </c>
      <c r="J3" s="35" t="s">
        <v>9</v>
      </c>
      <c r="K3" s="181" t="s">
        <v>24</v>
      </c>
      <c r="L3" s="181" t="s">
        <v>25</v>
      </c>
      <c r="M3" s="181" t="s">
        <v>26</v>
      </c>
    </row>
    <row r="4" spans="1:13" ht="15.6">
      <c r="A4" s="28" t="str" cm="1">
        <f t="array" ref="A4:A176">Sites[Site]</f>
        <v>K026</v>
      </c>
      <c r="B4" s="25" t="str" cm="1">
        <f t="array" ref="B4:B176">Sites[State]</f>
        <v>NY</v>
      </c>
      <c r="C4" s="28" t="str">
        <f>Sites[[#This Row],[SOL'#]]</f>
        <v>SOL-10356</v>
      </c>
      <c r="D4" s="20"/>
      <c r="E4" s="10"/>
      <c r="F4" s="10" t="str">
        <f>IF(AND(ISNUMBER(D4),ISNUMBER(E4)), D4-E4, "")</f>
        <v/>
      </c>
      <c r="G4" s="11" t="str">
        <f>IFERROR(F4/E4, "")</f>
        <v/>
      </c>
      <c r="H4" s="12"/>
      <c r="I4" s="12" t="str">
        <f>IF(AND(ISNUMBER(D4),ISNUMBER(H4)), D4-H4, "")</f>
        <v/>
      </c>
      <c r="J4" s="13" t="str">
        <f>IFERROR(I4/H4, "")</f>
        <v/>
      </c>
      <c r="K4" s="37"/>
      <c r="L4" s="109"/>
      <c r="M4" s="56"/>
    </row>
    <row r="5" spans="1:13" ht="15.6">
      <c r="A5" s="26" t="str">
        <v>K041</v>
      </c>
      <c r="B5" s="27" t="str">
        <v>NY</v>
      </c>
      <c r="C5" s="26" t="str">
        <f>Sites[[#This Row],[SOL'#]]</f>
        <v>SOL-10357</v>
      </c>
      <c r="D5" s="9"/>
      <c r="E5" s="14"/>
      <c r="F5" s="14" t="str">
        <f t="shared" ref="F5:F68" si="0">IF(AND(ISNUMBER(D5),ISNUMBER(E5)), D5-E5, "")</f>
        <v/>
      </c>
      <c r="G5" s="15" t="str">
        <f>IFERROR(F5/E5, "")</f>
        <v/>
      </c>
      <c r="H5" s="16"/>
      <c r="I5" s="16" t="str">
        <f t="shared" ref="I5:I68" si="1">IF(AND(ISNUMBER(D5),ISNUMBER(H5)), D5-H5, "")</f>
        <v/>
      </c>
      <c r="J5" s="15" t="str">
        <f t="shared" ref="J5:J68" si="2">IFERROR(I5/H5, "")</f>
        <v/>
      </c>
      <c r="K5" s="50"/>
      <c r="L5" s="50"/>
      <c r="M5" s="50"/>
    </row>
    <row r="6" spans="1:13" ht="15.6">
      <c r="A6" s="24" t="str">
        <v>K043</v>
      </c>
      <c r="B6" s="25" t="str">
        <v>NY</v>
      </c>
      <c r="C6" s="28" t="str">
        <f>Sites[[#This Row],[SOL'#]]</f>
        <v>SOL-10358</v>
      </c>
      <c r="D6" s="20"/>
      <c r="E6" s="10"/>
      <c r="F6" s="10" t="str">
        <f t="shared" si="0"/>
        <v/>
      </c>
      <c r="G6" s="11" t="str">
        <f t="shared" ref="G6:G69" si="3">IFERROR(F6/E6, "")</f>
        <v/>
      </c>
      <c r="H6" s="12"/>
      <c r="I6" s="12" t="str">
        <f t="shared" si="1"/>
        <v/>
      </c>
      <c r="J6" s="13" t="str">
        <f t="shared" si="2"/>
        <v/>
      </c>
      <c r="K6" s="37"/>
      <c r="L6" s="37"/>
      <c r="M6" s="56"/>
    </row>
    <row r="7" spans="1:13" ht="15.6">
      <c r="A7" s="26" t="str">
        <v>K058</v>
      </c>
      <c r="B7" s="27" t="str">
        <v>NY</v>
      </c>
      <c r="C7" s="26" t="str">
        <f>Sites[[#This Row],[SOL'#]]</f>
        <v>SOL-10360</v>
      </c>
      <c r="D7" s="9"/>
      <c r="E7" s="14"/>
      <c r="F7" s="14" t="str">
        <f t="shared" si="0"/>
        <v/>
      </c>
      <c r="G7" s="15" t="str">
        <f t="shared" si="3"/>
        <v/>
      </c>
      <c r="H7" s="16"/>
      <c r="I7" s="16" t="str">
        <f t="shared" si="1"/>
        <v/>
      </c>
      <c r="J7" s="15" t="str">
        <f t="shared" si="2"/>
        <v/>
      </c>
      <c r="K7" s="50"/>
      <c r="L7" s="50"/>
      <c r="M7" s="50"/>
    </row>
    <row r="8" spans="1:13" ht="15.6">
      <c r="A8" s="24" t="str">
        <v>K115</v>
      </c>
      <c r="B8" s="25" t="str">
        <v>NY</v>
      </c>
      <c r="C8" s="28" t="str">
        <f>Sites[[#This Row],[SOL'#]]</f>
        <v>SOL-10361</v>
      </c>
      <c r="D8" s="20"/>
      <c r="E8" s="10"/>
      <c r="F8" s="10" t="str">
        <f t="shared" si="0"/>
        <v/>
      </c>
      <c r="G8" s="11" t="str">
        <f t="shared" si="3"/>
        <v/>
      </c>
      <c r="H8" s="12"/>
      <c r="I8" s="12" t="str">
        <f t="shared" si="1"/>
        <v/>
      </c>
      <c r="J8" s="13" t="str">
        <f t="shared" si="2"/>
        <v/>
      </c>
      <c r="K8" s="37"/>
      <c r="L8" s="109"/>
      <c r="M8" s="56"/>
    </row>
    <row r="9" spans="1:13" ht="15.6">
      <c r="A9" s="26" t="str">
        <v>K152</v>
      </c>
      <c r="B9" s="27" t="str">
        <v>NY</v>
      </c>
      <c r="C9" s="26" t="str">
        <f>Sites[[#This Row],[SOL'#]]</f>
        <v>SOL-10362</v>
      </c>
      <c r="D9" s="9"/>
      <c r="E9" s="14"/>
      <c r="F9" s="14" t="str">
        <f t="shared" si="0"/>
        <v/>
      </c>
      <c r="G9" s="15" t="str">
        <f t="shared" si="3"/>
        <v/>
      </c>
      <c r="H9" s="16"/>
      <c r="I9" s="16" t="str">
        <f t="shared" si="1"/>
        <v/>
      </c>
      <c r="J9" s="15" t="str">
        <f t="shared" si="2"/>
        <v/>
      </c>
      <c r="K9" s="50"/>
      <c r="L9" s="110"/>
      <c r="M9" s="50"/>
    </row>
    <row r="10" spans="1:13" ht="15.6">
      <c r="A10" s="24" t="str">
        <v>K166</v>
      </c>
      <c r="B10" s="25" t="str">
        <v>NY</v>
      </c>
      <c r="C10" s="28" t="str">
        <f>Sites[[#This Row],[SOL'#]]</f>
        <v>SOL-10363</v>
      </c>
      <c r="D10" s="20"/>
      <c r="E10" s="10"/>
      <c r="F10" s="10" t="str">
        <f t="shared" si="0"/>
        <v/>
      </c>
      <c r="G10" s="11" t="str">
        <f t="shared" si="3"/>
        <v/>
      </c>
      <c r="H10" s="12"/>
      <c r="I10" s="12" t="str">
        <f t="shared" si="1"/>
        <v/>
      </c>
      <c r="J10" s="13" t="str">
        <f t="shared" si="2"/>
        <v/>
      </c>
      <c r="K10" s="37"/>
      <c r="L10" s="109"/>
      <c r="M10" s="56"/>
    </row>
    <row r="11" spans="1:13" ht="15.6">
      <c r="A11" s="26" t="str">
        <v>K206</v>
      </c>
      <c r="B11" s="27" t="str">
        <v>NY</v>
      </c>
      <c r="C11" s="26" t="str">
        <f>Sites[[#This Row],[SOL'#]]</f>
        <v>SOL-10927</v>
      </c>
      <c r="D11" s="9"/>
      <c r="E11" s="14"/>
      <c r="F11" s="14" t="str">
        <f t="shared" si="0"/>
        <v/>
      </c>
      <c r="G11" s="15" t="str">
        <f t="shared" si="3"/>
        <v/>
      </c>
      <c r="H11" s="16"/>
      <c r="I11" s="16" t="str">
        <f t="shared" si="1"/>
        <v/>
      </c>
      <c r="J11" s="15" t="str">
        <f t="shared" si="2"/>
        <v/>
      </c>
      <c r="K11" s="50"/>
      <c r="L11" s="84"/>
      <c r="M11" s="84"/>
    </row>
    <row r="12" spans="1:13" ht="15.6">
      <c r="A12" s="24" t="str">
        <v>K251</v>
      </c>
      <c r="B12" s="25" t="str">
        <v>NY</v>
      </c>
      <c r="C12" s="28" t="str">
        <f>Sites[[#This Row],[SOL'#]]</f>
        <v>SOL-10365</v>
      </c>
      <c r="D12" s="20"/>
      <c r="E12" s="10"/>
      <c r="F12" s="10" t="str">
        <f t="shared" si="0"/>
        <v/>
      </c>
      <c r="G12" s="11" t="str">
        <f t="shared" si="3"/>
        <v/>
      </c>
      <c r="H12" s="12"/>
      <c r="I12" s="12" t="str">
        <f t="shared" si="1"/>
        <v/>
      </c>
      <c r="J12" s="13" t="str">
        <f t="shared" si="2"/>
        <v/>
      </c>
      <c r="K12" s="37"/>
      <c r="L12" s="109"/>
      <c r="M12" s="56"/>
    </row>
    <row r="13" spans="1:13" ht="15.6">
      <c r="A13" s="26" t="str">
        <v>K269</v>
      </c>
      <c r="B13" s="27" t="str">
        <v>NY</v>
      </c>
      <c r="C13" s="26" t="str">
        <f>Sites[[#This Row],[SOL'#]]</f>
        <v>SOL-10366</v>
      </c>
      <c r="D13" s="9"/>
      <c r="E13" s="14"/>
      <c r="F13" s="14" t="str">
        <f t="shared" si="0"/>
        <v/>
      </c>
      <c r="G13" s="15" t="str">
        <f t="shared" si="3"/>
        <v/>
      </c>
      <c r="H13" s="16"/>
      <c r="I13" s="16" t="str">
        <f t="shared" si="1"/>
        <v/>
      </c>
      <c r="J13" s="15" t="str">
        <f t="shared" si="2"/>
        <v/>
      </c>
      <c r="K13" s="50"/>
      <c r="L13" s="110"/>
      <c r="M13" s="84"/>
    </row>
    <row r="14" spans="1:13" ht="38.25" customHeight="1">
      <c r="A14" s="24" t="str">
        <v>K273</v>
      </c>
      <c r="B14" s="25" t="str">
        <v>NY</v>
      </c>
      <c r="C14" s="28" t="str">
        <f>Sites[[#This Row],[SOL'#]]</f>
        <v>SOL-10367</v>
      </c>
      <c r="D14" s="20"/>
      <c r="E14" s="10"/>
      <c r="F14" s="10" t="str">
        <f t="shared" si="0"/>
        <v/>
      </c>
      <c r="G14" s="11" t="str">
        <f t="shared" si="3"/>
        <v/>
      </c>
      <c r="H14" s="12"/>
      <c r="I14" s="12" t="str">
        <f t="shared" si="1"/>
        <v/>
      </c>
      <c r="J14" s="13" t="str">
        <f t="shared" si="2"/>
        <v/>
      </c>
      <c r="K14" s="37"/>
      <c r="L14" s="109"/>
      <c r="M14" s="56"/>
    </row>
    <row r="15" spans="1:13" ht="15.6">
      <c r="A15" s="26" t="str">
        <v>K287</v>
      </c>
      <c r="B15" s="27" t="str">
        <v>NY</v>
      </c>
      <c r="C15" s="26" t="str">
        <f>Sites[[#This Row],[SOL'#]]</f>
        <v>SOL-10919</v>
      </c>
      <c r="D15" s="9"/>
      <c r="E15" s="14"/>
      <c r="F15" s="14" t="str">
        <f t="shared" si="0"/>
        <v/>
      </c>
      <c r="G15" s="15" t="str">
        <f t="shared" si="3"/>
        <v/>
      </c>
      <c r="H15" s="16"/>
      <c r="I15" s="16" t="str">
        <f t="shared" si="1"/>
        <v/>
      </c>
      <c r="J15" s="15" t="str">
        <f t="shared" si="2"/>
        <v/>
      </c>
      <c r="K15" s="50"/>
      <c r="L15" s="50"/>
      <c r="M15" s="50"/>
    </row>
    <row r="16" spans="1:13" ht="15.6">
      <c r="A16" s="24" t="str">
        <v>K298</v>
      </c>
      <c r="B16" s="25" t="str">
        <v>NY</v>
      </c>
      <c r="C16" s="28" t="str">
        <f>Sites[[#This Row],[SOL'#]]</f>
        <v>SOL-10368</v>
      </c>
      <c r="D16" s="20"/>
      <c r="E16" s="10"/>
      <c r="F16" s="10" t="str">
        <f t="shared" si="0"/>
        <v/>
      </c>
      <c r="G16" s="11" t="str">
        <f t="shared" si="3"/>
        <v/>
      </c>
      <c r="H16" s="12"/>
      <c r="I16" s="12" t="str">
        <f>IF(AND(ISNUMBER(D16),ISNUMBER(H16)), D16-H16, "")</f>
        <v/>
      </c>
      <c r="J16" s="13" t="str">
        <f t="shared" si="2"/>
        <v/>
      </c>
      <c r="K16" s="37"/>
      <c r="L16" s="37"/>
      <c r="M16" s="56"/>
    </row>
    <row r="17" spans="1:13" ht="15.6">
      <c r="A17" s="26" t="str">
        <v>K335</v>
      </c>
      <c r="B17" s="27" t="str">
        <v>NY</v>
      </c>
      <c r="C17" s="26" t="str">
        <f>Sites[[#This Row],[SOL'#]]</f>
        <v>SOL-10370</v>
      </c>
      <c r="D17" s="9"/>
      <c r="E17" s="14"/>
      <c r="F17" s="14" t="str">
        <f t="shared" si="0"/>
        <v/>
      </c>
      <c r="G17" s="15" t="str">
        <f t="shared" si="3"/>
        <v/>
      </c>
      <c r="H17" s="16"/>
      <c r="I17" s="16" t="str">
        <f t="shared" si="1"/>
        <v/>
      </c>
      <c r="J17" s="15" t="str">
        <f t="shared" si="2"/>
        <v/>
      </c>
      <c r="K17" s="50"/>
      <c r="L17" s="110"/>
      <c r="M17" s="50"/>
    </row>
    <row r="18" spans="1:13" ht="46.5" customHeight="1">
      <c r="A18" s="24" t="str">
        <v>K345</v>
      </c>
      <c r="B18" s="25" t="str">
        <v>NY</v>
      </c>
      <c r="C18" s="28" t="str">
        <f>Sites[[#This Row],[SOL'#]]</f>
        <v>SOL-10920</v>
      </c>
      <c r="D18" s="20"/>
      <c r="E18" s="10"/>
      <c r="F18" s="10" t="str">
        <f t="shared" si="0"/>
        <v/>
      </c>
      <c r="G18" s="11" t="str">
        <f t="shared" si="3"/>
        <v/>
      </c>
      <c r="H18" s="12"/>
      <c r="I18" s="12" t="str">
        <f t="shared" si="1"/>
        <v/>
      </c>
      <c r="J18" s="13" t="str">
        <f t="shared" si="2"/>
        <v/>
      </c>
      <c r="K18" s="37"/>
      <c r="L18" s="37"/>
      <c r="M18" s="56"/>
    </row>
    <row r="19" spans="1:13" ht="15.6">
      <c r="A19" s="26" t="str">
        <v>K445</v>
      </c>
      <c r="B19" s="27" t="str">
        <v>NY</v>
      </c>
      <c r="C19" s="26" t="str">
        <f>Sites[[#This Row],[SOL'#]]</f>
        <v>SOL-10373</v>
      </c>
      <c r="D19" s="9"/>
      <c r="E19" s="14"/>
      <c r="F19" s="14" t="str">
        <f t="shared" si="0"/>
        <v/>
      </c>
      <c r="G19" s="15" t="str">
        <f t="shared" si="3"/>
        <v/>
      </c>
      <c r="H19" s="16"/>
      <c r="I19" s="16" t="str">
        <f t="shared" si="1"/>
        <v/>
      </c>
      <c r="J19" s="15" t="str">
        <f t="shared" si="2"/>
        <v/>
      </c>
      <c r="K19" s="50"/>
      <c r="L19" s="84"/>
      <c r="M19" s="84"/>
    </row>
    <row r="20" spans="1:13" ht="58.5" customHeight="1">
      <c r="A20" s="24" t="str">
        <v>K495</v>
      </c>
      <c r="B20" s="25" t="str">
        <v>NY</v>
      </c>
      <c r="C20" s="28" t="str">
        <f>Sites[[#This Row],[SOL'#]]</f>
        <v>SOL-10374</v>
      </c>
      <c r="D20" s="20"/>
      <c r="E20" s="10"/>
      <c r="F20" s="10" t="str">
        <f t="shared" si="0"/>
        <v/>
      </c>
      <c r="G20" s="11" t="str">
        <f t="shared" si="3"/>
        <v/>
      </c>
      <c r="H20" s="12"/>
      <c r="I20" s="12" t="str">
        <f t="shared" si="1"/>
        <v/>
      </c>
      <c r="J20" s="13" t="str">
        <f t="shared" si="2"/>
        <v/>
      </c>
      <c r="K20" s="37"/>
      <c r="L20" s="109"/>
      <c r="M20" s="56"/>
    </row>
    <row r="21" spans="1:13" ht="15.6">
      <c r="A21" s="26" t="str">
        <v>M020</v>
      </c>
      <c r="B21" s="27" t="str">
        <v>NY</v>
      </c>
      <c r="C21" s="26" t="str">
        <f>Sites[[#This Row],[SOL'#]]</f>
        <v>SOL-10380</v>
      </c>
      <c r="D21" s="9"/>
      <c r="E21" s="14"/>
      <c r="F21" s="14" t="str">
        <f t="shared" si="0"/>
        <v/>
      </c>
      <c r="G21" s="15" t="str">
        <f t="shared" si="3"/>
        <v/>
      </c>
      <c r="H21" s="16"/>
      <c r="I21" s="16" t="str">
        <f t="shared" si="1"/>
        <v/>
      </c>
      <c r="J21" s="15" t="str">
        <f t="shared" si="2"/>
        <v/>
      </c>
      <c r="K21" s="50"/>
      <c r="L21" s="50"/>
      <c r="M21" s="50"/>
    </row>
    <row r="22" spans="1:13" ht="15.6">
      <c r="A22" s="24" t="str">
        <v>M092</v>
      </c>
      <c r="B22" s="25" t="str">
        <v>NY</v>
      </c>
      <c r="C22" s="28" t="str">
        <f>Sites[[#This Row],[SOL'#]]</f>
        <v>SOL-10383</v>
      </c>
      <c r="D22" s="20"/>
      <c r="E22" s="10"/>
      <c r="F22" s="10" t="str">
        <f t="shared" si="0"/>
        <v/>
      </c>
      <c r="G22" s="11" t="str">
        <f t="shared" si="3"/>
        <v/>
      </c>
      <c r="H22" s="12"/>
      <c r="I22" s="12" t="str">
        <f t="shared" si="1"/>
        <v/>
      </c>
      <c r="J22" s="13" t="str">
        <f t="shared" si="2"/>
        <v/>
      </c>
      <c r="K22" s="37"/>
      <c r="L22" s="37"/>
      <c r="M22" s="56"/>
    </row>
    <row r="23" spans="1:13" ht="25.5" customHeight="1">
      <c r="A23" s="26" t="str">
        <v>M143</v>
      </c>
      <c r="B23" s="27" t="str">
        <v>NY</v>
      </c>
      <c r="C23" s="26" t="str">
        <f>Sites[[#This Row],[SOL'#]]</f>
        <v>SOL-10384</v>
      </c>
      <c r="D23" s="9"/>
      <c r="E23" s="14"/>
      <c r="F23" s="14" t="str">
        <f t="shared" si="0"/>
        <v/>
      </c>
      <c r="G23" s="15" t="str">
        <f t="shared" si="3"/>
        <v/>
      </c>
      <c r="H23" s="16"/>
      <c r="I23" s="16" t="str">
        <f t="shared" si="1"/>
        <v/>
      </c>
      <c r="J23" s="15" t="str">
        <f t="shared" si="2"/>
        <v/>
      </c>
      <c r="K23" s="50"/>
      <c r="L23" s="50"/>
      <c r="M23" s="50"/>
    </row>
    <row r="24" spans="1:13" ht="15.6">
      <c r="A24" s="24" t="str">
        <v>M144</v>
      </c>
      <c r="B24" s="25" t="str">
        <v>NY</v>
      </c>
      <c r="C24" s="28" t="str">
        <f>Sites[[#This Row],[SOL'#]]</f>
        <v>SOL-10385</v>
      </c>
      <c r="D24" s="20"/>
      <c r="E24" s="10"/>
      <c r="F24" s="10" t="str">
        <f t="shared" si="0"/>
        <v/>
      </c>
      <c r="G24" s="11" t="str">
        <f t="shared" si="3"/>
        <v/>
      </c>
      <c r="H24" s="12"/>
      <c r="I24" s="12" t="str">
        <f t="shared" si="1"/>
        <v/>
      </c>
      <c r="J24" s="13" t="str">
        <f t="shared" si="2"/>
        <v/>
      </c>
      <c r="K24" s="37"/>
      <c r="L24" s="37"/>
      <c r="M24" s="56"/>
    </row>
    <row r="25" spans="1:13" ht="15.6">
      <c r="A25" s="26" t="str">
        <v>M167</v>
      </c>
      <c r="B25" s="27" t="str">
        <v>NY</v>
      </c>
      <c r="C25" s="26" t="str">
        <f>Sites[[#This Row],[SOL'#]]</f>
        <v>SOL-10386</v>
      </c>
      <c r="D25" s="9"/>
      <c r="E25" s="14"/>
      <c r="F25" s="14" t="str">
        <f t="shared" si="0"/>
        <v/>
      </c>
      <c r="G25" s="15" t="str">
        <f t="shared" si="3"/>
        <v/>
      </c>
      <c r="H25" s="16"/>
      <c r="I25" s="16" t="str">
        <f t="shared" si="1"/>
        <v/>
      </c>
      <c r="J25" s="15" t="str">
        <f t="shared" si="2"/>
        <v/>
      </c>
      <c r="K25" s="50"/>
      <c r="L25" s="50"/>
      <c r="M25" s="50"/>
    </row>
    <row r="26" spans="1:13" ht="15.6">
      <c r="A26" s="24" t="str">
        <v>M188</v>
      </c>
      <c r="B26" s="25" t="str">
        <v>NY</v>
      </c>
      <c r="C26" s="28" t="str">
        <f>Sites[[#This Row],[SOL'#]]</f>
        <v>SOL-10387</v>
      </c>
      <c r="D26" s="20"/>
      <c r="E26" s="10"/>
      <c r="F26" s="10" t="str">
        <f t="shared" si="0"/>
        <v/>
      </c>
      <c r="G26" s="11" t="str">
        <f t="shared" si="3"/>
        <v/>
      </c>
      <c r="H26" s="12"/>
      <c r="I26" s="12" t="str">
        <f t="shared" si="1"/>
        <v/>
      </c>
      <c r="J26" s="13" t="str">
        <f t="shared" si="2"/>
        <v/>
      </c>
      <c r="K26" s="37"/>
      <c r="L26" s="37"/>
      <c r="M26" s="56"/>
    </row>
    <row r="27" spans="1:13" ht="15.6">
      <c r="A27" s="26" t="str">
        <v>EMHC</v>
      </c>
      <c r="B27" s="27" t="str">
        <v>NY</v>
      </c>
      <c r="C27" s="26" t="str">
        <f>Sites[[#This Row],[SOL'#]]</f>
        <v>SOL-10351</v>
      </c>
      <c r="D27" s="9"/>
      <c r="E27" s="14"/>
      <c r="F27" s="14" t="str">
        <f t="shared" si="0"/>
        <v/>
      </c>
      <c r="G27" s="15" t="str">
        <f t="shared" si="3"/>
        <v/>
      </c>
      <c r="H27" s="16"/>
      <c r="I27" s="16" t="str">
        <f t="shared" si="1"/>
        <v/>
      </c>
      <c r="J27" s="15" t="str">
        <f t="shared" si="2"/>
        <v/>
      </c>
      <c r="K27" s="50"/>
      <c r="L27" s="110"/>
      <c r="M27" s="50"/>
    </row>
    <row r="28" spans="1:13" ht="15.6">
      <c r="A28" s="24" t="str">
        <v>Q008</v>
      </c>
      <c r="B28" s="25" t="str">
        <v>NY</v>
      </c>
      <c r="C28" s="28" t="str">
        <f>Sites[[#This Row],[SOL'#]]</f>
        <v>SOL-10397</v>
      </c>
      <c r="D28" s="20"/>
      <c r="E28" s="10"/>
      <c r="F28" s="10" t="str">
        <f t="shared" si="0"/>
        <v/>
      </c>
      <c r="G28" s="11" t="str">
        <f t="shared" si="3"/>
        <v/>
      </c>
      <c r="H28" s="12"/>
      <c r="I28" s="12" t="str">
        <f t="shared" si="1"/>
        <v/>
      </c>
      <c r="J28" s="13" t="str">
        <f t="shared" si="2"/>
        <v/>
      </c>
      <c r="K28" s="37"/>
      <c r="L28" s="37"/>
      <c r="M28" s="56"/>
    </row>
    <row r="29" spans="1:13" ht="27" customHeight="1">
      <c r="A29" s="26" t="str">
        <v>Q018</v>
      </c>
      <c r="B29" s="27" t="str">
        <v>NY</v>
      </c>
      <c r="C29" s="26" t="str">
        <f>Sites[[#This Row],[SOL'#]]</f>
        <v>SOL-10398</v>
      </c>
      <c r="D29" s="9"/>
      <c r="E29" s="14"/>
      <c r="F29" s="14" t="str">
        <f t="shared" si="0"/>
        <v/>
      </c>
      <c r="G29" s="15" t="str">
        <f t="shared" si="3"/>
        <v/>
      </c>
      <c r="H29" s="16"/>
      <c r="I29" s="16" t="str">
        <f t="shared" si="1"/>
        <v/>
      </c>
      <c r="J29" s="15" t="str">
        <f t="shared" si="2"/>
        <v/>
      </c>
      <c r="K29" s="50"/>
      <c r="L29" s="51"/>
      <c r="M29" s="51"/>
    </row>
    <row r="30" spans="1:13" ht="15.6">
      <c r="A30" s="24" t="str">
        <v>Q021</v>
      </c>
      <c r="B30" s="25" t="str">
        <v>NY</v>
      </c>
      <c r="C30" s="28" t="str">
        <f>Sites[[#This Row],[SOL'#]]</f>
        <v>SOL-10399</v>
      </c>
      <c r="D30" s="20"/>
      <c r="E30" s="10"/>
      <c r="F30" s="10" t="str">
        <f t="shared" si="0"/>
        <v/>
      </c>
      <c r="G30" s="11" t="str">
        <f t="shared" si="3"/>
        <v/>
      </c>
      <c r="H30" s="12"/>
      <c r="I30" s="12" t="str">
        <f t="shared" si="1"/>
        <v/>
      </c>
      <c r="J30" s="13" t="str">
        <f t="shared" si="2"/>
        <v/>
      </c>
      <c r="K30" s="37"/>
      <c r="L30" s="37"/>
      <c r="M30" s="56"/>
    </row>
    <row r="31" spans="1:13" ht="15.6">
      <c r="A31" s="26" t="str">
        <v>Q025</v>
      </c>
      <c r="B31" s="27" t="str">
        <v>NY</v>
      </c>
      <c r="C31" s="26" t="str">
        <f>Sites[[#This Row],[SOL'#]]</f>
        <v>SOL-10400</v>
      </c>
      <c r="D31" s="9"/>
      <c r="E31" s="14"/>
      <c r="F31" s="14" t="str">
        <f t="shared" si="0"/>
        <v/>
      </c>
      <c r="G31" s="15" t="str">
        <f t="shared" si="3"/>
        <v/>
      </c>
      <c r="H31" s="16"/>
      <c r="I31" s="16" t="str">
        <f t="shared" si="1"/>
        <v/>
      </c>
      <c r="J31" s="15" t="str">
        <f t="shared" si="2"/>
        <v/>
      </c>
      <c r="K31" s="185"/>
      <c r="L31" s="185"/>
      <c r="M31" s="185"/>
    </row>
    <row r="32" spans="1:13" ht="15.6">
      <c r="A32" s="24" t="str">
        <v>Q074</v>
      </c>
      <c r="B32" s="25" t="str">
        <v>NY</v>
      </c>
      <c r="C32" s="28" t="str">
        <f>Sites[[#This Row],[SOL'#]]</f>
        <v>SOL-10402</v>
      </c>
      <c r="D32" s="20"/>
      <c r="E32" s="10"/>
      <c r="F32" s="10" t="str">
        <f t="shared" si="0"/>
        <v/>
      </c>
      <c r="G32" s="11" t="str">
        <f t="shared" si="3"/>
        <v/>
      </c>
      <c r="H32" s="12"/>
      <c r="I32" s="12" t="str">
        <f t="shared" si="1"/>
        <v/>
      </c>
      <c r="J32" s="13" t="str">
        <f t="shared" si="2"/>
        <v/>
      </c>
      <c r="K32" s="37"/>
      <c r="L32" s="109"/>
      <c r="M32" s="56"/>
    </row>
    <row r="33" spans="1:13" ht="15.6">
      <c r="A33" s="26" t="str">
        <v>Q115</v>
      </c>
      <c r="B33" s="27" t="str">
        <v>NY</v>
      </c>
      <c r="C33" s="26" t="str">
        <f>Sites[[#This Row],[SOL'#]]</f>
        <v>SOL-10872</v>
      </c>
      <c r="D33" s="9"/>
      <c r="E33" s="14"/>
      <c r="F33" s="14" t="str">
        <f t="shared" si="0"/>
        <v/>
      </c>
      <c r="G33" s="15" t="str">
        <f t="shared" si="3"/>
        <v/>
      </c>
      <c r="H33" s="16"/>
      <c r="I33" s="16" t="str">
        <f t="shared" si="1"/>
        <v/>
      </c>
      <c r="J33" s="15" t="str">
        <f t="shared" si="2"/>
        <v/>
      </c>
      <c r="K33" s="50"/>
      <c r="L33" s="110"/>
      <c r="M33" s="50"/>
    </row>
    <row r="34" spans="1:13" ht="15.6">
      <c r="A34" s="24" t="str">
        <v>Q139</v>
      </c>
      <c r="B34" s="25" t="str">
        <v>NY</v>
      </c>
      <c r="C34" s="28" t="str">
        <f>Sites[[#This Row],[SOL'#]]</f>
        <v>SOL-10403</v>
      </c>
      <c r="D34" s="20"/>
      <c r="E34" s="10"/>
      <c r="F34" s="10" t="str">
        <f t="shared" si="0"/>
        <v/>
      </c>
      <c r="G34" s="11" t="str">
        <f t="shared" si="3"/>
        <v/>
      </c>
      <c r="H34" s="12"/>
      <c r="I34" s="12" t="str">
        <f t="shared" si="1"/>
        <v/>
      </c>
      <c r="J34" s="13" t="str">
        <f t="shared" si="2"/>
        <v/>
      </c>
      <c r="K34" s="37"/>
      <c r="L34" s="109"/>
      <c r="M34" s="56"/>
    </row>
    <row r="35" spans="1:13" ht="15.6">
      <c r="A35" s="26" t="str">
        <v>Q157</v>
      </c>
      <c r="B35" s="27" t="str">
        <v>NY</v>
      </c>
      <c r="C35" s="26" t="str">
        <f>Sites[[#This Row],[SOL'#]]</f>
        <v>SOL-10404</v>
      </c>
      <c r="D35" s="9"/>
      <c r="E35" s="14"/>
      <c r="F35" s="14" t="str">
        <f t="shared" si="0"/>
        <v/>
      </c>
      <c r="G35" s="15" t="str">
        <f t="shared" si="3"/>
        <v/>
      </c>
      <c r="H35" s="16"/>
      <c r="I35" s="16" t="str">
        <f t="shared" si="1"/>
        <v/>
      </c>
      <c r="J35" s="15" t="str">
        <f t="shared" si="2"/>
        <v/>
      </c>
      <c r="K35" s="50"/>
      <c r="L35" s="50"/>
      <c r="M35" s="50"/>
    </row>
    <row r="36" spans="1:13" ht="15.6">
      <c r="A36" s="24" t="str">
        <v>Q192</v>
      </c>
      <c r="B36" s="25" t="str">
        <v>NY</v>
      </c>
      <c r="C36" s="28" t="str">
        <f>Sites[[#This Row],[SOL'#]]</f>
        <v>SOL-10406</v>
      </c>
      <c r="D36" s="20"/>
      <c r="E36" s="10"/>
      <c r="F36" s="10" t="str">
        <f t="shared" si="0"/>
        <v/>
      </c>
      <c r="G36" s="11" t="str">
        <f t="shared" si="3"/>
        <v/>
      </c>
      <c r="H36" s="12"/>
      <c r="I36" s="12" t="str">
        <f t="shared" si="1"/>
        <v/>
      </c>
      <c r="J36" s="13" t="str">
        <f t="shared" si="2"/>
        <v/>
      </c>
      <c r="K36" s="37"/>
      <c r="L36" s="109"/>
      <c r="M36" s="56"/>
    </row>
    <row r="37" spans="1:13" ht="15.6">
      <c r="A37" s="26" t="str">
        <v>Q210</v>
      </c>
      <c r="B37" s="27" t="str">
        <v>NY</v>
      </c>
      <c r="C37" s="26" t="str">
        <f>Sites[[#This Row],[SOL'#]]</f>
        <v>SOL-10407</v>
      </c>
      <c r="D37" s="9"/>
      <c r="E37" s="14"/>
      <c r="F37" s="14" t="str">
        <f t="shared" si="0"/>
        <v/>
      </c>
      <c r="G37" s="15" t="str">
        <f t="shared" si="3"/>
        <v/>
      </c>
      <c r="H37" s="16"/>
      <c r="I37" s="16" t="str">
        <f t="shared" si="1"/>
        <v/>
      </c>
      <c r="J37" s="15" t="str">
        <f t="shared" si="2"/>
        <v/>
      </c>
      <c r="K37" s="50"/>
      <c r="L37" s="50"/>
      <c r="M37" s="50"/>
    </row>
    <row r="38" spans="1:13" ht="15.6">
      <c r="A38" s="24" t="str">
        <v>Q229</v>
      </c>
      <c r="B38" s="25" t="str">
        <v>NY</v>
      </c>
      <c r="C38" s="28" t="str">
        <f>Sites[[#This Row],[SOL'#]]</f>
        <v>SOL-10408</v>
      </c>
      <c r="D38" s="20"/>
      <c r="E38" s="10"/>
      <c r="F38" s="10" t="str">
        <f t="shared" si="0"/>
        <v/>
      </c>
      <c r="G38" s="11" t="str">
        <f t="shared" si="3"/>
        <v/>
      </c>
      <c r="H38" s="12"/>
      <c r="I38" s="12" t="str">
        <f t="shared" si="1"/>
        <v/>
      </c>
      <c r="J38" s="13" t="str">
        <f t="shared" si="2"/>
        <v/>
      </c>
      <c r="K38" s="37"/>
      <c r="L38" s="109"/>
      <c r="M38" s="56"/>
    </row>
    <row r="39" spans="1:13" ht="15.6">
      <c r="A39" s="26" t="str">
        <v>Q231</v>
      </c>
      <c r="B39" s="27" t="str">
        <v>NY</v>
      </c>
      <c r="C39" s="26" t="str">
        <f>Sites[[#This Row],[SOL'#]]</f>
        <v>SOL-10870</v>
      </c>
      <c r="D39" s="9"/>
      <c r="E39" s="14"/>
      <c r="F39" s="14" t="str">
        <f t="shared" si="0"/>
        <v/>
      </c>
      <c r="G39" s="15" t="str">
        <f t="shared" si="3"/>
        <v/>
      </c>
      <c r="H39" s="16"/>
      <c r="I39" s="16" t="str">
        <f t="shared" si="1"/>
        <v/>
      </c>
      <c r="J39" s="15" t="str">
        <f t="shared" si="2"/>
        <v/>
      </c>
      <c r="K39" s="50"/>
      <c r="L39" s="50"/>
      <c r="M39" s="50"/>
    </row>
    <row r="40" spans="1:13" ht="15.6">
      <c r="A40" s="24" t="str">
        <v>Q405</v>
      </c>
      <c r="B40" s="25" t="str">
        <v>NY</v>
      </c>
      <c r="C40" s="28" t="str">
        <f>Sites[[#This Row],[SOL'#]]</f>
        <v>SOL-10409</v>
      </c>
      <c r="D40" s="20"/>
      <c r="E40" s="10"/>
      <c r="F40" s="10" t="str">
        <f t="shared" si="0"/>
        <v/>
      </c>
      <c r="G40" s="11" t="str">
        <f t="shared" si="3"/>
        <v/>
      </c>
      <c r="H40" s="12"/>
      <c r="I40" s="12" t="str">
        <f t="shared" si="1"/>
        <v/>
      </c>
      <c r="J40" s="13" t="str">
        <f t="shared" si="2"/>
        <v/>
      </c>
      <c r="K40" s="37"/>
      <c r="L40" s="109"/>
      <c r="M40" s="56"/>
    </row>
    <row r="41" spans="1:13" ht="15.6">
      <c r="A41" s="26" t="str">
        <v>Q435</v>
      </c>
      <c r="B41" s="27" t="str">
        <v>NY</v>
      </c>
      <c r="C41" s="26" t="str">
        <f>Sites[[#This Row],[SOL'#]]</f>
        <v>SOL-10923</v>
      </c>
      <c r="D41" s="9"/>
      <c r="E41" s="14"/>
      <c r="F41" s="14" t="str">
        <f t="shared" si="0"/>
        <v/>
      </c>
      <c r="G41" s="15" t="str">
        <f t="shared" si="3"/>
        <v/>
      </c>
      <c r="H41" s="16"/>
      <c r="I41" s="16" t="str">
        <f t="shared" si="1"/>
        <v/>
      </c>
      <c r="J41" s="15" t="str">
        <f t="shared" si="2"/>
        <v/>
      </c>
      <c r="K41" s="50"/>
      <c r="L41" s="50"/>
      <c r="M41" s="50"/>
    </row>
    <row r="42" spans="1:13" ht="15.6">
      <c r="A42" s="24" t="str">
        <v>Q485</v>
      </c>
      <c r="B42" s="25" t="str">
        <v>NY</v>
      </c>
      <c r="C42" s="28" t="str">
        <f>Sites[[#This Row],[SOL'#]]</f>
        <v>SOL-10869</v>
      </c>
      <c r="D42" s="20"/>
      <c r="E42" s="10"/>
      <c r="F42" s="10" t="str">
        <f t="shared" si="0"/>
        <v/>
      </c>
      <c r="G42" s="11" t="str">
        <f t="shared" si="3"/>
        <v/>
      </c>
      <c r="H42" s="12"/>
      <c r="I42" s="12" t="str">
        <f t="shared" si="1"/>
        <v/>
      </c>
      <c r="J42" s="13" t="str">
        <f t="shared" si="2"/>
        <v/>
      </c>
      <c r="K42" s="37"/>
      <c r="L42" s="109"/>
      <c r="M42" s="56"/>
    </row>
    <row r="43" spans="1:13" ht="15.6">
      <c r="A43" s="26" t="str">
        <v>Q490</v>
      </c>
      <c r="B43" s="27" t="str">
        <v>NY</v>
      </c>
      <c r="C43" s="26" t="str">
        <f>Sites[[#This Row],[SOL'#]]</f>
        <v>SOL-10411</v>
      </c>
      <c r="D43" s="9"/>
      <c r="E43" s="14"/>
      <c r="F43" s="14" t="str">
        <f t="shared" si="0"/>
        <v/>
      </c>
      <c r="G43" s="15" t="str">
        <f t="shared" si="3"/>
        <v/>
      </c>
      <c r="H43" s="16"/>
      <c r="I43" s="16" t="str">
        <f t="shared" si="1"/>
        <v/>
      </c>
      <c r="J43" s="15" t="str">
        <f t="shared" si="2"/>
        <v/>
      </c>
      <c r="K43" s="185"/>
      <c r="L43" s="110"/>
      <c r="M43" s="50"/>
    </row>
    <row r="44" spans="1:13" ht="15.6">
      <c r="A44" s="24" t="str">
        <v>Q620</v>
      </c>
      <c r="B44" s="25" t="str">
        <v>NY</v>
      </c>
      <c r="C44" s="28" t="str">
        <f>Sites[[#This Row],[SOL'#]]</f>
        <v>SOL-10867</v>
      </c>
      <c r="D44" s="20"/>
      <c r="E44" s="10"/>
      <c r="F44" s="10" t="str">
        <f t="shared" si="0"/>
        <v/>
      </c>
      <c r="G44" s="11" t="str">
        <f t="shared" si="3"/>
        <v/>
      </c>
      <c r="H44" s="12"/>
      <c r="I44" s="12" t="str">
        <f t="shared" si="1"/>
        <v/>
      </c>
      <c r="J44" s="13" t="str">
        <f t="shared" si="2"/>
        <v/>
      </c>
      <c r="K44" s="37"/>
      <c r="L44" s="109"/>
      <c r="M44" s="56"/>
    </row>
    <row r="45" spans="1:13" ht="15.6">
      <c r="A45" s="26" t="str">
        <v>QMOA</v>
      </c>
      <c r="B45" s="27" t="str">
        <v>NY</v>
      </c>
      <c r="C45" s="26" t="str">
        <f>Sites[[#This Row],[SOL'#]]</f>
        <v>SOL-10415</v>
      </c>
      <c r="D45" s="9"/>
      <c r="E45" s="14"/>
      <c r="F45" s="14" t="str">
        <f t="shared" si="0"/>
        <v/>
      </c>
      <c r="G45" s="15" t="str">
        <f t="shared" si="3"/>
        <v/>
      </c>
      <c r="H45" s="16"/>
      <c r="I45" s="16" t="str">
        <f t="shared" si="1"/>
        <v/>
      </c>
      <c r="J45" s="15" t="str">
        <f t="shared" si="2"/>
        <v/>
      </c>
      <c r="K45" s="50"/>
      <c r="L45" s="50"/>
      <c r="M45" s="50"/>
    </row>
    <row r="46" spans="1:13" ht="15.6">
      <c r="A46" s="24" t="str">
        <v>X024</v>
      </c>
      <c r="B46" s="25" t="str">
        <v>NY</v>
      </c>
      <c r="C46" s="28" t="str">
        <f>Sites[[#This Row],[SOL'#]]</f>
        <v>SOL-10419</v>
      </c>
      <c r="D46" s="20"/>
      <c r="E46" s="10"/>
      <c r="F46" s="10" t="str">
        <f t="shared" si="0"/>
        <v/>
      </c>
      <c r="G46" s="11" t="str">
        <f t="shared" si="3"/>
        <v/>
      </c>
      <c r="H46" s="12"/>
      <c r="I46" s="12" t="str">
        <f t="shared" si="1"/>
        <v/>
      </c>
      <c r="J46" s="13" t="str">
        <f t="shared" si="2"/>
        <v/>
      </c>
      <c r="K46" s="37"/>
      <c r="L46" s="109"/>
      <c r="M46" s="56"/>
    </row>
    <row r="47" spans="1:13" ht="15.6">
      <c r="A47" s="26" t="str">
        <v>X026</v>
      </c>
      <c r="B47" s="27" t="str">
        <v>NY</v>
      </c>
      <c r="C47" s="26" t="str">
        <f>Sites[[#This Row],[SOL'#]]</f>
        <v>SOL-10420</v>
      </c>
      <c r="D47" s="9"/>
      <c r="E47" s="14"/>
      <c r="F47" s="14" t="str">
        <f t="shared" si="0"/>
        <v/>
      </c>
      <c r="G47" s="15" t="str">
        <f t="shared" si="3"/>
        <v/>
      </c>
      <c r="H47" s="16"/>
      <c r="I47" s="16" t="str">
        <f t="shared" si="1"/>
        <v/>
      </c>
      <c r="J47" s="15" t="str">
        <f t="shared" si="2"/>
        <v/>
      </c>
      <c r="K47" s="50"/>
      <c r="L47" s="110"/>
      <c r="M47" s="50"/>
    </row>
    <row r="48" spans="1:13" ht="21" customHeight="1">
      <c r="A48" s="24" t="str">
        <v>X090</v>
      </c>
      <c r="B48" s="25" t="str">
        <v>NY</v>
      </c>
      <c r="C48" s="28" t="str">
        <f>Sites[[#This Row],[SOL'#]]</f>
        <v>SOL-10925</v>
      </c>
      <c r="D48" s="20"/>
      <c r="E48" s="10"/>
      <c r="F48" s="10" t="str">
        <f t="shared" si="0"/>
        <v/>
      </c>
      <c r="G48" s="11" t="str">
        <f t="shared" si="3"/>
        <v/>
      </c>
      <c r="H48" s="12"/>
      <c r="I48" s="12" t="str">
        <f t="shared" si="1"/>
        <v/>
      </c>
      <c r="J48" s="13" t="str">
        <f t="shared" si="2"/>
        <v/>
      </c>
      <c r="K48" s="37"/>
      <c r="L48" s="37"/>
      <c r="M48" s="56"/>
    </row>
    <row r="49" spans="1:15" ht="15.6">
      <c r="A49" s="26" t="str">
        <v>X117</v>
      </c>
      <c r="B49" s="27" t="str">
        <v>NY</v>
      </c>
      <c r="C49" s="26" t="str">
        <f>Sites[[#This Row],[SOL'#]]</f>
        <v>SOL-10422</v>
      </c>
      <c r="D49" s="9"/>
      <c r="E49" s="14"/>
      <c r="F49" s="14" t="str">
        <f t="shared" si="0"/>
        <v/>
      </c>
      <c r="G49" s="15" t="str">
        <f t="shared" si="3"/>
        <v/>
      </c>
      <c r="H49" s="16"/>
      <c r="I49" s="16" t="str">
        <f t="shared" si="1"/>
        <v/>
      </c>
      <c r="J49" s="15" t="str">
        <f t="shared" si="2"/>
        <v/>
      </c>
      <c r="K49" s="50"/>
      <c r="L49" s="50"/>
      <c r="M49" s="50"/>
    </row>
    <row r="50" spans="1:15" ht="15.6">
      <c r="A50" s="24" t="str">
        <v>X125</v>
      </c>
      <c r="B50" s="25" t="str">
        <v>NY</v>
      </c>
      <c r="C50" s="28" t="str">
        <f>Sites[[#This Row],[SOL'#]]</f>
        <v>SOL-10423</v>
      </c>
      <c r="D50" s="20"/>
      <c r="E50" s="10"/>
      <c r="F50" s="10" t="str">
        <f t="shared" si="0"/>
        <v/>
      </c>
      <c r="G50" s="11" t="str">
        <f t="shared" si="3"/>
        <v/>
      </c>
      <c r="H50" s="12"/>
      <c r="I50" s="12" t="str">
        <f t="shared" si="1"/>
        <v/>
      </c>
      <c r="J50" s="13" t="str">
        <f t="shared" si="2"/>
        <v/>
      </c>
      <c r="K50" s="37"/>
      <c r="L50" s="37"/>
      <c r="M50" s="56"/>
    </row>
    <row r="51" spans="1:15" ht="15.6">
      <c r="A51" s="26" t="str">
        <v>X134</v>
      </c>
      <c r="B51" s="27" t="str">
        <v>NY</v>
      </c>
      <c r="C51" s="26" t="str">
        <f>Sites[[#This Row],[SOL'#]]</f>
        <v>SOL-10424</v>
      </c>
      <c r="D51" s="9"/>
      <c r="E51" s="14"/>
      <c r="F51" s="14" t="str">
        <f t="shared" si="0"/>
        <v/>
      </c>
      <c r="G51" s="15" t="str">
        <f t="shared" si="3"/>
        <v/>
      </c>
      <c r="H51" s="16"/>
      <c r="I51" s="16" t="str">
        <f t="shared" si="1"/>
        <v/>
      </c>
      <c r="J51" s="15" t="str">
        <f t="shared" si="2"/>
        <v/>
      </c>
      <c r="K51" s="50"/>
      <c r="L51" s="110"/>
      <c r="M51" s="50"/>
    </row>
    <row r="52" spans="1:15" ht="15.6">
      <c r="A52" s="24" t="str">
        <v>X135</v>
      </c>
      <c r="B52" s="25" t="str">
        <v>NY</v>
      </c>
      <c r="C52" s="28" t="str">
        <f>Sites[[#This Row],[SOL'#]]</f>
        <v>SOL-10425</v>
      </c>
      <c r="D52" s="20"/>
      <c r="E52" s="10"/>
      <c r="F52" s="10" t="str">
        <f t="shared" si="0"/>
        <v/>
      </c>
      <c r="G52" s="11" t="str">
        <f t="shared" si="3"/>
        <v/>
      </c>
      <c r="H52" s="12"/>
      <c r="I52" s="12" t="str">
        <f t="shared" si="1"/>
        <v/>
      </c>
      <c r="J52" s="13" t="str">
        <f t="shared" si="2"/>
        <v/>
      </c>
      <c r="K52" s="56"/>
      <c r="L52" s="37"/>
      <c r="M52" s="56"/>
    </row>
    <row r="53" spans="1:15" ht="15.6">
      <c r="A53" s="26" t="str">
        <v>X139 JHS 222</v>
      </c>
      <c r="B53" s="27" t="str">
        <v>NY</v>
      </c>
      <c r="C53" s="26" t="str">
        <f>Sites[[#This Row],[SOL'#]]</f>
        <v>SOL-10426</v>
      </c>
      <c r="D53" s="9"/>
      <c r="E53" s="14"/>
      <c r="F53" s="14" t="str">
        <f t="shared" si="0"/>
        <v/>
      </c>
      <c r="G53" s="15" t="str">
        <f t="shared" si="3"/>
        <v/>
      </c>
      <c r="H53" s="16"/>
      <c r="I53" s="16" t="str">
        <f t="shared" si="1"/>
        <v/>
      </c>
      <c r="J53" s="15" t="str">
        <f t="shared" si="2"/>
        <v/>
      </c>
      <c r="K53" s="50"/>
      <c r="L53" s="50"/>
      <c r="M53" s="50"/>
    </row>
    <row r="54" spans="1:15" ht="15.6">
      <c r="A54" s="24" t="str">
        <v>X140</v>
      </c>
      <c r="B54" s="25" t="str">
        <v>NY</v>
      </c>
      <c r="C54" s="28" t="str">
        <f>Sites[[#This Row],[SOL'#]]</f>
        <v>SOL-10926</v>
      </c>
      <c r="D54" s="20"/>
      <c r="E54" s="10"/>
      <c r="F54" s="10" t="str">
        <f t="shared" si="0"/>
        <v/>
      </c>
      <c r="G54" s="11" t="str">
        <f t="shared" si="3"/>
        <v/>
      </c>
      <c r="H54" s="12"/>
      <c r="I54" s="12" t="str">
        <f t="shared" si="1"/>
        <v/>
      </c>
      <c r="J54" s="13" t="str">
        <f t="shared" si="2"/>
        <v/>
      </c>
      <c r="K54" s="37"/>
      <c r="L54" s="37"/>
      <c r="M54" s="56"/>
    </row>
    <row r="55" spans="1:15" ht="15.6">
      <c r="A55" s="26" t="str">
        <v>X166</v>
      </c>
      <c r="B55" s="27" t="str">
        <v>NY</v>
      </c>
      <c r="C55" s="26" t="str">
        <f>Sites[[#This Row],[SOL'#]]</f>
        <v>SOL-10427</v>
      </c>
      <c r="D55" s="9"/>
      <c r="E55" s="14"/>
      <c r="F55" s="14" t="str">
        <f t="shared" si="0"/>
        <v/>
      </c>
      <c r="G55" s="15" t="str">
        <f t="shared" si="3"/>
        <v/>
      </c>
      <c r="H55" s="16"/>
      <c r="I55" s="16" t="str">
        <f t="shared" si="1"/>
        <v/>
      </c>
      <c r="J55" s="15" t="str">
        <f t="shared" si="2"/>
        <v/>
      </c>
      <c r="K55" s="50"/>
      <c r="L55" s="50"/>
      <c r="M55" s="50"/>
    </row>
    <row r="56" spans="1:15" ht="81.75" customHeight="1">
      <c r="A56" s="24" t="str">
        <v>Murphy</v>
      </c>
      <c r="B56" s="25" t="str">
        <v>MN</v>
      </c>
      <c r="C56" s="28" t="str">
        <f>Sites[[#This Row],[SOL'#]]</f>
        <v>SOL-10094</v>
      </c>
      <c r="D56" s="20"/>
      <c r="E56" s="10"/>
      <c r="F56" s="10" t="str">
        <f t="shared" si="0"/>
        <v/>
      </c>
      <c r="G56" s="11" t="str">
        <f t="shared" si="3"/>
        <v/>
      </c>
      <c r="H56" s="12"/>
      <c r="I56" s="12" t="str">
        <f t="shared" si="1"/>
        <v/>
      </c>
      <c r="J56" s="13" t="str">
        <f t="shared" si="2"/>
        <v/>
      </c>
      <c r="K56" s="37"/>
      <c r="L56" s="109"/>
      <c r="M56" s="56"/>
      <c r="N56" s="111"/>
    </row>
    <row r="57" spans="1:15" ht="15.6">
      <c r="A57" s="26" t="str">
        <v>Terning</v>
      </c>
      <c r="B57" s="27" t="str">
        <v>MN</v>
      </c>
      <c r="C57" s="26" t="str">
        <f>Sites[[#This Row],[SOL'#]]</f>
        <v>SOL-10093</v>
      </c>
      <c r="D57" s="9"/>
      <c r="E57" s="14"/>
      <c r="F57" s="14" t="str">
        <f t="shared" si="0"/>
        <v/>
      </c>
      <c r="G57" s="15" t="str">
        <f t="shared" si="3"/>
        <v/>
      </c>
      <c r="H57" s="16"/>
      <c r="I57" s="16" t="str">
        <f t="shared" si="1"/>
        <v/>
      </c>
      <c r="J57" s="15" t="str">
        <f t="shared" si="2"/>
        <v/>
      </c>
      <c r="K57" s="50"/>
      <c r="L57" s="110"/>
      <c r="M57" s="50"/>
      <c r="N57" s="111"/>
      <c r="O57" s="111"/>
    </row>
    <row r="58" spans="1:15" ht="15.6">
      <c r="A58" s="24" t="str">
        <v>Boas Road 04</v>
      </c>
      <c r="B58" s="25" t="str">
        <v>NY</v>
      </c>
      <c r="C58" s="28" t="str">
        <f>Sites[[#This Row],[SOL'#]]</f>
        <v>SOL-10908</v>
      </c>
      <c r="D58" s="20"/>
      <c r="E58" s="10"/>
      <c r="F58" s="10" t="str">
        <f t="shared" si="0"/>
        <v/>
      </c>
      <c r="G58" s="11" t="str">
        <f t="shared" si="3"/>
        <v/>
      </c>
      <c r="H58" s="12"/>
      <c r="I58" s="12" t="str">
        <f t="shared" si="1"/>
        <v/>
      </c>
      <c r="J58" s="13" t="str">
        <f t="shared" si="2"/>
        <v/>
      </c>
      <c r="K58" s="37"/>
      <c r="L58" s="37"/>
      <c r="M58" s="56"/>
    </row>
    <row r="59" spans="1:15" ht="66.75" customHeight="1">
      <c r="A59" s="26" t="str">
        <v>Kelly Bridge Farm</v>
      </c>
      <c r="B59" s="27" t="str">
        <v>NY</v>
      </c>
      <c r="C59" s="26" t="str">
        <f>Sites[[#This Row],[SOL'#]]</f>
        <v>SOL-10911</v>
      </c>
      <c r="D59" s="9"/>
      <c r="E59" s="14"/>
      <c r="F59" s="14" t="str">
        <f t="shared" si="0"/>
        <v/>
      </c>
      <c r="G59" s="15" t="str">
        <f t="shared" si="3"/>
        <v/>
      </c>
      <c r="H59" s="16"/>
      <c r="I59" s="16" t="str">
        <f t="shared" si="1"/>
        <v/>
      </c>
      <c r="J59" s="15" t="str">
        <f t="shared" si="2"/>
        <v/>
      </c>
      <c r="K59" s="51"/>
      <c r="L59" s="50"/>
      <c r="M59" s="50"/>
    </row>
    <row r="60" spans="1:15" ht="15.6">
      <c r="A60" s="24" t="str">
        <v>Pool Brook Road</v>
      </c>
      <c r="B60" s="25" t="str">
        <v>NY</v>
      </c>
      <c r="C60" s="28" t="str">
        <f>Sites[[#This Row],[SOL'#]]</f>
        <v>SOL-10909</v>
      </c>
      <c r="D60" s="20"/>
      <c r="E60" s="10"/>
      <c r="F60" s="10" t="str">
        <f t="shared" si="0"/>
        <v/>
      </c>
      <c r="G60" s="11" t="str">
        <f t="shared" si="3"/>
        <v/>
      </c>
      <c r="H60" s="12"/>
      <c r="I60" s="12" t="str">
        <f t="shared" si="1"/>
        <v/>
      </c>
      <c r="J60" s="13" t="str">
        <f t="shared" si="2"/>
        <v/>
      </c>
      <c r="K60" s="37"/>
      <c r="L60" s="37"/>
      <c r="M60" s="56"/>
    </row>
    <row r="61" spans="1:15" ht="15.6">
      <c r="A61" s="26" t="str">
        <v>Sackett Lake</v>
      </c>
      <c r="B61" s="27" t="str">
        <v>NY</v>
      </c>
      <c r="C61" s="26" t="str">
        <f>Sites[[#This Row],[SOL'#]]</f>
        <v>SOL-10910</v>
      </c>
      <c r="D61" s="9"/>
      <c r="E61" s="14"/>
      <c r="F61" s="14" t="str">
        <f t="shared" si="0"/>
        <v/>
      </c>
      <c r="G61" s="15" t="str">
        <f t="shared" si="3"/>
        <v/>
      </c>
      <c r="H61" s="16"/>
      <c r="I61" s="16" t="str">
        <f t="shared" si="1"/>
        <v/>
      </c>
      <c r="J61" s="15" t="str">
        <f t="shared" si="2"/>
        <v/>
      </c>
      <c r="K61" s="50"/>
      <c r="L61" s="110"/>
      <c r="M61" s="50"/>
    </row>
    <row r="62" spans="1:15" ht="15.6">
      <c r="A62" s="24" t="str">
        <v>Burritt Road</v>
      </c>
      <c r="B62" s="25" t="str">
        <v>NY</v>
      </c>
      <c r="C62" s="28" t="str">
        <f>Sites[[#This Row],[SOL'#]]</f>
        <v>SOL-10913</v>
      </c>
      <c r="D62" s="20"/>
      <c r="E62" s="10"/>
      <c r="F62" s="10" t="str">
        <f t="shared" si="0"/>
        <v/>
      </c>
      <c r="G62" s="11" t="str">
        <f t="shared" si="3"/>
        <v/>
      </c>
      <c r="H62" s="12"/>
      <c r="I62" s="12" t="str">
        <f t="shared" si="1"/>
        <v/>
      </c>
      <c r="J62" s="13" t="str">
        <f t="shared" si="2"/>
        <v/>
      </c>
      <c r="K62" s="49"/>
      <c r="L62" s="37"/>
      <c r="M62" s="56"/>
    </row>
    <row r="63" spans="1:15" ht="15.6">
      <c r="A63" s="26" t="str">
        <v>Villa Roma 1</v>
      </c>
      <c r="B63" s="27" t="str">
        <v>NY</v>
      </c>
      <c r="C63" s="26" t="str">
        <f>Sites[[#This Row],[SOL'#]]</f>
        <v>SOL-10914</v>
      </c>
      <c r="D63" s="9"/>
      <c r="E63" s="14"/>
      <c r="F63" s="14" t="str">
        <f t="shared" si="0"/>
        <v/>
      </c>
      <c r="G63" s="15" t="str">
        <f t="shared" si="3"/>
        <v/>
      </c>
      <c r="H63" s="16"/>
      <c r="I63" s="16" t="str">
        <f t="shared" si="1"/>
        <v/>
      </c>
      <c r="J63" s="15" t="str">
        <f t="shared" si="2"/>
        <v/>
      </c>
      <c r="K63" s="50"/>
      <c r="L63" s="50"/>
      <c r="M63" s="50"/>
    </row>
    <row r="64" spans="1:15" ht="15.6">
      <c r="A64" s="24" t="str">
        <v>Villa Roma 2</v>
      </c>
      <c r="B64" s="25" t="str">
        <v>NY</v>
      </c>
      <c r="C64" s="28" t="str">
        <f>Sites[[#This Row],[SOL'#]]</f>
        <v>SOL-10915</v>
      </c>
      <c r="D64" s="20"/>
      <c r="E64" s="10"/>
      <c r="F64" s="10" t="str">
        <f t="shared" si="0"/>
        <v/>
      </c>
      <c r="G64" s="11" t="str">
        <f t="shared" si="3"/>
        <v/>
      </c>
      <c r="H64" s="12"/>
      <c r="I64" s="12" t="str">
        <f t="shared" si="1"/>
        <v/>
      </c>
      <c r="J64" s="13" t="str">
        <f t="shared" si="2"/>
        <v/>
      </c>
      <c r="K64" s="37"/>
      <c r="L64" s="37"/>
      <c r="M64" s="56"/>
    </row>
    <row r="65" spans="1:16" ht="15.6">
      <c r="A65" s="26" t="str">
        <v>Washington 1</v>
      </c>
      <c r="B65" s="27" t="str">
        <v>NY</v>
      </c>
      <c r="C65" s="26" t="str">
        <f>Sites[[#This Row],[SOL'#]]</f>
        <v>SOL-10912</v>
      </c>
      <c r="D65" s="9"/>
      <c r="E65" s="14"/>
      <c r="F65" s="14" t="str">
        <f t="shared" si="0"/>
        <v/>
      </c>
      <c r="G65" s="15" t="str">
        <f t="shared" si="3"/>
        <v/>
      </c>
      <c r="H65" s="16"/>
      <c r="I65" s="16" t="str">
        <f t="shared" si="1"/>
        <v/>
      </c>
      <c r="J65" s="15" t="str">
        <f t="shared" si="2"/>
        <v/>
      </c>
      <c r="K65" s="50"/>
      <c r="L65" s="110"/>
      <c r="M65" s="50"/>
    </row>
    <row r="66" spans="1:16" ht="15.6">
      <c r="A66" s="24" t="str">
        <v>Washington 3</v>
      </c>
      <c r="B66" s="25" t="str">
        <v>NY</v>
      </c>
      <c r="C66" s="28" t="str">
        <f>Sites[[#This Row],[SOL'#]]</f>
        <v>SOL-10828</v>
      </c>
      <c r="D66" s="20"/>
      <c r="E66" s="10"/>
      <c r="F66" s="10" t="str">
        <f t="shared" si="0"/>
        <v/>
      </c>
      <c r="G66" s="11" t="str">
        <f t="shared" si="3"/>
        <v/>
      </c>
      <c r="H66" s="12"/>
      <c r="I66" s="12" t="str">
        <f t="shared" si="1"/>
        <v/>
      </c>
      <c r="J66" s="13" t="str">
        <f t="shared" si="2"/>
        <v/>
      </c>
      <c r="K66" s="37"/>
      <c r="L66" s="109"/>
      <c r="M66" s="56"/>
    </row>
    <row r="67" spans="1:16" ht="15.6">
      <c r="A67" s="26" t="str">
        <v>Washington 4</v>
      </c>
      <c r="B67" s="27" t="str">
        <v>NY</v>
      </c>
      <c r="C67" s="26" t="str">
        <f>Sites[[#This Row],[SOL'#]]</f>
        <v>SOL-10829</v>
      </c>
      <c r="D67" s="9"/>
      <c r="E67" s="14"/>
      <c r="F67" s="14" t="str">
        <f t="shared" si="0"/>
        <v/>
      </c>
      <c r="G67" s="15" t="str">
        <f t="shared" si="3"/>
        <v/>
      </c>
      <c r="H67" s="16"/>
      <c r="I67" s="16" t="str">
        <f t="shared" si="1"/>
        <v/>
      </c>
      <c r="J67" s="15" t="str">
        <f t="shared" si="2"/>
        <v/>
      </c>
      <c r="K67" s="50"/>
      <c r="L67" s="110"/>
      <c r="M67" s="50"/>
    </row>
    <row r="68" spans="1:16" ht="15.6">
      <c r="A68" s="24" t="str">
        <v>Big Tree</v>
      </c>
      <c r="B68" s="25" t="str">
        <v>NY</v>
      </c>
      <c r="C68" s="28" t="str">
        <f>Sites[[#This Row],[SOL'#]]</f>
        <v>SOL-10966</v>
      </c>
      <c r="D68" s="20"/>
      <c r="E68" s="10"/>
      <c r="F68" s="10" t="str">
        <f t="shared" si="0"/>
        <v/>
      </c>
      <c r="G68" s="11" t="str">
        <f t="shared" si="3"/>
        <v/>
      </c>
      <c r="H68" s="12"/>
      <c r="I68" s="12" t="str">
        <f t="shared" si="1"/>
        <v/>
      </c>
      <c r="J68" s="13" t="str">
        <f t="shared" si="2"/>
        <v/>
      </c>
      <c r="K68" s="37"/>
      <c r="L68" s="37"/>
      <c r="M68" s="56"/>
    </row>
    <row r="69" spans="1:16" ht="15.6">
      <c r="A69" s="26" t="str">
        <v>Canoga</v>
      </c>
      <c r="B69" s="27" t="str">
        <v>NY</v>
      </c>
      <c r="C69" s="26" t="str">
        <f>Sites[[#This Row],[SOL'#]]</f>
        <v>SOL-10965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50"/>
      <c r="L69" s="50"/>
      <c r="M69" s="50"/>
    </row>
    <row r="70" spans="1:16" ht="15.6">
      <c r="A70" s="24" t="str">
        <v>County Route 84</v>
      </c>
      <c r="B70" s="25" t="str">
        <v>NY</v>
      </c>
      <c r="C70" s="28" t="str">
        <f>Sites[[#This Row],[SOL'#]]</f>
        <v>SOL-10967</v>
      </c>
      <c r="D70" s="20"/>
      <c r="E70" s="10"/>
      <c r="F70" s="10" t="str">
        <f t="shared" si="4"/>
        <v/>
      </c>
      <c r="G70" s="11" t="str">
        <f t="shared" ref="G70:G133" si="7">IFERROR(F70/E70, "")</f>
        <v/>
      </c>
      <c r="H70" s="12"/>
      <c r="I70" s="12" t="str">
        <f t="shared" si="5"/>
        <v/>
      </c>
      <c r="J70" s="13" t="str">
        <f t="shared" si="6"/>
        <v/>
      </c>
      <c r="K70" s="37"/>
      <c r="L70" s="109"/>
      <c r="M70" s="56"/>
      <c r="N70" s="111"/>
      <c r="O70" s="111"/>
      <c r="P70" s="111"/>
    </row>
    <row r="71" spans="1:16" ht="15.6">
      <c r="A71" s="26" t="str">
        <v>Donati</v>
      </c>
      <c r="B71" s="27" t="str">
        <v>NY</v>
      </c>
      <c r="C71" s="26" t="str">
        <f>Sites[[#This Row],[SOL'#]]</f>
        <v>SOL-10968</v>
      </c>
      <c r="D71" s="9"/>
      <c r="E71" s="14"/>
      <c r="F71" s="14" t="str">
        <f t="shared" si="4"/>
        <v/>
      </c>
      <c r="G71" s="15" t="str">
        <f t="shared" si="7"/>
        <v/>
      </c>
      <c r="H71" s="16"/>
      <c r="I71" s="16" t="str">
        <f t="shared" si="5"/>
        <v/>
      </c>
      <c r="J71" s="15" t="str">
        <f t="shared" si="6"/>
        <v/>
      </c>
      <c r="K71" s="50"/>
      <c r="L71" s="110"/>
      <c r="M71" s="50"/>
    </row>
    <row r="72" spans="1:16" ht="15.6">
      <c r="A72" s="24" t="str">
        <v>Henrietta</v>
      </c>
      <c r="B72" s="25" t="str">
        <v>NY</v>
      </c>
      <c r="C72" s="28" t="str">
        <f>Sites[[#This Row],[SOL'#]]</f>
        <v>SOL-10972</v>
      </c>
      <c r="D72" s="20"/>
      <c r="E72" s="10"/>
      <c r="F72" s="10" t="str">
        <f t="shared" si="4"/>
        <v/>
      </c>
      <c r="G72" s="11" t="str">
        <f t="shared" si="7"/>
        <v/>
      </c>
      <c r="H72" s="12"/>
      <c r="I72" s="12" t="str">
        <f t="shared" si="5"/>
        <v/>
      </c>
      <c r="J72" s="13" t="str">
        <f t="shared" si="6"/>
        <v/>
      </c>
      <c r="K72" s="37"/>
      <c r="L72" s="109"/>
      <c r="M72" s="56"/>
      <c r="N72" s="111"/>
    </row>
    <row r="73" spans="1:16" ht="15.6">
      <c r="A73" s="26" t="str">
        <v>NY 70</v>
      </c>
      <c r="B73" s="27" t="str">
        <v>NY</v>
      </c>
      <c r="C73" s="26" t="str">
        <f>Sites[[#This Row],[SOL'#]]</f>
        <v>SOL-10970</v>
      </c>
      <c r="D73" s="9"/>
      <c r="E73" s="14"/>
      <c r="F73" s="14" t="str">
        <f t="shared" si="4"/>
        <v/>
      </c>
      <c r="G73" s="15" t="str">
        <f t="shared" si="7"/>
        <v/>
      </c>
      <c r="H73" s="16"/>
      <c r="I73" s="16" t="str">
        <f t="shared" si="5"/>
        <v/>
      </c>
      <c r="J73" s="15" t="str">
        <f t="shared" si="6"/>
        <v/>
      </c>
      <c r="K73" s="50"/>
      <c r="L73" s="110"/>
      <c r="M73" s="50"/>
    </row>
    <row r="74" spans="1:16" ht="15.6">
      <c r="A74" s="24" t="str">
        <v>Reid</v>
      </c>
      <c r="B74" s="25" t="str">
        <v>NY</v>
      </c>
      <c r="C74" s="28" t="str">
        <f>Sites[[#This Row],[SOL'#]]</f>
        <v>SOL-10991</v>
      </c>
      <c r="D74" s="20"/>
      <c r="E74" s="10"/>
      <c r="F74" s="10" t="str">
        <f t="shared" si="4"/>
        <v/>
      </c>
      <c r="G74" s="11" t="str">
        <f t="shared" si="7"/>
        <v/>
      </c>
      <c r="H74" s="12"/>
      <c r="I74" s="12" t="str">
        <f t="shared" si="5"/>
        <v/>
      </c>
      <c r="J74" s="13" t="str">
        <f t="shared" si="6"/>
        <v/>
      </c>
      <c r="K74" s="37"/>
      <c r="L74" s="109"/>
      <c r="M74" s="56"/>
      <c r="N74" s="111"/>
      <c r="O74" s="111"/>
    </row>
    <row r="75" spans="1:16" ht="174" customHeight="1">
      <c r="A75" s="26" t="str">
        <v>Sangolqui</v>
      </c>
      <c r="B75" s="27" t="str">
        <v>NY</v>
      </c>
      <c r="C75" s="26" t="str">
        <f>Sites[[#This Row],[SOL'#]]</f>
        <v>SOL-10975</v>
      </c>
      <c r="D75" s="9"/>
      <c r="E75" s="14"/>
      <c r="F75" s="14" t="str">
        <f t="shared" si="4"/>
        <v/>
      </c>
      <c r="G75" s="15" t="str">
        <f t="shared" si="7"/>
        <v/>
      </c>
      <c r="H75" s="16"/>
      <c r="I75" s="16" t="str">
        <f t="shared" si="5"/>
        <v/>
      </c>
      <c r="J75" s="15" t="str">
        <f t="shared" si="6"/>
        <v/>
      </c>
      <c r="K75" s="50"/>
      <c r="L75" s="110"/>
      <c r="M75" s="50"/>
    </row>
    <row r="76" spans="1:16" ht="15.6">
      <c r="A76" s="24" t="str">
        <v>State Highway 17B</v>
      </c>
      <c r="B76" s="25" t="str">
        <v>NY</v>
      </c>
      <c r="C76" s="28" t="str">
        <f>Sites[[#This Row],[SOL'#]]</f>
        <v>SOL-10988</v>
      </c>
      <c r="D76" s="54"/>
      <c r="E76" s="10"/>
      <c r="F76" s="10" t="str">
        <f t="shared" si="4"/>
        <v/>
      </c>
      <c r="G76" s="11" t="str">
        <f t="shared" si="7"/>
        <v/>
      </c>
      <c r="H76" s="12"/>
      <c r="I76" s="12" t="str">
        <f t="shared" si="5"/>
        <v/>
      </c>
      <c r="J76" s="13" t="str">
        <f t="shared" si="6"/>
        <v/>
      </c>
      <c r="K76" s="37"/>
      <c r="L76" s="109"/>
      <c r="M76" s="56"/>
    </row>
    <row r="77" spans="1:16" ht="103.5" customHeight="1">
      <c r="A77" s="26" t="str">
        <v>State Route 14A</v>
      </c>
      <c r="B77" s="27" t="str">
        <v>NY</v>
      </c>
      <c r="C77" s="26" t="str">
        <f>Sites[[#This Row],[SOL'#]]</f>
        <v>SOL-10997</v>
      </c>
      <c r="D77" s="9"/>
      <c r="E77" s="14"/>
      <c r="F77" s="14" t="str">
        <f t="shared" si="4"/>
        <v/>
      </c>
      <c r="G77" s="15" t="str">
        <f t="shared" si="7"/>
        <v/>
      </c>
      <c r="H77" s="16"/>
      <c r="I77" s="16" t="str">
        <f t="shared" si="5"/>
        <v/>
      </c>
      <c r="J77" s="15" t="str">
        <f t="shared" si="6"/>
        <v/>
      </c>
      <c r="K77" s="50"/>
      <c r="L77" s="110"/>
      <c r="M77" s="50"/>
    </row>
    <row r="78" spans="1:16" ht="15.6">
      <c r="A78" s="24" t="str">
        <v>West Creek</v>
      </c>
      <c r="B78" s="25" t="str">
        <v>NY</v>
      </c>
      <c r="C78" s="28" t="str">
        <f>Sites[[#This Row],[SOL'#]]</f>
        <v>SOL-10995</v>
      </c>
      <c r="D78" s="20"/>
      <c r="E78" s="10"/>
      <c r="F78" s="10" t="str">
        <f t="shared" si="4"/>
        <v/>
      </c>
      <c r="G78" s="11" t="str">
        <f t="shared" si="7"/>
        <v/>
      </c>
      <c r="H78" s="12"/>
      <c r="I78" s="12" t="str">
        <f t="shared" si="5"/>
        <v/>
      </c>
      <c r="J78" s="13" t="str">
        <f t="shared" si="6"/>
        <v/>
      </c>
      <c r="K78" s="37"/>
      <c r="L78" s="37"/>
      <c r="M78" s="56"/>
    </row>
    <row r="79" spans="1:16" ht="15.6">
      <c r="A79" s="26" t="str">
        <v>Wildflower</v>
      </c>
      <c r="B79" s="27" t="str">
        <v>NY</v>
      </c>
      <c r="C79" s="26" t="str">
        <f>Sites[[#This Row],[SOL'#]]</f>
        <v>SOL-10982</v>
      </c>
      <c r="D79" s="9"/>
      <c r="E79" s="14"/>
      <c r="F79" s="14" t="str">
        <f t="shared" si="4"/>
        <v/>
      </c>
      <c r="G79" s="15" t="str">
        <f t="shared" si="7"/>
        <v/>
      </c>
      <c r="H79" s="16"/>
      <c r="I79" s="16" t="str">
        <f t="shared" si="5"/>
        <v/>
      </c>
      <c r="J79" s="15" t="str">
        <f t="shared" si="6"/>
        <v/>
      </c>
      <c r="K79" s="50"/>
      <c r="L79" s="110"/>
      <c r="M79" s="84"/>
      <c r="N79" s="111"/>
    </row>
    <row r="80" spans="1:16" ht="15.6">
      <c r="A80" s="24" t="str">
        <v>Glen Mary 1</v>
      </c>
      <c r="B80" s="25" t="str">
        <v>NY</v>
      </c>
      <c r="C80" s="28" t="str">
        <f>Sites[[#This Row],[SOL'#]]</f>
        <v>SOL-10993</v>
      </c>
      <c r="D80" s="20"/>
      <c r="E80" s="10"/>
      <c r="F80" s="10" t="str">
        <f t="shared" si="4"/>
        <v/>
      </c>
      <c r="G80" s="11" t="str">
        <f t="shared" si="7"/>
        <v/>
      </c>
      <c r="H80" s="12"/>
      <c r="I80" s="12" t="str">
        <f t="shared" si="5"/>
        <v/>
      </c>
      <c r="J80" s="13" t="str">
        <f t="shared" si="6"/>
        <v/>
      </c>
      <c r="K80" s="37"/>
      <c r="L80" s="109"/>
      <c r="M80" s="56"/>
      <c r="N80" s="111"/>
    </row>
    <row r="81" spans="1:15" ht="15.6">
      <c r="A81" s="26" t="str">
        <v>Glen Mary 2</v>
      </c>
      <c r="B81" s="27" t="str">
        <v>NY</v>
      </c>
      <c r="C81" s="26" t="str">
        <f>Sites[[#This Row],[SOL'#]]</f>
        <v>SOL-10994</v>
      </c>
      <c r="D81" s="9"/>
      <c r="E81" s="14"/>
      <c r="F81" s="14" t="str">
        <f t="shared" si="4"/>
        <v/>
      </c>
      <c r="G81" s="15" t="str">
        <f t="shared" si="7"/>
        <v/>
      </c>
      <c r="H81" s="16"/>
      <c r="I81" s="16" t="str">
        <f t="shared" si="5"/>
        <v/>
      </c>
      <c r="J81" s="15" t="str">
        <f t="shared" si="6"/>
        <v/>
      </c>
      <c r="K81" s="185"/>
      <c r="L81" s="99"/>
      <c r="M81" s="103"/>
    </row>
    <row r="82" spans="1:15" ht="39.75" customHeight="1">
      <c r="A82" s="24" t="str">
        <v>Telegraph 1</v>
      </c>
      <c r="B82" s="25" t="str">
        <v>NY</v>
      </c>
      <c r="C82" s="28" t="str">
        <f>Sites[[#This Row],[SOL'#]]</f>
        <v>SOL-11003</v>
      </c>
      <c r="D82" s="20"/>
      <c r="E82" s="10"/>
      <c r="F82" s="10" t="str">
        <f t="shared" si="4"/>
        <v/>
      </c>
      <c r="G82" s="11" t="str">
        <f t="shared" si="7"/>
        <v/>
      </c>
      <c r="H82" s="12"/>
      <c r="I82" s="12" t="str">
        <f t="shared" si="5"/>
        <v/>
      </c>
      <c r="J82" s="13" t="str">
        <f t="shared" si="6"/>
        <v/>
      </c>
      <c r="K82" s="37"/>
      <c r="L82" s="109"/>
      <c r="M82" s="56"/>
    </row>
    <row r="83" spans="1:15" ht="15.6">
      <c r="A83" s="26" t="str">
        <v>Telegraph 2</v>
      </c>
      <c r="B83" s="27" t="str">
        <v>NY</v>
      </c>
      <c r="C83" s="26" t="str">
        <f>Sites[[#This Row],[SOL'#]]</f>
        <v>SOL-11004</v>
      </c>
      <c r="D83" s="9"/>
      <c r="E83" s="14"/>
      <c r="F83" s="14" t="str">
        <f t="shared" si="4"/>
        <v/>
      </c>
      <c r="G83" s="15" t="str">
        <f t="shared" si="7"/>
        <v/>
      </c>
      <c r="H83" s="16"/>
      <c r="I83" s="16" t="str">
        <f t="shared" si="5"/>
        <v/>
      </c>
      <c r="J83" s="15" t="str">
        <f t="shared" si="6"/>
        <v/>
      </c>
      <c r="K83" s="50"/>
      <c r="L83" s="99"/>
      <c r="M83" s="96"/>
    </row>
    <row r="84" spans="1:15" ht="15.6">
      <c r="A84" s="24" t="str">
        <v>Cafferty Hill</v>
      </c>
      <c r="B84" s="25" t="str">
        <v>NY</v>
      </c>
      <c r="C84" s="28" t="str">
        <f>Sites[[#This Row],[SOL'#]]</f>
        <v>SOL-10996</v>
      </c>
      <c r="D84" s="20"/>
      <c r="E84" s="10"/>
      <c r="F84" s="10" t="str">
        <f t="shared" si="4"/>
        <v/>
      </c>
      <c r="G84" s="11" t="str">
        <f t="shared" si="7"/>
        <v/>
      </c>
      <c r="H84" s="12"/>
      <c r="I84" s="12" t="str">
        <f t="shared" si="5"/>
        <v/>
      </c>
      <c r="J84" s="13" t="str">
        <f t="shared" si="6"/>
        <v/>
      </c>
      <c r="K84" s="37"/>
      <c r="L84" s="37"/>
      <c r="M84" s="56"/>
    </row>
    <row r="85" spans="1:15" ht="15.6">
      <c r="A85" s="26" t="str">
        <v>Dunkleman</v>
      </c>
      <c r="B85" s="27" t="str">
        <v>NY</v>
      </c>
      <c r="C85" s="26" t="str">
        <f>Sites[[#This Row],[SOL'#]]</f>
        <v>SOL-11008</v>
      </c>
      <c r="D85" s="9"/>
      <c r="E85" s="14"/>
      <c r="F85" s="14" t="str">
        <f t="shared" si="4"/>
        <v/>
      </c>
      <c r="G85" s="15" t="str">
        <f t="shared" si="7"/>
        <v/>
      </c>
      <c r="H85" s="16"/>
      <c r="I85" s="16" t="str">
        <f t="shared" si="5"/>
        <v/>
      </c>
      <c r="J85" s="15" t="str">
        <f t="shared" si="6"/>
        <v/>
      </c>
      <c r="K85" s="50"/>
      <c r="L85" s="110"/>
      <c r="M85" s="84"/>
      <c r="N85" s="111"/>
    </row>
    <row r="86" spans="1:15" ht="47.25" customHeight="1">
      <c r="A86" s="24" t="str">
        <v>Route 19 1</v>
      </c>
      <c r="B86" s="25" t="str">
        <v>NY</v>
      </c>
      <c r="C86" s="28" t="str">
        <f>Sites[[#This Row],[SOL'#]]</f>
        <v>SOL-11001</v>
      </c>
      <c r="D86" s="20"/>
      <c r="E86" s="10"/>
      <c r="F86" s="10" t="str">
        <f t="shared" si="4"/>
        <v/>
      </c>
      <c r="G86" s="11" t="str">
        <f t="shared" si="7"/>
        <v/>
      </c>
      <c r="H86" s="12"/>
      <c r="I86" s="12" t="str">
        <f t="shared" si="5"/>
        <v/>
      </c>
      <c r="J86" s="13" t="str">
        <f t="shared" si="6"/>
        <v/>
      </c>
      <c r="K86" s="37"/>
      <c r="L86" s="109"/>
      <c r="M86" s="56"/>
    </row>
    <row r="87" spans="1:15" ht="15.6">
      <c r="A87" s="26" t="str">
        <v>Route 19 2</v>
      </c>
      <c r="B87" s="27" t="str">
        <v>NY</v>
      </c>
      <c r="C87" s="26" t="str">
        <f>Sites[[#This Row],[SOL'#]]</f>
        <v>SOL-11002</v>
      </c>
      <c r="D87" s="9"/>
      <c r="E87" s="14"/>
      <c r="F87" s="14" t="str">
        <f t="shared" si="4"/>
        <v/>
      </c>
      <c r="G87" s="15" t="str">
        <f t="shared" si="7"/>
        <v/>
      </c>
      <c r="H87" s="16"/>
      <c r="I87" s="16" t="str">
        <f t="shared" si="5"/>
        <v/>
      </c>
      <c r="J87" s="15" t="str">
        <f t="shared" si="6"/>
        <v/>
      </c>
      <c r="K87" s="50"/>
      <c r="L87" s="99"/>
      <c r="M87" s="96"/>
    </row>
    <row r="88" spans="1:15" ht="15.6">
      <c r="A88" s="24" t="str">
        <v>Yellow Mills 1</v>
      </c>
      <c r="B88" s="25" t="str">
        <v>NY</v>
      </c>
      <c r="C88" s="28" t="str">
        <f>Sites[[#This Row],[SOL'#]]</f>
        <v>SOL-11006</v>
      </c>
      <c r="D88" s="20"/>
      <c r="E88" s="10"/>
      <c r="F88" s="10" t="str">
        <f t="shared" si="4"/>
        <v/>
      </c>
      <c r="G88" s="11" t="str">
        <f t="shared" si="7"/>
        <v/>
      </c>
      <c r="H88" s="12"/>
      <c r="I88" s="12" t="str">
        <f t="shared" si="5"/>
        <v/>
      </c>
      <c r="J88" s="13" t="str">
        <f t="shared" si="6"/>
        <v/>
      </c>
      <c r="K88" s="37"/>
      <c r="L88" s="37"/>
      <c r="M88" s="56"/>
    </row>
    <row r="89" spans="1:15" ht="15.6">
      <c r="A89" s="26" t="str">
        <v>Yellow Mills 2</v>
      </c>
      <c r="B89" s="27" t="str">
        <v>NY</v>
      </c>
      <c r="C89" s="26" t="str">
        <f>Sites[[#This Row],[SOL'#]]</f>
        <v>SOL-11005</v>
      </c>
      <c r="D89" s="9"/>
      <c r="E89" s="14"/>
      <c r="F89" s="14" t="str">
        <f t="shared" si="4"/>
        <v/>
      </c>
      <c r="G89" s="15" t="str">
        <f t="shared" si="7"/>
        <v/>
      </c>
      <c r="H89" s="16"/>
      <c r="I89" s="16" t="str">
        <f t="shared" si="5"/>
        <v/>
      </c>
      <c r="J89" s="15" t="str">
        <f t="shared" si="6"/>
        <v/>
      </c>
      <c r="K89" s="50"/>
      <c r="L89" s="110"/>
      <c r="M89" s="50"/>
    </row>
    <row r="90" spans="1:15" ht="15.6">
      <c r="A90" s="24" t="str">
        <v>Yellow Mills 3</v>
      </c>
      <c r="B90" s="25" t="str">
        <v>NY</v>
      </c>
      <c r="C90" s="28" t="str">
        <f>Sites[[#This Row],[SOL'#]]</f>
        <v>SOL-11007</v>
      </c>
      <c r="D90" s="20"/>
      <c r="E90" s="10"/>
      <c r="F90" s="10" t="str">
        <f t="shared" si="4"/>
        <v/>
      </c>
      <c r="G90" s="11" t="str">
        <f t="shared" si="7"/>
        <v/>
      </c>
      <c r="H90" s="12"/>
      <c r="I90" s="12" t="str">
        <f t="shared" si="5"/>
        <v/>
      </c>
      <c r="J90" s="13" t="str">
        <f t="shared" si="6"/>
        <v/>
      </c>
      <c r="K90" s="56"/>
      <c r="L90" s="37"/>
      <c r="M90" s="56"/>
    </row>
    <row r="91" spans="1:15" ht="15.6">
      <c r="A91" s="26" t="str">
        <v>Catskill</v>
      </c>
      <c r="B91" s="27" t="str">
        <v>NY</v>
      </c>
      <c r="C91" s="26" t="str">
        <f>Sites[[#This Row],[SOL'#]]</f>
        <v>SOL-11021</v>
      </c>
      <c r="D91" s="9"/>
      <c r="E91" s="14"/>
      <c r="F91" s="14" t="str">
        <f t="shared" si="4"/>
        <v/>
      </c>
      <c r="G91" s="15" t="str">
        <f t="shared" si="7"/>
        <v/>
      </c>
      <c r="H91" s="16"/>
      <c r="I91" s="16" t="str">
        <f t="shared" si="5"/>
        <v/>
      </c>
      <c r="J91" s="15" t="str">
        <f t="shared" si="6"/>
        <v/>
      </c>
      <c r="K91" s="50"/>
      <c r="L91" s="110"/>
      <c r="M91" s="50"/>
      <c r="N91" s="111"/>
      <c r="O91" s="111"/>
    </row>
    <row r="92" spans="1:15" ht="15.6">
      <c r="A92" s="24" t="str">
        <v>Eddy Ridge</v>
      </c>
      <c r="B92" s="25" t="str">
        <v>NY</v>
      </c>
      <c r="C92" s="28" t="str">
        <f>Sites[[#This Row],[SOL'#]]</f>
        <v>SOL-11054</v>
      </c>
      <c r="D92" s="20"/>
      <c r="E92" s="10"/>
      <c r="F92" s="10" t="str">
        <f t="shared" si="4"/>
        <v/>
      </c>
      <c r="G92" s="11" t="str">
        <f t="shared" si="7"/>
        <v/>
      </c>
      <c r="H92" s="12"/>
      <c r="I92" s="12" t="str">
        <f t="shared" si="5"/>
        <v/>
      </c>
      <c r="J92" s="13" t="str">
        <f t="shared" si="6"/>
        <v/>
      </c>
      <c r="K92" s="37"/>
      <c r="L92" s="109"/>
      <c r="M92" s="56"/>
    </row>
    <row r="93" spans="1:15" ht="15.6">
      <c r="A93" s="26" t="str">
        <v>Ridgeway #1</v>
      </c>
      <c r="B93" s="27" t="str">
        <v>NY</v>
      </c>
      <c r="C93" s="26" t="str">
        <f>Sites[[#This Row],[SOL'#]]</f>
        <v>SOL-11018</v>
      </c>
      <c r="D93" s="9"/>
      <c r="E93" s="14"/>
      <c r="F93" s="14" t="str">
        <f t="shared" si="4"/>
        <v/>
      </c>
      <c r="G93" s="15" t="str">
        <f t="shared" si="7"/>
        <v/>
      </c>
      <c r="H93" s="16"/>
      <c r="I93" s="16" t="str">
        <f t="shared" si="5"/>
        <v/>
      </c>
      <c r="J93" s="15" t="str">
        <f t="shared" si="6"/>
        <v/>
      </c>
      <c r="K93" s="50"/>
      <c r="L93" s="51"/>
      <c r="M93" s="51"/>
    </row>
    <row r="94" spans="1:15" ht="15.6">
      <c r="A94" s="24" t="str">
        <v>Rivard 1</v>
      </c>
      <c r="B94" s="25" t="str">
        <v>NY</v>
      </c>
      <c r="C94" s="28" t="str">
        <f>Sites[[#This Row],[SOL'#]]</f>
        <v>SOL-11011</v>
      </c>
      <c r="D94" s="20"/>
      <c r="E94" s="10"/>
      <c r="F94" s="10" t="str">
        <f t="shared" si="4"/>
        <v/>
      </c>
      <c r="G94" s="11" t="str">
        <f t="shared" si="7"/>
        <v/>
      </c>
      <c r="H94" s="12"/>
      <c r="I94" s="12" t="str">
        <f t="shared" si="5"/>
        <v/>
      </c>
      <c r="J94" s="13" t="str">
        <f t="shared" si="6"/>
        <v/>
      </c>
      <c r="K94" s="37"/>
      <c r="L94" s="37"/>
      <c r="M94" s="56"/>
    </row>
    <row r="95" spans="1:15" ht="15.6">
      <c r="A95" s="26" t="str">
        <v>Rivard 2</v>
      </c>
      <c r="B95" s="27" t="str">
        <v>NY</v>
      </c>
      <c r="C95" s="26" t="str">
        <f>Sites[[#This Row],[SOL'#]]</f>
        <v>SOL-11012</v>
      </c>
      <c r="D95" s="9"/>
      <c r="E95" s="14"/>
      <c r="F95" s="14" t="str">
        <f t="shared" si="4"/>
        <v/>
      </c>
      <c r="G95" s="15" t="str">
        <f t="shared" si="7"/>
        <v/>
      </c>
      <c r="H95" s="16"/>
      <c r="I95" s="16" t="str">
        <f t="shared" si="5"/>
        <v/>
      </c>
      <c r="J95" s="15" t="str">
        <f t="shared" si="6"/>
        <v/>
      </c>
      <c r="K95" s="50"/>
      <c r="L95" s="50"/>
      <c r="M95" s="50"/>
    </row>
    <row r="96" spans="1:15" ht="15.6">
      <c r="A96" s="24" t="str">
        <v>Ridgeway #2</v>
      </c>
      <c r="B96" s="25" t="str">
        <v>NY</v>
      </c>
      <c r="C96" s="28" t="str">
        <f>Sites[[#This Row],[SOL'#]]</f>
        <v>SOL-11027</v>
      </c>
      <c r="D96" s="20"/>
      <c r="E96" s="10"/>
      <c r="F96" s="10" t="str">
        <f t="shared" si="4"/>
        <v/>
      </c>
      <c r="G96" s="11" t="str">
        <f t="shared" si="7"/>
        <v/>
      </c>
      <c r="H96" s="12"/>
      <c r="I96" s="12" t="str">
        <f t="shared" si="5"/>
        <v/>
      </c>
      <c r="J96" s="13" t="str">
        <f t="shared" si="6"/>
        <v/>
      </c>
      <c r="K96" s="37"/>
      <c r="L96" s="37"/>
      <c r="M96" s="56"/>
    </row>
    <row r="97" spans="1:19" ht="15.6">
      <c r="A97" s="26" t="str">
        <v>Spencer</v>
      </c>
      <c r="B97" s="27" t="str">
        <v>NY</v>
      </c>
      <c r="C97" s="26" t="str">
        <f>Sites[[#This Row],[SOL'#]]</f>
        <v>SOL-11017</v>
      </c>
      <c r="D97" s="9"/>
      <c r="E97" s="14"/>
      <c r="F97" s="14" t="str">
        <f t="shared" si="4"/>
        <v/>
      </c>
      <c r="G97" s="15" t="str">
        <f t="shared" si="7"/>
        <v/>
      </c>
      <c r="H97" s="16"/>
      <c r="I97" s="16" t="str">
        <f t="shared" si="5"/>
        <v/>
      </c>
      <c r="J97" s="15" t="str">
        <f t="shared" si="6"/>
        <v/>
      </c>
      <c r="K97" s="50"/>
      <c r="L97" s="110"/>
      <c r="M97" s="50"/>
    </row>
    <row r="98" spans="1:19" ht="15.6">
      <c r="A98" s="24" t="str">
        <v>Reisender</v>
      </c>
      <c r="B98" s="25" t="str">
        <v>NY</v>
      </c>
      <c r="C98" s="28" t="str">
        <f>Sites[[#This Row],[SOL'#]]</f>
        <v>SOL-10886</v>
      </c>
      <c r="D98" s="20"/>
      <c r="E98" s="10"/>
      <c r="F98" s="10" t="str">
        <f t="shared" si="4"/>
        <v/>
      </c>
      <c r="G98" s="11" t="str">
        <f t="shared" si="7"/>
        <v/>
      </c>
      <c r="H98" s="12"/>
      <c r="I98" s="12" t="str">
        <f t="shared" si="5"/>
        <v/>
      </c>
      <c r="J98" s="13" t="str">
        <f t="shared" si="6"/>
        <v/>
      </c>
      <c r="K98" s="37"/>
      <c r="L98" s="37"/>
      <c r="M98" s="56"/>
    </row>
    <row r="99" spans="1:19" ht="15.6">
      <c r="A99" s="26" t="str">
        <v>Finney</v>
      </c>
      <c r="B99" s="27" t="str">
        <v>NY</v>
      </c>
      <c r="C99" s="26" t="str">
        <f>Sites[[#This Row],[SOL'#]]</f>
        <v>SOL-10999</v>
      </c>
      <c r="D99" s="9"/>
      <c r="E99" s="14"/>
      <c r="F99" s="14" t="str">
        <f t="shared" si="4"/>
        <v/>
      </c>
      <c r="G99" s="15" t="str">
        <f t="shared" si="7"/>
        <v/>
      </c>
      <c r="H99" s="16"/>
      <c r="I99" s="16" t="str">
        <f t="shared" si="5"/>
        <v/>
      </c>
      <c r="J99" s="15" t="str">
        <f t="shared" si="6"/>
        <v/>
      </c>
      <c r="K99" s="189"/>
      <c r="L99" s="99"/>
      <c r="M99" s="51"/>
    </row>
    <row r="100" spans="1:19" ht="15.6">
      <c r="A100" s="24" t="str">
        <v>Davis Solar</v>
      </c>
      <c r="B100" s="25" t="str">
        <v>NY</v>
      </c>
      <c r="C100" s="190" t="str">
        <f>Sites[[#This Row],[SOL'#]]</f>
        <v>SOL-10958</v>
      </c>
      <c r="D100" s="20"/>
      <c r="E100" s="10"/>
      <c r="F100" s="10" t="str">
        <f t="shared" si="4"/>
        <v/>
      </c>
      <c r="G100" s="11" t="str">
        <f t="shared" si="7"/>
        <v/>
      </c>
      <c r="H100" s="12"/>
      <c r="I100" s="12" t="str">
        <f t="shared" si="5"/>
        <v/>
      </c>
      <c r="J100" s="13" t="str">
        <f t="shared" si="6"/>
        <v/>
      </c>
      <c r="K100" s="37"/>
      <c r="L100" s="109"/>
      <c r="M100" s="56"/>
      <c r="N100" s="111"/>
    </row>
    <row r="101" spans="1:19" ht="178.5" customHeight="1">
      <c r="A101" s="26" t="str">
        <v>Genesee</v>
      </c>
      <c r="B101" s="27" t="str">
        <v>NY</v>
      </c>
      <c r="C101" s="26" t="str">
        <f>Sites[[#This Row],[SOL'#]]</f>
        <v>SOL-10951</v>
      </c>
      <c r="D101" s="9"/>
      <c r="E101" s="14"/>
      <c r="F101" s="14" t="str">
        <f t="shared" si="4"/>
        <v/>
      </c>
      <c r="G101" s="15" t="str">
        <f t="shared" si="7"/>
        <v/>
      </c>
      <c r="H101" s="16"/>
      <c r="I101" s="16" t="str">
        <f t="shared" si="5"/>
        <v/>
      </c>
      <c r="J101" s="15" t="str">
        <f t="shared" si="6"/>
        <v/>
      </c>
      <c r="K101" s="50"/>
      <c r="L101" s="99"/>
      <c r="M101" s="51"/>
      <c r="N101" s="111"/>
      <c r="O101" s="111"/>
      <c r="P101" s="111"/>
      <c r="Q101" s="111"/>
      <c r="R101" s="111"/>
      <c r="S101" s="111"/>
    </row>
    <row r="102" spans="1:19" ht="15.6">
      <c r="A102" s="24" t="str">
        <v>Landau I</v>
      </c>
      <c r="B102" s="25" t="str">
        <v>NY</v>
      </c>
      <c r="C102" s="28" t="str">
        <f>Sites[[#This Row],[SOL'#]]</f>
        <v>SOL-10891</v>
      </c>
      <c r="D102" s="20"/>
      <c r="E102" s="10"/>
      <c r="F102" s="10" t="str">
        <f t="shared" si="4"/>
        <v/>
      </c>
      <c r="G102" s="11" t="str">
        <f t="shared" si="7"/>
        <v/>
      </c>
      <c r="H102" s="12"/>
      <c r="I102" s="12" t="str">
        <f t="shared" si="5"/>
        <v/>
      </c>
      <c r="J102" s="13" t="str">
        <f t="shared" si="6"/>
        <v/>
      </c>
      <c r="K102" s="37"/>
      <c r="L102" s="109"/>
      <c r="M102" s="56"/>
    </row>
    <row r="103" spans="1:19" ht="15.6">
      <c r="A103" s="26" t="str">
        <v>Landau II</v>
      </c>
      <c r="B103" s="27" t="str">
        <v>NY</v>
      </c>
      <c r="C103" s="26" t="str">
        <f>Sites[[#This Row],[SOL'#]]</f>
        <v>SOL-10895</v>
      </c>
      <c r="D103" s="9"/>
      <c r="E103" s="14"/>
      <c r="F103" s="14" t="str">
        <f t="shared" si="4"/>
        <v/>
      </c>
      <c r="G103" s="15" t="str">
        <f t="shared" si="7"/>
        <v/>
      </c>
      <c r="H103" s="133"/>
      <c r="I103" s="16" t="str">
        <f t="shared" si="5"/>
        <v/>
      </c>
      <c r="J103" s="15" t="str">
        <f t="shared" si="6"/>
        <v/>
      </c>
      <c r="K103" s="50"/>
      <c r="L103" s="99"/>
      <c r="M103" s="51"/>
    </row>
    <row r="104" spans="1:19" ht="15.6">
      <c r="A104" s="24" t="str">
        <v>New Beginnings</v>
      </c>
      <c r="B104" s="25" t="str">
        <v>NY</v>
      </c>
      <c r="C104" s="28" t="str">
        <f>Sites[[#This Row],[SOL'#]]</f>
        <v>SOL-10890</v>
      </c>
      <c r="D104" s="20"/>
      <c r="E104" s="10"/>
      <c r="F104" s="10" t="str">
        <f t="shared" si="4"/>
        <v/>
      </c>
      <c r="G104" s="11" t="str">
        <f t="shared" si="7"/>
        <v/>
      </c>
      <c r="H104" s="12"/>
      <c r="I104" s="12" t="str">
        <f t="shared" si="5"/>
        <v/>
      </c>
      <c r="J104" s="13" t="str">
        <f t="shared" si="6"/>
        <v/>
      </c>
      <c r="K104" s="37"/>
      <c r="L104" s="37"/>
      <c r="M104" s="56"/>
    </row>
    <row r="105" spans="1:19" ht="15.6">
      <c r="A105" s="26" t="str">
        <v>Bullitt Farm Solar, LLC</v>
      </c>
      <c r="B105" s="27" t="str">
        <v>NY</v>
      </c>
      <c r="C105" s="26" t="str">
        <f>Sites[[#This Row],[SOL'#]]</f>
        <v>SOL-10998</v>
      </c>
      <c r="D105" s="9"/>
      <c r="E105" s="14"/>
      <c r="F105" s="14" t="str">
        <f t="shared" si="4"/>
        <v/>
      </c>
      <c r="G105" s="15" t="str">
        <f t="shared" si="7"/>
        <v/>
      </c>
      <c r="H105" s="16"/>
      <c r="I105" s="16" t="str">
        <f t="shared" si="5"/>
        <v/>
      </c>
      <c r="J105" s="15" t="str">
        <f t="shared" si="6"/>
        <v/>
      </c>
      <c r="K105" s="50"/>
      <c r="L105" s="50"/>
      <c r="M105" s="50"/>
    </row>
    <row r="106" spans="1:19" ht="15.6">
      <c r="A106" s="24" t="str">
        <v>Brodhead Solar, LLC</v>
      </c>
      <c r="B106" s="25" t="str">
        <v>NY</v>
      </c>
      <c r="C106" s="28" t="str">
        <f>Sites[[#This Row],[SOL'#]]</f>
        <v>SOL-10899</v>
      </c>
      <c r="D106" s="20"/>
      <c r="E106" s="10"/>
      <c r="F106" s="10" t="str">
        <f t="shared" si="4"/>
        <v/>
      </c>
      <c r="G106" s="11" t="str">
        <f t="shared" si="7"/>
        <v/>
      </c>
      <c r="H106" s="12"/>
      <c r="I106" s="12" t="str">
        <f t="shared" si="5"/>
        <v/>
      </c>
      <c r="J106" s="13" t="str">
        <f t="shared" si="6"/>
        <v/>
      </c>
      <c r="K106" s="37"/>
      <c r="L106" s="37"/>
      <c r="M106" s="56"/>
    </row>
    <row r="107" spans="1:19" ht="15.6">
      <c r="A107" s="26" t="str">
        <v>Svenski</v>
      </c>
      <c r="B107" s="27" t="str">
        <v>NY</v>
      </c>
      <c r="C107" s="26" t="str">
        <f>Sites[[#This Row],[SOL'#]]</f>
        <v>SOL-10894</v>
      </c>
      <c r="D107" s="9"/>
      <c r="E107" s="14"/>
      <c r="F107" s="14" t="str">
        <f t="shared" si="4"/>
        <v/>
      </c>
      <c r="G107" s="15" t="str">
        <f t="shared" si="7"/>
        <v/>
      </c>
      <c r="H107" s="16"/>
      <c r="I107" s="16" t="str">
        <f t="shared" si="5"/>
        <v/>
      </c>
      <c r="J107" s="15" t="str">
        <f t="shared" si="6"/>
        <v/>
      </c>
      <c r="K107" s="50"/>
      <c r="L107" s="99"/>
      <c r="M107" s="51"/>
    </row>
    <row r="108" spans="1:19" ht="15.6">
      <c r="A108" s="24" t="str">
        <v>Bantam</v>
      </c>
      <c r="B108" s="25" t="str">
        <v>NY</v>
      </c>
      <c r="C108" s="28" t="str">
        <f>Sites[[#This Row],[SOL'#]]</f>
        <v>SOL-10986</v>
      </c>
      <c r="D108" s="20"/>
      <c r="E108" s="10"/>
      <c r="F108" s="10" t="str">
        <f t="shared" si="4"/>
        <v/>
      </c>
      <c r="G108" s="11" t="str">
        <f t="shared" si="7"/>
        <v/>
      </c>
      <c r="H108" s="12"/>
      <c r="I108" s="12" t="str">
        <f t="shared" si="5"/>
        <v/>
      </c>
      <c r="J108" s="13" t="str">
        <f t="shared" si="6"/>
        <v/>
      </c>
      <c r="K108" s="37"/>
      <c r="L108" s="109"/>
      <c r="M108" s="56"/>
      <c r="N108" s="111"/>
      <c r="O108" s="111"/>
    </row>
    <row r="109" spans="1:19" ht="15.6">
      <c r="A109" s="26" t="str">
        <v>Bogart</v>
      </c>
      <c r="B109" s="27" t="str">
        <v>NY</v>
      </c>
      <c r="C109" s="26" t="str">
        <f>Sites[[#This Row],[SOL'#]]</f>
        <v>SOL-10887</v>
      </c>
      <c r="D109" s="9"/>
      <c r="E109" s="14"/>
      <c r="F109" s="14" t="str">
        <f t="shared" si="4"/>
        <v/>
      </c>
      <c r="G109" s="15" t="str">
        <f t="shared" si="7"/>
        <v/>
      </c>
      <c r="H109" s="16"/>
      <c r="I109" s="16" t="str">
        <f t="shared" si="5"/>
        <v/>
      </c>
      <c r="J109" s="15" t="str">
        <f t="shared" si="6"/>
        <v/>
      </c>
      <c r="K109" s="50"/>
      <c r="L109" s="51"/>
      <c r="M109" s="51"/>
    </row>
    <row r="110" spans="1:19" ht="15.6">
      <c r="A110" s="24" t="str">
        <v>Dubois</v>
      </c>
      <c r="B110" s="25" t="str">
        <v>NY</v>
      </c>
      <c r="C110" s="28" t="str">
        <f>Sites[[#This Row],[SOL'#]]</f>
        <v>SOL-10892</v>
      </c>
      <c r="D110" s="20"/>
      <c r="E110" s="10"/>
      <c r="F110" s="10" t="str">
        <f t="shared" si="4"/>
        <v/>
      </c>
      <c r="G110" s="11" t="str">
        <f t="shared" si="7"/>
        <v/>
      </c>
      <c r="H110" s="12"/>
      <c r="I110" s="12" t="str">
        <f t="shared" si="5"/>
        <v/>
      </c>
      <c r="J110" s="13" t="str">
        <f t="shared" si="6"/>
        <v/>
      </c>
      <c r="K110" s="37"/>
      <c r="L110" s="109"/>
      <c r="M110" s="56"/>
    </row>
    <row r="111" spans="1:19" ht="15.6">
      <c r="A111" s="26" t="str">
        <v>Salt Point</v>
      </c>
      <c r="B111" s="27" t="str">
        <v>NY</v>
      </c>
      <c r="C111" s="26" t="str">
        <f>Sites[[#This Row],[SOL'#]]</f>
        <v>SOL-10888</v>
      </c>
      <c r="D111" s="9"/>
      <c r="E111" s="14"/>
      <c r="F111" s="14" t="str">
        <f t="shared" si="4"/>
        <v/>
      </c>
      <c r="G111" s="15" t="str">
        <f t="shared" si="7"/>
        <v/>
      </c>
      <c r="H111" s="16"/>
      <c r="I111" s="16" t="str">
        <f t="shared" si="5"/>
        <v/>
      </c>
      <c r="J111" s="15" t="str">
        <f t="shared" si="6"/>
        <v/>
      </c>
      <c r="K111" s="50"/>
      <c r="L111" s="50"/>
      <c r="M111" s="50"/>
    </row>
    <row r="112" spans="1:19" ht="15.6">
      <c r="A112" s="24" t="str">
        <v>Wheatland 2A</v>
      </c>
      <c r="B112" s="25" t="str">
        <v>NY</v>
      </c>
      <c r="C112" s="28" t="str">
        <f>Sites[[#This Row],[SOL'#]]</f>
        <v>SOL-10971</v>
      </c>
      <c r="D112" s="20"/>
      <c r="E112" s="10"/>
      <c r="F112" s="10" t="str">
        <f t="shared" si="4"/>
        <v/>
      </c>
      <c r="G112" s="11" t="str">
        <f t="shared" si="7"/>
        <v/>
      </c>
      <c r="H112" s="12"/>
      <c r="I112" s="12" t="str">
        <f t="shared" si="5"/>
        <v/>
      </c>
      <c r="J112" s="13" t="str">
        <f t="shared" si="6"/>
        <v/>
      </c>
      <c r="K112" s="37"/>
      <c r="L112" s="109"/>
      <c r="M112" s="56"/>
    </row>
    <row r="113" spans="1:15" ht="15.6">
      <c r="A113" s="26" t="str">
        <v>Wheatland 2B</v>
      </c>
      <c r="B113" s="27" t="str">
        <v>NY</v>
      </c>
      <c r="C113" s="26" t="str">
        <f>Sites[[#This Row],[SOL'#]]</f>
        <v>SOL-10961</v>
      </c>
      <c r="D113" s="9"/>
      <c r="E113" s="14"/>
      <c r="F113" s="14" t="str">
        <f t="shared" si="4"/>
        <v/>
      </c>
      <c r="G113" s="15" t="str">
        <f t="shared" si="7"/>
        <v/>
      </c>
      <c r="H113" s="16"/>
      <c r="I113" s="16" t="str">
        <f t="shared" si="5"/>
        <v/>
      </c>
      <c r="J113" s="15" t="str">
        <f t="shared" si="6"/>
        <v/>
      </c>
      <c r="K113" s="50"/>
      <c r="L113" s="110"/>
      <c r="M113" s="50"/>
      <c r="N113" s="111"/>
      <c r="O113" s="111"/>
    </row>
    <row r="114" spans="1:15" ht="99" customHeight="1">
      <c r="A114" s="24" t="str">
        <v>Brickchurch</v>
      </c>
      <c r="B114" s="25" t="str">
        <v>NY</v>
      </c>
      <c r="C114" s="28" t="str">
        <f>Sites[[#This Row],[SOL'#]]</f>
        <v>SOL-10889</v>
      </c>
      <c r="D114" s="20"/>
      <c r="E114" s="10"/>
      <c r="F114" s="10" t="str">
        <f t="shared" si="4"/>
        <v/>
      </c>
      <c r="G114" s="11" t="str">
        <f t="shared" si="7"/>
        <v/>
      </c>
      <c r="H114" s="12"/>
      <c r="I114" s="12" t="str">
        <f t="shared" si="5"/>
        <v/>
      </c>
      <c r="J114" s="13" t="str">
        <f t="shared" si="6"/>
        <v/>
      </c>
      <c r="K114" s="37"/>
      <c r="L114" s="109"/>
      <c r="M114" s="56"/>
      <c r="N114" s="111"/>
      <c r="O114" s="111"/>
    </row>
    <row r="115" spans="1:15" ht="15.6">
      <c r="A115" s="26" t="str">
        <v>McCarthy Solar</v>
      </c>
      <c r="B115" s="27" t="str">
        <v>NY</v>
      </c>
      <c r="C115" s="26" t="str">
        <f>Sites[[#This Row],[SOL'#]]</f>
        <v>SOL-10992</v>
      </c>
      <c r="D115" s="9"/>
      <c r="E115" s="14"/>
      <c r="F115" s="14" t="str">
        <f t="shared" si="4"/>
        <v/>
      </c>
      <c r="G115" s="15" t="str">
        <f t="shared" si="7"/>
        <v/>
      </c>
      <c r="H115" s="16"/>
      <c r="I115" s="16" t="str">
        <f t="shared" si="5"/>
        <v/>
      </c>
      <c r="J115" s="15" t="str">
        <f t="shared" si="6"/>
        <v/>
      </c>
      <c r="K115" s="50"/>
      <c r="L115" s="110"/>
      <c r="M115" s="50"/>
    </row>
    <row r="116" spans="1:15" ht="81.75" customHeight="1">
      <c r="A116" s="24" t="str">
        <v>Costanza</v>
      </c>
      <c r="B116" s="25" t="str">
        <v>NY</v>
      </c>
      <c r="C116" s="28" t="str">
        <f>Sites[[#This Row],[SOL'#]]</f>
        <v>SOL-10907</v>
      </c>
      <c r="D116" s="20"/>
      <c r="E116" s="10"/>
      <c r="F116" s="10" t="str">
        <f t="shared" si="4"/>
        <v/>
      </c>
      <c r="G116" s="11" t="str">
        <f t="shared" si="7"/>
        <v/>
      </c>
      <c r="H116" s="12"/>
      <c r="I116" s="12" t="str">
        <f t="shared" si="5"/>
        <v/>
      </c>
      <c r="J116" s="13" t="str">
        <f t="shared" si="6"/>
        <v/>
      </c>
      <c r="K116" s="37"/>
      <c r="L116" s="109"/>
      <c r="M116" s="56"/>
      <c r="N116" s="111"/>
    </row>
    <row r="117" spans="1:15" ht="15.6">
      <c r="A117" s="26" t="str">
        <v>Lockenhurst Pond</v>
      </c>
      <c r="B117" s="27" t="str">
        <v>NY</v>
      </c>
      <c r="C117" s="26" t="str">
        <f>Sites[[#This Row],[SOL'#]]</f>
        <v>SOL-11000</v>
      </c>
      <c r="D117" s="9"/>
      <c r="E117" s="14"/>
      <c r="F117" s="14" t="str">
        <f t="shared" si="4"/>
        <v/>
      </c>
      <c r="G117" s="15" t="str">
        <f t="shared" si="7"/>
        <v/>
      </c>
      <c r="H117" s="16"/>
      <c r="I117" s="16" t="str">
        <f t="shared" si="5"/>
        <v/>
      </c>
      <c r="J117" s="15" t="str">
        <f t="shared" si="6"/>
        <v/>
      </c>
      <c r="K117" s="50"/>
      <c r="L117" s="50"/>
      <c r="M117" s="50"/>
    </row>
    <row r="118" spans="1:15" ht="15.6">
      <c r="A118" s="24" t="str">
        <v>Drinkwater</v>
      </c>
      <c r="B118" s="25" t="str">
        <v>NY</v>
      </c>
      <c r="C118" s="28" t="str">
        <f>Sites[[#This Row],[SOL'#]]</f>
        <v>SOL-10896</v>
      </c>
      <c r="D118" s="20"/>
      <c r="E118" s="10"/>
      <c r="F118" s="10" t="str">
        <f t="shared" si="4"/>
        <v/>
      </c>
      <c r="G118" s="11" t="str">
        <f t="shared" si="7"/>
        <v/>
      </c>
      <c r="H118" s="12"/>
      <c r="I118" s="12" t="str">
        <f t="shared" si="5"/>
        <v/>
      </c>
      <c r="J118" s="13" t="str">
        <f t="shared" si="6"/>
        <v/>
      </c>
      <c r="K118" s="37"/>
      <c r="L118" s="37"/>
      <c r="M118" s="56"/>
    </row>
    <row r="119" spans="1:15" ht="15.6">
      <c r="A119" s="26" t="str">
        <v>Altamont</v>
      </c>
      <c r="B119" s="27" t="str">
        <v>NY</v>
      </c>
      <c r="C119" s="26" t="str">
        <f>Sites[[#This Row],[SOL'#]]</f>
        <v>SOL-11085</v>
      </c>
      <c r="D119" s="9"/>
      <c r="E119" s="14"/>
      <c r="F119" s="14" t="str">
        <f t="shared" si="4"/>
        <v/>
      </c>
      <c r="G119" s="15" t="str">
        <f t="shared" si="7"/>
        <v/>
      </c>
      <c r="H119" s="16"/>
      <c r="I119" s="16" t="str">
        <f t="shared" si="5"/>
        <v/>
      </c>
      <c r="J119" s="15" t="str">
        <f t="shared" si="6"/>
        <v/>
      </c>
      <c r="K119" s="50"/>
      <c r="L119" s="110"/>
      <c r="M119" s="84"/>
    </row>
    <row r="120" spans="1:15" ht="15.6">
      <c r="A120" s="24" t="str">
        <v>Krumkill North</v>
      </c>
      <c r="B120" s="25" t="str">
        <v>NY</v>
      </c>
      <c r="C120" s="28" t="str">
        <f>Sites[[#This Row],[SOL'#]]</f>
        <v>SOL-11086</v>
      </c>
      <c r="D120" s="20"/>
      <c r="E120" s="10"/>
      <c r="F120" s="10" t="str">
        <f t="shared" si="4"/>
        <v/>
      </c>
      <c r="G120" s="11" t="str">
        <f t="shared" si="7"/>
        <v/>
      </c>
      <c r="H120" s="12"/>
      <c r="I120" s="12" t="str">
        <f t="shared" si="5"/>
        <v/>
      </c>
      <c r="J120" s="13" t="str">
        <f t="shared" si="6"/>
        <v/>
      </c>
      <c r="K120" s="37"/>
      <c r="L120" s="37"/>
      <c r="M120" s="56"/>
    </row>
    <row r="121" spans="1:15" ht="15.6">
      <c r="A121" s="26" t="str">
        <v>Krumkill South</v>
      </c>
      <c r="B121" s="27" t="str">
        <v>NY</v>
      </c>
      <c r="C121" s="26" t="str">
        <f>Sites[[#This Row],[SOL'#]]</f>
        <v>SOL-11087</v>
      </c>
      <c r="D121" s="9"/>
      <c r="E121" s="14"/>
      <c r="F121" s="14" t="str">
        <f t="shared" si="4"/>
        <v/>
      </c>
      <c r="G121" s="15" t="str">
        <f t="shared" si="7"/>
        <v/>
      </c>
      <c r="H121" s="16"/>
      <c r="I121" s="16" t="str">
        <f t="shared" si="5"/>
        <v/>
      </c>
      <c r="J121" s="15" t="str">
        <f t="shared" si="6"/>
        <v/>
      </c>
      <c r="K121" s="50"/>
      <c r="L121" s="110"/>
      <c r="M121" s="50"/>
    </row>
    <row r="122" spans="1:15" ht="15.6">
      <c r="A122" s="24" t="str">
        <v>X092</v>
      </c>
      <c r="B122" s="25" t="str">
        <v>NY</v>
      </c>
      <c r="C122" s="28" t="str">
        <f>Sites[[#This Row],[SOL'#]]</f>
        <v>SOL-11189</v>
      </c>
      <c r="D122" s="20"/>
      <c r="E122" s="10"/>
      <c r="F122" s="10" t="str">
        <f t="shared" si="4"/>
        <v/>
      </c>
      <c r="G122" s="11" t="str">
        <f t="shared" si="7"/>
        <v/>
      </c>
      <c r="H122" s="12"/>
      <c r="I122" s="12" t="str">
        <f t="shared" si="5"/>
        <v/>
      </c>
      <c r="J122" s="13" t="str">
        <f t="shared" si="6"/>
        <v/>
      </c>
      <c r="K122" s="37"/>
      <c r="L122" s="37"/>
      <c r="M122" s="56"/>
    </row>
    <row r="123" spans="1:15" ht="15.6">
      <c r="A123" s="26" t="str">
        <v>X093</v>
      </c>
      <c r="B123" s="27" t="str">
        <v>NY</v>
      </c>
      <c r="C123" s="26" t="str">
        <f>Sites[[#This Row],[SOL'#]]</f>
        <v>SOL-10932</v>
      </c>
      <c r="D123" s="9"/>
      <c r="E123" s="14"/>
      <c r="F123" s="14" t="str">
        <f t="shared" si="4"/>
        <v/>
      </c>
      <c r="G123" s="15" t="str">
        <f t="shared" si="7"/>
        <v/>
      </c>
      <c r="H123" s="16"/>
      <c r="I123" s="16" t="str">
        <f t="shared" si="5"/>
        <v/>
      </c>
      <c r="J123" s="15" t="str">
        <f t="shared" si="6"/>
        <v/>
      </c>
      <c r="K123" s="50"/>
      <c r="L123" s="110"/>
      <c r="M123" s="50"/>
    </row>
    <row r="124" spans="1:15" ht="15.6">
      <c r="A124" s="24" t="str">
        <v>X095</v>
      </c>
      <c r="B124" s="25" t="str">
        <v>NY</v>
      </c>
      <c r="C124" s="28" t="str">
        <f>Sites[[#This Row],[SOL'#]]</f>
        <v>SOL-10929</v>
      </c>
      <c r="D124" s="20"/>
      <c r="E124" s="10"/>
      <c r="F124" s="10" t="str">
        <f t="shared" si="4"/>
        <v/>
      </c>
      <c r="G124" s="11" t="str">
        <f t="shared" si="7"/>
        <v/>
      </c>
      <c r="H124" s="12"/>
      <c r="I124" s="12" t="str">
        <f t="shared" si="5"/>
        <v/>
      </c>
      <c r="J124" s="13" t="str">
        <f t="shared" si="6"/>
        <v/>
      </c>
      <c r="K124" s="37"/>
      <c r="L124" s="109"/>
      <c r="M124" s="56"/>
    </row>
    <row r="125" spans="1:15" ht="15.6">
      <c r="A125" s="26" t="str">
        <v>X181</v>
      </c>
      <c r="B125" s="27" t="str">
        <v>NY</v>
      </c>
      <c r="C125" s="26" t="str">
        <f>Sites[[#This Row],[SOL'#]]</f>
        <v>SOL-10428</v>
      </c>
      <c r="D125" s="9"/>
      <c r="E125" s="14"/>
      <c r="F125" s="14" t="str">
        <f t="shared" si="4"/>
        <v/>
      </c>
      <c r="G125" s="15" t="str">
        <f t="shared" si="7"/>
        <v/>
      </c>
      <c r="H125" s="16"/>
      <c r="I125" s="16" t="str">
        <f t="shared" si="5"/>
        <v/>
      </c>
      <c r="J125" s="15" t="str">
        <f t="shared" si="6"/>
        <v/>
      </c>
      <c r="K125" s="50"/>
      <c r="L125" s="50"/>
      <c r="M125" s="50"/>
    </row>
    <row r="126" spans="1:15" ht="15.6">
      <c r="A126" s="24" t="str">
        <v>X415</v>
      </c>
      <c r="B126" s="25" t="str">
        <v>NY</v>
      </c>
      <c r="C126" s="28" t="str">
        <f>Sites[[#This Row],[SOL'#]]</f>
        <v>SOL-10429</v>
      </c>
      <c r="D126" s="20"/>
      <c r="E126" s="10"/>
      <c r="F126" s="10" t="str">
        <f t="shared" si="4"/>
        <v/>
      </c>
      <c r="G126" s="11" t="str">
        <f t="shared" si="7"/>
        <v/>
      </c>
      <c r="H126" s="12"/>
      <c r="I126" s="12" t="str">
        <f t="shared" si="5"/>
        <v/>
      </c>
      <c r="J126" s="13" t="str">
        <f t="shared" si="6"/>
        <v/>
      </c>
      <c r="K126" s="37"/>
      <c r="L126" s="37"/>
      <c r="M126" s="56"/>
    </row>
    <row r="127" spans="1:15" ht="15.6">
      <c r="A127" s="26" t="str">
        <v>K198</v>
      </c>
      <c r="B127" s="27" t="str">
        <v>NY</v>
      </c>
      <c r="C127" s="26" t="str">
        <f>Sites[[#This Row],[SOL'#]]</f>
        <v>SOL-10930</v>
      </c>
      <c r="D127" s="9"/>
      <c r="E127" s="14"/>
      <c r="F127" s="14" t="str">
        <f t="shared" si="4"/>
        <v/>
      </c>
      <c r="G127" s="15" t="str">
        <f t="shared" si="7"/>
        <v/>
      </c>
      <c r="H127" s="16"/>
      <c r="I127" s="16" t="str">
        <f t="shared" si="5"/>
        <v/>
      </c>
      <c r="J127" s="15" t="str">
        <f t="shared" si="6"/>
        <v/>
      </c>
      <c r="K127" s="50"/>
      <c r="L127" s="84"/>
      <c r="M127" s="84"/>
    </row>
    <row r="128" spans="1:15" ht="15.6">
      <c r="A128" s="24" t="str">
        <v>K203</v>
      </c>
      <c r="B128" s="25" t="str">
        <v>NY</v>
      </c>
      <c r="C128" s="28" t="str">
        <f>Sites[[#This Row],[SOL'#]]</f>
        <v>SOL-11190</v>
      </c>
      <c r="D128" s="20"/>
      <c r="E128" s="10"/>
      <c r="F128" s="10" t="str">
        <f t="shared" si="4"/>
        <v/>
      </c>
      <c r="G128" s="11" t="str">
        <f t="shared" si="7"/>
        <v/>
      </c>
      <c r="H128" s="12"/>
      <c r="I128" s="12" t="str">
        <f t="shared" si="5"/>
        <v/>
      </c>
      <c r="J128" s="13" t="str">
        <f t="shared" si="6"/>
        <v/>
      </c>
      <c r="K128" s="37"/>
      <c r="L128" s="37"/>
      <c r="M128" s="56"/>
    </row>
    <row r="129" spans="1:13" ht="15.6">
      <c r="A129" s="26" t="str">
        <v>K213</v>
      </c>
      <c r="B129" s="27" t="str">
        <v>NY</v>
      </c>
      <c r="C129" s="26" t="str">
        <f>Sites[[#This Row],[SOL'#]]</f>
        <v>SOL-11191</v>
      </c>
      <c r="D129" s="9"/>
      <c r="E129" s="14"/>
      <c r="F129" s="14" t="str">
        <f t="shared" si="4"/>
        <v/>
      </c>
      <c r="G129" s="15" t="str">
        <f t="shared" si="7"/>
        <v/>
      </c>
      <c r="H129" s="16"/>
      <c r="I129" s="16" t="str">
        <f t="shared" si="5"/>
        <v/>
      </c>
      <c r="J129" s="15" t="str">
        <f t="shared" si="6"/>
        <v/>
      </c>
      <c r="K129" s="50"/>
      <c r="L129" s="50"/>
      <c r="M129" s="50"/>
    </row>
    <row r="130" spans="1:13" ht="15.6">
      <c r="A130" s="24" t="str">
        <v>K217</v>
      </c>
      <c r="B130" s="25" t="str">
        <v>NY</v>
      </c>
      <c r="C130" s="28" t="str">
        <f>Sites[[#This Row],[SOL'#]]</f>
        <v>SOL-10933</v>
      </c>
      <c r="D130" s="20"/>
      <c r="E130" s="10"/>
      <c r="F130" s="10" t="str">
        <f t="shared" si="4"/>
        <v/>
      </c>
      <c r="G130" s="11" t="str">
        <f t="shared" si="7"/>
        <v/>
      </c>
      <c r="H130" s="12"/>
      <c r="I130" s="12" t="str">
        <f t="shared" si="5"/>
        <v/>
      </c>
      <c r="J130" s="13" t="str">
        <f t="shared" si="6"/>
        <v/>
      </c>
      <c r="K130" s="37"/>
      <c r="L130" s="109"/>
      <c r="M130" s="56"/>
    </row>
    <row r="131" spans="1:13" ht="15.6">
      <c r="A131" s="26" t="str">
        <v>K307</v>
      </c>
      <c r="B131" s="27" t="str">
        <v>NY</v>
      </c>
      <c r="C131" s="26" t="str">
        <f>Sites[[#This Row],[SOL'#]]</f>
        <v>SOL-10876</v>
      </c>
      <c r="D131" s="9"/>
      <c r="E131" s="14"/>
      <c r="F131" s="14" t="str">
        <f t="shared" si="4"/>
        <v/>
      </c>
      <c r="G131" s="15" t="str">
        <f t="shared" si="7"/>
        <v/>
      </c>
      <c r="H131" s="16"/>
      <c r="I131" s="16" t="str">
        <f t="shared" si="5"/>
        <v/>
      </c>
      <c r="J131" s="15" t="str">
        <f t="shared" si="6"/>
        <v/>
      </c>
      <c r="K131" s="50"/>
      <c r="L131" s="50"/>
      <c r="M131" s="50"/>
    </row>
    <row r="132" spans="1:13" ht="15.6">
      <c r="A132" s="24" t="str">
        <v>K610</v>
      </c>
      <c r="B132" s="25" t="str">
        <v>NY</v>
      </c>
      <c r="C132" s="28" t="str">
        <f>Sites[[#This Row],[SOL'#]]</f>
        <v>SOL-11158</v>
      </c>
      <c r="D132" s="20"/>
      <c r="E132" s="10"/>
      <c r="F132" s="10" t="str">
        <f t="shared" si="4"/>
        <v/>
      </c>
      <c r="G132" s="11" t="str">
        <f t="shared" si="7"/>
        <v/>
      </c>
      <c r="H132" s="12"/>
      <c r="I132" s="12" t="str">
        <f t="shared" si="5"/>
        <v/>
      </c>
      <c r="J132" s="13" t="str">
        <f t="shared" si="6"/>
        <v/>
      </c>
      <c r="K132" s="37"/>
      <c r="L132" s="37"/>
      <c r="M132" s="56"/>
    </row>
    <row r="133" spans="1:13" ht="15.6">
      <c r="A133" s="26" t="str">
        <v>M025</v>
      </c>
      <c r="B133" s="27" t="str">
        <v>NY</v>
      </c>
      <c r="C133" s="26" t="str">
        <f>Sites[[#This Row],[SOL'#]]</f>
        <v>SOL-10392</v>
      </c>
      <c r="D133" s="9"/>
      <c r="E133" s="14"/>
      <c r="F133" s="14" t="str">
        <f t="shared" si="4"/>
        <v/>
      </c>
      <c r="G133" s="15" t="str">
        <f t="shared" si="7"/>
        <v/>
      </c>
      <c r="H133" s="16"/>
      <c r="I133" s="16" t="str">
        <f t="shared" ref="I133:I173" si="8">IF(AND(ISNUMBER(D133),ISNUMBER(H133)), D133-H133, "")</f>
        <v/>
      </c>
      <c r="J133" s="15" t="str">
        <f t="shared" ref="J133:J173" si="9">IFERROR(I133/H133, "")</f>
        <v/>
      </c>
      <c r="K133" s="50"/>
      <c r="L133" s="110"/>
      <c r="M133" s="50"/>
    </row>
    <row r="134" spans="1:13" ht="15.6">
      <c r="A134" s="24" t="str">
        <v>M028</v>
      </c>
      <c r="B134" s="25" t="str">
        <v>NY</v>
      </c>
      <c r="C134" s="28" t="str">
        <f>Sites[[#This Row],[SOL'#]]</f>
        <v>SOL-10381</v>
      </c>
      <c r="D134" s="20"/>
      <c r="E134" s="10"/>
      <c r="F134" s="10" t="str">
        <f t="shared" ref="F134:F173" si="10">IF(AND(ISNUMBER(D134),ISNUMBER(E134)), D134-E134, "")</f>
        <v/>
      </c>
      <c r="G134" s="11" t="str">
        <f t="shared" ref="G134:G173" si="11">IFERROR(F134/E134, "")</f>
        <v/>
      </c>
      <c r="H134" s="12"/>
      <c r="I134" s="12" t="str">
        <f t="shared" si="8"/>
        <v/>
      </c>
      <c r="J134" s="13" t="str">
        <f t="shared" si="9"/>
        <v/>
      </c>
      <c r="K134" s="37"/>
      <c r="L134" s="37"/>
      <c r="M134" s="56"/>
    </row>
    <row r="135" spans="1:13" ht="15.6">
      <c r="A135" s="26" t="str">
        <v>Q030</v>
      </c>
      <c r="B135" s="27" t="str">
        <v>NY</v>
      </c>
      <c r="C135" s="26" t="str">
        <f>Sites[[#This Row],[SOL'#]]</f>
        <v>SOL-10878</v>
      </c>
      <c r="D135" s="9"/>
      <c r="E135" s="14"/>
      <c r="F135" s="14" t="str">
        <f t="shared" si="10"/>
        <v/>
      </c>
      <c r="G135" s="15" t="str">
        <f t="shared" si="11"/>
        <v/>
      </c>
      <c r="H135" s="16"/>
      <c r="I135" s="16" t="str">
        <f t="shared" si="8"/>
        <v/>
      </c>
      <c r="J135" s="15" t="str">
        <f t="shared" si="9"/>
        <v/>
      </c>
      <c r="K135" s="50"/>
      <c r="L135" s="110"/>
      <c r="M135" s="50"/>
    </row>
    <row r="136" spans="1:13" ht="15.6">
      <c r="A136" s="24" t="str">
        <v>Q130</v>
      </c>
      <c r="B136" s="25" t="str">
        <v>NY</v>
      </c>
      <c r="C136" s="28" t="str">
        <f>Sites[[#This Row],[SOL'#]]</f>
        <v>SOL-10877</v>
      </c>
      <c r="D136" s="20"/>
      <c r="E136" s="10"/>
      <c r="F136" s="10" t="str">
        <f t="shared" si="10"/>
        <v/>
      </c>
      <c r="G136" s="11" t="str">
        <f t="shared" si="11"/>
        <v/>
      </c>
      <c r="H136" s="12"/>
      <c r="I136" s="12" t="str">
        <f t="shared" si="8"/>
        <v/>
      </c>
      <c r="J136" s="13" t="str">
        <f t="shared" si="9"/>
        <v/>
      </c>
      <c r="K136" s="37"/>
      <c r="L136" s="37"/>
      <c r="M136" s="56"/>
    </row>
    <row r="137" spans="1:13" ht="15.6">
      <c r="A137" s="26" t="str">
        <v>Q196</v>
      </c>
      <c r="B137" s="27" t="str">
        <v>NY</v>
      </c>
      <c r="C137" s="26" t="str">
        <f>Sites[[#This Row],[SOL'#]]</f>
        <v>SOL-10879</v>
      </c>
      <c r="D137" s="9"/>
      <c r="E137" s="14"/>
      <c r="F137" s="14" t="str">
        <f t="shared" si="10"/>
        <v/>
      </c>
      <c r="G137" s="15" t="str">
        <f t="shared" si="11"/>
        <v/>
      </c>
      <c r="H137" s="16"/>
      <c r="I137" s="16" t="str">
        <f t="shared" si="8"/>
        <v/>
      </c>
      <c r="J137" s="15" t="str">
        <f t="shared" si="9"/>
        <v/>
      </c>
      <c r="K137" s="50"/>
      <c r="L137" s="50"/>
      <c r="M137" s="50"/>
    </row>
    <row r="138" spans="1:13" ht="15.6">
      <c r="A138" s="24" t="str">
        <v>Q220</v>
      </c>
      <c r="B138" s="25" t="str">
        <v>NY</v>
      </c>
      <c r="C138" s="28" t="str">
        <f>Sites[[#This Row],[SOL'#]]</f>
        <v>SOL-10873</v>
      </c>
      <c r="D138" s="20"/>
      <c r="E138" s="10"/>
      <c r="F138" s="10" t="str">
        <f t="shared" si="10"/>
        <v/>
      </c>
      <c r="G138" s="11" t="str">
        <f t="shared" si="11"/>
        <v/>
      </c>
      <c r="H138" s="12"/>
      <c r="I138" s="12" t="str">
        <f t="shared" si="8"/>
        <v/>
      </c>
      <c r="J138" s="13" t="str">
        <f t="shared" si="9"/>
        <v/>
      </c>
      <c r="K138" s="37"/>
      <c r="L138" s="109"/>
      <c r="M138" s="56"/>
    </row>
    <row r="139" spans="1:13" ht="15.6">
      <c r="A139" s="26" t="str">
        <v>Q205</v>
      </c>
      <c r="B139" s="27" t="str">
        <v>NY</v>
      </c>
      <c r="C139" s="26" t="str">
        <f>Sites[[#This Row],[SOL'#]]</f>
        <v>SOL-10922</v>
      </c>
      <c r="D139" s="9"/>
      <c r="E139" s="14"/>
      <c r="F139" s="14" t="str">
        <f t="shared" si="10"/>
        <v/>
      </c>
      <c r="G139" s="15" t="str">
        <f t="shared" si="11"/>
        <v/>
      </c>
      <c r="H139" s="16"/>
      <c r="I139" s="16" t="str">
        <f t="shared" si="8"/>
        <v/>
      </c>
      <c r="J139" s="15" t="str">
        <f t="shared" si="9"/>
        <v/>
      </c>
      <c r="K139" s="50"/>
      <c r="L139" s="96"/>
      <c r="M139" s="96"/>
    </row>
    <row r="140" spans="1:13" ht="15.6">
      <c r="A140" s="28" t="str">
        <v>Q400</v>
      </c>
      <c r="B140" s="25" t="str">
        <v>NY</v>
      </c>
      <c r="C140" s="28" t="str">
        <f>Sites[[#This Row],[SOL'#]]</f>
        <v>SOL-10871</v>
      </c>
      <c r="D140" s="54"/>
      <c r="E140" s="10"/>
      <c r="F140" s="10" t="str">
        <f t="shared" si="10"/>
        <v/>
      </c>
      <c r="G140" s="11" t="str">
        <f t="shared" si="11"/>
        <v/>
      </c>
      <c r="H140" s="67"/>
      <c r="I140" s="12" t="str">
        <f t="shared" si="8"/>
        <v/>
      </c>
      <c r="J140" s="13" t="str">
        <f t="shared" si="9"/>
        <v/>
      </c>
      <c r="K140" s="56"/>
      <c r="L140" s="37"/>
      <c r="M140" s="56"/>
    </row>
    <row r="141" spans="1:13" ht="15.6">
      <c r="A141" s="26" t="str">
        <v>R003</v>
      </c>
      <c r="B141" s="27" t="str">
        <v>NY</v>
      </c>
      <c r="C141" s="26" t="str">
        <f>Sites[[#This Row],[SOL'#]]</f>
        <v>SOL-10416</v>
      </c>
      <c r="D141" s="66"/>
      <c r="E141" s="14"/>
      <c r="F141" s="14" t="str">
        <f t="shared" si="10"/>
        <v/>
      </c>
      <c r="G141" s="15" t="str">
        <f t="shared" si="11"/>
        <v/>
      </c>
      <c r="H141" s="69"/>
      <c r="I141" s="16" t="str">
        <f t="shared" si="8"/>
        <v/>
      </c>
      <c r="J141" s="15" t="str">
        <f t="shared" si="9"/>
        <v/>
      </c>
      <c r="K141" s="50"/>
      <c r="L141" s="183"/>
      <c r="M141" s="183"/>
    </row>
    <row r="142" spans="1:13" ht="15.6">
      <c r="A142" s="24" t="str">
        <v>R007</v>
      </c>
      <c r="B142" s="25" t="str">
        <v>NY</v>
      </c>
      <c r="C142" s="28" t="str">
        <f>Sites[[#This Row],[SOL'#]]</f>
        <v>SOL-10417</v>
      </c>
      <c r="D142" s="54"/>
      <c r="E142" s="10"/>
      <c r="F142" s="10" t="str">
        <f t="shared" si="10"/>
        <v/>
      </c>
      <c r="G142" s="11" t="str">
        <f t="shared" si="11"/>
        <v/>
      </c>
      <c r="H142" s="67"/>
      <c r="I142" s="12" t="str">
        <f t="shared" si="8"/>
        <v/>
      </c>
      <c r="J142" s="13" t="str">
        <f t="shared" si="9"/>
        <v/>
      </c>
      <c r="K142" s="56"/>
      <c r="L142" s="37"/>
      <c r="M142" s="56"/>
    </row>
    <row r="143" spans="1:13" ht="15.6">
      <c r="A143" s="26" t="str">
        <v>BK16</v>
      </c>
      <c r="B143" s="27" t="str">
        <v>NY</v>
      </c>
      <c r="C143" s="26" t="str">
        <f>Sites[[#This Row],[SOL'#]]</f>
        <v>SOL-11093</v>
      </c>
      <c r="D143" s="66"/>
      <c r="E143" s="14"/>
      <c r="F143" s="14" t="str">
        <f t="shared" si="10"/>
        <v/>
      </c>
      <c r="G143" s="15" t="str">
        <f t="shared" si="11"/>
        <v/>
      </c>
      <c r="H143" s="69"/>
      <c r="I143" s="16" t="str">
        <f t="shared" si="8"/>
        <v/>
      </c>
      <c r="J143" s="15" t="str">
        <f t="shared" si="9"/>
        <v/>
      </c>
      <c r="K143" s="50"/>
      <c r="L143" s="183"/>
      <c r="M143" s="183"/>
    </row>
    <row r="144" spans="1:13" ht="15.6">
      <c r="A144" s="24" t="str">
        <v>Trenton - Trenton East</v>
      </c>
      <c r="B144" s="25" t="str">
        <v>IL</v>
      </c>
      <c r="C144" s="28" t="str">
        <f>Sites[[#This Row],[SOL'#]]</f>
        <v>SOL-11060</v>
      </c>
      <c r="D144" s="54"/>
      <c r="E144" s="10"/>
      <c r="F144" s="10" t="str">
        <f t="shared" si="10"/>
        <v/>
      </c>
      <c r="G144" s="11" t="str">
        <f t="shared" si="11"/>
        <v/>
      </c>
      <c r="H144" s="67"/>
      <c r="I144" s="12" t="str">
        <f t="shared" si="8"/>
        <v/>
      </c>
      <c r="J144" s="13" t="str">
        <f t="shared" si="9"/>
        <v/>
      </c>
      <c r="K144" s="56"/>
      <c r="L144" s="37"/>
      <c r="M144" s="56"/>
    </row>
    <row r="145" spans="1:14" ht="15.6">
      <c r="A145" s="26" t="str">
        <v>Trenton - Trenton West</v>
      </c>
      <c r="B145" s="27" t="str">
        <v>IL</v>
      </c>
      <c r="C145" s="26" t="str">
        <f>Sites[[#This Row],[SOL'#]]</f>
        <v>SOL-11061</v>
      </c>
      <c r="D145" s="66"/>
      <c r="E145" s="14"/>
      <c r="F145" s="14" t="str">
        <f t="shared" si="10"/>
        <v/>
      </c>
      <c r="G145" s="15" t="str">
        <f t="shared" si="11"/>
        <v/>
      </c>
      <c r="H145" s="69"/>
      <c r="I145" s="16" t="str">
        <f t="shared" si="8"/>
        <v/>
      </c>
      <c r="J145" s="15" t="str">
        <f t="shared" si="9"/>
        <v/>
      </c>
      <c r="K145" s="51"/>
      <c r="L145" s="101"/>
      <c r="M145" s="82"/>
    </row>
    <row r="146" spans="1:14" ht="15.6">
      <c r="A146" s="24" t="str">
        <v>Dakota - Dakota Solar 1</v>
      </c>
      <c r="B146" s="25" t="str">
        <v>IL</v>
      </c>
      <c r="C146" s="28" t="str">
        <f>Sites[[#This Row],[SOL'#]]</f>
        <v>SOL-11113</v>
      </c>
      <c r="D146" s="54"/>
      <c r="E146" s="10"/>
      <c r="F146" s="10" t="str">
        <f t="shared" si="10"/>
        <v/>
      </c>
      <c r="G146" s="11" t="str">
        <f t="shared" si="11"/>
        <v/>
      </c>
      <c r="H146" s="67"/>
      <c r="I146" s="12" t="str">
        <f t="shared" si="8"/>
        <v/>
      </c>
      <c r="J146" s="13" t="str">
        <f t="shared" si="9"/>
        <v/>
      </c>
      <c r="K146" s="56"/>
      <c r="L146" s="109"/>
      <c r="M146" s="56"/>
    </row>
    <row r="147" spans="1:14" ht="15.6">
      <c r="A147" s="26" t="str">
        <v>X018</v>
      </c>
      <c r="B147" s="27" t="str">
        <v>NY</v>
      </c>
      <c r="C147" s="26" t="str">
        <f>Sites[[#This Row],[SOL'#]]</f>
        <v>SOL-10418</v>
      </c>
      <c r="D147" s="66"/>
      <c r="E147" s="14"/>
      <c r="F147" s="14" t="str">
        <f t="shared" si="10"/>
        <v/>
      </c>
      <c r="G147" s="15" t="str">
        <f t="shared" si="11"/>
        <v/>
      </c>
      <c r="H147" s="69"/>
      <c r="I147" s="16" t="str">
        <f t="shared" si="8"/>
        <v/>
      </c>
      <c r="J147" s="15" t="str">
        <f t="shared" si="9"/>
        <v/>
      </c>
      <c r="K147" s="50"/>
      <c r="L147" s="183"/>
      <c r="M147" s="183"/>
    </row>
    <row r="148" spans="1:14" ht="15.6">
      <c r="A148" s="24" t="str">
        <v>Janiak Solar</v>
      </c>
      <c r="B148" s="25" t="str">
        <v>NY</v>
      </c>
      <c r="C148" s="28" t="str">
        <f>Sites[[#This Row],[SOL'#]]</f>
        <v>SOL-10898</v>
      </c>
      <c r="D148" s="54"/>
      <c r="E148" s="10"/>
      <c r="F148" s="10" t="str">
        <f t="shared" si="10"/>
        <v/>
      </c>
      <c r="G148" s="11" t="str">
        <f t="shared" si="11"/>
        <v/>
      </c>
      <c r="H148" s="67"/>
      <c r="I148" s="12" t="str">
        <f t="shared" si="8"/>
        <v/>
      </c>
      <c r="J148" s="13" t="str">
        <f t="shared" si="9"/>
        <v/>
      </c>
      <c r="K148" s="56"/>
      <c r="L148" s="109"/>
      <c r="M148" s="56"/>
    </row>
    <row r="149" spans="1:14" ht="15.6">
      <c r="A149" s="26" t="str">
        <v>County Route 11B</v>
      </c>
      <c r="B149" s="27" t="str">
        <v>NY</v>
      </c>
      <c r="C149" s="26" t="str">
        <f>Sites[[#This Row],[SOL'#]]</f>
        <v>SOL-10983</v>
      </c>
      <c r="D149" s="66"/>
      <c r="E149" s="14"/>
      <c r="F149" s="14" t="str">
        <f t="shared" si="10"/>
        <v/>
      </c>
      <c r="G149" s="15" t="str">
        <f t="shared" si="11"/>
        <v/>
      </c>
      <c r="H149" s="69"/>
      <c r="I149" s="16" t="str">
        <f t="shared" si="8"/>
        <v/>
      </c>
      <c r="J149" s="15" t="str">
        <f t="shared" si="9"/>
        <v/>
      </c>
      <c r="K149" s="50"/>
      <c r="L149" s="114"/>
      <c r="M149" s="183"/>
    </row>
    <row r="150" spans="1:14" ht="15.6">
      <c r="A150" s="24" t="str">
        <v>Barone</v>
      </c>
      <c r="B150" s="25" t="str">
        <v>NY</v>
      </c>
      <c r="C150" s="28" t="str">
        <f>Sites[[#This Row],[SOL'#]]</f>
        <v>SOL-11034</v>
      </c>
      <c r="D150" s="54"/>
      <c r="E150" s="10"/>
      <c r="F150" s="10" t="str">
        <f t="shared" si="10"/>
        <v/>
      </c>
      <c r="G150" s="11" t="str">
        <f t="shared" si="11"/>
        <v/>
      </c>
      <c r="H150" s="67"/>
      <c r="I150" s="12" t="str">
        <f t="shared" si="8"/>
        <v/>
      </c>
      <c r="J150" s="13" t="str">
        <f t="shared" si="9"/>
        <v/>
      </c>
      <c r="K150" s="56"/>
      <c r="L150" s="109"/>
      <c r="M150" s="56"/>
    </row>
    <row r="151" spans="1:14" ht="15.6">
      <c r="A151" s="26" t="str">
        <v>Cedarville</v>
      </c>
      <c r="B151" s="27" t="str">
        <v>IL</v>
      </c>
      <c r="C151" s="26" t="str">
        <f>Sites[[#This Row],[SOL'#]]</f>
        <v>SOL-11069</v>
      </c>
      <c r="D151" s="66"/>
      <c r="E151" s="14"/>
      <c r="F151" s="14" t="str">
        <f t="shared" si="10"/>
        <v/>
      </c>
      <c r="G151" s="15" t="str">
        <f t="shared" si="11"/>
        <v/>
      </c>
      <c r="H151" s="69"/>
      <c r="I151" s="16" t="str">
        <f t="shared" si="8"/>
        <v/>
      </c>
      <c r="J151" s="15" t="str">
        <f t="shared" si="9"/>
        <v/>
      </c>
      <c r="K151" s="50"/>
      <c r="L151" s="183"/>
      <c r="M151" s="183"/>
    </row>
    <row r="152" spans="1:14" ht="45" customHeight="1">
      <c r="A152" s="24" t="str">
        <v xml:space="preserve"> O'Brien Hill #1</v>
      </c>
      <c r="B152" s="25" t="str">
        <v>NY</v>
      </c>
      <c r="C152" s="28" t="str">
        <f>Sites[[#This Row],[SOL'#]]</f>
        <v>SOL-11098</v>
      </c>
      <c r="D152" s="54"/>
      <c r="E152" s="10"/>
      <c r="F152" s="10" t="str">
        <f t="shared" si="10"/>
        <v/>
      </c>
      <c r="G152" s="11" t="str">
        <f t="shared" si="11"/>
        <v/>
      </c>
      <c r="H152" s="146"/>
      <c r="I152" s="12" t="str">
        <f t="shared" si="8"/>
        <v/>
      </c>
      <c r="J152" s="13" t="str">
        <f t="shared" si="9"/>
        <v/>
      </c>
      <c r="K152" s="56"/>
      <c r="L152" s="109"/>
      <c r="M152" s="56"/>
    </row>
    <row r="153" spans="1:14" ht="15.6">
      <c r="A153" s="26" t="str">
        <v xml:space="preserve"> O'Brien Hill #2</v>
      </c>
      <c r="B153" s="27" t="str">
        <v>NY</v>
      </c>
      <c r="C153" s="26" t="str">
        <f>Sites[[#This Row],[SOL'#]]</f>
        <v>SOL-11099</v>
      </c>
      <c r="D153" s="66"/>
      <c r="E153" s="14"/>
      <c r="F153" s="14" t="str">
        <f t="shared" si="10"/>
        <v/>
      </c>
      <c r="G153" s="15" t="str">
        <f t="shared" si="11"/>
        <v/>
      </c>
      <c r="H153" s="125"/>
      <c r="I153" s="16" t="str">
        <f t="shared" si="8"/>
        <v/>
      </c>
      <c r="J153" s="15" t="str">
        <f t="shared" si="9"/>
        <v/>
      </c>
      <c r="K153" s="186"/>
      <c r="L153" s="121"/>
      <c r="M153" s="83"/>
    </row>
    <row r="154" spans="1:14" ht="15.6">
      <c r="A154" s="24" t="str">
        <v>Trinity - Freeport</v>
      </c>
      <c r="B154" s="25" t="str">
        <v>IL</v>
      </c>
      <c r="C154" s="28" t="str">
        <f>Sites[[#This Row],[SOL'#]]</f>
        <v>SOL-11057</v>
      </c>
      <c r="D154" s="54"/>
      <c r="E154" s="10"/>
      <c r="F154" s="10" t="str">
        <f t="shared" si="10"/>
        <v/>
      </c>
      <c r="G154" s="11" t="str">
        <f t="shared" si="11"/>
        <v/>
      </c>
      <c r="H154" s="67"/>
      <c r="I154" s="12" t="str">
        <f t="shared" si="8"/>
        <v/>
      </c>
      <c r="J154" s="13" t="str">
        <f t="shared" si="9"/>
        <v/>
      </c>
      <c r="K154" s="56"/>
      <c r="L154" s="109"/>
      <c r="M154" s="56"/>
    </row>
    <row r="155" spans="1:14" ht="15.6">
      <c r="A155" s="26" t="str">
        <v>Ransom</v>
      </c>
      <c r="B155" s="27" t="str">
        <v>NY</v>
      </c>
      <c r="C155" s="26" t="str">
        <f>Sites[[#This Row],[SOL'#]]</f>
        <v>SOL-11157</v>
      </c>
      <c r="D155" s="66"/>
      <c r="E155" s="14"/>
      <c r="F155" s="14" t="str">
        <f t="shared" si="10"/>
        <v/>
      </c>
      <c r="G155" s="15" t="str">
        <f t="shared" si="11"/>
        <v/>
      </c>
      <c r="H155" s="166"/>
      <c r="I155" s="16" t="str">
        <f t="shared" si="8"/>
        <v/>
      </c>
      <c r="J155" s="15" t="str">
        <f t="shared" si="9"/>
        <v/>
      </c>
      <c r="K155" s="50"/>
      <c r="L155" s="50"/>
      <c r="M155" s="50"/>
    </row>
    <row r="156" spans="1:14" ht="15.6">
      <c r="A156" s="24" t="str">
        <v>Horseheads - Wedge</v>
      </c>
      <c r="B156" s="25" t="str">
        <v>NY</v>
      </c>
      <c r="C156" s="28" t="str">
        <f>Sites[[#This Row],[SOL'#]]</f>
        <v>SOL-11160</v>
      </c>
      <c r="D156" s="54"/>
      <c r="E156" s="10"/>
      <c r="F156" s="10" t="str">
        <f t="shared" si="10"/>
        <v/>
      </c>
      <c r="G156" s="11" t="str">
        <f t="shared" si="11"/>
        <v/>
      </c>
      <c r="H156" s="126"/>
      <c r="I156" s="12" t="str">
        <f t="shared" si="8"/>
        <v/>
      </c>
      <c r="J156" s="13" t="str">
        <f t="shared" si="9"/>
        <v/>
      </c>
      <c r="K156" s="56"/>
      <c r="L156" s="109"/>
      <c r="M156" s="56"/>
    </row>
    <row r="157" spans="1:14" ht="15.6">
      <c r="A157" s="26" t="str">
        <v>Otisville - Shoddy Hollow</v>
      </c>
      <c r="B157" s="27" t="str">
        <v>NY</v>
      </c>
      <c r="C157" s="26" t="str">
        <f>Sites[[#This Row],[SOL'#]]</f>
        <v>SOL-11185</v>
      </c>
      <c r="D157" s="66"/>
      <c r="E157" s="14"/>
      <c r="F157" s="14" t="str">
        <f t="shared" si="10"/>
        <v/>
      </c>
      <c r="G157" s="15" t="str">
        <f t="shared" si="11"/>
        <v/>
      </c>
      <c r="H157" s="166"/>
      <c r="I157" s="16" t="str">
        <f t="shared" si="8"/>
        <v/>
      </c>
      <c r="J157" s="15" t="str">
        <f t="shared" si="9"/>
        <v/>
      </c>
      <c r="K157" s="50"/>
      <c r="L157" s="121"/>
      <c r="M157" s="83"/>
      <c r="N157" s="111"/>
    </row>
    <row r="158" spans="1:14" ht="15.6">
      <c r="A158" s="24" t="str">
        <v>Wellsville - Chenunda Creek</v>
      </c>
      <c r="B158" s="25" t="str">
        <v>NY</v>
      </c>
      <c r="C158" s="28" t="str">
        <f>Sites[[#This Row],[SOL'#]]</f>
        <v>SOL-11187</v>
      </c>
      <c r="D158" s="54"/>
      <c r="E158" s="10"/>
      <c r="F158" s="10" t="str">
        <f t="shared" si="10"/>
        <v/>
      </c>
      <c r="G158" s="11" t="str">
        <f t="shared" si="11"/>
        <v/>
      </c>
      <c r="H158" s="126"/>
      <c r="I158" s="12" t="str">
        <f t="shared" si="8"/>
        <v/>
      </c>
      <c r="J158" s="13" t="str">
        <f t="shared" si="9"/>
        <v/>
      </c>
      <c r="K158" s="56"/>
      <c r="L158" s="109"/>
      <c r="M158" s="56"/>
    </row>
    <row r="159" spans="1:14" ht="15.6">
      <c r="A159" s="26" t="str">
        <v>DC: Washington - Essex Condominium</v>
      </c>
      <c r="B159" s="27" t="str">
        <v>DC</v>
      </c>
      <c r="C159" s="26" t="str">
        <f>Sites[[#This Row],[SOL'#]]</f>
        <v>SOL-10036</v>
      </c>
      <c r="D159" s="66"/>
      <c r="E159" s="14"/>
      <c r="F159" s="14" t="str">
        <f t="shared" si="10"/>
        <v/>
      </c>
      <c r="G159" s="15" t="str">
        <f t="shared" si="11"/>
        <v/>
      </c>
      <c r="H159" s="69"/>
      <c r="I159" s="16" t="str">
        <f t="shared" si="8"/>
        <v/>
      </c>
      <c r="J159" s="15" t="str">
        <f t="shared" si="9"/>
        <v/>
      </c>
      <c r="K159" s="50"/>
      <c r="L159" s="183"/>
      <c r="M159" s="183"/>
    </row>
    <row r="160" spans="1:14" ht="15.6">
      <c r="A160" s="24" t="str">
        <v>HI: Waipahu - 94-246 Leoku St - E.F.G.</v>
      </c>
      <c r="B160" s="25" t="str">
        <v>HI</v>
      </c>
      <c r="C160" s="28" t="str">
        <f>Sites[[#This Row],[SOL'#]]</f>
        <v>SOL-10071</v>
      </c>
      <c r="D160" s="54"/>
      <c r="E160" s="10"/>
      <c r="F160" s="10" t="str">
        <f t="shared" si="10"/>
        <v/>
      </c>
      <c r="G160" s="11" t="str">
        <f t="shared" si="11"/>
        <v/>
      </c>
      <c r="H160" s="67"/>
      <c r="I160" s="12" t="str">
        <f t="shared" si="8"/>
        <v/>
      </c>
      <c r="J160" s="13" t="str">
        <f t="shared" si="9"/>
        <v/>
      </c>
      <c r="K160" s="56"/>
      <c r="L160" s="116"/>
      <c r="M160" s="56"/>
    </row>
    <row r="161" spans="1:16" ht="15.6">
      <c r="A161" s="26" t="str">
        <v>HI: Waipahu - 94-099 Waipahu St - PV</v>
      </c>
      <c r="B161" s="27" t="str">
        <v>HI</v>
      </c>
      <c r="C161" s="26" t="str">
        <f>Sites[[#This Row],[SOL'#]]</f>
        <v>SOL-10068</v>
      </c>
      <c r="D161" s="66"/>
      <c r="E161" s="14"/>
      <c r="F161" s="14" t="str">
        <f t="shared" si="10"/>
        <v/>
      </c>
      <c r="G161" s="15" t="str">
        <f t="shared" si="11"/>
        <v/>
      </c>
      <c r="H161" s="69"/>
      <c r="I161" s="16" t="str">
        <f t="shared" si="8"/>
        <v/>
      </c>
      <c r="J161" s="15" t="str">
        <f t="shared" si="9"/>
        <v/>
      </c>
      <c r="K161" s="50"/>
      <c r="L161" s="183"/>
      <c r="M161" s="183"/>
    </row>
    <row r="162" spans="1:16" ht="15.6">
      <c r="A162" s="24" t="str">
        <v>IL: Prophetstown - 5170 Yager Road (PW)</v>
      </c>
      <c r="B162" s="25" t="str">
        <v>IL</v>
      </c>
      <c r="C162" s="28" t="str">
        <f>Sites[[#This Row],[SOL'#]]</f>
        <v>SOL-11149</v>
      </c>
      <c r="D162" s="54"/>
      <c r="E162" s="10"/>
      <c r="F162" s="10" t="str">
        <f t="shared" si="10"/>
        <v/>
      </c>
      <c r="G162" s="11" t="str">
        <f t="shared" si="11"/>
        <v/>
      </c>
      <c r="H162" s="67"/>
      <c r="I162" s="12" t="str">
        <f t="shared" si="8"/>
        <v/>
      </c>
      <c r="J162" s="13" t="str">
        <f t="shared" si="9"/>
        <v/>
      </c>
      <c r="K162" s="56"/>
      <c r="L162" s="116"/>
      <c r="M162" s="56"/>
    </row>
    <row r="163" spans="1:16" ht="15.6">
      <c r="A163" s="26" t="str">
        <v>IL: Viola - Goldenrod - (PW)</v>
      </c>
      <c r="B163" s="27" t="str">
        <v>IL</v>
      </c>
      <c r="C163" s="26" t="str">
        <f>Sites[[#This Row],[SOL'#]]</f>
        <v>SOL-11132</v>
      </c>
      <c r="D163" s="66"/>
      <c r="E163" s="14"/>
      <c r="F163" s="14" t="str">
        <f t="shared" si="10"/>
        <v/>
      </c>
      <c r="G163" s="15" t="str">
        <f t="shared" si="11"/>
        <v/>
      </c>
      <c r="H163" s="69"/>
      <c r="I163" s="16" t="str">
        <f t="shared" si="8"/>
        <v/>
      </c>
      <c r="J163" s="15" t="str">
        <f t="shared" si="9"/>
        <v/>
      </c>
      <c r="K163" s="50"/>
      <c r="L163" s="121"/>
      <c r="M163" s="83"/>
    </row>
    <row r="164" spans="1:16" ht="15.6">
      <c r="A164" s="24" t="str">
        <v>IL: Marengo - Grant - (PW)</v>
      </c>
      <c r="B164" s="25" t="str">
        <v>IL</v>
      </c>
      <c r="C164" s="28" t="str">
        <f>Sites[[#This Row],[SOL'#]]</f>
        <v>SOL-11147</v>
      </c>
      <c r="D164" s="54"/>
      <c r="E164" s="10"/>
      <c r="F164" s="10" t="str">
        <f t="shared" si="10"/>
        <v/>
      </c>
      <c r="G164" s="11" t="str">
        <f t="shared" si="11"/>
        <v/>
      </c>
      <c r="H164" s="67"/>
      <c r="I164" s="12" t="str">
        <f t="shared" si="8"/>
        <v/>
      </c>
      <c r="J164" s="13" t="str">
        <f t="shared" si="9"/>
        <v/>
      </c>
      <c r="K164" s="56"/>
      <c r="L164" s="116"/>
      <c r="M164" s="56"/>
    </row>
    <row r="165" spans="1:16" ht="15.6">
      <c r="A165" s="26" t="str">
        <v>NY: Cambridge - Cambridge (PW)</v>
      </c>
      <c r="B165" s="27" t="str">
        <v>NY</v>
      </c>
      <c r="C165" s="26" t="str">
        <f>Sites[[#This Row],[SOL'#]]</f>
        <v>SOL-11126</v>
      </c>
      <c r="D165" s="66"/>
      <c r="E165" s="14"/>
      <c r="F165" s="14" t="str">
        <f t="shared" si="10"/>
        <v/>
      </c>
      <c r="G165" s="15" t="str">
        <f t="shared" si="11"/>
        <v/>
      </c>
      <c r="H165" s="69"/>
      <c r="I165" s="16" t="str">
        <f t="shared" si="8"/>
        <v/>
      </c>
      <c r="J165" s="15" t="str">
        <f t="shared" si="9"/>
        <v/>
      </c>
      <c r="K165" s="50"/>
      <c r="L165" s="121"/>
      <c r="M165" s="83"/>
      <c r="N165" s="111"/>
      <c r="O165" s="111"/>
      <c r="P165" s="111"/>
    </row>
    <row r="166" spans="1:16" ht="15.6">
      <c r="A166" s="24" t="str">
        <v>NY: Whitesville - Independence North</v>
      </c>
      <c r="B166" s="25" t="str">
        <v>NY</v>
      </c>
      <c r="C166" s="28" t="str">
        <f>Sites[[#This Row],[SOL'#]]</f>
        <v>SOL-11186</v>
      </c>
      <c r="D166" s="54"/>
      <c r="E166" s="10"/>
      <c r="F166" s="10" t="str">
        <f t="shared" si="10"/>
        <v/>
      </c>
      <c r="G166" s="11" t="str">
        <f t="shared" si="11"/>
        <v/>
      </c>
      <c r="H166" s="146"/>
      <c r="I166" s="12" t="str">
        <f t="shared" si="8"/>
        <v/>
      </c>
      <c r="J166" s="13" t="str">
        <f t="shared" si="9"/>
        <v/>
      </c>
      <c r="K166" s="56"/>
      <c r="L166" s="56"/>
      <c r="M166" s="56"/>
    </row>
    <row r="167" spans="1:16" ht="15.6">
      <c r="A167" s="26" t="str">
        <v>IL: Beecher - Cottage Grove North (PW)</v>
      </c>
      <c r="B167" s="27" t="str">
        <v>IL</v>
      </c>
      <c r="C167" s="26" t="str">
        <f>Sites[[#This Row],[SOL'#]]</f>
        <v>SOL-11114</v>
      </c>
      <c r="D167" s="66"/>
      <c r="E167" s="14"/>
      <c r="F167" s="14" t="str">
        <f t="shared" si="10"/>
        <v/>
      </c>
      <c r="G167" s="15" t="str">
        <f t="shared" si="11"/>
        <v/>
      </c>
      <c r="H167" s="69"/>
      <c r="I167" s="16" t="str">
        <f t="shared" si="8"/>
        <v/>
      </c>
      <c r="J167" s="15" t="str">
        <f t="shared" si="9"/>
        <v/>
      </c>
      <c r="K167" s="50"/>
      <c r="L167" s="121"/>
      <c r="M167" s="83"/>
    </row>
    <row r="168" spans="1:16" ht="15.6">
      <c r="A168" s="24" t="str">
        <v>IL: Beecher - Cottage Grove South (PW)</v>
      </c>
      <c r="B168" s="25" t="str">
        <v>IL</v>
      </c>
      <c r="C168" s="28" t="str">
        <f>Sites[[#This Row],[SOL'#]]</f>
        <v>SOL-11115</v>
      </c>
      <c r="D168" s="54"/>
      <c r="E168" s="10"/>
      <c r="F168" s="10" t="str">
        <f t="shared" si="10"/>
        <v/>
      </c>
      <c r="G168" s="11" t="str">
        <f t="shared" si="11"/>
        <v/>
      </c>
      <c r="H168" s="67"/>
      <c r="I168" s="12" t="str">
        <f t="shared" si="8"/>
        <v/>
      </c>
      <c r="J168" s="13" t="str">
        <f t="shared" si="9"/>
        <v/>
      </c>
      <c r="K168" s="56"/>
      <c r="L168" s="56"/>
      <c r="M168" s="56"/>
    </row>
    <row r="169" spans="1:16" ht="15.6">
      <c r="A169" s="26" t="str">
        <v>IL: Harvard - 9618 US HWY 14 (PW)</v>
      </c>
      <c r="B169" s="27" t="str">
        <v>IL</v>
      </c>
      <c r="C169" s="26" t="str">
        <f>Sites[[#This Row],[SOL'#]]</f>
        <v>SOL-11110</v>
      </c>
      <c r="D169" s="66"/>
      <c r="E169" s="14"/>
      <c r="F169" s="14" t="str">
        <f t="shared" si="10"/>
        <v/>
      </c>
      <c r="G169" s="15" t="str">
        <f t="shared" si="11"/>
        <v/>
      </c>
      <c r="H169" s="69"/>
      <c r="I169" s="16" t="str">
        <f t="shared" si="8"/>
        <v/>
      </c>
      <c r="J169" s="15" t="str">
        <f t="shared" si="9"/>
        <v/>
      </c>
      <c r="K169" s="50"/>
      <c r="L169" s="183"/>
      <c r="M169" s="183"/>
    </row>
    <row r="170" spans="1:16" ht="15.6">
      <c r="A170" s="24" t="str">
        <v>IL: Beecher - 701 E Goodenow Rd (PW)</v>
      </c>
      <c r="B170" s="25" t="str">
        <v>IL</v>
      </c>
      <c r="C170" s="28" t="str">
        <f>Sites[[#This Row],[SOL'#]]</f>
        <v>SOL-11112</v>
      </c>
      <c r="D170" s="54"/>
      <c r="E170" s="10"/>
      <c r="F170" s="10" t="str">
        <f t="shared" si="10"/>
        <v/>
      </c>
      <c r="G170" s="11" t="str">
        <f t="shared" si="11"/>
        <v/>
      </c>
      <c r="H170" s="67"/>
      <c r="I170" s="12" t="str">
        <f t="shared" si="8"/>
        <v/>
      </c>
      <c r="J170" s="13" t="str">
        <f t="shared" si="9"/>
        <v/>
      </c>
      <c r="K170" s="56"/>
      <c r="L170" s="116"/>
      <c r="M170" s="56"/>
    </row>
    <row r="171" spans="1:16" ht="15.6">
      <c r="A171" s="26" t="str">
        <v>NY: Stormville - Green Haven - (IRA)</v>
      </c>
      <c r="B171" s="27" t="str">
        <v>NY</v>
      </c>
      <c r="C171" s="26" t="str">
        <f>Sites[[#This Row],[SOL'#]]</f>
        <v>SOL-11151</v>
      </c>
      <c r="D171" s="66"/>
      <c r="E171" s="14"/>
      <c r="F171" s="14" t="str">
        <f t="shared" si="10"/>
        <v/>
      </c>
      <c r="G171" s="15" t="str">
        <f t="shared" si="11"/>
        <v/>
      </c>
      <c r="H171" s="125"/>
      <c r="I171" s="16" t="str">
        <f t="shared" si="8"/>
        <v/>
      </c>
      <c r="J171" s="15" t="str">
        <f t="shared" si="9"/>
        <v/>
      </c>
      <c r="K171" s="50"/>
      <c r="L171" s="114"/>
      <c r="M171" s="183"/>
    </row>
    <row r="172" spans="1:16" ht="15.6">
      <c r="A172" s="24" t="str">
        <v>IL: Hillsboro - Anacott (PW)</v>
      </c>
      <c r="B172" s="25" t="str">
        <v>IL</v>
      </c>
      <c r="C172" s="28" t="str">
        <f>Sites[[#This Row],[SOL'#]]</f>
        <v>SOL-11134</v>
      </c>
      <c r="D172" s="54"/>
      <c r="E172" s="10"/>
      <c r="F172" s="10" t="str">
        <f t="shared" si="10"/>
        <v/>
      </c>
      <c r="G172" s="11" t="str">
        <f t="shared" si="11"/>
        <v/>
      </c>
      <c r="H172" s="67"/>
      <c r="I172" s="12" t="str">
        <f t="shared" si="8"/>
        <v/>
      </c>
      <c r="J172" s="13" t="str">
        <f t="shared" si="9"/>
        <v/>
      </c>
      <c r="K172" s="56"/>
      <c r="L172" s="116"/>
      <c r="M172" s="56"/>
    </row>
    <row r="173" spans="1:16" ht="15.6">
      <c r="A173" s="26" t="str">
        <v>IL: Manhattan - Gougar (PW)</v>
      </c>
      <c r="B173" s="27" t="str">
        <v>IL</v>
      </c>
      <c r="C173" s="26" t="str">
        <f>Sites[[#This Row],[SOL'#]]</f>
        <v>SOL-11148</v>
      </c>
      <c r="D173" s="66"/>
      <c r="E173" s="14"/>
      <c r="F173" s="14" t="str">
        <f t="shared" si="10"/>
        <v/>
      </c>
      <c r="G173" s="15" t="str">
        <f t="shared" si="11"/>
        <v/>
      </c>
      <c r="H173" s="69"/>
      <c r="I173" s="16" t="str">
        <f t="shared" si="8"/>
        <v/>
      </c>
      <c r="J173" s="15" t="str">
        <f t="shared" si="9"/>
        <v/>
      </c>
      <c r="K173" s="50"/>
      <c r="L173" s="121"/>
      <c r="M173" s="83"/>
    </row>
    <row r="174" spans="1:16">
      <c r="A174" t="str">
        <v>IL: Morrison - Sawyer (PW)</v>
      </c>
      <c r="B174" s="30" t="str">
        <v>IL</v>
      </c>
    </row>
    <row r="175" spans="1:16">
      <c r="A175" t="str">
        <v>IL: Kankakee - Jeffery (PW)</v>
      </c>
      <c r="B175" s="30" t="str">
        <v>IL</v>
      </c>
    </row>
    <row r="176" spans="1:16">
      <c r="A176" t="str">
        <v>IL: Freeport - 2240 South 18th Ave (PW)</v>
      </c>
      <c r="B176" s="30" t="str">
        <v>IL</v>
      </c>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73 J4:J173">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176"/>
  <sheetViews>
    <sheetView zoomScale="90" zoomScaleNormal="90" workbookViewId="0">
      <pane ySplit="3" topLeftCell="A151" activePane="bottomLeft" state="frozen"/>
      <selection pane="bottomLeft" activeCell="F174" sqref="F174:F176"/>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395</v>
      </c>
      <c r="B1" t="s">
        <v>396</v>
      </c>
    </row>
    <row r="3" spans="1:6" ht="13.15">
      <c r="A3" t="s">
        <v>397</v>
      </c>
      <c r="B3" t="s">
        <v>3</v>
      </c>
      <c r="C3" t="s">
        <v>4</v>
      </c>
      <c r="D3" t="s">
        <v>398</v>
      </c>
      <c r="E3" s="2" t="s">
        <v>399</v>
      </c>
      <c r="F3" t="s">
        <v>5</v>
      </c>
    </row>
    <row r="4" spans="1:6" ht="12.75" customHeight="1">
      <c r="A4" s="40" t="s">
        <v>400</v>
      </c>
      <c r="B4" s="3" t="s">
        <v>400</v>
      </c>
      <c r="C4" s="3" t="s">
        <v>401</v>
      </c>
      <c r="E4" t="s">
        <v>402</v>
      </c>
      <c r="F4" t="s">
        <v>403</v>
      </c>
    </row>
    <row r="5" spans="1:6" ht="12.75" customHeight="1">
      <c r="A5" s="40" t="s">
        <v>404</v>
      </c>
      <c r="B5" s="3" t="s">
        <v>404</v>
      </c>
      <c r="C5" s="3" t="s">
        <v>401</v>
      </c>
      <c r="E5" t="s">
        <v>402</v>
      </c>
      <c r="F5" t="s">
        <v>405</v>
      </c>
    </row>
    <row r="6" spans="1:6" ht="12.75" customHeight="1">
      <c r="A6" s="41" t="s">
        <v>406</v>
      </c>
      <c r="B6" t="s">
        <v>407</v>
      </c>
      <c r="C6" s="3" t="s">
        <v>401</v>
      </c>
      <c r="E6" t="s">
        <v>402</v>
      </c>
      <c r="F6" t="s">
        <v>408</v>
      </c>
    </row>
    <row r="7" spans="1:6" ht="12.75" customHeight="1">
      <c r="A7" s="40" t="s">
        <v>409</v>
      </c>
      <c r="B7" s="3" t="s">
        <v>409</v>
      </c>
      <c r="C7" s="3" t="s">
        <v>401</v>
      </c>
      <c r="E7" t="s">
        <v>402</v>
      </c>
      <c r="F7" t="s">
        <v>410</v>
      </c>
    </row>
    <row r="8" spans="1:6" ht="12.75" customHeight="1">
      <c r="A8" s="41" t="s">
        <v>411</v>
      </c>
      <c r="B8" t="s">
        <v>411</v>
      </c>
      <c r="C8" s="3" t="s">
        <v>401</v>
      </c>
      <c r="E8" t="s">
        <v>402</v>
      </c>
      <c r="F8" t="s">
        <v>412</v>
      </c>
    </row>
    <row r="9" spans="1:6" ht="12.75" customHeight="1">
      <c r="A9" s="40" t="s">
        <v>413</v>
      </c>
      <c r="B9" s="3" t="s">
        <v>413</v>
      </c>
      <c r="C9" s="3" t="s">
        <v>401</v>
      </c>
      <c r="E9" t="s">
        <v>402</v>
      </c>
      <c r="F9" t="s">
        <v>414</v>
      </c>
    </row>
    <row r="10" spans="1:6" ht="12.75" customHeight="1">
      <c r="A10" s="40" t="s">
        <v>415</v>
      </c>
      <c r="B10" s="3" t="s">
        <v>415</v>
      </c>
      <c r="C10" s="3" t="s">
        <v>401</v>
      </c>
      <c r="E10" t="s">
        <v>402</v>
      </c>
      <c r="F10" t="s">
        <v>416</v>
      </c>
    </row>
    <row r="11" spans="1:6" ht="12.75" customHeight="1">
      <c r="A11" s="40" t="s">
        <v>417</v>
      </c>
      <c r="B11" s="3" t="s">
        <v>417</v>
      </c>
      <c r="C11" s="3" t="s">
        <v>401</v>
      </c>
      <c r="E11" t="s">
        <v>402</v>
      </c>
      <c r="F11" t="s">
        <v>418</v>
      </c>
    </row>
    <row r="12" spans="1:6" ht="12.75" customHeight="1">
      <c r="A12" s="40" t="s">
        <v>419</v>
      </c>
      <c r="B12" s="3" t="s">
        <v>419</v>
      </c>
      <c r="C12" s="3" t="s">
        <v>401</v>
      </c>
      <c r="E12" t="s">
        <v>402</v>
      </c>
      <c r="F12" t="s">
        <v>420</v>
      </c>
    </row>
    <row r="13" spans="1:6" ht="12.75" customHeight="1">
      <c r="A13" s="40" t="s">
        <v>421</v>
      </c>
      <c r="B13" s="3" t="s">
        <v>421</v>
      </c>
      <c r="C13" s="3" t="s">
        <v>401</v>
      </c>
      <c r="E13" t="s">
        <v>402</v>
      </c>
      <c r="F13" t="s">
        <v>422</v>
      </c>
    </row>
    <row r="14" spans="1:6" ht="12.75" customHeight="1">
      <c r="A14" s="40" t="s">
        <v>423</v>
      </c>
      <c r="B14" s="3" t="s">
        <v>423</v>
      </c>
      <c r="C14" s="3" t="s">
        <v>401</v>
      </c>
      <c r="E14" t="s">
        <v>402</v>
      </c>
      <c r="F14" t="s">
        <v>424</v>
      </c>
    </row>
    <row r="15" spans="1:6" ht="12.75" customHeight="1">
      <c r="A15" s="41" t="s">
        <v>425</v>
      </c>
      <c r="B15" t="s">
        <v>425</v>
      </c>
      <c r="C15" s="3" t="s">
        <v>401</v>
      </c>
      <c r="E15" t="s">
        <v>402</v>
      </c>
      <c r="F15" t="s">
        <v>426</v>
      </c>
    </row>
    <row r="16" spans="1:6" ht="12.75" customHeight="1">
      <c r="A16" s="41" t="s">
        <v>427</v>
      </c>
      <c r="B16" t="s">
        <v>427</v>
      </c>
      <c r="C16" s="3" t="s">
        <v>401</v>
      </c>
      <c r="E16" t="s">
        <v>402</v>
      </c>
      <c r="F16" t="s">
        <v>428</v>
      </c>
    </row>
    <row r="17" spans="1:6" ht="12.75" customHeight="1">
      <c r="A17" s="40" t="s">
        <v>429</v>
      </c>
      <c r="B17" s="3" t="s">
        <v>429</v>
      </c>
      <c r="C17" s="3" t="s">
        <v>401</v>
      </c>
      <c r="E17" t="s">
        <v>402</v>
      </c>
      <c r="F17" t="s">
        <v>430</v>
      </c>
    </row>
    <row r="18" spans="1:6" ht="12.75" customHeight="1">
      <c r="A18" s="40" t="s">
        <v>431</v>
      </c>
      <c r="B18" s="3" t="s">
        <v>431</v>
      </c>
      <c r="C18" s="3" t="s">
        <v>401</v>
      </c>
      <c r="E18" t="s">
        <v>402</v>
      </c>
      <c r="F18" t="s">
        <v>432</v>
      </c>
    </row>
    <row r="19" spans="1:6" ht="12.75" customHeight="1">
      <c r="A19" s="40" t="s">
        <v>433</v>
      </c>
      <c r="B19" s="3" t="s">
        <v>433</v>
      </c>
      <c r="C19" s="3" t="s">
        <v>401</v>
      </c>
      <c r="E19" t="s">
        <v>402</v>
      </c>
      <c r="F19" t="s">
        <v>434</v>
      </c>
    </row>
    <row r="20" spans="1:6" ht="12.75" customHeight="1">
      <c r="A20" s="41" t="s">
        <v>435</v>
      </c>
      <c r="B20" t="s">
        <v>435</v>
      </c>
      <c r="C20" s="3" t="s">
        <v>401</v>
      </c>
      <c r="E20" t="s">
        <v>402</v>
      </c>
      <c r="F20" t="s">
        <v>436</v>
      </c>
    </row>
    <row r="21" spans="1:6" ht="12.75" customHeight="1">
      <c r="A21" s="40" t="s">
        <v>437</v>
      </c>
      <c r="B21" s="3" t="s">
        <v>437</v>
      </c>
      <c r="C21" s="3" t="s">
        <v>401</v>
      </c>
      <c r="E21" t="s">
        <v>402</v>
      </c>
      <c r="F21" t="s">
        <v>438</v>
      </c>
    </row>
    <row r="22" spans="1:6" ht="12.75" customHeight="1">
      <c r="A22" s="40" t="s">
        <v>439</v>
      </c>
      <c r="B22" s="3" t="s">
        <v>439</v>
      </c>
      <c r="C22" s="3" t="s">
        <v>401</v>
      </c>
      <c r="E22" t="s">
        <v>402</v>
      </c>
      <c r="F22" t="s">
        <v>440</v>
      </c>
    </row>
    <row r="23" spans="1:6" ht="12.75" customHeight="1">
      <c r="A23" s="40" t="s">
        <v>441</v>
      </c>
      <c r="B23" s="3" t="s">
        <v>441</v>
      </c>
      <c r="C23" s="3" t="s">
        <v>401</v>
      </c>
      <c r="E23" t="s">
        <v>402</v>
      </c>
      <c r="F23" t="s">
        <v>442</v>
      </c>
    </row>
    <row r="24" spans="1:6" ht="12.75" customHeight="1">
      <c r="A24" s="41" t="s">
        <v>443</v>
      </c>
      <c r="B24" t="s">
        <v>443</v>
      </c>
      <c r="C24" s="3" t="s">
        <v>401</v>
      </c>
      <c r="E24" t="s">
        <v>402</v>
      </c>
      <c r="F24" t="s">
        <v>444</v>
      </c>
    </row>
    <row r="25" spans="1:6" ht="12.75" customHeight="1">
      <c r="A25" s="41" t="s">
        <v>445</v>
      </c>
      <c r="B25" t="s">
        <v>445</v>
      </c>
      <c r="C25" s="3" t="s">
        <v>401</v>
      </c>
      <c r="E25" t="s">
        <v>402</v>
      </c>
      <c r="F25" t="s">
        <v>446</v>
      </c>
    </row>
    <row r="26" spans="1:6" ht="12.75" customHeight="1">
      <c r="A26" s="40" t="s">
        <v>447</v>
      </c>
      <c r="B26" s="3" t="s">
        <v>447</v>
      </c>
      <c r="C26" s="3" t="s">
        <v>401</v>
      </c>
      <c r="E26" t="s">
        <v>402</v>
      </c>
      <c r="F26" t="s">
        <v>448</v>
      </c>
    </row>
    <row r="27" spans="1:6" ht="12.75" customHeight="1">
      <c r="A27" s="40" t="s">
        <v>449</v>
      </c>
      <c r="B27" s="3" t="s">
        <v>450</v>
      </c>
      <c r="C27" s="3" t="s">
        <v>401</v>
      </c>
      <c r="E27" t="s">
        <v>402</v>
      </c>
      <c r="F27" t="s">
        <v>451</v>
      </c>
    </row>
    <row r="28" spans="1:6" ht="12.75" customHeight="1">
      <c r="A28" s="41" t="s">
        <v>452</v>
      </c>
      <c r="B28" t="s">
        <v>452</v>
      </c>
      <c r="C28" s="3" t="s">
        <v>401</v>
      </c>
      <c r="E28" t="s">
        <v>402</v>
      </c>
      <c r="F28" t="s">
        <v>453</v>
      </c>
    </row>
    <row r="29" spans="1:6" ht="12.75" customHeight="1">
      <c r="A29" s="40" t="s">
        <v>454</v>
      </c>
      <c r="B29" s="3" t="s">
        <v>454</v>
      </c>
      <c r="C29" s="3" t="s">
        <v>401</v>
      </c>
      <c r="E29" t="s">
        <v>402</v>
      </c>
      <c r="F29" t="s">
        <v>455</v>
      </c>
    </row>
    <row r="30" spans="1:6" ht="12.75" customHeight="1">
      <c r="A30" s="40" t="s">
        <v>456</v>
      </c>
      <c r="B30" s="3" t="s">
        <v>456</v>
      </c>
      <c r="C30" s="3" t="s">
        <v>401</v>
      </c>
      <c r="E30" t="s">
        <v>402</v>
      </c>
      <c r="F30" t="s">
        <v>457</v>
      </c>
    </row>
    <row r="31" spans="1:6" ht="12.75" customHeight="1">
      <c r="A31" s="40" t="s">
        <v>458</v>
      </c>
      <c r="B31" s="3" t="s">
        <v>458</v>
      </c>
      <c r="C31" s="3" t="s">
        <v>401</v>
      </c>
      <c r="E31" t="s">
        <v>402</v>
      </c>
      <c r="F31" t="s">
        <v>459</v>
      </c>
    </row>
    <row r="32" spans="1:6" ht="12.75" customHeight="1">
      <c r="A32" s="40" t="s">
        <v>460</v>
      </c>
      <c r="B32" s="3" t="s">
        <v>460</v>
      </c>
      <c r="C32" s="3" t="s">
        <v>401</v>
      </c>
      <c r="E32" t="s">
        <v>402</v>
      </c>
      <c r="F32" t="s">
        <v>461</v>
      </c>
    </row>
    <row r="33" spans="1:6" ht="12.75" customHeight="1">
      <c r="A33" s="40" t="s">
        <v>462</v>
      </c>
      <c r="B33" s="3" t="s">
        <v>462</v>
      </c>
      <c r="C33" s="3" t="s">
        <v>401</v>
      </c>
      <c r="E33" t="s">
        <v>402</v>
      </c>
      <c r="F33" t="s">
        <v>463</v>
      </c>
    </row>
    <row r="34" spans="1:6" ht="12.75" customHeight="1">
      <c r="A34" s="40" t="s">
        <v>464</v>
      </c>
      <c r="B34" s="3" t="s">
        <v>464</v>
      </c>
      <c r="C34" s="3" t="s">
        <v>401</v>
      </c>
      <c r="E34" t="s">
        <v>402</v>
      </c>
      <c r="F34" t="s">
        <v>465</v>
      </c>
    </row>
    <row r="35" spans="1:6" ht="12.75" customHeight="1">
      <c r="A35" s="40" t="s">
        <v>466</v>
      </c>
      <c r="B35" s="3" t="s">
        <v>466</v>
      </c>
      <c r="C35" s="3" t="s">
        <v>401</v>
      </c>
      <c r="E35" t="s">
        <v>402</v>
      </c>
      <c r="F35" t="s">
        <v>467</v>
      </c>
    </row>
    <row r="36" spans="1:6" ht="12.75" customHeight="1">
      <c r="A36" s="40" t="s">
        <v>468</v>
      </c>
      <c r="B36" s="3" t="s">
        <v>468</v>
      </c>
      <c r="C36" s="3" t="s">
        <v>401</v>
      </c>
      <c r="E36" t="s">
        <v>402</v>
      </c>
      <c r="F36" t="s">
        <v>469</v>
      </c>
    </row>
    <row r="37" spans="1:6" ht="12.75" customHeight="1">
      <c r="A37" s="40" t="s">
        <v>470</v>
      </c>
      <c r="B37" s="3" t="s">
        <v>470</v>
      </c>
      <c r="C37" s="3" t="s">
        <v>401</v>
      </c>
      <c r="E37" t="s">
        <v>402</v>
      </c>
      <c r="F37" t="s">
        <v>471</v>
      </c>
    </row>
    <row r="38" spans="1:6" ht="12.75" customHeight="1">
      <c r="A38" s="40" t="s">
        <v>472</v>
      </c>
      <c r="B38" s="3" t="s">
        <v>472</v>
      </c>
      <c r="C38" s="3" t="s">
        <v>401</v>
      </c>
      <c r="E38" t="s">
        <v>402</v>
      </c>
      <c r="F38" t="s">
        <v>473</v>
      </c>
    </row>
    <row r="39" spans="1:6" ht="12.75" customHeight="1">
      <c r="A39" s="40" t="s">
        <v>474</v>
      </c>
      <c r="B39" s="3" t="s">
        <v>474</v>
      </c>
      <c r="C39" s="3" t="s">
        <v>401</v>
      </c>
      <c r="E39" t="s">
        <v>402</v>
      </c>
      <c r="F39" t="s">
        <v>475</v>
      </c>
    </row>
    <row r="40" spans="1:6" ht="12.75" customHeight="1">
      <c r="A40" s="40" t="s">
        <v>476</v>
      </c>
      <c r="B40" s="3" t="s">
        <v>476</v>
      </c>
      <c r="C40" s="3" t="s">
        <v>401</v>
      </c>
      <c r="E40" t="s">
        <v>402</v>
      </c>
      <c r="F40" t="s">
        <v>477</v>
      </c>
    </row>
    <row r="41" spans="1:6" ht="12.75" customHeight="1">
      <c r="A41" s="41" t="s">
        <v>478</v>
      </c>
      <c r="B41" t="s">
        <v>478</v>
      </c>
      <c r="C41" s="3" t="s">
        <v>401</v>
      </c>
      <c r="E41" t="s">
        <v>402</v>
      </c>
      <c r="F41" t="s">
        <v>479</v>
      </c>
    </row>
    <row r="42" spans="1:6" ht="12.75" customHeight="1">
      <c r="A42" s="41" t="s">
        <v>480</v>
      </c>
      <c r="B42" t="s">
        <v>480</v>
      </c>
      <c r="C42" s="3" t="s">
        <v>401</v>
      </c>
      <c r="E42" t="s">
        <v>402</v>
      </c>
      <c r="F42" t="s">
        <v>481</v>
      </c>
    </row>
    <row r="43" spans="1:6" ht="12.75" customHeight="1">
      <c r="A43" s="40" t="s">
        <v>482</v>
      </c>
      <c r="B43" s="3" t="s">
        <v>482</v>
      </c>
      <c r="C43" s="3" t="s">
        <v>401</v>
      </c>
      <c r="E43" t="s">
        <v>402</v>
      </c>
      <c r="F43" t="s">
        <v>483</v>
      </c>
    </row>
    <row r="44" spans="1:6" ht="12.75" customHeight="1">
      <c r="A44" s="40" t="s">
        <v>484</v>
      </c>
      <c r="B44" s="3" t="s">
        <v>484</v>
      </c>
      <c r="C44" s="3" t="s">
        <v>401</v>
      </c>
      <c r="E44" t="s">
        <v>402</v>
      </c>
      <c r="F44" t="s">
        <v>485</v>
      </c>
    </row>
    <row r="45" spans="1:6" ht="12.75" customHeight="1">
      <c r="A45" s="41" t="s">
        <v>486</v>
      </c>
      <c r="B45" t="s">
        <v>487</v>
      </c>
      <c r="C45" s="3" t="s">
        <v>401</v>
      </c>
      <c r="E45" t="s">
        <v>402</v>
      </c>
      <c r="F45" t="s">
        <v>488</v>
      </c>
    </row>
    <row r="46" spans="1:6" ht="12.75" customHeight="1">
      <c r="A46" s="41" t="s">
        <v>489</v>
      </c>
      <c r="B46" t="s">
        <v>489</v>
      </c>
      <c r="C46" s="3" t="s">
        <v>401</v>
      </c>
      <c r="E46" t="s">
        <v>402</v>
      </c>
      <c r="F46" t="s">
        <v>490</v>
      </c>
    </row>
    <row r="47" spans="1:6" ht="12.75" customHeight="1">
      <c r="A47" s="40">
        <v>38</v>
      </c>
      <c r="B47" s="3" t="s">
        <v>491</v>
      </c>
      <c r="C47" s="3" t="s">
        <v>401</v>
      </c>
      <c r="E47" t="s">
        <v>402</v>
      </c>
      <c r="F47" t="s">
        <v>492</v>
      </c>
    </row>
    <row r="48" spans="1:6" ht="12.75" customHeight="1">
      <c r="A48" s="41">
        <v>144</v>
      </c>
      <c r="B48" t="s">
        <v>493</v>
      </c>
      <c r="C48" s="3" t="s">
        <v>401</v>
      </c>
      <c r="E48" t="s">
        <v>402</v>
      </c>
      <c r="F48" t="s">
        <v>494</v>
      </c>
    </row>
    <row r="49" spans="1:6" ht="12.75" customHeight="1">
      <c r="A49" s="40">
        <v>279</v>
      </c>
      <c r="B49" s="3" t="s">
        <v>495</v>
      </c>
      <c r="C49" s="3" t="s">
        <v>401</v>
      </c>
      <c r="E49" t="s">
        <v>402</v>
      </c>
      <c r="F49" t="s">
        <v>496</v>
      </c>
    </row>
    <row r="50" spans="1:6" ht="12.75" customHeight="1">
      <c r="A50" s="40">
        <v>293</v>
      </c>
      <c r="B50" s="3" t="s">
        <v>497</v>
      </c>
      <c r="C50" s="3" t="s">
        <v>401</v>
      </c>
      <c r="E50" t="s">
        <v>402</v>
      </c>
      <c r="F50" t="s">
        <v>498</v>
      </c>
    </row>
    <row r="51" spans="1:6" ht="12.75" customHeight="1">
      <c r="A51" s="41">
        <v>308</v>
      </c>
      <c r="B51" t="s">
        <v>499</v>
      </c>
      <c r="C51" s="3" t="s">
        <v>401</v>
      </c>
      <c r="E51" t="s">
        <v>402</v>
      </c>
      <c r="F51" t="s">
        <v>500</v>
      </c>
    </row>
    <row r="52" spans="1:6" ht="12.75" customHeight="1">
      <c r="A52" s="41">
        <v>309</v>
      </c>
      <c r="B52" t="s">
        <v>501</v>
      </c>
      <c r="C52" s="3" t="s">
        <v>401</v>
      </c>
      <c r="E52" t="s">
        <v>402</v>
      </c>
      <c r="F52" t="s">
        <v>502</v>
      </c>
    </row>
    <row r="53" spans="1:6" ht="12.75" customHeight="1">
      <c r="A53" s="41" t="s">
        <v>503</v>
      </c>
      <c r="B53" t="s">
        <v>504</v>
      </c>
      <c r="C53" s="3" t="s">
        <v>401</v>
      </c>
      <c r="E53" t="s">
        <v>402</v>
      </c>
      <c r="F53" t="s">
        <v>505</v>
      </c>
    </row>
    <row r="54" spans="1:6" ht="12.75" customHeight="1">
      <c r="A54" s="40" t="s">
        <v>506</v>
      </c>
      <c r="B54" s="3" t="s">
        <v>506</v>
      </c>
      <c r="C54" s="3" t="s">
        <v>401</v>
      </c>
      <c r="E54" t="s">
        <v>402</v>
      </c>
      <c r="F54" t="s">
        <v>507</v>
      </c>
    </row>
    <row r="55" spans="1:6" ht="12.75" customHeight="1">
      <c r="A55" s="40">
        <v>358</v>
      </c>
      <c r="B55" s="3" t="s">
        <v>508</v>
      </c>
      <c r="C55" s="3" t="s">
        <v>401</v>
      </c>
      <c r="E55" t="s">
        <v>402</v>
      </c>
      <c r="F55" t="s">
        <v>509</v>
      </c>
    </row>
    <row r="56" spans="1:6" ht="12.75" customHeight="1">
      <c r="A56" s="40" t="s">
        <v>510</v>
      </c>
      <c r="B56" s="3" t="s">
        <v>511</v>
      </c>
      <c r="C56" s="3" t="s">
        <v>512</v>
      </c>
      <c r="E56" t="s">
        <v>402</v>
      </c>
      <c r="F56" t="s">
        <v>513</v>
      </c>
    </row>
    <row r="57" spans="1:6" ht="12.75" customHeight="1">
      <c r="A57" s="40" t="s">
        <v>514</v>
      </c>
      <c r="B57" s="3" t="s">
        <v>515</v>
      </c>
      <c r="C57" s="3" t="s">
        <v>512</v>
      </c>
      <c r="E57" t="s">
        <v>402</v>
      </c>
      <c r="F57" t="s">
        <v>516</v>
      </c>
    </row>
    <row r="58" spans="1:6" ht="12.75" customHeight="1">
      <c r="A58" s="40" t="s">
        <v>517</v>
      </c>
      <c r="B58" s="40" t="s">
        <v>517</v>
      </c>
      <c r="C58" s="3" t="s">
        <v>401</v>
      </c>
      <c r="D58" t="s">
        <v>518</v>
      </c>
      <c r="E58" t="s">
        <v>519</v>
      </c>
      <c r="F58" t="s">
        <v>520</v>
      </c>
    </row>
    <row r="59" spans="1:6" ht="12.75" customHeight="1">
      <c r="A59" s="40" t="s">
        <v>521</v>
      </c>
      <c r="B59" s="3" t="s">
        <v>521</v>
      </c>
      <c r="C59" s="3" t="s">
        <v>401</v>
      </c>
      <c r="D59" t="s">
        <v>518</v>
      </c>
      <c r="E59" s="42" t="s">
        <v>519</v>
      </c>
      <c r="F59" t="s">
        <v>522</v>
      </c>
    </row>
    <row r="60" spans="1:6" ht="12.75" customHeight="1">
      <c r="A60" s="40" t="s">
        <v>523</v>
      </c>
      <c r="B60" s="3" t="s">
        <v>524</v>
      </c>
      <c r="C60" s="3" t="s">
        <v>401</v>
      </c>
      <c r="D60" t="s">
        <v>518</v>
      </c>
      <c r="E60" s="42" t="s">
        <v>519</v>
      </c>
      <c r="F60" t="s">
        <v>525</v>
      </c>
    </row>
    <row r="61" spans="1:6" ht="12.75" customHeight="1">
      <c r="A61" s="40" t="s">
        <v>526</v>
      </c>
      <c r="B61" s="3" t="s">
        <v>527</v>
      </c>
      <c r="C61" s="3" t="s">
        <v>401</v>
      </c>
      <c r="D61" t="s">
        <v>518</v>
      </c>
      <c r="E61" s="42" t="s">
        <v>519</v>
      </c>
      <c r="F61" t="s">
        <v>528</v>
      </c>
    </row>
    <row r="62" spans="1:6" ht="12.75" customHeight="1">
      <c r="A62" s="40" t="s">
        <v>529</v>
      </c>
      <c r="B62" s="3" t="s">
        <v>529</v>
      </c>
      <c r="C62" s="3" t="s">
        <v>401</v>
      </c>
      <c r="D62" t="s">
        <v>518</v>
      </c>
      <c r="E62" t="s">
        <v>519</v>
      </c>
      <c r="F62" t="s">
        <v>530</v>
      </c>
    </row>
    <row r="63" spans="1:6" ht="12.75" customHeight="1">
      <c r="A63" s="40" t="s">
        <v>531</v>
      </c>
      <c r="B63" s="40" t="s">
        <v>531</v>
      </c>
      <c r="C63" s="3" t="s">
        <v>401</v>
      </c>
      <c r="D63" t="s">
        <v>518</v>
      </c>
      <c r="E63" t="s">
        <v>519</v>
      </c>
      <c r="F63" t="s">
        <v>532</v>
      </c>
    </row>
    <row r="64" spans="1:6" ht="12.75" customHeight="1">
      <c r="A64" s="40" t="s">
        <v>533</v>
      </c>
      <c r="B64" s="40" t="s">
        <v>533</v>
      </c>
      <c r="C64" s="3" t="s">
        <v>401</v>
      </c>
      <c r="D64" t="s">
        <v>518</v>
      </c>
      <c r="E64" t="s">
        <v>519</v>
      </c>
      <c r="F64" t="s">
        <v>534</v>
      </c>
    </row>
    <row r="65" spans="1:6" ht="12.75" customHeight="1">
      <c r="A65" s="40" t="s">
        <v>535</v>
      </c>
      <c r="B65" s="40" t="s">
        <v>535</v>
      </c>
      <c r="C65" s="3" t="s">
        <v>401</v>
      </c>
      <c r="D65" t="s">
        <v>518</v>
      </c>
      <c r="E65" t="s">
        <v>519</v>
      </c>
      <c r="F65" t="s">
        <v>536</v>
      </c>
    </row>
    <row r="66" spans="1:6" ht="12.75" customHeight="1">
      <c r="A66" s="40" t="s">
        <v>537</v>
      </c>
      <c r="B66" s="40" t="s">
        <v>537</v>
      </c>
      <c r="C66" s="3" t="s">
        <v>401</v>
      </c>
      <c r="D66" t="s">
        <v>518</v>
      </c>
      <c r="E66" t="s">
        <v>519</v>
      </c>
      <c r="F66" t="s">
        <v>538</v>
      </c>
    </row>
    <row r="67" spans="1:6" ht="12.75" customHeight="1">
      <c r="A67" s="40" t="s">
        <v>539</v>
      </c>
      <c r="B67" s="40" t="s">
        <v>539</v>
      </c>
      <c r="C67" s="3" t="s">
        <v>401</v>
      </c>
      <c r="D67" t="s">
        <v>518</v>
      </c>
      <c r="E67" t="s">
        <v>519</v>
      </c>
      <c r="F67" t="s">
        <v>540</v>
      </c>
    </row>
    <row r="68" spans="1:6" ht="12.75" customHeight="1">
      <c r="A68" s="40" t="s">
        <v>541</v>
      </c>
      <c r="B68" s="40" t="s">
        <v>541</v>
      </c>
      <c r="C68" s="3" t="s">
        <v>401</v>
      </c>
      <c r="D68" t="s">
        <v>518</v>
      </c>
      <c r="E68" t="s">
        <v>519</v>
      </c>
      <c r="F68" t="s">
        <v>542</v>
      </c>
    </row>
    <row r="69" spans="1:6" ht="12.75" customHeight="1">
      <c r="A69" s="40" t="s">
        <v>543</v>
      </c>
      <c r="B69" s="3" t="s">
        <v>543</v>
      </c>
      <c r="C69" s="3" t="s">
        <v>401</v>
      </c>
      <c r="D69" t="s">
        <v>544</v>
      </c>
      <c r="E69" t="s">
        <v>519</v>
      </c>
      <c r="F69" t="s">
        <v>545</v>
      </c>
    </row>
    <row r="70" spans="1:6" ht="12.75" customHeight="1">
      <c r="A70" s="40" t="s">
        <v>546</v>
      </c>
      <c r="B70" s="3" t="s">
        <v>546</v>
      </c>
      <c r="C70" s="3" t="s">
        <v>401</v>
      </c>
      <c r="D70" t="s">
        <v>518</v>
      </c>
      <c r="E70" t="s">
        <v>519</v>
      </c>
      <c r="F70" t="s">
        <v>547</v>
      </c>
    </row>
    <row r="71" spans="1:6" ht="12.75" customHeight="1">
      <c r="A71" s="40" t="s">
        <v>548</v>
      </c>
      <c r="B71" s="3" t="s">
        <v>548</v>
      </c>
      <c r="C71" s="3" t="s">
        <v>401</v>
      </c>
      <c r="D71" t="s">
        <v>518</v>
      </c>
      <c r="E71" t="s">
        <v>519</v>
      </c>
      <c r="F71" t="s">
        <v>549</v>
      </c>
    </row>
    <row r="72" spans="1:6" ht="12.75" customHeight="1">
      <c r="A72" s="40" t="s">
        <v>550</v>
      </c>
      <c r="B72" s="3" t="s">
        <v>550</v>
      </c>
      <c r="C72" s="3" t="s">
        <v>401</v>
      </c>
      <c r="D72" t="s">
        <v>518</v>
      </c>
      <c r="E72" t="s">
        <v>519</v>
      </c>
      <c r="F72" t="s">
        <v>551</v>
      </c>
    </row>
    <row r="73" spans="1:6" ht="12.75" customHeight="1">
      <c r="A73" s="40" t="s">
        <v>552</v>
      </c>
      <c r="B73" s="3" t="s">
        <v>552</v>
      </c>
      <c r="C73" s="3" t="s">
        <v>401</v>
      </c>
      <c r="D73" t="s">
        <v>518</v>
      </c>
      <c r="E73" t="s">
        <v>519</v>
      </c>
      <c r="F73" t="s">
        <v>553</v>
      </c>
    </row>
    <row r="74" spans="1:6" ht="12.75" customHeight="1">
      <c r="A74" s="40" t="s">
        <v>554</v>
      </c>
      <c r="B74" s="3" t="s">
        <v>555</v>
      </c>
      <c r="C74" s="3" t="s">
        <v>401</v>
      </c>
      <c r="E74" t="s">
        <v>402</v>
      </c>
      <c r="F74" t="s">
        <v>556</v>
      </c>
    </row>
    <row r="75" spans="1:6" ht="12.75" customHeight="1">
      <c r="A75" s="40" t="s">
        <v>557</v>
      </c>
      <c r="B75" s="3" t="s">
        <v>557</v>
      </c>
      <c r="C75" s="3" t="s">
        <v>401</v>
      </c>
      <c r="D75" t="s">
        <v>518</v>
      </c>
      <c r="E75" t="s">
        <v>519</v>
      </c>
      <c r="F75" t="s">
        <v>558</v>
      </c>
    </row>
    <row r="76" spans="1:6" ht="12.75" customHeight="1">
      <c r="A76" s="40" t="s">
        <v>559</v>
      </c>
      <c r="B76" s="3" t="s">
        <v>559</v>
      </c>
      <c r="C76" s="3" t="s">
        <v>401</v>
      </c>
      <c r="D76" t="s">
        <v>544</v>
      </c>
      <c r="E76" t="s">
        <v>519</v>
      </c>
      <c r="F76" t="s">
        <v>560</v>
      </c>
    </row>
    <row r="77" spans="1:6" ht="12.75" customHeight="1">
      <c r="A77" s="40" t="s">
        <v>561</v>
      </c>
      <c r="B77" s="3" t="s">
        <v>561</v>
      </c>
      <c r="C77" s="3" t="s">
        <v>401</v>
      </c>
      <c r="D77" t="s">
        <v>518</v>
      </c>
      <c r="E77" t="s">
        <v>519</v>
      </c>
      <c r="F77" t="s">
        <v>562</v>
      </c>
    </row>
    <row r="78" spans="1:6" ht="12.75" customHeight="1">
      <c r="A78" s="40" t="s">
        <v>563</v>
      </c>
      <c r="B78" s="3" t="s">
        <v>563</v>
      </c>
      <c r="C78" s="3" t="s">
        <v>401</v>
      </c>
      <c r="D78" t="s">
        <v>518</v>
      </c>
      <c r="E78" t="s">
        <v>519</v>
      </c>
      <c r="F78" t="s">
        <v>564</v>
      </c>
    </row>
    <row r="79" spans="1:6" ht="12.75" customHeight="1">
      <c r="A79" s="3" t="s">
        <v>565</v>
      </c>
      <c r="B79" s="3" t="s">
        <v>565</v>
      </c>
      <c r="C79" s="3" t="s">
        <v>401</v>
      </c>
      <c r="E79" t="s">
        <v>519</v>
      </c>
      <c r="F79" t="s">
        <v>566</v>
      </c>
    </row>
    <row r="80" spans="1:6" ht="12.75" customHeight="1">
      <c r="A80" s="3" t="s">
        <v>567</v>
      </c>
      <c r="B80" s="3" t="s">
        <v>567</v>
      </c>
      <c r="C80" s="3" t="s">
        <v>401</v>
      </c>
      <c r="D80" t="s">
        <v>518</v>
      </c>
      <c r="E80" t="s">
        <v>519</v>
      </c>
      <c r="F80" t="s">
        <v>568</v>
      </c>
    </row>
    <row r="81" spans="1:6" ht="12.75" customHeight="1">
      <c r="A81" s="3" t="s">
        <v>569</v>
      </c>
      <c r="B81" s="3" t="s">
        <v>569</v>
      </c>
      <c r="C81" s="3" t="s">
        <v>401</v>
      </c>
      <c r="D81" t="s">
        <v>518</v>
      </c>
      <c r="E81" t="s">
        <v>519</v>
      </c>
      <c r="F81" t="s">
        <v>570</v>
      </c>
    </row>
    <row r="82" spans="1:6" ht="12.75" customHeight="1">
      <c r="A82" s="3" t="s">
        <v>571</v>
      </c>
      <c r="B82" s="3" t="s">
        <v>571</v>
      </c>
      <c r="C82" s="3" t="s">
        <v>401</v>
      </c>
      <c r="D82" t="s">
        <v>518</v>
      </c>
      <c r="E82" t="s">
        <v>519</v>
      </c>
      <c r="F82" t="s">
        <v>572</v>
      </c>
    </row>
    <row r="83" spans="1:6" ht="12.75" customHeight="1">
      <c r="A83" s="3" t="s">
        <v>573</v>
      </c>
      <c r="B83" s="3" t="s">
        <v>573</v>
      </c>
      <c r="C83" s="3" t="s">
        <v>401</v>
      </c>
      <c r="D83" t="s">
        <v>518</v>
      </c>
      <c r="E83" t="s">
        <v>519</v>
      </c>
      <c r="F83" t="s">
        <v>574</v>
      </c>
    </row>
    <row r="84" spans="1:6" ht="12.75" customHeight="1">
      <c r="A84" s="3" t="s">
        <v>575</v>
      </c>
      <c r="B84" s="3" t="s">
        <v>575</v>
      </c>
      <c r="C84" s="3" t="s">
        <v>401</v>
      </c>
      <c r="D84" t="s">
        <v>518</v>
      </c>
      <c r="E84" t="s">
        <v>519</v>
      </c>
      <c r="F84" t="s">
        <v>576</v>
      </c>
    </row>
    <row r="85" spans="1:6" ht="12.75" customHeight="1">
      <c r="A85" s="3" t="s">
        <v>577</v>
      </c>
      <c r="B85" s="3" t="s">
        <v>577</v>
      </c>
      <c r="C85" s="3" t="s">
        <v>401</v>
      </c>
      <c r="D85" t="s">
        <v>518</v>
      </c>
      <c r="E85" t="s">
        <v>519</v>
      </c>
      <c r="F85" t="s">
        <v>578</v>
      </c>
    </row>
    <row r="86" spans="1:6" ht="12.75" customHeight="1">
      <c r="A86" s="3" t="s">
        <v>579</v>
      </c>
      <c r="B86" s="3" t="s">
        <v>580</v>
      </c>
      <c r="C86" s="3" t="s">
        <v>401</v>
      </c>
      <c r="D86" t="s">
        <v>518</v>
      </c>
      <c r="E86" t="s">
        <v>519</v>
      </c>
      <c r="F86" t="s">
        <v>581</v>
      </c>
    </row>
    <row r="87" spans="1:6" ht="12.75" customHeight="1">
      <c r="A87" s="3" t="s">
        <v>582</v>
      </c>
      <c r="B87" s="3" t="s">
        <v>583</v>
      </c>
      <c r="C87" s="3" t="s">
        <v>401</v>
      </c>
      <c r="D87" t="s">
        <v>518</v>
      </c>
      <c r="E87" t="s">
        <v>519</v>
      </c>
      <c r="F87" t="s">
        <v>584</v>
      </c>
    </row>
    <row r="88" spans="1:6" ht="12.75" customHeight="1">
      <c r="A88" s="3" t="s">
        <v>585</v>
      </c>
      <c r="B88" s="3" t="s">
        <v>585</v>
      </c>
      <c r="C88" s="3" t="s">
        <v>401</v>
      </c>
      <c r="D88" t="s">
        <v>518</v>
      </c>
      <c r="E88" t="s">
        <v>519</v>
      </c>
      <c r="F88" t="s">
        <v>586</v>
      </c>
    </row>
    <row r="89" spans="1:6" ht="12.75" customHeight="1">
      <c r="A89" s="3" t="s">
        <v>587</v>
      </c>
      <c r="B89" s="3" t="s">
        <v>587</v>
      </c>
      <c r="C89" s="3" t="s">
        <v>401</v>
      </c>
      <c r="D89" t="s">
        <v>518</v>
      </c>
      <c r="E89" t="s">
        <v>519</v>
      </c>
      <c r="F89" t="s">
        <v>588</v>
      </c>
    </row>
    <row r="90" spans="1:6" ht="12.75" customHeight="1">
      <c r="A90" s="3" t="s">
        <v>589</v>
      </c>
      <c r="B90" s="3" t="s">
        <v>589</v>
      </c>
      <c r="C90" s="3" t="s">
        <v>401</v>
      </c>
      <c r="D90" t="s">
        <v>518</v>
      </c>
      <c r="E90" t="s">
        <v>519</v>
      </c>
      <c r="F90" t="s">
        <v>590</v>
      </c>
    </row>
    <row r="91" spans="1:6" ht="12.75" customHeight="1">
      <c r="A91" s="40" t="s">
        <v>591</v>
      </c>
      <c r="B91" s="3" t="s">
        <v>591</v>
      </c>
      <c r="C91" s="3" t="s">
        <v>401</v>
      </c>
      <c r="D91" t="s">
        <v>518</v>
      </c>
      <c r="E91" t="s">
        <v>519</v>
      </c>
      <c r="F91" t="s">
        <v>592</v>
      </c>
    </row>
    <row r="92" spans="1:6" ht="12.75" customHeight="1">
      <c r="A92" s="40" t="s">
        <v>593</v>
      </c>
      <c r="B92" s="3" t="s">
        <v>593</v>
      </c>
      <c r="C92" s="3" t="s">
        <v>401</v>
      </c>
      <c r="D92" t="s">
        <v>518</v>
      </c>
      <c r="E92" t="s">
        <v>519</v>
      </c>
      <c r="F92" t="s">
        <v>594</v>
      </c>
    </row>
    <row r="93" spans="1:6" ht="12.75" customHeight="1">
      <c r="A93" s="40" t="s">
        <v>595</v>
      </c>
      <c r="B93" s="3" t="s">
        <v>595</v>
      </c>
      <c r="C93" s="3" t="s">
        <v>401</v>
      </c>
      <c r="E93" t="s">
        <v>519</v>
      </c>
      <c r="F93" t="s">
        <v>596</v>
      </c>
    </row>
    <row r="94" spans="1:6" ht="12.75" customHeight="1">
      <c r="A94" s="40" t="s">
        <v>597</v>
      </c>
      <c r="B94" s="3" t="s">
        <v>597</v>
      </c>
      <c r="C94" s="3" t="s">
        <v>401</v>
      </c>
      <c r="E94" t="s">
        <v>402</v>
      </c>
      <c r="F94" t="s">
        <v>598</v>
      </c>
    </row>
    <row r="95" spans="1:6" ht="12.75" customHeight="1">
      <c r="A95" s="40" t="s">
        <v>599</v>
      </c>
      <c r="B95" s="3" t="s">
        <v>599</v>
      </c>
      <c r="C95" s="3" t="s">
        <v>401</v>
      </c>
      <c r="E95" t="s">
        <v>402</v>
      </c>
      <c r="F95" t="s">
        <v>600</v>
      </c>
    </row>
    <row r="96" spans="1:6" ht="12.75" customHeight="1">
      <c r="A96" s="3" t="s">
        <v>595</v>
      </c>
      <c r="B96" s="3" t="s">
        <v>601</v>
      </c>
      <c r="C96" s="3" t="s">
        <v>401</v>
      </c>
      <c r="E96" t="s">
        <v>519</v>
      </c>
      <c r="F96" t="s">
        <v>602</v>
      </c>
    </row>
    <row r="97" spans="1:6" ht="12.75" customHeight="1">
      <c r="A97" s="3" t="s">
        <v>603</v>
      </c>
      <c r="B97" s="3" t="s">
        <v>603</v>
      </c>
      <c r="C97" s="3" t="s">
        <v>401</v>
      </c>
      <c r="D97" t="s">
        <v>518</v>
      </c>
      <c r="E97" t="s">
        <v>519</v>
      </c>
      <c r="F97" t="s">
        <v>604</v>
      </c>
    </row>
    <row r="98" spans="1:6" ht="12.75" customHeight="1">
      <c r="A98" s="40" t="s">
        <v>605</v>
      </c>
      <c r="B98" s="40" t="s">
        <v>605</v>
      </c>
      <c r="C98" s="3" t="s">
        <v>401</v>
      </c>
      <c r="D98" t="s">
        <v>518</v>
      </c>
      <c r="E98" s="65" t="s">
        <v>606</v>
      </c>
      <c r="F98" s="65" t="s">
        <v>607</v>
      </c>
    </row>
    <row r="99" spans="1:6" ht="12.75" customHeight="1">
      <c r="A99" s="40" t="s">
        <v>608</v>
      </c>
      <c r="B99" s="40" t="s">
        <v>608</v>
      </c>
      <c r="C99" s="3" t="s">
        <v>401</v>
      </c>
      <c r="D99" t="s">
        <v>518</v>
      </c>
      <c r="E99" s="65" t="s">
        <v>609</v>
      </c>
      <c r="F99" s="65" t="s">
        <v>610</v>
      </c>
    </row>
    <row r="100" spans="1:6" ht="12.75" customHeight="1">
      <c r="A100" s="40" t="s">
        <v>611</v>
      </c>
      <c r="B100" s="40" t="s">
        <v>611</v>
      </c>
      <c r="C100" s="3" t="s">
        <v>401</v>
      </c>
      <c r="E100" s="65" t="s">
        <v>612</v>
      </c>
      <c r="F100" s="65" t="s">
        <v>613</v>
      </c>
    </row>
    <row r="101" spans="1:6" ht="12.75" customHeight="1">
      <c r="A101" s="40" t="s">
        <v>614</v>
      </c>
      <c r="B101" s="40" t="s">
        <v>614</v>
      </c>
      <c r="C101" s="3" t="s">
        <v>401</v>
      </c>
      <c r="D101" t="s">
        <v>518</v>
      </c>
      <c r="E101" s="65" t="s">
        <v>609</v>
      </c>
      <c r="F101" s="65" t="s">
        <v>615</v>
      </c>
    </row>
    <row r="102" spans="1:6" ht="12.75" customHeight="1">
      <c r="A102" s="40" t="s">
        <v>616</v>
      </c>
      <c r="B102" s="40" t="s">
        <v>616</v>
      </c>
      <c r="C102" s="3" t="s">
        <v>401</v>
      </c>
      <c r="D102" t="s">
        <v>518</v>
      </c>
      <c r="E102" s="65" t="s">
        <v>519</v>
      </c>
      <c r="F102" s="65" t="s">
        <v>617</v>
      </c>
    </row>
    <row r="103" spans="1:6" ht="12.75" customHeight="1">
      <c r="A103" s="40" t="s">
        <v>618</v>
      </c>
      <c r="B103" s="40" t="s">
        <v>618</v>
      </c>
      <c r="C103" s="3" t="s">
        <v>401</v>
      </c>
      <c r="E103" s="65" t="s">
        <v>609</v>
      </c>
      <c r="F103" s="65" t="s">
        <v>619</v>
      </c>
    </row>
    <row r="104" spans="1:6" ht="12.75" customHeight="1">
      <c r="A104" s="40" t="s">
        <v>620</v>
      </c>
      <c r="B104" s="40" t="s">
        <v>620</v>
      </c>
      <c r="C104" s="3" t="s">
        <v>401</v>
      </c>
      <c r="D104" t="s">
        <v>518</v>
      </c>
      <c r="E104" s="65" t="s">
        <v>609</v>
      </c>
      <c r="F104" s="65" t="s">
        <v>621</v>
      </c>
    </row>
    <row r="105" spans="1:6" ht="12.75" customHeight="1">
      <c r="A105" s="40" t="s">
        <v>622</v>
      </c>
      <c r="B105" s="40" t="s">
        <v>623</v>
      </c>
      <c r="C105" s="3" t="s">
        <v>401</v>
      </c>
      <c r="E105" s="65" t="s">
        <v>402</v>
      </c>
      <c r="F105" s="65" t="s">
        <v>624</v>
      </c>
    </row>
    <row r="106" spans="1:6" ht="12.75" customHeight="1">
      <c r="A106" s="40" t="s">
        <v>625</v>
      </c>
      <c r="B106" s="40" t="s">
        <v>626</v>
      </c>
      <c r="C106" s="3" t="s">
        <v>401</v>
      </c>
      <c r="E106" s="65" t="s">
        <v>402</v>
      </c>
      <c r="F106" s="65" t="s">
        <v>627</v>
      </c>
    </row>
    <row r="107" spans="1:6" ht="12.75" customHeight="1">
      <c r="A107" s="40" t="s">
        <v>628</v>
      </c>
      <c r="B107" s="40" t="s">
        <v>628</v>
      </c>
      <c r="C107" s="3" t="s">
        <v>401</v>
      </c>
      <c r="D107" t="s">
        <v>518</v>
      </c>
      <c r="E107" s="65" t="s">
        <v>609</v>
      </c>
      <c r="F107" s="65" t="s">
        <v>629</v>
      </c>
    </row>
    <row r="108" spans="1:6" ht="12.75" customHeight="1">
      <c r="A108" s="40" t="s">
        <v>630</v>
      </c>
      <c r="B108" s="40" t="s">
        <v>630</v>
      </c>
      <c r="C108" s="3" t="s">
        <v>401</v>
      </c>
      <c r="D108" t="s">
        <v>518</v>
      </c>
      <c r="E108" s="65" t="s">
        <v>519</v>
      </c>
      <c r="F108" s="65" t="s">
        <v>631</v>
      </c>
    </row>
    <row r="109" spans="1:6" ht="12.75" customHeight="1">
      <c r="A109" s="40" t="s">
        <v>632</v>
      </c>
      <c r="B109" s="40" t="s">
        <v>632</v>
      </c>
      <c r="C109" s="3" t="s">
        <v>401</v>
      </c>
      <c r="D109" t="s">
        <v>518</v>
      </c>
      <c r="E109" s="65" t="s">
        <v>519</v>
      </c>
      <c r="F109" s="65" t="s">
        <v>633</v>
      </c>
    </row>
    <row r="110" spans="1:6" ht="12.75" customHeight="1">
      <c r="A110" s="40" t="s">
        <v>634</v>
      </c>
      <c r="B110" s="40" t="s">
        <v>634</v>
      </c>
      <c r="C110" s="3" t="s">
        <v>401</v>
      </c>
      <c r="D110" t="s">
        <v>635</v>
      </c>
      <c r="E110" s="65" t="s">
        <v>519</v>
      </c>
      <c r="F110" s="65" t="s">
        <v>636</v>
      </c>
    </row>
    <row r="111" spans="1:6" ht="12.75" customHeight="1">
      <c r="A111" s="40" t="s">
        <v>637</v>
      </c>
      <c r="B111" s="40" t="s">
        <v>637</v>
      </c>
      <c r="C111" s="3" t="s">
        <v>401</v>
      </c>
      <c r="D111" t="s">
        <v>518</v>
      </c>
      <c r="E111" s="65" t="s">
        <v>519</v>
      </c>
      <c r="F111" s="65" t="s">
        <v>638</v>
      </c>
    </row>
    <row r="112" spans="1:6" ht="12.75" customHeight="1">
      <c r="A112" s="40" t="s">
        <v>639</v>
      </c>
      <c r="B112" s="40" t="s">
        <v>639</v>
      </c>
      <c r="C112" s="3" t="s">
        <v>401</v>
      </c>
      <c r="D112" t="s">
        <v>518</v>
      </c>
      <c r="E112" s="65" t="s">
        <v>609</v>
      </c>
      <c r="F112" s="65" t="s">
        <v>640</v>
      </c>
    </row>
    <row r="113" spans="1:6" ht="12.75" customHeight="1">
      <c r="A113" s="40" t="s">
        <v>641</v>
      </c>
      <c r="B113" s="40" t="s">
        <v>641</v>
      </c>
      <c r="C113" s="3" t="s">
        <v>401</v>
      </c>
      <c r="D113" t="s">
        <v>518</v>
      </c>
      <c r="E113" s="65" t="s">
        <v>609</v>
      </c>
      <c r="F113" s="65" t="s">
        <v>642</v>
      </c>
    </row>
    <row r="114" spans="1:6" ht="12.75" customHeight="1">
      <c r="A114" s="40" t="s">
        <v>643</v>
      </c>
      <c r="B114" s="40" t="s">
        <v>643</v>
      </c>
      <c r="C114" s="3" t="s">
        <v>401</v>
      </c>
      <c r="D114" t="s">
        <v>518</v>
      </c>
      <c r="E114" s="65" t="s">
        <v>609</v>
      </c>
      <c r="F114" s="65" t="s">
        <v>644</v>
      </c>
    </row>
    <row r="115" spans="1:6" ht="12.75" customHeight="1">
      <c r="A115" s="40" t="s">
        <v>645</v>
      </c>
      <c r="B115" s="40" t="s">
        <v>645</v>
      </c>
      <c r="C115" s="3" t="s">
        <v>401</v>
      </c>
      <c r="E115" s="65" t="s">
        <v>609</v>
      </c>
      <c r="F115" s="65" t="s">
        <v>646</v>
      </c>
    </row>
    <row r="116" spans="1:6" ht="12.75" customHeight="1">
      <c r="A116" s="40" t="s">
        <v>647</v>
      </c>
      <c r="B116" s="40" t="s">
        <v>647</v>
      </c>
      <c r="C116" s="3" t="s">
        <v>401</v>
      </c>
      <c r="D116" t="s">
        <v>518</v>
      </c>
      <c r="E116" s="65" t="s">
        <v>609</v>
      </c>
      <c r="F116" s="65" t="s">
        <v>648</v>
      </c>
    </row>
    <row r="117" spans="1:6" ht="12.75" customHeight="1">
      <c r="A117" s="40" t="s">
        <v>649</v>
      </c>
      <c r="B117" s="40" t="s">
        <v>649</v>
      </c>
      <c r="C117" s="3" t="s">
        <v>401</v>
      </c>
      <c r="E117" s="65" t="s">
        <v>402</v>
      </c>
      <c r="F117" s="65" t="s">
        <v>650</v>
      </c>
    </row>
    <row r="118" spans="1:6" ht="12.75" customHeight="1">
      <c r="A118" s="40" t="s">
        <v>651</v>
      </c>
      <c r="B118" s="40" t="s">
        <v>651</v>
      </c>
      <c r="C118" s="3" t="s">
        <v>401</v>
      </c>
      <c r="D118" t="s">
        <v>518</v>
      </c>
      <c r="E118" s="65" t="s">
        <v>519</v>
      </c>
      <c r="F118" s="65" t="s">
        <v>652</v>
      </c>
    </row>
    <row r="119" spans="1:6" ht="12.75" customHeight="1">
      <c r="A119" s="40" t="s">
        <v>653</v>
      </c>
      <c r="B119" s="3" t="s">
        <v>653</v>
      </c>
      <c r="C119" s="3" t="s">
        <v>401</v>
      </c>
      <c r="E119" s="65" t="s">
        <v>402</v>
      </c>
      <c r="F119" t="s">
        <v>256</v>
      </c>
    </row>
    <row r="120" spans="1:6" ht="12.75" customHeight="1">
      <c r="A120" s="40" t="s">
        <v>654</v>
      </c>
      <c r="B120" s="40" t="s">
        <v>654</v>
      </c>
      <c r="C120" s="3" t="s">
        <v>401</v>
      </c>
      <c r="E120" s="65" t="s">
        <v>402</v>
      </c>
      <c r="F120" t="s">
        <v>655</v>
      </c>
    </row>
    <row r="121" spans="1:6" ht="12.75" customHeight="1">
      <c r="A121" s="40" t="s">
        <v>656</v>
      </c>
      <c r="B121" s="40" t="s">
        <v>656</v>
      </c>
      <c r="C121" s="3" t="s">
        <v>401</v>
      </c>
      <c r="E121" s="65" t="s">
        <v>402</v>
      </c>
      <c r="F121" t="s">
        <v>657</v>
      </c>
    </row>
    <row r="122" spans="1:6" ht="12.75" customHeight="1">
      <c r="A122" s="40" t="s">
        <v>658</v>
      </c>
      <c r="B122" s="3" t="s">
        <v>658</v>
      </c>
      <c r="C122" s="3" t="s">
        <v>401</v>
      </c>
      <c r="E122" t="s">
        <v>402</v>
      </c>
      <c r="F122" t="s">
        <v>659</v>
      </c>
    </row>
    <row r="123" spans="1:6" ht="12.75" customHeight="1">
      <c r="A123" s="40" t="s">
        <v>660</v>
      </c>
      <c r="B123" s="3" t="s">
        <v>660</v>
      </c>
      <c r="C123" s="3" t="s">
        <v>401</v>
      </c>
      <c r="E123" t="s">
        <v>402</v>
      </c>
      <c r="F123" t="s">
        <v>661</v>
      </c>
    </row>
    <row r="124" spans="1:6" ht="12.75" customHeight="1">
      <c r="A124" s="40" t="s">
        <v>662</v>
      </c>
      <c r="B124" s="3" t="s">
        <v>662</v>
      </c>
      <c r="C124" s="3" t="s">
        <v>401</v>
      </c>
      <c r="E124" t="s">
        <v>402</v>
      </c>
      <c r="F124" t="s">
        <v>663</v>
      </c>
    </row>
    <row r="125" spans="1:6" ht="12.75" customHeight="1">
      <c r="A125" s="40" t="s">
        <v>664</v>
      </c>
      <c r="B125" s="3" t="s">
        <v>664</v>
      </c>
      <c r="C125" s="3" t="s">
        <v>401</v>
      </c>
      <c r="E125" t="s">
        <v>402</v>
      </c>
      <c r="F125" t="s">
        <v>665</v>
      </c>
    </row>
    <row r="126" spans="1:6" ht="12.75" customHeight="1">
      <c r="A126" s="40" t="s">
        <v>666</v>
      </c>
      <c r="B126" s="3" t="s">
        <v>666</v>
      </c>
      <c r="C126" s="3" t="s">
        <v>401</v>
      </c>
      <c r="E126" t="s">
        <v>402</v>
      </c>
      <c r="F126" t="s">
        <v>667</v>
      </c>
    </row>
    <row r="127" spans="1:6" ht="12.75" customHeight="1">
      <c r="A127" s="40" t="s">
        <v>668</v>
      </c>
      <c r="B127" s="3" t="s">
        <v>668</v>
      </c>
      <c r="C127" s="3" t="s">
        <v>401</v>
      </c>
      <c r="E127" t="s">
        <v>402</v>
      </c>
      <c r="F127" t="s">
        <v>669</v>
      </c>
    </row>
    <row r="128" spans="1:6" ht="12.75" customHeight="1">
      <c r="A128" s="40" t="s">
        <v>670</v>
      </c>
      <c r="B128" s="3" t="s">
        <v>670</v>
      </c>
      <c r="C128" s="3" t="s">
        <v>401</v>
      </c>
      <c r="E128" t="s">
        <v>402</v>
      </c>
      <c r="F128" t="s">
        <v>671</v>
      </c>
    </row>
    <row r="129" spans="1:6" ht="12.75" customHeight="1">
      <c r="A129" s="40" t="s">
        <v>672</v>
      </c>
      <c r="B129" s="3" t="s">
        <v>672</v>
      </c>
      <c r="C129" s="3" t="s">
        <v>401</v>
      </c>
      <c r="E129" t="s">
        <v>402</v>
      </c>
      <c r="F129" t="s">
        <v>673</v>
      </c>
    </row>
    <row r="130" spans="1:6" ht="12.75" customHeight="1">
      <c r="A130" s="40" t="s">
        <v>674</v>
      </c>
      <c r="B130" s="3" t="s">
        <v>674</v>
      </c>
      <c r="C130" s="3" t="s">
        <v>401</v>
      </c>
      <c r="E130" t="s">
        <v>402</v>
      </c>
      <c r="F130" t="s">
        <v>675</v>
      </c>
    </row>
    <row r="131" spans="1:6" ht="12.75" customHeight="1">
      <c r="A131" s="40" t="s">
        <v>676</v>
      </c>
      <c r="B131" s="3" t="s">
        <v>676</v>
      </c>
      <c r="C131" s="3" t="s">
        <v>401</v>
      </c>
      <c r="E131" t="s">
        <v>402</v>
      </c>
      <c r="F131" t="s">
        <v>677</v>
      </c>
    </row>
    <row r="132" spans="1:6" ht="12.75" customHeight="1">
      <c r="A132" s="40" t="s">
        <v>678</v>
      </c>
      <c r="B132" s="3" t="s">
        <v>678</v>
      </c>
      <c r="C132" s="3" t="s">
        <v>401</v>
      </c>
      <c r="E132" t="s">
        <v>402</v>
      </c>
      <c r="F132" t="s">
        <v>679</v>
      </c>
    </row>
    <row r="133" spans="1:6" ht="12.75" customHeight="1">
      <c r="A133" s="40" t="s">
        <v>680</v>
      </c>
      <c r="B133" s="3" t="s">
        <v>680</v>
      </c>
      <c r="C133" s="3" t="s">
        <v>401</v>
      </c>
      <c r="E133" t="s">
        <v>402</v>
      </c>
      <c r="F133" t="s">
        <v>681</v>
      </c>
    </row>
    <row r="134" spans="1:6" ht="12.75" customHeight="1">
      <c r="A134" s="40" t="s">
        <v>682</v>
      </c>
      <c r="B134" s="3" t="s">
        <v>682</v>
      </c>
      <c r="C134" s="3" t="s">
        <v>401</v>
      </c>
      <c r="E134" t="s">
        <v>402</v>
      </c>
      <c r="F134" t="s">
        <v>683</v>
      </c>
    </row>
    <row r="135" spans="1:6" ht="12.75" customHeight="1">
      <c r="A135" s="40" t="s">
        <v>684</v>
      </c>
      <c r="B135" s="3" t="s">
        <v>684</v>
      </c>
      <c r="C135" s="3" t="s">
        <v>401</v>
      </c>
      <c r="E135" t="s">
        <v>402</v>
      </c>
      <c r="F135" t="s">
        <v>685</v>
      </c>
    </row>
    <row r="136" spans="1:6" ht="12.75" customHeight="1">
      <c r="A136" s="40" t="s">
        <v>686</v>
      </c>
      <c r="B136" s="3" t="s">
        <v>686</v>
      </c>
      <c r="C136" s="3" t="s">
        <v>401</v>
      </c>
      <c r="E136" t="s">
        <v>402</v>
      </c>
      <c r="F136" t="s">
        <v>687</v>
      </c>
    </row>
    <row r="137" spans="1:6" ht="12.75" customHeight="1">
      <c r="A137" s="40" t="s">
        <v>688</v>
      </c>
      <c r="B137" s="3" t="s">
        <v>688</v>
      </c>
      <c r="C137" s="3" t="s">
        <v>401</v>
      </c>
      <c r="E137" t="s">
        <v>402</v>
      </c>
      <c r="F137" t="s">
        <v>689</v>
      </c>
    </row>
    <row r="138" spans="1:6" ht="12.75" customHeight="1">
      <c r="A138" s="40" t="s">
        <v>690</v>
      </c>
      <c r="B138" s="3" t="s">
        <v>690</v>
      </c>
      <c r="C138" s="3" t="s">
        <v>401</v>
      </c>
      <c r="E138" t="s">
        <v>402</v>
      </c>
      <c r="F138" t="s">
        <v>691</v>
      </c>
    </row>
    <row r="139" spans="1:6" ht="12.75" customHeight="1">
      <c r="A139" s="40" t="s">
        <v>692</v>
      </c>
      <c r="B139" s="3" t="s">
        <v>692</v>
      </c>
      <c r="C139" s="3" t="s">
        <v>401</v>
      </c>
      <c r="E139" t="s">
        <v>402</v>
      </c>
      <c r="F139" t="s">
        <v>693</v>
      </c>
    </row>
    <row r="140" spans="1:6" ht="12.75" customHeight="1">
      <c r="A140" s="40" t="s">
        <v>694</v>
      </c>
      <c r="B140" s="3" t="s">
        <v>694</v>
      </c>
      <c r="C140" s="3" t="s">
        <v>401</v>
      </c>
      <c r="E140" t="s">
        <v>402</v>
      </c>
      <c r="F140" t="s">
        <v>695</v>
      </c>
    </row>
    <row r="141" spans="1:6" ht="12.75" customHeight="1">
      <c r="A141" s="40" t="s">
        <v>696</v>
      </c>
      <c r="B141" s="3" t="s">
        <v>696</v>
      </c>
      <c r="C141" s="3" t="s">
        <v>401</v>
      </c>
      <c r="E141" t="s">
        <v>402</v>
      </c>
      <c r="F141" t="s">
        <v>697</v>
      </c>
    </row>
    <row r="142" spans="1:6" ht="12.75" customHeight="1">
      <c r="A142" s="40" t="s">
        <v>698</v>
      </c>
      <c r="B142" s="3" t="s">
        <v>698</v>
      </c>
      <c r="C142" s="3" t="s">
        <v>401</v>
      </c>
      <c r="E142" t="s">
        <v>402</v>
      </c>
      <c r="F142" t="s">
        <v>699</v>
      </c>
    </row>
    <row r="143" spans="1:6" ht="12.75" customHeight="1">
      <c r="A143" s="40" t="s">
        <v>700</v>
      </c>
      <c r="B143" s="3" t="s">
        <v>700</v>
      </c>
      <c r="C143" s="3" t="s">
        <v>401</v>
      </c>
      <c r="E143" t="s">
        <v>402</v>
      </c>
      <c r="F143" t="s">
        <v>701</v>
      </c>
    </row>
    <row r="144" spans="1:6" ht="12.75" customHeight="1">
      <c r="A144" s="40" t="s">
        <v>702</v>
      </c>
      <c r="B144" s="3" t="s">
        <v>703</v>
      </c>
      <c r="C144" s="3" t="s">
        <v>704</v>
      </c>
      <c r="E144" t="s">
        <v>402</v>
      </c>
      <c r="F144" t="s">
        <v>705</v>
      </c>
    </row>
    <row r="145" spans="1:6" ht="12.75" customHeight="1">
      <c r="A145" s="40" t="s">
        <v>706</v>
      </c>
      <c r="B145" s="3" t="s">
        <v>707</v>
      </c>
      <c r="C145" s="3" t="s">
        <v>704</v>
      </c>
      <c r="E145" t="s">
        <v>402</v>
      </c>
      <c r="F145" t="s">
        <v>708</v>
      </c>
    </row>
    <row r="146" spans="1:6" ht="12.75" customHeight="1">
      <c r="A146" s="40" t="s">
        <v>709</v>
      </c>
      <c r="B146" s="3" t="s">
        <v>710</v>
      </c>
      <c r="C146" s="3" t="s">
        <v>704</v>
      </c>
      <c r="E146" t="s">
        <v>402</v>
      </c>
      <c r="F146" t="s">
        <v>711</v>
      </c>
    </row>
    <row r="147" spans="1:6" ht="12.75" customHeight="1">
      <c r="A147" s="40" t="s">
        <v>712</v>
      </c>
      <c r="B147" s="3" t="s">
        <v>712</v>
      </c>
      <c r="C147" s="3" t="s">
        <v>401</v>
      </c>
      <c r="E147" t="s">
        <v>402</v>
      </c>
      <c r="F147" t="s">
        <v>713</v>
      </c>
    </row>
    <row r="148" spans="1:6" ht="12.75" customHeight="1">
      <c r="A148" s="40" t="s">
        <v>714</v>
      </c>
      <c r="B148" s="3" t="s">
        <v>714</v>
      </c>
      <c r="C148" s="3" t="s">
        <v>401</v>
      </c>
      <c r="E148" t="s">
        <v>402</v>
      </c>
      <c r="F148" t="s">
        <v>715</v>
      </c>
    </row>
    <row r="149" spans="1:6" ht="12.75" customHeight="1">
      <c r="A149" s="40" t="s">
        <v>716</v>
      </c>
      <c r="B149" s="3" t="s">
        <v>716</v>
      </c>
      <c r="C149" s="3" t="s">
        <v>401</v>
      </c>
      <c r="D149" t="s">
        <v>518</v>
      </c>
      <c r="E149" t="s">
        <v>519</v>
      </c>
      <c r="F149" t="s">
        <v>717</v>
      </c>
    </row>
    <row r="150" spans="1:6" ht="12.75" customHeight="1">
      <c r="A150" s="40" t="s">
        <v>718</v>
      </c>
      <c r="B150" s="3" t="s">
        <v>718</v>
      </c>
      <c r="C150" s="3" t="s">
        <v>401</v>
      </c>
      <c r="D150" t="s">
        <v>518</v>
      </c>
      <c r="E150" t="s">
        <v>519</v>
      </c>
      <c r="F150" t="s">
        <v>719</v>
      </c>
    </row>
    <row r="151" spans="1:6" ht="12.75" customHeight="1">
      <c r="A151" s="40" t="s">
        <v>720</v>
      </c>
      <c r="B151" s="3" t="s">
        <v>720</v>
      </c>
      <c r="C151" s="3" t="s">
        <v>704</v>
      </c>
      <c r="E151" t="s">
        <v>402</v>
      </c>
      <c r="F151" t="s">
        <v>721</v>
      </c>
    </row>
    <row r="152" spans="1:6" ht="12.75" customHeight="1">
      <c r="A152" s="40" t="s">
        <v>722</v>
      </c>
      <c r="B152" s="3" t="s">
        <v>722</v>
      </c>
      <c r="C152" s="3" t="s">
        <v>401</v>
      </c>
      <c r="E152" t="s">
        <v>519</v>
      </c>
      <c r="F152" t="s">
        <v>723</v>
      </c>
    </row>
    <row r="153" spans="1:6" ht="12.75" customHeight="1">
      <c r="A153" s="40" t="s">
        <v>724</v>
      </c>
      <c r="B153" s="3" t="s">
        <v>724</v>
      </c>
      <c r="C153" s="3" t="s">
        <v>401</v>
      </c>
      <c r="E153" t="s">
        <v>609</v>
      </c>
      <c r="F153" t="s">
        <v>725</v>
      </c>
    </row>
    <row r="154" spans="1:6" ht="12.75" customHeight="1">
      <c r="A154" s="40" t="s">
        <v>726</v>
      </c>
      <c r="B154" s="3" t="s">
        <v>727</v>
      </c>
      <c r="C154" s="3" t="s">
        <v>704</v>
      </c>
      <c r="E154" t="s">
        <v>402</v>
      </c>
      <c r="F154" t="s">
        <v>728</v>
      </c>
    </row>
    <row r="155" spans="1:6" ht="12.75" customHeight="1">
      <c r="A155" s="40" t="s">
        <v>729</v>
      </c>
      <c r="B155" s="3" t="s">
        <v>730</v>
      </c>
      <c r="C155" s="3" t="s">
        <v>401</v>
      </c>
      <c r="E155" t="s">
        <v>609</v>
      </c>
      <c r="F155" t="s">
        <v>731</v>
      </c>
    </row>
    <row r="156" spans="1:6" ht="12.75" customHeight="1">
      <c r="A156" s="40" t="s">
        <v>732</v>
      </c>
      <c r="B156" s="3" t="s">
        <v>733</v>
      </c>
      <c r="C156" s="3" t="s">
        <v>401</v>
      </c>
      <c r="D156" t="s">
        <v>518</v>
      </c>
      <c r="E156" t="s">
        <v>609</v>
      </c>
      <c r="F156" t="s">
        <v>734</v>
      </c>
    </row>
    <row r="157" spans="1:6" ht="12.75" customHeight="1">
      <c r="A157" s="40" t="s">
        <v>735</v>
      </c>
      <c r="B157" s="3" t="s">
        <v>736</v>
      </c>
      <c r="C157" s="3" t="s">
        <v>401</v>
      </c>
      <c r="E157" t="s">
        <v>609</v>
      </c>
      <c r="F157" t="s">
        <v>737</v>
      </c>
    </row>
    <row r="158" spans="1:6" ht="12.75" customHeight="1">
      <c r="A158" s="40" t="s">
        <v>738</v>
      </c>
      <c r="B158" s="3" t="s">
        <v>739</v>
      </c>
      <c r="C158" s="3" t="s">
        <v>401</v>
      </c>
      <c r="D158" t="s">
        <v>518</v>
      </c>
      <c r="E158" t="s">
        <v>609</v>
      </c>
      <c r="F158" t="s">
        <v>740</v>
      </c>
    </row>
    <row r="159" spans="1:6" ht="12.75" customHeight="1">
      <c r="A159" s="40" t="s">
        <v>741</v>
      </c>
      <c r="B159" s="3" t="s">
        <v>742</v>
      </c>
      <c r="C159" s="3" t="s">
        <v>743</v>
      </c>
      <c r="E159" t="s">
        <v>402</v>
      </c>
      <c r="F159" s="139" t="s">
        <v>744</v>
      </c>
    </row>
    <row r="160" spans="1:6" ht="12.75" customHeight="1">
      <c r="A160" s="40" t="s">
        <v>745</v>
      </c>
      <c r="B160" s="3" t="s">
        <v>746</v>
      </c>
      <c r="C160" s="3" t="s">
        <v>747</v>
      </c>
      <c r="E160" t="s">
        <v>402</v>
      </c>
      <c r="F160" t="s">
        <v>748</v>
      </c>
    </row>
    <row r="161" spans="1:6" ht="12.75" customHeight="1">
      <c r="A161" s="40" t="s">
        <v>749</v>
      </c>
      <c r="B161" s="3" t="s">
        <v>750</v>
      </c>
      <c r="C161" s="3" t="s">
        <v>747</v>
      </c>
      <c r="E161" t="s">
        <v>402</v>
      </c>
      <c r="F161" t="s">
        <v>751</v>
      </c>
    </row>
    <row r="162" spans="1:6" ht="12.75" customHeight="1">
      <c r="A162" s="40" t="s">
        <v>752</v>
      </c>
      <c r="B162" s="3" t="s">
        <v>753</v>
      </c>
      <c r="C162" s="3" t="s">
        <v>704</v>
      </c>
      <c r="E162" t="s">
        <v>402</v>
      </c>
      <c r="F162" t="s">
        <v>754</v>
      </c>
    </row>
    <row r="163" spans="1:6" ht="12.75" customHeight="1">
      <c r="A163" s="40" t="s">
        <v>755</v>
      </c>
      <c r="B163" s="3" t="s">
        <v>756</v>
      </c>
      <c r="C163" s="3" t="s">
        <v>704</v>
      </c>
      <c r="E163" t="s">
        <v>402</v>
      </c>
      <c r="F163" t="s">
        <v>757</v>
      </c>
    </row>
    <row r="164" spans="1:6" ht="12.75" customHeight="1">
      <c r="A164" s="40" t="s">
        <v>758</v>
      </c>
      <c r="B164" s="3" t="s">
        <v>759</v>
      </c>
      <c r="C164" s="3" t="s">
        <v>704</v>
      </c>
      <c r="E164" t="s">
        <v>402</v>
      </c>
      <c r="F164" t="s">
        <v>760</v>
      </c>
    </row>
    <row r="165" spans="1:6" ht="12.75" customHeight="1">
      <c r="A165" s="40" t="s">
        <v>761</v>
      </c>
      <c r="B165" s="3" t="s">
        <v>762</v>
      </c>
      <c r="C165" s="3" t="s">
        <v>401</v>
      </c>
      <c r="E165" t="s">
        <v>402</v>
      </c>
      <c r="F165" t="s">
        <v>763</v>
      </c>
    </row>
    <row r="166" spans="1:6" ht="12.75" customHeight="1">
      <c r="A166" s="40" t="s">
        <v>764</v>
      </c>
      <c r="B166" s="3" t="s">
        <v>765</v>
      </c>
      <c r="C166" s="3" t="s">
        <v>401</v>
      </c>
      <c r="E166" t="s">
        <v>609</v>
      </c>
      <c r="F166" t="s">
        <v>766</v>
      </c>
    </row>
    <row r="167" spans="1:6" ht="12.75" customHeight="1">
      <c r="A167" s="40" t="s">
        <v>767</v>
      </c>
      <c r="B167" s="3" t="s">
        <v>768</v>
      </c>
      <c r="C167" s="3" t="s">
        <v>704</v>
      </c>
      <c r="E167" t="s">
        <v>402</v>
      </c>
      <c r="F167" t="s">
        <v>769</v>
      </c>
    </row>
    <row r="168" spans="1:6" ht="12.75" customHeight="1">
      <c r="A168" s="40" t="s">
        <v>770</v>
      </c>
      <c r="B168" s="3" t="s">
        <v>771</v>
      </c>
      <c r="C168" s="3" t="s">
        <v>704</v>
      </c>
      <c r="E168" t="s">
        <v>402</v>
      </c>
      <c r="F168" t="s">
        <v>772</v>
      </c>
    </row>
    <row r="169" spans="1:6" ht="12.75" customHeight="1">
      <c r="A169" s="40" t="s">
        <v>773</v>
      </c>
      <c r="B169" s="3" t="s">
        <v>774</v>
      </c>
      <c r="C169" s="3" t="s">
        <v>704</v>
      </c>
      <c r="E169" t="s">
        <v>402</v>
      </c>
      <c r="F169" t="s">
        <v>775</v>
      </c>
    </row>
    <row r="170" spans="1:6" ht="12.75" customHeight="1">
      <c r="A170" s="40" t="s">
        <v>776</v>
      </c>
      <c r="B170" s="3" t="s">
        <v>777</v>
      </c>
      <c r="C170" s="3" t="s">
        <v>704</v>
      </c>
      <c r="E170" t="s">
        <v>402</v>
      </c>
      <c r="F170" t="s">
        <v>778</v>
      </c>
    </row>
    <row r="171" spans="1:6" ht="12.75" customHeight="1">
      <c r="A171" s="40" t="s">
        <v>779</v>
      </c>
      <c r="B171" s="3" t="s">
        <v>779</v>
      </c>
      <c r="C171" s="3" t="s">
        <v>401</v>
      </c>
      <c r="E171" t="s">
        <v>780</v>
      </c>
      <c r="F171" t="s">
        <v>781</v>
      </c>
    </row>
    <row r="172" spans="1:6" ht="12.75" customHeight="1">
      <c r="A172" s="40" t="s">
        <v>782</v>
      </c>
      <c r="B172" s="3" t="s">
        <v>783</v>
      </c>
      <c r="C172" s="3" t="s">
        <v>704</v>
      </c>
      <c r="D172" s="178"/>
      <c r="E172" s="178" t="s">
        <v>402</v>
      </c>
      <c r="F172" s="179" t="s">
        <v>784</v>
      </c>
    </row>
    <row r="173" spans="1:6" ht="12.75" customHeight="1">
      <c r="A173" s="40" t="s">
        <v>785</v>
      </c>
      <c r="B173" s="3" t="s">
        <v>786</v>
      </c>
      <c r="C173" s="3" t="s">
        <v>704</v>
      </c>
      <c r="E173" t="s">
        <v>402</v>
      </c>
      <c r="F173" t="s">
        <v>787</v>
      </c>
    </row>
    <row r="174" spans="1:6" ht="12.75" customHeight="1">
      <c r="A174" s="40" t="s">
        <v>788</v>
      </c>
      <c r="B174" s="3" t="s">
        <v>789</v>
      </c>
      <c r="C174" s="3" t="s">
        <v>704</v>
      </c>
      <c r="E174" t="s">
        <v>402</v>
      </c>
      <c r="F174" t="s">
        <v>11</v>
      </c>
    </row>
    <row r="175" spans="1:6" ht="12.75" customHeight="1">
      <c r="A175" s="40" t="s">
        <v>790</v>
      </c>
      <c r="B175" s="3" t="s">
        <v>791</v>
      </c>
      <c r="C175" s="3" t="s">
        <v>704</v>
      </c>
      <c r="E175" t="s">
        <v>402</v>
      </c>
      <c r="F175" t="s">
        <v>12</v>
      </c>
    </row>
    <row r="176" spans="1:6" ht="12.75" customHeight="1">
      <c r="A176" s="40" t="s">
        <v>792</v>
      </c>
      <c r="B176" s="3" t="s">
        <v>793</v>
      </c>
      <c r="C176" s="3" t="s">
        <v>704</v>
      </c>
      <c r="E176" t="s">
        <v>402</v>
      </c>
      <c r="F176" t="s">
        <v>13</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xml version="1.0" encoding="utf-8"?>
<?mso-contentType ?>
<FormTemplates xmlns="http://schemas.microsoft.com/sharepoint/v3/contenttype/forms">
  <Display>DocumentLibraryForm</Display>
  <Edit>DocumentLibraryForm</Edit>
  <New>DocumentLibraryForm</New>
</FormTemplat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9.xml>��
</file>

<file path=customXml/item20.xml>��
</file>

<file path=customXml/itemProps1.xml><?xml version="1.0" encoding="utf-8"?>
<ds:datastoreItem xmlns:ds="http://schemas.openxmlformats.org/officeDocument/2006/customXml" ds:itemID="{E20E8303-6A67-485C-B6F4-303542CC295C}"/>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2C572D4B-A210-4731-AEC5-6665126BCAC6}"/>
</file>

<file path=customXml/itemProps5.xml><?xml version="1.0" encoding="utf-8"?>
<ds:datastoreItem xmlns:ds="http://schemas.openxmlformats.org/officeDocument/2006/customXml" ds:itemID="{F6B2B1A1-1C4B-4AC9-9A7D-7A102DD1C942}"/>
</file>

<file path=customXml/itemProps6.xml><?xml version="1.0" encoding="utf-8"?>
<ds:datastoreItem xmlns:ds="http://schemas.openxmlformats.org/officeDocument/2006/customXml" ds:itemID="{BE26B669-A686-459C-A5E9-FEC3409C4C81}"/>
</file>

<file path=customXml/itemProps7.xml><?xml version="1.0" encoding="utf-8"?>
<ds:datastoreItem xmlns:ds="http://schemas.openxmlformats.org/officeDocument/2006/customXml" ds:itemID="{89CF5C07-45EB-4100-9AFB-2C6AF77FA787}"/>
</file>

<file path=customXml/itemProps8.xml><?xml version="1.0" encoding="utf-8"?>
<ds:datastoreItem xmlns:ds="http://schemas.openxmlformats.org/officeDocument/2006/customXml" ds:itemID="{7946C510-7D04-49D8-9B25-EEC04582A1CA}"/>
</file>

<file path=customXml/itemProps9.xml><?xml version="1.0" encoding="utf-8"?>
<ds:datastoreItem xmlns:ds="http://schemas.openxmlformats.org/officeDocument/2006/customXml" ds:itemID="{078388C9-06F9-42F4-B857-EF76B5CAF1FD}"/>
</file>

<file path=customXml/itemProps10.xml><?xml version="1.0" encoding="utf-8"?>
<ds:datastoreItem xmlns:ds="http://schemas.openxmlformats.org/officeDocument/2006/customXml" ds:itemID="{98A113BB-8B7A-453C-8BD4-8EFC67FC2D3F}"/>
</file>

<file path=customXml/itemProps11.xml><?xml version="1.0" encoding="utf-8"?>
<ds:datastoreItem xmlns:ds="http://schemas.openxmlformats.org/officeDocument/2006/customXml" ds:itemID="{0389C43E-394D-44C0-87DC-4780FCFCFB40}"/>
</file>

<file path=customXml/itemProps12.xml><?xml version="1.0" encoding="utf-8"?>
<ds:datastoreItem xmlns:ds="http://schemas.openxmlformats.org/officeDocument/2006/customXml" ds:itemID="{CB52044A-5C0B-44A2-99D0-C1C315EC302D}"/>
</file>

<file path=customXml/itemProps13.xml><?xml version="1.0" encoding="utf-8"?>
<ds:datastoreItem xmlns:ds="http://schemas.openxmlformats.org/officeDocument/2006/customXml" ds:itemID="{66B09F59-6532-46F8-924A-9A02417E070D}"/>
</file>

<file path=customXml/itemProps14.xml><?xml version="1.0" encoding="utf-8"?>
<ds:datastoreItem xmlns:ds="http://schemas.openxmlformats.org/officeDocument/2006/customXml" ds:itemID="{14966E4F-347B-477B-B74C-9DAC05405806}"/>
</file>

<file path=customXml/itemProps15.xml><?xml version="1.0" encoding="utf-8"?>
<ds:datastoreItem xmlns:ds="http://schemas.openxmlformats.org/officeDocument/2006/customXml" ds:itemID="{D3A7101F-9A85-4235-8B03-415370C100B2}"/>
</file>

<file path=customXml/itemProps16.xml><?xml version="1.0" encoding="utf-8"?>
<ds:datastoreItem xmlns:ds="http://schemas.openxmlformats.org/officeDocument/2006/customXml" ds:itemID="{2BC74AAC-D69B-4AF1-9649-B21EF3C1C463}"/>
</file>

<file path=customXml/itemProps17.xml><?xml version="1.0" encoding="utf-8"?>
<ds:datastoreItem xmlns:ds="http://schemas.openxmlformats.org/officeDocument/2006/customXml" ds:itemID="{BF5C6359-7763-4C37-8EAF-2BC4698CB285}"/>
</file>

<file path=customXml/itemProps18.xml><?xml version="1.0" encoding="utf-8"?>
<ds:datastoreItem xmlns:ds="http://schemas.openxmlformats.org/officeDocument/2006/customXml" ds:itemID="{8D732231-4216-4543-A665-18A2886B0EB7}"/>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Maneesha Vuchidi [Libsy]</cp:lastModifiedBy>
  <cp:revision/>
  <dcterms:created xsi:type="dcterms:W3CDTF">2021-01-01T16:39:53Z</dcterms:created>
  <dcterms:modified xsi:type="dcterms:W3CDTF">2026-02-21T12:09:50Z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