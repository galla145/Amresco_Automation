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F87F4566-7DAD-405D-8600-9C9199F1F1FC}" xr6:coauthVersionLast="47" xr6:coauthVersionMax="47" xr10:uidLastSave="{00000000-0000-0000-0000-000000000000}"/>
  <bookViews>
    <workbookView xWindow="-108" yWindow="-108" windowWidth="23256" windowHeight="1389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1" l="1"/>
  <c r="A1" i="19" a="1"/>
  <c r="A1" i="19" s="1"/>
  <c r="E4" i="4"/>
  <c r="F4" i="4" s="1"/>
  <c r="E5" i="4"/>
  <c r="F5" i="4" s="1"/>
  <c r="E7" i="3"/>
  <c r="F7" i="3" s="1"/>
  <c r="G6" i="18"/>
  <c r="G7" i="18"/>
  <c r="G5" i="18"/>
  <c r="G4" i="18"/>
  <c r="G2" i="18" s="1"/>
  <c r="G6" i="30"/>
  <c r="G7" i="30"/>
  <c r="G5" i="30"/>
  <c r="G4" i="30"/>
  <c r="G6" i="29"/>
  <c r="G7" i="29"/>
  <c r="G4" i="29"/>
  <c r="G5" i="29"/>
  <c r="B4" i="33" a="1"/>
  <c r="B4" i="33" s="1"/>
  <c r="A4" i="33" a="1"/>
  <c r="A4" i="33" s="1"/>
  <c r="B4" i="32" a="1"/>
  <c r="B4" i="32" s="1"/>
  <c r="A4" i="32" a="1"/>
  <c r="A4" i="32" s="1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 s="1"/>
  <c r="A4" i="30" a="1"/>
  <c r="A4" i="30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H7" i="3"/>
  <c r="I7" i="3" s="1"/>
  <c r="E8" i="3"/>
  <c r="G8" i="3"/>
  <c r="H8" i="3"/>
  <c r="E9" i="72"/>
  <c r="F9" i="72" s="1"/>
  <c r="H9" i="72"/>
  <c r="I9" i="72"/>
  <c r="G6" i="1"/>
  <c r="G7" i="1"/>
  <c r="G5" i="1"/>
  <c r="G4" i="1"/>
  <c r="B4" i="34" a="1"/>
  <c r="B4" i="34"/>
  <c r="A4" i="34" a="1"/>
  <c r="A4" i="34"/>
  <c r="A1" i="34" a="1"/>
  <c r="A1" i="34"/>
  <c r="D7" i="30"/>
  <c r="C7" i="30"/>
  <c r="E7" i="30" s="1"/>
  <c r="F7" i="30" s="1"/>
  <c r="D6" i="30"/>
  <c r="C6" i="30"/>
  <c r="D5" i="30"/>
  <c r="C5" i="30"/>
  <c r="D4" i="30"/>
  <c r="C4" i="30"/>
  <c r="D7" i="29"/>
  <c r="C7" i="29"/>
  <c r="D6" i="29"/>
  <c r="C6" i="29"/>
  <c r="E6" i="29" s="1"/>
  <c r="F6" i="29" s="1"/>
  <c r="D5" i="29"/>
  <c r="C5" i="29"/>
  <c r="E5" i="29" s="1"/>
  <c r="F5" i="29" s="1"/>
  <c r="D4" i="29"/>
  <c r="C4" i="29"/>
  <c r="E4" i="29" s="1"/>
  <c r="F4" i="29" s="1"/>
  <c r="D7" i="18"/>
  <c r="C7" i="18"/>
  <c r="D6" i="18"/>
  <c r="C6" i="18"/>
  <c r="D5" i="18"/>
  <c r="C5" i="18"/>
  <c r="D4" i="18"/>
  <c r="C4" i="18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 s="1"/>
  <c r="C7" i="1"/>
  <c r="C6" i="1"/>
  <c r="E6" i="1" s="1"/>
  <c r="F6" i="1" s="1"/>
  <c r="C5" i="1"/>
  <c r="C4" i="1"/>
  <c r="D6" i="1"/>
  <c r="D7" i="1"/>
  <c r="D5" i="1"/>
  <c r="D4" i="1"/>
  <c r="E4" i="1" s="1"/>
  <c r="F4" i="1" s="1"/>
  <c r="B4" i="1" a="1"/>
  <c r="B4" i="1"/>
  <c r="A4" i="1" a="1"/>
  <c r="A4" i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/>
  <c r="H5" i="33"/>
  <c r="I5" i="33" s="1"/>
  <c r="E5" i="33"/>
  <c r="F5" i="33" s="1"/>
  <c r="H4" i="33"/>
  <c r="I4" i="33" s="1"/>
  <c r="E4" i="33"/>
  <c r="F4" i="33"/>
  <c r="G2" i="33"/>
  <c r="D2" i="33"/>
  <c r="C2" i="33"/>
  <c r="A1" i="33" a="1"/>
  <c r="A1" i="33" s="1"/>
  <c r="H8" i="32"/>
  <c r="I8" i="32"/>
  <c r="E8" i="32"/>
  <c r="F8" i="32"/>
  <c r="H7" i="32"/>
  <c r="I7" i="32"/>
  <c r="E7" i="32"/>
  <c r="F7" i="32"/>
  <c r="H6" i="32"/>
  <c r="I6" i="32"/>
  <c r="E6" i="32"/>
  <c r="F6" i="32"/>
  <c r="H5" i="32"/>
  <c r="E5" i="32"/>
  <c r="F5" i="32"/>
  <c r="H4" i="32"/>
  <c r="I4" i="32" s="1"/>
  <c r="E4" i="32"/>
  <c r="F4" i="32"/>
  <c r="G2" i="32"/>
  <c r="D2" i="32"/>
  <c r="C2" i="32"/>
  <c r="H2" i="32" s="1"/>
  <c r="I2" i="32" s="1"/>
  <c r="A1" i="32" a="1"/>
  <c r="A1" i="32" s="1"/>
  <c r="H7" i="31"/>
  <c r="I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 s="1"/>
  <c r="H8" i="28"/>
  <c r="I8" i="28"/>
  <c r="E8" i="28"/>
  <c r="F8" i="28"/>
  <c r="H7" i="28"/>
  <c r="I7" i="28"/>
  <c r="E7" i="28"/>
  <c r="F7" i="28"/>
  <c r="H6" i="28"/>
  <c r="I6" i="28" s="1"/>
  <c r="E6" i="28"/>
  <c r="F6" i="28"/>
  <c r="H5" i="28"/>
  <c r="I5" i="28"/>
  <c r="E5" i="28"/>
  <c r="F5" i="28"/>
  <c r="H4" i="28"/>
  <c r="I4" i="28" s="1"/>
  <c r="E4" i="28"/>
  <c r="F4" i="28" s="1"/>
  <c r="B4" i="28" a="1"/>
  <c r="B4" i="28"/>
  <c r="A4" i="28" a="1"/>
  <c r="A4" i="28"/>
  <c r="G2" i="28"/>
  <c r="D2" i="28"/>
  <c r="C2" i="28"/>
  <c r="A1" i="28" a="1"/>
  <c r="A1" i="28"/>
  <c r="H8" i="27"/>
  <c r="I8" i="27"/>
  <c r="E8" i="27"/>
  <c r="F8" i="27"/>
  <c r="H7" i="27"/>
  <c r="E7" i="27"/>
  <c r="F7" i="27" s="1"/>
  <c r="H6" i="27"/>
  <c r="I6" i="27" s="1"/>
  <c r="E6" i="27"/>
  <c r="F6" i="27" s="1"/>
  <c r="H5" i="27"/>
  <c r="I5" i="27" s="1"/>
  <c r="E5" i="27"/>
  <c r="F5" i="27"/>
  <c r="H4" i="27"/>
  <c r="I4" i="27" s="1"/>
  <c r="E4" i="27"/>
  <c r="F4" i="27" s="1"/>
  <c r="G2" i="27"/>
  <c r="D2" i="27"/>
  <c r="C2" i="27"/>
  <c r="A1" i="27" a="1"/>
  <c r="A1" i="27"/>
  <c r="H8" i="26"/>
  <c r="E8" i="26"/>
  <c r="F8" i="26"/>
  <c r="H7" i="26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/>
  <c r="H8" i="19"/>
  <c r="I8" i="19"/>
  <c r="E8" i="19"/>
  <c r="F8" i="19"/>
  <c r="H7" i="19"/>
  <c r="I7" i="19" s="1"/>
  <c r="E7" i="19"/>
  <c r="F7" i="19" s="1"/>
  <c r="H6" i="19"/>
  <c r="I6" i="19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E2" i="19" s="1"/>
  <c r="F2" i="19" s="1"/>
  <c r="H8" i="20"/>
  <c r="I8" i="20"/>
  <c r="E8" i="20"/>
  <c r="F8" i="20"/>
  <c r="H7" i="20"/>
  <c r="I7" i="20"/>
  <c r="E7" i="20"/>
  <c r="F7" i="20"/>
  <c r="H6" i="20"/>
  <c r="I6" i="20" s="1"/>
  <c r="E6" i="20"/>
  <c r="F6" i="20"/>
  <c r="H5" i="20"/>
  <c r="I5" i="20"/>
  <c r="E5" i="20"/>
  <c r="F5" i="20" s="1"/>
  <c r="H4" i="20"/>
  <c r="I4" i="20"/>
  <c r="E4" i="20"/>
  <c r="F4" i="20"/>
  <c r="G2" i="20"/>
  <c r="D2" i="20"/>
  <c r="C2" i="20"/>
  <c r="J2" i="20" s="1"/>
  <c r="A1" i="20" a="1"/>
  <c r="A1" i="20" s="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E4" i="21"/>
  <c r="F4" i="21"/>
  <c r="G2" i="21"/>
  <c r="D2" i="21"/>
  <c r="C2" i="21"/>
  <c r="A1" i="21" a="1"/>
  <c r="A1" i="21" s="1"/>
  <c r="H8" i="4"/>
  <c r="I8" i="4"/>
  <c r="E8" i="4"/>
  <c r="F8" i="4"/>
  <c r="H7" i="4"/>
  <c r="I7" i="4" s="1"/>
  <c r="E7" i="4"/>
  <c r="F7" i="4" s="1"/>
  <c r="H6" i="4"/>
  <c r="I6" i="4" s="1"/>
  <c r="E6" i="4"/>
  <c r="F6" i="4" s="1"/>
  <c r="H5" i="4"/>
  <c r="I5" i="4" s="1"/>
  <c r="H4" i="4"/>
  <c r="I4" i="4" s="1"/>
  <c r="G2" i="4"/>
  <c r="D2" i="4"/>
  <c r="C2" i="4"/>
  <c r="J2" i="4" s="1"/>
  <c r="A1" i="4" a="1"/>
  <c r="A1" i="4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/>
  <c r="H6" i="72"/>
  <c r="I6" i="72" s="1"/>
  <c r="H7" i="72"/>
  <c r="H8" i="72"/>
  <c r="I8" i="72" s="1"/>
  <c r="H5" i="72"/>
  <c r="I5" i="72" s="1"/>
  <c r="H4" i="72"/>
  <c r="G2" i="72"/>
  <c r="D2" i="72"/>
  <c r="C2" i="72"/>
  <c r="J2" i="72" s="1"/>
  <c r="E4" i="72"/>
  <c r="F4" i="72" s="1"/>
  <c r="A1" i="72" a="1"/>
  <c r="A1" i="72" s="1"/>
  <c r="I4" i="21"/>
  <c r="H6" i="29"/>
  <c r="I6" i="29" s="1"/>
  <c r="H2" i="31"/>
  <c r="I2" i="31"/>
  <c r="E6" i="18"/>
  <c r="F6" i="18" s="1"/>
  <c r="H2" i="21"/>
  <c r="I2" i="21"/>
  <c r="J2" i="21"/>
  <c r="I8" i="29"/>
  <c r="E5" i="18"/>
  <c r="F5" i="18" s="1"/>
  <c r="J2" i="31"/>
  <c r="I6" i="33"/>
  <c r="H4" i="30"/>
  <c r="I8" i="26"/>
  <c r="I7" i="26"/>
  <c r="E2" i="3"/>
  <c r="F2" i="3" s="1"/>
  <c r="E2" i="31"/>
  <c r="F2" i="31"/>
  <c r="E2" i="21"/>
  <c r="F2" i="21"/>
  <c r="H6" i="1" l="1"/>
  <c r="I6" i="1" s="1"/>
  <c r="E2" i="72"/>
  <c r="F2" i="72" s="1"/>
  <c r="H5" i="30"/>
  <c r="H6" i="30"/>
  <c r="I6" i="30" s="1"/>
  <c r="H7" i="30"/>
  <c r="E2" i="26"/>
  <c r="F2" i="26" s="1"/>
  <c r="H2" i="26"/>
  <c r="I2" i="26" s="1"/>
  <c r="H2" i="4"/>
  <c r="I2" i="4" s="1"/>
  <c r="C6" i="34"/>
  <c r="I4" i="72"/>
  <c r="H4" i="1"/>
  <c r="I4" i="1" s="1"/>
  <c r="G4" i="34"/>
  <c r="D4" i="34"/>
  <c r="C4" i="34"/>
  <c r="E4" i="34" s="1"/>
  <c r="F4" i="34" s="1"/>
  <c r="H7" i="1"/>
  <c r="I7" i="1" s="1"/>
  <c r="I7" i="72"/>
  <c r="J2" i="33"/>
  <c r="H2" i="33"/>
  <c r="I2" i="33" s="1"/>
  <c r="E2" i="33"/>
  <c r="F2" i="33" s="1"/>
  <c r="D2" i="30"/>
  <c r="I7" i="30"/>
  <c r="C2" i="30"/>
  <c r="E4" i="30"/>
  <c r="F4" i="30" s="1"/>
  <c r="I5" i="30"/>
  <c r="I4" i="30"/>
  <c r="D6" i="34"/>
  <c r="J2" i="32"/>
  <c r="I5" i="32"/>
  <c r="G2" i="30"/>
  <c r="H2" i="30" s="1"/>
  <c r="I2" i="30" s="1"/>
  <c r="E5" i="30"/>
  <c r="F5" i="30" s="1"/>
  <c r="E2" i="32"/>
  <c r="F2" i="32" s="1"/>
  <c r="E6" i="30"/>
  <c r="F6" i="30" s="1"/>
  <c r="H7" i="29"/>
  <c r="I7" i="29" s="1"/>
  <c r="H2" i="28"/>
  <c r="I2" i="28" s="1"/>
  <c r="J2" i="28"/>
  <c r="E2" i="28"/>
  <c r="F2" i="28" s="1"/>
  <c r="G2" i="29"/>
  <c r="I7" i="27"/>
  <c r="H4" i="29"/>
  <c r="I4" i="29" s="1"/>
  <c r="E2" i="27"/>
  <c r="F2" i="27" s="1"/>
  <c r="J2" i="27"/>
  <c r="H2" i="27"/>
  <c r="I2" i="27" s="1"/>
  <c r="D2" i="29"/>
  <c r="E7" i="29"/>
  <c r="F7" i="29" s="1"/>
  <c r="G7" i="34"/>
  <c r="G6" i="34"/>
  <c r="H5" i="29"/>
  <c r="I5" i="29" s="1"/>
  <c r="C7" i="34"/>
  <c r="C2" i="29"/>
  <c r="H7" i="18"/>
  <c r="E7" i="18"/>
  <c r="F7" i="18" s="1"/>
  <c r="H4" i="18"/>
  <c r="I4" i="18" s="1"/>
  <c r="E4" i="18"/>
  <c r="F4" i="18" s="1"/>
  <c r="C2" i="18"/>
  <c r="J2" i="19"/>
  <c r="H2" i="19"/>
  <c r="I2" i="19" s="1"/>
  <c r="H5" i="18"/>
  <c r="C5" i="34"/>
  <c r="D2" i="18"/>
  <c r="D7" i="34"/>
  <c r="I7" i="18"/>
  <c r="G5" i="34"/>
  <c r="I5" i="18"/>
  <c r="H2" i="18"/>
  <c r="I2" i="18" s="1"/>
  <c r="E2" i="20"/>
  <c r="F2" i="20" s="1"/>
  <c r="H6" i="18"/>
  <c r="H2" i="20"/>
  <c r="I2" i="20" s="1"/>
  <c r="H2" i="72"/>
  <c r="I2" i="72" s="1"/>
  <c r="D2" i="1"/>
  <c r="E2" i="4"/>
  <c r="F2" i="4" s="1"/>
  <c r="G2" i="1"/>
  <c r="D5" i="34"/>
  <c r="E5" i="1"/>
  <c r="F5" i="1" s="1"/>
  <c r="C2" i="1"/>
  <c r="E7" i="1"/>
  <c r="F7" i="1" s="1"/>
  <c r="H2" i="3"/>
  <c r="I2" i="3" s="1"/>
  <c r="H5" i="1"/>
  <c r="I5" i="1" s="1"/>
  <c r="H7" i="34" l="1"/>
  <c r="H4" i="34"/>
  <c r="I4" i="34" s="1"/>
  <c r="E6" i="34"/>
  <c r="F6" i="34" s="1"/>
  <c r="E2" i="30"/>
  <c r="F2" i="30" s="1"/>
  <c r="E7" i="34"/>
  <c r="F7" i="34" s="1"/>
  <c r="C2" i="34"/>
  <c r="I7" i="34"/>
  <c r="G2" i="34"/>
  <c r="H2" i="29"/>
  <c r="I2" i="29" s="1"/>
  <c r="E2" i="29"/>
  <c r="F2" i="29" s="1"/>
  <c r="E2" i="18"/>
  <c r="F2" i="18" s="1"/>
  <c r="D2" i="34"/>
  <c r="I6" i="18"/>
  <c r="H6" i="34"/>
  <c r="I6" i="34" s="1"/>
  <c r="E5" i="34"/>
  <c r="F5" i="34" s="1"/>
  <c r="E2" i="1"/>
  <c r="F2" i="1" s="1"/>
  <c r="H2" i="1"/>
  <c r="I2" i="1" s="1"/>
  <c r="H5" i="34"/>
  <c r="I5" i="34" s="1"/>
  <c r="E2" i="34" l="1"/>
  <c r="F2" i="34" s="1"/>
  <c r="H2" i="34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<sst xmlns="http://schemas.openxmlformats.org/spreadsheetml/2006/main" count="271" uniqueCount="68">
  <si>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</si>
  <si>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</si>
  <si>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</si>
  <si>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</si>
  <si>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</si>
  <si>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</si>
  <si>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</si>
  <si>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</si>
  <si>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</si>
  <si>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</si>
  <si>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</si>
  <si>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</si>
  <si>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</si>
  <si>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</si>
  <si>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</si>
  <si>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</si>
  <si>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</si>
  <si>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</si>
  <si>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</si>
  <si>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</si>
  <si>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</si>
  <si>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</si>
  <si>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</si>
  <si>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N/A</t>
  </si>
  <si>
    <t>1. Weather station has not been reporting since 10/29/2024 due to the replacement of the GHI sensor and POA sensor.
2. Site production dropped by about 25% at 11:30 on 10/06 due to Likely one of the inverters is offline.Needs a new board. Client haven't responded</t>
  </si>
  <si>
    <t>1.SR094976, SR092908, SR094976 
2. SR109229</t>
  </si>
  <si>
    <t>1. Closed
2. Closed</t>
  </si>
  <si>
    <t>SR092908</t>
  </si>
  <si>
    <t>SR094976</t>
  </si>
  <si>
    <t>SR109229</t>
  </si>
  <si>
    <t>1. Weather station has not been reporting since 10/29/2024 due to the replacement of the GHI sensor and POA sensor.</t>
  </si>
  <si>
    <t xml:space="preserve">1. SR094976
</t>
  </si>
  <si>
    <t xml:space="preserve">1. Closed
</t>
  </si>
  <si>
    <t xml:space="preserve">1. SR094976 </t>
  </si>
  <si>
    <t>1. Closed</t>
  </si>
  <si>
    <t>1. We don’t have inverter communications or CB data; therefore, we’re unable to 
confirm the energy differential between actual and expected values.
2. Site production was low on 01/01 and 01/24 due to low irradiance.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</si>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</sst>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7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27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left" vertical="center"/>
    </xf>
    <xf numFmtId="0" fontId="35" fillId="0" borderId="0" xfId="45"/>
    <xf numFmtId="0" fontId="35" fillId="0" borderId="0" xfId="45" applyAlignment="1">
      <alignment horizontal="left" vertical="top"/>
    </xf>
    <xf numFmtId="49" fontId="35" fillId="0" borderId="0" xfId="45" applyNumberFormat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164" fontId="28" fillId="44" borderId="0" xfId="1" applyNumberFormat="1" applyFont="1" applyFill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9" fontId="30" fillId="3" borderId="0" xfId="2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0" fontId="34" fillId="40" borderId="0" xfId="0" applyFont="1" applyFill="1" applyAlignment="1">
      <alignment horizontal="center" vertical="center"/>
    </xf>
    <xf numFmtId="49" fontId="35" fillId="0" borderId="0" xfId="45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23" fillId="0" borderId="0" xfId="0" applyFont="1" applyAlignment="1">
      <alignment wrapText="1"/>
    </xf>
    <xf numFmtId="0" fontId="5" fillId="45" borderId="0" xfId="0" applyFont="1" applyFill="1" applyAlignment="1">
      <alignment horizontal="center" vertical="center"/>
    </xf>
    <xf numFmtId="49" fontId="28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5" fillId="45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6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10922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34"/>
  <sheetViews>
    <sheetView workbookViewId="0">
      <pane ySplit="2" topLeftCell="A3" activePane="bottomLeft" state="frozen"/>
      <selection pane="bottomLeft" activeCell="I7" sqref="I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4" t="str" cm="1">
        <f t="array" ref="A1">portfolio</f>
        <v>LX International America, Inc.</v>
      </c>
      <c r="B1" s="74"/>
      <c r="C1" s="74"/>
      <c r="D1" s="75" t="s">
        <v>0</v>
      </c>
      <c r="E1" s="75"/>
      <c r="F1" s="75"/>
      <c r="G1" s="73" t="s">
        <v>1</v>
      </c>
      <c r="H1" s="73"/>
      <c r="I1" s="73"/>
    </row>
    <row r="2" spans="1:11" ht="19.5" customHeight="1">
      <c r="A2" s="76" t="s">
        <v>2</v>
      </c>
      <c r="B2" s="76"/>
      <c r="C2" s="6">
        <f>SUM(C4:C92)</f>
        <v>68549.19</v>
      </c>
      <c r="D2" s="6">
        <f>SUM(D4:D92)</f>
        <v>7508.54</v>
      </c>
      <c r="E2" s="6">
        <f>C2-D2</f>
        <v>61040.65</v>
      </c>
      <c r="F2" s="7">
        <f>IFERROR(E2/D2, 0)</f>
        <v>8.1294965465989399</v>
      </c>
      <c r="G2" s="6">
        <f>SUM(G4:G92)</f>
        <v>0</v>
      </c>
      <c r="H2" s="8">
        <f>C2-G2</f>
        <v>68549.19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24801</v>
      </c>
      <c r="D4" s="14">
        <f>SUM('1st Qtr'!D4, '2nd Qtr'!D4, '3rd Qtr'!D4, '4th Qtr'!D4)</f>
        <v>0</v>
      </c>
      <c r="E4" s="14">
        <f>IF(AND(ISNUMBER(C4),ISNUMBER(D4)), C4-D4, "")</f>
        <v>24801</v>
      </c>
      <c r="F4" s="15" t="str">
        <f>IFERROR(E4/D4, "")</f>
        <v/>
      </c>
      <c r="G4" s="16">
        <f>SUM('1st Qtr'!G4, '2nd Qtr'!G4, '3rd Qtr'!G4, '4th Qtr'!G4)</f>
        <v>0</v>
      </c>
      <c r="H4" s="16">
        <f>SUM('1st Qtr'!H4, '2nd Qtr'!H4, '3rd Qtr'!H4, '4th Qtr'!H4)</f>
        <v>0</v>
      </c>
      <c r="I4" s="17" t="str">
        <f>IFERROR(H4/G4, "")</f>
        <v/>
      </c>
    </row>
    <row r="5" spans="1:11" ht="28.35" customHeight="1">
      <c r="A5" s="32" t="str">
        <v>AZ: Lake Havasu City - Aquatic Center</v>
      </c>
      <c r="B5" s="33" t="str">
        <v>AZ</v>
      </c>
      <c r="C5" s="12">
        <f>SUM('1st Qtr'!C5, '2nd Qtr'!C5, '3rd Qtr'!C5, '4th Qtr'!C5)</f>
        <v>27962.5</v>
      </c>
      <c r="D5" s="20">
        <f>SUM('1st Qtr'!D5, '2nd Qtr'!D5, '3rd Qtr'!D5, '4th Qtr'!D5)</f>
        <v>0</v>
      </c>
      <c r="E5" s="20">
        <f t="shared" ref="E5:E7" si="0">IF(AND(ISNUMBER(C5),ISNUMBER(D5)), C5-D5, "")</f>
        <v>27962.5</v>
      </c>
      <c r="F5" s="21" t="str">
        <f t="shared" ref="F5:F7" si="1">IFERROR(E5/D5, "")</f>
        <v/>
      </c>
      <c r="G5" s="22">
        <f>SUM('1st Qtr'!G5, '2nd Qtr'!G5, '3rd Qtr'!G5, '4th Qtr'!G5)</f>
        <v>0</v>
      </c>
      <c r="H5" s="22">
        <f>SUM('1st Qtr'!H5, '2nd Qtr'!H5, '3rd Qtr'!H5, '4th Qtr'!H5)</f>
        <v>0</v>
      </c>
      <c r="I5" s="21" t="str">
        <f t="shared" ref="I5:I7" si="2">IFERROR(H5/G5, 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SUM('1st Qtr'!C6, '2nd Qtr'!C6, '3rd Qtr'!C6, '4th Qtr'!C6)</f>
        <v>9728.25</v>
      </c>
      <c r="D6" s="14">
        <f>SUM('1st Qtr'!D6, '2nd Qtr'!D6, '3rd Qtr'!D6, '4th Qtr'!D6)</f>
        <v>0</v>
      </c>
      <c r="E6" s="14">
        <f t="shared" si="0"/>
        <v>9728.25</v>
      </c>
      <c r="F6" s="15" t="str">
        <f t="shared" si="1"/>
        <v/>
      </c>
      <c r="G6" s="16">
        <f>SUM('1st Qtr'!G6, '2nd Qtr'!G6, '3rd Qtr'!G6, '4th Qtr'!G6)</f>
        <v>0</v>
      </c>
      <c r="H6" s="16">
        <f>SUM('1st Qtr'!H6, '2nd Qtr'!H6, '3rd Qtr'!H6, '4th Qtr'!H6)</f>
        <v>0</v>
      </c>
      <c r="I6" s="17" t="str">
        <f t="shared" si="2"/>
        <v/>
      </c>
    </row>
    <row r="7" spans="1:11" ht="23.45" customHeight="1">
      <c r="A7" s="32" t="str">
        <v>AZ: Lake Havasu City - Public Works</v>
      </c>
      <c r="B7" s="33" t="str">
        <v>AZ</v>
      </c>
      <c r="C7" s="12">
        <f>SUM('1st Qtr'!C7, '2nd Qtr'!C7, '3rd Qtr'!C7, '4th Qtr'!C7)</f>
        <v>6057.44</v>
      </c>
      <c r="D7" s="20">
        <f>SUM('1st Qtr'!D7, '2nd Qtr'!D7, '3rd Qtr'!D7, '4th Qtr'!D7)</f>
        <v>7508.54</v>
      </c>
      <c r="E7" s="20">
        <f t="shared" si="0"/>
        <v>-1451.1000000000004</v>
      </c>
      <c r="F7" s="21">
        <f t="shared" si="1"/>
        <v>-0.19325994134678651</v>
      </c>
      <c r="G7" s="22">
        <f>SUM('1st Qtr'!G7, '2nd Qtr'!G7, '3rd Qtr'!G7, '4th Qtr'!G7)</f>
        <v>0</v>
      </c>
      <c r="H7" s="22">
        <f>SUM('1st Qtr'!H7, '2nd Qtr'!H7, '3rd Qtr'!H7, '4th Qtr'!H7)</f>
        <v>0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mergeCells count="4">
    <mergeCell ref="G1:I1"/>
    <mergeCell ref="A1:C1"/>
    <mergeCell ref="D1:F1"/>
    <mergeCell ref="A2:B2"/>
  </mergeCells>
  <conditionalFormatting sqref="F2 I2">
    <cfRule type="cellIs" dxfId="48" priority="9" stopIfTrue="1" operator="lessThanOrEqual">
      <formula>-0.1</formula>
    </cfRule>
    <cfRule type="expression" dxfId="47" priority="10">
      <formula>AND(ISNUMBER(F2), F2&gt;=0.1)</formula>
    </cfRule>
  </conditionalFormatting>
  <conditionalFormatting sqref="F4:F92 I4:I92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34"/>
  <sheetViews>
    <sheetView workbookViewId="0">
      <pane ySplit="2" topLeftCell="A3" activePane="bottomLeft" state="frozen"/>
      <selection pane="bottomLeft" activeCell="D6" sqref="D6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4" t="str" cm="1">
        <f t="array" ref="A1">portfolio</f>
        <v>LX International America, Inc.</v>
      </c>
      <c r="B1" s="74"/>
      <c r="C1" s="74"/>
      <c r="D1" s="75" t="s">
        <v>10</v>
      </c>
      <c r="E1" s="75"/>
      <c r="F1" s="75"/>
      <c r="G1" s="73" t="s">
        <v>11</v>
      </c>
      <c r="H1" s="73"/>
      <c r="I1" s="73"/>
    </row>
    <row r="2" spans="1:11" ht="19.5" customHeight="1">
      <c r="A2" s="76" t="s">
        <v>2</v>
      </c>
      <c r="B2" s="76"/>
      <c r="C2" s="6">
        <f>SUM(C4:C92)</f>
        <v>68549.19</v>
      </c>
      <c r="D2" s="6">
        <f>SUM(D4:D92)</f>
        <v>7508.54</v>
      </c>
      <c r="E2" s="6">
        <f>C2-D2</f>
        <v>61040.65</v>
      </c>
      <c r="F2" s="7">
        <f>IFERROR(E2/D2, 0)</f>
        <v>8.1294965465989399</v>
      </c>
      <c r="G2" s="6">
        <f>SUM(G4:G92)</f>
        <v>0</v>
      </c>
      <c r="H2" s="8">
        <f>C2-G2</f>
        <v>68549.19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24801</v>
      </c>
      <c r="D4" s="14">
        <f>SUM(Jan!D4, Feb!D4, Mar!D4)</f>
        <v>0</v>
      </c>
      <c r="E4" s="14">
        <f>IF(AND(ISNUMBER(C4),ISNUMBER(D4)), C4-D4, "")</f>
        <v>24801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 t="str">
        <f>IFERROR(H4/G4,"")</f>
        <v/>
      </c>
    </row>
    <row r="5" spans="1:11" ht="20.45" customHeight="1">
      <c r="A5" s="32" t="str">
        <v>AZ: Lake Havasu City - Aquatic Center</v>
      </c>
      <c r="B5" s="33" t="str">
        <v>AZ</v>
      </c>
      <c r="C5" s="12">
        <f>SUM(Jan!C5, Feb!C5, Mar!C5)</f>
        <v>27962.5</v>
      </c>
      <c r="D5" s="20">
        <f>SUM(Jan!D5, Feb!D5, Mar!D5)</f>
        <v>0</v>
      </c>
      <c r="E5" s="20">
        <f t="shared" ref="E5:E7" si="0">IF(AND(ISNUMBER(C5),ISNUMBER(D5)), C5-D5, "")</f>
        <v>27962.5</v>
      </c>
      <c r="F5" s="21" t="str">
        <f t="shared" ref="F5:F7" si="1">IFERROR(E5/D5, "")</f>
        <v/>
      </c>
      <c r="G5" s="22">
        <f>SUM(Jan!G5, Feb!G5, Mar!G5)</f>
        <v>0</v>
      </c>
      <c r="H5" s="22">
        <f>SUM(Jan!H5, Feb!H5, Mar!H5)</f>
        <v>0</v>
      </c>
      <c r="I5" s="21" t="str">
        <f t="shared" ref="I5:I7" si="2">IFERROR(H5/G5,"")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SUM(Jan!C6, Feb!C6, Mar!C6)</f>
        <v>9728.25</v>
      </c>
      <c r="D6" s="14">
        <f>SUM(Jan!D6, Feb!D6, Mar!D6)</f>
        <v>0</v>
      </c>
      <c r="E6" s="14">
        <f t="shared" si="0"/>
        <v>9728.25</v>
      </c>
      <c r="F6" s="15" t="str">
        <f t="shared" si="1"/>
        <v/>
      </c>
      <c r="G6" s="16">
        <f>SUM(Jan!G6, Feb!G6, Mar!G6)</f>
        <v>0</v>
      </c>
      <c r="H6" s="16">
        <f>SUM(Jan!H6, Feb!H6, Mar!H6)</f>
        <v>0</v>
      </c>
      <c r="I6" s="17" t="str">
        <f t="shared" si="2"/>
        <v/>
      </c>
    </row>
    <row r="7" spans="1:11" ht="20.45" customHeight="1">
      <c r="A7" s="32" t="str">
        <v>AZ: Lake Havasu City - Public Works</v>
      </c>
      <c r="B7" s="33" t="str">
        <v>AZ</v>
      </c>
      <c r="C7" s="12">
        <f>SUM(Jan!C7, Feb!C7, Mar!C7)</f>
        <v>6057.44</v>
      </c>
      <c r="D7" s="20">
        <f>SUM(Jan!D7, Feb!D7, Mar!D7)</f>
        <v>7508.54</v>
      </c>
      <c r="E7" s="20">
        <f t="shared" si="0"/>
        <v>-1451.1000000000004</v>
      </c>
      <c r="F7" s="21">
        <f t="shared" si="1"/>
        <v>-0.19325994134678651</v>
      </c>
      <c r="G7" s="22">
        <f>SUM(Jan!G7, Feb!G7, Mar!G7)</f>
        <v>0</v>
      </c>
      <c r="H7" s="22">
        <f>SUM(Jan!H7, Feb!H7, Mar!H7)</f>
        <v>0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4" priority="11" stopIfTrue="1" operator="lessThanOrEqual">
      <formula>-0.1</formula>
    </cfRule>
    <cfRule type="expression" dxfId="43" priority="12">
      <formula>AND(ISNUMBER(F2), F2&gt;=0.1)</formula>
    </cfRule>
  </conditionalFormatting>
  <conditionalFormatting sqref="F4:F92 I4:I92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4" activePane="bottomLeft" state="frozen"/>
      <selection pane="bottomLeft" activeCell="F4" sqref="F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LX International America, Inc.</v>
      </c>
      <c r="B1" s="74"/>
      <c r="C1" s="74"/>
      <c r="D1" s="75" t="s">
        <v>12</v>
      </c>
      <c r="E1" s="75"/>
      <c r="F1" s="75"/>
      <c r="G1" s="73" t="s">
        <v>13</v>
      </c>
      <c r="H1" s="73"/>
      <c r="I1" s="73"/>
    </row>
    <row r="2" spans="1:9" ht="19.5" customHeight="1">
      <c r="A2" s="76" t="s">
        <v>2</v>
      </c>
      <c r="B2" s="7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7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>
        <f>SUM(Apr!G7,May!G7,Jun!G7)</f>
        <v>0</v>
      </c>
      <c r="H7" s="22">
        <f>SUM(Apr!H7, May!H7, Jun!H7)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7" activePane="bottomLeft" state="frozen"/>
      <selection pane="bottomLeft" activeCell="D7" sqref="D7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LX International America, Inc.</v>
      </c>
      <c r="B1" s="74"/>
      <c r="C1" s="74"/>
      <c r="D1" s="75" t="s">
        <v>14</v>
      </c>
      <c r="E1" s="75"/>
      <c r="F1" s="75"/>
      <c r="G1" s="73" t="s">
        <v>15</v>
      </c>
      <c r="H1" s="73"/>
      <c r="I1" s="73"/>
    </row>
    <row r="2" spans="1:9" ht="19.5" customHeight="1">
      <c r="A2" s="76" t="s">
        <v>2</v>
      </c>
      <c r="B2" s="7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H4" sqref="H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LX International America, Inc.</v>
      </c>
      <c r="B1" s="74"/>
      <c r="C1" s="74"/>
      <c r="D1" s="75" t="s">
        <v>16</v>
      </c>
      <c r="E1" s="75"/>
      <c r="F1" s="75"/>
      <c r="G1" s="73" t="s">
        <v>17</v>
      </c>
      <c r="H1" s="73"/>
      <c r="I1" s="73"/>
    </row>
    <row r="2" spans="1:9" ht="19.5" customHeight="1">
      <c r="A2" s="76" t="s">
        <v>2</v>
      </c>
      <c r="B2" s="7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O334"/>
  <sheetViews>
    <sheetView tabSelected="1" zoomScale="70" zoomScaleNormal="70" workbookViewId="0">
      <pane ySplit="3" topLeftCell="A4" activePane="bottomLeft" state="frozen"/>
      <selection pane="bottomLeft" activeCell="K19" sqref="K19"/>
      <selection activeCell="H22" sqref="H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140625" customWidth="1"/>
    <col min="12" max="12" width="15.85546875" customWidth="1"/>
  </cols>
  <sheetData>
    <row r="1" spans="1:15" ht="19.5" customHeight="1">
      <c r="A1" s="74" t="str" cm="1">
        <f t="array" ref="A1">portfolio</f>
        <v>LX International America, Inc.</v>
      </c>
      <c r="B1" s="74"/>
      <c r="C1" s="74"/>
      <c r="D1" s="75" t="s">
        <v>18</v>
      </c>
      <c r="E1" s="75"/>
      <c r="F1" s="75"/>
      <c r="G1" s="73" t="s">
        <v>19</v>
      </c>
      <c r="H1" s="73"/>
      <c r="I1" s="73"/>
      <c r="J1" s="5"/>
      <c r="K1" s="5"/>
      <c r="L1" s="5"/>
    </row>
    <row r="2" spans="1:15" ht="19.5" customHeight="1">
      <c r="A2" s="76" t="s">
        <v>2</v>
      </c>
      <c r="B2" s="76"/>
      <c r="C2" s="6">
        <f>SUM(C4:C92)</f>
        <v>68549.19</v>
      </c>
      <c r="D2" s="6">
        <f>SUM(D4:D92)</f>
        <v>7508.54</v>
      </c>
      <c r="E2" s="6">
        <f>C2-D2</f>
        <v>61040.65</v>
      </c>
      <c r="F2" s="7">
        <f>IFERROR(E2/D2, 0)</f>
        <v>8.1294965465989399</v>
      </c>
      <c r="G2" s="6">
        <f>SUM(G4:G92)</f>
        <v>0</v>
      </c>
      <c r="H2" s="8">
        <f>C2-G2</f>
        <v>68549.19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  <c r="L2" s="5"/>
    </row>
    <row r="3" spans="1:15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  <c r="L3" s="27" t="s">
        <v>22</v>
      </c>
    </row>
    <row r="4" spans="1:15" ht="57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24801</v>
      </c>
      <c r="D4" s="14" t="s">
        <v>23</v>
      </c>
      <c r="E4" s="14" t="str">
        <f>IF(AND(ISNUMBER(C4),ISNUMBER(D4)), C4-D4, "")</f>
        <v/>
      </c>
      <c r="F4" s="15" t="str">
        <f>IFERROR(E4/D4,"")</f>
        <v/>
      </c>
      <c r="G4" s="66" t="s">
        <v>23</v>
      </c>
      <c r="H4" s="16" t="str">
        <f>IF(AND(ISNUMBER(C4),ISNUMBER(G4)), C4-G4, "")</f>
        <v/>
      </c>
      <c r="I4" s="17" t="str">
        <f>IFERROR(H4/G4, "")</f>
        <v/>
      </c>
      <c r="J4" s="18" t="s">
        <v>24</v>
      </c>
      <c r="K4" s="58" t="s">
        <v>25</v>
      </c>
      <c r="L4" s="18" t="s">
        <v>26</v>
      </c>
      <c r="M4" s="51" t="s">
        <v>27</v>
      </c>
      <c r="N4" s="51" t="s">
        <v>28</v>
      </c>
      <c r="O4" s="51" t="s">
        <v>29</v>
      </c>
    </row>
    <row r="5" spans="1:15" ht="44.25" customHeight="1">
      <c r="A5" s="32" t="str">
        <v>AZ: Lake Havasu City - Aquatic Center</v>
      </c>
      <c r="B5" s="33" t="str">
        <v>AZ</v>
      </c>
      <c r="C5" s="12">
        <v>27962.5</v>
      </c>
      <c r="D5" s="20" t="s">
        <v>23</v>
      </c>
      <c r="E5" s="20" t="str">
        <f t="shared" ref="E5:E6" si="0">IF(AND(ISNUMBER(C5),ISNUMBER(D5)), C5-D5, "")</f>
        <v/>
      </c>
      <c r="F5" s="21" t="str">
        <f t="shared" ref="F5:F7" si="1">IFERROR(E5/D5,"")</f>
        <v/>
      </c>
      <c r="G5" s="65" t="s">
        <v>23</v>
      </c>
      <c r="H5" s="22" t="str">
        <f t="shared" ref="H5:H6" si="2">IF(AND(ISNUMBER(C5),ISNUMBER(G5)), C5-G5, "")</f>
        <v/>
      </c>
      <c r="I5" s="21" t="str">
        <f t="shared" ref="I5:I7" si="3">IFERROR(H5/G5, "")</f>
        <v/>
      </c>
      <c r="J5" s="43" t="s">
        <v>30</v>
      </c>
      <c r="K5" s="53" t="s">
        <v>31</v>
      </c>
      <c r="L5" s="43" t="s">
        <v>32</v>
      </c>
    </row>
    <row r="6" spans="1:15" ht="63" customHeight="1">
      <c r="A6" s="30" t="str">
        <v>AZ: Lake Havasu City - City Hall</v>
      </c>
      <c r="B6" s="31" t="str">
        <v>AZ</v>
      </c>
      <c r="C6" s="26">
        <v>9728.25</v>
      </c>
      <c r="D6" s="14" t="s">
        <v>23</v>
      </c>
      <c r="E6" s="14" t="str">
        <f t="shared" si="0"/>
        <v/>
      </c>
      <c r="F6" s="15" t="str">
        <f t="shared" si="1"/>
        <v/>
      </c>
      <c r="G6" s="66" t="s">
        <v>23</v>
      </c>
      <c r="H6" s="16" t="str">
        <f t="shared" si="2"/>
        <v/>
      </c>
      <c r="I6" s="17" t="str">
        <f t="shared" si="3"/>
        <v/>
      </c>
      <c r="J6" s="18" t="s">
        <v>30</v>
      </c>
      <c r="K6" s="58" t="s">
        <v>33</v>
      </c>
      <c r="L6" s="18" t="s">
        <v>34</v>
      </c>
    </row>
    <row r="7" spans="1:15" ht="49.5" customHeight="1">
      <c r="A7" s="32" t="str">
        <v>AZ: Lake Havasu City - Public Works</v>
      </c>
      <c r="B7" s="33" t="str">
        <v>AZ</v>
      </c>
      <c r="C7" s="12">
        <v>6057.44</v>
      </c>
      <c r="D7" s="20">
        <v>7508.54</v>
      </c>
      <c r="E7" s="20">
        <f t="shared" ref="E7:E8" si="4">IF(AND(ISNUMBER(C7),ISNUMBER(D7)), C7-D7, "")</f>
        <v>-1451.1000000000004</v>
      </c>
      <c r="F7" s="21">
        <f t="shared" si="1"/>
        <v>-0.19325994134678651</v>
      </c>
      <c r="G7" s="65" t="s">
        <v>23</v>
      </c>
      <c r="H7" s="22" t="str">
        <f t="shared" ref="H7:H8" si="5">IF(AND(ISNUMBER(C7),ISNUMBER(G7)), C7-G7, "")</f>
        <v/>
      </c>
      <c r="I7" s="21" t="str">
        <f t="shared" si="3"/>
        <v/>
      </c>
      <c r="J7" s="43" t="s">
        <v>35</v>
      </c>
      <c r="K7" s="43"/>
      <c r="L7" s="43"/>
    </row>
    <row r="8" spans="1:15" ht="15.6">
      <c r="A8" s="32"/>
      <c r="B8" s="33"/>
      <c r="C8" s="12"/>
      <c r="D8" s="20"/>
      <c r="E8" s="20" t="str">
        <f t="shared" si="4"/>
        <v/>
      </c>
      <c r="F8" s="21" t="str">
        <f t="shared" ref="F8" si="6">IFERROR(E8/D8, "")</f>
        <v/>
      </c>
      <c r="G8" s="22"/>
      <c r="H8" s="22" t="str">
        <f t="shared" si="5"/>
        <v/>
      </c>
      <c r="I8" s="21" t="str">
        <f t="shared" ref="I8" si="7">IFERROR(H8/G8, "")</f>
        <v/>
      </c>
      <c r="J8" s="11"/>
      <c r="K8" s="19"/>
      <c r="L8" s="19"/>
    </row>
    <row r="9" spans="1:15" ht="14.45">
      <c r="A9" s="23"/>
      <c r="B9" s="35"/>
      <c r="C9" s="23"/>
      <c r="D9" s="23"/>
      <c r="E9" s="23" t="str">
        <f t="shared" ref="E9" si="8">IF(AND(ISNUMBER(C9),ISNUMBER(D9)), C9-D9, "")</f>
        <v/>
      </c>
      <c r="F9" s="23" t="str">
        <f t="shared" ref="F9" si="9">IFERROR(E9/D9, "")</f>
        <v/>
      </c>
      <c r="G9" s="23"/>
      <c r="H9" s="23" t="str">
        <f t="shared" ref="H9" si="10">IF(AND(ISNUMBER(C9),ISNUMBER(G9)), C9-G9, "")</f>
        <v/>
      </c>
      <c r="I9" s="23" t="str">
        <f t="shared" ref="I9" si="11">IFERROR(H9/G9, "")</f>
        <v/>
      </c>
      <c r="J9" s="23"/>
      <c r="K9" s="23"/>
      <c r="L9" s="23"/>
    </row>
    <row r="10" spans="1:15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5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5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5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5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5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  <c r="L25" s="23"/>
    </row>
    <row r="26" spans="1:12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  <row r="328" spans="1:12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  <c r="L328" s="23"/>
    </row>
    <row r="329" spans="1:12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  <c r="L329" s="23"/>
    </row>
    <row r="330" spans="1:12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  <c r="L330" s="23"/>
    </row>
    <row r="331" spans="1:12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  <c r="L331" s="23"/>
    </row>
    <row r="332" spans="1:12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  <c r="L332" s="23"/>
    </row>
    <row r="333" spans="1:12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  <c r="L333" s="23"/>
    </row>
    <row r="334" spans="1:12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  <c r="L334" s="23"/>
    </row>
  </sheetData>
  <mergeCells count="4">
    <mergeCell ref="D1:F1"/>
    <mergeCell ref="A1:C1"/>
    <mergeCell ref="G1:I1"/>
    <mergeCell ref="A2:B2"/>
  </mergeCells>
  <conditionalFormatting sqref="F2 I2">
    <cfRule type="cellIs" dxfId="34" priority="10" stopIfTrue="1" operator="lessThanOrEqual">
      <formula>-0.1</formula>
    </cfRule>
    <cfRule type="expression" dxfId="33" priority="11">
      <formula>AND(ISNUMBER(F2), F2&gt;=0.1)</formula>
    </cfRule>
  </conditionalFormatting>
  <conditionalFormatting sqref="F4:F92 I4:I92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4" r:id="rId1" display="https://us3.assetplanner.com/service_request?ID=094976" xr:uid="{2A4AE535-89F6-45CB-98AE-25163399015C}"/>
    <hyperlink ref="M4" r:id="rId2" display="https://us3.assetplanner.com/service_request?ID=092908" xr:uid="{DAFA4BA4-56BF-46BF-A709-E51E3B665294}"/>
    <hyperlink ref="N4" r:id="rId3" display="https://us3.assetplanner.com/service_request?ID=094976" xr:uid="{A1598DB7-272C-4E3D-B175-7AE26A95CE56}"/>
    <hyperlink ref="O4" r:id="rId4" display="https://us3.assetplanner.com/service_request?ID=109229" xr:uid="{58EB0648-64E8-4C6A-B79E-761ADF7B417E}"/>
    <hyperlink ref="K5" r:id="rId5" display="https://us3.assetplanner.com/service_request?ID=094976" xr:uid="{BE3BCF28-2AAD-46C7-AFA1-A74EA2E8D6E1}"/>
    <hyperlink ref="K6" r:id="rId6" display="https://us3.assetplanner.com/service_request?ID=094976" xr:uid="{6A916F79-55D1-4E2D-9883-A7D2C41FECE7}"/>
  </hyperlinks>
  <pageMargins left="0.4" right="0.7" top="0.25" bottom="0.25" header="0.3" footer="0.3"/>
  <pageSetup fitToHeight="99" orientation="landscape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13" sqref="J13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36</v>
      </c>
      <c r="E1" s="75"/>
      <c r="F1" s="75"/>
      <c r="G1" s="73" t="s">
        <v>37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15.6">
      <c r="A4" s="50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52"/>
      <c r="L4" s="51"/>
    </row>
    <row r="5" spans="1:12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 t="shared" ref="F5:F7" si="1">IFERROR(E5/D5,"")</f>
        <v/>
      </c>
      <c r="G5" s="22"/>
      <c r="H5" s="22" t="str">
        <f t="shared" ref="H5:H7" si="2">IF(AND(ISNUMBER(C5),ISNUMBER(G5)), C5-G5, "")</f>
        <v/>
      </c>
      <c r="I5" s="21" t="str">
        <f t="shared" ref="I5:I7" si="3">IFERROR(H5/G5, "")</f>
        <v/>
      </c>
      <c r="J5" s="43"/>
      <c r="K5" s="53"/>
    </row>
    <row r="6" spans="1:12" ht="15.6">
      <c r="A6" s="49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si="1"/>
        <v/>
      </c>
      <c r="G6" s="16"/>
      <c r="H6" s="16" t="str">
        <f t="shared" si="2"/>
        <v/>
      </c>
      <c r="I6" s="17" t="str">
        <f t="shared" si="3"/>
        <v/>
      </c>
      <c r="J6" s="18"/>
      <c r="K6" s="52"/>
    </row>
    <row r="7" spans="1:12" ht="43.5" customHeight="1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1"/>
        <v/>
      </c>
      <c r="G7" s="22"/>
      <c r="H7" s="22" t="str">
        <f t="shared" si="2"/>
        <v/>
      </c>
      <c r="I7" s="21" t="str">
        <f t="shared" si="3"/>
        <v/>
      </c>
      <c r="J7" s="43"/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2"/>
      <c r="G8" s="22" t="str">
        <f>IF(AND(ISNUMBER(C8),ISNUMBER(F8)), C8-F8, "")</f>
        <v/>
      </c>
      <c r="H8" s="21" t="str">
        <f t="shared" ref="H8" si="4">IFERROR(G8/F8, "")</f>
        <v/>
      </c>
      <c r="I8" s="11"/>
      <c r="J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H8 I9:I93">
    <cfRule type="cellIs" dxfId="30" priority="25" stopIfTrue="1" operator="lessThanOrEqual">
      <formula>-0.1</formula>
    </cfRule>
    <cfRule type="expression" dxfId="29" priority="26">
      <formula>AND(ISNUMBER(F2), F2&gt;=0.1)</formula>
    </cfRule>
  </conditionalFormatting>
  <conditionalFormatting sqref="I4:I7 F4:F9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P4 S4 P6 S6">
    <cfRule type="cellIs" dxfId="26" priority="11" stopIfTrue="1" operator="lessThanOrEqual">
      <formula>-0.1</formula>
    </cfRule>
    <cfRule type="expression" dxfId="25" priority="12">
      <formula>AND(ISNUMBER(P4), P4&gt;=0.1)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J21" sqref="J21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38</v>
      </c>
      <c r="E1" s="75"/>
      <c r="F1" s="75"/>
      <c r="G1" s="73" t="s">
        <v>39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5"/>
      <c r="D4" s="14"/>
      <c r="E4" s="14" t="str">
        <f>IF(AND(ISNUMBER(C4),ISNUMBER(D4)), C4-D4, "")</f>
        <v/>
      </c>
      <c r="F4" s="57" t="str">
        <f>IFERROR(E4/D4,"")</f>
        <v/>
      </c>
      <c r="G4" s="56"/>
      <c r="H4" s="56" t="str">
        <f>IF(AND(ISNUMBER(C4),ISNUMBER(G4)), C4-G4, "")</f>
        <v/>
      </c>
      <c r="I4" s="17" t="str">
        <f>IFERROR(H4/G4,"")</f>
        <v/>
      </c>
      <c r="J4" s="18"/>
      <c r="K4" s="58"/>
      <c r="L4" s="59"/>
    </row>
    <row r="5" spans="1:12" ht="27.6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 t="shared" ref="F5:F7" si="1">IFERROR(E5/D5,"")</f>
        <v/>
      </c>
      <c r="G5" s="22"/>
      <c r="H5" s="22" t="str">
        <f t="shared" ref="H5:H8" si="2">IF(AND(ISNUMBER(C5),ISNUMBER(G5)), C5-G5, "")</f>
        <v/>
      </c>
      <c r="I5" s="21" t="str">
        <f t="shared" ref="I5:I7" si="3">IFERROR(H5/G5,"")</f>
        <v/>
      </c>
      <c r="J5" s="43"/>
      <c r="K5" s="53"/>
    </row>
    <row r="6" spans="1:12" ht="15.6">
      <c r="A6" s="30" t="str">
        <v>AZ: Lake Havasu City - City Hall</v>
      </c>
      <c r="B6" s="31" t="str">
        <v>AZ</v>
      </c>
      <c r="C6" s="55"/>
      <c r="D6" s="14"/>
      <c r="E6" s="14" t="str">
        <f t="shared" si="0"/>
        <v/>
      </c>
      <c r="F6" s="57" t="str">
        <f t="shared" si="1"/>
        <v/>
      </c>
      <c r="G6" s="56"/>
      <c r="H6" s="56" t="str">
        <f t="shared" si="2"/>
        <v/>
      </c>
      <c r="I6" s="17" t="str">
        <f t="shared" si="3"/>
        <v/>
      </c>
      <c r="J6" s="54"/>
      <c r="K6" s="58"/>
    </row>
    <row r="7" spans="1:12" ht="48" customHeight="1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1"/>
        <v/>
      </c>
      <c r="G7" s="22"/>
      <c r="H7" s="22" t="str">
        <f t="shared" si="2"/>
        <v/>
      </c>
      <c r="I7" s="21" t="str">
        <f t="shared" si="3"/>
        <v/>
      </c>
      <c r="J7" s="43"/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ref="F8" si="4">IFERROR(E8/D8, "")</f>
        <v/>
      </c>
      <c r="G8" s="22"/>
      <c r="H8" s="22" t="str">
        <f t="shared" si="2"/>
        <v/>
      </c>
      <c r="I8" s="21" t="str">
        <f t="shared" ref="I8" si="5">IFERROR(H8/G8, "")</f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">
    <cfRule type="cellIs" dxfId="24" priority="17" stopIfTrue="1" operator="lessThanOrEqual">
      <formula>-0.1</formula>
    </cfRule>
    <cfRule type="expression" dxfId="23" priority="18">
      <formula>AND(ISNUMBER(F2), F2&gt;=0.1)</formula>
    </cfRule>
  </conditionalFormatting>
  <conditionalFormatting sqref="F4:F93 I4:I93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J4" activeCellId="3" sqref="K4 C4:D7 G4:G7 J4:AB8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40</v>
      </c>
      <c r="E1" s="75"/>
      <c r="F1" s="75"/>
      <c r="G1" s="73" t="s">
        <v>41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15.6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60"/>
      <c r="H4" s="16" t="str">
        <f>IF(AND(ISNUMBER(C4),ISNUMBER(G4)), C4-G4, "")</f>
        <v/>
      </c>
      <c r="I4" s="17" t="str">
        <f>IFERROR(H4/G4, "")</f>
        <v/>
      </c>
      <c r="J4" s="18"/>
      <c r="K4" s="58"/>
      <c r="L4" s="52"/>
    </row>
    <row r="5" spans="1:12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61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53"/>
    </row>
    <row r="6" spans="1:12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60"/>
      <c r="H6" s="16" t="str">
        <f t="shared" si="1"/>
        <v/>
      </c>
      <c r="I6" s="17" t="str">
        <f t="shared" si="2"/>
        <v/>
      </c>
      <c r="J6" s="54"/>
      <c r="K6" s="53"/>
    </row>
    <row r="7" spans="1:12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61"/>
      <c r="H7" s="22" t="str">
        <f t="shared" si="1"/>
        <v/>
      </c>
      <c r="I7" s="21" t="str">
        <f t="shared" si="2"/>
        <v/>
      </c>
      <c r="J7" s="43"/>
      <c r="K7" s="5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5"/>
  <sheetViews>
    <sheetView zoomScale="60" zoomScaleNormal="60" workbookViewId="0">
      <pane ySplit="2" topLeftCell="A3" activePane="bottomLeft" state="frozen"/>
      <selection pane="bottomLeft" activeCell="J13" sqref="J13"/>
      <selection activeCell="G12" sqref="G1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42</v>
      </c>
      <c r="E1" s="75"/>
      <c r="F1" s="75"/>
      <c r="G1" s="73" t="s">
        <v>43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40.5" customHeight="1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58"/>
      <c r="L4" s="52"/>
    </row>
    <row r="5" spans="1:12" ht="49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53"/>
    </row>
    <row r="6" spans="1:12" ht="43.5" customHeight="1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54"/>
      <c r="K6" s="58"/>
    </row>
    <row r="7" spans="1:12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6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J4" activeCellId="2" sqref="C4:D7 G4:G7 J4:L7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44</v>
      </c>
      <c r="E1" s="75"/>
      <c r="F1" s="75"/>
      <c r="G1" s="73" t="s">
        <v>45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60"/>
      <c r="H4" s="16" t="str">
        <f>IF(AND(ISNUMBER(C4),ISNUMBER(G4)), C4-G4, "")</f>
        <v/>
      </c>
      <c r="I4" s="17" t="str">
        <f>IFERROR(H4/G4, "")</f>
        <v/>
      </c>
      <c r="J4" s="18"/>
      <c r="K4" s="58"/>
      <c r="L4" s="52"/>
    </row>
    <row r="5" spans="1:12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61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53"/>
    </row>
    <row r="6" spans="1:12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60"/>
      <c r="H6" s="16" t="str">
        <f t="shared" si="1"/>
        <v/>
      </c>
      <c r="I6" s="17" t="str">
        <f t="shared" si="2"/>
        <v/>
      </c>
      <c r="J6" s="18"/>
      <c r="K6" s="58"/>
    </row>
    <row r="7" spans="1:12" ht="42.75" customHeight="1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61"/>
      <c r="H7" s="22" t="str">
        <f t="shared" si="1"/>
        <v/>
      </c>
      <c r="I7" s="21" t="str">
        <f t="shared" si="2"/>
        <v/>
      </c>
      <c r="J7" s="43"/>
      <c r="K7" s="44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4" activeCellId="3" sqref="H26 C4:D7 G4:G7 J4:Z7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4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46</v>
      </c>
      <c r="E1" s="75"/>
      <c r="F1" s="75"/>
      <c r="G1" s="73" t="s">
        <v>47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60"/>
      <c r="H4" s="16" t="str">
        <f>IF(AND(ISNUMBER(C4),ISNUMBER(G4)), C4-G4, "")</f>
        <v/>
      </c>
      <c r="I4" s="17" t="str">
        <f>IFERROR(H4/G4, "")</f>
        <v/>
      </c>
      <c r="J4" s="18"/>
      <c r="K4" s="58"/>
      <c r="L4" s="52"/>
    </row>
    <row r="5" spans="1:12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61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53"/>
    </row>
    <row r="6" spans="1:12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60"/>
      <c r="H6" s="16" t="str">
        <f t="shared" si="1"/>
        <v/>
      </c>
      <c r="I6" s="17" t="str">
        <f t="shared" si="2"/>
        <v/>
      </c>
      <c r="J6" s="18"/>
      <c r="K6" s="58"/>
    </row>
    <row r="7" spans="1:12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61"/>
      <c r="H7" s="22" t="str">
        <f t="shared" si="1"/>
        <v/>
      </c>
      <c r="I7" s="21" t="str">
        <f t="shared" si="2"/>
        <v/>
      </c>
      <c r="J7" s="43"/>
      <c r="K7" s="45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G4" activeCellId="1" sqref="C4:D7 G4:G8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8554687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48</v>
      </c>
      <c r="E1" s="75"/>
      <c r="F1" s="75"/>
      <c r="G1" s="73" t="s">
        <v>49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15.6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47"/>
      <c r="D4" s="14"/>
      <c r="E4" s="14" t="str">
        <f>IF(AND(ISNUMBER(C4),ISNUMBER(D4)), C4-D4, "")</f>
        <v/>
      </c>
      <c r="F4" s="15" t="str">
        <f>IFERROR(E4/D4, "")</f>
        <v/>
      </c>
      <c r="G4" s="66"/>
      <c r="H4" s="16" t="str">
        <f>IF(AND(ISNUMBER(C4),ISNUMBER(G4)), C4-G4, "")</f>
        <v/>
      </c>
      <c r="I4" s="17" t="str">
        <f>IFERROR(H4/G4, "")</f>
        <v/>
      </c>
      <c r="J4" s="18"/>
      <c r="K4" s="58"/>
      <c r="L4" s="52"/>
    </row>
    <row r="5" spans="1:12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65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53"/>
    </row>
    <row r="6" spans="1:12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66"/>
      <c r="H6" s="16" t="str">
        <f t="shared" si="1"/>
        <v/>
      </c>
      <c r="I6" s="17" t="str">
        <f t="shared" si="2"/>
        <v/>
      </c>
      <c r="J6" s="18"/>
      <c r="K6" s="58"/>
    </row>
    <row r="7" spans="1:12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65"/>
      <c r="H7" s="22" t="str">
        <f t="shared" si="1"/>
        <v/>
      </c>
      <c r="I7" s="21" t="str">
        <f t="shared" si="2"/>
        <v/>
      </c>
      <c r="J7" s="43"/>
      <c r="K7" s="6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G4" activeCellId="1" sqref="C4:D7 G4:G7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5703125" customWidth="1"/>
    <col min="11" max="11" width="20.5703125" bestFit="1" customWidth="1"/>
    <col min="12" max="12" width="8.85546875" style="64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50</v>
      </c>
      <c r="E1" s="75"/>
      <c r="F1" s="75"/>
      <c r="G1" s="73" t="s">
        <v>51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66"/>
      <c r="H4" s="16" t="str">
        <f>IF(AND(ISNUMBER(C4),ISNUMBER(G4)), C4-G4, "")</f>
        <v/>
      </c>
      <c r="I4" s="17" t="str">
        <f>IFERROR(H4/G4, "")</f>
        <v/>
      </c>
      <c r="J4" s="18"/>
      <c r="K4" s="58"/>
      <c r="L4" s="52"/>
    </row>
    <row r="5" spans="1:12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65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63"/>
    </row>
    <row r="6" spans="1:12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66"/>
      <c r="H6" s="16" t="str">
        <f t="shared" si="1"/>
        <v/>
      </c>
      <c r="I6" s="17" t="str">
        <f t="shared" si="2"/>
        <v/>
      </c>
      <c r="J6" s="18"/>
      <c r="K6" s="58"/>
    </row>
    <row r="7" spans="1:12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65"/>
      <c r="H7" s="22" t="str">
        <f t="shared" si="1"/>
        <v/>
      </c>
      <c r="I7" s="21" t="str">
        <f t="shared" si="2"/>
        <v/>
      </c>
      <c r="J7" s="43"/>
      <c r="K7" s="6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33"/>
  <sheetViews>
    <sheetView zoomScale="70" zoomScaleNormal="70" workbookViewId="0">
      <pane ySplit="2" topLeftCell="A3" activePane="bottomLeft" state="frozen"/>
      <selection pane="bottomLeft" activeCell="J4" activeCellId="3" sqref="L9 C4:D7 G4:G7 J4:M7"/>
      <selection activeCell="J19" sqref="J19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  <col min="12" max="12" width="20.5703125" customWidth="1"/>
  </cols>
  <sheetData>
    <row r="1" spans="1:13" ht="19.5" customHeight="1">
      <c r="A1" s="74" t="str" cm="1">
        <f t="array" ref="A1">portfolio</f>
        <v>LX International America, Inc.</v>
      </c>
      <c r="B1" s="74"/>
      <c r="C1" s="74"/>
      <c r="D1" s="75" t="s">
        <v>52</v>
      </c>
      <c r="E1" s="75"/>
      <c r="F1" s="75"/>
      <c r="G1" s="73" t="s">
        <v>53</v>
      </c>
      <c r="H1" s="73"/>
      <c r="I1" s="73"/>
      <c r="J1" s="5"/>
      <c r="K1" s="5"/>
      <c r="L1" s="5"/>
    </row>
    <row r="2" spans="1:13" ht="19.5" customHeight="1">
      <c r="A2" s="76" t="s">
        <v>2</v>
      </c>
      <c r="B2" s="7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  <c r="L2" s="5"/>
    </row>
    <row r="3" spans="1:13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  <c r="L3" s="68" t="s">
        <v>22</v>
      </c>
    </row>
    <row r="4" spans="1:13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60"/>
      <c r="H4" s="16" t="str">
        <f>IF(AND(ISNUMBER(C4),ISNUMBER(G4)), C4-G4, "")</f>
        <v/>
      </c>
      <c r="I4" s="17" t="str">
        <f>IFERROR(H4/G4, "")</f>
        <v/>
      </c>
      <c r="J4" s="18"/>
      <c r="K4" s="58"/>
      <c r="L4" s="18"/>
      <c r="M4" s="51"/>
    </row>
    <row r="5" spans="1:13" ht="39.7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61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69"/>
      <c r="K5" s="63"/>
      <c r="L5" s="48"/>
    </row>
    <row r="6" spans="1:13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60"/>
      <c r="H6" s="16" t="str">
        <f t="shared" si="1"/>
        <v/>
      </c>
      <c r="I6" s="17" t="str">
        <f t="shared" si="2"/>
        <v/>
      </c>
      <c r="J6" s="18"/>
      <c r="K6" s="58"/>
      <c r="L6" s="18"/>
    </row>
    <row r="7" spans="1:13" ht="15.6">
      <c r="A7" s="32" t="str">
        <v>AZ: Lake Havasu City - Public Works</v>
      </c>
      <c r="B7" s="33" t="str">
        <v>AZ</v>
      </c>
      <c r="C7" s="12"/>
      <c r="D7" s="20"/>
      <c r="E7" s="20" t="str">
        <f>IF(AND(ISNUMBER(C7),ISNUMBER(D7)), C7-D7, "")</f>
        <v/>
      </c>
      <c r="F7" s="21" t="str">
        <f t="shared" si="3"/>
        <v/>
      </c>
      <c r="G7" s="61"/>
      <c r="H7" s="22" t="str">
        <f t="shared" si="1"/>
        <v/>
      </c>
      <c r="I7" s="21" t="str">
        <f t="shared" si="2"/>
        <v/>
      </c>
      <c r="J7" s="67"/>
      <c r="K7" s="63"/>
      <c r="L7" s="48"/>
    </row>
    <row r="8" spans="1:13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3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3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3" ht="13.9">
      <c r="A11" s="23"/>
      <c r="B11" s="23"/>
      <c r="C11" s="23"/>
      <c r="F11" s="23"/>
      <c r="G11" s="23"/>
      <c r="H11" s="23"/>
      <c r="I11" s="23"/>
      <c r="J11" s="23"/>
      <c r="K11" s="23"/>
      <c r="L11" s="23"/>
    </row>
    <row r="12" spans="1:13" ht="13.9">
      <c r="A12" s="23"/>
      <c r="B12" s="23"/>
      <c r="F12" s="23"/>
      <c r="G12" s="23"/>
      <c r="H12" s="23"/>
      <c r="I12" s="23"/>
      <c r="J12" s="23"/>
      <c r="K12" s="23"/>
      <c r="L12" s="23"/>
    </row>
    <row r="13" spans="1:13" ht="13.9">
      <c r="A13" s="23"/>
      <c r="B13" s="23"/>
      <c r="F13" s="23"/>
      <c r="G13" s="23"/>
      <c r="H13" s="23"/>
      <c r="I13" s="23"/>
      <c r="J13" s="23"/>
      <c r="K13" s="23"/>
      <c r="L13" s="23"/>
    </row>
    <row r="14" spans="1:13" ht="14.45">
      <c r="A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3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3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4.45">
      <c r="A20" s="23"/>
      <c r="B20" s="35"/>
      <c r="C20" s="23"/>
      <c r="D20" s="23"/>
      <c r="E20" s="23"/>
      <c r="F20" s="23"/>
      <c r="G20" s="23"/>
      <c r="H20" s="23"/>
      <c r="I20" s="23"/>
      <c r="K20" s="23"/>
      <c r="L20" s="23"/>
    </row>
    <row r="21" spans="1:12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ht="14.45">
      <c r="A24" s="23"/>
      <c r="B24" s="35"/>
      <c r="C24" s="23"/>
      <c r="D24" s="23"/>
      <c r="H24" s="23"/>
      <c r="I24" s="24"/>
      <c r="J24" s="23"/>
      <c r="K24" s="23"/>
      <c r="L24" s="23"/>
    </row>
    <row r="25" spans="1:12" ht="14.45">
      <c r="A25" s="23"/>
      <c r="B25" s="35"/>
      <c r="C25" s="23"/>
      <c r="D25" s="23"/>
      <c r="H25" s="23"/>
      <c r="I25" s="24"/>
      <c r="J25" s="23"/>
      <c r="K25" s="23"/>
      <c r="L25" s="23"/>
    </row>
    <row r="26" spans="1:12" ht="14.45">
      <c r="A26" s="23"/>
      <c r="B26" s="35"/>
      <c r="C26" s="23"/>
      <c r="D26" s="24"/>
      <c r="E26" s="23"/>
      <c r="F26" s="23"/>
      <c r="H26" s="23"/>
      <c r="I26" s="24"/>
      <c r="J26" s="23"/>
      <c r="K26" s="23"/>
      <c r="L26" s="23"/>
    </row>
    <row r="27" spans="1:12" ht="14.45">
      <c r="A27" s="23"/>
      <c r="B27" s="35"/>
      <c r="C27" s="23"/>
      <c r="D27" s="24"/>
      <c r="E27" s="23"/>
      <c r="F27" s="23"/>
      <c r="H27" s="23"/>
      <c r="I27" s="24"/>
      <c r="J27" s="23"/>
      <c r="K27" s="23"/>
      <c r="L27" s="23"/>
    </row>
    <row r="28" spans="1:12" ht="14.45">
      <c r="A28" s="23"/>
      <c r="B28" s="35"/>
      <c r="C28" s="23"/>
      <c r="D28" s="24"/>
      <c r="E28" s="23"/>
      <c r="F28" s="23"/>
      <c r="H28" s="23"/>
      <c r="I28" s="24"/>
      <c r="K28" s="23"/>
      <c r="L28" s="23"/>
    </row>
    <row r="29" spans="1:12" ht="14.45">
      <c r="A29" s="23"/>
      <c r="B29" s="35"/>
      <c r="C29" s="23"/>
      <c r="D29" s="24"/>
      <c r="E29" s="23"/>
      <c r="F29" s="23"/>
      <c r="H29" s="23"/>
      <c r="I29" s="24"/>
      <c r="J29" s="23"/>
      <c r="K29" s="23"/>
      <c r="L29" s="23"/>
    </row>
    <row r="30" spans="1:12" ht="14.45">
      <c r="A30" s="23"/>
      <c r="B30" s="35"/>
      <c r="C30" s="23"/>
      <c r="D30" s="24"/>
      <c r="E30" s="23"/>
      <c r="F30" s="23"/>
      <c r="H30" s="23"/>
      <c r="I30" s="24"/>
      <c r="J30" s="23"/>
      <c r="K30" s="23"/>
      <c r="L30" s="23"/>
    </row>
    <row r="31" spans="1:12" ht="14.45">
      <c r="A31" s="23"/>
      <c r="B31" s="35"/>
      <c r="C31" s="23"/>
      <c r="D31" s="24"/>
      <c r="E31" s="23"/>
      <c r="F31" s="23"/>
      <c r="H31" s="23"/>
      <c r="I31" s="24"/>
      <c r="J31" s="23"/>
      <c r="K31" s="23"/>
      <c r="L31" s="23"/>
    </row>
    <row r="32" spans="1:12" ht="14.45">
      <c r="A32" s="23"/>
      <c r="B32" s="35"/>
      <c r="C32" s="23"/>
      <c r="D32" s="24"/>
      <c r="E32" s="23"/>
      <c r="F32" s="23"/>
      <c r="H32" s="23"/>
      <c r="I32" s="24"/>
      <c r="J32" s="23"/>
      <c r="K32" s="23"/>
      <c r="L32" s="23"/>
    </row>
    <row r="33" spans="1:12" ht="14.45">
      <c r="A33" s="23"/>
      <c r="B33" s="35"/>
      <c r="C33" s="23"/>
      <c r="D33" s="24"/>
      <c r="E33" s="23"/>
      <c r="F33" s="23"/>
      <c r="H33" s="23"/>
      <c r="I33" s="24"/>
      <c r="J33" s="23"/>
      <c r="K33" s="23"/>
      <c r="L33" s="23"/>
    </row>
    <row r="34" spans="1:12" ht="14.45">
      <c r="A34" s="23"/>
      <c r="B34" s="35"/>
      <c r="C34" s="23"/>
      <c r="D34" s="24"/>
      <c r="E34" s="23"/>
      <c r="F34" s="23"/>
      <c r="H34" s="23"/>
      <c r="I34" s="24"/>
      <c r="J34" s="23"/>
      <c r="K34" s="23"/>
      <c r="L34" s="23"/>
    </row>
    <row r="35" spans="1:12" ht="14.45">
      <c r="A35" s="23"/>
      <c r="B35" s="35"/>
      <c r="C35" s="23"/>
      <c r="D35" s="24"/>
      <c r="E35" s="23"/>
      <c r="F35" s="23"/>
      <c r="H35" s="23"/>
      <c r="I35" s="24"/>
      <c r="J35" s="23"/>
      <c r="K35" s="23"/>
      <c r="L35" s="23"/>
    </row>
    <row r="36" spans="1:12" ht="14.45">
      <c r="A36" s="23"/>
      <c r="B36" s="35"/>
      <c r="C36" s="23"/>
      <c r="D36" s="24"/>
      <c r="E36" s="23"/>
      <c r="F36" s="23"/>
      <c r="H36" s="23"/>
      <c r="I36" s="24"/>
      <c r="J36" s="23"/>
      <c r="K36" s="23"/>
      <c r="L36" s="23"/>
    </row>
    <row r="37" spans="1:12" ht="14.45">
      <c r="A37" s="23"/>
      <c r="B37" s="35"/>
      <c r="C37" s="23"/>
      <c r="D37" s="24"/>
      <c r="E37" s="23"/>
      <c r="F37" s="23"/>
      <c r="H37" s="23"/>
      <c r="I37" s="24"/>
      <c r="J37" s="23"/>
      <c r="K37" s="23"/>
      <c r="L37" s="23"/>
    </row>
    <row r="38" spans="1:12" ht="14.45">
      <c r="A38" s="23"/>
      <c r="B38" s="35"/>
      <c r="C38" s="23"/>
      <c r="D38" s="24"/>
      <c r="E38" s="23"/>
      <c r="F38" s="23"/>
      <c r="H38" s="23"/>
      <c r="I38" s="24"/>
      <c r="J38" s="23"/>
      <c r="K38" s="23"/>
      <c r="L38" s="23"/>
    </row>
    <row r="39" spans="1:12" ht="14.45">
      <c r="A39" s="23"/>
      <c r="B39" s="35"/>
      <c r="C39" s="23"/>
      <c r="D39" s="24"/>
      <c r="E39" s="23"/>
      <c r="F39" s="23"/>
      <c r="H39" s="23"/>
      <c r="I39" s="24"/>
      <c r="J39" s="23"/>
      <c r="K39" s="23"/>
      <c r="L39" s="23"/>
    </row>
    <row r="40" spans="1:12" ht="14.45">
      <c r="A40" s="23"/>
      <c r="B40" s="35"/>
      <c r="C40" s="23"/>
      <c r="D40" s="24"/>
      <c r="E40" s="23"/>
      <c r="F40" s="23"/>
      <c r="H40" s="23"/>
      <c r="I40" s="24"/>
      <c r="J40" s="23"/>
      <c r="K40" s="23"/>
      <c r="L40" s="23"/>
    </row>
    <row r="41" spans="1:12" ht="14.4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  <c r="L41" s="23"/>
    </row>
    <row r="42" spans="1:12" ht="14.4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  <row r="328" spans="1:12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  <c r="L328" s="23"/>
    </row>
    <row r="329" spans="1:12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  <c r="L329" s="23"/>
    </row>
    <row r="330" spans="1:12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  <c r="L330" s="23"/>
    </row>
    <row r="331" spans="1:12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  <c r="L331" s="23"/>
    </row>
    <row r="332" spans="1:12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  <c r="L332" s="23"/>
    </row>
    <row r="333" spans="1:12" ht="14.45">
      <c r="C333" s="23"/>
      <c r="D333" s="23"/>
      <c r="E333" s="23"/>
      <c r="F333" s="24"/>
      <c r="G333" s="23"/>
      <c r="H333" s="23"/>
      <c r="I333" s="24"/>
      <c r="J333" s="23"/>
      <c r="K333" s="23"/>
      <c r="L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O335"/>
  <sheetViews>
    <sheetView topLeftCell="C1" zoomScale="80" zoomScaleNormal="80" workbookViewId="0">
      <pane ySplit="2" topLeftCell="A3" activePane="bottomLeft" state="frozen"/>
      <selection pane="bottomLeft" activeCell="G4" activeCellId="2" sqref="J4:R8 C4:D7 G4:G8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style="70" customWidth="1"/>
    <col min="13" max="15" width="9.140625" style="70"/>
  </cols>
  <sheetData>
    <row r="1" spans="1:15" ht="19.5" customHeight="1">
      <c r="A1" s="74" t="str" cm="1">
        <f t="array" ref="A1">portfolio</f>
        <v>LX International America, Inc.</v>
      </c>
      <c r="B1" s="74"/>
      <c r="C1" s="74"/>
      <c r="D1" s="75" t="s">
        <v>54</v>
      </c>
      <c r="E1" s="75"/>
      <c r="F1" s="75"/>
      <c r="G1" s="73" t="s">
        <v>55</v>
      </c>
      <c r="H1" s="73"/>
      <c r="I1" s="73"/>
      <c r="J1" s="5"/>
      <c r="K1" s="5"/>
    </row>
    <row r="2" spans="1:15" ht="19.5" customHeight="1">
      <c r="A2" s="76" t="s">
        <v>2</v>
      </c>
      <c r="B2" s="7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5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  <c r="L3" s="71" t="s">
        <v>22</v>
      </c>
    </row>
    <row r="4" spans="1:15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60"/>
      <c r="H4" s="16" t="str">
        <f>IF(AND(ISNUMBER(C4),ISNUMBER(G4)), C4-G4, "")</f>
        <v/>
      </c>
      <c r="I4" s="17" t="str">
        <f>IFERROR(H4/G4, "")</f>
        <v/>
      </c>
      <c r="J4" s="18"/>
      <c r="K4" s="58"/>
      <c r="L4" s="18"/>
      <c r="M4" s="59"/>
      <c r="N4" s="59"/>
      <c r="O4" s="59"/>
    </row>
    <row r="5" spans="1:15" ht="60.7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61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53"/>
      <c r="L5" s="72"/>
      <c r="M5" s="59"/>
    </row>
    <row r="6" spans="1:15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60"/>
      <c r="H6" s="16" t="str">
        <f t="shared" si="1"/>
        <v/>
      </c>
      <c r="I6" s="17" t="str">
        <f t="shared" si="2"/>
        <v/>
      </c>
      <c r="J6" s="18"/>
      <c r="K6" s="58"/>
      <c r="L6" s="18"/>
    </row>
    <row r="7" spans="1:15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61"/>
      <c r="H7" s="22" t="str">
        <f t="shared" si="1"/>
        <v/>
      </c>
      <c r="I7" s="21" t="str">
        <f t="shared" si="2"/>
        <v/>
      </c>
      <c r="J7" s="46"/>
      <c r="K7" s="19"/>
    </row>
    <row r="8" spans="1:15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5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5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5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5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5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5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5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5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35"/>
  <sheetViews>
    <sheetView topLeftCell="C1" zoomScale="70" zoomScaleNormal="70" workbookViewId="0">
      <pane ySplit="2" topLeftCell="A3" activePane="bottomLeft" state="frozen"/>
      <selection pane="bottomLeft" activeCell="G4" sqref="G4:G8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.28515625" customWidth="1"/>
  </cols>
  <sheetData>
    <row r="1" spans="1:14" ht="19.5" customHeight="1">
      <c r="A1" s="74" t="str" cm="1">
        <f t="array" ref="A1">portfolio</f>
        <v>LX International America, Inc.</v>
      </c>
      <c r="B1" s="74"/>
      <c r="C1" s="74"/>
      <c r="D1" s="75" t="s">
        <v>56</v>
      </c>
      <c r="E1" s="75"/>
      <c r="F1" s="75"/>
      <c r="G1" s="73" t="s">
        <v>57</v>
      </c>
      <c r="H1" s="73"/>
      <c r="I1" s="73"/>
      <c r="J1" s="5"/>
      <c r="K1" s="5"/>
      <c r="L1" s="5"/>
    </row>
    <row r="2" spans="1:14" ht="19.5" customHeight="1">
      <c r="A2" s="76" t="s">
        <v>2</v>
      </c>
      <c r="B2" s="7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  <c r="L2" s="28"/>
    </row>
    <row r="3" spans="1:14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  <c r="L3" s="27" t="s">
        <v>22</v>
      </c>
    </row>
    <row r="4" spans="1:14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66"/>
      <c r="H4" s="16" t="str">
        <f>IF(AND(ISNUMBER(C4),ISNUMBER(G4)), C4-G4, "")</f>
        <v/>
      </c>
      <c r="I4" s="17" t="str">
        <f>IFERROR(H4/G4, "")</f>
        <v/>
      </c>
      <c r="J4" s="18"/>
      <c r="K4" s="58"/>
      <c r="L4" s="18"/>
      <c r="M4" s="51"/>
      <c r="N4" s="51"/>
    </row>
    <row r="5" spans="1:14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65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53"/>
      <c r="L5" s="46"/>
    </row>
    <row r="6" spans="1:14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66"/>
      <c r="H6" s="16" t="str">
        <f t="shared" si="1"/>
        <v/>
      </c>
      <c r="I6" s="17" t="str">
        <f t="shared" si="2"/>
        <v/>
      </c>
      <c r="J6" s="18"/>
      <c r="K6" s="58"/>
      <c r="L6" s="18"/>
    </row>
    <row r="7" spans="1:14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65"/>
      <c r="H7" s="22" t="str">
        <f t="shared" si="1"/>
        <v/>
      </c>
      <c r="I7" s="21" t="str">
        <f t="shared" si="2"/>
        <v/>
      </c>
      <c r="J7" s="43"/>
      <c r="K7" s="19"/>
      <c r="L7" s="43"/>
    </row>
    <row r="8" spans="1:14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  <c r="L8" s="11"/>
    </row>
    <row r="9" spans="1:14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4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4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4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4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4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4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4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2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  <row r="328" spans="1:12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  <c r="L328" s="23"/>
    </row>
    <row r="329" spans="1:12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  <c r="L329" s="23"/>
    </row>
    <row r="330" spans="1:12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  <c r="L330" s="23"/>
    </row>
    <row r="331" spans="1:12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  <c r="L331" s="23"/>
    </row>
    <row r="332" spans="1:12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  <c r="L332" s="23"/>
    </row>
    <row r="333" spans="1:12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  <c r="L333" s="23"/>
    </row>
    <row r="334" spans="1:12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  <c r="L334" s="23"/>
    </row>
    <row r="335" spans="1:12" ht="14.45">
      <c r="C335" s="23"/>
      <c r="D335" s="23"/>
      <c r="E335" s="23"/>
      <c r="F335" s="24"/>
      <c r="G335" s="23"/>
      <c r="H335" s="23"/>
      <c r="I335" s="24"/>
      <c r="J335" s="23"/>
      <c r="K335" s="23"/>
      <c r="L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58</v>
      </c>
      <c r="B1" t="s">
        <v>59</v>
      </c>
    </row>
    <row r="3" spans="1:7" ht="13.1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7" ht="14.45">
      <c r="A4" t="s">
        <v>63</v>
      </c>
      <c r="B4" t="s">
        <v>63</v>
      </c>
      <c r="C4" s="4" t="s">
        <v>64</v>
      </c>
      <c r="G4" s="3"/>
    </row>
    <row r="5" spans="1:7" ht="14.45">
      <c r="A5" t="s">
        <v>65</v>
      </c>
      <c r="B5" t="s">
        <v>65</v>
      </c>
      <c r="C5" s="4" t="s">
        <v>64</v>
      </c>
      <c r="G5" s="3"/>
    </row>
    <row r="6" spans="1:7" ht="14.45">
      <c r="A6" t="s">
        <v>66</v>
      </c>
      <c r="B6" t="s">
        <v>66</v>
      </c>
      <c r="C6" s="4" t="s">
        <v>64</v>
      </c>
      <c r="G6" s="3"/>
    </row>
    <row r="7" spans="1:7" ht="12.75" customHeight="1">
      <c r="A7" t="s">
        <v>67</v>
      </c>
      <c r="B7" t="s">
        <v>67</v>
      </c>
      <c r="C7" s="4" t="s">
        <v>64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EFB2AD30-56CF-40A0-99E3-02F2E0C79DDF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