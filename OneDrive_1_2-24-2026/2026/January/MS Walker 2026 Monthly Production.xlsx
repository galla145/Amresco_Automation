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DE5A382B-8A06-4AAA-A474-5AC278054592}" xr6:coauthVersionLast="47" xr6:coauthVersionMax="47" xr10:uidLastSave="{C22CD3D8-CF6E-4838-A5BF-3FF9C429EEBA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C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<sst xmlns="http://schemas.openxmlformats.org/spreadsheetml/2006/main" count="240" uniqueCount="53">
  <si>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</si>
  <si>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</si>
  <si>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</si>
  <si>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</si>
  <si>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</si>
  <si>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</si>
  <si>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</si>
  <si>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</si>
  <si>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</si>
  <si>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</si>
  <si>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</si>
  <si>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</si>
  <si>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</si>
  <si>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</si>
  <si>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</si>
  <si>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</si>
  <si>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</si>
  <si>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</si>
  <si>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</si>
  <si>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</si>
  <si>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</si>
  <si>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</si>
  <si>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was barely producing from 01/17 to 01/22 and from 01/25 to 01/31 due to snow.
2.Inverters 6 underperforming 5kW and inverter 5 underperforming 4kW approximately each from 10/26.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</si>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</sst>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18" sqref="G18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13267.3</v>
      </c>
      <c r="D2" s="6">
        <f>SUM(D4:D60)</f>
        <v>0</v>
      </c>
      <c r="E2" s="6">
        <f>C2-D2</f>
        <v>13267.3</v>
      </c>
      <c r="F2" s="7">
        <f>IFERROR(E2/D2, 0)</f>
        <v>0</v>
      </c>
      <c r="G2" s="6">
        <f>SUM(G4:G60)</f>
        <v>0</v>
      </c>
      <c r="H2" s="8">
        <f>C2-G2</f>
        <v>13267.3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13267.3</v>
      </c>
      <c r="D4" s="14">
        <f>SUM('1st Qtr'!D4, '2nd Qtr'!D4, '3rd Qtr'!D4, '4th Qtr'!D4)</f>
        <v>0</v>
      </c>
      <c r="E4" s="14">
        <f>IF(AND(ISNUMBER(C4),ISNUMBER(D4)), C4-D4, "")</f>
        <v>13267.3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13267.3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13267.3</v>
      </c>
      <c r="D2" s="6">
        <f>SUM(D4:D68)</f>
        <v>0</v>
      </c>
      <c r="E2" s="6">
        <f>C2-D2</f>
        <v>13267.3</v>
      </c>
      <c r="F2" s="7">
        <f>IFERROR(E2/D2, 0)</f>
        <v>0</v>
      </c>
      <c r="G2" s="6">
        <f>SUM(G4:G68)</f>
        <v>0</v>
      </c>
      <c r="H2" s="8">
        <f>C2-G2</f>
        <v>13267.3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13267.3</v>
      </c>
      <c r="D4" s="14">
        <f>SUM(Jan!D4, Feb!D4, Mar!D4)</f>
        <v>0</v>
      </c>
      <c r="E4" s="14">
        <f>IF(AND(ISNUMBER(C4),ISNUMBER(D4)), C4-D4, "")</f>
        <v>13267.3</v>
      </c>
      <c r="F4" s="15" t="str">
        <f>IFERROR(E4/D4, "")</f>
        <v/>
      </c>
      <c r="G4" s="16">
        <f>SUM(Jan!G4, Feb!G4, Mar!G4)</f>
        <v>0</v>
      </c>
      <c r="H4" s="16">
        <f>SUM(Jan!H4, Feb!H4, Mar!H4)</f>
        <v>13267.3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19" sqref="E1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topLeftCell="B1" workbookViewId="0">
      <pane ySplit="3" topLeftCell="A4" activePane="bottomLeft" state="frozen"/>
      <selection pane="bottomLeft" activeCell="J4" sqref="J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710937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13267.3</v>
      </c>
      <c r="D2" s="6">
        <f>SUM(D4:D89)</f>
        <v>0</v>
      </c>
      <c r="E2" s="6">
        <f>C2-D2</f>
        <v>13267.3</v>
      </c>
      <c r="F2" s="7">
        <f>IFERROR(E2/D2, 0)</f>
        <v>0</v>
      </c>
      <c r="G2" s="6">
        <f>SUM(G4:G89)</f>
        <v>0</v>
      </c>
      <c r="H2" s="8">
        <f>C2-G2</f>
        <v>13267.3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60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13267.3</v>
      </c>
      <c r="D4" s="14">
        <v>0</v>
      </c>
      <c r="E4" s="14">
        <f>IF(AND(ISNUMBER(C4),ISNUMBER(D4)), C4-D4, "")</f>
        <v>13267.3</v>
      </c>
      <c r="F4" s="15" t="str">
        <f>IFERROR(E4/D4, "")</f>
        <v/>
      </c>
      <c r="G4" s="16">
        <v>0</v>
      </c>
      <c r="H4" s="16">
        <f>IF(AND(ISNUMBER(C4),ISNUMBER(G4)), C4-G4, "")</f>
        <v>13267.3</v>
      </c>
      <c r="I4" s="17" t="str">
        <f>IFERROR(H4/G4, "")</f>
        <v/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23</v>
      </c>
      <c r="E1" s="44"/>
      <c r="F1" s="44"/>
      <c r="G1" s="42" t="s">
        <v>24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25</v>
      </c>
      <c r="E1" s="44"/>
      <c r="F1" s="44"/>
      <c r="G1" s="42" t="s">
        <v>26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27</v>
      </c>
      <c r="E1" s="44"/>
      <c r="F1" s="44"/>
      <c r="G1" s="42" t="s">
        <v>28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29</v>
      </c>
      <c r="E1" s="44"/>
      <c r="F1" s="44"/>
      <c r="G1" s="42" t="s">
        <v>30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31</v>
      </c>
      <c r="E1" s="44"/>
      <c r="F1" s="44"/>
      <c r="G1" s="42" t="s">
        <v>32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33</v>
      </c>
      <c r="E1" s="44"/>
      <c r="F1" s="44"/>
      <c r="G1" s="42" t="s">
        <v>34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35</v>
      </c>
      <c r="E1" s="44"/>
      <c r="F1" s="44"/>
      <c r="G1" s="42" t="s">
        <v>36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37</v>
      </c>
      <c r="E1" s="44"/>
      <c r="F1" s="44"/>
      <c r="G1" s="42" t="s">
        <v>38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39</v>
      </c>
      <c r="E1" s="44"/>
      <c r="F1" s="44"/>
      <c r="G1" s="42" t="s">
        <v>40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41</v>
      </c>
      <c r="E1" s="44"/>
      <c r="F1" s="44"/>
      <c r="G1" s="42" t="s">
        <v>42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C32" sqref="C3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43</v>
      </c>
      <c r="E1" s="44"/>
      <c r="F1" s="44"/>
      <c r="G1" s="42" t="s">
        <v>44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t="s">
        <v>46</v>
      </c>
    </row>
    <row r="3" spans="1:7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45">
      <c r="A4" t="s">
        <v>46</v>
      </c>
      <c r="B4" t="s">
        <v>50</v>
      </c>
      <c r="C4" s="4" t="s">
        <v>51</v>
      </c>
      <c r="E4" t="s">
        <v>52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AFAE76DB-E56D-4750-991C-694B4A8C9EEC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