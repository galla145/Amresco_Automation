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5" documentId="13_ncr:1_{354FF77A-7F79-4758-B3A7-936937411A63}" xr6:coauthVersionLast="47" xr6:coauthVersionMax="47" xr10:uidLastSave="{4AC36F31-EF13-4845-B45E-38B13EF710A6}"/>
  <bookViews>
    <workbookView xWindow="-108" yWindow="-108" windowWidth="23256" windowHeight="1389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0" l="1"/>
  <c r="G4" i="30"/>
  <c r="G2" i="30" s="1"/>
  <c r="G4" i="29"/>
  <c r="D4" i="29"/>
  <c r="H4" i="19"/>
  <c r="I4" i="19" s="1"/>
  <c r="G4" i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I4" i="20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21" l="1"/>
  <c r="I2" i="21" s="1"/>
  <c r="E2" i="20"/>
  <c r="F2" i="20" s="1"/>
  <c r="E4" i="18"/>
  <c r="F4" i="18" s="1"/>
  <c r="G4" i="34"/>
  <c r="G2" i="34" s="1"/>
  <c r="H2" i="33"/>
  <c r="I2" i="33" s="1"/>
  <c r="C4" i="34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<sst xmlns="http://schemas.openxmlformats.org/spreadsheetml/2006/main" count="253" uniqueCount="57">
  <si>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</si>
  <si>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</si>
  <si>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</si>
  <si>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</si>
  <si>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</si>
  <si>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</si>
  <si>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</si>
  <si>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</si>
  <si>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</si>
  <si>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</si>
  <si>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</si>
  <si>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</si>
  <si>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</si>
  <si>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</si>
  <si>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</si>
  <si>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</si>
  <si>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</si>
  <si>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</si>
  <si>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</si>
  <si>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</si>
  <si>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</si>
  <si>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</si>
  <si>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</si>
  <si>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1.Site production was low due to snow.</t>
  </si>
  <si>
    <t>February Actual v. Expected</t>
  </si>
  <si>
    <t>February Actual v. Forecasted</t>
  </si>
  <si>
    <t>March Actual v. Expected</t>
  </si>
  <si>
    <t>March Actual v. Forecasted</t>
  </si>
  <si>
    <t>NA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</si>
  <si>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</si>
  <si>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</si>
  <si>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</si>
  <si>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</si>
  <si>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</si>
  <si>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</si>
  <si>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</si>
  <si>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</si>
  <si>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</si>
  <si>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</si>
  <si>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</si>
  <si>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</si>
  <si>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</si>
  <si>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</si>
  <si>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</si>
  <si>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</si>
  <si>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</si>
  <si>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</si>
  <si>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</si>
  <si>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Willwork</t>
  </si>
  <si>
    <t>Site DAS Name</t>
  </si>
  <si>
    <t>Update</t>
  </si>
  <si>
    <t>DAS</t>
  </si>
  <si>
    <t>23 Norfolk Ave - Teamwork/Willwork</t>
  </si>
  <si>
    <t>MA: South Easton - Willwork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</si>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</sst>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164" fontId="28" fillId="4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17" sqref="G17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1697.0550000000001</v>
      </c>
      <c r="D2" s="6">
        <f>SUM(D4:D60)</f>
        <v>0</v>
      </c>
      <c r="E2" s="6">
        <f>C2-D2</f>
        <v>1697.0550000000001</v>
      </c>
      <c r="F2" s="7">
        <f>IFERROR(E2/D2, 0)</f>
        <v>0</v>
      </c>
      <c r="G2" s="6">
        <f>SUM(G4:G60)</f>
        <v>2272.0659999999998</v>
      </c>
      <c r="H2" s="8">
        <f>C2-G2</f>
        <v>-575.01099999999974</v>
      </c>
      <c r="I2" s="7">
        <f>IFERROR(H2/G2, 0)</f>
        <v>-0.25307847571329345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SUM('1st Qtr'!C4, '2nd Qtr'!C4, '3rd Qtr'!C4, '4th Qtr'!C4)</f>
        <v>1697.0550000000001</v>
      </c>
      <c r="D4" s="14">
        <f>SUM('1st Qtr'!D4, '2nd Qtr'!D4, '3rd Qtr'!D4, '4th Qtr'!D4)</f>
        <v>0</v>
      </c>
      <c r="E4" s="14">
        <f>IF(AND(ISNUMBER(C4),ISNUMBER(D4)), C4-D4, "")</f>
        <v>1697.0550000000001</v>
      </c>
      <c r="F4" s="15" t="str">
        <f>IFERROR(E4/D4, "")</f>
        <v/>
      </c>
      <c r="G4" s="16">
        <f>SUM('1st Qtr'!G4,'2nd Qtr'!G4,'3rd Qtr'!G4,'4th Qtr'!G4)</f>
        <v>2272.0659999999998</v>
      </c>
      <c r="H4" s="16">
        <f>SUM('1st Qtr'!H4, '2nd Qtr'!H4, '3rd Qtr'!H4, '4th Qtr'!H4)</f>
        <v>-575.01099999999974</v>
      </c>
      <c r="I4" s="17">
        <f>IFERROR(H4/G4, "")</f>
        <v>-0.25307847571329345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1697.0550000000001</v>
      </c>
      <c r="D2" s="6">
        <f>SUM(D4:D68)</f>
        <v>0</v>
      </c>
      <c r="E2" s="6">
        <f>C2-D2</f>
        <v>1697.0550000000001</v>
      </c>
      <c r="F2" s="7">
        <f>IFERROR(E2/D2, 0)</f>
        <v>0</v>
      </c>
      <c r="G2" s="6">
        <f>SUM(G4:G68)</f>
        <v>2272.0659999999998</v>
      </c>
      <c r="H2" s="8">
        <f>C2-G2</f>
        <v>-575.01099999999974</v>
      </c>
      <c r="I2" s="7">
        <f>IFERROR(H2/G2, 0)</f>
        <v>-0.25307847571329345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SUM(Jan!C4, Feb!C4, Mar!C4)</f>
        <v>1697.0550000000001</v>
      </c>
      <c r="D4" s="14">
        <f>SUM(Jan!D4, Feb!D4, Mar!D4)</f>
        <v>0</v>
      </c>
      <c r="E4" s="14">
        <f>IF(AND(ISNUMBER(C4),ISNUMBER(D4)), C4-D4, "")</f>
        <v>1697.0550000000001</v>
      </c>
      <c r="F4" s="15" t="str">
        <f>IFERROR(E4/D4, "")</f>
        <v/>
      </c>
      <c r="G4" s="16">
        <f>SUM(Jan!G4, Feb!G4, Mar!G4)</f>
        <v>2272.0659999999998</v>
      </c>
      <c r="H4" s="16">
        <f>SUM(Jan!H4, Feb!H4, Mar!H4)</f>
        <v>-575.01099999999974</v>
      </c>
      <c r="I4" s="17">
        <f>IFERROR(H4/G4, "")</f>
        <v>-0.25307847571329345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12" sqref="G12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SUM(Apr!G4+May!G4+Jun!G4)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4" activePane="bottomLeft" state="frozen"/>
      <selection pane="bottomLeft" activeCell="F24" sqref="F2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tabSelected="1" topLeftCell="W1" workbookViewId="0">
      <pane ySplit="3" topLeftCell="A4" activePane="bottomLeft" state="frozen"/>
      <selection pane="bottomLeft" activeCell="J12" sqref="J12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1697.0550000000001</v>
      </c>
      <c r="D2" s="6">
        <f>SUM(D4:D89)</f>
        <v>0</v>
      </c>
      <c r="E2" s="6">
        <f>C2-D2</f>
        <v>1697.0550000000001</v>
      </c>
      <c r="F2" s="7">
        <f>IFERROR(E2/D2, 0)</f>
        <v>0</v>
      </c>
      <c r="G2" s="6">
        <f>SUM(G4:G89)</f>
        <v>2272.0659999999998</v>
      </c>
      <c r="H2" s="8">
        <f>C2-G2</f>
        <v>-575.01099999999974</v>
      </c>
      <c r="I2" s="7">
        <f>IFERROR(H2/G2, 0)</f>
        <v>-0.25307847571329345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1697.0550000000001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2272.0659999999998</v>
      </c>
      <c r="H4" s="16">
        <f>IF(AND(ISNUMBER(C4),ISNUMBER(G4)), C4-G4, "")</f>
        <v>-575.01099999999974</v>
      </c>
      <c r="I4" s="17">
        <f>IFERROR(H4/G4, "")</f>
        <v>-0.25307847571329345</v>
      </c>
      <c r="J4" s="18" t="s">
        <v>23</v>
      </c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AD23" sqref="AD23"/>
      <selection activeCell="AD23" sqref="AD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42"/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AD23" sqref="AD23"/>
      <selection activeCell="AD23" sqref="AD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26</v>
      </c>
      <c r="E1" s="45"/>
      <c r="F1" s="45"/>
      <c r="G1" s="43" t="s">
        <v>27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 t="s">
        <v>28</v>
      </c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AD23" sqref="AD23"/>
      <selection activeCell="AD23" sqref="AD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29</v>
      </c>
      <c r="E1" s="45"/>
      <c r="F1" s="45"/>
      <c r="G1" s="43" t="s">
        <v>30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zoomScale="90" zoomScaleNormal="90" workbookViewId="0">
      <pane ySplit="2" topLeftCell="A3" activePane="bottomLeft" state="frozen"/>
      <selection pane="bottomLeft" activeCell="AD23" sqref="AD23"/>
      <selection activeCell="AD23" sqref="AD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31</v>
      </c>
      <c r="E1" s="45"/>
      <c r="F1" s="45"/>
      <c r="G1" s="43" t="s">
        <v>32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AD23" sqref="AD23"/>
      <selection activeCell="AD23" sqref="AD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33</v>
      </c>
      <c r="E1" s="45"/>
      <c r="F1" s="45"/>
      <c r="G1" s="43" t="s">
        <v>34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AD23" sqref="AD23"/>
      <selection activeCell="AD23" sqref="AD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35</v>
      </c>
      <c r="E1" s="45"/>
      <c r="F1" s="45"/>
      <c r="G1" s="43" t="s">
        <v>36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AD23" sqref="AD23"/>
      <selection activeCell="AD23" sqref="AD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37</v>
      </c>
      <c r="E1" s="45"/>
      <c r="F1" s="45"/>
      <c r="G1" s="43" t="s">
        <v>38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AD23" sqref="AD23"/>
      <selection activeCell="AD23" sqref="AD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39</v>
      </c>
      <c r="E1" s="45"/>
      <c r="F1" s="45"/>
      <c r="G1" s="43" t="s">
        <v>40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AD23" sqref="AD23"/>
      <selection activeCell="AD23" sqref="AD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41</v>
      </c>
      <c r="E1" s="45"/>
      <c r="F1" s="45"/>
      <c r="G1" s="43" t="s">
        <v>42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zoomScale="70" zoomScaleNormal="70" workbookViewId="0">
      <pane ySplit="2" topLeftCell="A3" activePane="bottomLeft" state="frozen"/>
      <selection pane="bottomLeft" activeCell="AD23" sqref="AD23"/>
      <selection activeCell="AD23" sqref="AD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43</v>
      </c>
      <c r="E1" s="45"/>
      <c r="F1" s="45"/>
      <c r="G1" s="43" t="s">
        <v>44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zoomScale="70" zoomScaleNormal="70" workbookViewId="0">
      <pane ySplit="2" topLeftCell="A3" activePane="bottomLeft" state="frozen"/>
      <selection pane="bottomLeft" activeCell="AD23" sqref="AD23"/>
      <selection activeCell="AD23" sqref="AD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45</v>
      </c>
      <c r="E1" s="45"/>
      <c r="F1" s="45"/>
      <c r="G1" s="43" t="s">
        <v>46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20" sqref="E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47</v>
      </c>
      <c r="B1" t="s">
        <v>48</v>
      </c>
    </row>
    <row r="3" spans="1:7" ht="13.15">
      <c r="A3" t="s">
        <v>49</v>
      </c>
      <c r="B3" t="s">
        <v>3</v>
      </c>
      <c r="C3" t="s">
        <v>4</v>
      </c>
      <c r="D3" t="s">
        <v>50</v>
      </c>
      <c r="E3" s="2" t="s">
        <v>51</v>
      </c>
    </row>
    <row r="4" spans="1:7" ht="14.45">
      <c r="A4" t="s">
        <v>52</v>
      </c>
      <c r="B4" t="s">
        <v>53</v>
      </c>
      <c r="C4" s="4" t="s">
        <v>54</v>
      </c>
      <c r="D4" t="s">
        <v>55</v>
      </c>
      <c r="E4" t="s">
        <v>56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E81B772-698D-4247-BBA6-814285637CD0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7946C510-7D04-49D8-9B25-EEC04582A1CA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2BC74AAC-D69B-4AF1-9649-B21EF3C1C463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66B09F59-6532-46F8-924A-9A02417E070D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2026-02-20T19:17:58Z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2025-10-29T23:24:48Z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78023a27-0acc-4f75-9f3e-abdec4bebc28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