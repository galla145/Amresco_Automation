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48CF41D0-5062-40A9-B68D-BD4EEDDBAB9C}" xr6:coauthVersionLast="47" xr6:coauthVersionMax="47" xr10:uidLastSave="{F5F0D9A4-A70D-4A05-AA82-7C2DC9E0400D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H28" i="30"/>
  <c r="H29" i="30"/>
  <c r="G28" i="30"/>
  <c r="G29" i="30"/>
  <c r="E28" i="30"/>
  <c r="E29" i="30"/>
  <c r="D28" i="30"/>
  <c r="D29" i="30"/>
  <c r="C28" i="30"/>
  <c r="C29" i="30"/>
  <c r="I28" i="29"/>
  <c r="I29" i="29"/>
  <c r="H28" i="29"/>
  <c r="H29" i="29"/>
  <c r="G28" i="29"/>
  <c r="G29" i="29"/>
  <c r="F28" i="29"/>
  <c r="F29" i="29"/>
  <c r="E28" i="29"/>
  <c r="E29" i="29"/>
  <c r="D28" i="29"/>
  <c r="D29" i="29"/>
  <c r="C28" i="29"/>
  <c r="C29" i="29"/>
  <c r="I28" i="18"/>
  <c r="I29" i="18"/>
  <c r="H28" i="18"/>
  <c r="H29" i="18"/>
  <c r="G28" i="18"/>
  <c r="G29" i="18"/>
  <c r="F28" i="18"/>
  <c r="F29" i="18"/>
  <c r="E28" i="18"/>
  <c r="E29" i="18"/>
  <c r="D28" i="18"/>
  <c r="D29" i="18"/>
  <c r="C28" i="18"/>
  <c r="C29" i="18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H28" i="1"/>
  <c r="I28" i="1" s="1"/>
  <c r="H29" i="1"/>
  <c r="I29" i="1" s="1"/>
  <c r="G28" i="1"/>
  <c r="G29" i="1"/>
  <c r="F28" i="1"/>
  <c r="F29" i="1"/>
  <c r="E28" i="1"/>
  <c r="E29" i="1"/>
  <c r="D28" i="1"/>
  <c r="D29" i="1"/>
  <c r="C28" i="1"/>
  <c r="C29" i="1"/>
  <c r="H28" i="34"/>
  <c r="H29" i="34"/>
  <c r="G28" i="34"/>
  <c r="G29" i="34"/>
  <c r="D28" i="34"/>
  <c r="D29" i="34"/>
  <c r="C28" i="34"/>
  <c r="E28" i="34" s="1"/>
  <c r="F28" i="34" s="1"/>
  <c r="C29" i="34"/>
  <c r="E29" i="34" s="1"/>
  <c r="F29" i="34" s="1"/>
  <c r="E23" i="32"/>
  <c r="H23" i="32"/>
  <c r="E27" i="28" l="1"/>
  <c r="F27" i="28"/>
  <c r="H27" i="28"/>
  <c r="I27" i="28" s="1"/>
  <c r="E26" i="28"/>
  <c r="F26" i="28" s="1"/>
  <c r="H26" i="28"/>
  <c r="I26" i="28" s="1"/>
  <c r="E27" i="27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 s="1"/>
  <c r="G26" i="1"/>
  <c r="C27" i="1"/>
  <c r="E27" i="1" s="1"/>
  <c r="F27" i="1" s="1"/>
  <c r="D27" i="1"/>
  <c r="G27" i="1"/>
  <c r="D26" i="18"/>
  <c r="D27" i="18"/>
  <c r="G26" i="18"/>
  <c r="G27" i="18"/>
  <c r="C26" i="18"/>
  <c r="E26" i="18" s="1"/>
  <c r="F26" i="18" s="1"/>
  <c r="C27" i="18"/>
  <c r="E27" i="18" s="1"/>
  <c r="F27" i="18" s="1"/>
  <c r="E27" i="19"/>
  <c r="F27" i="19" s="1"/>
  <c r="H27" i="19"/>
  <c r="E26" i="19"/>
  <c r="F26" i="19" s="1"/>
  <c r="H26" i="19"/>
  <c r="I26" i="19" s="1"/>
  <c r="E26" i="21"/>
  <c r="F26" i="21" s="1"/>
  <c r="H26" i="2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1"/>
  <c r="I26" i="1" s="1"/>
  <c r="H27" i="1"/>
  <c r="I27" i="1" s="1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I25" i="32" s="1"/>
  <c r="H26" i="32"/>
  <c r="I26" i="32" s="1"/>
  <c r="H27" i="32"/>
  <c r="I27" i="32" s="1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F25" i="32" s="1"/>
  <c r="E26" i="32"/>
  <c r="F26" i="32" s="1"/>
  <c r="E27" i="32"/>
  <c r="F27" i="32" s="1"/>
  <c r="H5" i="33"/>
  <c r="H6" i="33"/>
  <c r="H4" i="33"/>
  <c r="H4" i="32"/>
  <c r="I27" i="19" l="1"/>
  <c r="H27" i="18"/>
  <c r="I27" i="18" s="1"/>
  <c r="I26" i="21"/>
  <c r="H26" i="18"/>
  <c r="I26" i="18" s="1"/>
  <c r="E26" i="30"/>
  <c r="H26" i="34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H26" i="29"/>
  <c r="C27" i="29"/>
  <c r="C27" i="34" s="1"/>
  <c r="D27" i="29"/>
  <c r="D27" i="34" s="1"/>
  <c r="G27" i="29"/>
  <c r="G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7" i="30" s="1"/>
  <c r="I26" i="33"/>
  <c r="H26" i="30"/>
  <c r="I26" i="30" s="1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C18" i="30"/>
  <c r="C19" i="30"/>
  <c r="C20" i="30"/>
  <c r="C21" i="30"/>
  <c r="C22" i="30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I22" i="33" l="1"/>
  <c r="H22" i="30"/>
  <c r="I22" i="30" s="1"/>
  <c r="G4" i="34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G20" i="34"/>
  <c r="G12" i="34"/>
  <c r="H25" i="34"/>
  <c r="G11" i="34"/>
  <c r="H20" i="34"/>
  <c r="G14" i="34"/>
  <c r="H21" i="34"/>
  <c r="G25" i="34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E16" i="1"/>
  <c r="F16" i="1" s="1"/>
  <c r="H19" i="1"/>
  <c r="I19" i="1" s="1"/>
  <c r="I23" i="3"/>
  <c r="I21" i="3"/>
  <c r="I19" i="3"/>
  <c r="H24" i="34"/>
  <c r="E24" i="1"/>
  <c r="F24" i="1" s="1"/>
  <c r="E22" i="1"/>
  <c r="F22" i="1" s="1"/>
  <c r="E17" i="1"/>
  <c r="F17" i="1" s="1"/>
  <c r="E18" i="1"/>
  <c r="F18" i="1" s="1"/>
  <c r="H17" i="34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H5" i="34"/>
  <c r="H9" i="34"/>
  <c r="H10" i="34"/>
  <c r="H11" i="34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22" i="34"/>
  <c r="F22" i="34" s="1"/>
  <c r="E18" i="34"/>
  <c r="F18" i="34" s="1"/>
  <c r="E13" i="34"/>
  <c r="F13" i="34" s="1"/>
  <c r="G2" i="34"/>
  <c r="E17" i="34"/>
  <c r="F17" i="34" s="1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<sst xmlns="http://schemas.openxmlformats.org/spreadsheetml/2006/main" count="935" uniqueCount="127">
  <si>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</si>
  <si>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</si>
  <si>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</si>
  <si>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</si>
  <si>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</si>
  <si>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</si>
  <si>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</si>
  <si>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</si>
  <si>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</si>
  <si>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</si>
  <si>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</si>
  <si>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</si>
  <si>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</si>
  <si>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</si>
  <si>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</si>
  <si>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</si>
  <si>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</si>
  <si>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</si>
  <si>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</si>
  <si>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</si>
  <si>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</si>
  <si>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</si>
  <si>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</si>
  <si>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N/A</t>
  </si>
  <si>
    <t>1.9 microinverters not reporting since 12/22/25 from 9:33 am.</t>
  </si>
  <si>
    <t>1.SR114616</t>
  </si>
  <si>
    <t>1.Pending</t>
  </si>
  <si>
    <t xml:space="preserve">1.The gateway is communicating from 01/12 </t>
  </si>
  <si>
    <t>1.SR099413</t>
  </si>
  <si>
    <t>1.Closed</t>
  </si>
  <si>
    <t>1.One micro inverter was replaced on 01/07</t>
  </si>
  <si>
    <t>1.SR112603</t>
  </si>
  <si>
    <t>1.The gateway is not currently reporting and site production cannot be confirmed, possibly offline on 12/16. Later back online on 01/05</t>
  </si>
  <si>
    <t>1.	SR113375</t>
  </si>
  <si>
    <t>1.Site is not communicating for whole month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</si>
  <si>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</si>
  <si>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</si>
  <si>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</si>
  <si>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</si>
  <si>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</si>
  <si>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</si>
  <si>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/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</si>
  <si>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</si>
  <si>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</si>
  <si>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</si>
  <si>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</si>
  <si>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</si>
  <si>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</si>
  <si>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</si>
  <si>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</si>
  <si>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</si>
  <si>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</si>
  <si>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</si>
  <si>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</si>
  <si>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</si>
  <si>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</si>
  <si>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 xml:space="preserve">Status </t>
  </si>
  <si>
    <t>December Actual v. Expected</t>
  </si>
  <si>
    <t>December Actual v. Forecasted</t>
  </si>
  <si>
    <t>status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</si>
  <si>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</si>
  <si>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</si>
  <si>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</si>
  <si>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</si>
  <si>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</si>
  <si>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</si>
  <si>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</si>
  <si>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</si>
  <si>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</si>
  <si>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</si>
  <si>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</si>
  <si>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</si>
  <si>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</si>
  <si>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</si>
  <si>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</si>
  <si>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</si>
  <si>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</si>
  <si>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</si>
  <si>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</si>
  <si>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</si>
  <si>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</si>
  <si>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</si>
  <si>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</si>
  <si>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</si>
  <si>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</si>
  <si>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</si>
  <si>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</si>
  <si>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</si>
  <si>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</si>
  <si>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</si>
  <si>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</si>
  <si>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</si>
  <si>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</si>
  <si>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</si>
  <si>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</si>
  <si>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</si>
  <si>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</si>
  <si>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</si>
  <si>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</si>
  <si>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</si>
  <si>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</si>
  <si>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</si>
  <si>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</si>
  <si>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</si>
  <si>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</si>
  <si>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</si>
  <si>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</si>
  <si>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</si>
  <si>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</si>
  <si>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</si>
  <si>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</si>
  <si>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</si>
  <si>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</si>
  <si>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</si>
  <si>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</si>
  <si>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</si>
  <si>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</si>
  <si>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</si>
  <si>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</si>
  <si>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</si>
  <si>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</si>
  <si>
    <t>United Health Group Optum Campus Ramp A</t>
  </si>
  <si>
    <t>MN: Eden Prairie - UHG Optum Ramp A (PW)</t>
  </si>
  <si>
    <t>MN</t>
  </si>
  <si>
    <t>Power Track</t>
  </si>
  <si>
    <t>United Health Group Optum Campus Ramp B Garage Site</t>
  </si>
  <si>
    <t>MN: Eden Prairie - UHG Optum Ramp B (PW)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</si>
</sst>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10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7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9" fontId="31" fillId="0" borderId="0" xfId="2" applyFont="1" applyAlignment="1">
      <alignment horizontal="right"/>
    </xf>
    <xf numFmtId="0" fontId="3" fillId="45" borderId="1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3" fillId="4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0" fontId="38" fillId="0" borderId="0" xfId="0" applyFont="1"/>
    <xf numFmtId="0" fontId="0" fillId="0" borderId="0" xfId="0" applyAlignment="1">
      <alignment horizontal="left" vertical="top" wrapText="1"/>
    </xf>
    <xf numFmtId="0" fontId="22" fillId="0" borderId="16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9" totalsRowShown="0">
  <autoFilter ref="A3:E2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2603" TargetMode="External"/><Relationship Id="rId2" Type="http://schemas.openxmlformats.org/officeDocument/2006/relationships/hyperlink" Target="https://us3.assetplanner.com/service_request?ID=099413" TargetMode="External"/><Relationship Id="rId1" Type="http://schemas.openxmlformats.org/officeDocument/2006/relationships/hyperlink" Target="https://us3.assetplanner.com/service_request?ID=114616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11337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4" activePane="bottomRight" state="frozen"/>
      <selection pane="bottomRight" activeCell="M26" sqref="M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CBRE</v>
      </c>
      <c r="B1" s="97"/>
      <c r="C1" s="97"/>
      <c r="D1" s="98" t="s">
        <v>0</v>
      </c>
      <c r="E1" s="98"/>
      <c r="F1" s="98"/>
      <c r="G1" s="96" t="s">
        <v>1</v>
      </c>
      <c r="H1" s="96"/>
      <c r="I1" s="96"/>
    </row>
    <row r="2" spans="1:9" ht="19.5" customHeight="1">
      <c r="A2" s="99" t="s">
        <v>2</v>
      </c>
      <c r="B2" s="99"/>
      <c r="C2" s="5">
        <f>SUM(C4:C87)</f>
        <v>12719.557000000001</v>
      </c>
      <c r="D2" s="5">
        <f>SUM(D4:D87)</f>
        <v>4732.8280000000004</v>
      </c>
      <c r="E2" s="5">
        <f>C2-D2</f>
        <v>7986.7290000000003</v>
      </c>
      <c r="F2" s="6">
        <f>IFERROR(E2/D2, 0)</f>
        <v>1.6875172729708325</v>
      </c>
      <c r="G2" s="5">
        <f>SUM(G4:G87)</f>
        <v>92071.504000000001</v>
      </c>
      <c r="H2" s="7">
        <f>C2-G2</f>
        <v>-79351.947</v>
      </c>
      <c r="I2" s="6">
        <f>IFERROR(H2/G2, 0)</f>
        <v>-0.86185131721102326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9">Sites[Site]</f>
        <v>East Hartford - BA</v>
      </c>
      <c r="B4" s="9" t="str" cm="1">
        <f t="array" ref="B4:B29">Sites[State]</f>
        <v>CT</v>
      </c>
      <c r="C4" s="24">
        <f>SUM('1st Qtr'!C4, '2nd Qtr'!C4, '3rd Qtr'!C4, '4th Qtr'!C4)</f>
        <v>480.87200000000001</v>
      </c>
      <c r="D4" s="13">
        <f>SUM('1st Qtr'!D4, '2nd Qtr'!D4, '3rd Qtr'!D4, '4th Qtr'!D4)</f>
        <v>0</v>
      </c>
      <c r="E4" s="13">
        <f>IF(AND(ISNUMBER(C4),ISNUMBER(D4)), C4-D4, "")</f>
        <v>480.87200000000001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534.61400000000003</v>
      </c>
      <c r="D5" s="18">
        <f>SUM('1st Qtr'!D5, '2nd Qtr'!D5, '3rd Qtr'!D5, '4th Qtr'!D5)</f>
        <v>0</v>
      </c>
      <c r="E5" s="18">
        <f t="shared" ref="E5:E13" si="0">IF(AND(ISNUMBER(C5),ISNUMBER(D5)), C5-D5, "")</f>
        <v>534.61400000000003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203.48099999999999</v>
      </c>
      <c r="D6" s="13">
        <f>SUM('1st Qtr'!D6, '2nd Qtr'!D6, '3rd Qtr'!D6, '4th Qtr'!D6)</f>
        <v>0</v>
      </c>
      <c r="E6" s="13">
        <f t="shared" si="0"/>
        <v>203.48099999999999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29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613.61599999999999</v>
      </c>
      <c r="D7" s="18">
        <f>SUM('1st Qtr'!D7, '2nd Qtr'!D7, '3rd Qtr'!D7, '4th Qtr'!D7)</f>
        <v>0</v>
      </c>
      <c r="E7" s="18">
        <f t="shared" si="0"/>
        <v>613.61599999999999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768.11300000000006</v>
      </c>
      <c r="D8" s="13">
        <f>SUM('1st Qtr'!D8, '2nd Qtr'!D8, '3rd Qtr'!D8, '4th Qtr'!D8)</f>
        <v>0</v>
      </c>
      <c r="E8" s="13">
        <f t="shared" si="0"/>
        <v>768.11300000000006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518.13</v>
      </c>
      <c r="D9" s="18">
        <f>SUM('1st Qtr'!D9, '2nd Qtr'!D9, '3rd Qtr'!D9, '4th Qtr'!D9)</f>
        <v>0</v>
      </c>
      <c r="E9" s="18">
        <f t="shared" si="0"/>
        <v>518.13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743.13</v>
      </c>
      <c r="D10" s="13">
        <f>SUM('1st Qtr'!D10, '2nd Qtr'!D10, '3rd Qtr'!D10, '4th Qtr'!D10)</f>
        <v>0</v>
      </c>
      <c r="E10" s="13">
        <f t="shared" si="0"/>
        <v>743.13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569.18200000000002</v>
      </c>
      <c r="D11" s="18">
        <f>SUM('1st Qtr'!D11, '2nd Qtr'!D11, '3rd Qtr'!D11, '4th Qtr'!D11)</f>
        <v>0</v>
      </c>
      <c r="E11" s="18">
        <f t="shared" si="0"/>
        <v>569.18200000000002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544.38300000000004</v>
      </c>
      <c r="D12" s="13">
        <f>SUM('1st Qtr'!D12, '2nd Qtr'!D12, '3rd Qtr'!D12, '4th Qtr'!D12)</f>
        <v>0</v>
      </c>
      <c r="E12" s="13">
        <f t="shared" si="0"/>
        <v>544.38300000000004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1000.248</v>
      </c>
      <c r="D13" s="18">
        <f>SUM('1st Qtr'!D13, '2nd Qtr'!D13, '3rd Qtr'!D13, '4th Qtr'!D13)</f>
        <v>0</v>
      </c>
      <c r="E13" s="18">
        <f t="shared" si="0"/>
        <v>1000.248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243.19499999999999</v>
      </c>
      <c r="D14" s="13">
        <f>SUM('1st Qtr'!D14, '2nd Qtr'!D14, '3rd Qtr'!D14, '4th Qtr'!D14)</f>
        <v>0</v>
      </c>
      <c r="E14" s="13">
        <f>IF(AND(ISNUMBER(C14),ISNUMBER(D14)), C14-D14, "")</f>
        <v>243.19499999999999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636.00199999999995</v>
      </c>
      <c r="D15" s="18">
        <f>SUM('1st Qtr'!D15, '2nd Qtr'!D15, '3rd Qtr'!D15, '4th Qtr'!D15)</f>
        <v>0</v>
      </c>
      <c r="E15" s="18">
        <f>IF(AND(ISNUMBER(C15),ISNUMBER(D15)), C15-D15, "")</f>
        <v>636.00199999999995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si="2"/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460.95299999999997</v>
      </c>
      <c r="D17" s="18">
        <f>SUM('1st Qtr'!D17, '2nd Qtr'!D17, '3rd Qtr'!D17, '4th Qtr'!D17)</f>
        <v>0</v>
      </c>
      <c r="E17" s="18">
        <f t="shared" si="3"/>
        <v>460.95299999999997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2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305.08699999999999</v>
      </c>
      <c r="D18" s="13">
        <f>SUM('1st Qtr'!D18, '2nd Qtr'!D18, '3rd Qtr'!D18, '4th Qtr'!D18)</f>
        <v>0</v>
      </c>
      <c r="E18" s="13">
        <f t="shared" ref="E18:E29" si="5">IF(AND(ISNUMBER(C18),ISNUMBER(D18)), C18-D18, "")</f>
        <v>305.08699999999999</v>
      </c>
      <c r="F18" s="14" t="str">
        <f t="shared" ref="F18:F25" si="6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si="2"/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476.74099999999999</v>
      </c>
      <c r="D19" s="18">
        <f>SUM('1st Qtr'!D19, '2nd Qtr'!D19, '3rd Qtr'!D19, '4th Qtr'!D19)</f>
        <v>0</v>
      </c>
      <c r="E19" s="18">
        <f t="shared" si="5"/>
        <v>476.74099999999999</v>
      </c>
      <c r="F19" s="19" t="str">
        <f t="shared" si="6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2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418.98099999999999</v>
      </c>
      <c r="D20" s="13">
        <f>SUM('1st Qtr'!D20, '2nd Qtr'!D20, '3rd Qtr'!D20, '4th Qtr'!D20)</f>
        <v>0</v>
      </c>
      <c r="E20" s="13">
        <f t="shared" si="5"/>
        <v>418.98099999999999</v>
      </c>
      <c r="F20" s="14" t="str">
        <f t="shared" si="6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2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676.25900000000001</v>
      </c>
      <c r="D21" s="18">
        <f>SUM('1st Qtr'!D21, '2nd Qtr'!D21, '3rd Qtr'!D21, '4th Qtr'!D21)</f>
        <v>0</v>
      </c>
      <c r="E21" s="18">
        <f t="shared" si="5"/>
        <v>676.25900000000001</v>
      </c>
      <c r="F21" s="19" t="str">
        <f t="shared" si="6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2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5"/>
        <v>0</v>
      </c>
      <c r="F22" s="14" t="str">
        <f t="shared" si="6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2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678.28</v>
      </c>
      <c r="D23" s="18">
        <f>SUM('1st Qtr'!D23, '2nd Qtr'!D23, '3rd Qtr'!D23, '4th Qtr'!D23)</f>
        <v>0</v>
      </c>
      <c r="E23" s="18">
        <f t="shared" si="5"/>
        <v>678.28</v>
      </c>
      <c r="F23" s="19" t="str">
        <f t="shared" si="6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2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820.02599999999995</v>
      </c>
      <c r="D24" s="13">
        <f>SUM('1st Qtr'!D24, '2nd Qtr'!D24, '3rd Qtr'!D24, '4th Qtr'!D24)</f>
        <v>0</v>
      </c>
      <c r="E24" s="13">
        <f t="shared" si="5"/>
        <v>820.02599999999995</v>
      </c>
      <c r="F24" s="14" t="str">
        <f t="shared" si="6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2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462.69200000000001</v>
      </c>
      <c r="D25" s="18">
        <f>SUM('1st Qtr'!D25, '2nd Qtr'!D25, '3rd Qtr'!D25, '4th Qtr'!D25)</f>
        <v>0</v>
      </c>
      <c r="E25" s="18">
        <f t="shared" si="5"/>
        <v>462.69200000000001</v>
      </c>
      <c r="F25" s="19" t="str">
        <f t="shared" si="6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2"/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44.606000000000002</v>
      </c>
      <c r="D26" s="13">
        <f>SUM('1st Qtr'!D26, '2nd Qtr'!D26, '3rd Qtr'!D26, '4th Qtr'!D26)</f>
        <v>0</v>
      </c>
      <c r="E26" s="13">
        <f t="shared" si="5"/>
        <v>44.606000000000002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 t="shared" si="2"/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40.911999999999999</v>
      </c>
      <c r="D27" s="18">
        <f>SUM('1st Qtr'!D27, '2nd Qtr'!D27, '3rd Qtr'!D27, '4th Qtr'!D27)</f>
        <v>0</v>
      </c>
      <c r="E27" s="11">
        <f t="shared" si="5"/>
        <v>40.911999999999999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 t="shared" si="2"/>
        <v/>
      </c>
    </row>
    <row r="28" spans="1:9" ht="15.6">
      <c r="A28" s="12" t="str">
        <v>MN: Eden Prairie - UHG Optum Ramp A (PW)</v>
      </c>
      <c r="B28" s="9" t="str">
        <v>MN</v>
      </c>
      <c r="C28" s="24">
        <f>SUM('1st Qtr'!C28, '2nd Qtr'!C28, '3rd Qtr'!C28, '4th Qtr'!C28)</f>
        <v>1480.0540000000001</v>
      </c>
      <c r="D28" s="13">
        <f>SUM('1st Qtr'!D28, '2nd Qtr'!D28, '3rd Qtr'!D28, '4th Qtr'!D28)</f>
        <v>4732.8280000000004</v>
      </c>
      <c r="E28" s="13">
        <f t="shared" si="5"/>
        <v>-3252.7740000000003</v>
      </c>
      <c r="F28" s="14">
        <f>IFERROR(E28/D28, "")</f>
        <v>-0.68727914895702946</v>
      </c>
      <c r="G28" s="16">
        <f>SUM('1st Qtr'!G28, '2nd Qtr'!G28, '3rd Qtr'!G28, '4th Qtr'!G28)</f>
        <v>92071.504000000001</v>
      </c>
      <c r="H28" s="15">
        <f>SUM(Jan!H28, Feb!H28, Mar!H28)</f>
        <v>-90591.45</v>
      </c>
      <c r="I28" s="16">
        <f t="shared" si="2"/>
        <v>-0.98392495032990879</v>
      </c>
    </row>
    <row r="29" spans="1:9" ht="15.6">
      <c r="A29" s="17" t="str">
        <v>MN: Eden Prairie - UHG Optum Ramp B (PW)</v>
      </c>
      <c r="B29" s="10" t="str">
        <v>MN</v>
      </c>
      <c r="C29" s="11">
        <f>SUM('1st Qtr'!C29, '2nd Qtr'!C29, '3rd Qtr'!C29, '4th Qtr'!C29)</f>
        <v>0</v>
      </c>
      <c r="D29" s="18">
        <f>SUM('1st Qtr'!D29, '2nd Qtr'!D29, '3rd Qtr'!D29, '4th Qtr'!D29)</f>
        <v>0</v>
      </c>
      <c r="E29" s="11">
        <f t="shared" si="5"/>
        <v>0</v>
      </c>
      <c r="F29" s="19" t="str">
        <f>IFERROR(E29/D29, "")</f>
        <v/>
      </c>
      <c r="G29" s="19">
        <f>SUM('1st Qtr'!G29, '2nd Qtr'!G29, '3rd Qtr'!G29, '4th Qtr'!G29)</f>
        <v>0</v>
      </c>
      <c r="H29" s="20">
        <f>SUM(Jan!H29, Feb!H29, Mar!H29)</f>
        <v>0</v>
      </c>
      <c r="I29" s="19" t="str">
        <f t="shared" si="2"/>
        <v/>
      </c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9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F25:F87 I4:I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L17" sqref="L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CBRE</v>
      </c>
      <c r="B1" s="97"/>
      <c r="C1" s="97"/>
      <c r="D1" s="98" t="s">
        <v>10</v>
      </c>
      <c r="E1" s="98"/>
      <c r="F1" s="98"/>
      <c r="G1" s="96" t="s">
        <v>11</v>
      </c>
      <c r="H1" s="96"/>
      <c r="I1" s="96"/>
    </row>
    <row r="2" spans="1:9" ht="19.5" customHeight="1">
      <c r="A2" s="99" t="s">
        <v>2</v>
      </c>
      <c r="B2" s="99"/>
      <c r="C2" s="5">
        <f>SUM(C4:C87)</f>
        <v>12719.557000000001</v>
      </c>
      <c r="D2" s="5">
        <f>SUM(D4:D87)</f>
        <v>4732.8280000000004</v>
      </c>
      <c r="E2" s="5">
        <f>C2-D2</f>
        <v>7986.7290000000003</v>
      </c>
      <c r="F2" s="6">
        <f>IFERROR(E2/D2, 0)</f>
        <v>1.6875172729708325</v>
      </c>
      <c r="G2" s="5">
        <f>SUM(G4:G87)</f>
        <v>92071.504000000001</v>
      </c>
      <c r="H2" s="7">
        <f>C2-G2</f>
        <v>-79351.947</v>
      </c>
      <c r="I2" s="6">
        <f>IFERROR(H2/G2, 0)</f>
        <v>-0.86185131721102326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9">Sites[Site]</f>
        <v>East Hartford - BA</v>
      </c>
      <c r="B4" s="9" t="str" cm="1">
        <f t="array" ref="B4:B29">Sites[State]</f>
        <v>CT</v>
      </c>
      <c r="C4" s="24">
        <f>SUM(Jan!C4, Feb!C4, Mar!C4)</f>
        <v>480.87200000000001</v>
      </c>
      <c r="D4" s="13">
        <f>SUM(Jan!D4, Feb!D4, Mar!D4)</f>
        <v>0</v>
      </c>
      <c r="E4" s="13">
        <f>IF(AND(ISNUMBER(C4),ISNUMBER(D4)), C4-D4, "")</f>
        <v>480.87200000000001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534.61400000000003</v>
      </c>
      <c r="D5" s="18">
        <f>SUM(Jan!D5, Feb!D5, Mar!D5)</f>
        <v>0</v>
      </c>
      <c r="E5" s="18">
        <f t="shared" ref="E5:E15" si="0">IF(AND(ISNUMBER(C5),ISNUMBER(D5)), C5-D5, "")</f>
        <v>534.61400000000003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203.48099999999999</v>
      </c>
      <c r="D6" s="13">
        <f>SUM(Jan!D6, Feb!D6, Mar!D6)</f>
        <v>0</v>
      </c>
      <c r="E6" s="13">
        <f t="shared" si="0"/>
        <v>203.48099999999999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613.61599999999999</v>
      </c>
      <c r="D7" s="18">
        <f>SUM(Jan!D7, Feb!D7, Mar!D7)</f>
        <v>0</v>
      </c>
      <c r="E7" s="18">
        <f t="shared" si="0"/>
        <v>613.61599999999999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768.11300000000006</v>
      </c>
      <c r="D8" s="13">
        <f>SUM(Jan!D8, Feb!D8, Mar!D8)</f>
        <v>0</v>
      </c>
      <c r="E8" s="13">
        <f t="shared" si="0"/>
        <v>768.11300000000006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518.13</v>
      </c>
      <c r="D9" s="18">
        <f>SUM(Jan!D9, Feb!D9, Mar!D9)</f>
        <v>0</v>
      </c>
      <c r="E9" s="18">
        <f t="shared" si="0"/>
        <v>518.13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743.13</v>
      </c>
      <c r="D10" s="13">
        <f>SUM(Jan!D10, Feb!D10, Mar!D10)</f>
        <v>0</v>
      </c>
      <c r="E10" s="13">
        <f t="shared" si="0"/>
        <v>743.13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569.18200000000002</v>
      </c>
      <c r="D11" s="18">
        <f>SUM(Jan!D11, Feb!D11, Mar!D11)</f>
        <v>0</v>
      </c>
      <c r="E11" s="18">
        <f t="shared" si="0"/>
        <v>569.18200000000002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544.38300000000004</v>
      </c>
      <c r="D12" s="13">
        <f>SUM(Jan!D12, Feb!D12, Mar!D12)</f>
        <v>0</v>
      </c>
      <c r="E12" s="13">
        <f t="shared" si="0"/>
        <v>544.38300000000004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1000.248</v>
      </c>
      <c r="D13" s="18">
        <f>SUM(Jan!D13, Feb!D13, Mar!D13)</f>
        <v>0</v>
      </c>
      <c r="E13" s="18">
        <f t="shared" si="0"/>
        <v>1000.248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243.19499999999999</v>
      </c>
      <c r="D14" s="13">
        <f>SUM(Jan!D14, Feb!D14, Mar!D14)</f>
        <v>0</v>
      </c>
      <c r="E14" s="13">
        <f t="shared" si="0"/>
        <v>243.19499999999999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636.00199999999995</v>
      </c>
      <c r="D15" s="18">
        <f>SUM(Jan!D15, Feb!D15, Mar!D15)</f>
        <v>0</v>
      </c>
      <c r="E15" s="18">
        <f t="shared" si="0"/>
        <v>636.00199999999995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460.95299999999997</v>
      </c>
      <c r="D17" s="18">
        <f>SUM(Jan!D17, Feb!D17, Mar!D17)</f>
        <v>0</v>
      </c>
      <c r="E17" s="18">
        <f t="shared" si="3"/>
        <v>460.95299999999997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305.08699999999999</v>
      </c>
      <c r="D18" s="13">
        <f>SUM(Jan!D18, Feb!D18, Mar!D18)</f>
        <v>0</v>
      </c>
      <c r="E18" s="13">
        <f t="shared" ref="E18:E25" si="6">IF(AND(ISNUMBER(C18),ISNUMBER(D18)), C18-D18, "")</f>
        <v>305.08699999999999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476.74099999999999</v>
      </c>
      <c r="D19" s="18">
        <f>SUM(Jan!D19, Feb!D19, Mar!D19)</f>
        <v>0</v>
      </c>
      <c r="E19" s="18">
        <f t="shared" si="6"/>
        <v>476.74099999999999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418.98099999999999</v>
      </c>
      <c r="D20" s="13">
        <f>SUM(Jan!D20, Feb!D20, Mar!D20)</f>
        <v>0</v>
      </c>
      <c r="E20" s="13">
        <f t="shared" si="6"/>
        <v>418.98099999999999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676.25900000000001</v>
      </c>
      <c r="D21" s="18">
        <f>SUM(Jan!D21, Feb!D21, Mar!D21)</f>
        <v>0</v>
      </c>
      <c r="E21" s="18">
        <f t="shared" si="6"/>
        <v>676.25900000000001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678.28</v>
      </c>
      <c r="D23" s="18">
        <f>SUM(Jan!D23, Feb!D23, Mar!D23)</f>
        <v>0</v>
      </c>
      <c r="E23" s="18">
        <f t="shared" si="6"/>
        <v>678.28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820.02599999999995</v>
      </c>
      <c r="D24" s="13">
        <f>SUM(Jan!D24, Feb!D24, Mar!D24)</f>
        <v>0</v>
      </c>
      <c r="E24" s="13">
        <f t="shared" si="6"/>
        <v>820.02599999999995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462.69200000000001</v>
      </c>
      <c r="D25" s="18">
        <f>SUM(Jan!D25, Feb!D25, Mar!D25)</f>
        <v>0</v>
      </c>
      <c r="E25" s="18">
        <f t="shared" si="6"/>
        <v>462.69200000000001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44.606000000000002</v>
      </c>
      <c r="D26" s="13">
        <f>SUM(Jan!D26, Feb!D26, Mar!D26)</f>
        <v>0</v>
      </c>
      <c r="E26" s="13">
        <f>IF(AND(ISNUMBER(C26),ISNUMBER(D26)), C26-D26, "")</f>
        <v>44.606000000000002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40.911999999999999</v>
      </c>
      <c r="D27" s="18">
        <f>SUM(Jan!D27, Feb!D27, Mar!D27)</f>
        <v>0</v>
      </c>
      <c r="E27" s="18">
        <f>IF(AND(ISNUMBER(C27),ISNUMBER(D27)), C27-D27, "")</f>
        <v>40.911999999999999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5.6">
      <c r="A28" s="12" t="str">
        <v>MN: Eden Prairie - UHG Optum Ramp A (PW)</v>
      </c>
      <c r="B28" s="9" t="str">
        <v>MN</v>
      </c>
      <c r="C28" s="24">
        <f>SUM(Jan!C28, Feb!C28, Mar!C28)</f>
        <v>1480.0540000000001</v>
      </c>
      <c r="D28" s="13">
        <f>SUM(Jan!D28, Feb!D28, Mar!D28)</f>
        <v>4732.8280000000004</v>
      </c>
      <c r="E28" s="13">
        <f>IF(AND(ISNUMBER(C28),ISNUMBER(D28)), C28-D28, "")</f>
        <v>-3252.7740000000003</v>
      </c>
      <c r="F28" s="14">
        <f>IFERROR(E28/D28, "")</f>
        <v>-0.68727914895702946</v>
      </c>
      <c r="G28" s="15">
        <f>SUM(Jan!G28, Feb!G28, Mar!G28)</f>
        <v>92071.504000000001</v>
      </c>
      <c r="H28" s="15">
        <f>SUM(Jan!H28, Feb!H28, Mar!H28)</f>
        <v>-90591.45</v>
      </c>
      <c r="I28" s="16">
        <f>IFERROR(H28/G28, "")</f>
        <v>-0.98392495032990879</v>
      </c>
    </row>
    <row r="29" spans="1:9" ht="15.6">
      <c r="A29" s="17" t="str">
        <v>MN: Eden Prairie - UHG Optum Ramp B (PW)</v>
      </c>
      <c r="B29" s="10" t="str">
        <v>MN</v>
      </c>
      <c r="C29" s="11">
        <f>SUM(Jan!C29, Feb!C29, Mar!C29)</f>
        <v>0</v>
      </c>
      <c r="D29" s="18">
        <f>SUM(Jan!D29, Feb!D29, Mar!D29)</f>
        <v>0</v>
      </c>
      <c r="E29" s="18">
        <f>IF(AND(ISNUMBER(C29),ISNUMBER(D29)), C29-D29, "")</f>
        <v>0</v>
      </c>
      <c r="F29" s="19" t="str">
        <f>IFERROR(E29/D29, "")</f>
        <v/>
      </c>
      <c r="G29" s="20">
        <f>SUM(Jan!G29, Feb!G29, Mar!G29)</f>
        <v>0</v>
      </c>
      <c r="H29" s="20">
        <f>SUM(Jan!H29, Feb!H29, Mar!H29)</f>
        <v>0</v>
      </c>
      <c r="I29" s="19" t="str">
        <f>IFERROR(H29/G29, "")</f>
        <v/>
      </c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C2" sqref="C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CBRE</v>
      </c>
      <c r="B1" s="97"/>
      <c r="C1" s="97"/>
      <c r="D1" s="98" t="s">
        <v>12</v>
      </c>
      <c r="E1" s="98"/>
      <c r="F1" s="98"/>
      <c r="G1" s="96" t="s">
        <v>13</v>
      </c>
      <c r="H1" s="96"/>
      <c r="I1" s="96"/>
    </row>
    <row r="2" spans="1:9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9">Sites[Site]</f>
        <v>East Hartford - BA</v>
      </c>
      <c r="B4" s="9" t="str" cm="1">
        <f t="array" ref="B4:B29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0</v>
      </c>
      <c r="D20" s="13">
        <f>SUM(Apr!D20, May!D20, Jun!D20)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3">
        <f>SUM(Apr!C26, May!C26, Jun!C26)</f>
        <v>0</v>
      </c>
      <c r="D26" s="13">
        <f>SUM(Apr!D26, May!D26, Jun!D26)</f>
        <v>0</v>
      </c>
      <c r="E26" s="13">
        <f>IF(AND(ISNUMBER(C26),ISNUMBER(D26)), C26-D26, "")</f>
        <v>0</v>
      </c>
      <c r="F26" s="76" t="str">
        <f>IFERROR(E26/D26, "")</f>
        <v/>
      </c>
      <c r="G26" s="75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0</v>
      </c>
      <c r="D27" s="18">
        <f>SUM(Apr!D27, May!D27, Jun!D27)</f>
        <v>0</v>
      </c>
      <c r="E27" s="18">
        <f>IF(AND(ISNUMBER(C27),ISNUMBER(D27)), C27-D27, "")</f>
        <v>0</v>
      </c>
      <c r="F27" s="19" t="str">
        <f>IFERROR(E27/D27, "")</f>
        <v/>
      </c>
      <c r="G27" s="74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5.6">
      <c r="A28" s="12" t="str">
        <v>MN: Eden Prairie - UHG Optum Ramp A (PW)</v>
      </c>
      <c r="B28" s="9" t="str">
        <v>MN</v>
      </c>
      <c r="C28" s="73">
        <f>SUM(Apr!C28, May!C28, Jun!C28)</f>
        <v>0</v>
      </c>
      <c r="D28" s="13">
        <f>SUM(Apr!D28, May!D28, Jun!D28)</f>
        <v>0</v>
      </c>
      <c r="E28" s="13">
        <f>IF(AND(ISNUMBER(C28),ISNUMBER(D28)), C28-D28, "")</f>
        <v>0</v>
      </c>
      <c r="F28" s="76" t="str">
        <f>IFERROR(E28/D28, "")</f>
        <v/>
      </c>
      <c r="G28" s="75">
        <f>SUM(Apr!G28, May!G28, Jun!G28)</f>
        <v>0</v>
      </c>
      <c r="H28" s="15">
        <f>SUM(Apr!H28, May!H28, Jun!H28)</f>
        <v>0</v>
      </c>
      <c r="I28" s="16" t="str">
        <f>IFERROR(H28/G28, "")</f>
        <v/>
      </c>
    </row>
    <row r="29" spans="1:9" ht="15.6">
      <c r="A29" s="17" t="str">
        <v>MN: Eden Prairie - UHG Optum Ramp B (PW)</v>
      </c>
      <c r="B29" s="10" t="str">
        <v>MN</v>
      </c>
      <c r="C29" s="11">
        <f>SUM(Apr!C29, May!C29, Jun!C29)</f>
        <v>0</v>
      </c>
      <c r="D29" s="18">
        <f>SUM(Apr!D29, May!D29, Jun!D29)</f>
        <v>0</v>
      </c>
      <c r="E29" s="18">
        <f>IF(AND(ISNUMBER(C29),ISNUMBER(D29)), C29-D29, "")</f>
        <v>0</v>
      </c>
      <c r="F29" s="19" t="str">
        <f>IFERROR(E29/D29, "")</f>
        <v/>
      </c>
      <c r="G29" s="74">
        <f>SUM(Apr!G29, May!G29, Jun!G29)</f>
        <v>0</v>
      </c>
      <c r="H29" s="20">
        <f>SUM(Apr!H29, May!H29, Jun!H29)</f>
        <v>0</v>
      </c>
      <c r="I29" s="19" t="str">
        <f>IFERROR(H29/G29, "")</f>
        <v/>
      </c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9" stopIfTrue="1" operator="lessThanOrEqual">
      <formula>-0.1</formula>
    </cfRule>
    <cfRule type="expression" dxfId="55" priority="10">
      <formula>AND(ISNUMBER(F2), F2&gt;=0.1)</formula>
    </cfRule>
  </conditionalFormatting>
  <conditionalFormatting sqref="F4:G29">
    <cfRule type="cellIs" dxfId="54" priority="7" stopIfTrue="1" operator="lessThanOrEqual">
      <formula>-0.1</formula>
    </cfRule>
    <cfRule type="expression" dxfId="53" priority="8">
      <formula>AND(ISNUMBER(F4), F4&gt;=0.1)</formula>
    </cfRule>
  </conditionalFormatting>
  <conditionalFormatting sqref="I4:I86 F30:F86">
    <cfRule type="cellIs" dxfId="52" priority="5" stopIfTrue="1" operator="lessThanOrEqual">
      <formula>-0.1</formula>
    </cfRule>
    <cfRule type="expression" dxfId="51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21" activePane="bottomRight" state="frozen"/>
      <selection pane="bottomRight" activeCell="K30" sqref="K3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CBRE</v>
      </c>
      <c r="B1" s="97"/>
      <c r="C1" s="97"/>
      <c r="D1" s="98" t="s">
        <v>14</v>
      </c>
      <c r="E1" s="98"/>
      <c r="F1" s="98"/>
      <c r="G1" s="96" t="s">
        <v>15</v>
      </c>
      <c r="H1" s="96"/>
      <c r="I1" s="96"/>
    </row>
    <row r="2" spans="1:9" ht="19.5" customHeight="1">
      <c r="A2" s="99" t="s">
        <v>2</v>
      </c>
      <c r="B2" s="9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9">Sites[Site]</f>
        <v>East Hartford - BA</v>
      </c>
      <c r="B4" s="9" t="str" cm="1">
        <f t="array" ref="B4:B29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0</v>
      </c>
      <c r="D26" s="13">
        <f>SUM(Jul!D26, Aug!D26, Sep!D26)</f>
        <v>0</v>
      </c>
      <c r="E26" s="13">
        <f t="shared" ref="E26:E29" si="9">IF(AND(ISNUMBER(C26),ISNUMBER(D26)), C26-D26, "")</f>
        <v>0</v>
      </c>
      <c r="F26" s="14" t="str">
        <f t="shared" ref="F26:F29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9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0</v>
      </c>
      <c r="D27" s="18">
        <f>SUM(Jul!D27, Aug!D27, Sep!D27)</f>
        <v>0</v>
      </c>
      <c r="E27" s="18">
        <f t="shared" si="9"/>
        <v>0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5.6">
      <c r="A28" s="12" t="str">
        <v>MN: Eden Prairie - UHG Optum Ramp A (PW)</v>
      </c>
      <c r="B28" s="9" t="str">
        <v>MN</v>
      </c>
      <c r="C28" s="24">
        <f>SUM(Jul!C28, Jul!C28, Sep!C28)</f>
        <v>0</v>
      </c>
      <c r="D28" s="13">
        <f>SUM(Jul!D28, Aug!D28, Sep!D28)</f>
        <v>0</v>
      </c>
      <c r="E28" s="13">
        <f t="shared" si="9"/>
        <v>0</v>
      </c>
      <c r="F28" s="14" t="str">
        <f t="shared" si="10"/>
        <v/>
      </c>
      <c r="G28" s="15">
        <f>SUM(Jul!G28, Aug!G28, Sep!G28)</f>
        <v>0</v>
      </c>
      <c r="H28" s="15">
        <f>SUM(Jul!H28, Aug!H28, Sep!H28)</f>
        <v>0</v>
      </c>
      <c r="I28" s="16" t="str">
        <f t="shared" si="11"/>
        <v/>
      </c>
    </row>
    <row r="29" spans="1:9" ht="15.6">
      <c r="A29" s="17" t="str">
        <v>MN: Eden Prairie - UHG Optum Ramp B (PW)</v>
      </c>
      <c r="B29" s="10" t="str">
        <v>MN</v>
      </c>
      <c r="C29" s="11">
        <f>SUM(Jul!C29, Aug!C29, Sep!C29)</f>
        <v>0</v>
      </c>
      <c r="D29" s="18">
        <f>SUM(Jul!D29, Aug!D29, Sep!D29)</f>
        <v>0</v>
      </c>
      <c r="E29" s="18">
        <f t="shared" si="9"/>
        <v>0</v>
      </c>
      <c r="F29" s="19" t="str">
        <f t="shared" si="10"/>
        <v/>
      </c>
      <c r="G29" s="20">
        <f>SUM(Jul!G29, Aug!G29, Sep!G29)</f>
        <v>0</v>
      </c>
      <c r="H29" s="20">
        <f>SUM(Jul!H29, Aug!H29, Sep!H29)</f>
        <v>0</v>
      </c>
      <c r="I29" s="19" t="str">
        <f t="shared" si="11"/>
        <v/>
      </c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15" activePane="bottomRight" state="frozen"/>
      <selection pane="bottomRight" activeCell="H26" sqref="H26:H2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CBRE</v>
      </c>
      <c r="B1" s="97"/>
      <c r="C1" s="97"/>
      <c r="D1" s="98" t="s">
        <v>16</v>
      </c>
      <c r="E1" s="98"/>
      <c r="F1" s="98"/>
      <c r="G1" s="96" t="s">
        <v>17</v>
      </c>
      <c r="H1" s="96"/>
      <c r="I1" s="96"/>
    </row>
    <row r="2" spans="1:9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9">Sites[Site]</f>
        <v>East Hartford - BA</v>
      </c>
      <c r="B4" s="9" t="str" cm="1">
        <f t="array" ref="B4:B29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8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7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>MN: Eden Prairie - UHG Optum Ramp A (PW)</v>
      </c>
      <c r="B28" s="9" t="str">
        <v>MN</v>
      </c>
      <c r="C28" s="24">
        <f>SUM(Oct!C28, Oct!C28, Dec!C28)</f>
        <v>0</v>
      </c>
      <c r="D28" s="13">
        <f>SUM(Oct!D28, Nov!D28, Dec!D28)</f>
        <v>0</v>
      </c>
      <c r="E28" s="13">
        <f t="shared" si="6"/>
        <v>0</v>
      </c>
      <c r="F28" s="14"/>
      <c r="G28" s="15">
        <f>SUM(Oct!G28, Nov!G28, Dec!G28)</f>
        <v>0</v>
      </c>
      <c r="H28" s="15">
        <f>SUM(Oct!H28, Nov!H28, Dec!H28)</f>
        <v>0</v>
      </c>
      <c r="I28" s="16"/>
    </row>
    <row r="29" spans="1:9" ht="15.6">
      <c r="A29" s="17" t="str">
        <v>MN: Eden Prairie - UHG Optum Ramp B (PW)</v>
      </c>
      <c r="B29" s="10" t="str">
        <v>MN</v>
      </c>
      <c r="C29" s="11">
        <f>SUM(Oct!C29, Nov!C29, Dec!C29)</f>
        <v>0</v>
      </c>
      <c r="D29" s="18">
        <f>SUM(Oct!D29, Nov!D29, Dec!D29)</f>
        <v>0</v>
      </c>
      <c r="E29" s="18">
        <f>IF(AND(ISNUMBER(C29),ISNUMBER(D29)), C29-D29, "")</f>
        <v>0</v>
      </c>
      <c r="F29" s="19"/>
      <c r="G29" s="20">
        <f>SUM(Oct!G29, Nov!G29, Dec!G29)</f>
        <v>0</v>
      </c>
      <c r="H29" s="20">
        <f>SUM(Oct!H29, Nov!H29, Dec!H29)</f>
        <v>0</v>
      </c>
      <c r="I29" s="19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tabSelected="1" zoomScale="96" zoomScaleNormal="96" workbookViewId="0">
      <pane xSplit="2" ySplit="3" topLeftCell="C14" activePane="bottomRight" state="frozen"/>
      <selection pane="bottomRight" activeCell="A4" sqref="A4:A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4" ht="19.5" customHeight="1">
      <c r="A1" s="97" t="str" cm="1">
        <f t="array" ref="A1">portfolio</f>
        <v>CBRE</v>
      </c>
      <c r="B1" s="97"/>
      <c r="C1" s="97"/>
      <c r="D1" s="98" t="s">
        <v>18</v>
      </c>
      <c r="E1" s="98"/>
      <c r="F1" s="98"/>
      <c r="G1" s="96" t="s">
        <v>19</v>
      </c>
      <c r="H1" s="96"/>
      <c r="I1" s="96"/>
      <c r="J1" s="4"/>
      <c r="K1" s="4"/>
      <c r="L1" s="4"/>
    </row>
    <row r="2" spans="1:14" ht="19.5" customHeight="1">
      <c r="A2" s="99" t="s">
        <v>2</v>
      </c>
      <c r="B2" s="99"/>
      <c r="C2" s="5">
        <f>SUM(C4:C85)</f>
        <v>12719.557000000001</v>
      </c>
      <c r="D2" s="5">
        <f>SUM(D4:D85)</f>
        <v>4732.8280000000004</v>
      </c>
      <c r="E2" s="5">
        <f>C2-D2</f>
        <v>7986.7290000000003</v>
      </c>
      <c r="F2" s="6">
        <f>IFERROR(E2/D2, 0)</f>
        <v>1.6875172729708325</v>
      </c>
      <c r="G2" s="5">
        <f>SUM(G4:G85)</f>
        <v>92071.504000000001</v>
      </c>
      <c r="H2" s="7">
        <f>C2-G2</f>
        <v>-79351.947</v>
      </c>
      <c r="I2" s="6">
        <f>IFERROR(H2/G2, 0)</f>
        <v>-0.86185131721102326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22</v>
      </c>
    </row>
    <row r="4" spans="1:14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>
        <v>480.87200000000001</v>
      </c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 t="s">
        <v>24</v>
      </c>
      <c r="K4" s="61" t="s">
        <v>25</v>
      </c>
      <c r="L4" s="41" t="s">
        <v>26</v>
      </c>
    </row>
    <row r="5" spans="1:14" ht="15.6">
      <c r="A5" s="30" t="str">
        <v>Indianapolis - BA Speedway</v>
      </c>
      <c r="B5" s="31" t="str">
        <v>IN</v>
      </c>
      <c r="C5" s="11">
        <v>534.61400000000003</v>
      </c>
      <c r="D5" s="18" t="s">
        <v>23</v>
      </c>
      <c r="E5" s="18" t="str">
        <f t="shared" ref="E5:E29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29" si="1">IF(AND(ISNUMBER(C5),ISNUMBER(G5)), C5-G5, "")</f>
        <v/>
      </c>
      <c r="I5" s="19" t="str">
        <f t="shared" ref="I5:I29" si="2">IFERROR(H5/G5, "")</f>
        <v/>
      </c>
      <c r="J5" s="42"/>
      <c r="K5" s="60"/>
      <c r="L5" s="60"/>
    </row>
    <row r="6" spans="1:14" ht="15.6">
      <c r="A6" s="28" t="str">
        <v>Greenwood - BA</v>
      </c>
      <c r="B6" s="29" t="str">
        <v>IN</v>
      </c>
      <c r="C6" s="24">
        <v>203.48099999999999</v>
      </c>
      <c r="D6" s="13" t="s">
        <v>23</v>
      </c>
      <c r="E6" s="13" t="str">
        <f t="shared" si="0"/>
        <v/>
      </c>
      <c r="F6" s="14" t="str">
        <f t="shared" ref="F6:F29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61"/>
      <c r="L6" s="61"/>
      <c r="M6" s="66"/>
      <c r="N6" s="66"/>
    </row>
    <row r="7" spans="1:14" ht="15.6">
      <c r="A7" s="30" t="str">
        <v>West Chester - BA</v>
      </c>
      <c r="B7" s="31" t="str">
        <v>OH</v>
      </c>
      <c r="C7" s="11">
        <v>613.61599999999999</v>
      </c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  <c r="L7" s="43"/>
      <c r="M7" s="66"/>
      <c r="N7" s="66"/>
    </row>
    <row r="8" spans="1:14" ht="15.6">
      <c r="A8" s="28" t="str">
        <v>Cincinnati - BA MLK and Burnet</v>
      </c>
      <c r="B8" s="29" t="str">
        <v>OH</v>
      </c>
      <c r="C8" s="24">
        <v>768.11300000000006</v>
      </c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41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518.13</v>
      </c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43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743.13</v>
      </c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 t="s">
        <v>27</v>
      </c>
      <c r="K10" s="61" t="s">
        <v>28</v>
      </c>
      <c r="L10" s="41" t="s">
        <v>29</v>
      </c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569.18200000000002</v>
      </c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43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544.38300000000004</v>
      </c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41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1000.248</v>
      </c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62"/>
      <c r="L13" s="62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243.19499999999999</v>
      </c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61"/>
      <c r="L14" s="61"/>
      <c r="M14" s="66"/>
      <c r="N14" s="66"/>
    </row>
    <row r="15" spans="1:14" ht="15.6">
      <c r="A15" s="30" t="str">
        <v>Columbus - BA Eastmoor</v>
      </c>
      <c r="B15" s="31" t="str">
        <v>OH</v>
      </c>
      <c r="C15" s="11">
        <v>636.00199999999995</v>
      </c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0"/>
      <c r="L15" s="60"/>
      <c r="M15" s="67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41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460.95299999999997</v>
      </c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43"/>
      <c r="M17" s="66"/>
      <c r="N17" s="66"/>
    </row>
    <row r="18" spans="1:14" ht="15.6">
      <c r="A18" s="28" t="str">
        <v>New York - BA Two Bryant Pk</v>
      </c>
      <c r="B18" s="29" t="str">
        <v>NY</v>
      </c>
      <c r="C18" s="24">
        <v>305.08699999999999</v>
      </c>
      <c r="D18" s="13" t="s">
        <v>23</v>
      </c>
      <c r="E18" s="13" t="str">
        <f t="shared" si="0"/>
        <v/>
      </c>
      <c r="F18" s="14" t="str">
        <f t="shared" si="3"/>
        <v/>
      </c>
      <c r="G18" s="57" t="s">
        <v>23</v>
      </c>
      <c r="H18" s="15" t="str">
        <f t="shared" si="1"/>
        <v/>
      </c>
      <c r="I18" s="16" t="str">
        <f t="shared" si="2"/>
        <v/>
      </c>
      <c r="J18" s="41"/>
      <c r="K18" s="41"/>
      <c r="L18" s="41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476.74099999999999</v>
      </c>
      <c r="D19" s="18" t="s">
        <v>23</v>
      </c>
      <c r="E19" s="18" t="str">
        <f t="shared" si="0"/>
        <v/>
      </c>
      <c r="F19" s="19" t="str">
        <f t="shared" si="3"/>
        <v/>
      </c>
      <c r="G19" s="58" t="s">
        <v>23</v>
      </c>
      <c r="H19" s="20" t="str">
        <f t="shared" si="1"/>
        <v/>
      </c>
      <c r="I19" s="19" t="str">
        <f t="shared" si="2"/>
        <v/>
      </c>
      <c r="J19" s="42"/>
      <c r="K19" s="60"/>
      <c r="L19" s="60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418.98099999999999</v>
      </c>
      <c r="D20" s="13" t="s">
        <v>23</v>
      </c>
      <c r="E20" s="13" t="str">
        <f t="shared" si="0"/>
        <v/>
      </c>
      <c r="F20" s="14" t="str">
        <f t="shared" si="3"/>
        <v/>
      </c>
      <c r="G20" s="57" t="s">
        <v>23</v>
      </c>
      <c r="H20" s="15" t="str">
        <f t="shared" si="1"/>
        <v/>
      </c>
      <c r="I20" s="16" t="str">
        <f t="shared" si="2"/>
        <v/>
      </c>
      <c r="J20" s="41"/>
      <c r="K20" s="41"/>
      <c r="L20" s="41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676.25900000000001</v>
      </c>
      <c r="D21" s="18" t="s">
        <v>23</v>
      </c>
      <c r="E21" s="18" t="str">
        <f t="shared" si="0"/>
        <v/>
      </c>
      <c r="F21" s="19" t="str">
        <f t="shared" si="3"/>
        <v/>
      </c>
      <c r="G21" s="58" t="s">
        <v>23</v>
      </c>
      <c r="H21" s="20" t="str">
        <f t="shared" si="1"/>
        <v/>
      </c>
      <c r="I21" s="19" t="str">
        <f t="shared" si="2"/>
        <v/>
      </c>
      <c r="J21" s="42"/>
      <c r="K21" s="43"/>
      <c r="L21" s="43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23</v>
      </c>
      <c r="E22" s="13" t="str">
        <f t="shared" si="0"/>
        <v/>
      </c>
      <c r="F22" s="14" t="str">
        <f t="shared" si="3"/>
        <v/>
      </c>
      <c r="G22" s="57" t="s">
        <v>23</v>
      </c>
      <c r="H22" s="15" t="str">
        <f t="shared" si="1"/>
        <v/>
      </c>
      <c r="I22" s="16" t="str">
        <f t="shared" si="2"/>
        <v/>
      </c>
      <c r="J22" s="41"/>
      <c r="K22" s="41"/>
      <c r="L22" s="41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678.28</v>
      </c>
      <c r="D23" s="18" t="s">
        <v>23</v>
      </c>
      <c r="E23" s="18" t="str">
        <f t="shared" si="0"/>
        <v/>
      </c>
      <c r="F23" s="19" t="str">
        <f t="shared" si="3"/>
        <v/>
      </c>
      <c r="G23" s="58" t="s">
        <v>23</v>
      </c>
      <c r="H23" s="20" t="str">
        <f t="shared" si="1"/>
        <v/>
      </c>
      <c r="I23" s="19" t="str">
        <f t="shared" si="2"/>
        <v/>
      </c>
      <c r="J23" s="42"/>
      <c r="K23" s="43"/>
      <c r="L23" s="43"/>
      <c r="M23" s="66"/>
      <c r="N23" s="66"/>
    </row>
    <row r="24" spans="1:14" ht="15.6">
      <c r="A24" s="28" t="str">
        <v>Midlothian - BA Brandermill</v>
      </c>
      <c r="B24" s="29" t="str">
        <v>VA</v>
      </c>
      <c r="C24" s="24">
        <v>820.02599999999995</v>
      </c>
      <c r="D24" s="13" t="s">
        <v>23</v>
      </c>
      <c r="E24" s="13" t="str">
        <f t="shared" si="0"/>
        <v/>
      </c>
      <c r="F24" s="14" t="str">
        <f t="shared" si="3"/>
        <v/>
      </c>
      <c r="G24" s="57" t="s">
        <v>23</v>
      </c>
      <c r="H24" s="15" t="str">
        <f t="shared" si="1"/>
        <v/>
      </c>
      <c r="I24" s="16" t="str">
        <f t="shared" si="2"/>
        <v/>
      </c>
      <c r="J24" s="41" t="s">
        <v>30</v>
      </c>
      <c r="K24" s="61" t="s">
        <v>31</v>
      </c>
      <c r="L24" s="41" t="s">
        <v>29</v>
      </c>
      <c r="M24" s="66"/>
      <c r="N24" s="66"/>
    </row>
    <row r="25" spans="1:14" ht="27" customHeight="1">
      <c r="A25" s="30" t="str">
        <v>Lexington - BA North Park</v>
      </c>
      <c r="B25" s="31" t="str">
        <v>KY</v>
      </c>
      <c r="C25" s="11">
        <v>462.69200000000001</v>
      </c>
      <c r="D25" s="18" t="s">
        <v>23</v>
      </c>
      <c r="E25" s="18" t="str">
        <f t="shared" si="0"/>
        <v/>
      </c>
      <c r="F25" s="19" t="str">
        <f t="shared" si="3"/>
        <v/>
      </c>
      <c r="G25" s="58" t="s">
        <v>23</v>
      </c>
      <c r="H25" s="20" t="str">
        <f t="shared" si="1"/>
        <v/>
      </c>
      <c r="I25" s="19" t="str">
        <f t="shared" si="2"/>
        <v/>
      </c>
      <c r="J25" s="42"/>
      <c r="K25" s="60"/>
      <c r="L25" s="60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44.606000000000002</v>
      </c>
      <c r="D26" s="13" t="s">
        <v>23</v>
      </c>
      <c r="E26" s="13" t="str">
        <f t="shared" si="0"/>
        <v/>
      </c>
      <c r="F26" s="14" t="str">
        <f t="shared" si="3"/>
        <v/>
      </c>
      <c r="G26" s="57" t="s">
        <v>23</v>
      </c>
      <c r="H26" s="15" t="str">
        <f t="shared" si="1"/>
        <v/>
      </c>
      <c r="I26" s="16" t="str">
        <f t="shared" si="2"/>
        <v/>
      </c>
      <c r="J26" s="56"/>
      <c r="K26" s="63"/>
      <c r="L26" s="63"/>
    </row>
    <row r="27" spans="1:14" ht="47.25" customHeight="1">
      <c r="A27" s="17" t="str">
        <v>Woodbridge - BA ATM</v>
      </c>
      <c r="B27" s="10" t="str">
        <v>VA</v>
      </c>
      <c r="C27" s="11">
        <v>40.911999999999999</v>
      </c>
      <c r="D27" s="18" t="s">
        <v>23</v>
      </c>
      <c r="E27" s="18" t="str">
        <f t="shared" si="0"/>
        <v/>
      </c>
      <c r="F27" s="19" t="str">
        <f t="shared" si="3"/>
        <v/>
      </c>
      <c r="G27" s="58" t="s">
        <v>23</v>
      </c>
      <c r="H27" s="20" t="str">
        <f t="shared" si="1"/>
        <v/>
      </c>
      <c r="I27" s="19" t="str">
        <f t="shared" si="2"/>
        <v/>
      </c>
      <c r="J27" s="94" t="s">
        <v>32</v>
      </c>
      <c r="K27" s="67" t="s">
        <v>33</v>
      </c>
      <c r="L27" s="66" t="s">
        <v>26</v>
      </c>
    </row>
    <row r="28" spans="1:14" ht="15.6">
      <c r="A28" s="28" t="str">
        <v>MN: Eden Prairie - UHG Optum Ramp A (PW)</v>
      </c>
      <c r="B28" s="29" t="str">
        <v>MN</v>
      </c>
      <c r="C28" s="24">
        <v>1480.0540000000001</v>
      </c>
      <c r="D28" s="13">
        <v>4732.8280000000004</v>
      </c>
      <c r="E28" s="13">
        <f t="shared" si="0"/>
        <v>-3252.7740000000003</v>
      </c>
      <c r="F28" s="14">
        <f t="shared" si="3"/>
        <v>-0.68727914895702946</v>
      </c>
      <c r="G28" s="57">
        <v>92071.504000000001</v>
      </c>
      <c r="H28" s="15">
        <f t="shared" si="1"/>
        <v>-90591.45</v>
      </c>
      <c r="I28" s="16">
        <f t="shared" si="2"/>
        <v>-0.98392495032990879</v>
      </c>
      <c r="J28" s="56"/>
      <c r="K28" s="63"/>
      <c r="L28" s="63"/>
    </row>
    <row r="29" spans="1:14" ht="15.6">
      <c r="A29" s="17" t="str">
        <v>MN: Eden Prairie - UHG Optum Ramp B (PW)</v>
      </c>
      <c r="B29" s="10" t="str">
        <v>MN</v>
      </c>
      <c r="C29" s="11">
        <v>0</v>
      </c>
      <c r="D29" s="18">
        <v>0</v>
      </c>
      <c r="E29" s="18">
        <f t="shared" si="0"/>
        <v>0</v>
      </c>
      <c r="F29" s="19" t="str">
        <f t="shared" si="3"/>
        <v/>
      </c>
      <c r="G29" s="58">
        <v>0</v>
      </c>
      <c r="H29" s="20">
        <f t="shared" si="1"/>
        <v>0</v>
      </c>
      <c r="I29" s="19" t="str">
        <f t="shared" si="2"/>
        <v/>
      </c>
      <c r="J29" s="93" t="s">
        <v>34</v>
      </c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4" r:id="rId1" display="https://us3.assetplanner.com/service_request?ID=114616" xr:uid="{96AC2082-8FE3-43BF-9ADE-E38ED31736E4}"/>
    <hyperlink ref="K10" r:id="rId2" display="https://us3.assetplanner.com/service_request?ID=099413" xr:uid="{0762F3A5-0933-4737-BBD8-81485E21929A}"/>
    <hyperlink ref="K24" r:id="rId3" display="https://us3.assetplanner.com/service_request?ID=112603" xr:uid="{14D6ADE6-5C1D-4D86-B72F-9543C2DAAAB7}"/>
    <hyperlink ref="K27" r:id="rId4" display="https://us3.assetplanner.com/service_request?ID=113375" xr:uid="{1FDD3040-2E27-4C33-B22A-50535BA4EF21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7" t="str" cm="1">
        <f t="array" ref="A1">portfolio</f>
        <v>CBRE</v>
      </c>
      <c r="B1" s="97"/>
      <c r="C1" s="97"/>
      <c r="D1" s="98" t="s">
        <v>35</v>
      </c>
      <c r="E1" s="98"/>
      <c r="F1" s="98"/>
      <c r="G1" s="96" t="s">
        <v>36</v>
      </c>
      <c r="H1" s="96"/>
      <c r="I1" s="96"/>
      <c r="J1" s="4"/>
      <c r="K1" s="4"/>
    </row>
    <row r="2" spans="1:14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5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66"/>
      <c r="M12" s="66"/>
      <c r="N12" s="66"/>
    </row>
    <row r="13" spans="1:14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66"/>
      <c r="M13" s="66"/>
      <c r="N13" s="66"/>
    </row>
    <row r="14" spans="1:14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66"/>
      <c r="M14" s="66"/>
      <c r="N14" s="66"/>
    </row>
    <row r="15" spans="1:14" ht="39" customHeight="1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0"/>
      <c r="L15" s="67"/>
      <c r="M15" s="66"/>
      <c r="N15" s="66"/>
    </row>
    <row r="16" spans="1:14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7" t="s">
        <v>23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4"/>
        <v/>
      </c>
      <c r="F17" s="19" t="str">
        <f t="shared" si="5"/>
        <v/>
      </c>
      <c r="G17" s="58" t="s">
        <v>23</v>
      </c>
      <c r="H17" s="20" t="str">
        <f t="shared" si="6"/>
        <v/>
      </c>
      <c r="I17" s="19" t="str">
        <f t="shared" si="7"/>
        <v/>
      </c>
      <c r="J17" s="42"/>
      <c r="K17" s="43"/>
      <c r="L17" s="66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7" t="s">
        <v>23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6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8"/>
        <v/>
      </c>
      <c r="F19" s="19" t="str">
        <f t="shared" si="9"/>
        <v/>
      </c>
      <c r="G19" s="58" t="s">
        <v>23</v>
      </c>
      <c r="H19" s="20" t="str">
        <f t="shared" si="10"/>
        <v/>
      </c>
      <c r="I19" s="19" t="str">
        <f t="shared" si="11"/>
        <v/>
      </c>
      <c r="J19" s="42"/>
      <c r="K19" s="43"/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8"/>
        <v/>
      </c>
      <c r="F20" s="14" t="str">
        <f t="shared" si="9"/>
        <v/>
      </c>
      <c r="G20" s="57" t="s">
        <v>23</v>
      </c>
      <c r="H20" s="15" t="str">
        <f t="shared" si="10"/>
        <v/>
      </c>
      <c r="I20" s="16" t="str">
        <f t="shared" si="11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8"/>
        <v/>
      </c>
      <c r="F21" s="19" t="str">
        <f t="shared" si="9"/>
        <v/>
      </c>
      <c r="G21" s="58" t="s">
        <v>23</v>
      </c>
      <c r="H21" s="20" t="str">
        <f t="shared" si="10"/>
        <v/>
      </c>
      <c r="I21" s="19" t="str">
        <f t="shared" si="11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8"/>
        <v/>
      </c>
      <c r="F22" s="14" t="str">
        <f t="shared" si="9"/>
        <v/>
      </c>
      <c r="G22" s="57" t="s">
        <v>23</v>
      </c>
      <c r="H22" s="15" t="str">
        <f t="shared" si="10"/>
        <v/>
      </c>
      <c r="I22" s="16" t="str">
        <f t="shared" si="11"/>
        <v/>
      </c>
      <c r="J22" s="41"/>
      <c r="K22" s="41"/>
      <c r="L22" s="66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/>
      <c r="D23" s="18" t="s">
        <v>23</v>
      </c>
      <c r="E23" s="18" t="str">
        <f t="shared" si="8"/>
        <v/>
      </c>
      <c r="F23" s="19" t="str">
        <f t="shared" si="9"/>
        <v/>
      </c>
      <c r="G23" s="58" t="s">
        <v>23</v>
      </c>
      <c r="H23" s="20" t="str">
        <f t="shared" si="10"/>
        <v/>
      </c>
      <c r="I23" s="19" t="str">
        <f t="shared" si="11"/>
        <v/>
      </c>
      <c r="J23" s="42"/>
      <c r="K23" s="60"/>
      <c r="L23" s="66"/>
      <c r="M23" s="66"/>
      <c r="N23" s="66"/>
    </row>
    <row r="24" spans="1:14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8"/>
        <v/>
      </c>
      <c r="F24" s="14" t="str">
        <f t="shared" si="9"/>
        <v/>
      </c>
      <c r="G24" s="57" t="s">
        <v>23</v>
      </c>
      <c r="H24" s="15" t="str">
        <f t="shared" si="10"/>
        <v/>
      </c>
      <c r="I24" s="16" t="str">
        <f t="shared" si="11"/>
        <v/>
      </c>
      <c r="J24" s="41"/>
      <c r="K24" s="61"/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8"/>
        <v/>
      </c>
      <c r="F25" s="19" t="str">
        <f t="shared" si="9"/>
        <v/>
      </c>
      <c r="G25" s="58" t="s">
        <v>23</v>
      </c>
      <c r="H25" s="20" t="str">
        <f t="shared" si="10"/>
        <v/>
      </c>
      <c r="I25" s="19" t="str">
        <f t="shared" si="11"/>
        <v/>
      </c>
      <c r="J25" s="42"/>
      <c r="K25" s="43"/>
      <c r="L25" s="66"/>
      <c r="M25" s="66"/>
      <c r="N25" s="66"/>
    </row>
    <row r="26" spans="1:14" ht="15.6">
      <c r="A26" s="12" t="str">
        <v>Coventry - BA ATM</v>
      </c>
      <c r="B26" s="9" t="str">
        <v>RI</v>
      </c>
      <c r="C26" s="24"/>
      <c r="D26" s="13" t="s">
        <v>23</v>
      </c>
      <c r="E26" s="13" t="str">
        <f t="shared" si="8"/>
        <v/>
      </c>
      <c r="F26" s="14" t="str">
        <f t="shared" si="9"/>
        <v/>
      </c>
      <c r="G26" s="57" t="s">
        <v>23</v>
      </c>
      <c r="H26" s="15" t="str">
        <f t="shared" si="10"/>
        <v/>
      </c>
      <c r="I26" s="16" t="str">
        <f t="shared" si="11"/>
        <v/>
      </c>
      <c r="J26" s="56"/>
      <c r="K26" s="63"/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/>
      <c r="D27" s="18" t="s">
        <v>23</v>
      </c>
      <c r="E27" s="18" t="str">
        <f t="shared" si="8"/>
        <v/>
      </c>
      <c r="F27" s="19" t="str">
        <f t="shared" si="9"/>
        <v/>
      </c>
      <c r="G27" s="58" t="s">
        <v>23</v>
      </c>
      <c r="H27" s="20" t="str">
        <f t="shared" si="10"/>
        <v/>
      </c>
      <c r="I27" s="19" t="str">
        <f t="shared" si="11"/>
        <v/>
      </c>
      <c r="L27" s="66"/>
      <c r="M27" s="66"/>
      <c r="N27" s="66"/>
    </row>
    <row r="28" spans="1:14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7" t="str" cm="1">
        <f t="array" ref="A1">portfolio</f>
        <v>CBRE</v>
      </c>
      <c r="B1" s="97"/>
      <c r="C1" s="97"/>
      <c r="D1" s="98" t="s">
        <v>37</v>
      </c>
      <c r="E1" s="98"/>
      <c r="F1" s="98"/>
      <c r="G1" s="96" t="s">
        <v>38</v>
      </c>
      <c r="H1" s="96"/>
      <c r="I1" s="96"/>
      <c r="J1" s="4"/>
      <c r="K1" s="4"/>
    </row>
    <row r="2" spans="1:14" ht="19.5" customHeight="1">
      <c r="A2" s="99" t="s">
        <v>2</v>
      </c>
      <c r="B2" s="9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64"/>
      <c r="M11" s="66"/>
      <c r="N11" s="66"/>
    </row>
    <row r="12" spans="1:14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64"/>
      <c r="M12" s="66"/>
      <c r="N12" s="66"/>
    </row>
    <row r="13" spans="1:14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64"/>
      <c r="M13" s="66"/>
      <c r="N13" s="66"/>
    </row>
    <row r="14" spans="1:14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64"/>
      <c r="M14" s="66"/>
      <c r="N14" s="66"/>
    </row>
    <row r="15" spans="1:14" ht="33" customHeight="1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8"/>
      <c r="L15" s="65"/>
      <c r="M15" s="66"/>
      <c r="N15" s="66"/>
    </row>
    <row r="16" spans="1:14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64"/>
      <c r="M16" s="66"/>
      <c r="N16" s="66"/>
    </row>
    <row r="17" spans="1:14" ht="54" customHeight="1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62"/>
      <c r="L17" s="64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7" t="s">
        <v>23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4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64"/>
      <c r="M19" s="66"/>
      <c r="N19" s="66"/>
    </row>
    <row r="20" spans="1:14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64"/>
      <c r="M20" s="66"/>
      <c r="N20" s="66"/>
    </row>
    <row r="21" spans="1:14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64"/>
      <c r="M21" s="66"/>
      <c r="N21" s="66"/>
    </row>
    <row r="22" spans="1:14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64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58" t="s">
        <v>23</v>
      </c>
      <c r="H23" s="20" t="str">
        <f t="shared" si="6"/>
        <v/>
      </c>
      <c r="I23" s="19" t="str">
        <f t="shared" si="7"/>
        <v/>
      </c>
      <c r="J23" s="42"/>
      <c r="K23" s="68"/>
      <c r="L23" s="64"/>
      <c r="M23" s="66"/>
      <c r="N23" s="66"/>
    </row>
    <row r="24" spans="1:14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61"/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3"/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4"/>
        <v/>
      </c>
      <c r="F26" s="14"/>
      <c r="G26" s="57" t="s">
        <v>23</v>
      </c>
      <c r="H26" s="15" t="str">
        <f t="shared" si="6"/>
        <v/>
      </c>
      <c r="I26" s="16"/>
      <c r="J26" s="56"/>
      <c r="K26" s="63"/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/>
      <c r="D27" s="18" t="s">
        <v>23</v>
      </c>
      <c r="E27" s="18" t="str">
        <f t="shared" si="4"/>
        <v/>
      </c>
      <c r="F27" s="19"/>
      <c r="G27" s="58" t="s">
        <v>23</v>
      </c>
      <c r="H27" s="20" t="str">
        <f t="shared" si="6"/>
        <v/>
      </c>
      <c r="I27" s="19"/>
      <c r="L27" s="66"/>
      <c r="M27" s="66"/>
      <c r="N27" s="66"/>
    </row>
    <row r="28" spans="1:14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59"/>
      <c r="H28" s="21"/>
      <c r="I28" s="22"/>
      <c r="J28" s="21"/>
      <c r="K28" s="21"/>
    </row>
    <row r="29" spans="1:14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59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59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59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39</v>
      </c>
      <c r="E1" s="98"/>
      <c r="F1" s="98"/>
      <c r="G1" s="96" t="s">
        <v>40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70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2"/>
      <c r="L15" s="71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/>
      <c r="F16" s="14"/>
      <c r="G16" s="57" t="s">
        <v>23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62"/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7" t="s">
        <v>23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62"/>
      <c r="L19" s="70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">
        <v>41</v>
      </c>
      <c r="G23" s="58" t="s">
        <v>23</v>
      </c>
      <c r="H23" s="20"/>
      <c r="I23" s="19" t="str">
        <f t="shared" si="7"/>
        <v/>
      </c>
      <c r="J23" s="42"/>
      <c r="K23" s="43"/>
      <c r="L23" s="70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61"/>
      <c r="L24" s="70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57" t="s">
        <v>23</v>
      </c>
      <c r="H26" s="15" t="str">
        <f t="shared" si="6"/>
        <v/>
      </c>
      <c r="I26" s="16" t="str">
        <f t="shared" si="7"/>
        <v/>
      </c>
      <c r="J26" s="41"/>
      <c r="K26" s="61"/>
      <c r="L26" s="70"/>
    </row>
    <row r="27" spans="1:12" ht="15.6">
      <c r="A27" s="17" t="str">
        <v>Woodbridge - BA ATM</v>
      </c>
      <c r="B27" s="10" t="str">
        <v>VA</v>
      </c>
      <c r="C27" s="11"/>
      <c r="D27" s="18" t="s">
        <v>23</v>
      </c>
      <c r="E27" s="18"/>
      <c r="F27" s="19"/>
      <c r="G27" s="58" t="s">
        <v>23</v>
      </c>
      <c r="H27" s="20"/>
      <c r="I27" s="19"/>
      <c r="J27" s="69"/>
      <c r="K27" s="72"/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42</v>
      </c>
      <c r="E1" s="98"/>
      <c r="F1" s="98"/>
      <c r="G1" s="96" t="s">
        <v>43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70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2"/>
      <c r="L15" s="71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/>
      <c r="F16" s="14"/>
      <c r="G16" s="57" t="s">
        <v>23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62"/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7" t="s">
        <v>23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">
        <v>41</v>
      </c>
      <c r="G23" s="58" t="s">
        <v>23</v>
      </c>
      <c r="H23" s="20"/>
      <c r="I23" s="19" t="str">
        <f t="shared" si="7"/>
        <v/>
      </c>
      <c r="J23" s="42"/>
      <c r="K23" s="43"/>
      <c r="L23" s="70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61"/>
      <c r="L24" s="70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/>
      <c r="F26" s="14"/>
      <c r="G26" s="57" t="s">
        <v>23</v>
      </c>
      <c r="H26" s="15"/>
      <c r="I26" s="16"/>
      <c r="J26" s="41"/>
      <c r="K26" s="61"/>
      <c r="L26" s="70"/>
    </row>
    <row r="27" spans="1:12" ht="15.6">
      <c r="A27" s="17" t="str">
        <v>Woodbridge - BA ATM</v>
      </c>
      <c r="B27" s="10" t="str">
        <v>VA</v>
      </c>
      <c r="C27" s="11"/>
      <c r="D27" s="18" t="s">
        <v>23</v>
      </c>
      <c r="E27" s="18"/>
      <c r="F27" s="19"/>
      <c r="G27" s="58" t="s">
        <v>23</v>
      </c>
      <c r="H27" s="20"/>
      <c r="I27" s="19"/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44</v>
      </c>
      <c r="E1" s="98"/>
      <c r="F1" s="98"/>
      <c r="G1" s="96" t="s">
        <v>45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70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2"/>
      <c r="L15" s="71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/>
      <c r="F16" s="14"/>
      <c r="G16" s="57" t="s">
        <v>23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23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">
        <v>41</v>
      </c>
      <c r="G23" s="58" t="s">
        <v>23</v>
      </c>
      <c r="H23" s="20"/>
      <c r="I23" s="19" t="str">
        <f t="shared" si="7"/>
        <v/>
      </c>
      <c r="J23" s="42"/>
      <c r="K23" s="43"/>
      <c r="L23" s="70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61"/>
      <c r="L24" s="70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57" t="s">
        <v>23</v>
      </c>
      <c r="H26" s="15" t="str">
        <f t="shared" si="6"/>
        <v/>
      </c>
      <c r="I26" s="16" t="str">
        <f t="shared" si="7"/>
        <v/>
      </c>
      <c r="J26" s="41"/>
      <c r="K26" s="61"/>
      <c r="L26" s="70"/>
    </row>
    <row r="27" spans="1:12" ht="15.6">
      <c r="A27" s="17" t="str">
        <v>Woodbridge - BA ATM</v>
      </c>
      <c r="B27" s="10" t="str">
        <v>VA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58" t="s">
        <v>23</v>
      </c>
      <c r="H27" s="20" t="str">
        <f t="shared" si="6"/>
        <v/>
      </c>
      <c r="I27" s="19" t="str">
        <f t="shared" si="7"/>
        <v/>
      </c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4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46</v>
      </c>
      <c r="E1" s="98"/>
      <c r="F1" s="98"/>
      <c r="G1" s="96" t="s">
        <v>47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7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68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79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80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9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80" t="s">
        <v>23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79" t="s">
        <v>23</v>
      </c>
      <c r="H10" s="15" t="str">
        <f t="shared" si="1"/>
        <v/>
      </c>
      <c r="I10" s="16" t="str">
        <f t="shared" si="2"/>
        <v/>
      </c>
      <c r="J10" s="41"/>
      <c r="K10" s="61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80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9" t="s">
        <v>23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80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9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80" t="s">
        <v>23</v>
      </c>
      <c r="H15" s="20" t="str">
        <f t="shared" si="1"/>
        <v/>
      </c>
      <c r="I15" s="19" t="str">
        <f t="shared" si="2"/>
        <v/>
      </c>
      <c r="J15" s="51"/>
      <c r="K15" s="60"/>
      <c r="L15" s="65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9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80" t="s">
        <v>23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79" t="s">
        <v>23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80" t="s">
        <v>23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79" t="s">
        <v>23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80" t="s">
        <v>23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79" t="s">
        <v>23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tr">
        <f t="shared" si="5"/>
        <v/>
      </c>
      <c r="G23" s="80" t="s">
        <v>23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79" t="s">
        <v>23</v>
      </c>
      <c r="H24" s="15" t="str">
        <f t="shared" si="6"/>
        <v/>
      </c>
      <c r="I24" s="16" t="str">
        <f t="shared" si="7"/>
        <v/>
      </c>
      <c r="J24" s="41"/>
      <c r="K24" s="61"/>
    </row>
    <row r="25" spans="1:11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80" t="s">
        <v>23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 t="s">
        <v>23</v>
      </c>
      <c r="E26" s="13"/>
      <c r="F26" s="14"/>
      <c r="G26" s="79" t="s">
        <v>23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 t="s">
        <v>23</v>
      </c>
      <c r="E27" s="18"/>
      <c r="F27" s="19"/>
      <c r="G27" s="80" t="s">
        <v>23</v>
      </c>
      <c r="H27" s="20"/>
      <c r="I27" s="19"/>
    </row>
    <row r="28" spans="1:11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48</v>
      </c>
      <c r="E1" s="98"/>
      <c r="F1" s="98"/>
      <c r="G1" s="96" t="s">
        <v>49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2"/>
      <c r="L15" s="67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23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58" t="s">
        <v>23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57" t="s">
        <v>23</v>
      </c>
      <c r="H26" s="15" t="str">
        <f t="shared" si="6"/>
        <v/>
      </c>
      <c r="I26" s="16" t="str">
        <f t="shared" si="7"/>
        <v/>
      </c>
      <c r="J26" s="41"/>
      <c r="K26" s="61"/>
    </row>
    <row r="27" spans="1:11" ht="15.6">
      <c r="A27" s="17" t="str">
        <v>Woodbridge - BA ATM</v>
      </c>
      <c r="B27" s="10" t="str">
        <v>VA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58" t="s">
        <v>23</v>
      </c>
      <c r="H27" s="20" t="str">
        <f t="shared" si="6"/>
        <v/>
      </c>
      <c r="I27" s="19" t="str">
        <f t="shared" si="7"/>
        <v/>
      </c>
    </row>
    <row r="28" spans="1:11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7"/>
  <sheetViews>
    <sheetView zoomScale="70" zoomScaleNormal="70" workbookViewId="0">
      <pane xSplit="2" ySplit="3" topLeftCell="C8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7" t="str" cm="1">
        <f t="array" ref="A1">portfolio</f>
        <v>CBRE</v>
      </c>
      <c r="B1" s="97"/>
      <c r="C1" s="97"/>
      <c r="D1" s="98" t="s">
        <v>50</v>
      </c>
      <c r="E1" s="98"/>
      <c r="F1" s="98"/>
      <c r="G1" s="96" t="s">
        <v>51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2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62"/>
    </row>
    <row r="10" spans="1:12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1"/>
      <c r="L10" s="67"/>
    </row>
    <row r="11" spans="1:12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0"/>
      <c r="L15" s="67"/>
    </row>
    <row r="16" spans="1:12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23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58" t="s">
        <v>23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57" t="s">
        <v>23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58" t="s">
        <v>23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57" t="s">
        <v>23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tr">
        <f t="shared" si="5"/>
        <v/>
      </c>
      <c r="G23" s="58" t="s">
        <v>23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57" t="s">
        <v>23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58" t="s">
        <v>23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57" t="s">
        <v>23</v>
      </c>
      <c r="H26" s="15" t="str">
        <f t="shared" si="6"/>
        <v/>
      </c>
      <c r="I26" s="16" t="str">
        <f t="shared" si="7"/>
        <v/>
      </c>
      <c r="J26" s="41"/>
      <c r="K26" s="61"/>
    </row>
    <row r="27" spans="1:11" ht="15.6">
      <c r="A27" s="30" t="str">
        <v>Woodbridge - BA ATM</v>
      </c>
      <c r="B27" s="31" t="str">
        <v>VA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58" t="s">
        <v>23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7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6" bestFit="1" customWidth="1"/>
    <col min="12" max="12" width="12.7109375" style="66" customWidth="1"/>
  </cols>
  <sheetData>
    <row r="1" spans="1:13" ht="19.5" customHeight="1">
      <c r="A1" s="97" t="str" cm="1">
        <f t="array" ref="A1">portfolio</f>
        <v>CBRE</v>
      </c>
      <c r="B1" s="97"/>
      <c r="C1" s="97"/>
      <c r="D1" s="98" t="s">
        <v>52</v>
      </c>
      <c r="E1" s="98"/>
      <c r="F1" s="98"/>
      <c r="G1" s="96" t="s">
        <v>53</v>
      </c>
      <c r="H1" s="96"/>
      <c r="I1" s="96"/>
      <c r="J1" s="4"/>
      <c r="K1" s="85"/>
    </row>
    <row r="2" spans="1:13" ht="19.5" customHeight="1">
      <c r="A2" s="99" t="s">
        <v>2</v>
      </c>
      <c r="B2" s="9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85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86" t="s">
        <v>21</v>
      </c>
      <c r="L3" s="83" t="s">
        <v>22</v>
      </c>
    </row>
    <row r="4" spans="1:13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56"/>
      <c r="L4" s="56"/>
    </row>
    <row r="5" spans="1:13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27" si="0">IF(AND(ISNUMBER(C5),ISNUMBER(D5)), C5-D5, "")</f>
        <v/>
      </c>
      <c r="F5" s="19" t="str">
        <f>IFERROR(E5/D5, "")</f>
        <v/>
      </c>
      <c r="G5" s="58" t="s">
        <v>23</v>
      </c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51"/>
      <c r="L5" s="84"/>
    </row>
    <row r="6" spans="1:13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56"/>
      <c r="L6" s="56"/>
    </row>
    <row r="7" spans="1:13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 t="shared" si="1"/>
        <v/>
      </c>
      <c r="I7" s="19" t="str">
        <f t="shared" si="2"/>
        <v/>
      </c>
      <c r="J7" s="42"/>
      <c r="K7" s="51"/>
      <c r="L7" s="84"/>
    </row>
    <row r="8" spans="1:13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si="1"/>
        <v/>
      </c>
      <c r="I8" s="16" t="str">
        <f t="shared" si="2"/>
        <v/>
      </c>
      <c r="J8" s="41"/>
      <c r="K8" s="56"/>
      <c r="L8" s="56"/>
    </row>
    <row r="9" spans="1:13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1"/>
        <v/>
      </c>
      <c r="I9" s="19" t="str">
        <f t="shared" si="2"/>
        <v/>
      </c>
      <c r="J9" s="42"/>
      <c r="K9" s="60"/>
      <c r="L9" s="84"/>
    </row>
    <row r="10" spans="1:13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1"/>
        <v/>
      </c>
      <c r="I10" s="16" t="str">
        <f t="shared" si="2"/>
        <v/>
      </c>
      <c r="J10" s="41"/>
      <c r="K10" s="63"/>
      <c r="L10" s="56"/>
      <c r="M10" s="72"/>
    </row>
    <row r="11" spans="1:13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1"/>
        <v/>
      </c>
      <c r="I11" s="19" t="str">
        <f t="shared" si="2"/>
        <v/>
      </c>
      <c r="J11" s="42"/>
      <c r="K11" s="51"/>
      <c r="L11" s="84"/>
    </row>
    <row r="12" spans="1:13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1"/>
        <v/>
      </c>
      <c r="I12" s="16" t="str">
        <f t="shared" si="2"/>
        <v/>
      </c>
      <c r="J12" s="41"/>
      <c r="K12" s="56"/>
      <c r="L12" s="56"/>
    </row>
    <row r="13" spans="1:13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1"/>
        <v/>
      </c>
      <c r="I13" s="19" t="str">
        <f t="shared" si="2"/>
        <v/>
      </c>
      <c r="J13" s="42"/>
      <c r="K13" s="51"/>
      <c r="L13" s="84"/>
    </row>
    <row r="14" spans="1:13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1"/>
        <v/>
      </c>
      <c r="I14" s="16" t="str">
        <f t="shared" si="2"/>
        <v/>
      </c>
      <c r="J14" s="41"/>
      <c r="K14" s="56"/>
      <c r="L14" s="56"/>
    </row>
    <row r="15" spans="1:13" ht="34.9" customHeight="1">
      <c r="A15" s="30" t="str">
        <v>Columbus - BA Eastmoor</v>
      </c>
      <c r="B15" s="31" t="str">
        <v>OH</v>
      </c>
      <c r="D15" s="18" t="s">
        <v>23</v>
      </c>
      <c r="E15" s="18" t="str">
        <f t="shared" si="0"/>
        <v/>
      </c>
      <c r="F15" s="19" t="str">
        <f>IFERROR(E15/D15, "")</f>
        <v/>
      </c>
      <c r="G15" s="58" t="s">
        <v>23</v>
      </c>
      <c r="H15" s="20" t="str">
        <f t="shared" si="1"/>
        <v/>
      </c>
      <c r="I15" s="19" t="str">
        <f t="shared" si="2"/>
        <v/>
      </c>
      <c r="J15" s="42"/>
      <c r="K15" s="60"/>
      <c r="L15" s="51"/>
      <c r="M15" s="72"/>
    </row>
    <row r="16" spans="1:13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1"/>
        <v/>
      </c>
      <c r="I16" s="16" t="str">
        <f t="shared" si="2"/>
        <v/>
      </c>
      <c r="J16" s="41"/>
      <c r="K16" s="56"/>
      <c r="L16" s="56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58" t="s">
        <v>23</v>
      </c>
      <c r="H17" s="20" t="str">
        <f t="shared" si="1"/>
        <v/>
      </c>
      <c r="I17" s="19" t="str">
        <f t="shared" si="2"/>
        <v/>
      </c>
      <c r="J17" s="42"/>
      <c r="K17" s="51"/>
      <c r="L17" s="84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si="0"/>
        <v/>
      </c>
      <c r="F18" s="14" t="str">
        <f t="shared" ref="F18:F25" si="4">IFERROR(E18/D18, "")</f>
        <v/>
      </c>
      <c r="G18" s="57" t="s">
        <v>23</v>
      </c>
      <c r="H18" s="15" t="str">
        <f t="shared" si="1"/>
        <v/>
      </c>
      <c r="I18" s="16" t="str">
        <f t="shared" ref="I18:I25" si="5">IFERROR(H18/G18, "")</f>
        <v/>
      </c>
      <c r="J18" s="41"/>
      <c r="K18" s="56"/>
      <c r="L18" s="56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0"/>
        <v/>
      </c>
      <c r="F19" s="19" t="str">
        <f t="shared" si="4"/>
        <v/>
      </c>
      <c r="G19" s="58" t="s">
        <v>23</v>
      </c>
      <c r="H19" s="20" t="str">
        <f t="shared" si="1"/>
        <v/>
      </c>
      <c r="I19" s="19" t="str">
        <f t="shared" si="5"/>
        <v/>
      </c>
      <c r="J19" s="42"/>
      <c r="K19" s="51"/>
      <c r="L19" s="84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0"/>
        <v/>
      </c>
      <c r="F20" s="14" t="str">
        <f t="shared" si="4"/>
        <v/>
      </c>
      <c r="G20" s="57" t="s">
        <v>23</v>
      </c>
      <c r="H20" s="15" t="str">
        <f t="shared" si="1"/>
        <v/>
      </c>
      <c r="I20" s="16" t="str">
        <f t="shared" si="5"/>
        <v/>
      </c>
      <c r="J20" s="41"/>
      <c r="K20" s="56"/>
      <c r="L20" s="56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0"/>
        <v/>
      </c>
      <c r="F21" s="19" t="str">
        <f t="shared" si="4"/>
        <v/>
      </c>
      <c r="G21" s="58" t="s">
        <v>23</v>
      </c>
      <c r="H21" s="20" t="str">
        <f t="shared" si="1"/>
        <v/>
      </c>
      <c r="I21" s="19" t="str">
        <f t="shared" si="5"/>
        <v/>
      </c>
      <c r="J21" s="42"/>
      <c r="K21" s="51"/>
      <c r="L21" s="84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0"/>
        <v/>
      </c>
      <c r="F22" s="14" t="str">
        <f t="shared" si="4"/>
        <v/>
      </c>
      <c r="G22" s="57" t="s">
        <v>23</v>
      </c>
      <c r="H22" s="15" t="str">
        <f t="shared" si="1"/>
        <v/>
      </c>
      <c r="I22" s="16" t="str">
        <f t="shared" si="5"/>
        <v/>
      </c>
      <c r="J22" s="41"/>
      <c r="K22" s="56"/>
      <c r="L22" s="56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tr">
        <f t="shared" si="4"/>
        <v/>
      </c>
      <c r="G23" s="58" t="s">
        <v>23</v>
      </c>
      <c r="H23" s="20"/>
      <c r="I23" s="19" t="str">
        <f t="shared" si="5"/>
        <v/>
      </c>
      <c r="J23" s="42"/>
      <c r="K23" s="51"/>
      <c r="L23" s="84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0"/>
        <v/>
      </c>
      <c r="F24" s="14" t="str">
        <f t="shared" si="4"/>
        <v/>
      </c>
      <c r="G24" s="57" t="s">
        <v>23</v>
      </c>
      <c r="H24" s="15" t="str">
        <f t="shared" si="1"/>
        <v/>
      </c>
      <c r="I24" s="16" t="str">
        <f t="shared" si="5"/>
        <v/>
      </c>
      <c r="J24" s="41"/>
      <c r="K24" s="56"/>
      <c r="L24" s="56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0"/>
        <v/>
      </c>
      <c r="F25" s="19" t="str">
        <f t="shared" si="4"/>
        <v/>
      </c>
      <c r="G25" s="58" t="s">
        <v>23</v>
      </c>
      <c r="H25" s="20" t="str">
        <f t="shared" si="1"/>
        <v/>
      </c>
      <c r="I25" s="19" t="str">
        <f t="shared" si="5"/>
        <v/>
      </c>
      <c r="J25" s="42"/>
      <c r="K25" s="51"/>
      <c r="L25" s="84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0"/>
        <v/>
      </c>
      <c r="F26" s="14"/>
      <c r="G26" s="57" t="s">
        <v>23</v>
      </c>
      <c r="H26" s="15" t="str">
        <f t="shared" si="1"/>
        <v/>
      </c>
      <c r="I26" s="16"/>
      <c r="J26" s="41"/>
      <c r="K26" s="63"/>
      <c r="L26" s="56"/>
    </row>
    <row r="27" spans="1:12" ht="15.6">
      <c r="A27" s="30" t="str">
        <v>Woodbridge - BA ATM</v>
      </c>
      <c r="B27" s="31" t="str">
        <v>VA</v>
      </c>
      <c r="C27" s="11"/>
      <c r="D27" s="18" t="s">
        <v>23</v>
      </c>
      <c r="E27" s="18" t="str">
        <f t="shared" si="0"/>
        <v/>
      </c>
      <c r="F27" s="19"/>
      <c r="G27" s="58" t="s">
        <v>23</v>
      </c>
      <c r="H27" s="20" t="str">
        <f t="shared" si="1"/>
        <v/>
      </c>
      <c r="I27" s="19"/>
      <c r="J27" s="42"/>
      <c r="K27" s="51"/>
      <c r="L27" s="84"/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59"/>
      <c r="H28" s="21"/>
      <c r="I28" s="22"/>
      <c r="J28" s="21"/>
      <c r="K28" s="87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87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87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87"/>
    </row>
    <row r="32" spans="1:12" ht="14.45">
      <c r="A32" s="21"/>
      <c r="B32" s="33"/>
      <c r="C32" s="21"/>
      <c r="D32" s="21"/>
      <c r="E32" s="21"/>
      <c r="F32" s="82"/>
      <c r="G32" s="21"/>
      <c r="H32" s="21"/>
      <c r="I32" s="22"/>
      <c r="J32" s="21"/>
      <c r="K32" s="87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87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87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87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87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87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87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87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87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87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87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87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87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87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87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87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87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87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87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87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87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87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87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87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87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87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87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87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87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87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87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87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87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87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87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87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8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87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87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87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87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87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87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87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87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87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87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87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87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87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87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87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87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87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87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87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87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87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87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87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87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87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87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87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87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87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87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87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87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87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87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87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87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87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87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87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87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87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87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87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87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87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87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87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87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87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87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87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87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87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87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87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87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87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87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87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87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87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87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87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87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87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87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87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87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87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87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87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87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87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87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87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87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87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87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87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87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87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87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87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87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87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87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87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87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87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87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87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87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87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87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87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87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87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87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87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87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87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87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87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87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87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87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87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87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87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87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87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87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87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87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87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87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87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87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87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87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87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87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87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87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87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87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87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87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87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87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87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87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87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87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87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87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87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87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87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87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87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87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87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87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87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87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87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87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87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87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87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87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87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87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87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87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87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87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87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87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87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87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87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87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87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87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87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87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87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87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87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87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87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87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87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87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87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87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87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87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87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87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87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87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87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87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87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87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87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87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87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87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87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87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87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87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87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87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87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87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87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87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87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87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87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87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87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87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87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87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87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87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87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87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87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87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87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87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87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87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87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87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87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87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87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87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87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87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87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87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87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87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87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87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87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87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87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87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87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87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87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87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87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87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87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87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87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87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87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87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87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87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87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87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87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87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87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87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87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20"/>
  <sheetViews>
    <sheetView zoomScale="70" zoomScaleNormal="70" workbookViewId="0">
      <pane xSplit="2" ySplit="3" topLeftCell="C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3" ht="19.5" customHeight="1">
      <c r="A1" s="97" t="str" cm="1">
        <f t="array" ref="A1">portfolio</f>
        <v>CBRE</v>
      </c>
      <c r="B1" s="97"/>
      <c r="C1" s="97"/>
      <c r="D1" s="98" t="s">
        <v>54</v>
      </c>
      <c r="E1" s="98"/>
      <c r="F1" s="98"/>
      <c r="G1" s="96" t="s">
        <v>55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56</v>
      </c>
    </row>
    <row r="4" spans="1:13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 t="shared" ref="E4:E27" si="0">IF(AND(ISNUMBER(C4),ISNUMBER(D4)), C4-D4, "")</f>
        <v/>
      </c>
      <c r="F4" s="14" t="str">
        <f t="shared" ref="F4:F24" si="1"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3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si="0"/>
        <v/>
      </c>
      <c r="F5" s="19" t="str">
        <f t="shared" si="1"/>
        <v/>
      </c>
      <c r="G5" s="58" t="s">
        <v>23</v>
      </c>
      <c r="H5" s="20" t="str">
        <f t="shared" ref="H5:H27" si="2">IF(AND(ISNUMBER(C5),ISNUMBER(G5)), C5-G5, "")</f>
        <v/>
      </c>
      <c r="I5" s="19" t="str">
        <f t="shared" ref="I5:I17" si="3">IFERROR(H5/G5, "")</f>
        <v/>
      </c>
      <c r="J5" s="42"/>
      <c r="K5" s="42"/>
    </row>
    <row r="6" spans="1:13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si="1"/>
        <v/>
      </c>
      <c r="G6" s="57" t="s">
        <v>23</v>
      </c>
      <c r="H6" s="15" t="str">
        <f t="shared" si="2"/>
        <v/>
      </c>
      <c r="I6" s="16" t="str">
        <f t="shared" si="3"/>
        <v/>
      </c>
      <c r="J6" s="41"/>
      <c r="K6" s="41"/>
    </row>
    <row r="7" spans="1:13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1"/>
        <v/>
      </c>
      <c r="G7" s="58" t="s">
        <v>23</v>
      </c>
      <c r="H7" s="20" t="str">
        <f t="shared" si="2"/>
        <v/>
      </c>
      <c r="I7" s="19" t="str">
        <f t="shared" si="3"/>
        <v/>
      </c>
      <c r="J7" s="42"/>
      <c r="K7" s="42"/>
    </row>
    <row r="8" spans="1:13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1"/>
        <v/>
      </c>
      <c r="G8" s="57" t="s">
        <v>23</v>
      </c>
      <c r="H8" s="15" t="str">
        <f t="shared" si="2"/>
        <v/>
      </c>
      <c r="I8" s="16" t="str">
        <f t="shared" si="3"/>
        <v/>
      </c>
      <c r="J8" s="41"/>
      <c r="K8" s="41"/>
      <c r="L8" s="89"/>
    </row>
    <row r="9" spans="1:13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1"/>
        <v/>
      </c>
      <c r="G9" s="58" t="s">
        <v>23</v>
      </c>
      <c r="H9" s="20" t="str">
        <f t="shared" si="2"/>
        <v/>
      </c>
      <c r="I9" s="19" t="str">
        <f t="shared" si="3"/>
        <v/>
      </c>
      <c r="J9" s="42"/>
      <c r="K9" s="42"/>
    </row>
    <row r="10" spans="1:13" ht="70.5" customHeight="1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1"/>
        <v/>
      </c>
      <c r="G10" s="57" t="s">
        <v>23</v>
      </c>
      <c r="H10" s="15" t="str">
        <f t="shared" si="2"/>
        <v/>
      </c>
      <c r="I10" s="16" t="str">
        <f t="shared" si="3"/>
        <v/>
      </c>
      <c r="J10" s="41"/>
      <c r="K10" s="61"/>
      <c r="L10" s="91"/>
      <c r="M10" s="72"/>
    </row>
    <row r="11" spans="1:13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1"/>
        <v/>
      </c>
      <c r="G11" s="58" t="s">
        <v>23</v>
      </c>
      <c r="H11" s="20" t="str">
        <f t="shared" si="2"/>
        <v/>
      </c>
      <c r="I11" s="19" t="str">
        <f t="shared" si="3"/>
        <v/>
      </c>
      <c r="J11" s="42"/>
      <c r="K11" s="42"/>
    </row>
    <row r="12" spans="1:13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1"/>
        <v/>
      </c>
      <c r="G12" s="57" t="s">
        <v>23</v>
      </c>
      <c r="H12" s="15" t="str">
        <f t="shared" si="2"/>
        <v/>
      </c>
      <c r="I12" s="16" t="str">
        <f t="shared" si="3"/>
        <v/>
      </c>
      <c r="J12" s="41"/>
      <c r="K12" s="61"/>
      <c r="L12" s="90"/>
    </row>
    <row r="13" spans="1:13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1"/>
        <v/>
      </c>
      <c r="G13" s="58" t="s">
        <v>23</v>
      </c>
      <c r="H13" s="20" t="str">
        <f t="shared" si="2"/>
        <v/>
      </c>
      <c r="I13" s="19" t="str">
        <f t="shared" si="3"/>
        <v/>
      </c>
      <c r="J13" s="42"/>
      <c r="K13" s="42"/>
    </row>
    <row r="14" spans="1:13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1"/>
        <v/>
      </c>
      <c r="G14" s="57" t="s">
        <v>23</v>
      </c>
      <c r="H14" s="15" t="str">
        <f t="shared" si="2"/>
        <v/>
      </c>
      <c r="I14" s="16" t="str">
        <f t="shared" si="3"/>
        <v/>
      </c>
      <c r="J14" s="41"/>
      <c r="K14" s="41"/>
    </row>
    <row r="15" spans="1:13" ht="30" customHeight="1">
      <c r="A15" s="30" t="str">
        <v>Columbus - BA Eastmoor</v>
      </c>
      <c r="B15" s="31" t="str">
        <v>OH</v>
      </c>
      <c r="C15" s="55"/>
      <c r="D15" s="18" t="s">
        <v>23</v>
      </c>
      <c r="E15" s="18" t="str">
        <f t="shared" si="0"/>
        <v/>
      </c>
      <c r="F15" s="19" t="str">
        <f t="shared" si="1"/>
        <v/>
      </c>
      <c r="G15" s="58" t="s">
        <v>23</v>
      </c>
      <c r="H15" s="20" t="str">
        <f t="shared" si="2"/>
        <v/>
      </c>
      <c r="I15" s="19" t="str">
        <f t="shared" si="3"/>
        <v/>
      </c>
      <c r="J15" s="46"/>
      <c r="K15" s="68"/>
      <c r="L15" s="88"/>
      <c r="M15" s="72"/>
    </row>
    <row r="16" spans="1:13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1"/>
        <v/>
      </c>
      <c r="G16" s="57" t="s">
        <v>23</v>
      </c>
      <c r="H16" s="15" t="str">
        <f t="shared" si="2"/>
        <v/>
      </c>
      <c r="I16" s="16" t="str">
        <f t="shared" si="3"/>
        <v/>
      </c>
      <c r="J16" s="41"/>
      <c r="K16" s="41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 t="str">
        <f t="shared" si="0"/>
        <v/>
      </c>
      <c r="F17" s="19" t="str">
        <f t="shared" si="1"/>
        <v/>
      </c>
      <c r="G17" s="58" t="s">
        <v>23</v>
      </c>
      <c r="H17" s="20" t="str">
        <f t="shared" si="2"/>
        <v/>
      </c>
      <c r="I17" s="19" t="str">
        <f t="shared" si="3"/>
        <v/>
      </c>
      <c r="J17" s="42"/>
      <c r="K17" s="42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si="0"/>
        <v/>
      </c>
      <c r="F18" s="14" t="str">
        <f t="shared" si="1"/>
        <v/>
      </c>
      <c r="G18" s="57" t="s">
        <v>23</v>
      </c>
      <c r="H18" s="15" t="str">
        <f t="shared" si="2"/>
        <v/>
      </c>
      <c r="I18" s="16" t="str">
        <f t="shared" ref="I18:I27" si="4">IFERROR(H18/G18, "")</f>
        <v/>
      </c>
      <c r="J18" s="41"/>
      <c r="K18" s="41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0"/>
        <v/>
      </c>
      <c r="F19" s="19" t="str">
        <f t="shared" si="1"/>
        <v/>
      </c>
      <c r="G19" s="58" t="s">
        <v>23</v>
      </c>
      <c r="H19" s="20" t="str">
        <f t="shared" si="2"/>
        <v/>
      </c>
      <c r="I19" s="19" t="str">
        <f t="shared" si="4"/>
        <v/>
      </c>
      <c r="J19" s="42"/>
      <c r="K19" s="68"/>
      <c r="L19" s="88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0"/>
        <v/>
      </c>
      <c r="F20" s="14" t="str">
        <f t="shared" si="1"/>
        <v/>
      </c>
      <c r="G20" s="57" t="s">
        <v>23</v>
      </c>
      <c r="H20" s="15" t="str">
        <f t="shared" si="2"/>
        <v/>
      </c>
      <c r="I20" s="16" t="str">
        <f t="shared" si="4"/>
        <v/>
      </c>
      <c r="J20" s="41"/>
      <c r="K20" s="41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0"/>
        <v/>
      </c>
      <c r="F21" s="19" t="str">
        <f t="shared" si="1"/>
        <v/>
      </c>
      <c r="G21" s="58" t="s">
        <v>23</v>
      </c>
      <c r="H21" s="20" t="str">
        <f t="shared" si="2"/>
        <v/>
      </c>
      <c r="I21" s="19" t="str">
        <f t="shared" si="4"/>
        <v/>
      </c>
      <c r="J21" s="42"/>
      <c r="K21" s="42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0"/>
        <v/>
      </c>
      <c r="F22" s="14" t="str">
        <f t="shared" si="1"/>
        <v/>
      </c>
      <c r="G22" s="57" t="s">
        <v>23</v>
      </c>
      <c r="H22" s="15" t="str">
        <f t="shared" si="2"/>
        <v/>
      </c>
      <c r="I22" s="16" t="str">
        <f t="shared" si="4"/>
        <v/>
      </c>
      <c r="J22" s="41"/>
      <c r="K22" s="41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 t="str">
        <f t="shared" si="0"/>
        <v/>
      </c>
      <c r="F23" s="19" t="str">
        <f t="shared" si="1"/>
        <v/>
      </c>
      <c r="G23" s="58" t="s">
        <v>23</v>
      </c>
      <c r="H23" s="20" t="str">
        <f t="shared" si="2"/>
        <v/>
      </c>
      <c r="I23" s="19" t="str">
        <f t="shared" si="4"/>
        <v/>
      </c>
      <c r="J23" s="42"/>
      <c r="K23" s="42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0"/>
        <v/>
      </c>
      <c r="F24" s="14" t="str">
        <f t="shared" si="1"/>
        <v/>
      </c>
      <c r="G24" s="57" t="s">
        <v>23</v>
      </c>
      <c r="H24" s="15" t="str">
        <f t="shared" si="2"/>
        <v/>
      </c>
      <c r="I24" s="16" t="str">
        <f t="shared" si="4"/>
        <v/>
      </c>
      <c r="J24" s="41"/>
      <c r="K24" s="41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0"/>
        <v/>
      </c>
      <c r="F25" s="19" t="str">
        <f t="shared" ref="F25:F27" si="5">IFERROR(E25/D25, "")</f>
        <v/>
      </c>
      <c r="G25" s="58" t="s">
        <v>23</v>
      </c>
      <c r="H25" s="20" t="str">
        <f t="shared" si="2"/>
        <v/>
      </c>
      <c r="I25" s="19" t="str">
        <f t="shared" si="4"/>
        <v/>
      </c>
      <c r="J25" s="42"/>
      <c r="K25" s="42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0"/>
        <v/>
      </c>
      <c r="F26" s="14" t="str">
        <f t="shared" si="5"/>
        <v/>
      </c>
      <c r="G26" s="57" t="s">
        <v>23</v>
      </c>
      <c r="H26" s="15" t="str">
        <f t="shared" si="2"/>
        <v/>
      </c>
      <c r="I26" s="16" t="str">
        <f t="shared" si="4"/>
        <v/>
      </c>
      <c r="J26" s="41"/>
      <c r="K26" s="41"/>
    </row>
    <row r="27" spans="1:12" ht="15.6">
      <c r="A27" s="30" t="str">
        <v>Woodbridge - BA ATM</v>
      </c>
      <c r="B27" s="31" t="str">
        <v>VA</v>
      </c>
      <c r="C27" s="11"/>
      <c r="D27" s="18" t="s">
        <v>23</v>
      </c>
      <c r="E27" s="18" t="str">
        <f t="shared" si="0"/>
        <v/>
      </c>
      <c r="F27" s="19" t="str">
        <f t="shared" si="5"/>
        <v/>
      </c>
      <c r="G27" s="58" t="s">
        <v>23</v>
      </c>
      <c r="H27" s="20" t="str">
        <f t="shared" si="2"/>
        <v/>
      </c>
      <c r="I27" s="19" t="str">
        <f t="shared" si="4"/>
        <v/>
      </c>
      <c r="J27" s="42"/>
      <c r="K27" s="68"/>
      <c r="L27" s="88"/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28"/>
  <sheetViews>
    <sheetView zoomScale="70" zoomScaleNormal="70" workbookViewId="0">
      <pane xSplit="2" ySplit="3" topLeftCell="E4" activePane="bottomRight" state="frozen"/>
      <selection pane="bottomRight" activeCell="J40" sqref="J40"/>
      <selection pane="bottomLeft" activeCell="J40" sqref="J40"/>
      <selection pane="topRight" activeCell="J40" sqref="J4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</cols>
  <sheetData>
    <row r="1" spans="1:13" ht="19.5" customHeight="1">
      <c r="A1" s="97" t="str" cm="1">
        <f t="array" ref="A1">portfolio</f>
        <v>CBRE</v>
      </c>
      <c r="B1" s="97"/>
      <c r="C1" s="97"/>
      <c r="D1" s="98" t="s">
        <v>57</v>
      </c>
      <c r="E1" s="98"/>
      <c r="F1" s="98"/>
      <c r="G1" s="96" t="s">
        <v>58</v>
      </c>
      <c r="H1" s="96"/>
      <c r="I1" s="96"/>
      <c r="J1" s="4"/>
      <c r="K1" s="4"/>
      <c r="L1" s="4"/>
    </row>
    <row r="2" spans="1:13" ht="19.5" customHeight="1">
      <c r="A2" s="99" t="s">
        <v>2</v>
      </c>
      <c r="B2" s="9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59</v>
      </c>
    </row>
    <row r="4" spans="1:13" ht="15.6">
      <c r="A4" s="32" t="str" cm="1">
        <f t="array" ref="A4:A29">Sites[Site]</f>
        <v>East Hartford - BA</v>
      </c>
      <c r="B4" s="29" t="str" cm="1">
        <f t="array" ref="B4:B29">Sites[State]</f>
        <v>CT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57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3" ht="15.6">
      <c r="A5" s="30" t="str">
        <v>Indianapolis - BA Speedway</v>
      </c>
      <c r="B5" s="31" t="str">
        <v>IN</v>
      </c>
      <c r="C5" s="11"/>
      <c r="D5" s="18" t="s">
        <v>23</v>
      </c>
      <c r="E5" s="18" t="str">
        <f t="shared" ref="E5:E16" si="0">IF(AND(ISNUMBER(C5),ISNUMBER(D5)), C5-D5, "")</f>
        <v/>
      </c>
      <c r="F5" s="19" t="str">
        <f>IFERROR(E5/D5, "")</f>
        <v/>
      </c>
      <c r="G5" s="58" t="s">
        <v>23</v>
      </c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3" ht="15.6">
      <c r="A6" s="28" t="str">
        <v>Greenwood - BA</v>
      </c>
      <c r="B6" s="29" t="str">
        <v>IN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57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3" ht="15.6">
      <c r="A7" s="30" t="str">
        <v>West Chester - BA</v>
      </c>
      <c r="B7" s="31" t="str">
        <v>OH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58" t="s">
        <v>23</v>
      </c>
      <c r="H7" s="20" t="str">
        <f>IF(AND(ISNUMBER(C7),ISNUMBER(G7)), C7-G7, "")</f>
        <v/>
      </c>
      <c r="I7" s="19" t="str">
        <f t="shared" si="2"/>
        <v/>
      </c>
      <c r="J7" s="42"/>
      <c r="K7" s="62"/>
      <c r="L7" s="92"/>
    </row>
    <row r="8" spans="1:13" ht="15.6">
      <c r="A8" s="28" t="str">
        <v>Cincinnati - BA MLK and Burnet</v>
      </c>
      <c r="B8" s="29" t="str">
        <v>OH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57" t="s">
        <v>23</v>
      </c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  <c r="L8" s="41"/>
    </row>
    <row r="9" spans="1:13" ht="15.6">
      <c r="A9" s="30" t="str">
        <v>Columbus - BA Harrisburg Pike</v>
      </c>
      <c r="B9" s="31" t="str">
        <v>OH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58" t="s">
        <v>23</v>
      </c>
      <c r="H9" s="20" t="str">
        <f t="shared" si="4"/>
        <v/>
      </c>
      <c r="I9" s="19" t="str">
        <f t="shared" si="2"/>
        <v/>
      </c>
      <c r="J9" s="42"/>
      <c r="K9" s="68"/>
      <c r="L9" s="43"/>
    </row>
    <row r="10" spans="1:13" ht="15.6">
      <c r="A10" s="28" t="str">
        <v>Cincinnati - BA Hyde Pk Plaza</v>
      </c>
      <c r="B10" s="29" t="str">
        <v>OH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57" t="s">
        <v>23</v>
      </c>
      <c r="H10" s="15" t="str">
        <f t="shared" si="4"/>
        <v/>
      </c>
      <c r="I10" s="16" t="str">
        <f t="shared" si="2"/>
        <v/>
      </c>
      <c r="J10" s="41"/>
      <c r="K10" s="61"/>
      <c r="L10" s="41"/>
      <c r="M10" s="72"/>
    </row>
    <row r="11" spans="1:13" ht="15.6">
      <c r="A11" s="30" t="str">
        <v>Cleveland - BA Carnegie &amp; 79th</v>
      </c>
      <c r="B11" s="31" t="str">
        <v>OH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58" t="s">
        <v>23</v>
      </c>
      <c r="H11" s="20" t="str">
        <f t="shared" si="4"/>
        <v/>
      </c>
      <c r="I11" s="19" t="str">
        <f t="shared" si="2"/>
        <v/>
      </c>
      <c r="J11" s="42"/>
      <c r="K11" s="68"/>
      <c r="L11" s="43"/>
    </row>
    <row r="12" spans="1:13" ht="15.6">
      <c r="A12" s="28" t="str">
        <v>Cincinnati - BA Sharonville</v>
      </c>
      <c r="B12" s="29" t="str">
        <v>OH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57" t="s">
        <v>23</v>
      </c>
      <c r="H12" s="15" t="str">
        <f t="shared" si="4"/>
        <v/>
      </c>
      <c r="I12" s="16" t="str">
        <f t="shared" si="2"/>
        <v/>
      </c>
      <c r="J12" s="41"/>
      <c r="K12" s="41"/>
      <c r="L12" s="41"/>
    </row>
    <row r="13" spans="1:13" ht="15.6">
      <c r="A13" s="30" t="str">
        <v>Zionsville - BA</v>
      </c>
      <c r="B13" s="31" t="str">
        <v>IN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58" t="s">
        <v>23</v>
      </c>
      <c r="H13" s="20" t="str">
        <f t="shared" si="4"/>
        <v/>
      </c>
      <c r="I13" s="19" t="str">
        <f t="shared" si="2"/>
        <v/>
      </c>
      <c r="J13" s="42"/>
      <c r="K13" s="68"/>
      <c r="L13" s="43"/>
    </row>
    <row r="14" spans="1:13" ht="15.6">
      <c r="A14" s="28" t="str">
        <v>Columbus - BA  Eastgate</v>
      </c>
      <c r="B14" s="29" t="str">
        <v>OH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57" t="s">
        <v>23</v>
      </c>
      <c r="H14" s="15" t="str">
        <f t="shared" si="4"/>
        <v/>
      </c>
      <c r="I14" s="16" t="str">
        <f t="shared" si="2"/>
        <v/>
      </c>
      <c r="J14" s="41"/>
      <c r="K14" s="41"/>
      <c r="L14" s="41"/>
    </row>
    <row r="15" spans="1:13" ht="15.6">
      <c r="A15" s="30" t="str">
        <v>Columbus - BA Eastmoor</v>
      </c>
      <c r="B15" s="31" t="str">
        <v>OH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58" t="s">
        <v>23</v>
      </c>
      <c r="H15" s="20" t="str">
        <f t="shared" si="4"/>
        <v/>
      </c>
      <c r="I15" s="19" t="str">
        <f t="shared" si="2"/>
        <v/>
      </c>
      <c r="J15" s="42"/>
      <c r="K15" s="68"/>
      <c r="L15" s="43"/>
    </row>
    <row r="16" spans="1:13" ht="15.6">
      <c r="A16" s="28" t="str">
        <v>Brooklyn - BA Canarsie</v>
      </c>
      <c r="B16" s="29" t="str">
        <v>NY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57" t="s">
        <v>23</v>
      </c>
      <c r="H16" s="15" t="str">
        <f t="shared" si="4"/>
        <v/>
      </c>
      <c r="I16" s="16" t="str">
        <f t="shared" si="2"/>
        <v/>
      </c>
      <c r="J16" s="41"/>
      <c r="K16" s="41"/>
      <c r="L16" s="41"/>
    </row>
    <row r="17" spans="1:12" ht="15.6">
      <c r="A17" s="30" t="str">
        <v>Pittsburg - BA Fox Chapel</v>
      </c>
      <c r="B17" s="31" t="str">
        <v>PA</v>
      </c>
      <c r="C17" s="11"/>
      <c r="D17" s="18" t="s">
        <v>23</v>
      </c>
      <c r="E17" s="18"/>
      <c r="F17" s="19" t="str">
        <f t="shared" si="3"/>
        <v/>
      </c>
      <c r="G17" s="58" t="s">
        <v>23</v>
      </c>
      <c r="H17" s="20" t="str">
        <f t="shared" si="4"/>
        <v/>
      </c>
      <c r="I17" s="19" t="str">
        <f t="shared" si="2"/>
        <v/>
      </c>
      <c r="J17" s="42"/>
      <c r="K17" s="43"/>
      <c r="L17" s="43"/>
    </row>
    <row r="18" spans="1:12" ht="27.4" customHeight="1">
      <c r="A18" s="28" t="str">
        <v>New York - BA Two Bryant Pk</v>
      </c>
      <c r="B18" s="29" t="str">
        <v>NY</v>
      </c>
      <c r="C18" s="24"/>
      <c r="D18" s="13" t="s">
        <v>23</v>
      </c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57" t="s">
        <v>23</v>
      </c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61"/>
      <c r="L18" s="41"/>
    </row>
    <row r="19" spans="1:12" ht="15.6">
      <c r="A19" s="30" t="str">
        <v>Baltimore - BA Sudbrook Lane</v>
      </c>
      <c r="B19" s="31" t="str">
        <v>MD</v>
      </c>
      <c r="C19" s="11"/>
      <c r="D19" s="18" t="s">
        <v>23</v>
      </c>
      <c r="E19" s="18" t="str">
        <f t="shared" si="5"/>
        <v/>
      </c>
      <c r="F19" s="19" t="str">
        <f t="shared" si="6"/>
        <v/>
      </c>
      <c r="G19" s="58" t="s">
        <v>23</v>
      </c>
      <c r="H19" s="20" t="str">
        <f t="shared" si="7"/>
        <v/>
      </c>
      <c r="I19" s="19" t="str">
        <f t="shared" si="8"/>
        <v/>
      </c>
      <c r="J19" s="42"/>
      <c r="K19" s="68"/>
      <c r="L19" s="43"/>
    </row>
    <row r="20" spans="1:12" ht="15.6">
      <c r="A20" s="28" t="str">
        <v>Stamford - BA West Stamford</v>
      </c>
      <c r="B20" s="29" t="str">
        <v>CT</v>
      </c>
      <c r="C20" s="24"/>
      <c r="D20" s="13" t="s">
        <v>23</v>
      </c>
      <c r="E20" s="13" t="str">
        <f t="shared" si="5"/>
        <v/>
      </c>
      <c r="F20" s="14" t="str">
        <f t="shared" si="6"/>
        <v/>
      </c>
      <c r="G20" s="57" t="s">
        <v>23</v>
      </c>
      <c r="H20" s="15" t="str">
        <f t="shared" si="7"/>
        <v/>
      </c>
      <c r="I20" s="16" t="str">
        <f t="shared" si="8"/>
        <v/>
      </c>
      <c r="J20" s="41"/>
      <c r="K20" s="41"/>
      <c r="L20" s="41"/>
    </row>
    <row r="21" spans="1:12" ht="15.6">
      <c r="A21" s="30" t="str">
        <v>Hanover - BA Arundel Mills</v>
      </c>
      <c r="B21" s="31" t="str">
        <v>MD</v>
      </c>
      <c r="C21" s="11"/>
      <c r="D21" s="18" t="s">
        <v>23</v>
      </c>
      <c r="E21" s="18" t="str">
        <f t="shared" si="5"/>
        <v/>
      </c>
      <c r="F21" s="19" t="str">
        <f t="shared" si="6"/>
        <v/>
      </c>
      <c r="G21" s="58" t="s">
        <v>23</v>
      </c>
      <c r="H21" s="20" t="str">
        <f t="shared" si="7"/>
        <v/>
      </c>
      <c r="I21" s="19" t="str">
        <f t="shared" si="8"/>
        <v/>
      </c>
      <c r="J21" s="42"/>
      <c r="K21" s="43"/>
      <c r="L21" s="43"/>
    </row>
    <row r="22" spans="1:12" ht="15.6">
      <c r="A22" s="28" t="str">
        <v>Glen Cove - BA Forest Ave</v>
      </c>
      <c r="B22" s="29" t="str">
        <v>NY</v>
      </c>
      <c r="C22" s="24"/>
      <c r="D22" s="13" t="s">
        <v>23</v>
      </c>
      <c r="E22" s="13" t="str">
        <f t="shared" si="5"/>
        <v/>
      </c>
      <c r="F22" s="14" t="str">
        <f t="shared" si="6"/>
        <v/>
      </c>
      <c r="G22" s="57" t="s">
        <v>23</v>
      </c>
      <c r="H22" s="15" t="str">
        <f t="shared" si="7"/>
        <v/>
      </c>
      <c r="I22" s="16" t="str">
        <f t="shared" si="8"/>
        <v/>
      </c>
      <c r="J22" s="41"/>
      <c r="K22" s="41"/>
      <c r="L22" s="41"/>
    </row>
    <row r="23" spans="1:12" ht="15.6">
      <c r="A23" s="30" t="str">
        <v>Brooklyn - BA North 4th &amp; Berry</v>
      </c>
      <c r="B23" s="31" t="str">
        <v>NY</v>
      </c>
      <c r="C23" s="11"/>
      <c r="D23" s="18" t="s">
        <v>23</v>
      </c>
      <c r="E23" s="18"/>
      <c r="F23" s="19" t="str">
        <f t="shared" si="6"/>
        <v/>
      </c>
      <c r="G23" s="58" t="s">
        <v>23</v>
      </c>
      <c r="H23" s="20"/>
      <c r="I23" s="19" t="str">
        <f t="shared" si="8"/>
        <v/>
      </c>
      <c r="J23" s="42"/>
      <c r="K23" s="68"/>
      <c r="L23" s="43"/>
    </row>
    <row r="24" spans="1:12" ht="15.6">
      <c r="A24" s="28" t="str">
        <v>Midlothian - BA Brandermill</v>
      </c>
      <c r="B24" s="29" t="str">
        <v>VA</v>
      </c>
      <c r="C24" s="24"/>
      <c r="D24" s="13" t="s">
        <v>23</v>
      </c>
      <c r="E24" s="13" t="str">
        <f t="shared" si="5"/>
        <v/>
      </c>
      <c r="F24" s="14" t="str">
        <f t="shared" si="6"/>
        <v/>
      </c>
      <c r="G24" s="57" t="s">
        <v>23</v>
      </c>
      <c r="H24" s="15" t="str">
        <f t="shared" si="7"/>
        <v/>
      </c>
      <c r="I24" s="16" t="str">
        <f t="shared" si="8"/>
        <v/>
      </c>
      <c r="J24" s="41"/>
      <c r="K24" s="41"/>
      <c r="L24" s="41"/>
    </row>
    <row r="25" spans="1:12" ht="15.6">
      <c r="A25" s="30" t="str">
        <v>Lexington - BA North Park</v>
      </c>
      <c r="B25" s="31" t="str">
        <v>KY</v>
      </c>
      <c r="C25" s="11"/>
      <c r="D25" s="18" t="s">
        <v>23</v>
      </c>
      <c r="E25" s="18" t="str">
        <f t="shared" si="5"/>
        <v/>
      </c>
      <c r="F25" s="19" t="str">
        <f t="shared" si="6"/>
        <v/>
      </c>
      <c r="G25" s="58" t="s">
        <v>23</v>
      </c>
      <c r="H25" s="20" t="str">
        <f t="shared" si="7"/>
        <v/>
      </c>
      <c r="I25" s="19" t="str">
        <f t="shared" si="8"/>
        <v/>
      </c>
      <c r="J25" s="42"/>
      <c r="K25" s="68"/>
      <c r="L25" s="43"/>
    </row>
    <row r="26" spans="1:12" ht="15.6">
      <c r="A26" s="28" t="str">
        <v>Coventry - BA ATM</v>
      </c>
      <c r="B26" s="29" t="str">
        <v>RI</v>
      </c>
      <c r="C26" s="24"/>
      <c r="D26" s="13" t="s">
        <v>23</v>
      </c>
      <c r="E26" s="13" t="str">
        <f t="shared" si="5"/>
        <v/>
      </c>
      <c r="F26" s="14" t="str">
        <f t="shared" si="6"/>
        <v/>
      </c>
      <c r="G26" s="57" t="s">
        <v>23</v>
      </c>
      <c r="H26" s="15" t="str">
        <f t="shared" si="7"/>
        <v/>
      </c>
      <c r="I26" s="16" t="str">
        <f t="shared" si="8"/>
        <v/>
      </c>
      <c r="J26" s="41"/>
      <c r="K26" s="61"/>
      <c r="L26" s="41"/>
    </row>
    <row r="27" spans="1:12" ht="15.6">
      <c r="A27" s="30" t="str">
        <v>Woodbridge - BA ATM</v>
      </c>
      <c r="B27" s="31" t="str">
        <v>VA</v>
      </c>
      <c r="C27" s="11"/>
      <c r="D27" s="18" t="s">
        <v>23</v>
      </c>
      <c r="E27" s="18" t="str">
        <f t="shared" si="5"/>
        <v/>
      </c>
      <c r="F27" s="19" t="str">
        <f t="shared" si="6"/>
        <v/>
      </c>
      <c r="G27" s="58" t="s">
        <v>23</v>
      </c>
      <c r="H27" s="20" t="str">
        <f t="shared" si="7"/>
        <v/>
      </c>
      <c r="I27" s="19" t="str">
        <f t="shared" si="8"/>
        <v/>
      </c>
      <c r="J27" s="42"/>
      <c r="K27" s="68"/>
      <c r="L27" s="43"/>
    </row>
    <row r="28" spans="1:12" ht="14.45">
      <c r="A28" s="21" t="str">
        <v>MN: Eden Prairie - UHG Optum Ramp A (PW)</v>
      </c>
      <c r="B28" s="33" t="str">
        <v>MN</v>
      </c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 t="str">
        <v>MN: Eden Prairie - UHG Optum Ramp B (PW)</v>
      </c>
      <c r="B29" s="33" t="str">
        <v>MN</v>
      </c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9"/>
  <sheetViews>
    <sheetView workbookViewId="0">
      <pane ySplit="3" topLeftCell="A15" activePane="bottomLeft" state="frozen"/>
      <selection pane="bottomLeft" activeCell="B4" sqref="B4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60</v>
      </c>
      <c r="B1" t="s">
        <v>61</v>
      </c>
    </row>
    <row r="3" spans="1:7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45">
      <c r="A4" t="s">
        <v>65</v>
      </c>
      <c r="B4" t="s">
        <v>66</v>
      </c>
      <c r="C4" s="44" t="s">
        <v>67</v>
      </c>
      <c r="D4" s="47"/>
      <c r="E4" s="48" t="s">
        <v>68</v>
      </c>
      <c r="G4" s="3"/>
    </row>
    <row r="5" spans="1:7" ht="14.45">
      <c r="A5" t="s">
        <v>69</v>
      </c>
      <c r="B5" t="s">
        <v>70</v>
      </c>
      <c r="C5" s="45" t="s">
        <v>71</v>
      </c>
      <c r="D5" s="49"/>
      <c r="E5" s="50" t="s">
        <v>68</v>
      </c>
      <c r="G5" s="3"/>
    </row>
    <row r="6" spans="1:7" ht="14.45">
      <c r="A6" t="s">
        <v>72</v>
      </c>
      <c r="B6" t="s">
        <v>73</v>
      </c>
      <c r="C6" s="44" t="s">
        <v>71</v>
      </c>
      <c r="D6" s="47"/>
      <c r="E6" s="48" t="s">
        <v>68</v>
      </c>
      <c r="G6" s="3"/>
    </row>
    <row r="7" spans="1:7" ht="12.75" customHeight="1">
      <c r="A7" t="s">
        <v>74</v>
      </c>
      <c r="B7" t="s">
        <v>75</v>
      </c>
      <c r="C7" s="45" t="s">
        <v>76</v>
      </c>
      <c r="D7" s="49"/>
      <c r="E7" s="50" t="s">
        <v>68</v>
      </c>
    </row>
    <row r="8" spans="1:7" ht="12.75" customHeight="1">
      <c r="A8" t="s">
        <v>77</v>
      </c>
      <c r="B8" t="s">
        <v>78</v>
      </c>
      <c r="C8" s="44" t="s">
        <v>76</v>
      </c>
      <c r="D8" s="47"/>
      <c r="E8" s="48" t="s">
        <v>68</v>
      </c>
    </row>
    <row r="9" spans="1:7" ht="12.75" customHeight="1">
      <c r="A9" t="s">
        <v>79</v>
      </c>
      <c r="B9" t="s">
        <v>80</v>
      </c>
      <c r="C9" s="45" t="s">
        <v>76</v>
      </c>
      <c r="D9" s="49"/>
      <c r="E9" s="50" t="s">
        <v>68</v>
      </c>
    </row>
    <row r="10" spans="1:7" ht="12.75" customHeight="1">
      <c r="A10" t="s">
        <v>81</v>
      </c>
      <c r="B10" t="s">
        <v>82</v>
      </c>
      <c r="C10" s="44" t="s">
        <v>76</v>
      </c>
      <c r="D10" s="47"/>
      <c r="E10" s="48" t="s">
        <v>68</v>
      </c>
    </row>
    <row r="11" spans="1:7" ht="12.75" customHeight="1">
      <c r="A11" t="s">
        <v>83</v>
      </c>
      <c r="B11" t="s">
        <v>84</v>
      </c>
      <c r="C11" s="45" t="s">
        <v>76</v>
      </c>
      <c r="D11" s="49"/>
      <c r="E11" s="50" t="s">
        <v>68</v>
      </c>
    </row>
    <row r="12" spans="1:7" ht="12.75" customHeight="1">
      <c r="A12" t="s">
        <v>85</v>
      </c>
      <c r="B12" t="s">
        <v>86</v>
      </c>
      <c r="C12" s="44" t="s">
        <v>76</v>
      </c>
      <c r="D12" s="47"/>
      <c r="E12" s="48" t="s">
        <v>68</v>
      </c>
    </row>
    <row r="13" spans="1:7" ht="12.75" customHeight="1">
      <c r="A13" t="s">
        <v>87</v>
      </c>
      <c r="B13" t="s">
        <v>88</v>
      </c>
      <c r="C13" s="45" t="s">
        <v>71</v>
      </c>
      <c r="D13" s="49"/>
      <c r="E13" s="50" t="s">
        <v>68</v>
      </c>
    </row>
    <row r="14" spans="1:7" ht="12.75" customHeight="1">
      <c r="A14" t="s">
        <v>89</v>
      </c>
      <c r="B14" t="s">
        <v>90</v>
      </c>
      <c r="C14" s="44" t="s">
        <v>76</v>
      </c>
      <c r="D14" s="47"/>
      <c r="E14" s="48" t="s">
        <v>68</v>
      </c>
    </row>
    <row r="15" spans="1:7" ht="12.75" customHeight="1">
      <c r="A15" t="s">
        <v>91</v>
      </c>
      <c r="B15" t="s">
        <v>92</v>
      </c>
      <c r="C15" s="45" t="s">
        <v>76</v>
      </c>
      <c r="D15" s="49"/>
      <c r="E15" s="50" t="s">
        <v>68</v>
      </c>
    </row>
    <row r="16" spans="1:7" ht="12.75" customHeight="1">
      <c r="A16" t="s">
        <v>41</v>
      </c>
      <c r="B16" t="s">
        <v>93</v>
      </c>
      <c r="C16" s="44" t="s">
        <v>94</v>
      </c>
      <c r="D16" s="47"/>
      <c r="E16" s="48" t="s">
        <v>68</v>
      </c>
    </row>
    <row r="17" spans="1:5" ht="12.75" customHeight="1">
      <c r="A17" s="88" t="s">
        <v>95</v>
      </c>
      <c r="B17" t="s">
        <v>96</v>
      </c>
      <c r="C17" s="45" t="s">
        <v>97</v>
      </c>
      <c r="D17" s="49"/>
      <c r="E17" s="50" t="s">
        <v>68</v>
      </c>
    </row>
    <row r="18" spans="1:5" ht="12.75" customHeight="1">
      <c r="A18" t="s">
        <v>98</v>
      </c>
      <c r="B18" t="s">
        <v>99</v>
      </c>
      <c r="C18" s="45" t="s">
        <v>94</v>
      </c>
      <c r="D18" s="47"/>
      <c r="E18" s="48" t="s">
        <v>68</v>
      </c>
    </row>
    <row r="19" spans="1:5" ht="12.75" customHeight="1">
      <c r="A19" t="s">
        <v>100</v>
      </c>
      <c r="B19" t="s">
        <v>101</v>
      </c>
      <c r="C19" s="45" t="s">
        <v>102</v>
      </c>
      <c r="D19" s="49"/>
      <c r="E19" s="50" t="s">
        <v>68</v>
      </c>
    </row>
    <row r="20" spans="1:5" ht="12.75" customHeight="1">
      <c r="A20" t="s">
        <v>103</v>
      </c>
      <c r="B20" t="s">
        <v>104</v>
      </c>
      <c r="C20" s="45" t="s">
        <v>67</v>
      </c>
      <c r="D20" s="47"/>
      <c r="E20" s="48" t="s">
        <v>68</v>
      </c>
    </row>
    <row r="21" spans="1:5" ht="12.75" customHeight="1">
      <c r="A21" t="s">
        <v>105</v>
      </c>
      <c r="B21" t="s">
        <v>106</v>
      </c>
      <c r="C21" s="45" t="s">
        <v>102</v>
      </c>
      <c r="D21" s="49"/>
      <c r="E21" s="50" t="s">
        <v>68</v>
      </c>
    </row>
    <row r="22" spans="1:5" ht="12.75" customHeight="1">
      <c r="A22" t="s">
        <v>41</v>
      </c>
      <c r="B22" t="s">
        <v>107</v>
      </c>
      <c r="C22" s="45" t="s">
        <v>94</v>
      </c>
      <c r="D22" s="47"/>
      <c r="E22" s="48" t="s">
        <v>68</v>
      </c>
    </row>
    <row r="23" spans="1:5" ht="12.75" customHeight="1">
      <c r="A23" t="s">
        <v>108</v>
      </c>
      <c r="B23" t="s">
        <v>109</v>
      </c>
      <c r="C23" s="45" t="s">
        <v>94</v>
      </c>
      <c r="D23" s="49"/>
      <c r="E23" s="50" t="s">
        <v>68</v>
      </c>
    </row>
    <row r="24" spans="1:5" ht="12.75" customHeight="1">
      <c r="A24" t="s">
        <v>110</v>
      </c>
      <c r="B24" t="s">
        <v>111</v>
      </c>
      <c r="C24" s="45" t="s">
        <v>112</v>
      </c>
      <c r="D24" s="47"/>
      <c r="E24" s="48" t="s">
        <v>68</v>
      </c>
    </row>
    <row r="25" spans="1:5" ht="12.75" customHeight="1">
      <c r="A25" t="s">
        <v>113</v>
      </c>
      <c r="B25" t="s">
        <v>114</v>
      </c>
      <c r="C25" s="45" t="s">
        <v>115</v>
      </c>
      <c r="D25" s="49"/>
      <c r="E25" s="50" t="s">
        <v>68</v>
      </c>
    </row>
    <row r="26" spans="1:5" ht="12.75" customHeight="1">
      <c r="A26" s="53" t="s">
        <v>116</v>
      </c>
      <c r="B26" s="54" t="s">
        <v>117</v>
      </c>
      <c r="C26" s="54" t="s">
        <v>118</v>
      </c>
      <c r="D26" s="81"/>
      <c r="E26" s="50" t="s">
        <v>68</v>
      </c>
    </row>
    <row r="27" spans="1:5" ht="12.75" customHeight="1">
      <c r="A27" s="53" t="s">
        <v>119</v>
      </c>
      <c r="B27" s="54" t="s">
        <v>120</v>
      </c>
      <c r="C27" s="54" t="s">
        <v>112</v>
      </c>
      <c r="D27" s="81"/>
      <c r="E27" s="50" t="s">
        <v>68</v>
      </c>
    </row>
    <row r="28" spans="1:5" ht="12.75" customHeight="1">
      <c r="A28" s="53" t="s">
        <v>121</v>
      </c>
      <c r="B28" s="54" t="s">
        <v>122</v>
      </c>
      <c r="C28" s="54" t="s">
        <v>123</v>
      </c>
      <c r="D28" s="81"/>
      <c r="E28" s="95" t="s">
        <v>124</v>
      </c>
    </row>
    <row r="29" spans="1:5" ht="12.75" customHeight="1">
      <c r="A29" s="53" t="s">
        <v>125</v>
      </c>
      <c r="B29" s="54" t="s">
        <v>126</v>
      </c>
      <c r="C29" s="54" t="s">
        <v>123</v>
      </c>
      <c r="D29" s="81"/>
      <c r="E29" s="95" t="s">
        <v>124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0AE1A269-EB18-4987-87A5-832076F1268A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