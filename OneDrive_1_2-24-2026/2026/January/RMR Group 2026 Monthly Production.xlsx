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942BAEF-A987-4240-A2B7-5865E7CE463A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<sst xmlns="http://schemas.openxmlformats.org/spreadsheetml/2006/main" count="240" uniqueCount="53">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</sst>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A19" sqref="A19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RMR Group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6391.3</v>
      </c>
      <c r="D2" s="6">
        <f>SUM(D4:D60)</f>
        <v>6984.1</v>
      </c>
      <c r="E2" s="6">
        <f>C2-D2</f>
        <v>-592.80000000000018</v>
      </c>
      <c r="F2" s="7">
        <f>IFERROR(E2/D2, 0)</f>
        <v>-8.4878509757878626E-2</v>
      </c>
      <c r="G2" s="6">
        <f>SUM(G4:G60)</f>
        <v>0</v>
      </c>
      <c r="H2" s="8">
        <f>C2-G2</f>
        <v>6391.3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6391.3</v>
      </c>
      <c r="D4" s="14">
        <f>SUM('1st Qtr'!D4, '2nd Qtr'!D4, '3rd Qtr'!D4, '4th Qtr'!D4)</f>
        <v>6984.1</v>
      </c>
      <c r="E4" s="14">
        <f>IF(AND(ISNUMBER(C4),ISNUMBER(D4)), C4-D4, "")</f>
        <v>-592.80000000000018</v>
      </c>
      <c r="F4" s="15">
        <f>IFERROR(E4/D4, "")</f>
        <v>-8.4878509757878626E-2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RMR Group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6391.3</v>
      </c>
      <c r="D2" s="6">
        <f>SUM(D4:D68)</f>
        <v>6984.1</v>
      </c>
      <c r="E2" s="6">
        <f>C2-D2</f>
        <v>-592.80000000000018</v>
      </c>
      <c r="F2" s="7">
        <f>IFERROR(E2/D2, 0)</f>
        <v>-8.4878509757878626E-2</v>
      </c>
      <c r="G2" s="6">
        <f>SUM(G4:G68)</f>
        <v>0</v>
      </c>
      <c r="H2" s="8">
        <f>C2-G2</f>
        <v>6391.3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6391.3</v>
      </c>
      <c r="D4" s="14">
        <f>SUM(Jan!D4, Feb!D4, Mar!D4)</f>
        <v>6984.1</v>
      </c>
      <c r="E4" s="14">
        <f>IF(AND(ISNUMBER(C4),ISNUMBER(D4)), C4-D4, "")</f>
        <v>-592.80000000000018</v>
      </c>
      <c r="F4" s="15">
        <f>IFERROR(E4/D4, "")</f>
        <v>-8.4878509757878626E-2</v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RMR Group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RMR Group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RMR Group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F13" sqref="F1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6391.3</v>
      </c>
      <c r="D2" s="6">
        <f>SUM(D4:D89)</f>
        <v>6984.1</v>
      </c>
      <c r="E2" s="6">
        <f>C2-D2</f>
        <v>-592.80000000000018</v>
      </c>
      <c r="F2" s="7">
        <f>IFERROR(E2/D2, 0)</f>
        <v>-8.4878509757878626E-2</v>
      </c>
      <c r="G2" s="6">
        <f>SUM(G4:G89)</f>
        <v>0</v>
      </c>
      <c r="H2" s="8">
        <f>C2-G2</f>
        <v>6391.3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6391.3</v>
      </c>
      <c r="D4" s="14">
        <v>6984.1</v>
      </c>
      <c r="E4" s="14">
        <f>IF(AND(ISNUMBER(C4),ISNUMBER(D4)), C4-D4, "")</f>
        <v>-592.80000000000018</v>
      </c>
      <c r="F4" s="15">
        <f>IFERROR(E4/D4, "")</f>
        <v>-8.4878509757878626E-2</v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31</v>
      </c>
      <c r="E1" s="45"/>
      <c r="F1" s="45"/>
      <c r="G1" s="43" t="s">
        <v>32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RMR Group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t="s">
        <v>50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A7EC8879-65C3-4C77-8423-B01061340CFF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