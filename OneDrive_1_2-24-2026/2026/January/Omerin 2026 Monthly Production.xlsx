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B52A1BF0-3EE9-46C8-9116-081025FFBC0E}" xr6:coauthVersionLast="47" xr6:coauthVersionMax="47" xr10:uidLastSave="{00000000-0000-0000-0000-000000000000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<sst xmlns="http://schemas.openxmlformats.org/spreadsheetml/2006/main" count="263" uniqueCount="54">
  <si>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</si>
  <si>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</si>
  <si>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</si>
  <si>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</si>
  <si>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</si>
  <si>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</si>
  <si>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</si>
  <si>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</si>
  <si>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</si>
  <si>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</si>
  <si>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</si>
  <si>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</si>
  <si>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</si>
  <si>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</si>
  <si>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</si>
  <si>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</si>
  <si>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</si>
  <si>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</si>
  <si>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</si>
  <si>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</si>
  <si>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</si>
  <si>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</si>
  <si>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</si>
  <si>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1.Site production was low from 01/25 to 01/31 due to 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</si>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</sst>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5" fillId="46" borderId="0" xfId="0" applyFont="1" applyFill="1" applyAlignment="1">
      <alignment horizontal="right" vertical="center"/>
    </xf>
    <xf numFmtId="3" fontId="35" fillId="47" borderId="0" xfId="0" applyNumberFormat="1" applyFont="1" applyFill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4293.21</v>
      </c>
      <c r="D2" s="5">
        <f>SUM(D4:D79)</f>
        <v>0</v>
      </c>
      <c r="E2" s="5">
        <f>C2-D2</f>
        <v>4293.21</v>
      </c>
      <c r="F2" s="6">
        <f>IFERROR(E2/D2, 0)</f>
        <v>0</v>
      </c>
      <c r="G2" s="5">
        <f>SUM(G4:G79)</f>
        <v>0</v>
      </c>
      <c r="H2" s="7">
        <f>C2-G2</f>
        <v>4293.21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4293.21</v>
      </c>
      <c r="D4" s="12">
        <f>SUM('1st Qtr'!D4, '2nd Qtr'!D4, '3rd Qtr'!D4, '4th Qtr'!D4)</f>
        <v>0</v>
      </c>
      <c r="E4" s="12">
        <f>IF(AND(ISNUMBER(C4),ISNUMBER(D4)), C4-D4, "")</f>
        <v>4293.21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4293.21</v>
      </c>
      <c r="D2" s="5">
        <f>SUM(D4:D79)</f>
        <v>0</v>
      </c>
      <c r="E2" s="5">
        <f>C2-D2</f>
        <v>4293.21</v>
      </c>
      <c r="F2" s="6">
        <f>IFERROR(E2/D2, 0)</f>
        <v>0</v>
      </c>
      <c r="G2" s="5">
        <f>SUM(G4:G79)</f>
        <v>0</v>
      </c>
      <c r="H2" s="7">
        <f>C2-G2</f>
        <v>4293.21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4293.21</v>
      </c>
      <c r="D4" s="12">
        <f>SUM(Jan!D4, Feb!D4, Mar!D4)</f>
        <v>0</v>
      </c>
      <c r="E4" s="12">
        <f>IF(AND(ISNUMBER(C4),ISNUMBER(D4)), C4-D4, "")</f>
        <v>4293.21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zoomScale="82" zoomScaleNormal="82" workbookViewId="0">
      <pane xSplit="2" ySplit="3" topLeftCell="C4" activePane="bottomRight" state="frozen"/>
      <selection pane="bottomRight" activeCell="G15" sqref="G1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4293.21</v>
      </c>
      <c r="D2" s="5">
        <f>SUM(D4:D78)</f>
        <v>0</v>
      </c>
      <c r="E2" s="5">
        <f>C2-D2</f>
        <v>4293.21</v>
      </c>
      <c r="F2" s="6">
        <f>IFERROR(E2/D2, 0)</f>
        <v>0</v>
      </c>
      <c r="G2" s="5">
        <f>SUM(G4:G78)</f>
        <v>0</v>
      </c>
      <c r="H2" s="7">
        <f>C2-G2</f>
        <v>4293.21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50">
        <v>4293.21</v>
      </c>
      <c r="D4" s="54" t="s">
        <v>22</v>
      </c>
      <c r="E4" s="12" t="str">
        <f>IF(AND(ISNUMBER(C4),ISNUMBER(D4)), C4-D4, "")</f>
        <v/>
      </c>
      <c r="F4" s="40" t="str">
        <f>IFERROR(E4/D4, "")</f>
        <v/>
      </c>
      <c r="G4" s="55" t="s">
        <v>22</v>
      </c>
      <c r="H4" s="14" t="str">
        <f>IF(AND(ISNUMBER(C4),ISNUMBER(G4)), C4-G4, "")</f>
        <v/>
      </c>
      <c r="I4" s="15" t="str">
        <f>IFERROR(H4/G4, "")</f>
        <v/>
      </c>
      <c r="J4" s="47" t="s">
        <v>23</v>
      </c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3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75723C5D-B012-430C-934F-984DD55B4430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