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D89FD82A-F5EA-4C92-8713-36F4AAF6ADF9}" xr6:coauthVersionLast="47" xr6:coauthVersionMax="47" xr10:uidLastSave="{00000000-0000-0000-0000-000000000000}"/>
  <bookViews>
    <workbookView xWindow="-108" yWindow="-108" windowWidth="23256" windowHeight="1389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G4" i="30"/>
  <c r="G2" i="30" s="1"/>
  <c r="G4" i="29"/>
  <c r="G2" i="29"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G4" i="1"/>
  <c r="B4" i="34" a="1"/>
  <c r="B4" i="34" s="1"/>
  <c r="A4" i="34" a="1"/>
  <c r="A4" i="34" s="1"/>
  <c r="A1" i="34" a="1"/>
  <c r="A1" i="34" s="1"/>
  <c r="D4" i="30"/>
  <c r="C4" i="30"/>
  <c r="D4" i="29"/>
  <c r="D2" i="29" s="1"/>
  <c r="C4" i="29"/>
  <c r="D4" i="18"/>
  <c r="D2" i="18" s="1"/>
  <c r="C4" i="18"/>
  <c r="B4" i="30" a="1"/>
  <c r="B4" i="30" s="1"/>
  <c r="A1" i="30" a="1"/>
  <c r="A1" i="30" s="1"/>
  <c r="B4" i="29" a="1"/>
  <c r="B4" i="29" s="1"/>
  <c r="A4" i="29" a="1"/>
  <c r="A4" i="29" s="1"/>
  <c r="A1" i="29" a="1"/>
  <c r="A1" i="29" s="1"/>
  <c r="B4" i="18" a="1"/>
  <c r="B4" i="18" s="1"/>
  <c r="A4" i="18" a="1"/>
  <c r="A4" i="18" s="1"/>
  <c r="G2" i="18"/>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E4" i="30" l="1"/>
  <c r="F4" i="30" s="1"/>
  <c r="G4" i="34"/>
  <c r="D4" i="34"/>
  <c r="D2" i="34" s="1"/>
  <c r="E4" i="18"/>
  <c r="F4" i="18"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<sst xmlns="http://schemas.openxmlformats.org/spreadsheetml/2006/main" count="267" uniqueCount="61">
  <si>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</si>
  <si>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</si>
  <si>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</si>
  <si>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</si>
  <si>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</si>
  <si>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</si>
  <si>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</si>
  <si>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</si>
  <si>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</si>
  <si>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</si>
  <si>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</si>
  <si>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</si>
  <si>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</si>
  <si>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</si>
  <si>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</si>
  <si>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</si>
  <si>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</si>
  <si>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</si>
  <si>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</si>
  <si>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</si>
  <si>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</si>
  <si>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</si>
  <si>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Status</t>
  </si>
  <si>
    <t>N/A</t>
  </si>
  <si>
    <t>1. Inverter 8 was offline for whole month.
2.Inverter 13 was underproduced by 10kW compared to peers for whole month.
3.Inverter 1 was underproducing by 11kW due to one string down from 14:45 on 10/15 to end of the month and There are 12 broken modules on site across the arrays that need to be jumped out or replaced 
4.Site was bearly producing most of the days through out the month due to snow.</t>
  </si>
  <si>
    <t>1.SR098499
2.SR101650
3.SR110346</t>
  </si>
  <si>
    <t>1.Pending
2.Pending
3.Pending</t>
  </si>
  <si>
    <t>SR101650</t>
  </si>
  <si>
    <t>SR110346</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</si>
  <si>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</si>
  <si>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</si>
  <si>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</si>
  <si>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</si>
  <si>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</si>
  <si>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</si>
  <si>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</si>
  <si>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</si>
  <si>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</si>
  <si>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</si>
  <si>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</si>
  <si>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</si>
  <si>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</si>
  <si>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</si>
  <si>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</si>
  <si>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</si>
  <si>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</si>
  <si>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</si>
  <si>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</si>
  <si>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</si>
  <si>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</si>
  <si>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</si>
  <si>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Status </t>
  </si>
  <si>
    <t>Portfolio:</t>
  </si>
  <si>
    <t>Canton Ice House</t>
  </si>
  <si>
    <t>Site DAS Name</t>
  </si>
  <si>
    <t>Update</t>
  </si>
  <si>
    <t>DAS</t>
  </si>
  <si>
    <t>MA: Canton - Canton Ice House</t>
  </si>
  <si>
    <t>MA</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</si>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</sst>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E2EFDA"/>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theme="4" tint="0.39997558519241921"/>
      </top>
      <bottom style="thin">
        <color rgb="FF000000"/>
      </bottom>
      <diagonal/>
    </border>
    <border>
      <left/>
      <right/>
      <top style="thin">
        <color rgb="FF8EA9DB"/>
      </top>
      <bottom style="thin">
        <color theme="4" tint="0.39997558519241921"/>
      </bottom>
      <diagonal/>
    </border>
    <border>
      <left style="thin">
        <color auto="1"/>
      </left>
      <right style="thin">
        <color auto="1"/>
      </right>
      <top style="thin">
        <color theme="4" tint="0.3999755851924192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6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0" fontId="34" fillId="40" borderId="0" xfId="0" applyFont="1" applyFill="1" applyAlignment="1">
      <alignment horizontal="center" vertical="center"/>
    </xf>
    <xf numFmtId="0" fontId="34" fillId="40" borderId="0" xfId="0" applyFont="1" applyFill="1" applyAlignment="1">
      <alignment horizontal="left" vertical="center"/>
    </xf>
    <xf numFmtId="0" fontId="32" fillId="0" borderId="0" xfId="0" applyFont="1" applyAlignment="1">
      <alignment vertical="center"/>
    </xf>
    <xf numFmtId="49" fontId="36" fillId="38" borderId="0" xfId="45" applyNumberFormat="1" applyFill="1" applyBorder="1" applyAlignment="1">
      <alignment horizontal="left" vertical="top" wrapText="1"/>
    </xf>
    <xf numFmtId="49" fontId="36" fillId="38" borderId="0" xfId="45" applyNumberFormat="1" applyFill="1" applyBorder="1" applyAlignment="1">
      <alignment vertical="top" wrapText="1"/>
    </xf>
    <xf numFmtId="0" fontId="36" fillId="0" borderId="0" xfId="45" applyAlignment="1">
      <alignment vertical="top"/>
    </xf>
    <xf numFmtId="0" fontId="0" fillId="0" borderId="0" xfId="0" applyAlignment="1">
      <alignment horizontal="left" vertical="top"/>
    </xf>
    <xf numFmtId="0" fontId="36" fillId="0" borderId="0" xfId="45" applyAlignment="1">
      <alignment horizontal="left" vertical="top"/>
    </xf>
    <xf numFmtId="3" fontId="30" fillId="4" borderId="0" xfId="1" applyNumberFormat="1" applyFont="1" applyFill="1" applyBorder="1" applyAlignment="1">
      <alignment horizontal="right" vertical="center"/>
    </xf>
    <xf numFmtId="0" fontId="0" fillId="0" borderId="0" xfId="0" applyAlignment="1">
      <alignment vertical="top"/>
    </xf>
    <xf numFmtId="0" fontId="36" fillId="0" borderId="0" xfId="45"/>
    <xf numFmtId="3" fontId="30" fillId="4" borderId="0" xfId="1" applyNumberFormat="1" applyFont="1" applyFill="1" applyBorder="1" applyAlignment="1">
      <alignment horizontal="right" vertical="top"/>
    </xf>
    <xf numFmtId="9" fontId="30" fillId="38" borderId="14" xfId="2" applyFont="1" applyFill="1" applyBorder="1" applyAlignment="1">
      <alignment horizontal="left" vertical="top" wrapText="1"/>
    </xf>
    <xf numFmtId="9" fontId="36" fillId="38" borderId="14" xfId="45" applyNumberFormat="1" applyFill="1" applyBorder="1" applyAlignment="1">
      <alignment horizontal="left" vertical="top" wrapText="1"/>
    </xf>
    <xf numFmtId="3" fontId="35" fillId="46" borderId="12" xfId="0" applyNumberFormat="1" applyFont="1" applyFill="1" applyBorder="1" applyAlignment="1">
      <alignment horizontal="center" vertical="center"/>
    </xf>
    <xf numFmtId="0" fontId="35" fillId="46" borderId="13" xfId="0" applyFont="1" applyFill="1" applyBorder="1" applyAlignment="1">
      <alignment horizontal="righ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110346" TargetMode="External"/><Relationship Id="rId2" Type="http://schemas.openxmlformats.org/officeDocument/2006/relationships/hyperlink" Target="https://us3.assetplanner.com/service_request?ID=101650" TargetMode="External"/><Relationship Id="rId1" Type="http://schemas.openxmlformats.org/officeDocument/2006/relationships/hyperlink" Target="https://us3.assetplanner.com/service_request?ID=098499" TargetMode="External"/><Relationship Id="rId4"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294"/>
  <sheetViews>
    <sheetView workbookViewId="0">
      <pane xSplit="2" ySplit="3" topLeftCell="C4" activePane="bottomRight" state="frozen"/>
      <selection pane="bottomRight" activeCell="G14" sqref="G14"/>
      <selection pane="bottomLeft" activeCell="B20" sqref="B20"/>
      <selection pane="topRight" activeCell="B20" sqref="B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Canton Ice House</v>
      </c>
      <c r="B1" s="58"/>
      <c r="C1" s="58"/>
      <c r="D1" s="59" t="s">
        <v>0</v>
      </c>
      <c r="E1" s="59"/>
      <c r="F1" s="59"/>
      <c r="G1" s="57" t="s">
        <v>1</v>
      </c>
      <c r="H1" s="57"/>
      <c r="I1" s="57"/>
    </row>
    <row r="2" spans="1:9" ht="19.5" customHeight="1">
      <c r="A2" s="60" t="s">
        <v>2</v>
      </c>
      <c r="B2" s="60"/>
      <c r="C2" s="5">
        <f>SUM(C4:C52)</f>
        <v>10725.92</v>
      </c>
      <c r="D2" s="5">
        <f>SUM(D4:D52)</f>
        <v>0</v>
      </c>
      <c r="E2" s="5">
        <f>C2-D2</f>
        <v>10725.92</v>
      </c>
      <c r="F2" s="6">
        <f>IFERROR(E2/D2, 0)</f>
        <v>0</v>
      </c>
      <c r="G2" s="5">
        <f>SUM(G4:G52)</f>
        <v>0</v>
      </c>
      <c r="H2" s="7">
        <f>C2-G2</f>
        <v>10725.92</v>
      </c>
      <c r="I2" s="6">
        <f>IFERROR(H2/G2, 0)</f>
        <v>0</v>
      </c>
    </row>
    <row r="3" spans="1:9" ht="14.25" customHeight="1">
      <c r="A3" s="8" t="s">
        <v>3</v>
      </c>
      <c r="B3" s="8" t="s">
        <v>4</v>
      </c>
      <c r="C3" s="17" t="s">
        <v>5</v>
      </c>
      <c r="D3" s="26" t="s">
        <v>6</v>
      </c>
      <c r="E3" s="26" t="s">
        <v>7</v>
      </c>
      <c r="F3" s="27" t="s">
        <v>8</v>
      </c>
      <c r="G3" s="28" t="s">
        <v>9</v>
      </c>
      <c r="H3" s="29" t="s">
        <v>7</v>
      </c>
      <c r="I3" s="30" t="s">
        <v>8</v>
      </c>
    </row>
    <row r="4" spans="1:9" ht="15.6">
      <c r="A4" s="10" t="str" cm="1">
        <f t="array" ref="A4">Sites[Site]</f>
        <v>MA: Canton - Canton Ice House</v>
      </c>
      <c r="B4" s="9" t="str" cm="1">
        <f t="array" ref="B4">Sites[State]</f>
        <v>MA</v>
      </c>
      <c r="C4" s="18">
        <f>SUM('1st Qtr'!C4, '2nd Qtr'!C4, '3rd Qtr'!C4, '4th Qtr'!C4)</f>
        <v>10725.92</v>
      </c>
      <c r="D4" s="11">
        <f>SUM('1st Qtr'!D4, '2nd Qtr'!D4, '3rd Qtr'!D4, '4th Qtr'!D4)</f>
        <v>0</v>
      </c>
      <c r="E4" s="11">
        <f>IF(AND(ISNUMBER(C4),ISNUMBER(D4)), C4-D4, "")</f>
        <v>10725.92</v>
      </c>
      <c r="F4" s="12" t="str">
        <f>IFERROR(E4/D4, "")</f>
        <v/>
      </c>
      <c r="G4" s="13">
        <f>SUM('1st Qtr'!G4, '2nd Qtr'!G4, '3rd Qtr'!G4, '4th Qtr'!G4)</f>
        <v>0</v>
      </c>
      <c r="H4" s="13">
        <f>SUM('1st Qtr'!H4, '2nd Qtr'!H4, '3rd Qtr'!H4, '4th Qtr'!H4)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sheetData>
  <autoFilter ref="A2:I2" xr:uid="{D5C25034-9971-4A61-864F-C938F31EB1B8}"/>
  <mergeCells count="4">
    <mergeCell ref="G1:I1"/>
    <mergeCell ref="A1:C1"/>
    <mergeCell ref="D1:F1"/>
    <mergeCell ref="A2:B2"/>
  </mergeCells>
  <conditionalFormatting sqref="F2 I2 F4:F52 I4:I52">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294"/>
  <sheetViews>
    <sheetView workbookViewId="0">
      <pane xSplit="2" ySplit="3" topLeftCell="C4" activePane="bottomRight" state="frozen"/>
      <selection pane="bottomRight" activeCell="G30" sqref="G30"/>
      <selection pane="bottomLeft" activeCell="B20" sqref="B20"/>
      <selection pane="topRight" activeCell="B20" sqref="B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Canton Ice House</v>
      </c>
      <c r="B1" s="58"/>
      <c r="C1" s="58"/>
      <c r="D1" s="59" t="s">
        <v>10</v>
      </c>
      <c r="E1" s="59"/>
      <c r="F1" s="59"/>
      <c r="G1" s="57" t="s">
        <v>11</v>
      </c>
      <c r="H1" s="57"/>
      <c r="I1" s="57"/>
    </row>
    <row r="2" spans="1:9" ht="19.5" customHeight="1">
      <c r="A2" s="60" t="s">
        <v>2</v>
      </c>
      <c r="B2" s="60"/>
      <c r="C2" s="5">
        <f>SUM(C4:C52)</f>
        <v>10725.92</v>
      </c>
      <c r="D2" s="5">
        <f>SUM(D4:D52)</f>
        <v>0</v>
      </c>
      <c r="E2" s="5">
        <f>C2-D2</f>
        <v>10725.92</v>
      </c>
      <c r="F2" s="6">
        <f>IFERROR(E2/D2, 0)</f>
        <v>0</v>
      </c>
      <c r="G2" s="5">
        <f>SUM(G4:G52)</f>
        <v>0</v>
      </c>
      <c r="H2" s="7">
        <f>C2-G2</f>
        <v>10725.92</v>
      </c>
      <c r="I2" s="6">
        <f>IFERROR(H2/G2, 0)</f>
        <v>0</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MA: Canton - Canton Ice House</v>
      </c>
      <c r="B4" s="9" t="str" cm="1">
        <f t="array" ref="B4">Sites[State]</f>
        <v>MA</v>
      </c>
      <c r="C4" s="18">
        <f>SUM(Jan!C4, Feb!C4, Mar!C4)</f>
        <v>10725.92</v>
      </c>
      <c r="D4" s="11">
        <f>SUM(Jan!D4, Feb!D4, Mar!D4)</f>
        <v>0</v>
      </c>
      <c r="E4" s="11">
        <f>IF(AND(ISNUMBER(C4),ISNUMBER(D4)), C4-D4, "")</f>
        <v>10725.92</v>
      </c>
      <c r="F4" s="12" t="str">
        <f>IFERROR(E4/D4, "")</f>
        <v/>
      </c>
      <c r="G4" s="13">
        <f>SUM(Jan!G4, Feb!G4, Mar!G4)</f>
        <v>0</v>
      </c>
      <c r="H4" s="13">
        <f>SUM(Jan!H4, Feb!H4, Mar!H4)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sheetData>
  <sortState xmlns:xlrd2="http://schemas.microsoft.com/office/spreadsheetml/2017/richdata2" ref="A3:I3">
    <sortCondition ref="A3"/>
  </sortState>
  <mergeCells count="4">
    <mergeCell ref="G1:I1"/>
    <mergeCell ref="A1:C1"/>
    <mergeCell ref="D1:F1"/>
    <mergeCell ref="A2:B2"/>
  </mergeCells>
  <conditionalFormatting sqref="F2 I2 F4:F52 I4:I52">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294"/>
  <sheetViews>
    <sheetView workbookViewId="0">
      <pane xSplit="2" ySplit="3" topLeftCell="C4" activePane="bottomRight" state="frozen"/>
      <selection pane="bottomRight" activeCell="G4" sqref="G4"/>
      <selection pane="bottomLeft" activeCell="B20" sqref="B20"/>
      <selection pane="topRight" activeCell="B20" sqref="B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Canton Ice House</v>
      </c>
      <c r="B1" s="58"/>
      <c r="C1" s="58"/>
      <c r="D1" s="59" t="s">
        <v>12</v>
      </c>
      <c r="E1" s="59"/>
      <c r="F1" s="59"/>
      <c r="G1" s="57" t="s">
        <v>13</v>
      </c>
      <c r="H1" s="57"/>
      <c r="I1" s="57"/>
    </row>
    <row r="2" spans="1:9" ht="19.5" customHeight="1">
      <c r="A2" s="60" t="s">
        <v>2</v>
      </c>
      <c r="B2" s="60"/>
      <c r="C2" s="5">
        <f>SUM(C4:C52)</f>
        <v>0</v>
      </c>
      <c r="D2" s="5">
        <f>SUM(D4:D52)</f>
        <v>0</v>
      </c>
      <c r="E2" s="5">
        <f>C2-D2</f>
        <v>0</v>
      </c>
      <c r="F2" s="6">
        <f>IFERROR(E2/D2, 0)</f>
        <v>0</v>
      </c>
      <c r="G2" s="5">
        <f>SUM(G4:G52)</f>
        <v>0</v>
      </c>
      <c r="H2" s="7">
        <f>C2-G2</f>
        <v>0</v>
      </c>
      <c r="I2" s="6">
        <f>IFERROR(H2/G2, 0)</f>
        <v>0</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MA: Canton - Canton Ice House</v>
      </c>
      <c r="B4" s="9" t="str" cm="1">
        <f t="array" ref="B4">Sites[State]</f>
        <v>MA</v>
      </c>
      <c r="C4" s="18">
        <f>SUM(Apr!C4, May!C4, Jun!C4)</f>
        <v>0</v>
      </c>
      <c r="D4" s="11">
        <f>SUM(Apr!D4, May!D4, Jun!D4)</f>
        <v>0</v>
      </c>
      <c r="E4" s="11">
        <f>IF(AND(ISNUMBER(C4),ISNUMBER(D4)), C4-D4, "")</f>
        <v>0</v>
      </c>
      <c r="F4" s="12" t="str">
        <f>IFERROR(E4/D4, "")</f>
        <v/>
      </c>
      <c r="G4" s="13">
        <f>SUM(Apr!G4,May!G4,Jun!G4)</f>
        <v>0</v>
      </c>
      <c r="H4" s="13">
        <f>SUM(Apr!H4, May!H4, Jun!H4)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sheetData>
  <sortState xmlns:xlrd2="http://schemas.microsoft.com/office/spreadsheetml/2017/richdata2" ref="A3:I4">
    <sortCondition ref="A3:A4"/>
  </sortState>
  <mergeCells count="4">
    <mergeCell ref="G1:I1"/>
    <mergeCell ref="A1:C1"/>
    <mergeCell ref="D1:F1"/>
    <mergeCell ref="A2:B2"/>
  </mergeCells>
  <conditionalFormatting sqref="F2 I2 F4:F52 I4:I52">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294"/>
  <sheetViews>
    <sheetView workbookViewId="0">
      <pane xSplit="2" ySplit="3" topLeftCell="C4" activePane="bottomRight" state="frozen"/>
      <selection pane="bottomRight" activeCell="H8" sqref="H8"/>
      <selection pane="bottomLeft" activeCell="B20" sqref="B20"/>
      <selection pane="topRight" activeCell="B20" sqref="B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Canton Ice House</v>
      </c>
      <c r="B1" s="58"/>
      <c r="C1" s="58"/>
      <c r="D1" s="59" t="s">
        <v>14</v>
      </c>
      <c r="E1" s="59"/>
      <c r="F1" s="59"/>
      <c r="G1" s="57" t="s">
        <v>15</v>
      </c>
      <c r="H1" s="57"/>
      <c r="I1" s="57"/>
    </row>
    <row r="2" spans="1:9" ht="19.5" customHeight="1">
      <c r="A2" s="60" t="s">
        <v>2</v>
      </c>
      <c r="B2" s="60"/>
      <c r="C2" s="5">
        <f>SUM(C4:C52)</f>
        <v>0</v>
      </c>
      <c r="D2" s="5">
        <f>SUM(D4:D52)</f>
        <v>0</v>
      </c>
      <c r="E2" s="5">
        <f>C2-D2</f>
        <v>0</v>
      </c>
      <c r="F2" s="6">
        <f>IFERROR(E2/D2, 0)</f>
        <v>0</v>
      </c>
      <c r="G2" s="5">
        <f>SUM(G4:G52)</f>
        <v>0</v>
      </c>
      <c r="H2" s="7">
        <f>C2-G2</f>
        <v>0</v>
      </c>
      <c r="I2" s="6">
        <f>IFERROR(H2/G2, 0)</f>
        <v>0</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MA: Canton - Canton Ice House</v>
      </c>
      <c r="B4" s="9" t="str" cm="1">
        <f t="array" ref="B4">Sites[State]</f>
        <v>MA</v>
      </c>
      <c r="C4" s="18">
        <f>SUM(Jul!C4, Aug!C4, Sep!C4)</f>
        <v>0</v>
      </c>
      <c r="D4" s="11">
        <f>SUM(Jul!D4, Aug!D4, Sep!D4)</f>
        <v>0</v>
      </c>
      <c r="E4" s="11">
        <f>IF(AND(ISNUMBER(C4),ISNUMBER(D4)), C4-D4, "")</f>
        <v>0</v>
      </c>
      <c r="F4" s="12" t="str">
        <f>IFERROR(E4/D4, "")</f>
        <v/>
      </c>
      <c r="G4" s="13">
        <f>SUM(Jul!G4,Aug!G4,Sep!G4)</f>
        <v>0</v>
      </c>
      <c r="H4" s="13">
        <f>SUM(Jul!H4, Aug!H4, Sep!H4)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sheetData>
  <mergeCells count="4">
    <mergeCell ref="G1:I1"/>
    <mergeCell ref="A1:C1"/>
    <mergeCell ref="D1:F1"/>
    <mergeCell ref="A2:B2"/>
  </mergeCells>
  <conditionalFormatting sqref="F2 I2 F4:F52 I4:I52">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294"/>
  <sheetViews>
    <sheetView workbookViewId="0">
      <pane xSplit="2" ySplit="3" topLeftCell="C4" activePane="bottomRight" state="frozen"/>
      <selection pane="bottomRight" activeCell="F9" sqref="F9"/>
      <selection pane="bottomLeft" activeCell="B20" sqref="B20"/>
      <selection pane="topRight" activeCell="B20" sqref="B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Canton Ice House</v>
      </c>
      <c r="B1" s="58"/>
      <c r="C1" s="58"/>
      <c r="D1" s="59" t="s">
        <v>16</v>
      </c>
      <c r="E1" s="59"/>
      <c r="F1" s="59"/>
      <c r="G1" s="57" t="s">
        <v>17</v>
      </c>
      <c r="H1" s="57"/>
      <c r="I1" s="57"/>
    </row>
    <row r="2" spans="1:9" ht="19.5" customHeight="1">
      <c r="A2" s="60" t="s">
        <v>2</v>
      </c>
      <c r="B2" s="60"/>
      <c r="C2" s="5">
        <f>SUM(C4:C52)</f>
        <v>0</v>
      </c>
      <c r="D2" s="5">
        <f>SUM(D4:D52)</f>
        <v>0</v>
      </c>
      <c r="E2" s="5">
        <f>C2-D2</f>
        <v>0</v>
      </c>
      <c r="F2" s="6">
        <f>IFERROR(E2/D2, 0)</f>
        <v>0</v>
      </c>
      <c r="G2" s="5">
        <f>SUM(G4:G52)</f>
        <v>0</v>
      </c>
      <c r="H2" s="7">
        <f>C2-G2</f>
        <v>0</v>
      </c>
      <c r="I2" s="6">
        <f>IFERROR(H2/G2, 0)</f>
        <v>0</v>
      </c>
    </row>
    <row r="3" spans="1:9" ht="14.25" customHeight="1">
      <c r="A3" s="8" t="s">
        <v>3</v>
      </c>
      <c r="B3" s="8" t="s">
        <v>4</v>
      </c>
      <c r="C3" s="17" t="s">
        <v>5</v>
      </c>
      <c r="D3" s="26" t="s">
        <v>6</v>
      </c>
      <c r="E3" s="26" t="s">
        <v>7</v>
      </c>
      <c r="F3" s="27" t="s">
        <v>8</v>
      </c>
      <c r="G3" s="28" t="s">
        <v>9</v>
      </c>
      <c r="H3" s="29" t="s">
        <v>7</v>
      </c>
      <c r="I3" s="30" t="s">
        <v>8</v>
      </c>
    </row>
    <row r="4" spans="1:9" ht="15.6">
      <c r="A4" s="37" t="str" cm="1">
        <f t="array" ref="A4">Sites[Site]</f>
        <v>MA: Canton - Canton Ice House</v>
      </c>
      <c r="B4" s="9" t="str" cm="1">
        <f t="array" ref="B4">Sites[State]</f>
        <v>MA</v>
      </c>
      <c r="C4" s="18">
        <f>SUM(Oct!C4, Nov!C4, Dec!C4)</f>
        <v>0</v>
      </c>
      <c r="D4" s="11">
        <f>SUM(Oct!D4, Nov!D4, Dec!D4)</f>
        <v>0</v>
      </c>
      <c r="E4" s="11">
        <f>IF(AND(ISNUMBER(C4),ISNUMBER(D4)), C4-D4, "")</f>
        <v>0</v>
      </c>
      <c r="F4" s="12" t="str">
        <f>IFERROR(E4/D4, "")</f>
        <v/>
      </c>
      <c r="G4" s="13">
        <f>SUM(Oct!G4,Nov!G4,Dec!G4)</f>
        <v>0</v>
      </c>
      <c r="H4" s="13">
        <f>SUM(Oct!H4, Nov!H4, Dec!H4)</f>
        <v>0</v>
      </c>
      <c r="I4" s="14" t="str">
        <f>IFERROR(H4/G4, "")</f>
        <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sheetData>
  <mergeCells count="4">
    <mergeCell ref="G1:I1"/>
    <mergeCell ref="A1:C1"/>
    <mergeCell ref="D1:F1"/>
    <mergeCell ref="A2:B2"/>
  </mergeCells>
  <conditionalFormatting sqref="F2 I2 F4:F52 I4:I52">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293"/>
  <sheetViews>
    <sheetView tabSelected="1" zoomScale="70" zoomScaleNormal="70" workbookViewId="0">
      <pane xSplit="2" ySplit="3" topLeftCell="C4" activePane="bottomRight" state="frozen"/>
      <selection pane="bottomRight" activeCell="I12" sqref="I12"/>
      <selection pane="bottomLeft" activeCell="J20" sqref="J20"/>
      <selection pane="topRight" activeCell="J20" sqref="J20"/>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3.42578125" customWidth="1"/>
  </cols>
  <sheetData>
    <row r="1" spans="1:14" ht="19.5" customHeight="1">
      <c r="A1" s="58" t="str" cm="1">
        <f t="array" ref="A1">portfolio</f>
        <v>Canton Ice House</v>
      </c>
      <c r="B1" s="58"/>
      <c r="C1" s="58"/>
      <c r="D1" s="59" t="s">
        <v>18</v>
      </c>
      <c r="E1" s="59"/>
      <c r="F1" s="59"/>
      <c r="G1" s="57" t="s">
        <v>19</v>
      </c>
      <c r="H1" s="57"/>
      <c r="I1" s="57"/>
      <c r="J1" s="4"/>
      <c r="K1" s="4"/>
      <c r="L1" s="4"/>
    </row>
    <row r="2" spans="1:14" ht="19.5" customHeight="1">
      <c r="A2" s="60" t="s">
        <v>2</v>
      </c>
      <c r="B2" s="60"/>
      <c r="C2" s="5">
        <f>SUM(C4:C51)</f>
        <v>10725.92</v>
      </c>
      <c r="D2" s="5">
        <f>SUM(D4:D51)</f>
        <v>0</v>
      </c>
      <c r="E2" s="5">
        <f>C2-D2</f>
        <v>10725.92</v>
      </c>
      <c r="F2" s="6">
        <f>IFERROR(E2/D2, 0)</f>
        <v>0</v>
      </c>
      <c r="G2" s="5">
        <f>SUM(G4:G51)</f>
        <v>0</v>
      </c>
      <c r="H2" s="7">
        <f>C2-G2</f>
        <v>10725.92</v>
      </c>
      <c r="I2" s="6">
        <f>IFERROR(H2/G2, 0)</f>
        <v>0</v>
      </c>
      <c r="J2" s="20" t="str">
        <f ca="1">IF(AND(TODAY()&gt;DATE(2024, 1, 1), COUNTA(Sites[Site])&lt;&gt;(COUNT(C:C)-1)), "Some sites are missing actual data; if new sites were added, make sure they are aligned correctly (including prior months!)", "")</f>
        <v/>
      </c>
      <c r="K2" s="4"/>
      <c r="L2" s="4"/>
    </row>
    <row r="3" spans="1:14" ht="14.25" customHeight="1">
      <c r="A3" s="21" t="s">
        <v>3</v>
      </c>
      <c r="B3" s="8" t="s">
        <v>4</v>
      </c>
      <c r="C3" s="17" t="s">
        <v>5</v>
      </c>
      <c r="D3" s="26" t="s">
        <v>6</v>
      </c>
      <c r="E3" s="26" t="s">
        <v>7</v>
      </c>
      <c r="F3" s="27" t="s">
        <v>8</v>
      </c>
      <c r="G3" s="31" t="s">
        <v>9</v>
      </c>
      <c r="H3" s="29" t="s">
        <v>7</v>
      </c>
      <c r="I3" s="30" t="s">
        <v>8</v>
      </c>
      <c r="J3" s="19" t="s">
        <v>20</v>
      </c>
      <c r="K3" s="19" t="s">
        <v>21</v>
      </c>
      <c r="L3" s="19" t="s">
        <v>22</v>
      </c>
    </row>
    <row r="4" spans="1:14" ht="86.45">
      <c r="A4" s="42" t="str" cm="1">
        <f t="array" ref="A4">Sites[Site]</f>
        <v>MA: Canton - Canton Ice House</v>
      </c>
      <c r="B4" s="22" t="str" cm="1">
        <f t="array" ref="B4">Sites[State]</f>
        <v>MA</v>
      </c>
      <c r="C4" s="55">
        <v>10725.92</v>
      </c>
      <c r="D4" s="56" t="s">
        <v>23</v>
      </c>
      <c r="E4" s="11" t="str">
        <f>IF(AND(ISNUMBER(C4),ISNUMBER(D4)), C4-D4, "")</f>
        <v/>
      </c>
      <c r="F4" s="34" t="str">
        <f>IFERROR(E4/D4, "")</f>
        <v/>
      </c>
      <c r="G4" s="49" t="s">
        <v>23</v>
      </c>
      <c r="H4" s="13" t="str">
        <f>IF(AND(ISNUMBER(C4),ISNUMBER(G4)), C4-G4, "")</f>
        <v/>
      </c>
      <c r="I4" s="14" t="str">
        <f>IFERROR(H4/G4, "")</f>
        <v/>
      </c>
      <c r="J4" s="53" t="s">
        <v>24</v>
      </c>
      <c r="K4" s="54" t="s">
        <v>25</v>
      </c>
      <c r="L4" s="53" t="s">
        <v>26</v>
      </c>
      <c r="M4" s="51" t="s">
        <v>27</v>
      </c>
      <c r="N4" s="51" t="s">
        <v>28</v>
      </c>
    </row>
    <row r="5" spans="1:14" ht="14.45">
      <c r="A5" s="15"/>
      <c r="B5" s="24"/>
      <c r="C5" s="15"/>
      <c r="D5" s="15"/>
      <c r="E5" s="15"/>
      <c r="F5" s="16"/>
      <c r="G5" s="15"/>
      <c r="H5" s="15"/>
      <c r="I5" s="16"/>
      <c r="J5" s="15"/>
      <c r="K5" s="15"/>
      <c r="L5" s="15"/>
    </row>
    <row r="6" spans="1:14" ht="14.45">
      <c r="A6" s="15"/>
      <c r="B6" s="24"/>
      <c r="C6" s="15"/>
      <c r="D6" s="15"/>
      <c r="E6" s="15"/>
      <c r="F6" s="16"/>
      <c r="G6" s="15"/>
      <c r="H6" s="15"/>
      <c r="I6" s="16"/>
      <c r="J6" s="15"/>
      <c r="K6" s="15"/>
      <c r="L6" s="15"/>
    </row>
    <row r="7" spans="1:14" ht="14.45">
      <c r="A7" s="15"/>
      <c r="B7" s="24"/>
      <c r="C7" s="15"/>
      <c r="D7" s="15"/>
      <c r="E7" s="15"/>
      <c r="F7" s="16"/>
      <c r="G7" s="15"/>
      <c r="H7" s="15"/>
      <c r="I7" s="16"/>
      <c r="J7" s="15"/>
      <c r="K7" s="15"/>
      <c r="L7" s="15"/>
    </row>
    <row r="8" spans="1:14" ht="14.45">
      <c r="A8" s="15"/>
      <c r="B8" s="24"/>
      <c r="C8" s="15"/>
      <c r="D8" s="15"/>
      <c r="E8" s="15"/>
      <c r="F8" s="16"/>
      <c r="G8" s="15"/>
      <c r="H8" s="15"/>
      <c r="I8" s="16"/>
      <c r="J8" s="15"/>
      <c r="K8" s="15"/>
      <c r="L8" s="15"/>
    </row>
    <row r="9" spans="1:14" ht="14.45">
      <c r="A9" s="15"/>
      <c r="B9" s="24"/>
      <c r="C9" s="15"/>
      <c r="D9" s="15"/>
      <c r="E9" s="15"/>
      <c r="F9" s="16"/>
      <c r="G9" s="15"/>
      <c r="H9" s="15"/>
      <c r="I9" s="16"/>
      <c r="J9" s="15"/>
      <c r="K9" s="15"/>
      <c r="L9" s="15"/>
    </row>
    <row r="10" spans="1:14" ht="14.45">
      <c r="A10" s="15"/>
      <c r="B10" s="24"/>
      <c r="C10" s="15"/>
      <c r="D10" s="15"/>
      <c r="E10" s="15"/>
      <c r="F10" s="16"/>
      <c r="G10" s="15"/>
      <c r="H10" s="15"/>
      <c r="I10" s="16"/>
      <c r="J10" s="15"/>
      <c r="K10" s="15"/>
      <c r="L10" s="15"/>
    </row>
    <row r="11" spans="1:14" ht="14.45">
      <c r="A11" s="15"/>
      <c r="B11" s="24"/>
      <c r="C11" s="15"/>
      <c r="D11" s="15"/>
      <c r="E11" s="15"/>
      <c r="F11" s="16"/>
      <c r="G11" s="15"/>
      <c r="H11" s="15"/>
      <c r="I11" s="16"/>
      <c r="J11" s="15"/>
      <c r="K11" s="15"/>
      <c r="L11" s="15"/>
    </row>
    <row r="12" spans="1:14" ht="14.45">
      <c r="A12" s="15"/>
      <c r="B12" s="24"/>
      <c r="C12" s="15"/>
      <c r="D12" s="43"/>
      <c r="E12" s="15"/>
      <c r="F12" s="16"/>
      <c r="G12" s="15"/>
      <c r="H12" s="15"/>
      <c r="I12" s="16"/>
      <c r="J12" s="15"/>
      <c r="K12" s="15"/>
      <c r="L12" s="15"/>
    </row>
    <row r="13" spans="1:14" ht="14.45">
      <c r="A13" s="15"/>
      <c r="B13" s="24"/>
      <c r="C13" s="15"/>
      <c r="D13" s="15"/>
      <c r="E13" s="15"/>
      <c r="F13" s="16"/>
      <c r="G13" s="15"/>
      <c r="H13" s="15"/>
      <c r="I13" s="16"/>
      <c r="J13" s="15"/>
      <c r="K13" s="15"/>
      <c r="L13" s="15"/>
    </row>
    <row r="14" spans="1:14" ht="14.45">
      <c r="A14" s="15"/>
      <c r="B14" s="24"/>
      <c r="C14" s="15"/>
      <c r="D14" s="15"/>
      <c r="E14" s="15"/>
      <c r="F14" s="16"/>
      <c r="G14" s="15"/>
      <c r="H14" s="15"/>
      <c r="I14" s="16"/>
      <c r="J14" s="15"/>
      <c r="K14" s="15"/>
      <c r="L14" s="15"/>
    </row>
    <row r="15" spans="1:14" ht="14.45">
      <c r="A15" s="15"/>
      <c r="B15" s="24"/>
      <c r="C15" s="15"/>
      <c r="D15" s="15"/>
      <c r="E15" s="15"/>
      <c r="F15" s="16"/>
      <c r="G15" s="15"/>
      <c r="H15" s="15"/>
      <c r="I15" s="16"/>
      <c r="J15" s="15"/>
      <c r="K15" s="15"/>
      <c r="L15" s="15"/>
    </row>
    <row r="16" spans="1:14"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sheetData>
  <mergeCells count="4">
    <mergeCell ref="D1:F1"/>
    <mergeCell ref="A1:C1"/>
    <mergeCell ref="G1:I1"/>
    <mergeCell ref="A2:B2"/>
  </mergeCells>
  <conditionalFormatting sqref="F2 I2 I4:I51 F5:F51">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8499" xr:uid="{B983E17E-F26A-411C-97FD-37F2E093EDD3}"/>
    <hyperlink ref="M4" r:id="rId2" display="https://us3.assetplanner.com/service_request?ID=101650" xr:uid="{45D492F3-616B-46F3-A56A-6FF56928BD05}"/>
    <hyperlink ref="N4" r:id="rId3" display="https://us3.assetplanner.com/service_request?ID=110346" xr:uid="{2500AE2C-0514-44A3-BE5A-D90B7F391502}"/>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294"/>
  <sheetViews>
    <sheetView zoomScale="70" zoomScaleNormal="7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Canton Ice House</v>
      </c>
      <c r="B1" s="58"/>
      <c r="C1" s="58"/>
      <c r="D1" s="59" t="s">
        <v>29</v>
      </c>
      <c r="E1" s="59"/>
      <c r="F1" s="59"/>
      <c r="G1" s="57" t="s">
        <v>30</v>
      </c>
      <c r="H1" s="57"/>
      <c r="I1" s="57"/>
      <c r="J1" s="4"/>
      <c r="K1" s="4"/>
    </row>
    <row r="2" spans="1:12" ht="19.5" customHeight="1">
      <c r="A2" s="60" t="s">
        <v>2</v>
      </c>
      <c r="B2" s="60"/>
      <c r="C2" s="5">
        <f>SUM(C4:C52)</f>
        <v>0</v>
      </c>
      <c r="D2" s="5">
        <f>SUM(D4:D52)</f>
        <v>0</v>
      </c>
      <c r="E2" s="5">
        <f>C2-D2</f>
        <v>0</v>
      </c>
      <c r="F2" s="6">
        <f>IFERROR(E2/D2, 0)</f>
        <v>0</v>
      </c>
      <c r="G2" s="5">
        <f>SUM(G4:G52)</f>
        <v>0</v>
      </c>
      <c r="H2" s="7">
        <f>C2-G2</f>
        <v>0</v>
      </c>
      <c r="I2" s="6">
        <f>IFERROR(H2/G2, 0)</f>
        <v>0</v>
      </c>
      <c r="J2" s="20"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98.25" customHeight="1">
      <c r="A4" s="42" t="str" cm="1">
        <f t="array" ref="A4">Sites[Site]</f>
        <v>MA: Canton - Canton Ice House</v>
      </c>
      <c r="B4" s="22" t="str" cm="1">
        <f t="array" ref="B4">Sites[State]</f>
        <v>MA</v>
      </c>
      <c r="C4" s="18"/>
      <c r="D4" s="11" t="s">
        <v>23</v>
      </c>
      <c r="E4" s="11" t="str">
        <f>IF(AND(ISNUMBER(C4),ISNUMBER(D4)), C4-D4, "")</f>
        <v/>
      </c>
      <c r="F4" s="12" t="str">
        <f>IFERROR(E4/D4, "")</f>
        <v/>
      </c>
      <c r="G4" s="13" t="s">
        <v>23</v>
      </c>
      <c r="H4" s="13" t="str">
        <f>IF(AND(ISNUMBER(C4),ISNUMBER(G4)), C4-G4, "")</f>
        <v/>
      </c>
      <c r="I4" s="14" t="str">
        <f>IFERROR(H4/G4, "")</f>
        <v/>
      </c>
      <c r="J4" s="39"/>
      <c r="K4" s="44"/>
      <c r="L4" s="46"/>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294"/>
  <sheetViews>
    <sheetView workbookViewId="0">
      <pane xSplit="2" ySplit="3" topLeftCell="H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58" t="str" cm="1">
        <f t="array" ref="A1">portfolio</f>
        <v>Canton Ice House</v>
      </c>
      <c r="B1" s="58"/>
      <c r="C1" s="58"/>
      <c r="D1" s="59" t="s">
        <v>31</v>
      </c>
      <c r="E1" s="59"/>
      <c r="F1" s="59"/>
      <c r="G1" s="57" t="s">
        <v>32</v>
      </c>
      <c r="H1" s="57"/>
      <c r="I1" s="57"/>
      <c r="J1" s="4"/>
      <c r="K1" s="4"/>
    </row>
    <row r="2" spans="1:14" ht="19.5" customHeight="1">
      <c r="A2" s="60" t="s">
        <v>2</v>
      </c>
      <c r="B2" s="60"/>
      <c r="C2" s="5">
        <f>SUM(C4:C52)</f>
        <v>0</v>
      </c>
      <c r="D2" s="5">
        <f>SUM(D4:D52)</f>
        <v>0</v>
      </c>
      <c r="E2" s="5">
        <f>C2-D2</f>
        <v>0</v>
      </c>
      <c r="F2" s="6">
        <f>IFERROR(E2/D2, 0)</f>
        <v>0</v>
      </c>
      <c r="G2" s="5">
        <f>SUM(G4:G52)</f>
        <v>0</v>
      </c>
      <c r="H2" s="7">
        <f>C2-G2</f>
        <v>0</v>
      </c>
      <c r="I2" s="6">
        <f>IFERROR(H2/G2, 0)</f>
        <v>0</v>
      </c>
      <c r="J2" s="20"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17" t="s">
        <v>5</v>
      </c>
      <c r="D3" s="26" t="s">
        <v>6</v>
      </c>
      <c r="E3" s="26" t="s">
        <v>7</v>
      </c>
      <c r="F3" s="27" t="s">
        <v>8</v>
      </c>
      <c r="G3" s="28" t="s">
        <v>9</v>
      </c>
      <c r="H3" s="29" t="s">
        <v>7</v>
      </c>
      <c r="I3" s="30" t="s">
        <v>8</v>
      </c>
      <c r="J3" s="19" t="s">
        <v>20</v>
      </c>
      <c r="K3" s="19" t="s">
        <v>21</v>
      </c>
    </row>
    <row r="4" spans="1:14" ht="97.5" customHeight="1">
      <c r="A4" s="41" t="str" cm="1">
        <f t="array" ref="A4">Sites[Site]</f>
        <v>MA: Canton - Canton Ice House</v>
      </c>
      <c r="B4" s="22" t="str" cm="1">
        <f t="array" ref="B4">Sites[State]</f>
        <v>MA</v>
      </c>
      <c r="C4" s="40"/>
      <c r="D4" s="11" t="s">
        <v>23</v>
      </c>
      <c r="E4" s="11" t="str">
        <f>IF(AND(ISNUMBER(C4),ISNUMBER(D4)), C4-D4, "")</f>
        <v/>
      </c>
      <c r="F4" s="12" t="str">
        <f>IFERROR(E4/D4, "")</f>
        <v/>
      </c>
      <c r="G4" s="13" t="s">
        <v>23</v>
      </c>
      <c r="H4" s="13" t="str">
        <f>IF(AND(ISNUMBER(C4),ISNUMBER(G4)), C4-G4, "")</f>
        <v/>
      </c>
      <c r="I4" s="14" t="str">
        <f>IFERROR(H4/G4, "")</f>
        <v/>
      </c>
      <c r="J4" s="32"/>
      <c r="K4" s="45"/>
      <c r="L4" s="46"/>
      <c r="M4" s="46"/>
      <c r="N4" s="46"/>
    </row>
    <row r="5" spans="1:14" ht="14.45">
      <c r="A5" s="15"/>
      <c r="B5" s="24"/>
      <c r="C5" s="15"/>
      <c r="D5" s="15"/>
      <c r="E5" s="15"/>
      <c r="F5" s="16"/>
      <c r="G5" s="15"/>
      <c r="H5" s="15"/>
      <c r="I5" s="16"/>
      <c r="J5" s="15"/>
      <c r="K5" s="15"/>
    </row>
    <row r="6" spans="1:14" ht="14.45">
      <c r="A6" s="15"/>
      <c r="B6" s="24"/>
      <c r="C6" s="15"/>
      <c r="D6" s="15"/>
      <c r="E6" s="15"/>
      <c r="F6" s="16"/>
      <c r="G6" s="15"/>
      <c r="H6" s="15"/>
      <c r="I6" s="16"/>
      <c r="J6" s="15"/>
      <c r="K6" s="15"/>
    </row>
    <row r="7" spans="1:14" ht="14.45">
      <c r="A7" s="15"/>
      <c r="B7" s="24"/>
      <c r="C7" s="15"/>
      <c r="D7" s="15"/>
      <c r="E7" s="15"/>
      <c r="F7" s="16"/>
      <c r="G7" s="15"/>
      <c r="H7" s="15"/>
      <c r="I7" s="16"/>
      <c r="J7" s="15"/>
      <c r="K7" s="15"/>
    </row>
    <row r="8" spans="1:14" ht="14.45">
      <c r="A8" s="15"/>
      <c r="B8" s="24"/>
      <c r="C8" s="15"/>
      <c r="D8" s="15"/>
      <c r="E8" s="15"/>
      <c r="F8" s="16"/>
      <c r="G8" s="15"/>
      <c r="H8" s="15"/>
      <c r="I8" s="16"/>
      <c r="J8" s="15"/>
      <c r="K8" s="15"/>
    </row>
    <row r="9" spans="1:14" ht="14.45">
      <c r="A9" s="15"/>
      <c r="B9" s="24"/>
      <c r="C9" s="15"/>
      <c r="D9" s="15"/>
      <c r="E9" s="15"/>
      <c r="F9" s="16"/>
      <c r="G9" s="15"/>
      <c r="H9" s="15"/>
      <c r="I9" s="16"/>
      <c r="J9" s="15"/>
      <c r="K9" s="15"/>
    </row>
    <row r="10" spans="1:14" ht="14.45">
      <c r="A10" s="15"/>
      <c r="B10" s="24"/>
      <c r="C10" s="15"/>
      <c r="D10" s="15"/>
      <c r="E10" s="15"/>
      <c r="F10" s="16"/>
      <c r="G10" s="15"/>
      <c r="H10" s="15"/>
      <c r="I10" s="16"/>
      <c r="J10" s="15"/>
      <c r="K10" s="15"/>
    </row>
    <row r="11" spans="1:14" ht="14.45">
      <c r="A11" s="15"/>
      <c r="B11" s="24"/>
      <c r="C11" s="15"/>
      <c r="D11" s="15"/>
      <c r="E11" s="15"/>
      <c r="F11" s="16"/>
      <c r="G11" s="15"/>
      <c r="H11" s="15"/>
      <c r="I11" s="16"/>
      <c r="J11" s="15"/>
      <c r="K11" s="15"/>
    </row>
    <row r="12" spans="1:14" ht="14.45">
      <c r="A12" s="15"/>
      <c r="B12" s="24"/>
      <c r="C12" s="15"/>
      <c r="D12" s="15"/>
      <c r="E12" s="15"/>
      <c r="F12" s="16"/>
      <c r="G12" s="15"/>
      <c r="H12" s="15"/>
      <c r="I12" s="16"/>
      <c r="J12" s="15"/>
      <c r="K12" s="15"/>
    </row>
    <row r="13" spans="1:14" ht="14.45">
      <c r="A13" s="15"/>
      <c r="B13" s="24"/>
      <c r="C13" s="15"/>
      <c r="D13" s="15"/>
      <c r="E13" s="15"/>
      <c r="F13" s="16"/>
      <c r="G13" s="15"/>
      <c r="H13" s="15"/>
      <c r="I13" s="16"/>
      <c r="J13" s="15"/>
      <c r="K13" s="15"/>
    </row>
    <row r="14" spans="1:14" ht="14.45">
      <c r="A14" s="15"/>
      <c r="B14" s="24"/>
      <c r="C14" s="15"/>
      <c r="D14" s="15"/>
      <c r="E14" s="15"/>
      <c r="F14" s="16"/>
      <c r="G14" s="15"/>
      <c r="H14" s="15"/>
      <c r="I14" s="16"/>
      <c r="J14" s="15"/>
      <c r="K14" s="15"/>
    </row>
    <row r="15" spans="1:14" ht="14.45">
      <c r="A15" s="15"/>
      <c r="B15" s="24"/>
      <c r="C15" s="15"/>
      <c r="D15" s="15"/>
      <c r="E15" s="15"/>
      <c r="F15" s="16"/>
      <c r="G15" s="15"/>
      <c r="H15" s="15"/>
      <c r="I15" s="16"/>
      <c r="J15" s="15"/>
      <c r="K15" s="15"/>
    </row>
    <row r="16" spans="1:14"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294"/>
  <sheetViews>
    <sheetView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47"/>
  </cols>
  <sheetData>
    <row r="1" spans="1:13" ht="19.5" customHeight="1">
      <c r="A1" s="58" t="str" cm="1">
        <f t="array" ref="A1">portfolio</f>
        <v>Canton Ice House</v>
      </c>
      <c r="B1" s="58"/>
      <c r="C1" s="58"/>
      <c r="D1" s="59" t="s">
        <v>33</v>
      </c>
      <c r="E1" s="59"/>
      <c r="F1" s="59"/>
      <c r="G1" s="57" t="s">
        <v>34</v>
      </c>
      <c r="H1" s="57"/>
      <c r="I1" s="57"/>
      <c r="J1" s="4"/>
      <c r="K1" s="4"/>
    </row>
    <row r="2" spans="1:13" ht="19.5" customHeight="1">
      <c r="A2" s="60" t="s">
        <v>2</v>
      </c>
      <c r="B2" s="60"/>
      <c r="C2" s="5">
        <f>SUM(C4:C52)</f>
        <v>0</v>
      </c>
      <c r="D2" s="5">
        <f>SUM(D4:D52)</f>
        <v>0</v>
      </c>
      <c r="E2" s="5">
        <f>C2-D2</f>
        <v>0</v>
      </c>
      <c r="F2" s="6">
        <f>IFERROR(E2/D2, 0)</f>
        <v>0</v>
      </c>
      <c r="G2" s="5">
        <f>SUM(G4:G52)</f>
        <v>0</v>
      </c>
      <c r="H2" s="7">
        <f>C2-G2</f>
        <v>0</v>
      </c>
      <c r="I2" s="6">
        <f>IFERROR(H2/G2, 0)</f>
        <v>0</v>
      </c>
      <c r="J2" s="20"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17" t="s">
        <v>5</v>
      </c>
      <c r="D3" s="26" t="s">
        <v>6</v>
      </c>
      <c r="E3" s="26" t="s">
        <v>7</v>
      </c>
      <c r="F3" s="27" t="s">
        <v>8</v>
      </c>
      <c r="G3" s="28" t="s">
        <v>9</v>
      </c>
      <c r="H3" s="29" t="s">
        <v>7</v>
      </c>
      <c r="I3" s="30" t="s">
        <v>8</v>
      </c>
      <c r="J3" s="19" t="s">
        <v>20</v>
      </c>
      <c r="K3" s="19" t="s">
        <v>21</v>
      </c>
    </row>
    <row r="4" spans="1:13" ht="68.25" customHeight="1">
      <c r="A4" s="41" t="str" cm="1">
        <f t="array" ref="A4">Sites[Site]</f>
        <v>MA: Canton - Canton Ice House</v>
      </c>
      <c r="B4" s="22" t="str" cm="1">
        <f t="array" ref="B4">Sites[State]</f>
        <v>MA</v>
      </c>
      <c r="C4" s="18"/>
      <c r="D4" s="11">
        <v>0</v>
      </c>
      <c r="E4" s="11" t="str">
        <f>IF(AND(ISNUMBER(C4),ISNUMBER(D4)), C4-D4, "")</f>
        <v/>
      </c>
      <c r="F4" s="12" t="str">
        <f>IFERROR(E4/D4, "")</f>
        <v/>
      </c>
      <c r="G4" s="13">
        <v>0</v>
      </c>
      <c r="H4" s="13" t="str">
        <f>IF(AND(ISNUMBER(C4),ISNUMBER(G4)), C4-G4, "")</f>
        <v/>
      </c>
      <c r="I4" s="14" t="str">
        <f>IFERROR(H4/G4, "")</f>
        <v/>
      </c>
      <c r="J4" s="32"/>
      <c r="K4" s="45"/>
      <c r="L4" s="48"/>
      <c r="M4" s="48"/>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294"/>
  <sheetViews>
    <sheetView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47"/>
  </cols>
  <sheetData>
    <row r="1" spans="1:16" ht="19.5" customHeight="1">
      <c r="A1" s="58" t="str" cm="1">
        <f t="array" ref="A1">portfolio</f>
        <v>Canton Ice House</v>
      </c>
      <c r="B1" s="58"/>
      <c r="C1" s="58"/>
      <c r="D1" s="59" t="s">
        <v>35</v>
      </c>
      <c r="E1" s="59"/>
      <c r="F1" s="59"/>
      <c r="G1" s="57" t="s">
        <v>36</v>
      </c>
      <c r="H1" s="57"/>
      <c r="I1" s="57"/>
      <c r="J1" s="4"/>
      <c r="K1" s="4"/>
    </row>
    <row r="2" spans="1:16" ht="19.5" customHeight="1">
      <c r="A2" s="60" t="s">
        <v>2</v>
      </c>
      <c r="B2" s="60"/>
      <c r="C2" s="5">
        <f>SUM(C4:C52)</f>
        <v>0</v>
      </c>
      <c r="D2" s="5">
        <f>SUM(D4:D52)</f>
        <v>0</v>
      </c>
      <c r="E2" s="5">
        <f>C2-D2</f>
        <v>0</v>
      </c>
      <c r="F2" s="6">
        <f>IFERROR(E2/D2, 0)</f>
        <v>0</v>
      </c>
      <c r="G2" s="5">
        <f>SUM(G4:G52)</f>
        <v>0</v>
      </c>
      <c r="H2" s="7">
        <f>C2-G2</f>
        <v>0</v>
      </c>
      <c r="I2" s="6">
        <f>IFERROR(H2/G2, 0)</f>
        <v>0</v>
      </c>
      <c r="J2" s="20"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17" t="s">
        <v>5</v>
      </c>
      <c r="D3" s="26" t="s">
        <v>6</v>
      </c>
      <c r="E3" s="26" t="s">
        <v>7</v>
      </c>
      <c r="F3" s="27" t="s">
        <v>8</v>
      </c>
      <c r="G3" s="28" t="s">
        <v>9</v>
      </c>
      <c r="H3" s="29" t="s">
        <v>7</v>
      </c>
      <c r="I3" s="30" t="s">
        <v>8</v>
      </c>
      <c r="J3" s="19" t="s">
        <v>20</v>
      </c>
      <c r="K3" s="19" t="s">
        <v>21</v>
      </c>
    </row>
    <row r="4" spans="1:16" ht="212.25" customHeight="1">
      <c r="A4" s="41" t="str" cm="1">
        <f t="array" ref="A4">Sites[Site]</f>
        <v>MA: Canton - Canton Ice House</v>
      </c>
      <c r="B4" s="22" t="str" cm="1">
        <f t="array" ref="B4">Sites[State]</f>
        <v>MA</v>
      </c>
      <c r="C4" s="18"/>
      <c r="D4" s="11">
        <v>0</v>
      </c>
      <c r="E4" s="11" t="str">
        <f>IF(AND(ISNUMBER(C4),ISNUMBER(D4)), C4-D4, "")</f>
        <v/>
      </c>
      <c r="F4" s="12" t="str">
        <f>IFERROR(E4/D4, "")</f>
        <v/>
      </c>
      <c r="G4" s="13">
        <v>0</v>
      </c>
      <c r="H4" s="13" t="str">
        <f>IF(AND(ISNUMBER(C4),ISNUMBER(G4)), C4-G4, "")</f>
        <v/>
      </c>
      <c r="I4" s="14" t="str">
        <f>IFERROR(H4/G4, "")</f>
        <v/>
      </c>
      <c r="J4" s="32"/>
      <c r="K4" s="45"/>
      <c r="L4" s="48"/>
      <c r="M4" s="48"/>
      <c r="N4" s="48"/>
      <c r="O4" s="48"/>
      <c r="P4" s="48"/>
    </row>
    <row r="5" spans="1:16" ht="14.45">
      <c r="A5" s="15"/>
      <c r="B5" s="24"/>
      <c r="C5" s="15"/>
      <c r="D5" s="15"/>
      <c r="E5" s="15"/>
      <c r="F5" s="16"/>
      <c r="G5" s="15"/>
      <c r="H5" s="15"/>
      <c r="I5" s="16"/>
      <c r="J5" s="15"/>
      <c r="K5" s="15"/>
    </row>
    <row r="6" spans="1:16" ht="14.45">
      <c r="A6" s="15"/>
      <c r="B6" s="24"/>
      <c r="C6" s="15"/>
      <c r="D6" s="15"/>
      <c r="E6" s="15"/>
      <c r="F6" s="16"/>
      <c r="G6" s="15"/>
      <c r="H6" s="15"/>
      <c r="I6" s="16"/>
      <c r="J6" s="15"/>
      <c r="K6" s="15"/>
    </row>
    <row r="7" spans="1:16" ht="14.45">
      <c r="A7" s="15"/>
      <c r="B7" s="24"/>
      <c r="C7" s="15"/>
      <c r="D7" s="15"/>
      <c r="E7" s="15"/>
      <c r="F7" s="16"/>
      <c r="G7" s="15"/>
      <c r="H7" s="15"/>
      <c r="I7" s="16"/>
      <c r="J7" s="15"/>
      <c r="K7" s="15"/>
    </row>
    <row r="8" spans="1:16" ht="14.45">
      <c r="A8" s="15"/>
      <c r="B8" s="24"/>
      <c r="C8" s="15"/>
      <c r="D8" s="15"/>
      <c r="E8" s="15"/>
      <c r="F8" s="16"/>
      <c r="G8" s="15"/>
      <c r="H8" s="15"/>
      <c r="I8" s="16"/>
      <c r="J8" s="15"/>
      <c r="K8" s="15"/>
    </row>
    <row r="9" spans="1:16" ht="14.45">
      <c r="A9" s="15"/>
      <c r="B9" s="24"/>
      <c r="C9" s="15"/>
      <c r="D9" s="15"/>
      <c r="E9" s="15"/>
      <c r="F9" s="16"/>
      <c r="G9" s="15"/>
      <c r="H9" s="15"/>
      <c r="I9" s="16"/>
      <c r="J9" s="15"/>
      <c r="K9" s="15"/>
    </row>
    <row r="10" spans="1:16" ht="14.45">
      <c r="A10" s="15"/>
      <c r="B10" s="24"/>
      <c r="C10" s="15"/>
      <c r="D10" s="15"/>
      <c r="E10" s="15"/>
      <c r="F10" s="16"/>
      <c r="G10" s="15"/>
      <c r="H10" s="15"/>
      <c r="I10" s="16"/>
      <c r="J10" s="15"/>
      <c r="K10" s="15"/>
    </row>
    <row r="11" spans="1:16" ht="14.45">
      <c r="A11" s="15"/>
      <c r="B11" s="24"/>
      <c r="C11" s="15"/>
      <c r="D11" s="15"/>
      <c r="E11" s="15"/>
      <c r="F11" s="16"/>
      <c r="G11" s="15"/>
      <c r="H11" s="15"/>
      <c r="I11" s="16"/>
      <c r="J11" s="15"/>
      <c r="K11" s="15"/>
    </row>
    <row r="12" spans="1:16" ht="14.45">
      <c r="A12" s="15"/>
      <c r="B12" s="24"/>
      <c r="C12" s="15"/>
      <c r="D12" s="15"/>
      <c r="E12" s="15"/>
      <c r="F12" s="16"/>
      <c r="G12" s="15"/>
      <c r="H12" s="15"/>
      <c r="I12" s="16"/>
      <c r="J12" s="15"/>
      <c r="K12" s="15"/>
    </row>
    <row r="13" spans="1:16" ht="14.45">
      <c r="A13" s="15"/>
      <c r="B13" s="24"/>
      <c r="C13" s="15"/>
      <c r="D13" s="15"/>
      <c r="E13" s="15"/>
      <c r="F13" s="16"/>
      <c r="G13" s="15"/>
      <c r="H13" s="15"/>
      <c r="I13" s="16"/>
      <c r="J13" s="15"/>
      <c r="K13" s="15"/>
    </row>
    <row r="14" spans="1:16" ht="14.45">
      <c r="A14" s="15"/>
      <c r="B14" s="24"/>
      <c r="C14" s="15"/>
      <c r="D14" s="15"/>
      <c r="E14" s="15"/>
      <c r="F14" s="16"/>
      <c r="G14" s="15"/>
      <c r="H14" s="15"/>
      <c r="I14" s="16"/>
      <c r="J14" s="15"/>
      <c r="K14" s="15"/>
    </row>
    <row r="15" spans="1:16" ht="14.45">
      <c r="A15" s="15"/>
      <c r="B15" s="24"/>
      <c r="C15" s="15"/>
      <c r="D15" s="15"/>
      <c r="E15" s="15"/>
      <c r="F15" s="16"/>
      <c r="G15" s="15"/>
      <c r="H15" s="15"/>
      <c r="I15" s="16"/>
      <c r="J15" s="15"/>
      <c r="K15" s="15"/>
    </row>
    <row r="16" spans="1:16"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294"/>
  <sheetViews>
    <sheetView zoomScale="80" zoomScaleNormal="8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47"/>
  </cols>
  <sheetData>
    <row r="1" spans="1:15" ht="19.5" customHeight="1">
      <c r="A1" s="58" t="str" cm="1">
        <f t="array" ref="A1">portfolio</f>
        <v>Canton Ice House</v>
      </c>
      <c r="B1" s="58"/>
      <c r="C1" s="58"/>
      <c r="D1" s="59" t="s">
        <v>37</v>
      </c>
      <c r="E1" s="59"/>
      <c r="F1" s="59"/>
      <c r="G1" s="57" t="s">
        <v>38</v>
      </c>
      <c r="H1" s="57"/>
      <c r="I1" s="57"/>
      <c r="J1" s="4"/>
      <c r="K1" s="4"/>
    </row>
    <row r="2" spans="1:15" ht="19.5" customHeight="1">
      <c r="A2" s="60" t="s">
        <v>2</v>
      </c>
      <c r="B2" s="60"/>
      <c r="C2" s="5">
        <f>SUM(C4:C52)</f>
        <v>0</v>
      </c>
      <c r="D2" s="5">
        <f>SUM(D4:D52)</f>
        <v>0</v>
      </c>
      <c r="E2" s="5">
        <f>C2-D2</f>
        <v>0</v>
      </c>
      <c r="F2" s="6">
        <f>IFERROR(E2/D2, 0)</f>
        <v>0</v>
      </c>
      <c r="G2" s="5">
        <f>SUM(G4:G52)</f>
        <v>0</v>
      </c>
      <c r="H2" s="7">
        <f>C2-G2</f>
        <v>0</v>
      </c>
      <c r="I2" s="6">
        <f>IFERROR(H2/G2, 0)</f>
        <v>0</v>
      </c>
      <c r="J2" s="20"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15.6">
      <c r="A4" s="23" t="str" cm="1">
        <f t="array" ref="A4">Sites[Site]</f>
        <v>MA: Canton - Canton Ice House</v>
      </c>
      <c r="B4" s="22" t="str" cm="1">
        <f t="array" ref="B4">Sites[State]</f>
        <v>MA</v>
      </c>
      <c r="C4" s="18"/>
      <c r="D4" s="11">
        <v>0</v>
      </c>
      <c r="E4" s="11" t="str">
        <f>IF(AND(ISNUMBER(C4),ISNUMBER(D4)), C4-D4, "")</f>
        <v/>
      </c>
      <c r="F4" s="12" t="str">
        <f>IFERROR(E4/D4, "")</f>
        <v/>
      </c>
      <c r="G4" s="13">
        <v>0</v>
      </c>
      <c r="H4" s="13" t="str">
        <f>IF(AND(ISNUMBER(C4),ISNUMBER(G4)), C4-G4, "")</f>
        <v/>
      </c>
      <c r="I4" s="14" t="str">
        <f>IFERROR(H4/G4, "")</f>
        <v/>
      </c>
      <c r="J4" s="32"/>
      <c r="K4" s="45"/>
      <c r="L4" s="48"/>
      <c r="M4" s="48"/>
      <c r="N4" s="48"/>
      <c r="O4" s="48"/>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294"/>
  <sheetViews>
    <sheetView zoomScale="80" zoomScaleNormal="8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58" t="str" cm="1">
        <f t="array" ref="A1">portfolio</f>
        <v>Canton Ice House</v>
      </c>
      <c r="B1" s="58"/>
      <c r="C1" s="58"/>
      <c r="D1" s="59" t="s">
        <v>39</v>
      </c>
      <c r="E1" s="59"/>
      <c r="F1" s="59"/>
      <c r="G1" s="57" t="s">
        <v>40</v>
      </c>
      <c r="H1" s="57"/>
      <c r="I1" s="57"/>
      <c r="J1" s="4"/>
      <c r="K1" s="4"/>
    </row>
    <row r="2" spans="1:15" ht="19.5" customHeight="1">
      <c r="A2" s="60" t="s">
        <v>2</v>
      </c>
      <c r="B2" s="60"/>
      <c r="C2" s="5">
        <f>SUM(C4:C52)</f>
        <v>0</v>
      </c>
      <c r="D2" s="5">
        <f>SUM(D4:D52)</f>
        <v>0</v>
      </c>
      <c r="E2" s="5">
        <f>C2-D2</f>
        <v>0</v>
      </c>
      <c r="F2" s="6">
        <f>IFERROR(E2/D2, 0)</f>
        <v>0</v>
      </c>
      <c r="G2" s="5">
        <f>SUM(G4:G52)</f>
        <v>0</v>
      </c>
      <c r="H2" s="7">
        <f>C2-G2</f>
        <v>0</v>
      </c>
      <c r="I2" s="6">
        <f>IFERROR(H2/G2, 0)</f>
        <v>0</v>
      </c>
      <c r="J2" s="20"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114.75" customHeight="1">
      <c r="A4" s="23" t="str" cm="1">
        <f t="array" ref="A4">Sites[Site]</f>
        <v>MA: Canton - Canton Ice House</v>
      </c>
      <c r="B4" s="22" t="str" cm="1">
        <f t="array" ref="B4">Sites[State]</f>
        <v>MA</v>
      </c>
      <c r="C4" s="18"/>
      <c r="D4" s="11" t="s">
        <v>23</v>
      </c>
      <c r="E4" s="11" t="str">
        <f>IF(AND(ISNUMBER(C4),ISNUMBER(D4)), C4-D4, "")</f>
        <v/>
      </c>
      <c r="F4" s="12" t="str">
        <f>IFERROR(E4/D4, "")</f>
        <v/>
      </c>
      <c r="G4" s="49" t="s">
        <v>23</v>
      </c>
      <c r="H4" s="13" t="str">
        <f>IF(AND(ISNUMBER(C4),ISNUMBER(G4)), C4-G4, "")</f>
        <v/>
      </c>
      <c r="I4" s="14" t="str">
        <f>IFERROR(H4/G4, "")</f>
        <v/>
      </c>
      <c r="J4" s="32"/>
      <c r="K4" s="45"/>
      <c r="L4" s="48"/>
      <c r="M4" s="48"/>
      <c r="N4" s="48"/>
      <c r="O4" s="48"/>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sortState xmlns:xlrd2="http://schemas.microsoft.com/office/spreadsheetml/2017/richdata2" ref="A3:K4">
    <sortCondition ref="A3:A4"/>
  </sortState>
  <mergeCells count="4">
    <mergeCell ref="G1:I1"/>
    <mergeCell ref="A1:C1"/>
    <mergeCell ref="D1:F1"/>
    <mergeCell ref="A2:B2"/>
  </mergeCells>
  <conditionalFormatting sqref="F2 I2 F4:F52 I4:I52">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294"/>
  <sheetViews>
    <sheetView zoomScale="70" zoomScaleNormal="7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9.140625" style="50"/>
  </cols>
  <sheetData>
    <row r="1" spans="1:15" ht="19.5" customHeight="1">
      <c r="A1" s="58" t="str" cm="1">
        <f t="array" ref="A1">portfolio</f>
        <v>Canton Ice House</v>
      </c>
      <c r="B1" s="58"/>
      <c r="C1" s="58"/>
      <c r="D1" s="59" t="s">
        <v>41</v>
      </c>
      <c r="E1" s="59"/>
      <c r="F1" s="59"/>
      <c r="G1" s="57" t="s">
        <v>42</v>
      </c>
      <c r="H1" s="57"/>
      <c r="I1" s="57"/>
      <c r="J1" s="4"/>
      <c r="K1" s="4"/>
    </row>
    <row r="2" spans="1:15" ht="19.5" customHeight="1">
      <c r="A2" s="60" t="s">
        <v>2</v>
      </c>
      <c r="B2" s="60"/>
      <c r="C2" s="5">
        <f>SUM(C4:C52)</f>
        <v>0</v>
      </c>
      <c r="D2" s="5">
        <f>SUM(D4:D52)</f>
        <v>0</v>
      </c>
      <c r="E2" s="5">
        <f>C2-D2</f>
        <v>0</v>
      </c>
      <c r="F2" s="6">
        <f>IFERROR(E2/D2, 0)</f>
        <v>0</v>
      </c>
      <c r="G2" s="5">
        <f>SUM(G4:G52)</f>
        <v>0</v>
      </c>
      <c r="H2" s="7">
        <f>C2-G2</f>
        <v>0</v>
      </c>
      <c r="I2" s="6">
        <f>IFERROR(H2/G2, 0)</f>
        <v>0</v>
      </c>
      <c r="J2" s="20"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15.6">
      <c r="A4" s="23" t="str" cm="1">
        <f t="array" ref="A4">Sites[Site]</f>
        <v>MA: Canton - Canton Ice House</v>
      </c>
      <c r="B4" s="22" t="str" cm="1">
        <f t="array" ref="B4">Sites[State]</f>
        <v>MA</v>
      </c>
      <c r="C4" s="18"/>
      <c r="D4" s="11" t="s">
        <v>23</v>
      </c>
      <c r="E4" s="11" t="str">
        <f>IF(AND(ISNUMBER(C4),ISNUMBER(D4)), C4-D4, "")</f>
        <v/>
      </c>
      <c r="F4" s="12" t="str">
        <f>IFERROR(E4/D4, "")</f>
        <v/>
      </c>
      <c r="G4" s="13" t="s">
        <v>23</v>
      </c>
      <c r="H4" s="13" t="str">
        <f>IF(AND(ISNUMBER(C4),ISNUMBER(G4)), C4-G4, "")</f>
        <v/>
      </c>
      <c r="I4" s="14" t="str">
        <f>IFERROR(H4/G4, "")</f>
        <v/>
      </c>
      <c r="J4" s="32"/>
      <c r="K4" s="45"/>
      <c r="L4" s="46"/>
      <c r="M4" s="46"/>
      <c r="N4" s="46"/>
      <c r="O4" s="46"/>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294"/>
  <sheetViews>
    <sheetView zoomScale="80" zoomScaleNormal="8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9.140625" style="50"/>
  </cols>
  <sheetData>
    <row r="1" spans="1:15" ht="19.5" customHeight="1">
      <c r="A1" s="58" t="str" cm="1">
        <f t="array" ref="A1">portfolio</f>
        <v>Canton Ice House</v>
      </c>
      <c r="B1" s="58"/>
      <c r="C1" s="58"/>
      <c r="D1" s="59" t="s">
        <v>43</v>
      </c>
      <c r="E1" s="59"/>
      <c r="F1" s="59"/>
      <c r="G1" s="57" t="s">
        <v>44</v>
      </c>
      <c r="H1" s="57"/>
      <c r="I1" s="57"/>
      <c r="J1" s="4"/>
      <c r="K1" s="4"/>
    </row>
    <row r="2" spans="1:15" ht="19.5" customHeight="1">
      <c r="A2" s="60" t="s">
        <v>2</v>
      </c>
      <c r="B2" s="60"/>
      <c r="C2" s="5">
        <f>SUM(C4:C52)</f>
        <v>0</v>
      </c>
      <c r="D2" s="5">
        <f>SUM(D4:D52)</f>
        <v>0</v>
      </c>
      <c r="E2" s="5">
        <f>C2-D2</f>
        <v>0</v>
      </c>
      <c r="F2" s="6">
        <f>IFERROR(E2/D2, 0)</f>
        <v>0</v>
      </c>
      <c r="G2" s="5">
        <f>SUM(G4:G52)</f>
        <v>0</v>
      </c>
      <c r="H2" s="7">
        <f>C2-G2</f>
        <v>0</v>
      </c>
      <c r="I2" s="6">
        <f>IFERROR(H2/G2, 0)</f>
        <v>0</v>
      </c>
      <c r="J2" s="20"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8" t="s">
        <v>3</v>
      </c>
      <c r="B3" s="8" t="s">
        <v>4</v>
      </c>
      <c r="C3" s="17" t="s">
        <v>5</v>
      </c>
      <c r="D3" s="26" t="s">
        <v>6</v>
      </c>
      <c r="E3" s="26" t="s">
        <v>7</v>
      </c>
      <c r="F3" s="27" t="s">
        <v>8</v>
      </c>
      <c r="G3" s="28" t="s">
        <v>9</v>
      </c>
      <c r="H3" s="29" t="s">
        <v>7</v>
      </c>
      <c r="I3" s="30" t="s">
        <v>8</v>
      </c>
      <c r="J3" s="19" t="s">
        <v>20</v>
      </c>
      <c r="K3" s="19" t="s">
        <v>21</v>
      </c>
    </row>
    <row r="4" spans="1:15" ht="70.5" customHeight="1">
      <c r="A4" s="41" t="str" cm="1">
        <f t="array" ref="A4">Sites[Site]</f>
        <v>MA: Canton - Canton Ice House</v>
      </c>
      <c r="B4" s="22" t="str" cm="1">
        <f t="array" ref="B4">Sites[State]</f>
        <v>MA</v>
      </c>
      <c r="C4" s="18"/>
      <c r="D4" s="11" t="s">
        <v>23</v>
      </c>
      <c r="E4" s="11" t="str">
        <f>IF(AND(ISNUMBER(C4),ISNUMBER(D4)), C4-D4, "")</f>
        <v/>
      </c>
      <c r="F4" s="12" t="str">
        <f>IFERROR(E4/D4, "")</f>
        <v/>
      </c>
      <c r="G4" s="49" t="s">
        <v>23</v>
      </c>
      <c r="H4" s="13" t="str">
        <f>IF(AND(ISNUMBER(C4),ISNUMBER(G4)), C4-G4, "")</f>
        <v/>
      </c>
      <c r="I4" s="14" t="str">
        <f>IFERROR(H4/G4, "")</f>
        <v/>
      </c>
      <c r="J4" s="32"/>
      <c r="K4" s="45"/>
      <c r="L4" s="46"/>
      <c r="M4" s="46"/>
      <c r="N4" s="46"/>
      <c r="O4" s="46"/>
    </row>
    <row r="5" spans="1:15" ht="14.45">
      <c r="A5" s="15"/>
      <c r="B5" s="24"/>
      <c r="C5" s="15"/>
      <c r="D5" s="15"/>
      <c r="E5" s="15"/>
      <c r="F5" s="16"/>
      <c r="G5" s="15"/>
      <c r="H5" s="15"/>
      <c r="I5" s="16"/>
      <c r="J5" s="15"/>
      <c r="K5" s="15"/>
    </row>
    <row r="6" spans="1:15" ht="14.45">
      <c r="A6" s="15"/>
      <c r="B6" s="24"/>
      <c r="C6" s="15"/>
      <c r="D6" s="15"/>
      <c r="E6" s="15"/>
      <c r="F6" s="16"/>
      <c r="G6" s="15"/>
      <c r="H6" s="15"/>
      <c r="I6" s="16"/>
      <c r="J6" s="15"/>
      <c r="K6" s="15"/>
    </row>
    <row r="7" spans="1:15" ht="14.45">
      <c r="A7" s="15"/>
      <c r="B7" s="24"/>
      <c r="C7" s="15"/>
      <c r="D7" s="15"/>
      <c r="E7" s="15"/>
      <c r="F7" s="16"/>
      <c r="G7" s="15"/>
      <c r="H7" s="15"/>
      <c r="I7" s="16"/>
      <c r="J7" s="15"/>
      <c r="K7" s="15"/>
    </row>
    <row r="8" spans="1:15" ht="14.45">
      <c r="A8" s="15"/>
      <c r="B8" s="24"/>
      <c r="C8" s="15"/>
      <c r="D8" s="15"/>
      <c r="E8" s="15"/>
      <c r="F8" s="16"/>
      <c r="G8" s="15"/>
      <c r="H8" s="15"/>
      <c r="I8" s="16"/>
      <c r="J8" s="15"/>
      <c r="K8" s="15"/>
    </row>
    <row r="9" spans="1:15" ht="14.45">
      <c r="A9" s="15"/>
      <c r="B9" s="24"/>
      <c r="C9" s="15"/>
      <c r="D9" s="15"/>
      <c r="E9" s="15"/>
      <c r="F9" s="16"/>
      <c r="G9" s="15"/>
      <c r="H9" s="15"/>
      <c r="I9" s="16"/>
      <c r="J9" s="15"/>
      <c r="K9" s="15"/>
    </row>
    <row r="10" spans="1:15" ht="14.45">
      <c r="A10" s="15"/>
      <c r="B10" s="24"/>
      <c r="C10" s="15"/>
      <c r="D10" s="15"/>
      <c r="E10" s="15"/>
      <c r="F10" s="16"/>
      <c r="G10" s="15"/>
      <c r="H10" s="15"/>
      <c r="I10" s="16"/>
      <c r="J10" s="15"/>
      <c r="K10" s="15"/>
    </row>
    <row r="11" spans="1:15" ht="14.45">
      <c r="A11" s="15"/>
      <c r="B11" s="24"/>
      <c r="C11" s="15"/>
      <c r="D11" s="15"/>
      <c r="E11" s="15"/>
      <c r="F11" s="16"/>
      <c r="G11" s="15"/>
      <c r="H11" s="15"/>
      <c r="I11" s="16"/>
      <c r="J11" s="15"/>
      <c r="K11" s="15"/>
    </row>
    <row r="12" spans="1:15" ht="14.45">
      <c r="A12" s="15"/>
      <c r="B12" s="24"/>
      <c r="C12" s="15"/>
      <c r="D12" s="15"/>
      <c r="E12" s="15"/>
      <c r="F12" s="16"/>
      <c r="G12" s="15"/>
      <c r="H12" s="15"/>
      <c r="I12" s="16"/>
      <c r="J12" s="15"/>
      <c r="K12" s="15"/>
    </row>
    <row r="13" spans="1:15" ht="14.45">
      <c r="A13" s="15"/>
      <c r="B13" s="24"/>
      <c r="C13" s="15"/>
      <c r="D13" s="15"/>
      <c r="E13" s="15"/>
      <c r="F13" s="16"/>
      <c r="G13" s="15"/>
      <c r="H13" s="15"/>
      <c r="I13" s="16"/>
      <c r="J13" s="15"/>
      <c r="K13" s="15"/>
    </row>
    <row r="14" spans="1:15" ht="14.45">
      <c r="A14" s="15"/>
      <c r="B14" s="24"/>
      <c r="C14" s="15"/>
      <c r="D14" s="15"/>
      <c r="E14" s="15"/>
      <c r="F14" s="16"/>
      <c r="G14" s="15"/>
      <c r="H14" s="15"/>
      <c r="I14" s="16"/>
      <c r="J14" s="15"/>
      <c r="K14" s="15"/>
    </row>
    <row r="15" spans="1:15" ht="14.45">
      <c r="A15" s="15"/>
      <c r="B15" s="24"/>
      <c r="C15" s="15"/>
      <c r="D15" s="15"/>
      <c r="E15" s="15"/>
      <c r="F15" s="16"/>
      <c r="G15" s="15"/>
      <c r="H15" s="15"/>
      <c r="I15" s="16"/>
      <c r="J15" s="15"/>
      <c r="K15" s="15"/>
    </row>
    <row r="16" spans="1:15"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P294"/>
  <sheetViews>
    <sheetView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 customWidth="1"/>
  </cols>
  <sheetData>
    <row r="1" spans="1:16" ht="19.5" customHeight="1">
      <c r="A1" s="58" t="str" cm="1">
        <f t="array" ref="A1">portfolio</f>
        <v>Canton Ice House</v>
      </c>
      <c r="B1" s="58"/>
      <c r="C1" s="58"/>
      <c r="D1" s="59" t="s">
        <v>45</v>
      </c>
      <c r="E1" s="59"/>
      <c r="F1" s="59"/>
      <c r="G1" s="57" t="s">
        <v>46</v>
      </c>
      <c r="H1" s="57"/>
      <c r="I1" s="57"/>
      <c r="J1" s="4"/>
      <c r="K1" s="4"/>
    </row>
    <row r="2" spans="1:16" ht="19.5" customHeight="1">
      <c r="A2" s="60" t="s">
        <v>2</v>
      </c>
      <c r="B2" s="60"/>
      <c r="C2" s="5">
        <f>SUM(C4:C52)</f>
        <v>0</v>
      </c>
      <c r="D2" s="5">
        <f>SUM(D4:D52)</f>
        <v>0</v>
      </c>
      <c r="E2" s="5">
        <f>C2-D2</f>
        <v>0</v>
      </c>
      <c r="F2" s="6">
        <f>IFERROR(E2/D2, 0)</f>
        <v>0</v>
      </c>
      <c r="G2" s="5">
        <f>SUM(G4:G52)</f>
        <v>0</v>
      </c>
      <c r="H2" s="7">
        <f>C2-G2</f>
        <v>0</v>
      </c>
      <c r="I2" s="6">
        <f>IFERROR(H2/G2, 0)</f>
        <v>0</v>
      </c>
      <c r="J2" s="20"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8" t="s">
        <v>3</v>
      </c>
      <c r="B3" s="8" t="s">
        <v>4</v>
      </c>
      <c r="C3" s="17" t="s">
        <v>5</v>
      </c>
      <c r="D3" s="26" t="s">
        <v>6</v>
      </c>
      <c r="E3" s="26" t="s">
        <v>7</v>
      </c>
      <c r="F3" s="27" t="s">
        <v>8</v>
      </c>
      <c r="G3" s="28" t="s">
        <v>9</v>
      </c>
      <c r="H3" s="29" t="s">
        <v>7</v>
      </c>
      <c r="I3" s="30" t="s">
        <v>8</v>
      </c>
      <c r="J3" s="19" t="s">
        <v>20</v>
      </c>
      <c r="K3" s="19" t="s">
        <v>21</v>
      </c>
      <c r="L3" s="19" t="s">
        <v>22</v>
      </c>
    </row>
    <row r="4" spans="1:16" ht="15.6">
      <c r="A4" s="23" t="str" cm="1">
        <f t="array" ref="A4">Sites[Site]</f>
        <v>MA: Canton - Canton Ice House</v>
      </c>
      <c r="B4" s="22" t="str" cm="1">
        <f t="array" ref="B4">Sites[State]</f>
        <v>MA</v>
      </c>
      <c r="C4" s="18"/>
      <c r="D4" s="11" t="s">
        <v>23</v>
      </c>
      <c r="E4" s="11" t="str">
        <f>IF(AND(ISNUMBER(C4),ISNUMBER(D4)), C4-D4, "")</f>
        <v/>
      </c>
      <c r="F4" s="12" t="str">
        <f>IFERROR(E4/D4, "")</f>
        <v/>
      </c>
      <c r="G4" s="49" t="s">
        <v>23</v>
      </c>
      <c r="H4" s="13" t="str">
        <f>IF(AND(ISNUMBER(C4),ISNUMBER(G4)), C4-G4, "")</f>
        <v/>
      </c>
      <c r="I4" s="14" t="str">
        <f>IFERROR(H4/G4, "")</f>
        <v/>
      </c>
      <c r="J4" s="32"/>
      <c r="K4" s="45"/>
      <c r="L4" s="32"/>
      <c r="M4" s="51"/>
      <c r="N4" s="51"/>
      <c r="O4" s="51"/>
      <c r="P4" s="51"/>
    </row>
    <row r="5" spans="1:16" ht="14.45">
      <c r="A5" s="15"/>
      <c r="B5" s="24"/>
      <c r="C5" s="15"/>
      <c r="D5" s="15"/>
      <c r="E5" s="15"/>
      <c r="F5" s="16"/>
      <c r="G5" s="15"/>
      <c r="H5" s="15"/>
      <c r="I5" s="16"/>
      <c r="J5" s="15"/>
      <c r="K5" s="15"/>
    </row>
    <row r="6" spans="1:16" ht="14.45">
      <c r="A6" s="15"/>
      <c r="B6" s="24"/>
      <c r="C6" s="15"/>
      <c r="D6" s="15"/>
      <c r="E6" s="15"/>
      <c r="F6" s="16"/>
      <c r="G6" s="15"/>
      <c r="H6" s="15"/>
      <c r="I6" s="16"/>
      <c r="J6" s="15"/>
      <c r="K6" s="15"/>
    </row>
    <row r="7" spans="1:16" ht="14.45">
      <c r="A7" s="15"/>
      <c r="B7" s="24"/>
      <c r="C7" s="15"/>
      <c r="D7" s="15"/>
      <c r="E7" s="15"/>
      <c r="F7" s="16"/>
      <c r="G7" s="15"/>
      <c r="H7" s="15"/>
      <c r="I7" s="16"/>
      <c r="J7" s="15"/>
      <c r="K7" s="15"/>
    </row>
    <row r="8" spans="1:16" ht="14.45">
      <c r="A8" s="15"/>
      <c r="B8" s="24"/>
      <c r="C8" s="15"/>
      <c r="D8" s="15"/>
      <c r="E8" s="15"/>
      <c r="F8" s="16"/>
      <c r="G8" s="15"/>
      <c r="H8" s="15"/>
      <c r="I8" s="16"/>
      <c r="J8" s="15"/>
      <c r="K8" s="15"/>
    </row>
    <row r="9" spans="1:16" ht="14.45">
      <c r="A9" s="15"/>
      <c r="B9" s="24"/>
      <c r="C9" s="15"/>
      <c r="D9" s="15"/>
      <c r="E9" s="15"/>
      <c r="F9" s="16"/>
      <c r="G9" s="15"/>
      <c r="H9" s="15"/>
      <c r="I9" s="16"/>
      <c r="J9" s="15"/>
      <c r="K9" s="15"/>
    </row>
    <row r="10" spans="1:16" ht="14.45">
      <c r="A10" s="15"/>
      <c r="B10" s="24"/>
      <c r="C10" s="15"/>
      <c r="D10" s="15"/>
      <c r="E10" s="15"/>
      <c r="F10" s="16"/>
      <c r="G10" s="15"/>
      <c r="H10" s="15"/>
      <c r="I10" s="16"/>
      <c r="J10" s="15"/>
      <c r="K10" s="15"/>
    </row>
    <row r="11" spans="1:16" ht="14.45">
      <c r="A11" s="15"/>
      <c r="B11" s="24"/>
      <c r="C11" s="15"/>
      <c r="D11" s="15"/>
      <c r="E11" s="15"/>
      <c r="F11" s="16"/>
      <c r="G11" s="15"/>
      <c r="H11" s="15"/>
      <c r="I11" s="16"/>
      <c r="J11" s="15"/>
      <c r="K11" s="15"/>
    </row>
    <row r="12" spans="1:16" ht="14.45">
      <c r="A12" s="15"/>
      <c r="B12" s="24"/>
      <c r="C12" s="15"/>
      <c r="D12" s="15"/>
      <c r="E12" s="15"/>
      <c r="F12" s="16"/>
      <c r="G12" s="15"/>
      <c r="H12" s="15"/>
      <c r="I12" s="16"/>
      <c r="J12" s="15"/>
      <c r="K12" s="15"/>
    </row>
    <row r="13" spans="1:16" ht="14.45">
      <c r="A13" s="15"/>
      <c r="B13" s="24"/>
      <c r="C13" s="15"/>
      <c r="D13" s="15"/>
      <c r="E13" s="15"/>
      <c r="F13" s="16"/>
      <c r="G13" s="15"/>
      <c r="H13" s="15"/>
      <c r="I13" s="16"/>
      <c r="J13" s="15"/>
      <c r="K13" s="15"/>
    </row>
    <row r="14" spans="1:16" ht="14.45">
      <c r="A14" s="15"/>
      <c r="B14" s="24"/>
      <c r="C14" s="15"/>
      <c r="D14" s="15"/>
      <c r="E14" s="15"/>
      <c r="F14" s="16"/>
      <c r="G14" s="15"/>
      <c r="H14" s="15"/>
      <c r="I14" s="16"/>
      <c r="J14" s="15"/>
      <c r="K14" s="15"/>
    </row>
    <row r="15" spans="1:16" ht="14.45">
      <c r="A15" s="15"/>
      <c r="B15" s="24"/>
      <c r="C15" s="15"/>
      <c r="D15" s="15"/>
      <c r="E15" s="15"/>
      <c r="F15" s="16"/>
      <c r="G15" s="15"/>
      <c r="H15" s="15"/>
      <c r="I15" s="16"/>
      <c r="J15" s="15"/>
      <c r="K15" s="15"/>
    </row>
    <row r="16" spans="1:16"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294"/>
  <sheetViews>
    <sheetView zoomScale="70" zoomScaleNormal="7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customWidth="1"/>
    <col min="12" max="12" width="14.5703125" customWidth="1"/>
  </cols>
  <sheetData>
    <row r="1" spans="1:13" ht="19.5" customHeight="1">
      <c r="A1" s="58" t="str" cm="1">
        <f t="array" ref="A1">portfolio</f>
        <v>Canton Ice House</v>
      </c>
      <c r="B1" s="58"/>
      <c r="C1" s="58"/>
      <c r="D1" s="59" t="s">
        <v>47</v>
      </c>
      <c r="E1" s="59"/>
      <c r="F1" s="59"/>
      <c r="G1" s="57" t="s">
        <v>48</v>
      </c>
      <c r="H1" s="57"/>
      <c r="I1" s="57"/>
      <c r="J1" s="4"/>
      <c r="K1" s="4"/>
    </row>
    <row r="2" spans="1:13" ht="19.5" customHeight="1">
      <c r="A2" s="60" t="s">
        <v>2</v>
      </c>
      <c r="B2" s="60"/>
      <c r="C2" s="5">
        <f>SUM(C4:C52)</f>
        <v>0</v>
      </c>
      <c r="D2" s="5">
        <f>SUM(D4:D52)</f>
        <v>0</v>
      </c>
      <c r="E2" s="5">
        <f>C2-D2</f>
        <v>0</v>
      </c>
      <c r="F2" s="6">
        <f>IFERROR(E2/D2, 0)</f>
        <v>0</v>
      </c>
      <c r="G2" s="5">
        <f>SUM(G4:G52)</f>
        <v>0</v>
      </c>
      <c r="H2" s="7">
        <f>C2-G2</f>
        <v>0</v>
      </c>
      <c r="I2" s="6">
        <f>IFERROR(H2/G2, 0)</f>
        <v>0</v>
      </c>
      <c r="J2" s="20"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8" t="s">
        <v>3</v>
      </c>
      <c r="B3" s="8" t="s">
        <v>4</v>
      </c>
      <c r="C3" s="17" t="s">
        <v>5</v>
      </c>
      <c r="D3" s="26" t="s">
        <v>6</v>
      </c>
      <c r="E3" s="26" t="s">
        <v>7</v>
      </c>
      <c r="F3" s="27" t="s">
        <v>8</v>
      </c>
      <c r="G3" s="28" t="s">
        <v>9</v>
      </c>
      <c r="H3" s="29" t="s">
        <v>7</v>
      </c>
      <c r="I3" s="30" t="s">
        <v>8</v>
      </c>
      <c r="J3" s="19" t="s">
        <v>20</v>
      </c>
      <c r="K3" s="19" t="s">
        <v>21</v>
      </c>
      <c r="L3" s="19" t="s">
        <v>22</v>
      </c>
    </row>
    <row r="4" spans="1:13" ht="99" customHeight="1">
      <c r="A4" s="23" t="str" cm="1">
        <f t="array" ref="A4">Sites[Site]</f>
        <v>MA: Canton - Canton Ice House</v>
      </c>
      <c r="B4" s="22" t="str" cm="1">
        <f t="array" ref="B4">Sites[State]</f>
        <v>MA</v>
      </c>
      <c r="C4" s="18"/>
      <c r="D4" s="11" t="s">
        <v>23</v>
      </c>
      <c r="E4" s="11" t="str">
        <f>IF(AND(ISNUMBER(C4),ISNUMBER(D4)), C4-D4, "")</f>
        <v/>
      </c>
      <c r="F4" s="12" t="str">
        <f>IFERROR(E4/D4, "")</f>
        <v/>
      </c>
      <c r="G4" s="52" t="s">
        <v>23</v>
      </c>
      <c r="H4" s="13" t="str">
        <f>IF(AND(ISNUMBER(C4),ISNUMBER(G4)), C4-G4, "")</f>
        <v/>
      </c>
      <c r="I4" s="14" t="str">
        <f>IFERROR(H4/G4, "")</f>
        <v/>
      </c>
      <c r="J4" s="32"/>
      <c r="K4" s="45"/>
      <c r="L4" s="32"/>
      <c r="M4" s="48"/>
    </row>
    <row r="5" spans="1:13" ht="14.45">
      <c r="A5" s="15"/>
      <c r="B5" s="24"/>
      <c r="C5" s="15"/>
      <c r="D5" s="15"/>
      <c r="E5" s="15"/>
      <c r="F5" s="16"/>
      <c r="G5" s="15"/>
      <c r="H5" s="15"/>
      <c r="I5" s="16"/>
      <c r="J5" s="15"/>
      <c r="K5" s="15"/>
    </row>
    <row r="6" spans="1:13" ht="14.45">
      <c r="A6" s="15"/>
      <c r="B6" s="24"/>
      <c r="C6" s="15"/>
      <c r="D6" s="15"/>
      <c r="E6" s="15"/>
      <c r="F6" s="16"/>
      <c r="G6" s="15"/>
      <c r="H6" s="15"/>
      <c r="I6" s="16"/>
      <c r="J6" s="15"/>
      <c r="K6" s="15"/>
    </row>
    <row r="7" spans="1:13" ht="14.45">
      <c r="A7" s="15"/>
      <c r="B7" s="24"/>
      <c r="C7" s="15"/>
      <c r="D7" s="15"/>
      <c r="E7" s="15"/>
      <c r="F7" s="16"/>
      <c r="G7" s="15"/>
      <c r="H7" s="15"/>
      <c r="I7" s="16"/>
      <c r="J7" s="15"/>
      <c r="K7" s="15"/>
    </row>
    <row r="8" spans="1:13" ht="14.45">
      <c r="A8" s="15"/>
      <c r="B8" s="24"/>
      <c r="C8" s="15"/>
      <c r="D8" s="15"/>
      <c r="E8" s="15"/>
      <c r="F8" s="16"/>
      <c r="G8" s="15"/>
      <c r="H8" s="15"/>
      <c r="I8" s="16"/>
      <c r="J8" s="15"/>
      <c r="K8" s="15"/>
    </row>
    <row r="9" spans="1:13" ht="14.45">
      <c r="A9" s="15"/>
      <c r="B9" s="24"/>
      <c r="C9" s="15"/>
      <c r="D9" s="15"/>
      <c r="E9" s="15"/>
      <c r="F9" s="16"/>
      <c r="G9" s="15"/>
      <c r="H9" s="15"/>
      <c r="I9" s="16"/>
      <c r="J9" s="15"/>
      <c r="K9" s="15"/>
    </row>
    <row r="10" spans="1:13" ht="14.45">
      <c r="A10" s="15"/>
      <c r="B10" s="24"/>
      <c r="C10" s="15"/>
      <c r="D10" s="15"/>
      <c r="E10" s="15"/>
      <c r="F10" s="16"/>
      <c r="G10" s="15"/>
      <c r="H10" s="15"/>
      <c r="I10" s="16"/>
      <c r="J10" s="15"/>
      <c r="K10" s="15"/>
    </row>
    <row r="11" spans="1:13" ht="14.45">
      <c r="A11" s="15"/>
      <c r="B11" s="24"/>
      <c r="C11" s="15"/>
      <c r="D11" s="15"/>
      <c r="E11" s="15"/>
      <c r="F11" s="16"/>
      <c r="G11" s="15"/>
      <c r="H11" s="15"/>
      <c r="I11" s="16"/>
      <c r="J11" s="15"/>
      <c r="K11" s="15"/>
    </row>
    <row r="12" spans="1:13" ht="14.45">
      <c r="A12" s="15"/>
      <c r="B12" s="24"/>
      <c r="C12" s="15"/>
      <c r="D12" s="15"/>
      <c r="E12" s="15"/>
      <c r="F12" s="16"/>
      <c r="G12" s="15"/>
      <c r="H12" s="15"/>
      <c r="I12" s="16"/>
      <c r="J12" s="15"/>
      <c r="K12" s="15"/>
    </row>
    <row r="13" spans="1:13" ht="14.45">
      <c r="A13" s="15"/>
      <c r="B13" s="24"/>
      <c r="C13" s="15"/>
      <c r="D13" s="15"/>
      <c r="E13" s="15"/>
      <c r="F13" s="16"/>
      <c r="G13" s="15"/>
      <c r="H13" s="15"/>
      <c r="I13" s="16"/>
      <c r="J13" s="15"/>
      <c r="K13" s="15"/>
    </row>
    <row r="14" spans="1:13" ht="14.45">
      <c r="A14" s="15"/>
      <c r="B14" s="24"/>
      <c r="C14" s="15"/>
      <c r="D14" s="15"/>
      <c r="E14" s="15"/>
      <c r="F14" s="16"/>
      <c r="G14" s="15"/>
      <c r="H14" s="15"/>
      <c r="I14" s="16"/>
      <c r="J14" s="15"/>
      <c r="K14" s="15"/>
    </row>
    <row r="15" spans="1:13" ht="14.45">
      <c r="A15" s="15"/>
      <c r="B15" s="24"/>
      <c r="C15" s="15"/>
      <c r="D15" s="15"/>
      <c r="E15" s="15"/>
      <c r="F15" s="16"/>
      <c r="G15" s="15"/>
      <c r="H15" s="15"/>
      <c r="I15" s="16"/>
      <c r="J15" s="15"/>
      <c r="K15" s="15"/>
    </row>
    <row r="16" spans="1:13"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294"/>
  <sheetViews>
    <sheetView zoomScale="70" zoomScaleNormal="70" workbookViewId="0">
      <pane xSplit="2" ySplit="3" topLeftCell="C4" activePane="bottomRight" state="frozen"/>
      <selection pane="bottomRight" activeCell="D17" sqref="D17"/>
      <selection pane="bottomLeft" activeCell="D17" sqref="D17"/>
      <selection pane="topRight" activeCell="D17" sqref="D17"/>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4.5703125" customWidth="1"/>
  </cols>
  <sheetData>
    <row r="1" spans="1:14" ht="19.5" customHeight="1">
      <c r="A1" s="58" t="str" cm="1">
        <f t="array" ref="A1">portfolio</f>
        <v>Canton Ice House</v>
      </c>
      <c r="B1" s="58"/>
      <c r="C1" s="58"/>
      <c r="D1" s="59" t="s">
        <v>49</v>
      </c>
      <c r="E1" s="59"/>
      <c r="F1" s="59"/>
      <c r="G1" s="57" t="s">
        <v>50</v>
      </c>
      <c r="H1" s="57"/>
      <c r="I1" s="57"/>
      <c r="J1" s="4"/>
      <c r="K1" s="4"/>
    </row>
    <row r="2" spans="1:14" ht="19.5" customHeight="1">
      <c r="A2" s="60" t="s">
        <v>2</v>
      </c>
      <c r="B2" s="60"/>
      <c r="C2" s="5">
        <f>SUM(C4:C52)</f>
        <v>0</v>
      </c>
      <c r="D2" s="5">
        <f>SUM(D4:D52)</f>
        <v>0</v>
      </c>
      <c r="E2" s="5">
        <f>C2-D2</f>
        <v>0</v>
      </c>
      <c r="F2" s="6">
        <f>IFERROR(E2/D2, 0)</f>
        <v>0</v>
      </c>
      <c r="G2" s="5">
        <f>SUM(G4:G52)</f>
        <v>0</v>
      </c>
      <c r="H2" s="7">
        <f>C2-G2</f>
        <v>0</v>
      </c>
      <c r="I2" s="6">
        <f>IFERROR(H2/G2, 0)</f>
        <v>0</v>
      </c>
      <c r="J2" s="20"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17" t="s">
        <v>5</v>
      </c>
      <c r="D3" s="26" t="s">
        <v>6</v>
      </c>
      <c r="E3" s="26" t="s">
        <v>7</v>
      </c>
      <c r="F3" s="27" t="s">
        <v>8</v>
      </c>
      <c r="G3" s="28" t="s">
        <v>9</v>
      </c>
      <c r="H3" s="29" t="s">
        <v>7</v>
      </c>
      <c r="I3" s="30" t="s">
        <v>8</v>
      </c>
      <c r="J3" s="19" t="s">
        <v>20</v>
      </c>
      <c r="K3" s="19" t="s">
        <v>21</v>
      </c>
      <c r="L3" s="19" t="s">
        <v>51</v>
      </c>
    </row>
    <row r="4" spans="1:14" ht="15.6">
      <c r="A4" s="23" t="str" cm="1">
        <f t="array" ref="A4">Sites[Site]</f>
        <v>MA: Canton - Canton Ice House</v>
      </c>
      <c r="B4" s="22" t="str" cm="1">
        <f t="array" ref="B4">Sites[State]</f>
        <v>MA</v>
      </c>
      <c r="C4" s="18"/>
      <c r="D4" s="11" t="s">
        <v>23</v>
      </c>
      <c r="E4" s="11" t="str">
        <f>IF(AND(ISNUMBER(C4),ISNUMBER(D4)), C4-D4, "")</f>
        <v/>
      </c>
      <c r="F4" s="12" t="str">
        <f>IFERROR(E4/D4, "")</f>
        <v/>
      </c>
      <c r="G4" s="49" t="s">
        <v>23</v>
      </c>
      <c r="H4" s="13" t="str">
        <f>IF(AND(ISNUMBER(C4),ISNUMBER(G4)), C4-G4, "")</f>
        <v/>
      </c>
      <c r="I4" s="14" t="str">
        <f>IFERROR(H4/G4, "")</f>
        <v/>
      </c>
      <c r="J4" s="32"/>
      <c r="K4" s="45"/>
      <c r="L4" s="32"/>
      <c r="M4" s="51"/>
      <c r="N4" s="51"/>
    </row>
    <row r="5" spans="1:14" ht="14.45">
      <c r="A5" s="15"/>
      <c r="B5" s="24"/>
      <c r="C5" s="15"/>
      <c r="D5" s="15"/>
      <c r="E5" s="15"/>
      <c r="F5" s="16"/>
      <c r="G5" s="15"/>
      <c r="H5" s="15"/>
      <c r="I5" s="16"/>
      <c r="J5" s="15"/>
      <c r="K5" s="15"/>
    </row>
    <row r="6" spans="1:14" ht="14.45">
      <c r="A6" s="15"/>
      <c r="B6" s="24"/>
      <c r="C6" s="15"/>
      <c r="D6" s="15"/>
      <c r="E6" s="15"/>
      <c r="F6" s="16"/>
      <c r="G6" s="15"/>
      <c r="H6" s="15"/>
      <c r="I6" s="16"/>
      <c r="J6" s="15"/>
      <c r="K6" s="15"/>
    </row>
    <row r="7" spans="1:14" ht="14.45">
      <c r="A7" s="15"/>
      <c r="B7" s="24"/>
      <c r="C7" s="15"/>
      <c r="D7" s="15"/>
      <c r="E7" s="15"/>
      <c r="F7" s="16"/>
      <c r="G7" s="15"/>
      <c r="H7" s="15"/>
      <c r="I7" s="16"/>
      <c r="J7" s="15"/>
      <c r="K7" s="15"/>
    </row>
    <row r="8" spans="1:14" ht="14.45">
      <c r="A8" s="15"/>
      <c r="B8" s="24"/>
      <c r="C8" s="15"/>
      <c r="D8" s="15"/>
      <c r="E8" s="15"/>
      <c r="F8" s="16"/>
      <c r="G8" s="15"/>
      <c r="H8" s="15"/>
      <c r="I8" s="16"/>
      <c r="J8" s="15"/>
      <c r="K8" s="15"/>
    </row>
    <row r="9" spans="1:14" ht="14.45">
      <c r="A9" s="15"/>
      <c r="B9" s="24"/>
      <c r="C9" s="15"/>
      <c r="D9" s="15"/>
      <c r="E9" s="15"/>
      <c r="F9" s="16"/>
      <c r="G9" s="15"/>
      <c r="H9" s="15"/>
      <c r="I9" s="16"/>
      <c r="J9" s="15"/>
      <c r="K9" s="15"/>
    </row>
    <row r="10" spans="1:14" ht="14.45">
      <c r="A10" s="15"/>
      <c r="B10" s="24"/>
      <c r="C10" s="15"/>
      <c r="D10" s="15"/>
      <c r="E10" s="15"/>
      <c r="F10" s="16"/>
      <c r="G10" s="15"/>
      <c r="H10" s="15"/>
      <c r="I10" s="16"/>
      <c r="J10" s="15"/>
      <c r="K10" s="15"/>
    </row>
    <row r="11" spans="1:14" ht="14.45">
      <c r="A11" s="15"/>
      <c r="B11" s="24"/>
      <c r="C11" s="15"/>
      <c r="D11" s="15"/>
      <c r="E11" s="15"/>
      <c r="F11" s="16"/>
      <c r="G11" s="15"/>
      <c r="H11" s="15"/>
      <c r="I11" s="16"/>
      <c r="J11" s="15"/>
      <c r="K11" s="15"/>
    </row>
    <row r="12" spans="1:14" ht="14.45">
      <c r="A12" s="15"/>
      <c r="B12" s="24"/>
      <c r="C12" s="15"/>
      <c r="D12" s="15"/>
      <c r="E12" s="15"/>
      <c r="F12" s="16"/>
      <c r="G12" s="15"/>
      <c r="H12" s="15"/>
      <c r="I12" s="16"/>
      <c r="J12" s="15"/>
      <c r="K12" s="15"/>
    </row>
    <row r="13" spans="1:14" ht="14.45">
      <c r="A13" s="15"/>
      <c r="B13" s="24"/>
      <c r="C13" s="15"/>
      <c r="D13" s="15"/>
      <c r="E13" s="15"/>
      <c r="F13" s="16"/>
      <c r="G13" s="15"/>
      <c r="H13" s="15"/>
      <c r="I13" s="16"/>
      <c r="J13" s="15"/>
      <c r="K13" s="15"/>
    </row>
    <row r="14" spans="1:14" ht="14.45">
      <c r="A14" s="15"/>
      <c r="B14" s="24"/>
      <c r="C14" s="15"/>
      <c r="D14" s="15"/>
      <c r="E14" s="15"/>
      <c r="F14" s="16"/>
      <c r="G14" s="15"/>
      <c r="H14" s="15"/>
      <c r="I14" s="16"/>
      <c r="J14" s="15"/>
      <c r="K14" s="15"/>
    </row>
    <row r="15" spans="1:14" ht="14.45">
      <c r="A15" s="15"/>
      <c r="B15" s="24"/>
      <c r="C15" s="15"/>
      <c r="D15" s="15"/>
      <c r="E15" s="15"/>
      <c r="F15" s="16"/>
      <c r="G15" s="15"/>
      <c r="H15" s="15"/>
      <c r="I15" s="16"/>
      <c r="J15" s="15"/>
      <c r="K15" s="15"/>
    </row>
    <row r="16" spans="1:14"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C294" s="15"/>
      <c r="D294" s="15"/>
      <c r="E294" s="15"/>
      <c r="F294" s="16"/>
      <c r="G294" s="15"/>
      <c r="H294" s="15"/>
      <c r="I294" s="16"/>
      <c r="J294" s="15"/>
      <c r="K294" s="15"/>
    </row>
  </sheetData>
  <mergeCells count="4">
    <mergeCell ref="G1:I1"/>
    <mergeCell ref="A1:C1"/>
    <mergeCell ref="D1:F1"/>
    <mergeCell ref="A2:B2"/>
  </mergeCells>
  <conditionalFormatting sqref="F2 I2 F4:F52 I4:I52">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52</v>
      </c>
      <c r="B1" t="s">
        <v>53</v>
      </c>
    </row>
    <row r="3" spans="1:12" ht="13.15">
      <c r="A3" t="s">
        <v>54</v>
      </c>
      <c r="B3" t="s">
        <v>3</v>
      </c>
      <c r="C3" t="s">
        <v>4</v>
      </c>
      <c r="D3" t="s">
        <v>55</v>
      </c>
      <c r="E3" s="2" t="s">
        <v>56</v>
      </c>
    </row>
    <row r="4" spans="1:12" ht="14.45">
      <c r="A4" s="38" t="s">
        <v>53</v>
      </c>
      <c r="B4" t="s">
        <v>57</v>
      </c>
      <c r="C4" s="36" t="s">
        <v>58</v>
      </c>
      <c r="D4" s="35" t="s">
        <v>59</v>
      </c>
      <c r="E4" t="s">
        <v>60</v>
      </c>
      <c r="G4" s="3"/>
    </row>
    <row r="5" spans="1:12" ht="14.45">
      <c r="A5" s="38"/>
      <c r="C5" s="36"/>
      <c r="D5" s="35"/>
      <c r="G5" s="3"/>
    </row>
    <row r="6" spans="1:12" ht="14.45">
      <c r="A6" s="38"/>
      <c r="C6" s="36"/>
      <c r="D6" s="35"/>
      <c r="G6" s="3"/>
    </row>
    <row r="7" spans="1:12" ht="12.75" customHeight="1">
      <c r="A7" s="38"/>
      <c r="C7" s="36"/>
      <c r="D7" s="35"/>
    </row>
    <row r="8" spans="1:12" ht="12.75" customHeight="1">
      <c r="A8" s="38"/>
      <c r="C8" s="36"/>
      <c r="D8" s="35"/>
    </row>
    <row r="9" spans="1:12" ht="12.75" customHeight="1">
      <c r="A9" s="38"/>
      <c r="C9" s="36"/>
      <c r="D9" s="35"/>
    </row>
    <row r="10" spans="1:12" ht="12.75" customHeight="1">
      <c r="A10" s="38"/>
      <c r="C10" s="36"/>
      <c r="D10" s="35"/>
      <c r="K10" s="33"/>
      <c r="L10" s="33"/>
    </row>
    <row r="11" spans="1:12" ht="12.75" customHeight="1">
      <c r="A11" s="38"/>
      <c r="C11" s="36"/>
      <c r="D11" s="35"/>
      <c r="K11" s="33"/>
      <c r="L11" s="33"/>
    </row>
    <row r="12" spans="1:12" ht="12.75" customHeight="1">
      <c r="A12" s="38"/>
      <c r="C12" s="36"/>
      <c r="D12" s="35"/>
      <c r="K12" s="33"/>
      <c r="L12" s="33"/>
    </row>
    <row r="13" spans="1:12" ht="12.75" customHeight="1">
      <c r="A13" s="38"/>
      <c r="C13" s="36"/>
      <c r="D13" s="35"/>
      <c r="K13" s="33"/>
      <c r="L13" s="33"/>
    </row>
    <row r="14" spans="1:12" ht="12.75" customHeight="1">
      <c r="A14" s="38"/>
      <c r="C14" s="36"/>
      <c r="D14" s="35"/>
      <c r="K14" s="33"/>
      <c r="L14" s="33"/>
    </row>
    <row r="15" spans="1:12" ht="12.75" customHeight="1">
      <c r="A15" s="38"/>
      <c r="C15" s="36"/>
      <c r="D15" s="35"/>
      <c r="K15" s="33"/>
      <c r="L15" s="33"/>
    </row>
    <row r="16" spans="1:12" ht="12.75" customHeight="1">
      <c r="A16" s="38"/>
      <c r="C16" s="36"/>
      <c r="D16" s="35"/>
      <c r="K16" s="33"/>
      <c r="L16" s="33"/>
    </row>
    <row r="17" spans="1:12" ht="12.75" customHeight="1">
      <c r="A17" s="38"/>
      <c r="C17" s="36"/>
      <c r="D17" s="35"/>
      <c r="K17" s="33"/>
      <c r="L17" s="33"/>
    </row>
    <row r="18" spans="1:12" ht="12.75" customHeight="1">
      <c r="A18" s="38"/>
      <c r="C18" s="36"/>
      <c r="D18" s="35"/>
      <c r="K18" s="33"/>
      <c r="L18" s="33"/>
    </row>
    <row r="19" spans="1:12" ht="12.75" customHeight="1">
      <c r="A19" s="38"/>
      <c r="C19" s="36"/>
      <c r="D19" s="35"/>
      <c r="K19" s="33"/>
      <c r="L19" s="33"/>
    </row>
    <row r="20" spans="1:12" ht="12.75" customHeight="1">
      <c r="A20" s="38"/>
      <c r="C20" s="36"/>
      <c r="D20" s="35"/>
      <c r="K20" s="33"/>
      <c r="L20" s="33"/>
    </row>
    <row r="21" spans="1:12" ht="12.75" customHeight="1">
      <c r="A21" s="38"/>
      <c r="C21" s="36"/>
      <c r="D21" s="35"/>
      <c r="K21" s="33"/>
      <c r="L21" s="33"/>
    </row>
    <row r="22" spans="1:12" ht="12.75" customHeight="1">
      <c r="A22" s="38"/>
      <c r="C22" s="36"/>
      <c r="D22" s="35"/>
      <c r="K22" s="33"/>
      <c r="L22" s="33"/>
    </row>
    <row r="23" spans="1:12" ht="12.75" customHeight="1">
      <c r="A23" s="38"/>
      <c r="C23" s="36"/>
      <c r="D23" s="35"/>
      <c r="K23" s="33"/>
      <c r="L23" s="33"/>
    </row>
    <row r="24" spans="1:12" ht="12.75" customHeight="1">
      <c r="A24" s="38"/>
      <c r="C24" s="36"/>
      <c r="D24" s="35"/>
      <c r="K24" s="33"/>
      <c r="L24" s="33"/>
    </row>
    <row r="25" spans="1:12" ht="12.75" customHeight="1">
      <c r="A25" s="38"/>
      <c r="C25" s="36"/>
      <c r="D25" s="35"/>
      <c r="K25" s="33"/>
      <c r="L25" s="33"/>
    </row>
    <row r="26" spans="1:12" ht="12.75" customHeight="1">
      <c r="K26" s="33"/>
      <c r="L26" s="33"/>
    </row>
    <row r="27" spans="1:12" ht="12.75" customHeight="1">
      <c r="K27" s="33"/>
      <c r="L27" s="33"/>
    </row>
    <row r="28" spans="1:12" ht="12.75" customHeight="1">
      <c r="K28" s="33"/>
      <c r="L28" s="33"/>
    </row>
    <row r="29" spans="1:12" ht="12.75" customHeight="1">
      <c r="K29" s="33"/>
      <c r="L29" s="33"/>
    </row>
    <row r="30" spans="1:12" ht="12.75" customHeight="1">
      <c r="K30" s="33"/>
      <c r="L30" s="33"/>
    </row>
    <row r="31" spans="1:12" ht="12.75" customHeight="1">
      <c r="K31" s="33"/>
      <c r="L31" s="3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078388C9-06F9-42F4-B857-EF76B5CAF1FD}"/>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98A113BB-8B7A-453C-8BD4-8EFC67FC2D3F}"/>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3AEAA9D8-2182-46BA-A58E-96C72DDA1C54}"/>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F6B2B1A1-1C4B-4AC9-9A7D-7A102DD1C942}"/>
</file>

<file path=customXml/itemProps20.xml><?xml version="1.0" encoding="utf-8"?>
<ds:datastoreItem xmlns:ds="http://schemas.openxmlformats.org/officeDocument/2006/customXml" ds:itemID="{D97BA3A9-6E2A-4578-AD0D-D77353073E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2026-02-20T17:57:25Z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2025-06-17T23:36:43Z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3a545370-d901-49e4-b7e6-ff1958641627</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