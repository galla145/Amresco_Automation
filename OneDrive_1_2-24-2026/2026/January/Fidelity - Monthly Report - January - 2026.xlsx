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FCE89E04-2BAC-4CA2-8872-AED044F5B9C9}" xr6:coauthVersionLast="47" xr6:coauthVersionMax="47" xr10:uidLastSave="{3073ED2D-FD04-4DB0-BE23-A8BF40D0C2DA}"/>
  <bookViews>
    <workbookView xWindow="-108" yWindow="-108" windowWidth="23256" windowHeight="13896" tabRatio="713" firstSheet="6" activeTab="3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36" l="1"/>
  <c r="J13" i="36"/>
  <c r="J10" i="36"/>
  <c r="J7" i="36"/>
  <c r="J14" i="12"/>
  <c r="J13" i="12"/>
  <c r="J10" i="12"/>
  <c r="J7" i="12"/>
  <c r="J14" i="18"/>
  <c r="J13" i="18"/>
  <c r="F66" i="32"/>
  <c r="E66" i="32"/>
  <c r="D66" i="32"/>
  <c r="J10" i="18"/>
  <c r="J7" i="18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6" i="34"/>
  <c r="C7" i="34"/>
  <c r="C5" i="34"/>
  <c r="K128" i="33"/>
  <c r="J128" i="33"/>
  <c r="L128" i="33" s="1"/>
  <c r="H128" i="33"/>
  <c r="G128" i="33"/>
  <c r="E128" i="33"/>
  <c r="D128" i="33"/>
  <c r="F128" i="33" s="1"/>
  <c r="N116" i="33"/>
  <c r="M116" i="33"/>
  <c r="L116" i="33"/>
  <c r="I116" i="33"/>
  <c r="F116" i="33"/>
  <c r="O108" i="33"/>
  <c r="N108" i="33"/>
  <c r="M108" i="33"/>
  <c r="L108" i="33"/>
  <c r="F108" i="33"/>
  <c r="I108" i="33"/>
  <c r="O107" i="33"/>
  <c r="N107" i="33"/>
  <c r="M107" i="33"/>
  <c r="L107" i="33"/>
  <c r="I107" i="33"/>
  <c r="F107" i="33"/>
  <c r="L106" i="33"/>
  <c r="N106" i="33"/>
  <c r="O106" i="33"/>
  <c r="L105" i="33"/>
  <c r="N105" i="33"/>
  <c r="O105" i="33"/>
  <c r="M106" i="33"/>
  <c r="M105" i="33"/>
  <c r="F106" i="33"/>
  <c r="F105" i="33"/>
  <c r="I106" i="33"/>
  <c r="I105" i="33"/>
  <c r="O104" i="33"/>
  <c r="N104" i="33"/>
  <c r="M104" i="33"/>
  <c r="L104" i="33"/>
  <c r="F104" i="33"/>
  <c r="I104" i="33"/>
  <c r="I50" i="32"/>
  <c r="N102" i="33"/>
  <c r="N103" i="33"/>
  <c r="M102" i="33"/>
  <c r="M103" i="33"/>
  <c r="O103" i="33" s="1"/>
  <c r="O116" i="33" l="1"/>
  <c r="N128" i="33"/>
  <c r="M128" i="33"/>
  <c r="I128" i="33"/>
  <c r="L103" i="33"/>
  <c r="F103" i="33"/>
  <c r="I103" i="33"/>
  <c r="O102" i="33"/>
  <c r="L102" i="33"/>
  <c r="I102" i="33"/>
  <c r="F102" i="33"/>
  <c r="N101" i="33"/>
  <c r="M101" i="33"/>
  <c r="O101" i="33" s="1"/>
  <c r="L101" i="33"/>
  <c r="F101" i="33"/>
  <c r="I101" i="33"/>
  <c r="M100" i="33"/>
  <c r="N100" i="33"/>
  <c r="L100" i="33"/>
  <c r="I100" i="33"/>
  <c r="F100" i="33"/>
  <c r="O128" i="33" l="1"/>
  <c r="O100" i="33"/>
  <c r="I99" i="33" l="1"/>
  <c r="I98" i="33"/>
  <c r="N98" i="33"/>
  <c r="N99" i="33"/>
  <c r="M98" i="33"/>
  <c r="O98" i="33" s="1"/>
  <c r="M99" i="33"/>
  <c r="L98" i="33"/>
  <c r="L99" i="33"/>
  <c r="K109" i="33"/>
  <c r="F98" i="33"/>
  <c r="F99" i="33"/>
  <c r="O99" i="33" l="1"/>
  <c r="J109" i="33"/>
  <c r="L109" i="33" s="1"/>
  <c r="H109" i="33"/>
  <c r="G109" i="33"/>
  <c r="E109" i="33"/>
  <c r="D109" i="33"/>
  <c r="F109" i="33" s="1"/>
  <c r="N97" i="33"/>
  <c r="M97" i="33"/>
  <c r="L97" i="33"/>
  <c r="I97" i="33"/>
  <c r="F97" i="33"/>
  <c r="K50" i="32"/>
  <c r="J50" i="32"/>
  <c r="I89" i="33"/>
  <c r="L89" i="33"/>
  <c r="F89" i="33"/>
  <c r="I88" i="33"/>
  <c r="J8" i="18"/>
  <c r="J6" i="18"/>
  <c r="G90" i="33" s="1"/>
  <c r="I90" i="33" s="1"/>
  <c r="L88" i="33"/>
  <c r="J8" i="36"/>
  <c r="J6" i="36"/>
  <c r="J90" i="33" s="1"/>
  <c r="L90" i="33" s="1"/>
  <c r="F88" i="33"/>
  <c r="J8" i="12"/>
  <c r="J6" i="12"/>
  <c r="D90" i="33" s="1"/>
  <c r="F90" i="33" s="1"/>
  <c r="I87" i="33"/>
  <c r="N109" i="33" l="1"/>
  <c r="M109" i="33"/>
  <c r="O97" i="33"/>
  <c r="I109" i="33"/>
  <c r="L87" i="33"/>
  <c r="F87" i="33"/>
  <c r="L86" i="33"/>
  <c r="F86" i="33"/>
  <c r="I86" i="33"/>
  <c r="L84" i="33"/>
  <c r="L85" i="33"/>
  <c r="F84" i="33"/>
  <c r="F85" i="33"/>
  <c r="I84" i="33"/>
  <c r="I85" i="33"/>
  <c r="O109" i="33" l="1"/>
  <c r="F50" i="32"/>
  <c r="E50" i="32"/>
  <c r="D50" i="32"/>
  <c r="K91" i="33"/>
  <c r="J91" i="33"/>
  <c r="H91" i="33"/>
  <c r="E91" i="33"/>
  <c r="D91" i="33"/>
  <c r="N90" i="33"/>
  <c r="M90" i="33"/>
  <c r="O90" i="33" s="1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<sst xmlns="http://schemas.openxmlformats.org/spreadsheetml/2006/main" count="600" uniqueCount="97">
  <si>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</si>
  <si>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</si>
  <si>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</si>
  <si>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</si>
  <si>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</si>
  <si>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</si>
  <si>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</si>
  <si>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</si>
  <si>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</si>
  <si>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</si>
  <si>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</si>
  <si>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</si>
  <si>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</si>
  <si>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</si>
  <si>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</si>
  <si>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</si>
  <si>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</si>
  <si>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</si>
  <si>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</si>
  <si>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</si>
  <si>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</si>
  <si>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</si>
  <si>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</si>
  <si>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</si>
  <si>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January 2026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</si>
  <si>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</si>
  <si>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</si>
  <si>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</si>
  <si>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</si>
  <si>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</si>
  <si>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</si>
  <si>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</si>
  <si>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</si>
  <si>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</si>
  <si>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</si>
  <si>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>1.On 08/20, the Moxa logger for this site was replaced. Since then, Production Meter 1 has not been communicating, which led to a production meter availability of 66.6% and an overall monthly site availability of 88%. Please note that site availability in Also Energy is calculated based on all three production meters; however, actual production can still be confirmed via the inverters. This issue was previously communicated to the client through the closed Service Request SR106258
2.Site stopped communicating at 17:59 on 12/31/25 and later back online at 10:00 on 01/02 .SR113930</t>
  </si>
  <si>
    <t>Smithfield</t>
  </si>
  <si>
    <t>January' 2026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</si>
  <si>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</si>
  <si>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</si>
  <si>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</si>
  <si>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</si>
  <si>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</si>
  <si>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</si>
  <si>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</si>
  <si>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</si>
  <si>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</si>
  <si>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</si>
  <si>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</si>
  <si>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</si>
  <si>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</si>
  <si>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</si>
  <si>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</si>
  <si>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</si>
  <si>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</si>
  <si>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</si>
  <si>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</si>
  <si>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</si>
  <si>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>2025 YTD Availability</t>
  </si>
  <si>
    <t>2026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</si>
  <si>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</si>
  <si>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</si>
  <si>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</si>
  <si>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</si>
  <si>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</si>
  <si>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</si>
  <si>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</si>
  <si>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</si>
  <si>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</si>
  <si>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</si>
  <si>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</si>
  <si>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</si>
  <si>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 xml:space="preserve">2025 Plant Health Data </t>
  </si>
  <si>
    <t xml:space="preserve">2026 Plant Health Data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</si>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</sst>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4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4" fontId="0" fillId="0" borderId="3" xfId="0" applyNumberFormat="1" applyBorder="1" applyAlignment="1">
      <alignment wrapText="1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1" fillId="0" borderId="5" xfId="6" applyFont="1" applyBorder="1" applyAlignment="1">
      <alignment horizontal="right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Merrimack!$G$32:$G$62</c:f>
              <c:numCache>
                <c:formatCode>0</c:formatCode>
                <c:ptCount val="31"/>
                <c:pt idx="1">
                  <c:v>3920.9999999981401</c:v>
                </c:pt>
                <c:pt idx="2">
                  <c:v>3086</c:v>
                </c:pt>
                <c:pt idx="3">
                  <c:v>572.851351350546</c:v>
                </c:pt>
                <c:pt idx="4">
                  <c:v>925.148648649454</c:v>
                </c:pt>
                <c:pt idx="5">
                  <c:v>1115</c:v>
                </c:pt>
                <c:pt idx="6" formatCode="General">
                  <c:v>815</c:v>
                </c:pt>
                <c:pt idx="7">
                  <c:v>4215.9651162791997</c:v>
                </c:pt>
                <c:pt idx="8">
                  <c:v>5220.0348837208003</c:v>
                </c:pt>
                <c:pt idx="9" formatCode="General">
                  <c:v>2929</c:v>
                </c:pt>
                <c:pt idx="10">
                  <c:v>4647.5</c:v>
                </c:pt>
                <c:pt idx="11">
                  <c:v>6108.5</c:v>
                </c:pt>
                <c:pt idx="12" formatCode="General">
                  <c:v>6590</c:v>
                </c:pt>
                <c:pt idx="13">
                  <c:v>3462</c:v>
                </c:pt>
                <c:pt idx="14">
                  <c:v>3089</c:v>
                </c:pt>
                <c:pt idx="15">
                  <c:v>8558</c:v>
                </c:pt>
                <c:pt idx="16">
                  <c:v>75.928571429103599</c:v>
                </c:pt>
                <c:pt idx="17">
                  <c:v>137.07142857089599</c:v>
                </c:pt>
                <c:pt idx="18">
                  <c:v>71.759493671357603</c:v>
                </c:pt>
                <c:pt idx="19">
                  <c:v>954.12668519094598</c:v>
                </c:pt>
                <c:pt idx="20">
                  <c:v>847.11382113769696</c:v>
                </c:pt>
                <c:pt idx="21">
                  <c:v>1405</c:v>
                </c:pt>
                <c:pt idx="22">
                  <c:v>7025.6588235292602</c:v>
                </c:pt>
                <c:pt idx="23">
                  <c:v>8711.3411764726006</c:v>
                </c:pt>
                <c:pt idx="24">
                  <c:v>316.69333333149598</c:v>
                </c:pt>
                <c:pt idx="25">
                  <c:v>-28.693333333358201</c:v>
                </c:pt>
                <c:pt idx="26">
                  <c:v>-1</c:v>
                </c:pt>
                <c:pt idx="27">
                  <c:v>361.27500000037298</c:v>
                </c:pt>
                <c:pt idx="28">
                  <c:v>762.38537735864497</c:v>
                </c:pt>
                <c:pt idx="29">
                  <c:v>951.33962264098204</c:v>
                </c:pt>
                <c:pt idx="30">
                  <c:v>1120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Merrimack!$F$32:$F$62</c:f>
              <c:numCache>
                <c:formatCode>mm/dd/yy;@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Merrimack!$H$32:$H$62</c:f>
              <c:numCache>
                <c:formatCode>0</c:formatCode>
                <c:ptCount val="31"/>
                <c:pt idx="1">
                  <c:v>3479.5880000000002</c:v>
                </c:pt>
                <c:pt idx="2">
                  <c:v>2109.5419999999999</c:v>
                </c:pt>
                <c:pt idx="3">
                  <c:v>1389.0419999999999</c:v>
                </c:pt>
                <c:pt idx="4">
                  <c:v>1316.4449999999999</c:v>
                </c:pt>
                <c:pt idx="5">
                  <c:v>2487.663</c:v>
                </c:pt>
                <c:pt idx="6">
                  <c:v>647.90129999999999</c:v>
                </c:pt>
                <c:pt idx="7">
                  <c:v>2945.4</c:v>
                </c:pt>
                <c:pt idx="8">
                  <c:v>2863.2020000000002</c:v>
                </c:pt>
                <c:pt idx="9">
                  <c:v>1505.809</c:v>
                </c:pt>
                <c:pt idx="10">
                  <c:v>2772.06</c:v>
                </c:pt>
                <c:pt idx="11">
                  <c:v>3746.0740000000001</c:v>
                </c:pt>
                <c:pt idx="12">
                  <c:v>3946.9189999999999</c:v>
                </c:pt>
                <c:pt idx="13">
                  <c:v>1920.3969999999999</c:v>
                </c:pt>
                <c:pt idx="14">
                  <c:v>1824.1980000000001</c:v>
                </c:pt>
                <c:pt idx="15">
                  <c:v>5009.817</c:v>
                </c:pt>
                <c:pt idx="16">
                  <c:v>243.2516</c:v>
                </c:pt>
                <c:pt idx="17">
                  <c:v>174.1799</c:v>
                </c:pt>
                <c:pt idx="18">
                  <c:v>353.93220000000002</c:v>
                </c:pt>
                <c:pt idx="19">
                  <c:v>1375.652</c:v>
                </c:pt>
                <c:pt idx="20">
                  <c:v>3516.0239999999999</c:v>
                </c:pt>
                <c:pt idx="21">
                  <c:v>2995.1849999999999</c:v>
                </c:pt>
                <c:pt idx="22">
                  <c:v>4763.68</c:v>
                </c:pt>
                <c:pt idx="23">
                  <c:v>5259.3130000000001</c:v>
                </c:pt>
                <c:pt idx="24">
                  <c:v>293.28710000000001</c:v>
                </c:pt>
                <c:pt idx="25">
                  <c:v>430.32859999999999</c:v>
                </c:pt>
                <c:pt idx="26">
                  <c:v>1268.8119999999999</c:v>
                </c:pt>
                <c:pt idx="27">
                  <c:v>4011.71</c:v>
                </c:pt>
                <c:pt idx="28">
                  <c:v>5300.7439999999997</c:v>
                </c:pt>
                <c:pt idx="29">
                  <c:v>4797.4290000000001</c:v>
                </c:pt>
                <c:pt idx="30">
                  <c:v>5520.058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Smithfield!$G$32:$G$62</c:f>
              <c:numCache>
                <c:formatCode>0</c:formatCode>
                <c:ptCount val="31"/>
                <c:pt idx="0">
                  <c:v>593</c:v>
                </c:pt>
                <c:pt idx="1">
                  <c:v>3914.5</c:v>
                </c:pt>
                <c:pt idx="2">
                  <c:v>6558.5</c:v>
                </c:pt>
                <c:pt idx="3">
                  <c:v>4840.5</c:v>
                </c:pt>
                <c:pt idx="4">
                  <c:v>4671</c:v>
                </c:pt>
                <c:pt idx="5">
                  <c:v>4057.5</c:v>
                </c:pt>
                <c:pt idx="6">
                  <c:v>1469</c:v>
                </c:pt>
                <c:pt idx="7">
                  <c:v>9938</c:v>
                </c:pt>
                <c:pt idx="8">
                  <c:v>4882.5</c:v>
                </c:pt>
                <c:pt idx="9">
                  <c:v>2873</c:v>
                </c:pt>
                <c:pt idx="10">
                  <c:v>3240.5</c:v>
                </c:pt>
                <c:pt idx="11">
                  <c:v>8432.5</c:v>
                </c:pt>
                <c:pt idx="12">
                  <c:v>10218</c:v>
                </c:pt>
                <c:pt idx="13">
                  <c:v>3650.5</c:v>
                </c:pt>
                <c:pt idx="14">
                  <c:v>6956</c:v>
                </c:pt>
                <c:pt idx="15">
                  <c:v>11616</c:v>
                </c:pt>
                <c:pt idx="16">
                  <c:v>1925</c:v>
                </c:pt>
                <c:pt idx="17">
                  <c:v>399.5</c:v>
                </c:pt>
                <c:pt idx="18">
                  <c:v>146.5</c:v>
                </c:pt>
                <c:pt idx="19">
                  <c:v>348</c:v>
                </c:pt>
                <c:pt idx="20">
                  <c:v>306.5</c:v>
                </c:pt>
                <c:pt idx="21">
                  <c:v>2114.5</c:v>
                </c:pt>
                <c:pt idx="22">
                  <c:v>10165.5</c:v>
                </c:pt>
                <c:pt idx="23">
                  <c:v>12843.5</c:v>
                </c:pt>
                <c:pt idx="24">
                  <c:v>232</c:v>
                </c:pt>
                <c:pt idx="25">
                  <c:v>47.5</c:v>
                </c:pt>
                <c:pt idx="26">
                  <c:v>255.5</c:v>
                </c:pt>
                <c:pt idx="27">
                  <c:v>269</c:v>
                </c:pt>
                <c:pt idx="28">
                  <c:v>281.5</c:v>
                </c:pt>
                <c:pt idx="29">
                  <c:v>320.5</c:v>
                </c:pt>
                <c:pt idx="30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Smithfield!$H$32:$H$62</c:f>
              <c:numCache>
                <c:formatCode>0</c:formatCode>
                <c:ptCount val="31"/>
                <c:pt idx="0">
                  <c:v>1305.7460000000001</c:v>
                </c:pt>
                <c:pt idx="1">
                  <c:v>2512.4009999999998</c:v>
                </c:pt>
                <c:pt idx="2">
                  <c:v>3157.0740000000001</c:v>
                </c:pt>
                <c:pt idx="3">
                  <c:v>2257.9760000000001</c:v>
                </c:pt>
                <c:pt idx="4">
                  <c:v>1659.373</c:v>
                </c:pt>
                <c:pt idx="5">
                  <c:v>1389.665</c:v>
                </c:pt>
                <c:pt idx="6">
                  <c:v>436.54820000000001</c:v>
                </c:pt>
                <c:pt idx="7">
                  <c:v>3353.0079999999998</c:v>
                </c:pt>
                <c:pt idx="8">
                  <c:v>1560.625</c:v>
                </c:pt>
                <c:pt idx="9">
                  <c:v>848.20299999999997</c:v>
                </c:pt>
                <c:pt idx="10">
                  <c:v>987.38900000000001</c:v>
                </c:pt>
                <c:pt idx="11">
                  <c:v>2819.9180000000001</c:v>
                </c:pt>
                <c:pt idx="12">
                  <c:v>3352.797</c:v>
                </c:pt>
                <c:pt idx="13">
                  <c:v>1090.338</c:v>
                </c:pt>
                <c:pt idx="14">
                  <c:v>2212.37</c:v>
                </c:pt>
                <c:pt idx="15">
                  <c:v>3536.41</c:v>
                </c:pt>
                <c:pt idx="16">
                  <c:v>563.30269999999996</c:v>
                </c:pt>
                <c:pt idx="17">
                  <c:v>263.39170000000001</c:v>
                </c:pt>
                <c:pt idx="18">
                  <c:v>1258.82</c:v>
                </c:pt>
                <c:pt idx="19">
                  <c:v>3929.5079999999998</c:v>
                </c:pt>
                <c:pt idx="20">
                  <c:v>3038.2579999999998</c:v>
                </c:pt>
                <c:pt idx="21">
                  <c:v>2950.1480000000001</c:v>
                </c:pt>
                <c:pt idx="22">
                  <c:v>3346.7620000000002</c:v>
                </c:pt>
                <c:pt idx="23">
                  <c:v>3857.165</c:v>
                </c:pt>
                <c:pt idx="24">
                  <c:v>263.63350000000003</c:v>
                </c:pt>
                <c:pt idx="25">
                  <c:v>656.89260000000002</c:v>
                </c:pt>
                <c:pt idx="26">
                  <c:v>3324.4879999999998</c:v>
                </c:pt>
                <c:pt idx="27">
                  <c:v>3796.951</c:v>
                </c:pt>
                <c:pt idx="28">
                  <c:v>4113.5649999999996</c:v>
                </c:pt>
                <c:pt idx="29">
                  <c:v>4333.4570000000003</c:v>
                </c:pt>
                <c:pt idx="30">
                  <c:v>4077.1770000000001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mm/dd/yy;@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Westlake!$G$32:$G$62</c:f>
              <c:numCache>
                <c:formatCode>0</c:formatCode>
                <c:ptCount val="31"/>
                <c:pt idx="0">
                  <c:v>8170</c:v>
                </c:pt>
                <c:pt idx="1">
                  <c:v>12503</c:v>
                </c:pt>
                <c:pt idx="2">
                  <c:v>12497</c:v>
                </c:pt>
                <c:pt idx="3">
                  <c:v>7860</c:v>
                </c:pt>
                <c:pt idx="4">
                  <c:v>8664</c:v>
                </c:pt>
                <c:pt idx="5">
                  <c:v>11962</c:v>
                </c:pt>
                <c:pt idx="6">
                  <c:v>9429</c:v>
                </c:pt>
                <c:pt idx="7">
                  <c:v>7286</c:v>
                </c:pt>
                <c:pt idx="8">
                  <c:v>7068</c:v>
                </c:pt>
                <c:pt idx="9">
                  <c:v>13300</c:v>
                </c:pt>
                <c:pt idx="10">
                  <c:v>13488</c:v>
                </c:pt>
                <c:pt idx="11">
                  <c:v>9064</c:v>
                </c:pt>
                <c:pt idx="12">
                  <c:v>10842</c:v>
                </c:pt>
                <c:pt idx="13">
                  <c:v>12129</c:v>
                </c:pt>
                <c:pt idx="14">
                  <c:v>13832</c:v>
                </c:pt>
                <c:pt idx="15">
                  <c:v>13944</c:v>
                </c:pt>
                <c:pt idx="16">
                  <c:v>5184</c:v>
                </c:pt>
                <c:pt idx="17">
                  <c:v>14226</c:v>
                </c:pt>
                <c:pt idx="18">
                  <c:v>14210</c:v>
                </c:pt>
                <c:pt idx="19">
                  <c:v>11788</c:v>
                </c:pt>
                <c:pt idx="20">
                  <c:v>9414</c:v>
                </c:pt>
                <c:pt idx="21">
                  <c:v>9422</c:v>
                </c:pt>
                <c:pt idx="22">
                  <c:v>854</c:v>
                </c:pt>
                <c:pt idx="23">
                  <c:v>1489.0000000018599</c:v>
                </c:pt>
                <c:pt idx="24">
                  <c:v>8185.9999999981401</c:v>
                </c:pt>
                <c:pt idx="25">
                  <c:v>15264</c:v>
                </c:pt>
                <c:pt idx="26">
                  <c:v>9298</c:v>
                </c:pt>
                <c:pt idx="27">
                  <c:v>16416</c:v>
                </c:pt>
                <c:pt idx="28">
                  <c:v>15869</c:v>
                </c:pt>
                <c:pt idx="29">
                  <c:v>16222</c:v>
                </c:pt>
                <c:pt idx="30">
                  <c:v>17171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Westlake!$F$32:$F$62</c:f>
              <c:numCache>
                <c:formatCode>mm/dd/yy;@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Westlake!$H$32:$H$62</c:f>
              <c:numCache>
                <c:formatCode>0</c:formatCode>
                <c:ptCount val="31"/>
                <c:pt idx="0">
                  <c:v>2608.2220000000002</c:v>
                </c:pt>
                <c:pt idx="1">
                  <c:v>4486.3620000000001</c:v>
                </c:pt>
                <c:pt idx="2">
                  <c:v>4450.3450000000003</c:v>
                </c:pt>
                <c:pt idx="3">
                  <c:v>2376.4650000000001</c:v>
                </c:pt>
                <c:pt idx="4">
                  <c:v>2942.76</c:v>
                </c:pt>
                <c:pt idx="5">
                  <c:v>4385.7910000000002</c:v>
                </c:pt>
                <c:pt idx="6">
                  <c:v>3096.5059999999999</c:v>
                </c:pt>
                <c:pt idx="7">
                  <c:v>2411.3159999999998</c:v>
                </c:pt>
                <c:pt idx="8">
                  <c:v>2236.739</c:v>
                </c:pt>
                <c:pt idx="9">
                  <c:v>4846.5879999999997</c:v>
                </c:pt>
                <c:pt idx="10">
                  <c:v>4851.232</c:v>
                </c:pt>
                <c:pt idx="11">
                  <c:v>3132.0940000000001</c:v>
                </c:pt>
                <c:pt idx="12">
                  <c:v>3723.2190000000001</c:v>
                </c:pt>
                <c:pt idx="13">
                  <c:v>4546.5720000000001</c:v>
                </c:pt>
                <c:pt idx="14">
                  <c:v>4949.5870000000004</c:v>
                </c:pt>
                <c:pt idx="15">
                  <c:v>5064.482</c:v>
                </c:pt>
                <c:pt idx="16">
                  <c:v>1520.8689999999999</c:v>
                </c:pt>
                <c:pt idx="17">
                  <c:v>5142.9470000000001</c:v>
                </c:pt>
                <c:pt idx="18">
                  <c:v>5166.5770000000002</c:v>
                </c:pt>
                <c:pt idx="19">
                  <c:v>4003.7080000000001</c:v>
                </c:pt>
                <c:pt idx="20">
                  <c:v>3352.9630000000002</c:v>
                </c:pt>
                <c:pt idx="21">
                  <c:v>3089.9070000000002</c:v>
                </c:pt>
                <c:pt idx="22">
                  <c:v>-91.529409999999999</c:v>
                </c:pt>
                <c:pt idx="23">
                  <c:v>380.0917</c:v>
                </c:pt>
                <c:pt idx="24">
                  <c:v>2757.123</c:v>
                </c:pt>
                <c:pt idx="25">
                  <c:v>5359.6080000000002</c:v>
                </c:pt>
                <c:pt idx="26">
                  <c:v>2721.4290000000001</c:v>
                </c:pt>
                <c:pt idx="27">
                  <c:v>5689.6940000000004</c:v>
                </c:pt>
                <c:pt idx="28">
                  <c:v>5598.4470000000001</c:v>
                </c:pt>
                <c:pt idx="29">
                  <c:v>5630.5140000000001</c:v>
                </c:pt>
                <c:pt idx="30">
                  <c:v>5929.8379999999997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132503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19144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135466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21594</xdr:colOff>
      <xdr:row>2</xdr:row>
      <xdr:rowOff>135352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workbookViewId="0">
      <selection activeCell="E17" sqref="E17"/>
    </sheetView>
  </sheetViews>
  <sheetFormatPr defaultRowHeight="14.45"/>
  <cols>
    <col min="23" max="23" width="12.5703125" customWidth="1"/>
  </cols>
  <sheetData>
    <row r="1" spans="1:31">
      <c r="A1" s="172" t="s">
        <v>0</v>
      </c>
      <c r="B1" s="173"/>
      <c r="C1" s="173"/>
      <c r="D1" s="173"/>
      <c r="E1" s="174"/>
      <c r="F1" s="166" t="s">
        <v>1</v>
      </c>
      <c r="G1" s="167"/>
      <c r="H1" s="167"/>
      <c r="I1" s="167"/>
      <c r="J1" s="167"/>
      <c r="K1" s="167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75" t="s">
        <v>2</v>
      </c>
      <c r="B2" s="176"/>
      <c r="C2" s="176"/>
      <c r="D2" s="176"/>
      <c r="E2" s="176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68" t="s">
        <v>4</v>
      </c>
      <c r="B3" s="169"/>
      <c r="C3" s="169"/>
      <c r="D3" s="169"/>
      <c r="E3" s="169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6.149999999999999">
      <c r="A4" s="168" t="s">
        <v>6</v>
      </c>
      <c r="B4" s="169"/>
      <c r="C4" s="169"/>
      <c r="D4" s="169"/>
      <c r="E4" s="169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6.149999999999999">
      <c r="A5" s="168" t="s">
        <v>8</v>
      </c>
      <c r="B5" s="169"/>
      <c r="C5" s="169"/>
      <c r="D5" s="169"/>
      <c r="E5" s="169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68" t="s">
        <v>10</v>
      </c>
      <c r="B6" s="169"/>
      <c r="C6" s="169"/>
      <c r="D6" s="169"/>
      <c r="E6" s="169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68" t="s">
        <v>12</v>
      </c>
      <c r="B7" s="169"/>
      <c r="C7" s="169"/>
      <c r="D7" s="169"/>
      <c r="E7" s="169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68" t="s">
        <v>14</v>
      </c>
      <c r="B8" s="169"/>
      <c r="C8" s="169"/>
      <c r="D8" s="169"/>
      <c r="E8" s="169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68" t="s">
        <v>16</v>
      </c>
      <c r="B9" s="169"/>
      <c r="C9" s="169"/>
      <c r="D9" s="169"/>
      <c r="E9" s="169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68" t="s">
        <v>18</v>
      </c>
      <c r="B10" s="169"/>
      <c r="C10" s="169"/>
      <c r="D10" s="169"/>
      <c r="E10" s="169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70" t="s">
        <v>20</v>
      </c>
      <c r="B11" s="171"/>
      <c r="C11" s="171"/>
      <c r="D11" s="171"/>
      <c r="E11" s="171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3"/>
  <sheetViews>
    <sheetView view="pageLayout" topLeftCell="A31" zoomScale="80" zoomScaleNormal="80" zoomScalePageLayoutView="80" workbookViewId="0">
      <selection activeCell="C71" sqref="C71:L73"/>
    </sheetView>
  </sheetViews>
  <sheetFormatPr defaultRowHeight="14.4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  <col min="11" max="11" width="73.42578125" customWidth="1"/>
  </cols>
  <sheetData>
    <row r="1" spans="3:13" ht="18">
      <c r="E1" s="178" t="s">
        <v>22</v>
      </c>
      <c r="F1" s="178"/>
      <c r="G1" s="178"/>
      <c r="H1" s="178"/>
      <c r="I1" s="178"/>
      <c r="J1" s="178"/>
    </row>
    <row r="2" spans="3:13">
      <c r="E2" s="179" t="s">
        <v>23</v>
      </c>
      <c r="F2" s="179"/>
      <c r="G2" s="179"/>
      <c r="H2" s="179"/>
      <c r="I2" s="179"/>
      <c r="J2" s="179"/>
    </row>
    <row r="3" spans="3:13">
      <c r="E3" s="180" t="s">
        <v>24</v>
      </c>
      <c r="F3" s="181"/>
      <c r="G3" s="181"/>
      <c r="H3" s="181"/>
      <c r="I3" s="181"/>
      <c r="J3" s="181"/>
    </row>
    <row r="5" spans="3:13">
      <c r="C5" s="182" t="s">
        <v>25</v>
      </c>
      <c r="D5" s="183"/>
      <c r="E5" s="183"/>
      <c r="F5" s="183"/>
      <c r="G5" s="183"/>
      <c r="H5" s="183"/>
      <c r="I5" s="183"/>
      <c r="J5" s="183"/>
      <c r="K5" s="183"/>
      <c r="L5" s="184"/>
    </row>
    <row r="6" spans="3:13">
      <c r="C6" s="20"/>
      <c r="D6" s="21"/>
      <c r="E6" s="173" t="s">
        <v>2</v>
      </c>
      <c r="F6" s="173"/>
      <c r="G6" s="173"/>
      <c r="H6" s="173"/>
      <c r="I6" s="173"/>
      <c r="J6" s="22">
        <f>SUM(G32:G62)</f>
        <v>77964.999999998137</v>
      </c>
      <c r="K6" s="21" t="s">
        <v>26</v>
      </c>
      <c r="L6" s="23"/>
    </row>
    <row r="7" spans="3:13">
      <c r="C7" s="3"/>
      <c r="D7" s="2"/>
      <c r="E7" s="177" t="s">
        <v>4</v>
      </c>
      <c r="F7" s="177"/>
      <c r="G7" s="177"/>
      <c r="H7" s="177"/>
      <c r="I7" s="177"/>
      <c r="J7" s="8">
        <f>'Predicted Data'!D17</f>
        <v>148923.29999999999</v>
      </c>
      <c r="K7" s="69"/>
      <c r="L7" s="4"/>
    </row>
    <row r="8" spans="3:13" ht="16.149999999999999">
      <c r="C8" s="3"/>
      <c r="D8" s="2"/>
      <c r="E8" s="177" t="s">
        <v>6</v>
      </c>
      <c r="F8" s="177"/>
      <c r="G8" s="177"/>
      <c r="H8" s="177"/>
      <c r="I8" s="177"/>
      <c r="J8" s="8">
        <f>SUM(H32:H62)</f>
        <v>78267.64370000003</v>
      </c>
      <c r="K8" s="2" t="s">
        <v>26</v>
      </c>
      <c r="L8" s="4"/>
    </row>
    <row r="9" spans="3:13" ht="16.149999999999999">
      <c r="C9" s="3"/>
      <c r="D9" s="2"/>
      <c r="E9" s="177" t="s">
        <v>8</v>
      </c>
      <c r="F9" s="177"/>
      <c r="G9" s="177"/>
      <c r="H9" s="177"/>
      <c r="I9" s="177"/>
      <c r="J9" s="79"/>
      <c r="K9" s="69"/>
      <c r="L9" s="4"/>
    </row>
    <row r="10" spans="3:13">
      <c r="C10" s="3"/>
      <c r="D10" s="2"/>
      <c r="E10" s="177" t="s">
        <v>10</v>
      </c>
      <c r="F10" s="177"/>
      <c r="G10" s="177"/>
      <c r="H10" s="177"/>
      <c r="I10" s="177"/>
      <c r="J10" s="85">
        <f>'Plant Health'!H116</f>
        <v>182254.72279999996</v>
      </c>
      <c r="K10" s="2" t="s">
        <v>26</v>
      </c>
      <c r="L10" s="4"/>
    </row>
    <row r="11" spans="3:13">
      <c r="C11" s="3"/>
      <c r="D11" s="2"/>
      <c r="E11" s="177" t="s">
        <v>12</v>
      </c>
      <c r="F11" s="177"/>
      <c r="G11" s="177"/>
      <c r="H11" s="177"/>
      <c r="I11" s="177"/>
      <c r="J11" s="31">
        <f>J6/J10</f>
        <v>0.42778040975955522</v>
      </c>
      <c r="K11" s="2"/>
      <c r="L11" s="4"/>
      <c r="M11" s="61"/>
    </row>
    <row r="12" spans="3:13">
      <c r="C12" s="3"/>
      <c r="D12" s="2"/>
      <c r="E12" s="177" t="s">
        <v>16</v>
      </c>
      <c r="F12" s="177"/>
      <c r="G12" s="177"/>
      <c r="H12" s="177"/>
      <c r="I12" s="177"/>
      <c r="J12" s="31">
        <f>J6/J7</f>
        <v>0.52352452571221653</v>
      </c>
      <c r="K12" s="2"/>
      <c r="L12" s="4"/>
    </row>
    <row r="13" spans="3:13">
      <c r="C13" s="3"/>
      <c r="D13" s="2"/>
      <c r="E13" s="177" t="s">
        <v>18</v>
      </c>
      <c r="F13" s="177"/>
      <c r="G13" s="177"/>
      <c r="H13" s="177"/>
      <c r="I13" s="177"/>
      <c r="J13" s="31">
        <f>Availability!E54</f>
        <v>0.62350000000000005</v>
      </c>
      <c r="K13" s="2"/>
      <c r="L13" s="4"/>
    </row>
    <row r="14" spans="3:13">
      <c r="C14" s="5"/>
      <c r="D14" s="6"/>
      <c r="E14" s="186" t="s">
        <v>20</v>
      </c>
      <c r="F14" s="186"/>
      <c r="G14" s="186"/>
      <c r="H14" s="186"/>
      <c r="I14" s="186"/>
      <c r="J14" s="9">
        <f>Availability!E66</f>
        <v>0.62350000000000005</v>
      </c>
      <c r="K14" s="6"/>
      <c r="L14" s="7"/>
    </row>
    <row r="16" spans="3:13">
      <c r="C16" s="185" t="s">
        <v>27</v>
      </c>
      <c r="D16" s="185"/>
      <c r="E16" s="185"/>
      <c r="F16" s="185"/>
      <c r="G16" s="185"/>
      <c r="H16" s="185"/>
      <c r="I16" s="185"/>
      <c r="J16" s="185"/>
      <c r="K16" s="185"/>
      <c r="L16" s="185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85" t="s">
        <v>28</v>
      </c>
      <c r="G30" s="185"/>
      <c r="H30" s="185"/>
      <c r="I30" s="185"/>
      <c r="J30" s="11"/>
      <c r="K30" s="11"/>
      <c r="L30" s="11"/>
    </row>
    <row r="31" spans="3:12" s="10" customFormat="1" ht="44.1" customHeight="1">
      <c r="E31" s="13"/>
      <c r="F31" s="158" t="s">
        <v>29</v>
      </c>
      <c r="G31" s="159" t="s">
        <v>30</v>
      </c>
      <c r="H31" s="159" t="s">
        <v>31</v>
      </c>
      <c r="I31" s="159" t="s">
        <v>32</v>
      </c>
      <c r="J31" s="12"/>
      <c r="K31" s="13"/>
    </row>
    <row r="32" spans="3:12" ht="23.45" customHeight="1">
      <c r="E32" s="2"/>
      <c r="F32" s="160">
        <v>46023</v>
      </c>
      <c r="G32" s="164"/>
      <c r="H32" s="161"/>
      <c r="I32" s="161"/>
      <c r="J32" s="2"/>
      <c r="K32" s="151"/>
    </row>
    <row r="33" spans="5:15">
      <c r="E33" s="2"/>
      <c r="F33" s="160">
        <v>46024</v>
      </c>
      <c r="G33" s="165">
        <v>3920.9999999981401</v>
      </c>
      <c r="H33" s="161">
        <v>3479.5880000000002</v>
      </c>
      <c r="I33" s="161">
        <v>19.33736</v>
      </c>
      <c r="J33" s="2"/>
      <c r="K33" s="14"/>
    </row>
    <row r="34" spans="5:15">
      <c r="E34" s="2"/>
      <c r="F34" s="160">
        <v>46025</v>
      </c>
      <c r="G34" s="165">
        <v>3086</v>
      </c>
      <c r="H34" s="161">
        <v>2109.5419999999999</v>
      </c>
      <c r="I34" s="161">
        <v>22.81343</v>
      </c>
      <c r="J34" s="2"/>
      <c r="K34" s="14"/>
    </row>
    <row r="35" spans="5:15">
      <c r="E35" s="2"/>
      <c r="F35" s="160">
        <v>46026</v>
      </c>
      <c r="G35" s="165">
        <v>572.851351350546</v>
      </c>
      <c r="H35" s="161">
        <v>1389.0419999999999</v>
      </c>
      <c r="I35" s="161">
        <v>24.465620000000001</v>
      </c>
      <c r="J35" s="2"/>
      <c r="K35" s="14"/>
    </row>
    <row r="36" spans="5:15">
      <c r="E36" s="2"/>
      <c r="F36" s="160">
        <v>46027</v>
      </c>
      <c r="G36" s="165">
        <v>925.148648649454</v>
      </c>
      <c r="H36" s="161">
        <v>1316.4449999999999</v>
      </c>
      <c r="I36" s="161">
        <v>17.093029999999999</v>
      </c>
      <c r="J36" s="2"/>
      <c r="K36" s="14"/>
    </row>
    <row r="37" spans="5:15">
      <c r="E37" s="2"/>
      <c r="F37" s="160">
        <v>46028</v>
      </c>
      <c r="G37" s="165">
        <v>1115</v>
      </c>
      <c r="H37" s="161">
        <v>2487.663</v>
      </c>
      <c r="I37" s="161">
        <v>26.44952</v>
      </c>
      <c r="J37" s="2"/>
      <c r="K37" s="14"/>
    </row>
    <row r="38" spans="5:15">
      <c r="E38" s="2"/>
      <c r="F38" s="160">
        <v>46029</v>
      </c>
      <c r="G38" s="164">
        <v>815</v>
      </c>
      <c r="H38" s="161">
        <v>647.90129999999999</v>
      </c>
      <c r="I38" s="161">
        <v>31.536190000000001</v>
      </c>
      <c r="J38" s="2"/>
      <c r="K38" s="8"/>
    </row>
    <row r="39" spans="5:15">
      <c r="E39" s="2"/>
      <c r="F39" s="160">
        <v>46030</v>
      </c>
      <c r="G39" s="165">
        <v>4215.9651162791997</v>
      </c>
      <c r="H39" s="161">
        <v>2945.4</v>
      </c>
      <c r="I39" s="161">
        <v>30.82789</v>
      </c>
      <c r="J39" s="2"/>
      <c r="K39" s="14"/>
    </row>
    <row r="40" spans="5:15">
      <c r="E40" s="2"/>
      <c r="F40" s="160">
        <v>46031</v>
      </c>
      <c r="G40" s="165">
        <v>5220.0348837208003</v>
      </c>
      <c r="H40" s="161">
        <v>2863.2020000000002</v>
      </c>
      <c r="I40" s="161">
        <v>34.129330000000003</v>
      </c>
      <c r="J40" s="2"/>
      <c r="K40" s="14"/>
    </row>
    <row r="41" spans="5:15">
      <c r="E41" s="2"/>
      <c r="F41" s="160">
        <v>46032</v>
      </c>
      <c r="G41" s="164">
        <v>2929</v>
      </c>
      <c r="H41" s="161">
        <v>1505.809</v>
      </c>
      <c r="I41" s="161">
        <v>38.404490000000003</v>
      </c>
      <c r="J41" s="2"/>
      <c r="K41" s="14"/>
    </row>
    <row r="42" spans="5:15">
      <c r="E42" s="2"/>
      <c r="F42" s="160">
        <v>46033</v>
      </c>
      <c r="G42" s="165">
        <v>4647.5</v>
      </c>
      <c r="H42" s="161">
        <v>2772.06</v>
      </c>
      <c r="I42" s="161">
        <v>37.351750000000003</v>
      </c>
      <c r="J42" s="2"/>
      <c r="K42" s="14"/>
    </row>
    <row r="43" spans="5:15">
      <c r="E43" s="2"/>
      <c r="F43" s="160">
        <v>46034</v>
      </c>
      <c r="G43" s="165">
        <v>6108.5</v>
      </c>
      <c r="H43" s="161">
        <v>3746.0740000000001</v>
      </c>
      <c r="I43" s="161">
        <v>30.786190000000001</v>
      </c>
      <c r="J43" s="2"/>
      <c r="K43" s="14"/>
    </row>
    <row r="44" spans="5:15">
      <c r="E44" s="2"/>
      <c r="F44" s="160">
        <v>46035</v>
      </c>
      <c r="G44" s="164">
        <v>6590</v>
      </c>
      <c r="H44" s="161">
        <v>3946.9189999999999</v>
      </c>
      <c r="I44" s="161">
        <v>35.397370000000002</v>
      </c>
      <c r="J44" s="2"/>
      <c r="K44" s="14"/>
    </row>
    <row r="45" spans="5:15">
      <c r="E45" s="2"/>
      <c r="F45" s="160">
        <v>46036</v>
      </c>
      <c r="G45" s="165">
        <v>3462</v>
      </c>
      <c r="H45" s="161">
        <v>1920.3969999999999</v>
      </c>
      <c r="I45" s="161">
        <v>40.223599999999998</v>
      </c>
      <c r="J45" s="2"/>
      <c r="K45" s="14"/>
    </row>
    <row r="46" spans="5:15">
      <c r="E46" s="2"/>
      <c r="F46" s="160">
        <v>46037</v>
      </c>
      <c r="G46" s="165">
        <v>3089</v>
      </c>
      <c r="H46" s="161">
        <v>1824.1980000000001</v>
      </c>
      <c r="I46" s="161">
        <v>37.582360000000001</v>
      </c>
      <c r="J46" s="2"/>
      <c r="K46" s="14"/>
    </row>
    <row r="47" spans="5:15">
      <c r="E47" s="2"/>
      <c r="F47" s="160">
        <v>46038</v>
      </c>
      <c r="G47" s="165">
        <v>8558</v>
      </c>
      <c r="H47" s="161">
        <v>5009.817</v>
      </c>
      <c r="I47" s="161">
        <v>23.387640000000001</v>
      </c>
      <c r="J47" s="2"/>
      <c r="K47" s="14"/>
    </row>
    <row r="48" spans="5:15">
      <c r="E48" s="2"/>
      <c r="F48" s="160">
        <v>46039</v>
      </c>
      <c r="G48" s="165">
        <v>75.928571429103599</v>
      </c>
      <c r="H48" s="161">
        <v>243.2516</v>
      </c>
      <c r="I48" s="161">
        <v>27.77975</v>
      </c>
      <c r="J48" s="2"/>
      <c r="K48" s="14"/>
      <c r="M48" s="2"/>
      <c r="N48" s="2"/>
      <c r="O48" s="2"/>
    </row>
    <row r="49" spans="5:15">
      <c r="E49" s="2"/>
      <c r="F49" s="160">
        <v>46040</v>
      </c>
      <c r="G49" s="165">
        <v>137.07142857089599</v>
      </c>
      <c r="H49" s="161">
        <v>174.1799</v>
      </c>
      <c r="I49" s="161">
        <v>28.797139999999999</v>
      </c>
      <c r="J49" s="2"/>
      <c r="K49" s="14"/>
      <c r="M49" s="2"/>
      <c r="N49" s="2"/>
      <c r="O49" s="2"/>
    </row>
    <row r="50" spans="5:15">
      <c r="E50" s="2"/>
      <c r="F50" s="160">
        <v>46041</v>
      </c>
      <c r="G50" s="165">
        <v>71.759493671357603</v>
      </c>
      <c r="H50" s="161">
        <v>353.93220000000002</v>
      </c>
      <c r="I50" s="161">
        <v>27.415330000000001</v>
      </c>
      <c r="J50" s="2"/>
      <c r="K50" s="14"/>
    </row>
    <row r="51" spans="5:15">
      <c r="E51" s="2"/>
      <c r="F51" s="160">
        <v>46042</v>
      </c>
      <c r="G51" s="165">
        <v>954.12668519094598</v>
      </c>
      <c r="H51" s="161">
        <v>1375.652</v>
      </c>
      <c r="I51" s="161">
        <v>14.681900000000001</v>
      </c>
      <c r="J51" s="2"/>
      <c r="K51" s="14"/>
    </row>
    <row r="52" spans="5:15">
      <c r="E52" s="2"/>
      <c r="F52" s="160">
        <v>46043</v>
      </c>
      <c r="G52" s="165">
        <v>847.11382113769696</v>
      </c>
      <c r="H52" s="161">
        <v>3516.0239999999999</v>
      </c>
      <c r="I52" s="161">
        <v>15.68271</v>
      </c>
      <c r="J52" s="2"/>
      <c r="K52" s="14"/>
    </row>
    <row r="53" spans="5:15">
      <c r="E53" s="2"/>
      <c r="F53" s="160">
        <v>46044</v>
      </c>
      <c r="G53" s="165">
        <v>1405</v>
      </c>
      <c r="H53" s="161">
        <v>2995.1849999999999</v>
      </c>
      <c r="I53" s="161">
        <v>29.348939999999999</v>
      </c>
      <c r="J53" s="2"/>
      <c r="K53" s="14"/>
    </row>
    <row r="54" spans="5:15">
      <c r="E54" s="2"/>
      <c r="F54" s="160">
        <v>46045</v>
      </c>
      <c r="G54" s="165">
        <v>7025.6588235292602</v>
      </c>
      <c r="H54" s="161">
        <v>4763.68</v>
      </c>
      <c r="I54" s="161">
        <v>23.30294</v>
      </c>
      <c r="J54" s="2"/>
      <c r="K54" s="14"/>
    </row>
    <row r="55" spans="5:15">
      <c r="E55" s="2"/>
      <c r="F55" s="160">
        <v>46046</v>
      </c>
      <c r="G55" s="165">
        <v>8711.3411764726006</v>
      </c>
      <c r="H55" s="161">
        <v>5259.3130000000001</v>
      </c>
      <c r="I55" s="161">
        <v>6.1129199999999999</v>
      </c>
      <c r="J55" s="2"/>
      <c r="K55" s="14"/>
    </row>
    <row r="56" spans="5:15">
      <c r="E56" s="2"/>
      <c r="F56" s="160">
        <v>46047</v>
      </c>
      <c r="G56" s="165">
        <v>316.69333333149598</v>
      </c>
      <c r="H56" s="161">
        <v>293.28710000000001</v>
      </c>
      <c r="I56" s="161">
        <v>5.8504709999999998</v>
      </c>
      <c r="J56" s="2"/>
      <c r="K56" s="14"/>
    </row>
    <row r="57" spans="5:15">
      <c r="E57" s="2"/>
      <c r="F57" s="160">
        <v>46048</v>
      </c>
      <c r="G57" s="165">
        <v>-28.693333333358201</v>
      </c>
      <c r="H57" s="161">
        <v>430.32859999999999</v>
      </c>
      <c r="I57" s="161">
        <v>16.793050000000001</v>
      </c>
      <c r="J57" s="2"/>
      <c r="K57" s="14"/>
    </row>
    <row r="58" spans="5:15">
      <c r="E58" s="2"/>
      <c r="F58" s="160">
        <v>46049</v>
      </c>
      <c r="G58" s="165">
        <v>-1</v>
      </c>
      <c r="H58" s="161">
        <v>1268.8119999999999</v>
      </c>
      <c r="I58" s="161">
        <v>12.462870000000001</v>
      </c>
      <c r="J58" s="2"/>
      <c r="K58" s="14"/>
    </row>
    <row r="59" spans="5:15">
      <c r="E59" s="2"/>
      <c r="F59" s="160">
        <v>46050</v>
      </c>
      <c r="G59" s="165">
        <v>361.27500000037298</v>
      </c>
      <c r="H59" s="161">
        <v>4011.71</v>
      </c>
      <c r="I59" s="161">
        <v>7.3351819999999996</v>
      </c>
      <c r="J59" s="2"/>
      <c r="K59" s="14"/>
    </row>
    <row r="60" spans="5:15">
      <c r="E60" s="2"/>
      <c r="F60" s="160">
        <v>46051</v>
      </c>
      <c r="G60" s="165">
        <v>762.38537735864497</v>
      </c>
      <c r="H60" s="161">
        <v>5300.7439999999997</v>
      </c>
      <c r="I60" s="161">
        <v>7.7847819999999999</v>
      </c>
      <c r="J60" s="2"/>
      <c r="K60" s="14"/>
    </row>
    <row r="61" spans="5:15">
      <c r="E61" s="2"/>
      <c r="F61" s="160">
        <v>46052</v>
      </c>
      <c r="G61" s="165">
        <v>951.33962264098204</v>
      </c>
      <c r="H61" s="161">
        <v>4797.4290000000001</v>
      </c>
      <c r="I61" s="161">
        <v>7.7639319999999996</v>
      </c>
      <c r="J61" s="2"/>
      <c r="K61" s="14"/>
    </row>
    <row r="62" spans="5:15" s="2" customFormat="1">
      <c r="F62" s="160">
        <v>46053</v>
      </c>
      <c r="G62" s="165">
        <v>1120</v>
      </c>
      <c r="H62" s="161">
        <v>5520.058</v>
      </c>
      <c r="I62" s="161">
        <v>5.5870699999999998</v>
      </c>
      <c r="K62" s="14"/>
    </row>
    <row r="63" spans="5:15" s="2" customFormat="1">
      <c r="F63" s="157"/>
      <c r="G63" s="155"/>
      <c r="H63" s="155"/>
      <c r="I63" s="156"/>
      <c r="K63" s="14"/>
    </row>
    <row r="64" spans="5:15">
      <c r="F64" s="143"/>
      <c r="G64" s="137"/>
      <c r="H64" s="2"/>
      <c r="I64" s="2"/>
    </row>
    <row r="65" spans="3:12">
      <c r="C65" s="182" t="s">
        <v>33</v>
      </c>
      <c r="D65" s="183"/>
      <c r="E65" s="183"/>
      <c r="F65" s="183"/>
      <c r="G65" s="183"/>
      <c r="H65" s="183"/>
      <c r="I65" s="183"/>
      <c r="J65" s="183"/>
      <c r="K65" s="183"/>
      <c r="L65" s="184"/>
    </row>
    <row r="66" spans="3:12" ht="15" customHeight="1">
      <c r="C66" s="199"/>
      <c r="D66" s="200"/>
      <c r="E66" s="200"/>
      <c r="F66" s="200"/>
      <c r="G66" s="200"/>
      <c r="H66" s="200"/>
      <c r="I66" s="200"/>
      <c r="J66" s="200"/>
      <c r="K66" s="200"/>
      <c r="L66" s="201"/>
    </row>
    <row r="67" spans="3:12">
      <c r="C67" s="202"/>
      <c r="D67" s="203"/>
      <c r="E67" s="203"/>
      <c r="F67" s="203"/>
      <c r="G67" s="203"/>
      <c r="H67" s="203"/>
      <c r="I67" s="203"/>
      <c r="J67" s="203"/>
      <c r="K67" s="203"/>
      <c r="L67" s="204"/>
    </row>
    <row r="68" spans="3:12">
      <c r="C68" s="205"/>
      <c r="D68" s="206"/>
      <c r="E68" s="206"/>
      <c r="F68" s="206"/>
      <c r="G68" s="206"/>
      <c r="H68" s="206"/>
      <c r="I68" s="206"/>
      <c r="J68" s="206"/>
      <c r="K68" s="206"/>
      <c r="L68" s="207"/>
    </row>
    <row r="70" spans="3:12">
      <c r="C70" s="187" t="s">
        <v>34</v>
      </c>
      <c r="D70" s="188"/>
      <c r="E70" s="188"/>
      <c r="F70" s="188"/>
      <c r="G70" s="188"/>
      <c r="H70" s="188"/>
      <c r="I70" s="188"/>
      <c r="J70" s="188"/>
      <c r="K70" s="188"/>
      <c r="L70" s="189"/>
    </row>
    <row r="71" spans="3:12" ht="14.85" customHeight="1">
      <c r="C71" s="190" t="s">
        <v>35</v>
      </c>
      <c r="D71" s="191"/>
      <c r="E71" s="191"/>
      <c r="F71" s="191"/>
      <c r="G71" s="191"/>
      <c r="H71" s="191"/>
      <c r="I71" s="191"/>
      <c r="J71" s="191"/>
      <c r="K71" s="191"/>
      <c r="L71" s="192"/>
    </row>
    <row r="72" spans="3:12" ht="31.15" customHeight="1">
      <c r="C72" s="193"/>
      <c r="D72" s="194"/>
      <c r="E72" s="194"/>
      <c r="F72" s="194"/>
      <c r="G72" s="194"/>
      <c r="H72" s="194"/>
      <c r="I72" s="194"/>
      <c r="J72" s="194"/>
      <c r="K72" s="194"/>
      <c r="L72" s="195"/>
    </row>
    <row r="73" spans="3:12" ht="27" customHeight="1">
      <c r="C73" s="196"/>
      <c r="D73" s="197"/>
      <c r="E73" s="197"/>
      <c r="F73" s="197"/>
      <c r="G73" s="197"/>
      <c r="H73" s="197"/>
      <c r="I73" s="197"/>
      <c r="J73" s="197"/>
      <c r="K73" s="197"/>
      <c r="L73" s="198"/>
    </row>
  </sheetData>
  <mergeCells count="19">
    <mergeCell ref="C70:L70"/>
    <mergeCell ref="C65:L65"/>
    <mergeCell ref="E13:I13"/>
    <mergeCell ref="F30:I30"/>
    <mergeCell ref="C71:L73"/>
    <mergeCell ref="C66:L68"/>
    <mergeCell ref="E8:I8"/>
    <mergeCell ref="E9:I9"/>
    <mergeCell ref="E10:I10"/>
    <mergeCell ref="E11:I11"/>
    <mergeCell ref="C16:L16"/>
    <mergeCell ref="E14:I14"/>
    <mergeCell ref="E12:I12"/>
    <mergeCell ref="E7:I7"/>
    <mergeCell ref="E1:J1"/>
    <mergeCell ref="E2:J2"/>
    <mergeCell ref="E3:J3"/>
    <mergeCell ref="C5:L5"/>
    <mergeCell ref="E6:I6"/>
  </mergeCells>
  <pageMargins left="0.7" right="0.7" top="0.75" bottom="0.75" header="0.3" footer="0.3"/>
  <pageSetup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4"/>
  <sheetViews>
    <sheetView topLeftCell="A57" zoomScale="85" zoomScaleNormal="85" workbookViewId="0">
      <selection activeCell="J15" sqref="J15"/>
    </sheetView>
  </sheetViews>
  <sheetFormatPr defaultRowHeight="14.4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">
      <c r="E1" s="178" t="s">
        <v>36</v>
      </c>
      <c r="F1" s="178"/>
      <c r="G1" s="178"/>
      <c r="H1" s="178"/>
      <c r="I1" s="178"/>
      <c r="J1" s="178"/>
    </row>
    <row r="2" spans="3:18">
      <c r="E2" s="179" t="s">
        <v>23</v>
      </c>
      <c r="F2" s="179"/>
      <c r="G2" s="179"/>
      <c r="H2" s="179"/>
      <c r="I2" s="179"/>
      <c r="J2" s="179"/>
    </row>
    <row r="3" spans="3:18" ht="14.25" customHeight="1">
      <c r="E3" s="180" t="s">
        <v>37</v>
      </c>
      <c r="F3" s="181"/>
      <c r="G3" s="181"/>
      <c r="H3" s="181"/>
      <c r="I3" s="181"/>
      <c r="J3" s="181"/>
    </row>
    <row r="5" spans="3:18">
      <c r="C5" s="182" t="s">
        <v>25</v>
      </c>
      <c r="D5" s="183"/>
      <c r="E5" s="183"/>
      <c r="F5" s="183"/>
      <c r="G5" s="183"/>
      <c r="H5" s="183"/>
      <c r="I5" s="183"/>
      <c r="J5" s="183"/>
      <c r="K5" s="183"/>
      <c r="L5" s="184"/>
      <c r="R5" s="26"/>
    </row>
    <row r="6" spans="3:18">
      <c r="C6" s="20"/>
      <c r="D6" s="21"/>
      <c r="E6" s="173" t="s">
        <v>2</v>
      </c>
      <c r="F6" s="173"/>
      <c r="G6" s="173"/>
      <c r="H6" s="173"/>
      <c r="I6" s="173"/>
      <c r="J6" s="22">
        <f>SUM(G32:G62)</f>
        <v>117870</v>
      </c>
      <c r="K6" s="2"/>
      <c r="L6" s="23"/>
      <c r="R6" s="26"/>
    </row>
    <row r="7" spans="3:18">
      <c r="C7" s="3"/>
      <c r="D7" s="2"/>
      <c r="E7" s="177" t="s">
        <v>4</v>
      </c>
      <c r="F7" s="177"/>
      <c r="G7" s="177"/>
      <c r="H7" s="177"/>
      <c r="I7" s="177"/>
      <c r="J7" s="8">
        <f>'Predicted Data'!D5</f>
        <v>173872.6</v>
      </c>
      <c r="K7" s="69"/>
      <c r="L7" s="4"/>
      <c r="R7" s="26"/>
    </row>
    <row r="8" spans="3:18" ht="16.149999999999999">
      <c r="C8" s="3"/>
      <c r="D8" s="2"/>
      <c r="E8" s="177" t="s">
        <v>6</v>
      </c>
      <c r="F8" s="177"/>
      <c r="G8" s="177"/>
      <c r="H8" s="177"/>
      <c r="I8" s="177"/>
      <c r="J8" s="8">
        <f>SUM(H32:H62)</f>
        <v>72253.360700000005</v>
      </c>
      <c r="K8" s="2"/>
      <c r="L8" s="4"/>
      <c r="R8" s="26"/>
    </row>
    <row r="9" spans="3:18" ht="16.149999999999999">
      <c r="C9" s="3"/>
      <c r="D9" s="2"/>
      <c r="E9" s="177" t="s">
        <v>8</v>
      </c>
      <c r="F9" s="177"/>
      <c r="G9" s="177"/>
      <c r="H9" s="177"/>
      <c r="I9" s="177"/>
      <c r="J9" s="79"/>
      <c r="K9" s="69"/>
      <c r="L9" s="4"/>
      <c r="R9" s="44"/>
    </row>
    <row r="10" spans="3:18">
      <c r="C10" s="3"/>
      <c r="D10" s="2"/>
      <c r="E10" s="177" t="s">
        <v>10</v>
      </c>
      <c r="F10" s="177"/>
      <c r="G10" s="177"/>
      <c r="H10" s="177"/>
      <c r="I10" s="177"/>
      <c r="J10" s="84">
        <f>'Plant Health'!E116</f>
        <v>225662.44120000006</v>
      </c>
      <c r="K10" s="2"/>
      <c r="L10" s="4"/>
      <c r="R10" s="26"/>
    </row>
    <row r="11" spans="3:18">
      <c r="C11" s="3"/>
      <c r="D11" s="2"/>
      <c r="E11" s="177" t="s">
        <v>12</v>
      </c>
      <c r="F11" s="177"/>
      <c r="G11" s="177"/>
      <c r="H11" s="177"/>
      <c r="I11" s="177"/>
      <c r="J11" s="31">
        <f>J6/J10</f>
        <v>0.52232883493241222</v>
      </c>
      <c r="K11" s="2"/>
      <c r="L11" s="4"/>
      <c r="R11" s="26"/>
    </row>
    <row r="12" spans="3:18">
      <c r="C12" s="3"/>
      <c r="D12" s="2"/>
      <c r="E12" s="177" t="s">
        <v>16</v>
      </c>
      <c r="F12" s="177"/>
      <c r="G12" s="177"/>
      <c r="H12" s="177"/>
      <c r="I12" s="177"/>
      <c r="J12" s="31">
        <f>J6/J7</f>
        <v>0.67791014800491856</v>
      </c>
      <c r="K12" s="2"/>
      <c r="L12" s="4"/>
      <c r="R12" s="26"/>
    </row>
    <row r="13" spans="3:18">
      <c r="C13" s="3"/>
      <c r="D13" s="2"/>
      <c r="E13" s="177" t="s">
        <v>18</v>
      </c>
      <c r="F13" s="177"/>
      <c r="G13" s="177"/>
      <c r="H13" s="177"/>
      <c r="I13" s="177"/>
      <c r="J13" s="31">
        <f>Availability!D54</f>
        <v>0.999</v>
      </c>
      <c r="K13" s="2"/>
      <c r="L13" s="4"/>
      <c r="R13" s="26"/>
    </row>
    <row r="14" spans="3:18">
      <c r="C14" s="5"/>
      <c r="D14" s="6"/>
      <c r="E14" s="186" t="s">
        <v>20</v>
      </c>
      <c r="F14" s="186"/>
      <c r="G14" s="186"/>
      <c r="H14" s="186"/>
      <c r="I14" s="186"/>
      <c r="J14" s="9">
        <f>Availability!D66</f>
        <v>0.999</v>
      </c>
      <c r="K14" s="6"/>
      <c r="L14" s="7"/>
      <c r="R14" s="26"/>
    </row>
    <row r="15" spans="3:18">
      <c r="R15" s="26"/>
    </row>
    <row r="16" spans="3:18">
      <c r="C16" s="182" t="s">
        <v>27</v>
      </c>
      <c r="D16" s="183"/>
      <c r="E16" s="183"/>
      <c r="F16" s="183"/>
      <c r="G16" s="183"/>
      <c r="H16" s="183"/>
      <c r="I16" s="183"/>
      <c r="J16" s="183"/>
      <c r="K16" s="183"/>
      <c r="L16" s="184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208" t="s">
        <v>28</v>
      </c>
      <c r="G30" s="208"/>
      <c r="H30" s="208"/>
      <c r="I30" s="209"/>
      <c r="J30" s="11"/>
      <c r="K30" s="11"/>
      <c r="L30" s="11"/>
      <c r="R30" s="26"/>
    </row>
    <row r="31" spans="5:24" s="10" customFormat="1" ht="44.1" customHeight="1">
      <c r="E31" s="13"/>
      <c r="F31" s="138" t="s">
        <v>29</v>
      </c>
      <c r="G31" s="162" t="s">
        <v>30</v>
      </c>
      <c r="H31" s="163" t="s">
        <v>31</v>
      </c>
      <c r="I31" s="162" t="s">
        <v>32</v>
      </c>
      <c r="J31" s="12"/>
      <c r="K31" s="13"/>
      <c r="R31" s="45"/>
      <c r="X31"/>
    </row>
    <row r="32" spans="5:24">
      <c r="E32" s="2"/>
      <c r="F32" s="154">
        <v>46023</v>
      </c>
      <c r="G32" s="161">
        <v>593</v>
      </c>
      <c r="H32" s="161">
        <v>1305.7460000000001</v>
      </c>
      <c r="I32" s="161">
        <v>20.931899999999999</v>
      </c>
      <c r="J32" s="14"/>
      <c r="K32" s="14"/>
      <c r="R32" s="26"/>
    </row>
    <row r="33" spans="5:18">
      <c r="E33" s="2"/>
      <c r="F33" s="154">
        <v>46024</v>
      </c>
      <c r="G33" s="161">
        <v>3914.5</v>
      </c>
      <c r="H33" s="161">
        <v>2512.4009999999998</v>
      </c>
      <c r="I33" s="161">
        <v>15.972950000000001</v>
      </c>
      <c r="J33" s="14"/>
      <c r="K33" s="14"/>
      <c r="R33" s="26"/>
    </row>
    <row r="34" spans="5:18">
      <c r="E34" s="2"/>
      <c r="F34" s="154">
        <v>46025</v>
      </c>
      <c r="G34" s="161">
        <v>6558.5</v>
      </c>
      <c r="H34" s="161">
        <v>3157.0740000000001</v>
      </c>
      <c r="I34" s="161">
        <v>20.029399999999999</v>
      </c>
      <c r="J34" s="14"/>
      <c r="K34" s="14"/>
      <c r="R34" s="26"/>
    </row>
    <row r="35" spans="5:18">
      <c r="E35" s="2"/>
      <c r="F35" s="154">
        <v>46026</v>
      </c>
      <c r="G35" s="161">
        <v>4840.5</v>
      </c>
      <c r="H35" s="161">
        <v>2257.9760000000001</v>
      </c>
      <c r="I35" s="161">
        <v>26.095739999999999</v>
      </c>
      <c r="J35" s="14"/>
      <c r="K35" s="14"/>
      <c r="R35" s="26"/>
    </row>
    <row r="36" spans="5:18">
      <c r="E36" s="2"/>
      <c r="F36" s="154">
        <v>46027</v>
      </c>
      <c r="G36" s="161">
        <v>4671</v>
      </c>
      <c r="H36" s="161">
        <v>1659.373</v>
      </c>
      <c r="I36" s="161">
        <v>22.638059999999999</v>
      </c>
      <c r="J36" s="14"/>
      <c r="K36" s="14"/>
      <c r="R36" s="26"/>
    </row>
    <row r="37" spans="5:18">
      <c r="E37" s="2"/>
      <c r="F37" s="154">
        <v>46028</v>
      </c>
      <c r="G37" s="161">
        <v>4057.5</v>
      </c>
      <c r="H37" s="161">
        <v>1389.665</v>
      </c>
      <c r="I37" s="161">
        <v>30.32178</v>
      </c>
      <c r="J37" s="14"/>
      <c r="K37" s="14"/>
      <c r="R37" s="26"/>
    </row>
    <row r="38" spans="5:18">
      <c r="E38" s="2"/>
      <c r="F38" s="154">
        <v>46029</v>
      </c>
      <c r="G38" s="161">
        <v>1469</v>
      </c>
      <c r="H38" s="161">
        <v>436.54820000000001</v>
      </c>
      <c r="I38" s="161">
        <v>32.420940000000002</v>
      </c>
      <c r="J38" s="14"/>
      <c r="K38" s="14"/>
    </row>
    <row r="39" spans="5:18">
      <c r="E39" s="2"/>
      <c r="F39" s="154">
        <v>46030</v>
      </c>
      <c r="G39" s="161">
        <v>9938</v>
      </c>
      <c r="H39" s="161">
        <v>3353.0079999999998</v>
      </c>
      <c r="I39" s="161">
        <v>34.034410000000001</v>
      </c>
      <c r="J39" s="14"/>
      <c r="K39" s="14"/>
    </row>
    <row r="40" spans="5:18">
      <c r="E40" s="2"/>
      <c r="F40" s="154">
        <v>46031</v>
      </c>
      <c r="G40" s="161">
        <v>4882.5</v>
      </c>
      <c r="H40" s="161">
        <v>1560.625</v>
      </c>
      <c r="I40" s="161">
        <v>37.602350000000001</v>
      </c>
      <c r="J40" s="14"/>
      <c r="K40" s="14"/>
    </row>
    <row r="41" spans="5:18">
      <c r="E41" s="2"/>
      <c r="F41" s="154">
        <v>46032</v>
      </c>
      <c r="G41" s="161">
        <v>2873</v>
      </c>
      <c r="H41" s="161">
        <v>848.20299999999997</v>
      </c>
      <c r="I41" s="161">
        <v>40.312089999999998</v>
      </c>
      <c r="J41" s="14"/>
      <c r="K41" s="14"/>
    </row>
    <row r="42" spans="5:18">
      <c r="E42" s="2"/>
      <c r="F42" s="154">
        <v>46033</v>
      </c>
      <c r="G42" s="161">
        <v>3240.5</v>
      </c>
      <c r="H42" s="161">
        <v>987.38900000000001</v>
      </c>
      <c r="I42" s="161">
        <v>37.330379999999998</v>
      </c>
      <c r="J42" s="14"/>
      <c r="K42" s="14"/>
    </row>
    <row r="43" spans="5:18">
      <c r="E43" s="2"/>
      <c r="F43" s="154">
        <v>46034</v>
      </c>
      <c r="G43" s="161">
        <v>8432.5</v>
      </c>
      <c r="H43" s="161">
        <v>2819.9180000000001</v>
      </c>
      <c r="I43" s="161">
        <v>30.595690000000001</v>
      </c>
      <c r="J43" s="14"/>
      <c r="K43" s="14"/>
    </row>
    <row r="44" spans="5:18">
      <c r="E44" s="2"/>
      <c r="F44" s="154">
        <v>46035</v>
      </c>
      <c r="G44" s="161">
        <v>10218</v>
      </c>
      <c r="H44" s="161">
        <v>3352.797</v>
      </c>
      <c r="I44" s="161">
        <v>35.375520000000002</v>
      </c>
      <c r="J44" s="14"/>
      <c r="K44" s="14"/>
    </row>
    <row r="45" spans="5:18">
      <c r="E45" s="2"/>
      <c r="F45" s="154">
        <v>46036</v>
      </c>
      <c r="G45" s="161">
        <v>3650.5</v>
      </c>
      <c r="H45" s="161">
        <v>1090.338</v>
      </c>
      <c r="I45" s="161">
        <v>44.43927</v>
      </c>
      <c r="J45" s="14"/>
      <c r="K45" s="14"/>
    </row>
    <row r="46" spans="5:18">
      <c r="E46" s="2"/>
      <c r="F46" s="154">
        <v>46037</v>
      </c>
      <c r="G46" s="161">
        <v>6956</v>
      </c>
      <c r="H46" s="161">
        <v>2212.37</v>
      </c>
      <c r="I46" s="161">
        <v>40.56127</v>
      </c>
      <c r="J46" s="14"/>
      <c r="K46" s="14"/>
    </row>
    <row r="47" spans="5:18">
      <c r="E47" s="2"/>
      <c r="F47" s="154">
        <v>46038</v>
      </c>
      <c r="G47" s="161">
        <v>11616</v>
      </c>
      <c r="H47" s="161">
        <v>3536.41</v>
      </c>
      <c r="I47" s="161">
        <v>23.407160000000001</v>
      </c>
      <c r="J47" s="14"/>
      <c r="K47" s="14"/>
    </row>
    <row r="48" spans="5:18">
      <c r="E48" s="2"/>
      <c r="F48" s="154">
        <v>46039</v>
      </c>
      <c r="G48" s="161">
        <v>1925</v>
      </c>
      <c r="H48" s="161">
        <v>563.30269999999996</v>
      </c>
      <c r="I48" s="161">
        <v>32.815980000000003</v>
      </c>
      <c r="J48" s="14"/>
      <c r="K48" s="14"/>
    </row>
    <row r="49" spans="5:11">
      <c r="E49" s="2"/>
      <c r="F49" s="154">
        <v>46040</v>
      </c>
      <c r="G49" s="161">
        <v>399.5</v>
      </c>
      <c r="H49" s="161">
        <v>263.39170000000001</v>
      </c>
      <c r="I49" s="161">
        <v>30.637419999999999</v>
      </c>
      <c r="J49" s="14"/>
      <c r="K49" s="14"/>
    </row>
    <row r="50" spans="5:11">
      <c r="E50" s="2"/>
      <c r="F50" s="154">
        <v>46041</v>
      </c>
      <c r="G50" s="161">
        <v>146.5</v>
      </c>
      <c r="H50" s="161">
        <v>1258.82</v>
      </c>
      <c r="I50" s="161">
        <v>28.393840000000001</v>
      </c>
      <c r="J50" s="14"/>
      <c r="K50" s="14"/>
    </row>
    <row r="51" spans="5:11">
      <c r="E51" s="2"/>
      <c r="F51" s="154">
        <v>46042</v>
      </c>
      <c r="G51" s="161">
        <v>348</v>
      </c>
      <c r="H51" s="161">
        <v>3929.5079999999998</v>
      </c>
      <c r="I51" s="161">
        <v>14.85108</v>
      </c>
      <c r="J51" s="14"/>
      <c r="K51" s="14"/>
    </row>
    <row r="52" spans="5:11">
      <c r="E52" s="2"/>
      <c r="F52" s="154">
        <v>46043</v>
      </c>
      <c r="G52" s="161">
        <v>306.5</v>
      </c>
      <c r="H52" s="161">
        <v>3038.2579999999998</v>
      </c>
      <c r="I52" s="161">
        <v>17.570309999999999</v>
      </c>
      <c r="J52" s="14"/>
      <c r="K52" s="14"/>
    </row>
    <row r="53" spans="5:11">
      <c r="E53" s="2"/>
      <c r="F53" s="154">
        <v>46044</v>
      </c>
      <c r="G53" s="161">
        <v>2114.5</v>
      </c>
      <c r="H53" s="161">
        <v>2950.1480000000001</v>
      </c>
      <c r="I53" s="161">
        <v>36.573889999999999</v>
      </c>
      <c r="J53" s="14"/>
      <c r="K53" s="14"/>
    </row>
    <row r="54" spans="5:11">
      <c r="E54" s="2"/>
      <c r="F54" s="154">
        <v>46045</v>
      </c>
      <c r="G54" s="161">
        <v>10165.5</v>
      </c>
      <c r="H54" s="161">
        <v>3346.7620000000002</v>
      </c>
      <c r="I54" s="161">
        <v>24.00994</v>
      </c>
      <c r="J54" s="14"/>
      <c r="K54" s="14"/>
    </row>
    <row r="55" spans="5:11">
      <c r="E55" s="2"/>
      <c r="F55" s="154">
        <v>46046</v>
      </c>
      <c r="G55" s="161">
        <v>12843.5</v>
      </c>
      <c r="H55" s="161">
        <v>3857.165</v>
      </c>
      <c r="I55" s="161">
        <v>7.1773860000000003</v>
      </c>
      <c r="J55" s="14"/>
      <c r="K55" s="14"/>
    </row>
    <row r="56" spans="5:11">
      <c r="E56" s="2"/>
      <c r="F56" s="154">
        <v>46047</v>
      </c>
      <c r="G56" s="161">
        <v>232</v>
      </c>
      <c r="H56" s="161">
        <v>263.63350000000003</v>
      </c>
      <c r="I56" s="161">
        <v>9.8208000000000002</v>
      </c>
      <c r="J56" s="14"/>
      <c r="K56" s="14"/>
    </row>
    <row r="57" spans="5:11">
      <c r="E57" s="2"/>
      <c r="F57" s="154">
        <v>46048</v>
      </c>
      <c r="G57" s="161">
        <v>47.5</v>
      </c>
      <c r="H57" s="161">
        <v>656.89260000000002</v>
      </c>
      <c r="I57" s="161">
        <v>15.89851</v>
      </c>
      <c r="J57" s="14"/>
      <c r="K57" s="14"/>
    </row>
    <row r="58" spans="5:11">
      <c r="E58" s="2"/>
      <c r="F58" s="154">
        <v>46049</v>
      </c>
      <c r="G58" s="161">
        <v>255.5</v>
      </c>
      <c r="H58" s="161">
        <v>3324.4879999999998</v>
      </c>
      <c r="I58" s="161">
        <v>13.547219999999999</v>
      </c>
      <c r="J58" s="14"/>
      <c r="K58" s="14"/>
    </row>
    <row r="59" spans="5:11">
      <c r="E59" s="2"/>
      <c r="F59" s="154">
        <v>46050</v>
      </c>
      <c r="G59" s="161">
        <v>269</v>
      </c>
      <c r="H59" s="161">
        <v>3796.951</v>
      </c>
      <c r="I59" s="161">
        <v>11.845090000000001</v>
      </c>
      <c r="J59" s="14"/>
      <c r="K59" s="14"/>
    </row>
    <row r="60" spans="5:11">
      <c r="E60" s="2"/>
      <c r="F60" s="154">
        <v>46051</v>
      </c>
      <c r="G60" s="161">
        <v>281.5</v>
      </c>
      <c r="H60" s="161">
        <v>4113.5649999999996</v>
      </c>
      <c r="I60" s="161">
        <v>11.7203</v>
      </c>
      <c r="J60" s="14"/>
      <c r="K60" s="14"/>
    </row>
    <row r="61" spans="5:11">
      <c r="E61" s="2"/>
      <c r="F61" s="154">
        <v>46052</v>
      </c>
      <c r="G61" s="161">
        <v>320.5</v>
      </c>
      <c r="H61" s="161">
        <v>4333.4570000000003</v>
      </c>
      <c r="I61" s="161">
        <v>6.8080230000000004</v>
      </c>
      <c r="J61" s="14"/>
      <c r="K61" s="14"/>
    </row>
    <row r="62" spans="5:11">
      <c r="E62" s="2"/>
      <c r="F62" s="154">
        <v>46053</v>
      </c>
      <c r="G62" s="161">
        <v>304</v>
      </c>
      <c r="H62" s="161">
        <v>4077.1770000000001</v>
      </c>
      <c r="I62" s="161">
        <v>8.3358050000000006</v>
      </c>
      <c r="J62" s="14"/>
      <c r="K62" s="14"/>
    </row>
    <row r="63" spans="5:11">
      <c r="F63" s="152"/>
      <c r="G63" s="2"/>
      <c r="H63" s="2"/>
      <c r="I63" s="2"/>
    </row>
    <row r="64" spans="5:11">
      <c r="F64" s="139"/>
      <c r="G64" s="2"/>
      <c r="H64" s="2"/>
      <c r="I64" s="2"/>
    </row>
    <row r="65" spans="3:12">
      <c r="C65" s="187" t="s">
        <v>33</v>
      </c>
      <c r="D65" s="188"/>
      <c r="E65" s="188"/>
      <c r="F65" s="188"/>
      <c r="G65" s="188"/>
      <c r="H65" s="188"/>
      <c r="I65" s="188"/>
      <c r="J65" s="188"/>
      <c r="K65" s="188"/>
      <c r="L65" s="189"/>
    </row>
    <row r="66" spans="3:12" ht="15" customHeight="1">
      <c r="C66" s="199"/>
      <c r="D66" s="200"/>
      <c r="E66" s="200"/>
      <c r="F66" s="200"/>
      <c r="G66" s="200"/>
      <c r="H66" s="200"/>
      <c r="I66" s="200"/>
      <c r="J66" s="200"/>
      <c r="K66" s="200"/>
      <c r="L66" s="201"/>
    </row>
    <row r="67" spans="3:12">
      <c r="C67" s="202"/>
      <c r="D67" s="203"/>
      <c r="E67" s="203"/>
      <c r="F67" s="203"/>
      <c r="G67" s="203"/>
      <c r="H67" s="203"/>
      <c r="I67" s="203"/>
      <c r="J67" s="203"/>
      <c r="K67" s="203"/>
      <c r="L67" s="204"/>
    </row>
    <row r="68" spans="3:12">
      <c r="C68" s="205"/>
      <c r="D68" s="206"/>
      <c r="E68" s="206"/>
      <c r="F68" s="206"/>
      <c r="G68" s="206"/>
      <c r="H68" s="206"/>
      <c r="I68" s="206"/>
      <c r="J68" s="206"/>
      <c r="K68" s="206"/>
      <c r="L68" s="207"/>
    </row>
    <row r="69" spans="3:12"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3:12">
      <c r="C70" s="187" t="s">
        <v>34</v>
      </c>
      <c r="D70" s="188"/>
      <c r="E70" s="188"/>
      <c r="F70" s="188"/>
      <c r="G70" s="188"/>
      <c r="H70" s="188"/>
      <c r="I70" s="188"/>
      <c r="J70" s="188"/>
      <c r="K70" s="188"/>
      <c r="L70" s="189"/>
    </row>
    <row r="71" spans="3:12" ht="14.85" customHeight="1">
      <c r="C71" s="199"/>
      <c r="D71" s="200"/>
      <c r="E71" s="200"/>
      <c r="F71" s="200"/>
      <c r="G71" s="200"/>
      <c r="H71" s="200"/>
      <c r="I71" s="200"/>
      <c r="J71" s="200"/>
      <c r="K71" s="200"/>
      <c r="L71" s="201"/>
    </row>
    <row r="72" spans="3:12">
      <c r="C72" s="202"/>
      <c r="D72" s="203"/>
      <c r="E72" s="203"/>
      <c r="F72" s="203"/>
      <c r="G72" s="203"/>
      <c r="H72" s="203"/>
      <c r="I72" s="203"/>
      <c r="J72" s="203"/>
      <c r="K72" s="203"/>
      <c r="L72" s="204"/>
    </row>
    <row r="73" spans="3:12">
      <c r="C73" s="205"/>
      <c r="D73" s="206"/>
      <c r="E73" s="206"/>
      <c r="F73" s="206"/>
      <c r="G73" s="206"/>
      <c r="H73" s="206"/>
      <c r="I73" s="206"/>
      <c r="J73" s="206"/>
      <c r="K73" s="206"/>
      <c r="L73" s="207"/>
    </row>
    <row r="74" spans="3:12">
      <c r="C74" s="57"/>
      <c r="D74" s="57"/>
      <c r="E74" s="57"/>
      <c r="F74" s="57"/>
      <c r="G74" s="57"/>
      <c r="H74" s="57"/>
      <c r="I74" s="57"/>
      <c r="J74" s="57"/>
      <c r="K74" s="57"/>
      <c r="L74" s="57"/>
    </row>
  </sheetData>
  <mergeCells count="19">
    <mergeCell ref="C71:L73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5:L65"/>
    <mergeCell ref="C70:L70"/>
    <mergeCell ref="C66:L68"/>
    <mergeCell ref="E1:J1"/>
    <mergeCell ref="E2:J2"/>
    <mergeCell ref="E3:J3"/>
    <mergeCell ref="E8:I8"/>
    <mergeCell ref="E9:I9"/>
    <mergeCell ref="E6:I6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3"/>
  <sheetViews>
    <sheetView tabSelected="1" topLeftCell="B39" zoomScale="80" zoomScaleNormal="80" workbookViewId="0">
      <selection activeCell="J13" sqref="J13"/>
    </sheetView>
  </sheetViews>
  <sheetFormatPr defaultColWidth="9" defaultRowHeight="14.4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">
      <c r="E1" s="211" t="s">
        <v>38</v>
      </c>
      <c r="F1" s="211"/>
      <c r="G1" s="211"/>
      <c r="H1" s="211"/>
      <c r="I1" s="211"/>
      <c r="J1" s="211"/>
    </row>
    <row r="2" spans="3:13">
      <c r="E2" s="212" t="s">
        <v>23</v>
      </c>
      <c r="F2" s="212"/>
      <c r="G2" s="212"/>
      <c r="H2" s="212"/>
      <c r="I2" s="212"/>
      <c r="J2" s="212"/>
    </row>
    <row r="3" spans="3:13" ht="14.25" customHeight="1">
      <c r="E3" s="180" t="s">
        <v>37</v>
      </c>
      <c r="F3" s="181"/>
      <c r="G3" s="181"/>
      <c r="H3" s="181"/>
      <c r="I3" s="181"/>
      <c r="J3" s="181"/>
    </row>
    <row r="5" spans="3:13">
      <c r="C5" s="213" t="s">
        <v>25</v>
      </c>
      <c r="D5" s="214"/>
      <c r="E5" s="214"/>
      <c r="F5" s="214"/>
      <c r="G5" s="214"/>
      <c r="H5" s="214"/>
      <c r="I5" s="214"/>
      <c r="J5" s="214"/>
      <c r="K5" s="214"/>
      <c r="L5" s="215"/>
    </row>
    <row r="6" spans="3:13">
      <c r="C6" s="107"/>
      <c r="D6" s="108"/>
      <c r="E6" s="216" t="s">
        <v>2</v>
      </c>
      <c r="F6" s="216"/>
      <c r="G6" s="216"/>
      <c r="H6" s="216"/>
      <c r="I6" s="216"/>
      <c r="J6" s="109">
        <f>SUM(G32:G62)</f>
        <v>337051</v>
      </c>
      <c r="K6" s="108"/>
      <c r="L6" s="110"/>
    </row>
    <row r="7" spans="3:13">
      <c r="C7" s="111"/>
      <c r="E7" s="210" t="s">
        <v>4</v>
      </c>
      <c r="F7" s="210"/>
      <c r="G7" s="210"/>
      <c r="H7" s="210"/>
      <c r="I7" s="210"/>
      <c r="J7" s="112">
        <f>'Predicted Data'!D29</f>
        <v>359065</v>
      </c>
      <c r="K7" s="113"/>
      <c r="L7" s="114"/>
    </row>
    <row r="8" spans="3:13" ht="16.149999999999999">
      <c r="C8" s="111"/>
      <c r="E8" s="210" t="s">
        <v>6</v>
      </c>
      <c r="F8" s="210"/>
      <c r="G8" s="210"/>
      <c r="H8" s="210"/>
      <c r="I8" s="210"/>
      <c r="J8" s="112">
        <f>SUM(H32:H62)</f>
        <v>116360.46629000003</v>
      </c>
      <c r="L8" s="114"/>
    </row>
    <row r="9" spans="3:13" ht="16.149999999999999">
      <c r="C9" s="111"/>
      <c r="E9" s="210" t="s">
        <v>8</v>
      </c>
      <c r="F9" s="210"/>
      <c r="G9" s="210"/>
      <c r="H9" s="210"/>
      <c r="I9" s="210"/>
      <c r="J9" s="115"/>
      <c r="K9" s="113"/>
      <c r="L9" s="114"/>
    </row>
    <row r="10" spans="3:13">
      <c r="C10" s="111"/>
      <c r="E10" s="210" t="s">
        <v>10</v>
      </c>
      <c r="F10" s="210"/>
      <c r="G10" s="210"/>
      <c r="H10" s="210"/>
      <c r="I10" s="210"/>
      <c r="J10" s="116">
        <f>'Plant Health'!K116</f>
        <v>320636.0769000001</v>
      </c>
      <c r="L10" s="114"/>
    </row>
    <row r="11" spans="3:13">
      <c r="C11" s="111"/>
      <c r="E11" s="210" t="s">
        <v>12</v>
      </c>
      <c r="F11" s="210"/>
      <c r="G11" s="210"/>
      <c r="H11" s="210"/>
      <c r="I11" s="210"/>
      <c r="J11" s="117">
        <f>J6/J10</f>
        <v>1.051194872575488</v>
      </c>
      <c r="L11" s="114"/>
      <c r="M11" s="118"/>
    </row>
    <row r="12" spans="3:13">
      <c r="C12" s="111"/>
      <c r="E12" s="210" t="s">
        <v>16</v>
      </c>
      <c r="F12" s="210"/>
      <c r="G12" s="210"/>
      <c r="H12" s="210"/>
      <c r="I12" s="210"/>
      <c r="J12" s="117">
        <f>J6/J7</f>
        <v>0.93869076629579606</v>
      </c>
      <c r="L12" s="114"/>
    </row>
    <row r="13" spans="3:13">
      <c r="C13" s="111"/>
      <c r="E13" s="210" t="s">
        <v>18</v>
      </c>
      <c r="F13" s="210"/>
      <c r="G13" s="210"/>
      <c r="H13" s="210"/>
      <c r="I13" s="210"/>
      <c r="J13" s="117">
        <f>Availability!F54</f>
        <v>1</v>
      </c>
      <c r="L13" s="114"/>
    </row>
    <row r="14" spans="3:13">
      <c r="C14" s="119"/>
      <c r="D14" s="120"/>
      <c r="E14" s="226" t="s">
        <v>20</v>
      </c>
      <c r="F14" s="226"/>
      <c r="G14" s="226"/>
      <c r="H14" s="226"/>
      <c r="I14" s="226"/>
      <c r="J14" s="121">
        <f>Availability!F66</f>
        <v>1</v>
      </c>
      <c r="K14" s="120"/>
      <c r="L14" s="122"/>
    </row>
    <row r="16" spans="3:13">
      <c r="C16" s="213" t="s">
        <v>27</v>
      </c>
      <c r="D16" s="214"/>
      <c r="E16" s="214"/>
      <c r="F16" s="214"/>
      <c r="G16" s="214"/>
      <c r="H16" s="214"/>
      <c r="I16" s="214"/>
      <c r="J16" s="214"/>
      <c r="K16" s="214"/>
      <c r="L16" s="215"/>
    </row>
    <row r="30" spans="5:12">
      <c r="E30" s="123"/>
      <c r="F30" s="227" t="s">
        <v>28</v>
      </c>
      <c r="G30" s="227"/>
      <c r="H30" s="227"/>
      <c r="I30" s="227"/>
      <c r="J30" s="123"/>
      <c r="K30" s="123"/>
      <c r="L30" s="123"/>
    </row>
    <row r="31" spans="5:12" s="126" customFormat="1" ht="44.1" customHeight="1">
      <c r="E31" s="124"/>
      <c r="F31" s="125" t="s">
        <v>29</v>
      </c>
      <c r="G31" s="141" t="s">
        <v>30</v>
      </c>
      <c r="H31" s="141" t="s">
        <v>31</v>
      </c>
      <c r="I31" s="141" t="s">
        <v>32</v>
      </c>
      <c r="K31" s="124"/>
    </row>
    <row r="32" spans="5:12">
      <c r="F32" s="140">
        <v>46023</v>
      </c>
      <c r="G32" s="161">
        <v>8170</v>
      </c>
      <c r="H32" s="161">
        <v>2608.2220000000002</v>
      </c>
      <c r="I32" s="161">
        <v>58.814140000000002</v>
      </c>
      <c r="K32" s="127"/>
    </row>
    <row r="33" spans="6:11">
      <c r="F33" s="140">
        <v>46024</v>
      </c>
      <c r="G33" s="161">
        <v>12503</v>
      </c>
      <c r="H33" s="161">
        <v>4486.3620000000001</v>
      </c>
      <c r="I33" s="161">
        <v>60.854210000000002</v>
      </c>
      <c r="K33" s="127"/>
    </row>
    <row r="34" spans="6:11">
      <c r="F34" s="140">
        <v>46025</v>
      </c>
      <c r="G34" s="161">
        <v>12497</v>
      </c>
      <c r="H34" s="161">
        <v>4450.3450000000003</v>
      </c>
      <c r="I34" s="161">
        <v>52.667729999999999</v>
      </c>
      <c r="K34" s="127"/>
    </row>
    <row r="35" spans="6:11">
      <c r="F35" s="140">
        <v>46026</v>
      </c>
      <c r="G35" s="161">
        <v>7860</v>
      </c>
      <c r="H35" s="161">
        <v>2376.4650000000001</v>
      </c>
      <c r="I35" s="161">
        <v>50.646859999999997</v>
      </c>
      <c r="K35" s="127"/>
    </row>
    <row r="36" spans="6:11">
      <c r="F36" s="140">
        <v>46027</v>
      </c>
      <c r="G36" s="161">
        <v>8664</v>
      </c>
      <c r="H36" s="161">
        <v>2942.76</v>
      </c>
      <c r="I36" s="161">
        <v>61.440300000000001</v>
      </c>
      <c r="K36" s="127"/>
    </row>
    <row r="37" spans="6:11">
      <c r="F37" s="140">
        <v>46028</v>
      </c>
      <c r="G37" s="161">
        <v>11962</v>
      </c>
      <c r="H37" s="161">
        <v>4385.7910000000002</v>
      </c>
      <c r="I37" s="161">
        <v>62.349919999999997</v>
      </c>
      <c r="K37" s="127"/>
    </row>
    <row r="38" spans="6:11">
      <c r="F38" s="140">
        <v>46029</v>
      </c>
      <c r="G38" s="161">
        <v>9429</v>
      </c>
      <c r="H38" s="161">
        <v>3096.5059999999999</v>
      </c>
      <c r="I38" s="161">
        <v>61.463410000000003</v>
      </c>
      <c r="K38" s="127"/>
    </row>
    <row r="39" spans="6:11">
      <c r="F39" s="140">
        <v>46030</v>
      </c>
      <c r="G39" s="161">
        <v>7286</v>
      </c>
      <c r="H39" s="161">
        <v>2411.3159999999998</v>
      </c>
      <c r="I39" s="161">
        <v>69.369829999999993</v>
      </c>
      <c r="K39" s="127"/>
    </row>
    <row r="40" spans="6:11">
      <c r="F40" s="140">
        <v>46031</v>
      </c>
      <c r="G40" s="161">
        <v>7068</v>
      </c>
      <c r="H40" s="161">
        <v>2236.739</v>
      </c>
      <c r="I40" s="161">
        <v>55.067050000000002</v>
      </c>
      <c r="K40" s="127"/>
    </row>
    <row r="41" spans="6:11">
      <c r="F41" s="140">
        <v>46032</v>
      </c>
      <c r="G41" s="161">
        <v>13300</v>
      </c>
      <c r="H41" s="161">
        <v>4846.5879999999997</v>
      </c>
      <c r="I41" s="161">
        <v>44.241230000000002</v>
      </c>
      <c r="K41" s="127"/>
    </row>
    <row r="42" spans="6:11">
      <c r="F42" s="140">
        <v>46033</v>
      </c>
      <c r="G42" s="161">
        <v>13488</v>
      </c>
      <c r="H42" s="161">
        <v>4851.232</v>
      </c>
      <c r="I42" s="161">
        <v>44.945790000000002</v>
      </c>
      <c r="K42" s="127"/>
    </row>
    <row r="43" spans="6:11">
      <c r="F43" s="140">
        <v>46034</v>
      </c>
      <c r="G43" s="161">
        <v>9064</v>
      </c>
      <c r="H43" s="161">
        <v>3132.0940000000001</v>
      </c>
      <c r="I43" s="161">
        <v>46.229500000000002</v>
      </c>
      <c r="K43" s="127"/>
    </row>
    <row r="44" spans="6:11">
      <c r="F44" s="140">
        <v>46035</v>
      </c>
      <c r="G44" s="161">
        <v>10842</v>
      </c>
      <c r="H44" s="161">
        <v>3723.2190000000001</v>
      </c>
      <c r="I44" s="161">
        <v>52.694319999999998</v>
      </c>
      <c r="K44" s="127"/>
    </row>
    <row r="45" spans="6:11">
      <c r="F45" s="140">
        <v>46036</v>
      </c>
      <c r="G45" s="161">
        <v>12129</v>
      </c>
      <c r="H45" s="161">
        <v>4546.5720000000001</v>
      </c>
      <c r="I45" s="161">
        <v>51.236660000000001</v>
      </c>
      <c r="K45" s="127"/>
    </row>
    <row r="46" spans="6:11">
      <c r="F46" s="140">
        <v>46037</v>
      </c>
      <c r="G46" s="161">
        <v>13832</v>
      </c>
      <c r="H46" s="161">
        <v>4949.5870000000004</v>
      </c>
      <c r="I46" s="161">
        <v>46.089469999999999</v>
      </c>
      <c r="K46" s="127"/>
    </row>
    <row r="47" spans="6:11">
      <c r="F47" s="140">
        <v>46038</v>
      </c>
      <c r="G47" s="161">
        <v>13944</v>
      </c>
      <c r="H47" s="161">
        <v>5064.482</v>
      </c>
      <c r="I47" s="161">
        <v>49.419350000000001</v>
      </c>
      <c r="K47" s="127"/>
    </row>
    <row r="48" spans="6:11">
      <c r="F48" s="140">
        <v>46039</v>
      </c>
      <c r="G48" s="161">
        <v>5184</v>
      </c>
      <c r="H48" s="161">
        <v>1520.8689999999999</v>
      </c>
      <c r="I48" s="161">
        <v>37.671039999999998</v>
      </c>
      <c r="K48" s="127"/>
    </row>
    <row r="49" spans="6:20">
      <c r="F49" s="140">
        <v>46040</v>
      </c>
      <c r="G49" s="161">
        <v>14226</v>
      </c>
      <c r="H49" s="161">
        <v>5142.9470000000001</v>
      </c>
      <c r="I49" s="161">
        <v>37.756390000000003</v>
      </c>
      <c r="K49" s="127"/>
    </row>
    <row r="50" spans="6:20">
      <c r="F50" s="140">
        <v>46041</v>
      </c>
      <c r="G50" s="161">
        <v>14210</v>
      </c>
      <c r="H50" s="161">
        <v>5166.5770000000002</v>
      </c>
      <c r="I50" s="161">
        <v>39.715949999999999</v>
      </c>
      <c r="K50" s="127"/>
    </row>
    <row r="51" spans="6:20">
      <c r="F51" s="140">
        <v>46042</v>
      </c>
      <c r="G51" s="161">
        <v>11788</v>
      </c>
      <c r="H51" s="161">
        <v>4003.7080000000001</v>
      </c>
      <c r="I51" s="161">
        <v>41.780189999999997</v>
      </c>
      <c r="K51" s="127"/>
    </row>
    <row r="52" spans="6:20">
      <c r="F52" s="140">
        <v>46043</v>
      </c>
      <c r="G52" s="161">
        <v>9414</v>
      </c>
      <c r="H52" s="161">
        <v>3352.9630000000002</v>
      </c>
      <c r="I52" s="161">
        <v>56.227629999999998</v>
      </c>
      <c r="K52" s="127"/>
    </row>
    <row r="53" spans="6:20">
      <c r="F53" s="140">
        <v>46044</v>
      </c>
      <c r="G53" s="161">
        <v>9422</v>
      </c>
      <c r="H53" s="161">
        <v>3089.9070000000002</v>
      </c>
      <c r="I53" s="161">
        <v>48.28172</v>
      </c>
      <c r="K53" s="127"/>
    </row>
    <row r="54" spans="6:20">
      <c r="F54" s="140">
        <v>46045</v>
      </c>
      <c r="G54" s="161">
        <v>854</v>
      </c>
      <c r="H54" s="161">
        <v>-91.529409999999999</v>
      </c>
      <c r="I54" s="161">
        <v>42.92445</v>
      </c>
      <c r="K54" s="127"/>
    </row>
    <row r="55" spans="6:20">
      <c r="F55" s="140">
        <v>46046</v>
      </c>
      <c r="G55" s="161">
        <v>1489.0000000018599</v>
      </c>
      <c r="H55" s="161">
        <v>380.0917</v>
      </c>
      <c r="I55" s="161">
        <v>20.572690000000001</v>
      </c>
      <c r="K55" s="127"/>
    </row>
    <row r="56" spans="6:20">
      <c r="F56" s="140">
        <v>46047</v>
      </c>
      <c r="G56" s="161">
        <v>8185.9999999981401</v>
      </c>
      <c r="H56" s="161">
        <v>2757.123</v>
      </c>
      <c r="I56" s="161">
        <v>16.15325</v>
      </c>
      <c r="K56" s="127"/>
    </row>
    <row r="57" spans="6:20">
      <c r="F57" s="140">
        <v>46048</v>
      </c>
      <c r="G57" s="161">
        <v>15264</v>
      </c>
      <c r="H57" s="161">
        <v>5359.6080000000002</v>
      </c>
      <c r="I57" s="161">
        <v>20.90334</v>
      </c>
      <c r="K57" s="127"/>
    </row>
    <row r="58" spans="6:20">
      <c r="F58" s="140">
        <v>46049</v>
      </c>
      <c r="G58" s="161">
        <v>9298</v>
      </c>
      <c r="H58" s="161">
        <v>2721.4290000000001</v>
      </c>
      <c r="I58" s="161">
        <v>31.660229999999999</v>
      </c>
      <c r="K58" s="127"/>
      <c r="R58" s="112"/>
      <c r="S58" s="112"/>
      <c r="T58" s="112"/>
    </row>
    <row r="59" spans="6:20">
      <c r="F59" s="140">
        <v>46050</v>
      </c>
      <c r="G59" s="161">
        <v>16416</v>
      </c>
      <c r="H59" s="161">
        <v>5689.6940000000004</v>
      </c>
      <c r="I59" s="161">
        <v>33.010469999999998</v>
      </c>
      <c r="K59" s="127"/>
    </row>
    <row r="60" spans="6:20">
      <c r="F60" s="140">
        <v>46051</v>
      </c>
      <c r="G60" s="161">
        <v>15869</v>
      </c>
      <c r="H60" s="161">
        <v>5598.4470000000001</v>
      </c>
      <c r="I60" s="161">
        <v>41.917909999999999</v>
      </c>
      <c r="K60" s="127"/>
      <c r="R60" s="112"/>
      <c r="S60" s="112"/>
      <c r="T60" s="112"/>
    </row>
    <row r="61" spans="6:20">
      <c r="F61" s="140">
        <v>46052</v>
      </c>
      <c r="G61" s="161">
        <v>16222</v>
      </c>
      <c r="H61" s="161">
        <v>5630.5140000000001</v>
      </c>
      <c r="I61" s="161">
        <v>35.714750000000002</v>
      </c>
      <c r="K61" s="127"/>
    </row>
    <row r="62" spans="6:20">
      <c r="F62" s="140">
        <v>46053</v>
      </c>
      <c r="G62" s="161">
        <v>17171</v>
      </c>
      <c r="H62" s="161">
        <v>5929.8379999999997</v>
      </c>
      <c r="I62" s="161">
        <v>26.165030000000002</v>
      </c>
      <c r="K62" s="127"/>
    </row>
    <row r="63" spans="6:20">
      <c r="F63" s="152"/>
      <c r="G63" s="150"/>
      <c r="H63" s="150"/>
      <c r="I63" s="150"/>
    </row>
    <row r="64" spans="6:20">
      <c r="F64" s="153"/>
      <c r="G64" s="128"/>
    </row>
    <row r="65" spans="3:12">
      <c r="C65" s="213" t="s">
        <v>33</v>
      </c>
      <c r="D65" s="214"/>
      <c r="E65" s="214"/>
      <c r="F65" s="214"/>
      <c r="G65" s="214"/>
      <c r="H65" s="214"/>
      <c r="I65" s="214"/>
      <c r="J65" s="214"/>
      <c r="K65" s="214"/>
      <c r="L65" s="215"/>
    </row>
    <row r="66" spans="3:12" ht="15" customHeight="1">
      <c r="C66" s="217"/>
      <c r="D66" s="218"/>
      <c r="E66" s="218"/>
      <c r="F66" s="218"/>
      <c r="G66" s="218"/>
      <c r="H66" s="218"/>
      <c r="I66" s="218"/>
      <c r="J66" s="218"/>
      <c r="K66" s="218"/>
      <c r="L66" s="219"/>
    </row>
    <row r="67" spans="3:12">
      <c r="C67" s="220"/>
      <c r="D67" s="221"/>
      <c r="E67" s="221"/>
      <c r="F67" s="221"/>
      <c r="G67" s="221"/>
      <c r="H67" s="221"/>
      <c r="I67" s="221"/>
      <c r="J67" s="221"/>
      <c r="K67" s="221"/>
      <c r="L67" s="222"/>
    </row>
    <row r="68" spans="3:12">
      <c r="C68" s="223"/>
      <c r="D68" s="224"/>
      <c r="E68" s="224"/>
      <c r="F68" s="224"/>
      <c r="G68" s="224"/>
      <c r="H68" s="224"/>
      <c r="I68" s="224"/>
      <c r="J68" s="224"/>
      <c r="K68" s="224"/>
      <c r="L68" s="225"/>
    </row>
    <row r="70" spans="3:12">
      <c r="C70" s="228" t="s">
        <v>34</v>
      </c>
      <c r="D70" s="229"/>
      <c r="E70" s="229"/>
      <c r="F70" s="229"/>
      <c r="G70" s="229"/>
      <c r="H70" s="229"/>
      <c r="I70" s="229"/>
      <c r="J70" s="229"/>
      <c r="K70" s="229"/>
      <c r="L70" s="230"/>
    </row>
    <row r="71" spans="3:12" ht="14.85" customHeight="1">
      <c r="C71" s="217"/>
      <c r="D71" s="218"/>
      <c r="E71" s="218"/>
      <c r="F71" s="218"/>
      <c r="G71" s="218"/>
      <c r="H71" s="218"/>
      <c r="I71" s="218"/>
      <c r="J71" s="218"/>
      <c r="K71" s="218"/>
      <c r="L71" s="219"/>
    </row>
    <row r="72" spans="3:12">
      <c r="C72" s="220"/>
      <c r="D72" s="221"/>
      <c r="E72" s="221"/>
      <c r="F72" s="221"/>
      <c r="G72" s="221"/>
      <c r="H72" s="221"/>
      <c r="I72" s="221"/>
      <c r="J72" s="221"/>
      <c r="K72" s="221"/>
      <c r="L72" s="222"/>
    </row>
    <row r="73" spans="3:12">
      <c r="C73" s="223"/>
      <c r="D73" s="224"/>
      <c r="E73" s="224"/>
      <c r="F73" s="224"/>
      <c r="G73" s="224"/>
      <c r="H73" s="224"/>
      <c r="I73" s="224"/>
      <c r="J73" s="224"/>
      <c r="K73" s="224"/>
      <c r="L73" s="225"/>
    </row>
  </sheetData>
  <mergeCells count="19">
    <mergeCell ref="C71:L73"/>
    <mergeCell ref="E14:I14"/>
    <mergeCell ref="C16:L16"/>
    <mergeCell ref="F30:I30"/>
    <mergeCell ref="C65:L65"/>
    <mergeCell ref="C66:L68"/>
    <mergeCell ref="C70:L70"/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66"/>
  <sheetViews>
    <sheetView topLeftCell="A38" zoomScaleNormal="100" workbookViewId="0">
      <selection activeCell="F54" sqref="F54"/>
    </sheetView>
  </sheetViews>
  <sheetFormatPr defaultRowHeight="14.4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34" t="s">
        <v>39</v>
      </c>
      <c r="D4" s="235"/>
      <c r="E4" s="236"/>
      <c r="G4" s="234" t="s">
        <v>40</v>
      </c>
      <c r="H4" s="235"/>
      <c r="I4" s="236"/>
    </row>
    <row r="5" spans="3:9">
      <c r="C5" s="1"/>
      <c r="D5" s="42" t="s">
        <v>36</v>
      </c>
      <c r="E5" s="42" t="s">
        <v>22</v>
      </c>
      <c r="G5" s="1"/>
      <c r="H5" s="42" t="s">
        <v>36</v>
      </c>
      <c r="I5" s="42" t="s">
        <v>22</v>
      </c>
    </row>
    <row r="6" spans="3:9">
      <c r="C6" s="43" t="s">
        <v>41</v>
      </c>
      <c r="D6" s="46"/>
      <c r="E6" s="46"/>
      <c r="G6" s="43" t="s">
        <v>41</v>
      </c>
      <c r="H6" s="62">
        <v>0.99899000000000004</v>
      </c>
      <c r="I6" s="62">
        <v>0.99677000000000004</v>
      </c>
    </row>
    <row r="7" spans="3:9">
      <c r="C7" s="43" t="s">
        <v>42</v>
      </c>
      <c r="D7" s="46"/>
      <c r="E7" s="46"/>
      <c r="G7" s="43" t="s">
        <v>42</v>
      </c>
      <c r="H7" s="62">
        <v>0.99977000000000005</v>
      </c>
      <c r="I7" s="62">
        <v>0.96015000000000006</v>
      </c>
    </row>
    <row r="8" spans="3:9">
      <c r="C8" s="43" t="s">
        <v>43</v>
      </c>
      <c r="D8" s="46"/>
      <c r="E8" s="46"/>
      <c r="G8" s="43" t="s">
        <v>43</v>
      </c>
      <c r="H8" s="62">
        <v>0.99834999999999996</v>
      </c>
      <c r="I8" s="62">
        <v>0.99973000000000001</v>
      </c>
    </row>
    <row r="9" spans="3:9">
      <c r="C9" s="43" t="s">
        <v>44</v>
      </c>
      <c r="D9" s="46"/>
      <c r="E9" s="46"/>
      <c r="G9" s="43" t="s">
        <v>44</v>
      </c>
      <c r="H9" s="62">
        <v>1</v>
      </c>
      <c r="I9" s="62">
        <v>1</v>
      </c>
    </row>
    <row r="10" spans="3:9">
      <c r="C10" s="43" t="s">
        <v>45</v>
      </c>
      <c r="D10" s="46"/>
      <c r="E10" s="46"/>
      <c r="G10" s="43" t="s">
        <v>45</v>
      </c>
      <c r="H10" s="62">
        <v>1</v>
      </c>
      <c r="I10" s="62">
        <v>1</v>
      </c>
    </row>
    <row r="11" spans="3:9">
      <c r="C11" s="43" t="s">
        <v>46</v>
      </c>
      <c r="D11" s="46"/>
      <c r="E11" s="46"/>
      <c r="G11" s="43" t="s">
        <v>46</v>
      </c>
      <c r="H11" s="62">
        <v>1</v>
      </c>
      <c r="I11" s="62">
        <v>0.99909999999999999</v>
      </c>
    </row>
    <row r="12" spans="3:9">
      <c r="C12" s="43" t="s">
        <v>47</v>
      </c>
      <c r="D12" s="46">
        <v>0.98024</v>
      </c>
      <c r="E12" s="46">
        <v>1</v>
      </c>
      <c r="G12" s="43" t="s">
        <v>47</v>
      </c>
      <c r="H12" s="62">
        <v>1</v>
      </c>
      <c r="I12" s="62">
        <v>1</v>
      </c>
    </row>
    <row r="13" spans="3:9">
      <c r="C13" s="43" t="s">
        <v>48</v>
      </c>
      <c r="D13" s="46">
        <v>0.98093999999999992</v>
      </c>
      <c r="E13" s="46">
        <v>1</v>
      </c>
      <c r="G13" s="43" t="s">
        <v>48</v>
      </c>
      <c r="H13" s="90">
        <v>0.998</v>
      </c>
      <c r="I13" s="91">
        <v>1</v>
      </c>
    </row>
    <row r="14" spans="3:9">
      <c r="C14" s="43" t="s">
        <v>49</v>
      </c>
      <c r="D14" s="46">
        <v>0.97177999999999998</v>
      </c>
      <c r="E14" s="46">
        <v>1</v>
      </c>
      <c r="G14" s="43" t="s">
        <v>49</v>
      </c>
      <c r="H14" s="90">
        <v>1</v>
      </c>
      <c r="I14" s="91">
        <v>0.97929999999999995</v>
      </c>
    </row>
    <row r="15" spans="3:9">
      <c r="C15" s="43" t="s">
        <v>50</v>
      </c>
      <c r="D15" s="46">
        <v>0.99820999999999993</v>
      </c>
      <c r="E15" s="46">
        <v>0.99462000000000006</v>
      </c>
      <c r="G15" s="43" t="s">
        <v>50</v>
      </c>
      <c r="H15" s="62">
        <v>1</v>
      </c>
      <c r="I15" s="62">
        <v>1</v>
      </c>
    </row>
    <row r="16" spans="3:9">
      <c r="C16" s="43" t="s">
        <v>51</v>
      </c>
      <c r="D16" s="46">
        <v>1</v>
      </c>
      <c r="E16" s="46">
        <v>1</v>
      </c>
      <c r="G16" s="43" t="s">
        <v>51</v>
      </c>
      <c r="H16" s="62">
        <v>1</v>
      </c>
      <c r="I16" s="46">
        <v>0.98499999999999999</v>
      </c>
    </row>
    <row r="17" spans="3:12">
      <c r="C17" s="43" t="s">
        <v>52</v>
      </c>
      <c r="D17" s="46">
        <v>1</v>
      </c>
      <c r="E17" s="46">
        <v>0.99820999999999993</v>
      </c>
      <c r="G17" s="43" t="s">
        <v>52</v>
      </c>
      <c r="H17" s="46">
        <v>0.98167000000000004</v>
      </c>
      <c r="I17" s="46">
        <v>1</v>
      </c>
    </row>
    <row r="18" spans="3:12">
      <c r="C18" s="56" t="s">
        <v>53</v>
      </c>
      <c r="D18" s="52">
        <f>AVERAGE(D6:D17)</f>
        <v>0.98852833333333334</v>
      </c>
      <c r="E18" s="52">
        <f>AVERAGE(E6:E17)</f>
        <v>0.99880500000000005</v>
      </c>
      <c r="G18" s="56" t="s">
        <v>53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34" t="s">
        <v>54</v>
      </c>
      <c r="D20" s="235"/>
      <c r="E20" s="236"/>
      <c r="G20" s="232" t="s">
        <v>55</v>
      </c>
      <c r="H20" s="237"/>
      <c r="I20" s="233"/>
      <c r="K20" s="232" t="s">
        <v>55</v>
      </c>
      <c r="L20" s="233"/>
    </row>
    <row r="21" spans="3:12">
      <c r="C21" s="1"/>
      <c r="D21" s="42" t="s">
        <v>36</v>
      </c>
      <c r="E21" s="42" t="s">
        <v>22</v>
      </c>
      <c r="G21" s="1"/>
      <c r="H21" s="42" t="s">
        <v>36</v>
      </c>
      <c r="I21" s="42" t="s">
        <v>22</v>
      </c>
      <c r="K21" s="1"/>
      <c r="L21" s="42" t="s">
        <v>38</v>
      </c>
    </row>
    <row r="22" spans="3:12">
      <c r="C22" s="43" t="s">
        <v>41</v>
      </c>
      <c r="D22" s="62">
        <v>1</v>
      </c>
      <c r="E22" s="62">
        <v>1</v>
      </c>
      <c r="G22" s="43" t="s">
        <v>41</v>
      </c>
      <c r="H22" s="62">
        <v>1</v>
      </c>
      <c r="I22" s="62">
        <v>0.99860000000000004</v>
      </c>
      <c r="K22" s="43" t="s">
        <v>41</v>
      </c>
      <c r="L22" s="62">
        <v>0.9647</v>
      </c>
    </row>
    <row r="23" spans="3:12">
      <c r="C23" s="43" t="s">
        <v>42</v>
      </c>
      <c r="D23" s="62">
        <v>1</v>
      </c>
      <c r="E23" s="62">
        <v>0.99867000000000006</v>
      </c>
      <c r="G23" s="43" t="s">
        <v>42</v>
      </c>
      <c r="H23" s="62">
        <v>1</v>
      </c>
      <c r="I23" s="62">
        <v>0.99960000000000004</v>
      </c>
      <c r="K23" s="43" t="s">
        <v>42</v>
      </c>
      <c r="L23" s="62">
        <v>0.82140000000000002</v>
      </c>
    </row>
    <row r="24" spans="3:12">
      <c r="C24" s="43" t="s">
        <v>43</v>
      </c>
      <c r="D24" s="62">
        <v>1</v>
      </c>
      <c r="E24" s="62">
        <v>1</v>
      </c>
      <c r="G24" s="43" t="s">
        <v>43</v>
      </c>
      <c r="H24" s="62">
        <v>1</v>
      </c>
      <c r="I24" s="62">
        <v>1</v>
      </c>
      <c r="K24" s="43" t="s">
        <v>43</v>
      </c>
      <c r="L24" s="62">
        <v>1</v>
      </c>
    </row>
    <row r="25" spans="3:12">
      <c r="C25" s="43" t="s">
        <v>44</v>
      </c>
      <c r="D25" s="62">
        <v>1</v>
      </c>
      <c r="E25" s="62">
        <v>1</v>
      </c>
      <c r="G25" s="43" t="s">
        <v>44</v>
      </c>
      <c r="H25" s="62">
        <v>1</v>
      </c>
      <c r="I25" s="62">
        <v>1</v>
      </c>
      <c r="K25" s="43" t="s">
        <v>44</v>
      </c>
      <c r="L25" s="62">
        <v>1</v>
      </c>
    </row>
    <row r="26" spans="3:12">
      <c r="C26" s="43" t="s">
        <v>45</v>
      </c>
      <c r="D26" s="62">
        <v>0.99953999999999998</v>
      </c>
      <c r="E26" s="62">
        <v>0.99919000000000002</v>
      </c>
      <c r="G26" s="43" t="s">
        <v>45</v>
      </c>
      <c r="H26" s="62">
        <v>1</v>
      </c>
      <c r="I26" s="62">
        <v>1</v>
      </c>
      <c r="K26" s="43" t="s">
        <v>45</v>
      </c>
      <c r="L26" s="62">
        <v>1</v>
      </c>
    </row>
    <row r="27" spans="3:12">
      <c r="C27" s="43" t="s">
        <v>46</v>
      </c>
      <c r="D27" s="62">
        <v>1</v>
      </c>
      <c r="E27" s="62">
        <v>1</v>
      </c>
      <c r="G27" s="43" t="s">
        <v>46</v>
      </c>
      <c r="H27" s="62">
        <v>1</v>
      </c>
      <c r="I27" s="62">
        <v>0.88139999999999996</v>
      </c>
      <c r="K27" s="43" t="s">
        <v>46</v>
      </c>
      <c r="L27" s="136">
        <v>1</v>
      </c>
    </row>
    <row r="28" spans="3:12">
      <c r="C28" s="43" t="s">
        <v>47</v>
      </c>
      <c r="D28" s="62">
        <v>1</v>
      </c>
      <c r="E28" s="62">
        <v>1</v>
      </c>
      <c r="G28" s="43" t="s">
        <v>47</v>
      </c>
      <c r="H28" s="62">
        <v>0.99544999999999995</v>
      </c>
      <c r="I28" s="62">
        <v>1</v>
      </c>
      <c r="K28" s="43" t="s">
        <v>47</v>
      </c>
      <c r="L28" s="136">
        <v>1</v>
      </c>
    </row>
    <row r="29" spans="3:12">
      <c r="C29" s="43" t="s">
        <v>48</v>
      </c>
      <c r="D29" s="62">
        <v>1</v>
      </c>
      <c r="E29" s="62">
        <v>0.99942999999999993</v>
      </c>
      <c r="G29" s="43" t="s">
        <v>48</v>
      </c>
      <c r="H29" s="62">
        <v>1</v>
      </c>
      <c r="I29" s="62">
        <v>1</v>
      </c>
      <c r="K29" s="43" t="s">
        <v>48</v>
      </c>
      <c r="L29" s="62">
        <v>0.98</v>
      </c>
    </row>
    <row r="30" spans="3:12">
      <c r="C30" s="43" t="s">
        <v>49</v>
      </c>
      <c r="D30" s="62">
        <v>1</v>
      </c>
      <c r="E30" s="62">
        <v>1</v>
      </c>
      <c r="G30" s="43" t="s">
        <v>49</v>
      </c>
      <c r="H30" s="62">
        <v>1</v>
      </c>
      <c r="I30" s="62">
        <v>1</v>
      </c>
      <c r="K30" s="43" t="s">
        <v>49</v>
      </c>
      <c r="L30" s="62">
        <v>1</v>
      </c>
    </row>
    <row r="31" spans="3:12">
      <c r="C31" s="43" t="s">
        <v>50</v>
      </c>
      <c r="D31" s="46">
        <v>1</v>
      </c>
      <c r="E31" s="46">
        <v>0.99968000000000001</v>
      </c>
      <c r="G31" s="43" t="s">
        <v>50</v>
      </c>
      <c r="H31" s="62">
        <v>0.99950000000000006</v>
      </c>
      <c r="I31" s="62">
        <v>1</v>
      </c>
      <c r="K31" s="43" t="s">
        <v>50</v>
      </c>
      <c r="L31" s="62">
        <v>1</v>
      </c>
    </row>
    <row r="32" spans="3:12">
      <c r="C32" s="43" t="s">
        <v>51</v>
      </c>
      <c r="D32" s="46">
        <v>1</v>
      </c>
      <c r="E32" s="46">
        <v>0.99951999999999996</v>
      </c>
      <c r="G32" s="43" t="s">
        <v>51</v>
      </c>
      <c r="H32" s="62">
        <v>1</v>
      </c>
      <c r="I32" s="46" t="s">
        <v>56</v>
      </c>
      <c r="K32" s="43" t="s">
        <v>51</v>
      </c>
      <c r="L32" s="142">
        <v>0.96</v>
      </c>
    </row>
    <row r="33" spans="3:12">
      <c r="C33" s="43" t="s">
        <v>52</v>
      </c>
      <c r="D33" s="46">
        <v>1</v>
      </c>
      <c r="E33" s="46">
        <v>1</v>
      </c>
      <c r="G33" s="43" t="s">
        <v>52</v>
      </c>
      <c r="H33" s="46">
        <v>1</v>
      </c>
      <c r="I33" s="46">
        <v>1</v>
      </c>
      <c r="K33" s="43" t="s">
        <v>52</v>
      </c>
      <c r="L33" s="46">
        <v>1</v>
      </c>
    </row>
    <row r="34" spans="3:12">
      <c r="C34" s="56" t="s">
        <v>53</v>
      </c>
      <c r="D34" s="52">
        <f>AVERAGE(D22:D33)</f>
        <v>0.99996166666666664</v>
      </c>
      <c r="E34" s="52">
        <f>AVERAGE(E22:E33)</f>
        <v>0.99970749999999997</v>
      </c>
      <c r="G34" s="56" t="s">
        <v>53</v>
      </c>
      <c r="H34" s="52">
        <f>AVERAGE(H22:H33)</f>
        <v>0.99957916666666657</v>
      </c>
      <c r="I34" s="52">
        <f>AVERAGE(I22:I33)</f>
        <v>0.98905454545454541</v>
      </c>
      <c r="K34" s="56" t="s">
        <v>53</v>
      </c>
      <c r="L34" s="52">
        <f>AVERAGE(L22:L33)</f>
        <v>0.9771749999999999</v>
      </c>
    </row>
    <row r="36" spans="3:12">
      <c r="C36" s="231" t="s">
        <v>57</v>
      </c>
      <c r="D36" s="231"/>
      <c r="E36" s="231"/>
      <c r="F36" s="231"/>
      <c r="H36" s="231" t="s">
        <v>58</v>
      </c>
      <c r="I36" s="231"/>
      <c r="J36" s="231"/>
      <c r="K36" s="231"/>
    </row>
    <row r="37" spans="3:12">
      <c r="C37" s="1"/>
      <c r="D37" s="42" t="s">
        <v>36</v>
      </c>
      <c r="E37" s="42" t="s">
        <v>22</v>
      </c>
      <c r="F37" s="42" t="s">
        <v>38</v>
      </c>
      <c r="H37" s="1"/>
      <c r="I37" s="42" t="s">
        <v>36</v>
      </c>
      <c r="J37" s="42" t="s">
        <v>22</v>
      </c>
      <c r="K37" s="42" t="s">
        <v>38</v>
      </c>
    </row>
    <row r="38" spans="3:12">
      <c r="C38" s="43" t="s">
        <v>41</v>
      </c>
      <c r="D38" s="62">
        <v>1</v>
      </c>
      <c r="E38" s="62">
        <v>0.98660000000000003</v>
      </c>
      <c r="F38" s="62">
        <v>1</v>
      </c>
      <c r="H38" s="43" t="s">
        <v>41</v>
      </c>
      <c r="I38" s="62">
        <v>0.99419999999999997</v>
      </c>
      <c r="J38" s="62">
        <v>0.99180000000000001</v>
      </c>
      <c r="K38" s="62">
        <v>0.99429999999999996</v>
      </c>
    </row>
    <row r="39" spans="3:12">
      <c r="C39" s="43" t="s">
        <v>42</v>
      </c>
      <c r="D39" s="62">
        <v>0.99970000000000003</v>
      </c>
      <c r="E39" s="62">
        <v>1</v>
      </c>
      <c r="F39" s="62">
        <v>0.99809999999999999</v>
      </c>
      <c r="H39" s="43" t="s">
        <v>42</v>
      </c>
      <c r="I39" s="62">
        <v>0.99970000000000003</v>
      </c>
      <c r="J39" s="62">
        <v>0.98819999999999997</v>
      </c>
      <c r="K39" s="62">
        <v>1</v>
      </c>
    </row>
    <row r="40" spans="3:12">
      <c r="C40" s="43" t="s">
        <v>43</v>
      </c>
      <c r="D40" s="62">
        <v>1</v>
      </c>
      <c r="E40" s="62">
        <v>1</v>
      </c>
      <c r="F40" s="62">
        <v>0.99750000000000005</v>
      </c>
      <c r="H40" s="43" t="s">
        <v>43</v>
      </c>
      <c r="I40" s="62">
        <v>0.99796666666666667</v>
      </c>
      <c r="J40" s="62">
        <v>0.99333333333333329</v>
      </c>
      <c r="K40" s="62">
        <v>0.99809999999999999</v>
      </c>
    </row>
    <row r="41" spans="3:12">
      <c r="C41" s="43" t="s">
        <v>44</v>
      </c>
      <c r="D41" s="62">
        <v>1</v>
      </c>
      <c r="E41" s="62">
        <v>1</v>
      </c>
      <c r="F41" s="62">
        <v>1</v>
      </c>
      <c r="H41" s="43" t="s">
        <v>44</v>
      </c>
      <c r="I41" s="62">
        <v>0.998475</v>
      </c>
      <c r="J41" s="62">
        <v>0.995</v>
      </c>
      <c r="K41" s="62">
        <v>0.99857499999999999</v>
      </c>
    </row>
    <row r="42" spans="3:12">
      <c r="C42" s="43" t="s">
        <v>45</v>
      </c>
      <c r="D42" s="62">
        <v>1</v>
      </c>
      <c r="E42" s="62">
        <v>1</v>
      </c>
      <c r="F42" s="62">
        <v>1</v>
      </c>
      <c r="H42" s="43" t="s">
        <v>45</v>
      </c>
      <c r="I42" s="62">
        <v>1</v>
      </c>
      <c r="J42" s="62">
        <v>0.99600000000000011</v>
      </c>
      <c r="K42" s="62">
        <v>0.99885999999999997</v>
      </c>
    </row>
    <row r="43" spans="3:12">
      <c r="C43" s="43" t="s">
        <v>46</v>
      </c>
      <c r="D43" s="62">
        <v>1</v>
      </c>
      <c r="E43" s="62">
        <v>1</v>
      </c>
      <c r="F43" s="62">
        <v>1</v>
      </c>
      <c r="H43" s="43" t="s">
        <v>46</v>
      </c>
      <c r="I43" s="62">
        <v>0.9966666666666667</v>
      </c>
      <c r="J43" s="62">
        <v>0.99898333333333333</v>
      </c>
      <c r="K43" s="62">
        <v>0.99904999999999999</v>
      </c>
    </row>
    <row r="44" spans="3:12">
      <c r="C44" s="43" t="s">
        <v>47</v>
      </c>
      <c r="D44" s="62">
        <v>1</v>
      </c>
      <c r="E44" s="149">
        <v>1</v>
      </c>
      <c r="F44" s="62">
        <v>1</v>
      </c>
      <c r="H44" s="43" t="s">
        <v>47</v>
      </c>
      <c r="I44" s="62">
        <v>0.99665000000000004</v>
      </c>
      <c r="J44" s="149">
        <v>0.99859285714285717</v>
      </c>
      <c r="K44" s="62">
        <v>0.99833333333333341</v>
      </c>
    </row>
    <row r="45" spans="3:12">
      <c r="C45" s="43" t="s">
        <v>48</v>
      </c>
      <c r="D45" s="62">
        <v>0.98780000000000001</v>
      </c>
      <c r="E45" s="149">
        <v>1</v>
      </c>
      <c r="F45" s="62">
        <v>1</v>
      </c>
      <c r="H45" s="43" t="s">
        <v>48</v>
      </c>
      <c r="I45" s="62">
        <v>1</v>
      </c>
      <c r="J45" s="149">
        <v>0.88170000000000004</v>
      </c>
      <c r="K45" s="62">
        <v>0.98850000000000005</v>
      </c>
    </row>
    <row r="46" spans="3:12">
      <c r="C46" s="43" t="s">
        <v>49</v>
      </c>
      <c r="D46" s="62">
        <v>1</v>
      </c>
      <c r="E46" s="149">
        <v>1</v>
      </c>
      <c r="F46" s="62">
        <v>1</v>
      </c>
      <c r="H46" s="43" t="s">
        <v>49</v>
      </c>
      <c r="I46" s="62">
        <v>1</v>
      </c>
      <c r="J46" s="149">
        <v>0.66659999999999997</v>
      </c>
      <c r="K46" s="62">
        <v>1</v>
      </c>
    </row>
    <row r="47" spans="3:12">
      <c r="C47" s="43" t="s">
        <v>50</v>
      </c>
      <c r="D47" s="62">
        <v>1</v>
      </c>
      <c r="E47" s="62">
        <v>1</v>
      </c>
      <c r="F47" s="62">
        <v>0.97189999999999999</v>
      </c>
      <c r="H47" s="43" t="s">
        <v>50</v>
      </c>
      <c r="I47" s="62">
        <v>1</v>
      </c>
      <c r="J47" s="149">
        <v>0.66659999999999997</v>
      </c>
      <c r="K47" s="62">
        <v>0.99150000000000005</v>
      </c>
    </row>
    <row r="48" spans="3:12">
      <c r="C48" s="43" t="s">
        <v>51</v>
      </c>
      <c r="D48" s="62">
        <v>1</v>
      </c>
      <c r="E48" s="46">
        <v>1</v>
      </c>
      <c r="F48" s="62">
        <v>0.99109999999999998</v>
      </c>
      <c r="H48" s="43" t="s">
        <v>51</v>
      </c>
      <c r="I48" s="62">
        <v>1</v>
      </c>
      <c r="J48" s="149">
        <v>0.66659999999999997</v>
      </c>
      <c r="K48" s="62">
        <v>0.99880000000000002</v>
      </c>
    </row>
    <row r="49" spans="3:11">
      <c r="C49" s="43" t="s">
        <v>52</v>
      </c>
      <c r="D49" s="46">
        <v>0.99750000000000005</v>
      </c>
      <c r="E49" s="46">
        <v>1</v>
      </c>
      <c r="F49" s="46">
        <v>1</v>
      </c>
      <c r="H49" s="43" t="s">
        <v>52</v>
      </c>
      <c r="I49" s="62">
        <v>1</v>
      </c>
      <c r="J49" s="46">
        <v>0.65720000000000001</v>
      </c>
      <c r="K49" s="46">
        <v>0.99470000000000003</v>
      </c>
    </row>
    <row r="50" spans="3:11">
      <c r="C50" s="56" t="s">
        <v>53</v>
      </c>
      <c r="D50" s="52">
        <f>AVERAGE(D38:D49)</f>
        <v>0.99875000000000014</v>
      </c>
      <c r="E50" s="52">
        <f>AVERAGE(E38:E49)</f>
        <v>0.99888333333333323</v>
      </c>
      <c r="F50" s="52">
        <f>AVERAGE(F38:F49)</f>
        <v>0.99654999999999994</v>
      </c>
      <c r="H50" s="56" t="s">
        <v>53</v>
      </c>
      <c r="I50" s="52">
        <f>AVERAGE(I38:I49)</f>
        <v>0.99863819444444457</v>
      </c>
      <c r="J50" s="52">
        <f>AVERAGE(J38:J49)</f>
        <v>0.87505079365079386</v>
      </c>
      <c r="K50" s="52">
        <f>AVERAGE(K38:K49)</f>
        <v>0.9967265277777777</v>
      </c>
    </row>
    <row r="52" spans="3:11">
      <c r="C52" s="231" t="s">
        <v>59</v>
      </c>
      <c r="D52" s="231"/>
      <c r="E52" s="231"/>
      <c r="F52" s="231"/>
    </row>
    <row r="53" spans="3:11">
      <c r="C53" s="1"/>
      <c r="D53" s="42" t="s">
        <v>36</v>
      </c>
      <c r="E53" s="42" t="s">
        <v>22</v>
      </c>
      <c r="F53" s="42" t="s">
        <v>38</v>
      </c>
    </row>
    <row r="54" spans="3:11">
      <c r="C54" s="43" t="s">
        <v>41</v>
      </c>
      <c r="D54" s="62">
        <v>0.999</v>
      </c>
      <c r="E54" s="62">
        <v>0.62350000000000005</v>
      </c>
      <c r="F54" s="62">
        <v>1</v>
      </c>
    </row>
    <row r="55" spans="3:11">
      <c r="C55" s="43" t="s">
        <v>42</v>
      </c>
      <c r="D55" s="62"/>
      <c r="E55" s="62"/>
      <c r="F55" s="62"/>
    </row>
    <row r="56" spans="3:11">
      <c r="C56" s="43" t="s">
        <v>43</v>
      </c>
      <c r="D56" s="62"/>
      <c r="E56" s="62"/>
      <c r="F56" s="62"/>
    </row>
    <row r="57" spans="3:11">
      <c r="C57" s="43" t="s">
        <v>44</v>
      </c>
      <c r="D57" s="62"/>
      <c r="E57" s="62"/>
      <c r="F57" s="62"/>
    </row>
    <row r="58" spans="3:11">
      <c r="C58" s="43" t="s">
        <v>45</v>
      </c>
      <c r="D58" s="62"/>
      <c r="E58" s="62"/>
      <c r="F58" s="62"/>
    </row>
    <row r="59" spans="3:11">
      <c r="C59" s="43" t="s">
        <v>46</v>
      </c>
      <c r="D59" s="62"/>
      <c r="E59" s="62"/>
      <c r="F59" s="62"/>
    </row>
    <row r="60" spans="3:11">
      <c r="C60" s="43" t="s">
        <v>47</v>
      </c>
      <c r="D60" s="62"/>
      <c r="E60" s="149"/>
      <c r="F60" s="62"/>
    </row>
    <row r="61" spans="3:11">
      <c r="C61" s="43" t="s">
        <v>48</v>
      </c>
      <c r="D61" s="62"/>
      <c r="E61" s="149"/>
      <c r="F61" s="62"/>
    </row>
    <row r="62" spans="3:11">
      <c r="C62" s="43" t="s">
        <v>49</v>
      </c>
      <c r="D62" s="62"/>
      <c r="E62" s="149"/>
      <c r="F62" s="62"/>
    </row>
    <row r="63" spans="3:11">
      <c r="C63" s="43" t="s">
        <v>50</v>
      </c>
      <c r="D63" s="62"/>
      <c r="E63" s="149"/>
      <c r="F63" s="62"/>
    </row>
    <row r="64" spans="3:11">
      <c r="C64" s="43" t="s">
        <v>51</v>
      </c>
      <c r="D64" s="62"/>
      <c r="E64" s="149"/>
      <c r="F64" s="62"/>
    </row>
    <row r="65" spans="3:6">
      <c r="C65" s="43" t="s">
        <v>52</v>
      </c>
      <c r="D65" s="62"/>
      <c r="E65" s="46"/>
      <c r="F65" s="46"/>
    </row>
    <row r="66" spans="3:6">
      <c r="C66" s="56" t="s">
        <v>53</v>
      </c>
      <c r="D66" s="52">
        <f>AVERAGE(D54:D65)</f>
        <v>0.999</v>
      </c>
      <c r="E66" s="52">
        <f>AVERAGE(E54:E65)</f>
        <v>0.62350000000000005</v>
      </c>
      <c r="F66" s="52">
        <f>AVERAGE(F54:F65)</f>
        <v>1</v>
      </c>
    </row>
  </sheetData>
  <mergeCells count="8">
    <mergeCell ref="C52:F52"/>
    <mergeCell ref="K20:L20"/>
    <mergeCell ref="C36:F36"/>
    <mergeCell ref="G4:I4"/>
    <mergeCell ref="C4:E4"/>
    <mergeCell ref="C20:E20"/>
    <mergeCell ref="G20:I20"/>
    <mergeCell ref="H36:K3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128"/>
  <sheetViews>
    <sheetView topLeftCell="A98" zoomScaleNormal="100" workbookViewId="0">
      <selection activeCell="Q116" sqref="Q116"/>
    </sheetView>
  </sheetViews>
  <sheetFormatPr defaultColWidth="9.140625" defaultRowHeight="14.4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38" t="s">
        <v>60</v>
      </c>
      <c r="D4" s="239"/>
      <c r="E4" s="239"/>
      <c r="F4" s="239"/>
      <c r="G4" s="239"/>
      <c r="H4" s="239"/>
      <c r="I4" s="239"/>
      <c r="J4" s="77"/>
      <c r="K4" s="77"/>
      <c r="L4" s="78"/>
    </row>
    <row r="5" spans="3:12" ht="15.6">
      <c r="C5" s="42"/>
      <c r="D5" s="244" t="s">
        <v>36</v>
      </c>
      <c r="E5" s="245"/>
      <c r="F5" s="246"/>
      <c r="G5" s="244" t="s">
        <v>22</v>
      </c>
      <c r="H5" s="245"/>
      <c r="I5" s="246"/>
      <c r="J5" s="241" t="s">
        <v>61</v>
      </c>
      <c r="K5" s="242"/>
      <c r="L5" s="243"/>
    </row>
    <row r="6" spans="3:12">
      <c r="C6" s="42"/>
      <c r="D6" s="42" t="s">
        <v>62</v>
      </c>
      <c r="E6" s="42" t="s">
        <v>63</v>
      </c>
      <c r="F6" s="42" t="s">
        <v>64</v>
      </c>
      <c r="G6" s="42" t="s">
        <v>62</v>
      </c>
      <c r="H6" s="42" t="s">
        <v>63</v>
      </c>
      <c r="I6" s="42" t="s">
        <v>64</v>
      </c>
      <c r="J6" s="49" t="s">
        <v>62</v>
      </c>
      <c r="K6" s="49" t="s">
        <v>63</v>
      </c>
      <c r="L6" s="49" t="s">
        <v>64</v>
      </c>
    </row>
    <row r="7" spans="3:12">
      <c r="C7" s="47" t="s">
        <v>41</v>
      </c>
      <c r="D7" s="86" t="s">
        <v>65</v>
      </c>
      <c r="E7" s="86" t="s">
        <v>65</v>
      </c>
      <c r="F7" s="86" t="s">
        <v>65</v>
      </c>
      <c r="G7" s="86" t="s">
        <v>65</v>
      </c>
      <c r="H7" s="86" t="s">
        <v>65</v>
      </c>
      <c r="I7" s="86" t="s">
        <v>65</v>
      </c>
      <c r="J7" s="86" t="s">
        <v>65</v>
      </c>
      <c r="K7" s="86" t="s">
        <v>65</v>
      </c>
      <c r="L7" s="86" t="s">
        <v>65</v>
      </c>
    </row>
    <row r="8" spans="3:12">
      <c r="C8" s="47" t="s">
        <v>42</v>
      </c>
      <c r="D8" s="86" t="s">
        <v>65</v>
      </c>
      <c r="E8" s="86" t="s">
        <v>65</v>
      </c>
      <c r="F8" s="86" t="s">
        <v>65</v>
      </c>
      <c r="G8" s="86" t="s">
        <v>65</v>
      </c>
      <c r="H8" s="86" t="s">
        <v>65</v>
      </c>
      <c r="I8" s="86" t="s">
        <v>65</v>
      </c>
      <c r="J8" s="86" t="s">
        <v>65</v>
      </c>
      <c r="K8" s="86" t="s">
        <v>65</v>
      </c>
      <c r="L8" s="86" t="s">
        <v>65</v>
      </c>
    </row>
    <row r="9" spans="3:12">
      <c r="C9" s="47" t="s">
        <v>43</v>
      </c>
      <c r="D9" s="86" t="s">
        <v>65</v>
      </c>
      <c r="E9" s="86" t="s">
        <v>65</v>
      </c>
      <c r="F9" s="86" t="s">
        <v>65</v>
      </c>
      <c r="G9" s="86" t="s">
        <v>65</v>
      </c>
      <c r="H9" s="86" t="s">
        <v>65</v>
      </c>
      <c r="I9" s="86" t="s">
        <v>65</v>
      </c>
      <c r="J9" s="86" t="s">
        <v>65</v>
      </c>
      <c r="K9" s="86" t="s">
        <v>65</v>
      </c>
      <c r="L9" s="86" t="s">
        <v>65</v>
      </c>
    </row>
    <row r="10" spans="3:12">
      <c r="C10" s="47" t="s">
        <v>44</v>
      </c>
      <c r="D10" s="86" t="s">
        <v>65</v>
      </c>
      <c r="E10" s="86" t="s">
        <v>65</v>
      </c>
      <c r="F10" s="86" t="s">
        <v>65</v>
      </c>
      <c r="G10" s="86" t="s">
        <v>65</v>
      </c>
      <c r="H10" s="86" t="s">
        <v>65</v>
      </c>
      <c r="I10" s="86" t="s">
        <v>65</v>
      </c>
      <c r="J10" s="86" t="s">
        <v>65</v>
      </c>
      <c r="K10" s="86" t="s">
        <v>65</v>
      </c>
      <c r="L10" s="86" t="s">
        <v>65</v>
      </c>
    </row>
    <row r="11" spans="3:12">
      <c r="C11" s="47" t="s">
        <v>45</v>
      </c>
      <c r="D11" s="86" t="s">
        <v>65</v>
      </c>
      <c r="E11" s="86" t="s">
        <v>65</v>
      </c>
      <c r="F11" s="86" t="s">
        <v>65</v>
      </c>
      <c r="G11" s="86" t="s">
        <v>65</v>
      </c>
      <c r="H11" s="86" t="s">
        <v>65</v>
      </c>
      <c r="I11" s="86" t="s">
        <v>65</v>
      </c>
      <c r="J11" s="86" t="s">
        <v>65</v>
      </c>
      <c r="K11" s="86" t="s">
        <v>65</v>
      </c>
      <c r="L11" s="86" t="s">
        <v>65</v>
      </c>
    </row>
    <row r="12" spans="3:12">
      <c r="C12" s="47" t="s">
        <v>46</v>
      </c>
      <c r="D12" s="86" t="s">
        <v>65</v>
      </c>
      <c r="E12" s="86" t="s">
        <v>65</v>
      </c>
      <c r="F12" s="86" t="s">
        <v>65</v>
      </c>
      <c r="G12" s="86" t="s">
        <v>65</v>
      </c>
      <c r="H12" s="86" t="s">
        <v>65</v>
      </c>
      <c r="I12" s="86" t="s">
        <v>65</v>
      </c>
      <c r="J12" s="86" t="s">
        <v>65</v>
      </c>
      <c r="K12" s="86" t="s">
        <v>65</v>
      </c>
      <c r="L12" s="86" t="s">
        <v>65</v>
      </c>
    </row>
    <row r="13" spans="3:12">
      <c r="C13" s="47" t="s">
        <v>47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48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65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49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65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50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51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52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66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38" t="s">
        <v>67</v>
      </c>
      <c r="D22" s="239"/>
      <c r="E22" s="239"/>
      <c r="F22" s="239"/>
      <c r="G22" s="239"/>
      <c r="H22" s="239"/>
      <c r="I22" s="239"/>
      <c r="J22" s="77"/>
      <c r="K22" s="77"/>
      <c r="L22" s="78"/>
    </row>
    <row r="23" spans="3:12" ht="15.6">
      <c r="C23" s="42"/>
      <c r="D23" s="244" t="s">
        <v>36</v>
      </c>
      <c r="E23" s="245"/>
      <c r="F23" s="246"/>
      <c r="G23" s="244" t="s">
        <v>22</v>
      </c>
      <c r="H23" s="245"/>
      <c r="I23" s="246"/>
      <c r="J23" s="241" t="s">
        <v>61</v>
      </c>
      <c r="K23" s="242"/>
      <c r="L23" s="243"/>
    </row>
    <row r="24" spans="3:12">
      <c r="C24" s="42"/>
      <c r="D24" s="42" t="s">
        <v>62</v>
      </c>
      <c r="E24" s="42" t="s">
        <v>63</v>
      </c>
      <c r="F24" s="42" t="s">
        <v>64</v>
      </c>
      <c r="G24" s="42" t="s">
        <v>62</v>
      </c>
      <c r="H24" s="42" t="s">
        <v>63</v>
      </c>
      <c r="I24" s="42" t="s">
        <v>64</v>
      </c>
      <c r="J24" s="49" t="s">
        <v>62</v>
      </c>
      <c r="K24" s="49" t="s">
        <v>63</v>
      </c>
      <c r="L24" s="49" t="s">
        <v>64</v>
      </c>
    </row>
    <row r="25" spans="3:12">
      <c r="C25" s="47" t="s">
        <v>41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42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43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44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45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46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47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48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49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50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51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52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66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38" t="s">
        <v>68</v>
      </c>
      <c r="D40" s="239"/>
      <c r="E40" s="239"/>
      <c r="F40" s="239"/>
      <c r="G40" s="239"/>
      <c r="H40" s="239"/>
      <c r="I40" s="239"/>
      <c r="J40" s="77"/>
      <c r="K40" s="77"/>
      <c r="L40" s="78"/>
    </row>
    <row r="41" spans="3:43" ht="15.6">
      <c r="C41" s="42"/>
      <c r="D41" s="244" t="s">
        <v>36</v>
      </c>
      <c r="E41" s="245"/>
      <c r="F41" s="246"/>
      <c r="G41" s="244" t="s">
        <v>22</v>
      </c>
      <c r="H41" s="245"/>
      <c r="I41" s="246"/>
      <c r="J41" s="241" t="s">
        <v>61</v>
      </c>
      <c r="K41" s="242"/>
      <c r="L41" s="243"/>
    </row>
    <row r="42" spans="3:43">
      <c r="C42" s="42"/>
      <c r="D42" s="42" t="s">
        <v>62</v>
      </c>
      <c r="E42" s="42" t="s">
        <v>63</v>
      </c>
      <c r="F42" s="42" t="s">
        <v>64</v>
      </c>
      <c r="G42" s="42" t="s">
        <v>62</v>
      </c>
      <c r="H42" s="42" t="s">
        <v>63</v>
      </c>
      <c r="I42" s="42" t="s">
        <v>64</v>
      </c>
      <c r="J42" s="49" t="s">
        <v>62</v>
      </c>
      <c r="K42" s="49" t="s">
        <v>63</v>
      </c>
      <c r="L42" s="49" t="s">
        <v>64</v>
      </c>
    </row>
    <row r="43" spans="3:43">
      <c r="C43" s="47" t="s">
        <v>41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42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43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44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45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46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47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47"/>
      <c r="AO49" s="247"/>
      <c r="AP49" s="247"/>
      <c r="AQ49" s="247"/>
    </row>
    <row r="50" spans="3:43" ht="15.6">
      <c r="C50" s="47" t="s">
        <v>48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0"/>
      <c r="AO50" s="248"/>
      <c r="AP50" s="248"/>
      <c r="AQ50" s="248"/>
    </row>
    <row r="51" spans="3:43">
      <c r="C51" s="47" t="s">
        <v>49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0"/>
      <c r="AO51" s="130"/>
      <c r="AP51" s="130"/>
      <c r="AQ51" s="130"/>
    </row>
    <row r="52" spans="3:43">
      <c r="C52" s="47" t="s">
        <v>50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0"/>
      <c r="AO52" s="92"/>
      <c r="AP52" s="92"/>
      <c r="AQ52" s="131"/>
    </row>
    <row r="53" spans="3:43">
      <c r="C53" s="47" t="s">
        <v>51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0"/>
      <c r="AO53" s="92"/>
      <c r="AP53" s="92"/>
      <c r="AQ53" s="131"/>
    </row>
    <row r="54" spans="3:43">
      <c r="C54" s="47" t="s">
        <v>52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0"/>
      <c r="AO54" s="92"/>
      <c r="AP54" s="92"/>
      <c r="AQ54" s="131"/>
    </row>
    <row r="55" spans="3:43">
      <c r="C55" s="49" t="s">
        <v>66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0"/>
      <c r="AO55" s="132"/>
      <c r="AP55" s="92"/>
      <c r="AQ55" s="131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0"/>
      <c r="AO56" s="92"/>
      <c r="AP56" s="92"/>
      <c r="AQ56" s="131"/>
    </row>
    <row r="57" spans="3:43">
      <c r="AB57" s="2"/>
      <c r="AC57" s="130"/>
      <c r="AD57" s="92"/>
      <c r="AE57" s="92"/>
      <c r="AF57" s="13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38" t="s">
        <v>69</v>
      </c>
      <c r="D58" s="239"/>
      <c r="E58" s="239"/>
      <c r="F58" s="239"/>
      <c r="G58" s="239"/>
      <c r="H58" s="239"/>
      <c r="I58" s="239"/>
      <c r="J58" s="239"/>
      <c r="K58" s="239"/>
      <c r="L58" s="239"/>
      <c r="M58" s="239"/>
      <c r="N58" s="239"/>
      <c r="O58" s="240"/>
      <c r="AB58" s="2"/>
      <c r="AC58" s="130"/>
      <c r="AD58" s="92"/>
      <c r="AE58" s="92"/>
      <c r="AF58" s="13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6">
      <c r="C59" s="42"/>
      <c r="D59" s="241" t="s">
        <v>36</v>
      </c>
      <c r="E59" s="242"/>
      <c r="F59" s="243"/>
      <c r="G59" s="241" t="s">
        <v>22</v>
      </c>
      <c r="H59" s="242"/>
      <c r="I59" s="243"/>
      <c r="J59" s="241" t="s">
        <v>38</v>
      </c>
      <c r="K59" s="242"/>
      <c r="L59" s="243"/>
      <c r="M59" s="241" t="s">
        <v>61</v>
      </c>
      <c r="N59" s="242"/>
      <c r="O59" s="243"/>
      <c r="AB59" s="2"/>
      <c r="AC59" s="130"/>
      <c r="AD59" s="132"/>
      <c r="AE59" s="132"/>
      <c r="AF59" s="13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62</v>
      </c>
      <c r="E60" s="42" t="s">
        <v>63</v>
      </c>
      <c r="F60" s="42" t="s">
        <v>64</v>
      </c>
      <c r="G60" s="42" t="s">
        <v>62</v>
      </c>
      <c r="H60" s="42" t="s">
        <v>63</v>
      </c>
      <c r="I60" s="42" t="s">
        <v>64</v>
      </c>
      <c r="J60" s="42" t="s">
        <v>62</v>
      </c>
      <c r="K60" s="42" t="s">
        <v>63</v>
      </c>
      <c r="L60" s="42" t="s">
        <v>64</v>
      </c>
      <c r="M60" s="49" t="s">
        <v>62</v>
      </c>
      <c r="N60" s="49" t="s">
        <v>63</v>
      </c>
      <c r="O60" s="49" t="s">
        <v>64</v>
      </c>
      <c r="AB60" s="2"/>
      <c r="AC60" s="130"/>
      <c r="AD60" s="132"/>
      <c r="AE60" s="132"/>
      <c r="AF60" s="13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41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0"/>
      <c r="AD61" s="132"/>
      <c r="AE61" s="133"/>
      <c r="AF61" s="13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42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0"/>
      <c r="AD62" s="132"/>
      <c r="AE62" s="132"/>
      <c r="AF62" s="13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43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0"/>
      <c r="AD63" s="132"/>
      <c r="AE63" s="132"/>
      <c r="AF63" s="13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44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29"/>
      <c r="AD64" s="92"/>
      <c r="AE64" s="92"/>
      <c r="AF64" s="13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45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46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47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48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49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50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51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52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66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38" t="s">
        <v>70</v>
      </c>
      <c r="D76" s="239"/>
      <c r="E76" s="239"/>
      <c r="F76" s="239"/>
      <c r="G76" s="239"/>
      <c r="H76" s="239"/>
      <c r="I76" s="239"/>
      <c r="J76" s="239"/>
      <c r="K76" s="239"/>
      <c r="L76" s="239"/>
      <c r="M76" s="239"/>
      <c r="N76" s="239"/>
      <c r="O76" s="240"/>
    </row>
    <row r="77" spans="3:43" ht="15.6">
      <c r="C77" s="42"/>
      <c r="D77" s="241" t="s">
        <v>36</v>
      </c>
      <c r="E77" s="242"/>
      <c r="F77" s="243"/>
      <c r="G77" s="241" t="s">
        <v>22</v>
      </c>
      <c r="H77" s="242"/>
      <c r="I77" s="243"/>
      <c r="J77" s="241" t="s">
        <v>38</v>
      </c>
      <c r="K77" s="242"/>
      <c r="L77" s="243"/>
      <c r="M77" s="241" t="s">
        <v>61</v>
      </c>
      <c r="N77" s="242"/>
      <c r="O77" s="243"/>
    </row>
    <row r="78" spans="3:43">
      <c r="C78" s="42"/>
      <c r="D78" s="42" t="s">
        <v>62</v>
      </c>
      <c r="E78" s="42" t="s">
        <v>63</v>
      </c>
      <c r="F78" s="42" t="s">
        <v>64</v>
      </c>
      <c r="G78" s="42" t="s">
        <v>62</v>
      </c>
      <c r="H78" s="42" t="s">
        <v>63</v>
      </c>
      <c r="I78" s="42" t="s">
        <v>64</v>
      </c>
      <c r="J78" s="42" t="s">
        <v>62</v>
      </c>
      <c r="K78" s="42" t="s">
        <v>63</v>
      </c>
      <c r="L78" s="42" t="s">
        <v>64</v>
      </c>
      <c r="M78" s="49" t="s">
        <v>62</v>
      </c>
      <c r="N78" s="49" t="s">
        <v>63</v>
      </c>
      <c r="O78" s="49" t="s">
        <v>64</v>
      </c>
    </row>
    <row r="79" spans="3:43">
      <c r="C79" s="47" t="s">
        <v>41</v>
      </c>
      <c r="D79" s="48">
        <v>108163</v>
      </c>
      <c r="E79" s="48">
        <v>172809.64279999997</v>
      </c>
      <c r="F79" s="46">
        <f t="shared" ref="F79:F90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90" si="32">M79/N79</f>
        <v>0.79311235683040071</v>
      </c>
    </row>
    <row r="80" spans="3:43">
      <c r="C80" s="47" t="s">
        <v>42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>
      <c r="C81" s="93" t="s">
        <v>43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71</v>
      </c>
    </row>
    <row r="82" spans="3:16">
      <c r="C82" s="47" t="s">
        <v>44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>
      <c r="C83" s="47" t="s">
        <v>45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>
      <c r="C84" s="47" t="s">
        <v>46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>
      <c r="C85" s="47" t="s">
        <v>47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>
      <c r="C86" s="47" t="s">
        <v>48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>
      <c r="C87" s="47" t="s">
        <v>49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>
      <c r="C88" s="47" t="s">
        <v>50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>
      <c r="C89" s="47" t="s">
        <v>51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>
      <c r="C90" s="47" t="s">
        <v>52</v>
      </c>
      <c r="D90" s="86">
        <f>Smithfield!J6</f>
        <v>117870</v>
      </c>
      <c r="E90" s="86">
        <v>200509</v>
      </c>
      <c r="F90" s="46">
        <f t="shared" si="29"/>
        <v>0.58785391179448299</v>
      </c>
      <c r="G90" s="86">
        <f>Merrimack!J6</f>
        <v>77964.999999998137</v>
      </c>
      <c r="H90" s="86">
        <v>186514</v>
      </c>
      <c r="I90" s="46">
        <f>G90/H90</f>
        <v>0.41801151656174945</v>
      </c>
      <c r="J90" s="86">
        <f>Westlake!J6</f>
        <v>337051</v>
      </c>
      <c r="K90" s="86">
        <v>250803</v>
      </c>
      <c r="L90" s="46">
        <f t="shared" si="31"/>
        <v>1.3438874335633944</v>
      </c>
      <c r="M90" s="50">
        <f t="shared" si="35"/>
        <v>532885.99999999814</v>
      </c>
      <c r="N90" s="50">
        <f t="shared" si="34"/>
        <v>637826</v>
      </c>
      <c r="O90" s="51">
        <f t="shared" si="32"/>
        <v>0.83547237020754583</v>
      </c>
    </row>
    <row r="91" spans="3:16">
      <c r="C91" s="49" t="s">
        <v>66</v>
      </c>
      <c r="D91" s="53">
        <f>SUM(D79:D90)</f>
        <v>4382045.7</v>
      </c>
      <c r="E91" s="53">
        <f>SUM(E79:E90)</f>
        <v>4199996.8692999994</v>
      </c>
      <c r="F91" s="55">
        <f>D91/E91</f>
        <v>1.0433449920000397</v>
      </c>
      <c r="G91" s="53">
        <f>SUM(G79:G90)</f>
        <v>3437497.3449999979</v>
      </c>
      <c r="H91" s="53">
        <f>SUM(H79:H90)</f>
        <v>3528167.0586000006</v>
      </c>
      <c r="I91" s="55">
        <f t="shared" ref="I91" si="36">G91/H91</f>
        <v>0.97430118469617455</v>
      </c>
      <c r="J91" s="53">
        <f>SUM(J79:J90)</f>
        <v>5476189.0000000009</v>
      </c>
      <c r="K91" s="53">
        <f>SUM(K79:K90)</f>
        <v>5141104.1964999996</v>
      </c>
      <c r="L91" s="55">
        <f>J91/K91</f>
        <v>1.0651775942857029</v>
      </c>
      <c r="M91" s="54">
        <f t="shared" si="35"/>
        <v>13295732.044999998</v>
      </c>
      <c r="N91" s="54">
        <f t="shared" si="34"/>
        <v>12869268.124399999</v>
      </c>
      <c r="O91" s="55">
        <f t="shared" ref="O91" si="37">M91/N91</f>
        <v>1.0331381642279585</v>
      </c>
    </row>
    <row r="94" spans="3:16">
      <c r="C94" s="238" t="s">
        <v>72</v>
      </c>
      <c r="D94" s="239"/>
      <c r="E94" s="239"/>
      <c r="F94" s="239"/>
      <c r="G94" s="239"/>
      <c r="H94" s="239"/>
      <c r="I94" s="239"/>
      <c r="J94" s="239"/>
      <c r="K94" s="239"/>
      <c r="L94" s="239"/>
      <c r="M94" s="239"/>
      <c r="N94" s="239"/>
      <c r="O94" s="240"/>
    </row>
    <row r="95" spans="3:16" ht="15.6">
      <c r="C95" s="42"/>
      <c r="D95" s="241" t="s">
        <v>36</v>
      </c>
      <c r="E95" s="242"/>
      <c r="F95" s="243"/>
      <c r="G95" s="241" t="s">
        <v>22</v>
      </c>
      <c r="H95" s="242"/>
      <c r="I95" s="243"/>
      <c r="J95" s="241" t="s">
        <v>38</v>
      </c>
      <c r="K95" s="242"/>
      <c r="L95" s="243"/>
      <c r="M95" s="241" t="s">
        <v>61</v>
      </c>
      <c r="N95" s="242"/>
      <c r="O95" s="243"/>
    </row>
    <row r="96" spans="3:16">
      <c r="C96" s="42"/>
      <c r="D96" s="42" t="s">
        <v>62</v>
      </c>
      <c r="E96" s="42" t="s">
        <v>63</v>
      </c>
      <c r="F96" s="42" t="s">
        <v>64</v>
      </c>
      <c r="G96" s="42" t="s">
        <v>62</v>
      </c>
      <c r="H96" s="42" t="s">
        <v>63</v>
      </c>
      <c r="I96" s="42" t="s">
        <v>64</v>
      </c>
      <c r="J96" s="42" t="s">
        <v>62</v>
      </c>
      <c r="K96" s="42" t="s">
        <v>63</v>
      </c>
      <c r="L96" s="42" t="s">
        <v>64</v>
      </c>
      <c r="M96" s="49" t="s">
        <v>62</v>
      </c>
      <c r="N96" s="49" t="s">
        <v>63</v>
      </c>
      <c r="O96" s="49" t="s">
        <v>64</v>
      </c>
    </row>
    <row r="97" spans="3:15">
      <c r="C97" s="47" t="s">
        <v>41</v>
      </c>
      <c r="D97" s="48">
        <v>194299.75</v>
      </c>
      <c r="E97" s="48">
        <v>261206.57600000006</v>
      </c>
      <c r="F97" s="46">
        <f t="shared" ref="F97:F108" si="38">D97/E97</f>
        <v>0.74385474123744866</v>
      </c>
      <c r="G97" s="48">
        <v>152720.45000000001</v>
      </c>
      <c r="H97" s="48">
        <v>225291.31930000006</v>
      </c>
      <c r="I97" s="46">
        <f t="shared" ref="I97:I108" si="39">G97/H97</f>
        <v>0.67787986893820795</v>
      </c>
      <c r="J97" s="48">
        <v>359558</v>
      </c>
      <c r="K97" s="48">
        <v>330650.56599999988</v>
      </c>
      <c r="L97" s="46">
        <f t="shared" ref="L97:L108" si="40">J97/K97</f>
        <v>1.0874259323058293</v>
      </c>
      <c r="M97" s="50">
        <f>SUM(D97,G97,J97)</f>
        <v>706578.2</v>
      </c>
      <c r="N97" s="50">
        <f>SUM(E97,H97,K97)</f>
        <v>817148.46129999997</v>
      </c>
      <c r="O97" s="51">
        <f t="shared" ref="O97:O109" si="41">M97/N97</f>
        <v>0.86468767116798584</v>
      </c>
    </row>
    <row r="98" spans="3:15">
      <c r="C98" s="47" t="s">
        <v>42</v>
      </c>
      <c r="D98" s="48">
        <v>232765.75</v>
      </c>
      <c r="E98" s="48">
        <v>275819.69799999992</v>
      </c>
      <c r="F98" s="46">
        <f t="shared" si="38"/>
        <v>0.8439054631986439</v>
      </c>
      <c r="G98" s="48">
        <v>125322.75</v>
      </c>
      <c r="H98" s="48">
        <v>234467.2997</v>
      </c>
      <c r="I98" s="46">
        <f t="shared" si="39"/>
        <v>0.53449990749392329</v>
      </c>
      <c r="J98" s="48">
        <v>346482</v>
      </c>
      <c r="K98" s="48">
        <v>304224.79679999995</v>
      </c>
      <c r="L98" s="46">
        <f t="shared" si="40"/>
        <v>1.1389012455410736</v>
      </c>
      <c r="M98" s="50">
        <f t="shared" ref="M98:M108" si="42">SUM(D98,G98,J98)</f>
        <v>704570.5</v>
      </c>
      <c r="N98" s="50">
        <f t="shared" ref="N98:N108" si="43">SUM(E98,H98,K98)</f>
        <v>814511.79449999984</v>
      </c>
      <c r="O98" s="51">
        <f t="shared" si="41"/>
        <v>0.86502185082845984</v>
      </c>
    </row>
    <row r="99" spans="3:15">
      <c r="C99" s="93" t="s">
        <v>43</v>
      </c>
      <c r="D99" s="92">
        <v>404018.25</v>
      </c>
      <c r="E99" s="94">
        <v>365174.32600000006</v>
      </c>
      <c r="F99" s="46">
        <f t="shared" si="38"/>
        <v>1.1063709062613563</v>
      </c>
      <c r="G99" s="48">
        <v>304936.25099999999</v>
      </c>
      <c r="H99" s="48">
        <v>299552.9276</v>
      </c>
      <c r="I99" s="46">
        <f t="shared" si="39"/>
        <v>1.017971192747575</v>
      </c>
      <c r="J99" s="48">
        <v>537723</v>
      </c>
      <c r="K99" s="48">
        <v>487139.34199999989</v>
      </c>
      <c r="L99" s="46">
        <f t="shared" si="40"/>
        <v>1.1038381703935547</v>
      </c>
      <c r="M99" s="50">
        <f t="shared" si="42"/>
        <v>1246677.5009999999</v>
      </c>
      <c r="N99" s="50">
        <f t="shared" si="43"/>
        <v>1151866.5955999999</v>
      </c>
      <c r="O99" s="51">
        <f t="shared" si="41"/>
        <v>1.0823106649347825</v>
      </c>
    </row>
    <row r="100" spans="3:15">
      <c r="C100" s="47" t="s">
        <v>44</v>
      </c>
      <c r="D100" s="92">
        <v>439579.5</v>
      </c>
      <c r="E100" s="48">
        <v>404058.087</v>
      </c>
      <c r="F100" s="46">
        <f t="shared" si="38"/>
        <v>1.0879116496930799</v>
      </c>
      <c r="G100" s="103">
        <v>341440.81690140814</v>
      </c>
      <c r="H100" s="48">
        <v>330691.26899999997</v>
      </c>
      <c r="I100" s="46">
        <f t="shared" si="39"/>
        <v>1.0325062948710877</v>
      </c>
      <c r="J100" s="86">
        <v>466366</v>
      </c>
      <c r="K100" s="48">
        <v>420008.97500000003</v>
      </c>
      <c r="L100" s="46">
        <f t="shared" si="40"/>
        <v>1.110371510513555</v>
      </c>
      <c r="M100" s="50">
        <f t="shared" si="42"/>
        <v>1247386.3169014081</v>
      </c>
      <c r="N100" s="50">
        <f t="shared" si="43"/>
        <v>1154758.331</v>
      </c>
      <c r="O100" s="51">
        <f t="shared" si="41"/>
        <v>1.0802141741823972</v>
      </c>
    </row>
    <row r="101" spans="3:15">
      <c r="C101" s="47" t="s">
        <v>45</v>
      </c>
      <c r="D101" s="105">
        <v>426205.5</v>
      </c>
      <c r="E101" s="48">
        <v>392392.74499999988</v>
      </c>
      <c r="F101" s="46">
        <f t="shared" si="38"/>
        <v>1.0861706935993429</v>
      </c>
      <c r="G101" s="105">
        <v>294851.58735391125</v>
      </c>
      <c r="H101" s="48">
        <v>282521.75280000007</v>
      </c>
      <c r="I101" s="46">
        <f t="shared" si="39"/>
        <v>1.0436420715633872</v>
      </c>
      <c r="J101" s="48">
        <v>526758</v>
      </c>
      <c r="K101" s="48">
        <v>496290.51</v>
      </c>
      <c r="L101" s="46">
        <f t="shared" si="40"/>
        <v>1.0613904344050422</v>
      </c>
      <c r="M101" s="50">
        <f t="shared" si="42"/>
        <v>1247815.0873539113</v>
      </c>
      <c r="N101" s="50">
        <f t="shared" si="43"/>
        <v>1171205.0078</v>
      </c>
      <c r="O101" s="51">
        <f t="shared" si="41"/>
        <v>1.0654113319561502</v>
      </c>
    </row>
    <row r="102" spans="3:15">
      <c r="C102" s="47" t="s">
        <v>46</v>
      </c>
      <c r="D102" s="48">
        <v>493050</v>
      </c>
      <c r="E102" s="48">
        <v>452685.08499999985</v>
      </c>
      <c r="F102" s="46">
        <f t="shared" si="38"/>
        <v>1.089167759967175</v>
      </c>
      <c r="G102" s="48">
        <v>363249.59574468061</v>
      </c>
      <c r="H102" s="48">
        <v>356731.43699999992</v>
      </c>
      <c r="I102" s="46">
        <f t="shared" si="39"/>
        <v>1.0182718932749419</v>
      </c>
      <c r="J102" s="48">
        <v>575204</v>
      </c>
      <c r="K102" s="48">
        <v>541222.24100000004</v>
      </c>
      <c r="L102" s="46">
        <f t="shared" si="40"/>
        <v>1.0627870704966094</v>
      </c>
      <c r="M102" s="50">
        <f t="shared" si="42"/>
        <v>1431503.5957446806</v>
      </c>
      <c r="N102" s="50">
        <f t="shared" si="43"/>
        <v>1350638.7629999998</v>
      </c>
      <c r="O102" s="51">
        <f t="shared" si="41"/>
        <v>1.0598715474188423</v>
      </c>
    </row>
    <row r="103" spans="3:15">
      <c r="C103" s="47" t="s">
        <v>47</v>
      </c>
      <c r="D103" s="48">
        <v>522988</v>
      </c>
      <c r="E103" s="48">
        <v>480180.57900000003</v>
      </c>
      <c r="F103" s="46">
        <f t="shared" si="38"/>
        <v>1.0891485888270378</v>
      </c>
      <c r="G103" s="48">
        <v>400549</v>
      </c>
      <c r="H103" s="48">
        <v>389230.01399999997</v>
      </c>
      <c r="I103" s="46">
        <f t="shared" si="39"/>
        <v>1.0290804552395079</v>
      </c>
      <c r="J103" s="48">
        <v>584796</v>
      </c>
      <c r="K103" s="48">
        <v>546596.85399999993</v>
      </c>
      <c r="L103" s="46">
        <f t="shared" si="40"/>
        <v>1.0698854113785297</v>
      </c>
      <c r="M103" s="50">
        <f t="shared" si="42"/>
        <v>1508333</v>
      </c>
      <c r="N103" s="50">
        <f t="shared" si="43"/>
        <v>1416007.4469999999</v>
      </c>
      <c r="O103" s="51">
        <f t="shared" si="41"/>
        <v>1.0652013188176404</v>
      </c>
    </row>
    <row r="104" spans="3:15">
      <c r="C104" s="47" t="s">
        <v>48</v>
      </c>
      <c r="D104" s="86">
        <v>537219.5</v>
      </c>
      <c r="E104" s="86">
        <v>498537.88899999991</v>
      </c>
      <c r="F104" s="46">
        <f t="shared" si="38"/>
        <v>1.0775901127145826</v>
      </c>
      <c r="G104" s="86">
        <v>404137.47058823518</v>
      </c>
      <c r="H104" s="86">
        <v>406788.51279999997</v>
      </c>
      <c r="I104" s="46">
        <f t="shared" si="39"/>
        <v>0.99348299637687121</v>
      </c>
      <c r="J104" s="86">
        <v>552466</v>
      </c>
      <c r="K104" s="86">
        <v>501635.62900000007</v>
      </c>
      <c r="L104" s="46">
        <f t="shared" si="40"/>
        <v>1.101329267822003</v>
      </c>
      <c r="M104" s="50">
        <f t="shared" si="42"/>
        <v>1493822.9705882352</v>
      </c>
      <c r="N104" s="50">
        <f t="shared" si="43"/>
        <v>1406962.0307999998</v>
      </c>
      <c r="O104" s="51">
        <f t="shared" si="41"/>
        <v>1.0617365201666786</v>
      </c>
    </row>
    <row r="105" spans="3:15">
      <c r="C105" s="47" t="s">
        <v>49</v>
      </c>
      <c r="D105" s="86">
        <v>424355</v>
      </c>
      <c r="E105" s="86">
        <v>393985</v>
      </c>
      <c r="F105" s="46">
        <f t="shared" si="38"/>
        <v>1.0770841529499855</v>
      </c>
      <c r="G105" s="48">
        <v>287715</v>
      </c>
      <c r="H105" s="86">
        <v>334796</v>
      </c>
      <c r="I105" s="46">
        <f t="shared" si="39"/>
        <v>0.85937406659577775</v>
      </c>
      <c r="J105" s="86">
        <v>537548</v>
      </c>
      <c r="K105" s="86">
        <v>474608</v>
      </c>
      <c r="L105" s="46">
        <f t="shared" si="40"/>
        <v>1.1326147051882818</v>
      </c>
      <c r="M105" s="50">
        <f t="shared" si="42"/>
        <v>1249618</v>
      </c>
      <c r="N105" s="50">
        <f t="shared" si="43"/>
        <v>1203389</v>
      </c>
      <c r="O105" s="51">
        <f t="shared" si="41"/>
        <v>1.0384156743995498</v>
      </c>
    </row>
    <row r="106" spans="3:15">
      <c r="C106" s="47" t="s">
        <v>50</v>
      </c>
      <c r="D106" s="86">
        <v>351940</v>
      </c>
      <c r="E106" s="19">
        <v>331548</v>
      </c>
      <c r="F106" s="46">
        <f t="shared" si="38"/>
        <v>1.0615054230458334</v>
      </c>
      <c r="G106" s="48">
        <v>231241</v>
      </c>
      <c r="H106" s="86">
        <v>276238</v>
      </c>
      <c r="I106" s="46">
        <f t="shared" si="39"/>
        <v>0.83710785626886963</v>
      </c>
      <c r="J106" s="86">
        <v>487146</v>
      </c>
      <c r="K106" s="19">
        <v>439993</v>
      </c>
      <c r="L106" s="46">
        <f t="shared" si="40"/>
        <v>1.1071676140302231</v>
      </c>
      <c r="M106" s="50">
        <f t="shared" si="42"/>
        <v>1070327</v>
      </c>
      <c r="N106" s="50">
        <f t="shared" si="43"/>
        <v>1047779</v>
      </c>
      <c r="O106" s="51">
        <f t="shared" si="41"/>
        <v>1.0215198052261021</v>
      </c>
    </row>
    <row r="107" spans="3:15">
      <c r="C107" s="47" t="s">
        <v>51</v>
      </c>
      <c r="D107" s="48">
        <v>223189.5</v>
      </c>
      <c r="E107" s="48">
        <v>219149.50599999999</v>
      </c>
      <c r="F107" s="46">
        <f t="shared" si="38"/>
        <v>1.0184348761434123</v>
      </c>
      <c r="G107" s="48">
        <v>141536</v>
      </c>
      <c r="H107" s="48">
        <v>177826.24000000002</v>
      </c>
      <c r="I107" s="46">
        <f t="shared" si="39"/>
        <v>0.79592303138164533</v>
      </c>
      <c r="J107" s="86">
        <v>346267</v>
      </c>
      <c r="K107" s="105">
        <v>334635.44469999999</v>
      </c>
      <c r="L107" s="46">
        <f t="shared" si="40"/>
        <v>1.0347588860780355</v>
      </c>
      <c r="M107" s="50">
        <f t="shared" si="42"/>
        <v>710992.5</v>
      </c>
      <c r="N107" s="50">
        <f t="shared" si="43"/>
        <v>731611.19070000004</v>
      </c>
      <c r="O107" s="51">
        <f t="shared" si="41"/>
        <v>0.97181742028812845</v>
      </c>
    </row>
    <row r="108" spans="3:15">
      <c r="C108" s="47" t="s">
        <v>52</v>
      </c>
      <c r="D108" s="86">
        <v>179511</v>
      </c>
      <c r="E108" s="86">
        <v>202641.20110000001</v>
      </c>
      <c r="F108" s="46">
        <f t="shared" si="38"/>
        <v>0.88585637582859744</v>
      </c>
      <c r="G108" s="86">
        <v>74593</v>
      </c>
      <c r="H108" s="86">
        <v>173792.10159999999</v>
      </c>
      <c r="I108" s="46">
        <f t="shared" si="39"/>
        <v>0.42920822818336873</v>
      </c>
      <c r="J108" s="86">
        <v>281375</v>
      </c>
      <c r="K108" s="86">
        <v>96470.496830000004</v>
      </c>
      <c r="L108" s="46">
        <f t="shared" si="40"/>
        <v>2.9166948367213048</v>
      </c>
      <c r="M108" s="50">
        <f t="shared" si="42"/>
        <v>535479</v>
      </c>
      <c r="N108" s="50">
        <f t="shared" si="43"/>
        <v>472903.79953000002</v>
      </c>
      <c r="O108" s="51">
        <f t="shared" si="41"/>
        <v>1.1323212047189957</v>
      </c>
    </row>
    <row r="109" spans="3:15">
      <c r="C109" s="49" t="s">
        <v>66</v>
      </c>
      <c r="D109" s="53">
        <f>SUM(D97:D108)</f>
        <v>4429121.75</v>
      </c>
      <c r="E109" s="53">
        <f>SUM(E97:E108)</f>
        <v>4277378.6920999996</v>
      </c>
      <c r="F109" s="55">
        <f>D109/E109</f>
        <v>1.0354757127724648</v>
      </c>
      <c r="G109" s="53">
        <f>SUM(G97:G108)</f>
        <v>3122292.9215882351</v>
      </c>
      <c r="H109" s="53">
        <f>SUM(H97:H108)</f>
        <v>3487926.8738000002</v>
      </c>
      <c r="I109" s="55">
        <f t="shared" ref="I109" si="44">G109/H109</f>
        <v>0.89517155449609043</v>
      </c>
      <c r="J109" s="53">
        <f>SUM(J97:J108)</f>
        <v>5601689</v>
      </c>
      <c r="K109" s="53">
        <f>SUM(K97:K108)</f>
        <v>4973475.8553299988</v>
      </c>
      <c r="L109" s="55">
        <f>J109/K109</f>
        <v>1.1263126961794245</v>
      </c>
      <c r="M109" s="54">
        <f t="shared" ref="M109" si="45">SUM(D109,G109,J109)</f>
        <v>13153103.671588235</v>
      </c>
      <c r="N109" s="54">
        <f t="shared" ref="N109" si="46">SUM(E109,H109,K109)</f>
        <v>12738781.42123</v>
      </c>
      <c r="O109" s="55">
        <f t="shared" si="41"/>
        <v>1.0325244806907308</v>
      </c>
    </row>
    <row r="113" spans="3:15">
      <c r="C113" s="238" t="s">
        <v>73</v>
      </c>
      <c r="D113" s="239"/>
      <c r="E113" s="239"/>
      <c r="F113" s="239"/>
      <c r="G113" s="239"/>
      <c r="H113" s="239"/>
      <c r="I113" s="239"/>
      <c r="J113" s="239"/>
      <c r="K113" s="239"/>
      <c r="L113" s="239"/>
      <c r="M113" s="239"/>
      <c r="N113" s="239"/>
      <c r="O113" s="240"/>
    </row>
    <row r="114" spans="3:15" ht="15.6">
      <c r="C114" s="42"/>
      <c r="D114" s="241" t="s">
        <v>36</v>
      </c>
      <c r="E114" s="242"/>
      <c r="F114" s="243"/>
      <c r="G114" s="241" t="s">
        <v>22</v>
      </c>
      <c r="H114" s="242"/>
      <c r="I114" s="243"/>
      <c r="J114" s="241" t="s">
        <v>38</v>
      </c>
      <c r="K114" s="242"/>
      <c r="L114" s="243"/>
      <c r="M114" s="241" t="s">
        <v>61</v>
      </c>
      <c r="N114" s="242"/>
      <c r="O114" s="243"/>
    </row>
    <row r="115" spans="3:15">
      <c r="C115" s="42"/>
      <c r="D115" s="42" t="s">
        <v>62</v>
      </c>
      <c r="E115" s="42" t="s">
        <v>63</v>
      </c>
      <c r="F115" s="42" t="s">
        <v>64</v>
      </c>
      <c r="G115" s="42" t="s">
        <v>62</v>
      </c>
      <c r="H115" s="42" t="s">
        <v>63</v>
      </c>
      <c r="I115" s="42" t="s">
        <v>64</v>
      </c>
      <c r="J115" s="42" t="s">
        <v>62</v>
      </c>
      <c r="K115" s="42" t="s">
        <v>63</v>
      </c>
      <c r="L115" s="42" t="s">
        <v>64</v>
      </c>
      <c r="M115" s="49" t="s">
        <v>62</v>
      </c>
      <c r="N115" s="49" t="s">
        <v>63</v>
      </c>
      <c r="O115" s="49" t="s">
        <v>64</v>
      </c>
    </row>
    <row r="116" spans="3:15">
      <c r="C116" s="47" t="s">
        <v>41</v>
      </c>
      <c r="D116" s="48">
        <v>117870</v>
      </c>
      <c r="E116" s="48">
        <v>225662.44120000006</v>
      </c>
      <c r="F116" s="46">
        <f t="shared" ref="F116:F127" si="47">D116/E116</f>
        <v>0.52232883493241222</v>
      </c>
      <c r="G116" s="48">
        <v>77964.999999998137</v>
      </c>
      <c r="H116" s="48">
        <v>182254.72279999996</v>
      </c>
      <c r="I116" s="46">
        <f t="shared" ref="I116:I124" si="48">G116/H116</f>
        <v>0.42778040975955522</v>
      </c>
      <c r="J116" s="48">
        <v>337051</v>
      </c>
      <c r="K116" s="48">
        <v>320636.0769000001</v>
      </c>
      <c r="L116" s="46">
        <f t="shared" ref="L116:L127" si="49">J116/K116</f>
        <v>1.051194872575488</v>
      </c>
      <c r="M116" s="50">
        <f>SUM(D116,G116,J116)</f>
        <v>532885.99999999814</v>
      </c>
      <c r="N116" s="50">
        <f>SUM(E116,H116,K116)</f>
        <v>728553.24090000009</v>
      </c>
      <c r="O116" s="51">
        <f t="shared" ref="O116:O128" si="50">M116/N116</f>
        <v>0.73143041590441726</v>
      </c>
    </row>
    <row r="117" spans="3:15">
      <c r="C117" s="47" t="s">
        <v>42</v>
      </c>
      <c r="D117" s="48"/>
      <c r="E117" s="48"/>
      <c r="F117" s="46"/>
      <c r="G117" s="48"/>
      <c r="H117" s="48"/>
      <c r="I117" s="46"/>
      <c r="J117" s="48"/>
      <c r="K117" s="48"/>
      <c r="L117" s="46"/>
      <c r="M117" s="50"/>
      <c r="N117" s="50"/>
      <c r="O117" s="51"/>
    </row>
    <row r="118" spans="3:15">
      <c r="C118" s="93" t="s">
        <v>43</v>
      </c>
      <c r="D118" s="92"/>
      <c r="E118" s="94"/>
      <c r="F118" s="46"/>
      <c r="G118" s="48"/>
      <c r="H118" s="48"/>
      <c r="I118" s="46"/>
      <c r="J118" s="48"/>
      <c r="K118" s="48"/>
      <c r="L118" s="46"/>
      <c r="M118" s="50"/>
      <c r="N118" s="50"/>
      <c r="O118" s="51"/>
    </row>
    <row r="119" spans="3:15">
      <c r="C119" s="47" t="s">
        <v>44</v>
      </c>
      <c r="D119" s="92"/>
      <c r="E119" s="48"/>
      <c r="F119" s="46"/>
      <c r="G119" s="103"/>
      <c r="H119" s="48"/>
      <c r="I119" s="46"/>
      <c r="J119" s="86"/>
      <c r="K119" s="48"/>
      <c r="L119" s="46"/>
      <c r="M119" s="50"/>
      <c r="N119" s="50"/>
      <c r="O119" s="51"/>
    </row>
    <row r="120" spans="3:15">
      <c r="C120" s="47" t="s">
        <v>45</v>
      </c>
      <c r="D120" s="105"/>
      <c r="E120" s="48"/>
      <c r="F120" s="46"/>
      <c r="G120" s="105"/>
      <c r="H120" s="48"/>
      <c r="I120" s="46"/>
      <c r="J120" s="48"/>
      <c r="K120" s="48"/>
      <c r="L120" s="46"/>
      <c r="M120" s="50"/>
      <c r="N120" s="50"/>
      <c r="O120" s="51"/>
    </row>
    <row r="121" spans="3:15">
      <c r="C121" s="47" t="s">
        <v>46</v>
      </c>
      <c r="D121" s="48"/>
      <c r="E121" s="48"/>
      <c r="F121" s="46"/>
      <c r="G121" s="48"/>
      <c r="H121" s="48"/>
      <c r="I121" s="46"/>
      <c r="J121" s="48"/>
      <c r="K121" s="48"/>
      <c r="L121" s="46"/>
      <c r="M121" s="50"/>
      <c r="N121" s="50"/>
      <c r="O121" s="51"/>
    </row>
    <row r="122" spans="3:15">
      <c r="C122" s="47" t="s">
        <v>47</v>
      </c>
      <c r="D122" s="48"/>
      <c r="E122" s="48"/>
      <c r="F122" s="46"/>
      <c r="G122" s="48"/>
      <c r="H122" s="48"/>
      <c r="I122" s="46"/>
      <c r="J122" s="48"/>
      <c r="K122" s="48"/>
      <c r="L122" s="46"/>
      <c r="M122" s="50"/>
      <c r="N122" s="50"/>
      <c r="O122" s="51"/>
    </row>
    <row r="123" spans="3:15">
      <c r="C123" s="47" t="s">
        <v>48</v>
      </c>
      <c r="D123" s="86"/>
      <c r="E123" s="86"/>
      <c r="F123" s="46"/>
      <c r="G123" s="86"/>
      <c r="H123" s="86"/>
      <c r="I123" s="46"/>
      <c r="J123" s="86"/>
      <c r="K123" s="86"/>
      <c r="L123" s="46"/>
      <c r="M123" s="50"/>
      <c r="N123" s="50"/>
      <c r="O123" s="51"/>
    </row>
    <row r="124" spans="3:15">
      <c r="C124" s="47" t="s">
        <v>49</v>
      </c>
      <c r="D124" s="86"/>
      <c r="E124" s="86"/>
      <c r="F124" s="46"/>
      <c r="G124" s="48"/>
      <c r="H124" s="86"/>
      <c r="I124" s="46"/>
      <c r="J124" s="86"/>
      <c r="K124" s="86"/>
      <c r="L124" s="46"/>
      <c r="M124" s="50"/>
      <c r="N124" s="50"/>
      <c r="O124" s="51"/>
    </row>
    <row r="125" spans="3:15">
      <c r="C125" s="47" t="s">
        <v>50</v>
      </c>
      <c r="D125" s="86"/>
      <c r="E125" s="19"/>
      <c r="F125" s="46"/>
      <c r="G125" s="48"/>
      <c r="H125" s="86"/>
      <c r="I125" s="46"/>
      <c r="J125" s="86"/>
      <c r="K125" s="19"/>
      <c r="L125" s="46"/>
      <c r="M125" s="50"/>
      <c r="N125" s="50"/>
      <c r="O125" s="51"/>
    </row>
    <row r="126" spans="3:15">
      <c r="C126" s="47" t="s">
        <v>51</v>
      </c>
      <c r="D126" s="48"/>
      <c r="E126" s="48"/>
      <c r="F126" s="46"/>
      <c r="G126" s="48"/>
      <c r="H126" s="48"/>
      <c r="I126" s="46"/>
      <c r="J126" s="86"/>
      <c r="K126" s="105"/>
      <c r="L126" s="46"/>
      <c r="M126" s="50"/>
      <c r="N126" s="50"/>
      <c r="O126" s="51"/>
    </row>
    <row r="127" spans="3:15">
      <c r="C127" s="47" t="s">
        <v>52</v>
      </c>
      <c r="D127" s="86"/>
      <c r="E127" s="86"/>
      <c r="F127" s="46"/>
      <c r="G127" s="86"/>
      <c r="H127" s="86"/>
      <c r="I127" s="46"/>
      <c r="J127" s="86"/>
      <c r="K127" s="86"/>
      <c r="L127" s="46"/>
      <c r="M127" s="50"/>
      <c r="N127" s="50"/>
      <c r="O127" s="51"/>
    </row>
    <row r="128" spans="3:15">
      <c r="C128" s="49" t="s">
        <v>66</v>
      </c>
      <c r="D128" s="53">
        <f>SUM(D116:D127)</f>
        <v>117870</v>
      </c>
      <c r="E128" s="53">
        <f>SUM(E116:E127)</f>
        <v>225662.44120000006</v>
      </c>
      <c r="F128" s="55">
        <f>D128/E128</f>
        <v>0.52232883493241222</v>
      </c>
      <c r="G128" s="53">
        <f>SUM(G116:G127)</f>
        <v>77964.999999998137</v>
      </c>
      <c r="H128" s="53">
        <f>SUM(H116:H127)</f>
        <v>182254.72279999996</v>
      </c>
      <c r="I128" s="55">
        <f t="shared" ref="I128" si="51">G128/H128</f>
        <v>0.42778040975955522</v>
      </c>
      <c r="J128" s="53">
        <f>SUM(J116:J127)</f>
        <v>337051</v>
      </c>
      <c r="K128" s="53">
        <f>SUM(K116:K127)</f>
        <v>320636.0769000001</v>
      </c>
      <c r="L128" s="55">
        <f>J128/K128</f>
        <v>1.051194872575488</v>
      </c>
      <c r="M128" s="54">
        <f t="shared" ref="M124:M128" si="52">SUM(D128,G128,J128)</f>
        <v>532885.99999999814</v>
      </c>
      <c r="N128" s="54">
        <f t="shared" ref="N117:N128" si="53">SUM(E128,H128,K128)</f>
        <v>728553.24090000009</v>
      </c>
      <c r="O128" s="55">
        <f t="shared" si="50"/>
        <v>0.73143041590441726</v>
      </c>
    </row>
  </sheetData>
  <mergeCells count="34">
    <mergeCell ref="C76:O76"/>
    <mergeCell ref="D77:F77"/>
    <mergeCell ref="G77:I77"/>
    <mergeCell ref="J77:L77"/>
    <mergeCell ref="M77:O77"/>
    <mergeCell ref="D59:F59"/>
    <mergeCell ref="AN49:AQ49"/>
    <mergeCell ref="AO50:AQ50"/>
    <mergeCell ref="G59:I59"/>
    <mergeCell ref="M59:O59"/>
    <mergeCell ref="J59:L59"/>
    <mergeCell ref="C58:O58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C94:O94"/>
    <mergeCell ref="D95:F95"/>
    <mergeCell ref="G95:I95"/>
    <mergeCell ref="J95:L95"/>
    <mergeCell ref="M95:O95"/>
    <mergeCell ref="C113:O113"/>
    <mergeCell ref="D114:F114"/>
    <mergeCell ref="G114:I114"/>
    <mergeCell ref="J114:L114"/>
    <mergeCell ref="M114:O114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topLeftCell="A20" workbookViewId="0">
      <selection activeCell="J39" sqref="J39"/>
    </sheetView>
  </sheetViews>
  <sheetFormatPr defaultRowHeight="14.4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43.15">
      <c r="A4" s="70" t="s">
        <v>74</v>
      </c>
      <c r="B4" s="71" t="s">
        <v>75</v>
      </c>
      <c r="C4" s="71" t="s">
        <v>76</v>
      </c>
      <c r="D4" s="72" t="s">
        <v>4</v>
      </c>
      <c r="E4" s="73" t="s">
        <v>77</v>
      </c>
      <c r="F4" s="60"/>
      <c r="G4" s="60"/>
      <c r="H4" s="60"/>
    </row>
    <row r="5" spans="1:8">
      <c r="A5" s="1" t="s">
        <v>36</v>
      </c>
      <c r="B5" s="1">
        <v>1</v>
      </c>
      <c r="C5" s="1">
        <f>2026</f>
        <v>2026</v>
      </c>
      <c r="D5" s="104">
        <v>173872.6</v>
      </c>
      <c r="E5" s="80"/>
    </row>
    <row r="6" spans="1:8">
      <c r="A6" s="1" t="s">
        <v>36</v>
      </c>
      <c r="B6" s="1">
        <v>2</v>
      </c>
      <c r="C6" s="1">
        <f>2026</f>
        <v>2026</v>
      </c>
      <c r="D6" s="104">
        <v>223465.4</v>
      </c>
      <c r="E6" s="81"/>
    </row>
    <row r="7" spans="1:8">
      <c r="A7" s="1" t="s">
        <v>36</v>
      </c>
      <c r="B7" s="1">
        <v>3</v>
      </c>
      <c r="C7" s="1">
        <f>2026</f>
        <v>2026</v>
      </c>
      <c r="D7" s="104">
        <v>344525.3</v>
      </c>
      <c r="E7" s="81"/>
    </row>
    <row r="8" spans="1:8">
      <c r="A8" s="1" t="s">
        <v>36</v>
      </c>
      <c r="B8" s="1">
        <v>4</v>
      </c>
      <c r="C8" s="1">
        <f>2026</f>
        <v>2026</v>
      </c>
      <c r="D8" s="104">
        <v>439674.5</v>
      </c>
      <c r="E8" s="81"/>
    </row>
    <row r="9" spans="1:8">
      <c r="A9" s="1" t="s">
        <v>36</v>
      </c>
      <c r="B9" s="1">
        <v>5</v>
      </c>
      <c r="C9" s="1">
        <f>2026</f>
        <v>2026</v>
      </c>
      <c r="D9" s="104">
        <v>455091.20000000001</v>
      </c>
      <c r="E9" s="81"/>
    </row>
    <row r="10" spans="1:8">
      <c r="A10" s="1" t="s">
        <v>36</v>
      </c>
      <c r="B10" s="1">
        <v>6</v>
      </c>
      <c r="C10" s="1">
        <f>2026</f>
        <v>2026</v>
      </c>
      <c r="D10" s="104">
        <v>491177.6</v>
      </c>
      <c r="E10" s="81"/>
    </row>
    <row r="11" spans="1:8">
      <c r="A11" s="1" t="s">
        <v>36</v>
      </c>
      <c r="B11" s="1">
        <v>7</v>
      </c>
      <c r="C11" s="1">
        <f>2026</f>
        <v>2026</v>
      </c>
      <c r="D11" s="104">
        <v>524395</v>
      </c>
      <c r="E11" s="81"/>
    </row>
    <row r="12" spans="1:8">
      <c r="A12" s="1" t="s">
        <v>36</v>
      </c>
      <c r="B12" s="1">
        <v>8</v>
      </c>
      <c r="C12" s="1">
        <f>2026</f>
        <v>2026</v>
      </c>
      <c r="D12" s="104">
        <v>488163.4</v>
      </c>
      <c r="E12" s="81"/>
    </row>
    <row r="13" spans="1:8">
      <c r="A13" s="1" t="s">
        <v>36</v>
      </c>
      <c r="B13" s="1">
        <v>9</v>
      </c>
      <c r="C13" s="1">
        <f>2026</f>
        <v>2026</v>
      </c>
      <c r="D13" s="104">
        <v>412507.2</v>
      </c>
      <c r="E13" s="81"/>
    </row>
    <row r="14" spans="1:8">
      <c r="A14" s="1" t="s">
        <v>36</v>
      </c>
      <c r="B14" s="1">
        <v>10</v>
      </c>
      <c r="C14" s="1">
        <f>2026</f>
        <v>2026</v>
      </c>
      <c r="D14" s="104">
        <v>292225.09999999998</v>
      </c>
      <c r="E14" s="81"/>
    </row>
    <row r="15" spans="1:8">
      <c r="A15" s="1" t="s">
        <v>36</v>
      </c>
      <c r="B15" s="1">
        <v>11</v>
      </c>
      <c r="C15" s="1">
        <f>2026</f>
        <v>2026</v>
      </c>
      <c r="D15" s="104">
        <v>204482.1</v>
      </c>
      <c r="E15" s="81"/>
    </row>
    <row r="16" spans="1:8">
      <c r="A16" s="1" t="s">
        <v>36</v>
      </c>
      <c r="B16" s="1">
        <v>12</v>
      </c>
      <c r="C16" s="1">
        <f>2026</f>
        <v>2026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2026</f>
        <v>2026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2026</f>
        <v>2026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2026</f>
        <v>2026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2026</f>
        <v>2026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2026</f>
        <v>2026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2026</f>
        <v>2026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2026</f>
        <v>2026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2026</f>
        <v>2026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2026</f>
        <v>2026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2026</f>
        <v>2026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2026</f>
        <v>2026</v>
      </c>
      <c r="D27" s="104">
        <v>186483.9</v>
      </c>
      <c r="E27" s="81"/>
      <c r="F27" s="89"/>
    </row>
    <row r="28" spans="1:6">
      <c r="A28" s="147" t="s">
        <v>22</v>
      </c>
      <c r="B28" s="147">
        <v>12</v>
      </c>
      <c r="C28" s="1">
        <f>2026</f>
        <v>2026</v>
      </c>
      <c r="D28" s="148">
        <v>140863.4</v>
      </c>
      <c r="E28" s="82"/>
      <c r="F28" s="89"/>
    </row>
    <row r="29" spans="1:6">
      <c r="A29" s="144" t="s">
        <v>38</v>
      </c>
      <c r="B29" s="144">
        <v>1</v>
      </c>
      <c r="C29" s="1">
        <f>2026</f>
        <v>2026</v>
      </c>
      <c r="D29" s="135">
        <v>359065</v>
      </c>
      <c r="E29" s="81"/>
    </row>
    <row r="30" spans="1:6">
      <c r="A30" s="144" t="s">
        <v>38</v>
      </c>
      <c r="B30" s="144">
        <v>2</v>
      </c>
      <c r="C30" s="1">
        <f>2026</f>
        <v>2026</v>
      </c>
      <c r="D30" s="135">
        <v>341764</v>
      </c>
      <c r="E30" s="81"/>
    </row>
    <row r="31" spans="1:6">
      <c r="A31" s="144" t="s">
        <v>38</v>
      </c>
      <c r="B31" s="144">
        <v>3</v>
      </c>
      <c r="C31" s="1">
        <f>2026</f>
        <v>2026</v>
      </c>
      <c r="D31" s="135">
        <v>409489</v>
      </c>
      <c r="E31" s="81"/>
    </row>
    <row r="32" spans="1:6">
      <c r="A32" s="144" t="s">
        <v>38</v>
      </c>
      <c r="B32" s="144">
        <v>4</v>
      </c>
      <c r="C32" s="1">
        <f>2026</f>
        <v>2026</v>
      </c>
      <c r="D32" s="135">
        <v>426854</v>
      </c>
      <c r="E32" s="81"/>
    </row>
    <row r="33" spans="1:5">
      <c r="A33" s="144" t="s">
        <v>38</v>
      </c>
      <c r="B33" s="144">
        <v>5</v>
      </c>
      <c r="C33" s="1">
        <f>2026</f>
        <v>2026</v>
      </c>
      <c r="D33" s="135">
        <v>491560</v>
      </c>
      <c r="E33" s="81"/>
    </row>
    <row r="34" spans="1:5">
      <c r="A34" s="144" t="s">
        <v>38</v>
      </c>
      <c r="B34" s="144">
        <v>6</v>
      </c>
      <c r="C34" s="1">
        <f>2026</f>
        <v>2026</v>
      </c>
      <c r="D34" s="135">
        <v>511081</v>
      </c>
      <c r="E34" s="81"/>
    </row>
    <row r="35" spans="1:5">
      <c r="A35" s="144" t="s">
        <v>38</v>
      </c>
      <c r="B35" s="144">
        <v>7</v>
      </c>
      <c r="C35" s="1">
        <f>2026</f>
        <v>2026</v>
      </c>
      <c r="D35" s="145">
        <v>528500</v>
      </c>
      <c r="E35" s="81"/>
    </row>
    <row r="36" spans="1:5">
      <c r="A36" s="144" t="s">
        <v>38</v>
      </c>
      <c r="B36" s="144">
        <v>8</v>
      </c>
      <c r="C36" s="1">
        <f>2026</f>
        <v>2026</v>
      </c>
      <c r="D36" s="135">
        <v>491649</v>
      </c>
      <c r="E36" s="81"/>
    </row>
    <row r="37" spans="1:5">
      <c r="A37" s="144" t="s">
        <v>38</v>
      </c>
      <c r="B37" s="144">
        <v>9</v>
      </c>
      <c r="C37" s="1">
        <f>2026</f>
        <v>2026</v>
      </c>
      <c r="D37" s="135">
        <v>422985</v>
      </c>
      <c r="E37" s="81"/>
    </row>
    <row r="38" spans="1:5">
      <c r="A38" s="144" t="s">
        <v>38</v>
      </c>
      <c r="B38" s="144">
        <v>10</v>
      </c>
      <c r="C38" s="1">
        <f>2026</f>
        <v>2026</v>
      </c>
      <c r="D38" s="135">
        <v>426835</v>
      </c>
      <c r="E38" s="81"/>
    </row>
    <row r="39" spans="1:5">
      <c r="A39" s="144" t="s">
        <v>38</v>
      </c>
      <c r="B39" s="144">
        <v>11</v>
      </c>
      <c r="C39" s="1">
        <f>2026</f>
        <v>2026</v>
      </c>
      <c r="D39" s="135">
        <v>378158</v>
      </c>
      <c r="E39" s="81"/>
    </row>
    <row r="40" spans="1:5">
      <c r="A40" s="144" t="s">
        <v>38</v>
      </c>
      <c r="B40" s="144">
        <v>12</v>
      </c>
      <c r="C40" s="1">
        <f>2026</f>
        <v>2026</v>
      </c>
      <c r="D40" s="146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4.4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78</v>
      </c>
      <c r="B1" s="17" t="s">
        <v>79</v>
      </c>
      <c r="C1" s="17" t="s">
        <v>80</v>
      </c>
      <c r="D1" s="32"/>
      <c r="H1" s="179" t="s">
        <v>81</v>
      </c>
      <c r="I1" s="179"/>
      <c r="J1" s="179"/>
      <c r="K1" s="179"/>
      <c r="L1" s="179"/>
      <c r="M1" s="179"/>
      <c r="N1" s="179"/>
      <c r="O1" s="179"/>
      <c r="Q1" s="32" t="s">
        <v>82</v>
      </c>
    </row>
    <row r="2" spans="1:17">
      <c r="A2" s="33" t="s">
        <v>83</v>
      </c>
      <c r="B2" s="34" t="s">
        <v>84</v>
      </c>
      <c r="C2" s="34" t="s">
        <v>85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41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42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86</v>
      </c>
      <c r="F5" s="19"/>
      <c r="G5" t="s">
        <v>87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44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45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46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47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48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49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50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51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52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78</v>
      </c>
      <c r="B1" s="17" t="s">
        <v>79</v>
      </c>
      <c r="C1" s="17" t="s">
        <v>80</v>
      </c>
      <c r="G1" t="s">
        <v>88</v>
      </c>
      <c r="P1" t="s">
        <v>89</v>
      </c>
    </row>
    <row r="2" spans="1:16">
      <c r="A2" s="16" t="s">
        <v>83</v>
      </c>
      <c r="B2" s="18" t="s">
        <v>84</v>
      </c>
      <c r="C2" s="18" t="s">
        <v>85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41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42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87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44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45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46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47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48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49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90</v>
      </c>
      <c r="F12" s="26" t="s">
        <v>50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51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52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78</v>
      </c>
      <c r="B1" s="17" t="s">
        <v>79</v>
      </c>
      <c r="C1" s="17" t="s">
        <v>80</v>
      </c>
      <c r="G1" s="179" t="s">
        <v>91</v>
      </c>
      <c r="H1" s="179"/>
      <c r="I1" s="179"/>
      <c r="J1" s="179"/>
      <c r="K1" s="179"/>
      <c r="L1" s="179"/>
      <c r="M1" s="179"/>
      <c r="N1" s="179"/>
      <c r="P1" s="32" t="s">
        <v>92</v>
      </c>
    </row>
    <row r="2" spans="1:16">
      <c r="A2" s="16" t="s">
        <v>83</v>
      </c>
      <c r="B2" s="18" t="s">
        <v>84</v>
      </c>
      <c r="C2" s="18" t="s">
        <v>85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41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42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87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44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45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46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47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48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93</v>
      </c>
      <c r="E11" s="26"/>
      <c r="F11" t="s">
        <v>49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50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51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52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78</v>
      </c>
      <c r="B1" s="17" t="s">
        <v>79</v>
      </c>
      <c r="C1" s="17" t="s">
        <v>80</v>
      </c>
      <c r="G1" s="179" t="s">
        <v>94</v>
      </c>
      <c r="H1" s="179"/>
      <c r="I1" s="179"/>
      <c r="J1" s="179"/>
      <c r="K1" s="179"/>
      <c r="L1" s="179"/>
      <c r="M1" s="179"/>
      <c r="N1" s="179"/>
      <c r="P1" s="32" t="s">
        <v>95</v>
      </c>
    </row>
    <row r="2" spans="1:16">
      <c r="A2" s="16" t="s">
        <v>83</v>
      </c>
      <c r="B2" s="18" t="s">
        <v>84</v>
      </c>
      <c r="C2" s="18" t="s">
        <v>85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41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42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87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44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45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46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47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48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96</v>
      </c>
      <c r="E11" s="26"/>
      <c r="F11" t="s">
        <v>49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50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51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52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4FB608-2C95-4CB3-B789-2A06D4831A94}"/>
</file>

<file path=customXml/itemProps2.xml><?xml version="1.0" encoding="utf-8"?>
<ds:datastoreItem xmlns:ds="http://schemas.openxmlformats.org/officeDocument/2006/customXml" ds:itemID="{E161A57C-5289-4D7E-9AFD-77ECF81A6588}"/>
</file>

<file path=customXml/itemProps3.xml><?xml version="1.0" encoding="utf-8"?>
<ds:datastoreItem xmlns:ds="http://schemas.openxmlformats.org/officeDocument/2006/customXml" ds:itemID="{C25757AC-F572-4FD6-8D98-A3A4BF832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Guest User</cp:lastModifiedBy>
  <cp:revision/>
  <dcterms:created xsi:type="dcterms:W3CDTF">2013-05-02T09:51:31Z</dcterms:created>
  <dcterms:modified xsi:type="dcterms:W3CDTF">2026-02-10T08:03:15Z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