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3441C947-027C-4B38-85B7-53D12D1737BF}" xr6:coauthVersionLast="47" xr6:coauthVersionMax="47" xr10:uidLastSave="{3A0937E8-0042-402E-8EB0-B2340E7CC9F3}"/>
  <bookViews>
    <workbookView xWindow="-108" yWindow="-108" windowWidth="23256" windowHeight="12456" tabRatio="866" firstSheet="1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72" l="1"/>
  <c r="F13" i="72" s="1"/>
  <c r="E12" i="72"/>
  <c r="F12" i="72" s="1"/>
  <c r="E14" i="72"/>
  <c r="F14" i="72" s="1"/>
  <c r="E15" i="72"/>
  <c r="F15" i="72" s="1"/>
  <c r="E16" i="72"/>
  <c r="F16" i="72" s="1"/>
  <c r="E17" i="72"/>
  <c r="F17" i="72" s="1"/>
  <c r="E18" i="72"/>
  <c r="F18" i="72" s="1"/>
  <c r="E19" i="72"/>
  <c r="F19" i="72" s="1"/>
  <c r="E20" i="72"/>
  <c r="F20" i="72" s="1"/>
  <c r="E21" i="72"/>
  <c r="F21" i="72" s="1"/>
  <c r="E22" i="72"/>
  <c r="F22" i="72"/>
  <c r="E23" i="72"/>
  <c r="E23" i="1" s="1"/>
  <c r="E24" i="72"/>
  <c r="F24" i="72" s="1"/>
  <c r="E25" i="72"/>
  <c r="E25" i="1" s="1"/>
  <c r="E26" i="72"/>
  <c r="E26" i="1" s="1"/>
  <c r="E27" i="72"/>
  <c r="F27" i="72" s="1"/>
  <c r="E28" i="72"/>
  <c r="F28" i="72" s="1"/>
  <c r="E29" i="72"/>
  <c r="F29" i="72" s="1"/>
  <c r="H16" i="72"/>
  <c r="I16" i="72" s="1"/>
  <c r="H17" i="72"/>
  <c r="I17" i="72" s="1"/>
  <c r="H18" i="72"/>
  <c r="I18" i="72" s="1"/>
  <c r="H19" i="72"/>
  <c r="I19" i="72" s="1"/>
  <c r="H20" i="72"/>
  <c r="I20" i="72" s="1"/>
  <c r="H21" i="72"/>
  <c r="H22" i="72"/>
  <c r="H22" i="1" s="1"/>
  <c r="H23" i="72"/>
  <c r="I23" i="72" s="1"/>
  <c r="H24" i="72"/>
  <c r="I24" i="72" s="1"/>
  <c r="H25" i="72"/>
  <c r="I25" i="72" s="1"/>
  <c r="H26" i="72"/>
  <c r="I26" i="72" s="1"/>
  <c r="H27" i="72"/>
  <c r="I27" i="72" s="1"/>
  <c r="H28" i="72"/>
  <c r="H28" i="1" s="1"/>
  <c r="H29" i="72"/>
  <c r="H29" i="1" s="1"/>
  <c r="I21" i="72"/>
  <c r="H30" i="33"/>
  <c r="I30" i="33" s="1"/>
  <c r="H30" i="32"/>
  <c r="I30" i="32" s="1"/>
  <c r="E30" i="32"/>
  <c r="H21" i="33"/>
  <c r="I21" i="33" s="1"/>
  <c r="H22" i="33"/>
  <c r="I22" i="33" s="1"/>
  <c r="H23" i="33"/>
  <c r="I23" i="33" s="1"/>
  <c r="H24" i="33"/>
  <c r="I24" i="33" s="1"/>
  <c r="H25" i="33"/>
  <c r="I25" i="33" s="1"/>
  <c r="H26" i="33"/>
  <c r="I26" i="33" s="1"/>
  <c r="H27" i="33"/>
  <c r="I27" i="33" s="1"/>
  <c r="H28" i="33"/>
  <c r="I28" i="33" s="1"/>
  <c r="H29" i="33"/>
  <c r="I29" i="33" s="1"/>
  <c r="E21" i="33"/>
  <c r="F21" i="33" s="1"/>
  <c r="E22" i="33"/>
  <c r="F22" i="33" s="1"/>
  <c r="E23" i="33"/>
  <c r="F23" i="33" s="1"/>
  <c r="E24" i="33"/>
  <c r="F24" i="33" s="1"/>
  <c r="E25" i="33"/>
  <c r="F25" i="33" s="1"/>
  <c r="E26" i="33"/>
  <c r="F26" i="33" s="1"/>
  <c r="E27" i="33"/>
  <c r="F27" i="33" s="1"/>
  <c r="E28" i="33"/>
  <c r="F28" i="33" s="1"/>
  <c r="E29" i="33"/>
  <c r="F29" i="33" s="1"/>
  <c r="E30" i="33"/>
  <c r="F30" i="33" s="1"/>
  <c r="I22" i="18"/>
  <c r="I26" i="18"/>
  <c r="I29" i="18"/>
  <c r="H28" i="18"/>
  <c r="H29" i="18"/>
  <c r="G28" i="18"/>
  <c r="I28" i="18" s="1"/>
  <c r="G29" i="18"/>
  <c r="E28" i="18"/>
  <c r="F28" i="18" s="1"/>
  <c r="D28" i="18"/>
  <c r="D29" i="18"/>
  <c r="C28" i="18"/>
  <c r="C29" i="18"/>
  <c r="E29" i="18" s="1"/>
  <c r="F29" i="18" s="1"/>
  <c r="H23" i="1"/>
  <c r="G22" i="1"/>
  <c r="G23" i="1"/>
  <c r="G24" i="1"/>
  <c r="G25" i="1"/>
  <c r="G26" i="1"/>
  <c r="G27" i="1"/>
  <c r="G28" i="1"/>
  <c r="G29" i="1"/>
  <c r="E22" i="1"/>
  <c r="E29" i="1"/>
  <c r="D22" i="1"/>
  <c r="D23" i="1"/>
  <c r="D24" i="1"/>
  <c r="D25" i="1"/>
  <c r="D26" i="1"/>
  <c r="D27" i="1"/>
  <c r="D28" i="1"/>
  <c r="D29" i="1"/>
  <c r="F29" i="1" s="1"/>
  <c r="C21" i="1"/>
  <c r="C22" i="1"/>
  <c r="C23" i="1"/>
  <c r="C24" i="1"/>
  <c r="C25" i="1"/>
  <c r="C26" i="1"/>
  <c r="C27" i="1"/>
  <c r="C28" i="1"/>
  <c r="C29" i="1"/>
  <c r="H28" i="29"/>
  <c r="H29" i="29"/>
  <c r="G28" i="29"/>
  <c r="I28" i="29" s="1"/>
  <c r="G29" i="29"/>
  <c r="I29" i="29" s="1"/>
  <c r="G28" i="30"/>
  <c r="G29" i="30"/>
  <c r="D28" i="30"/>
  <c r="D29" i="30"/>
  <c r="C28" i="30"/>
  <c r="C29" i="30"/>
  <c r="E28" i="29"/>
  <c r="F28" i="29" s="1"/>
  <c r="E29" i="29"/>
  <c r="F29" i="29" s="1"/>
  <c r="D28" i="29"/>
  <c r="D29" i="29"/>
  <c r="C28" i="29"/>
  <c r="C29" i="29"/>
  <c r="E23" i="32"/>
  <c r="F23" i="32" s="1"/>
  <c r="H29" i="32"/>
  <c r="I29" i="32" s="1"/>
  <c r="H28" i="32"/>
  <c r="H28" i="30" s="1"/>
  <c r="E28" i="32"/>
  <c r="F28" i="32"/>
  <c r="E29" i="32"/>
  <c r="F29" i="32" s="1"/>
  <c r="H21" i="32"/>
  <c r="I21" i="32" s="1"/>
  <c r="H22" i="32"/>
  <c r="H23" i="32"/>
  <c r="I23" i="32" s="1"/>
  <c r="H24" i="32"/>
  <c r="I24" i="32" s="1"/>
  <c r="H25" i="32"/>
  <c r="I25" i="32" s="1"/>
  <c r="H26" i="32"/>
  <c r="H27" i="32"/>
  <c r="E21" i="32"/>
  <c r="F21" i="32" s="1"/>
  <c r="E22" i="32"/>
  <c r="F22" i="32" s="1"/>
  <c r="E24" i="32"/>
  <c r="F24" i="32" s="1"/>
  <c r="E25" i="32"/>
  <c r="F25" i="32" s="1"/>
  <c r="E26" i="32"/>
  <c r="F26" i="32" s="1"/>
  <c r="E27" i="32"/>
  <c r="F27" i="32" s="1"/>
  <c r="C26" i="30"/>
  <c r="D26" i="30"/>
  <c r="G26" i="30"/>
  <c r="C27" i="30"/>
  <c r="D27" i="30"/>
  <c r="G27" i="30"/>
  <c r="H20" i="31"/>
  <c r="I20" i="31" s="1"/>
  <c r="H21" i="31"/>
  <c r="I21" i="31" s="1"/>
  <c r="H22" i="31"/>
  <c r="I22" i="31" s="1"/>
  <c r="H23" i="31"/>
  <c r="I23" i="31" s="1"/>
  <c r="H24" i="31"/>
  <c r="H25" i="31"/>
  <c r="I25" i="31" s="1"/>
  <c r="H26" i="31"/>
  <c r="I26" i="31" s="1"/>
  <c r="H27" i="31"/>
  <c r="I27" i="31" s="1"/>
  <c r="E20" i="31"/>
  <c r="F20" i="31" s="1"/>
  <c r="E21" i="31"/>
  <c r="F21" i="31" s="1"/>
  <c r="E22" i="31"/>
  <c r="F22" i="31" s="1"/>
  <c r="E23" i="31"/>
  <c r="F23" i="31" s="1"/>
  <c r="E24" i="31"/>
  <c r="F24" i="31" s="1"/>
  <c r="E25" i="31"/>
  <c r="F25" i="31" s="1"/>
  <c r="E26" i="31"/>
  <c r="F26" i="31" s="1"/>
  <c r="E27" i="31"/>
  <c r="F27" i="31" s="1"/>
  <c r="C26" i="29"/>
  <c r="E26" i="29" s="1"/>
  <c r="F26" i="29" s="1"/>
  <c r="D26" i="29"/>
  <c r="G26" i="29"/>
  <c r="C27" i="29"/>
  <c r="D27" i="29"/>
  <c r="G27" i="29"/>
  <c r="C24" i="29"/>
  <c r="C26" i="18"/>
  <c r="E26" i="18" s="1"/>
  <c r="F26" i="18" s="1"/>
  <c r="D26" i="18"/>
  <c r="G26" i="18"/>
  <c r="H26" i="18"/>
  <c r="C27" i="18"/>
  <c r="D27" i="18"/>
  <c r="E27" i="18" s="1"/>
  <c r="F27" i="18" s="1"/>
  <c r="G27" i="18"/>
  <c r="I27" i="18" s="1"/>
  <c r="H27" i="18"/>
  <c r="H5" i="28"/>
  <c r="E26" i="28"/>
  <c r="F26" i="28" s="1"/>
  <c r="H26" i="28"/>
  <c r="H26" i="29" s="1"/>
  <c r="E27" i="28"/>
  <c r="F27" i="28"/>
  <c r="H27" i="28"/>
  <c r="H27" i="29" s="1"/>
  <c r="I27" i="29" s="1"/>
  <c r="I27" i="28"/>
  <c r="I23" i="28"/>
  <c r="H20" i="28"/>
  <c r="I20" i="28" s="1"/>
  <c r="H21" i="28"/>
  <c r="I21" i="28" s="1"/>
  <c r="H22" i="28"/>
  <c r="I22" i="28" s="1"/>
  <c r="H23" i="28"/>
  <c r="H24" i="28"/>
  <c r="I24" i="28" s="1"/>
  <c r="H25" i="28"/>
  <c r="I25" i="28" s="1"/>
  <c r="F20" i="28"/>
  <c r="F21" i="28"/>
  <c r="F23" i="28"/>
  <c r="E20" i="28"/>
  <c r="E21" i="28"/>
  <c r="E22" i="28"/>
  <c r="F22" i="28" s="1"/>
  <c r="E23" i="28"/>
  <c r="E24" i="28"/>
  <c r="F24" i="28" s="1"/>
  <c r="E25" i="28"/>
  <c r="F25" i="28" s="1"/>
  <c r="C22" i="30"/>
  <c r="D22" i="30"/>
  <c r="G22" i="30"/>
  <c r="C23" i="30"/>
  <c r="D23" i="30"/>
  <c r="G23" i="30"/>
  <c r="C24" i="30"/>
  <c r="D24" i="30"/>
  <c r="G24" i="30"/>
  <c r="C25" i="30"/>
  <c r="D25" i="30"/>
  <c r="G25" i="30"/>
  <c r="C23" i="29"/>
  <c r="D23" i="29"/>
  <c r="G23" i="29"/>
  <c r="D24" i="29"/>
  <c r="G24" i="29"/>
  <c r="C25" i="29"/>
  <c r="D25" i="29"/>
  <c r="G25" i="29"/>
  <c r="C22" i="18"/>
  <c r="D22" i="18"/>
  <c r="G22" i="18"/>
  <c r="H22" i="18"/>
  <c r="C23" i="18"/>
  <c r="E23" i="18" s="1"/>
  <c r="F23" i="18" s="1"/>
  <c r="D23" i="18"/>
  <c r="G23" i="18"/>
  <c r="I23" i="18" s="1"/>
  <c r="H23" i="18"/>
  <c r="C24" i="18"/>
  <c r="D24" i="18"/>
  <c r="G24" i="18"/>
  <c r="I24" i="18" s="1"/>
  <c r="H24" i="18"/>
  <c r="C25" i="18"/>
  <c r="E25" i="18" s="1"/>
  <c r="F25" i="18" s="1"/>
  <c r="D25" i="18"/>
  <c r="G25" i="18"/>
  <c r="I25" i="18" s="1"/>
  <c r="H25" i="18"/>
  <c r="I23" i="1" l="1"/>
  <c r="F23" i="72"/>
  <c r="I22" i="1"/>
  <c r="C27" i="34"/>
  <c r="I22" i="72"/>
  <c r="F22" i="1"/>
  <c r="I29" i="72"/>
  <c r="G25" i="34"/>
  <c r="F25" i="72"/>
  <c r="H25" i="1"/>
  <c r="I25" i="1" s="1"/>
  <c r="F25" i="1"/>
  <c r="I28" i="72"/>
  <c r="H28" i="34"/>
  <c r="E28" i="1"/>
  <c r="F28" i="1" s="1"/>
  <c r="H27" i="1"/>
  <c r="I27" i="1" s="1"/>
  <c r="E27" i="1"/>
  <c r="F27" i="1" s="1"/>
  <c r="H26" i="1"/>
  <c r="I26" i="1" s="1"/>
  <c r="F26" i="72"/>
  <c r="F26" i="1"/>
  <c r="H24" i="1"/>
  <c r="I24" i="1" s="1"/>
  <c r="E24" i="1"/>
  <c r="F24" i="1" s="1"/>
  <c r="F23" i="1"/>
  <c r="I26" i="29"/>
  <c r="G29" i="34"/>
  <c r="G28" i="34"/>
  <c r="I28" i="32"/>
  <c r="E24" i="18"/>
  <c r="F24" i="18" s="1"/>
  <c r="E22" i="18"/>
  <c r="F22" i="18" s="1"/>
  <c r="I26" i="28"/>
  <c r="D27" i="34"/>
  <c r="E27" i="34" s="1"/>
  <c r="F27" i="34" s="1"/>
  <c r="H22" i="30"/>
  <c r="E27" i="29"/>
  <c r="F27" i="29" s="1"/>
  <c r="H27" i="30"/>
  <c r="I27" i="30" s="1"/>
  <c r="C26" i="34"/>
  <c r="D29" i="34"/>
  <c r="D28" i="34"/>
  <c r="E28" i="30"/>
  <c r="F28" i="30" s="1"/>
  <c r="E29" i="30"/>
  <c r="F29" i="30" s="1"/>
  <c r="I27" i="32"/>
  <c r="I22" i="32"/>
  <c r="H29" i="30"/>
  <c r="H29" i="34" s="1"/>
  <c r="C29" i="34"/>
  <c r="C28" i="34"/>
  <c r="I29" i="1"/>
  <c r="I28" i="1"/>
  <c r="I28" i="30"/>
  <c r="H26" i="30"/>
  <c r="I26" i="32"/>
  <c r="G26" i="34"/>
  <c r="I22" i="30"/>
  <c r="E26" i="30"/>
  <c r="F26" i="30" s="1"/>
  <c r="E22" i="30"/>
  <c r="F22" i="30" s="1"/>
  <c r="H24" i="30"/>
  <c r="I24" i="30" s="1"/>
  <c r="G27" i="34"/>
  <c r="E27" i="30"/>
  <c r="F27" i="30" s="1"/>
  <c r="D26" i="34"/>
  <c r="H25" i="30"/>
  <c r="H23" i="30"/>
  <c r="I24" i="31"/>
  <c r="E25" i="30"/>
  <c r="F25" i="30" s="1"/>
  <c r="G24" i="34"/>
  <c r="E24" i="30"/>
  <c r="F24" i="30" s="1"/>
  <c r="E23" i="30"/>
  <c r="F23" i="30" s="1"/>
  <c r="E25" i="29"/>
  <c r="F25" i="29" s="1"/>
  <c r="E24" i="29"/>
  <c r="F24" i="29" s="1"/>
  <c r="E23" i="29"/>
  <c r="F23" i="29" s="1"/>
  <c r="D23" i="34"/>
  <c r="G23" i="34"/>
  <c r="D24" i="34"/>
  <c r="D25" i="34"/>
  <c r="C25" i="34"/>
  <c r="C23" i="34"/>
  <c r="C24" i="34"/>
  <c r="I21" i="27"/>
  <c r="H8" i="27"/>
  <c r="I8" i="27" s="1"/>
  <c r="H9" i="27"/>
  <c r="I9" i="27" s="1"/>
  <c r="H10" i="27"/>
  <c r="I10" i="27" s="1"/>
  <c r="H11" i="27"/>
  <c r="I11" i="27" s="1"/>
  <c r="H12" i="27"/>
  <c r="I12" i="27" s="1"/>
  <c r="H13" i="27"/>
  <c r="I13" i="27" s="1"/>
  <c r="H14" i="27"/>
  <c r="I14" i="27" s="1"/>
  <c r="H15" i="27"/>
  <c r="I15" i="27" s="1"/>
  <c r="H16" i="27"/>
  <c r="I16" i="27" s="1"/>
  <c r="H17" i="27"/>
  <c r="I17" i="27" s="1"/>
  <c r="H18" i="27"/>
  <c r="I18" i="27" s="1"/>
  <c r="H19" i="27"/>
  <c r="H20" i="27"/>
  <c r="I20" i="27" s="1"/>
  <c r="H21" i="27"/>
  <c r="H22" i="27"/>
  <c r="I22" i="27" s="1"/>
  <c r="H23" i="27"/>
  <c r="H24" i="27"/>
  <c r="H25" i="27"/>
  <c r="F21" i="27"/>
  <c r="E16" i="27"/>
  <c r="F16" i="27" s="1"/>
  <c r="E17" i="27"/>
  <c r="F17" i="27" s="1"/>
  <c r="E18" i="27"/>
  <c r="F18" i="27" s="1"/>
  <c r="E19" i="27"/>
  <c r="F19" i="27" s="1"/>
  <c r="E20" i="27"/>
  <c r="F20" i="27" s="1"/>
  <c r="E21" i="27"/>
  <c r="E22" i="27"/>
  <c r="F22" i="27" s="1"/>
  <c r="E23" i="27"/>
  <c r="F23" i="27" s="1"/>
  <c r="E24" i="27"/>
  <c r="F24" i="27" s="1"/>
  <c r="E25" i="27"/>
  <c r="F25" i="27" s="1"/>
  <c r="G22" i="29"/>
  <c r="G22" i="34" s="1"/>
  <c r="D22" i="29"/>
  <c r="D22" i="34" s="1"/>
  <c r="C22" i="29"/>
  <c r="H22" i="26"/>
  <c r="H22" i="29" s="1"/>
  <c r="E22" i="26"/>
  <c r="F22" i="26" s="1"/>
  <c r="E21" i="26"/>
  <c r="F21" i="26" s="1"/>
  <c r="H21" i="26"/>
  <c r="H18" i="26"/>
  <c r="I18" i="26" s="1"/>
  <c r="H19" i="26"/>
  <c r="I19" i="26" s="1"/>
  <c r="H20" i="26"/>
  <c r="H20" i="29" s="1"/>
  <c r="E18" i="26"/>
  <c r="F18" i="26" s="1"/>
  <c r="E19" i="26"/>
  <c r="E20" i="26"/>
  <c r="F19" i="26"/>
  <c r="F20" i="26"/>
  <c r="H21" i="19"/>
  <c r="I21" i="19" s="1"/>
  <c r="E19" i="19"/>
  <c r="F19" i="19" s="1"/>
  <c r="E17" i="19"/>
  <c r="F17" i="19" s="1"/>
  <c r="H17" i="19"/>
  <c r="I17" i="19" s="1"/>
  <c r="E18" i="19"/>
  <c r="F18" i="19"/>
  <c r="H18" i="19"/>
  <c r="I18" i="19" s="1"/>
  <c r="H19" i="19"/>
  <c r="I19" i="19" s="1"/>
  <c r="E20" i="19"/>
  <c r="F20" i="19" s="1"/>
  <c r="H20" i="19"/>
  <c r="I20" i="19"/>
  <c r="E21" i="19"/>
  <c r="F21" i="19" s="1"/>
  <c r="H18" i="20"/>
  <c r="I18" i="20" s="1"/>
  <c r="H19" i="20"/>
  <c r="I19" i="20" s="1"/>
  <c r="H20" i="20"/>
  <c r="I20" i="20" s="1"/>
  <c r="H21" i="20"/>
  <c r="I21" i="20" s="1"/>
  <c r="E18" i="20"/>
  <c r="F18" i="20" s="1"/>
  <c r="E19" i="20"/>
  <c r="F19" i="20" s="1"/>
  <c r="E20" i="20"/>
  <c r="F20" i="20" s="1"/>
  <c r="E21" i="20"/>
  <c r="F21" i="20" s="1"/>
  <c r="E22" i="20"/>
  <c r="H21" i="30"/>
  <c r="G21" i="30"/>
  <c r="D21" i="30"/>
  <c r="C21" i="30"/>
  <c r="G21" i="29"/>
  <c r="D21" i="29"/>
  <c r="C21" i="29"/>
  <c r="G21" i="18"/>
  <c r="D21" i="18"/>
  <c r="C21" i="18"/>
  <c r="H18" i="21"/>
  <c r="I18" i="21" s="1"/>
  <c r="H19" i="21"/>
  <c r="I19" i="21" s="1"/>
  <c r="H20" i="21"/>
  <c r="I20" i="21" s="1"/>
  <c r="H21" i="21"/>
  <c r="E18" i="21"/>
  <c r="F18" i="21" s="1"/>
  <c r="E19" i="21"/>
  <c r="F19" i="21" s="1"/>
  <c r="E20" i="21"/>
  <c r="F20" i="21" s="1"/>
  <c r="E21" i="21"/>
  <c r="F21" i="21" s="1"/>
  <c r="H18" i="4"/>
  <c r="I18" i="4" s="1"/>
  <c r="H19" i="4"/>
  <c r="H20" i="4"/>
  <c r="I20" i="4" s="1"/>
  <c r="H21" i="4"/>
  <c r="I21" i="4" s="1"/>
  <c r="F21" i="4"/>
  <c r="E18" i="4"/>
  <c r="F18" i="4" s="1"/>
  <c r="E19" i="4"/>
  <c r="F19" i="4" s="1"/>
  <c r="E20" i="4"/>
  <c r="F20" i="4" s="1"/>
  <c r="E21" i="4"/>
  <c r="G21" i="1"/>
  <c r="D21" i="1"/>
  <c r="I19" i="3"/>
  <c r="H18" i="3"/>
  <c r="I18" i="3" s="1"/>
  <c r="H19" i="3"/>
  <c r="H20" i="3"/>
  <c r="I20" i="3" s="1"/>
  <c r="H21" i="3"/>
  <c r="I21" i="3"/>
  <c r="E18" i="3"/>
  <c r="F18" i="3" s="1"/>
  <c r="E19" i="3"/>
  <c r="F19" i="3" s="1"/>
  <c r="E20" i="3"/>
  <c r="F20" i="3"/>
  <c r="E21" i="3"/>
  <c r="F21" i="3"/>
  <c r="E21" i="1"/>
  <c r="H5" i="33"/>
  <c r="I5" i="33" s="1"/>
  <c r="H6" i="33"/>
  <c r="I6" i="33" s="1"/>
  <c r="H7" i="33"/>
  <c r="I7" i="33" s="1"/>
  <c r="H8" i="33"/>
  <c r="I8" i="33" s="1"/>
  <c r="H9" i="33"/>
  <c r="I9" i="33" s="1"/>
  <c r="H10" i="33"/>
  <c r="I10" i="33" s="1"/>
  <c r="H11" i="33"/>
  <c r="I11" i="33" s="1"/>
  <c r="H12" i="33"/>
  <c r="I12" i="33" s="1"/>
  <c r="H13" i="33"/>
  <c r="I13" i="33" s="1"/>
  <c r="H14" i="33"/>
  <c r="I14" i="33" s="1"/>
  <c r="H15" i="33"/>
  <c r="I15" i="33" s="1"/>
  <c r="H16" i="33"/>
  <c r="I16" i="33" s="1"/>
  <c r="H17" i="33"/>
  <c r="I17" i="33" s="1"/>
  <c r="H18" i="33"/>
  <c r="I18" i="33" s="1"/>
  <c r="H19" i="33"/>
  <c r="I19" i="33" s="1"/>
  <c r="H20" i="33"/>
  <c r="I20" i="33" s="1"/>
  <c r="E5" i="33"/>
  <c r="F5" i="33" s="1"/>
  <c r="E6" i="33"/>
  <c r="F6" i="33" s="1"/>
  <c r="E7" i="33"/>
  <c r="F7" i="33" s="1"/>
  <c r="E8" i="33"/>
  <c r="F8" i="33" s="1"/>
  <c r="E9" i="33"/>
  <c r="F9" i="33" s="1"/>
  <c r="E10" i="33"/>
  <c r="F10" i="33"/>
  <c r="E11" i="33"/>
  <c r="F11" i="33" s="1"/>
  <c r="E12" i="33"/>
  <c r="F12" i="33" s="1"/>
  <c r="E13" i="33"/>
  <c r="F13" i="33" s="1"/>
  <c r="E14" i="33"/>
  <c r="F14" i="33" s="1"/>
  <c r="E15" i="33"/>
  <c r="F15" i="33" s="1"/>
  <c r="E16" i="33"/>
  <c r="F16" i="33" s="1"/>
  <c r="E17" i="33"/>
  <c r="F17" i="33" s="1"/>
  <c r="E18" i="33"/>
  <c r="F18" i="33" s="1"/>
  <c r="E19" i="33"/>
  <c r="F19" i="33" s="1"/>
  <c r="E20" i="33"/>
  <c r="F20" i="33" s="1"/>
  <c r="G20" i="29"/>
  <c r="D20" i="29"/>
  <c r="C20" i="29"/>
  <c r="G20" i="30"/>
  <c r="D20" i="30"/>
  <c r="C20" i="30"/>
  <c r="G18" i="1"/>
  <c r="G19" i="1"/>
  <c r="G20" i="1"/>
  <c r="D20" i="1"/>
  <c r="C20" i="1"/>
  <c r="G18" i="18"/>
  <c r="G19" i="18"/>
  <c r="G20" i="18"/>
  <c r="D18" i="18"/>
  <c r="D19" i="18"/>
  <c r="D20" i="18"/>
  <c r="C18" i="18"/>
  <c r="C19" i="18"/>
  <c r="C20" i="18"/>
  <c r="H18" i="32"/>
  <c r="I18" i="32" s="1"/>
  <c r="H19" i="32"/>
  <c r="I19" i="32" s="1"/>
  <c r="H20" i="32"/>
  <c r="I20" i="32" s="1"/>
  <c r="H16" i="32"/>
  <c r="I16" i="32" s="1"/>
  <c r="E18" i="32"/>
  <c r="F18" i="32" s="1"/>
  <c r="E19" i="32"/>
  <c r="F19" i="32" s="1"/>
  <c r="E20" i="32"/>
  <c r="F20" i="32" s="1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5" i="30"/>
  <c r="G4" i="30"/>
  <c r="H18" i="31"/>
  <c r="I18" i="31" s="1"/>
  <c r="H19" i="31"/>
  <c r="I19" i="31" s="1"/>
  <c r="E18" i="31"/>
  <c r="F18" i="31" s="1"/>
  <c r="E19" i="31"/>
  <c r="F19" i="31" s="1"/>
  <c r="E5" i="28"/>
  <c r="F5" i="28"/>
  <c r="E5" i="27"/>
  <c r="D18" i="30"/>
  <c r="D19" i="30"/>
  <c r="C18" i="30"/>
  <c r="C19" i="30"/>
  <c r="D18" i="1"/>
  <c r="D19" i="1"/>
  <c r="C18" i="1"/>
  <c r="C19" i="1"/>
  <c r="G18" i="29"/>
  <c r="G19" i="29"/>
  <c r="D18" i="29"/>
  <c r="D19" i="29"/>
  <c r="C18" i="29"/>
  <c r="C19" i="29"/>
  <c r="E19" i="29" s="1"/>
  <c r="F19" i="29" s="1"/>
  <c r="H19" i="28"/>
  <c r="I19" i="28" s="1"/>
  <c r="E19" i="28"/>
  <c r="F19" i="28" s="1"/>
  <c r="H18" i="28"/>
  <c r="I18" i="28" s="1"/>
  <c r="E18" i="28"/>
  <c r="F18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4" i="29"/>
  <c r="H15" i="26"/>
  <c r="I15" i="26" s="1"/>
  <c r="E15" i="26"/>
  <c r="H14" i="26"/>
  <c r="I14" i="26" s="1"/>
  <c r="E14" i="26"/>
  <c r="F14" i="26" s="1"/>
  <c r="E12" i="19"/>
  <c r="F12" i="19" s="1"/>
  <c r="E13" i="19"/>
  <c r="F13" i="19" s="1"/>
  <c r="E14" i="19"/>
  <c r="F14" i="19" s="1"/>
  <c r="E15" i="19"/>
  <c r="E5" i="20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4" i="18"/>
  <c r="E4" i="4"/>
  <c r="F4" i="4"/>
  <c r="H4" i="4"/>
  <c r="I4" i="4"/>
  <c r="E5" i="4"/>
  <c r="F5" i="4" s="1"/>
  <c r="H5" i="4"/>
  <c r="I5" i="4" s="1"/>
  <c r="E6" i="4"/>
  <c r="F6" i="4"/>
  <c r="H6" i="4"/>
  <c r="I6" i="4" s="1"/>
  <c r="E7" i="4"/>
  <c r="F7" i="4" s="1"/>
  <c r="H7" i="4"/>
  <c r="I7" i="4" s="1"/>
  <c r="E8" i="4"/>
  <c r="F8" i="4"/>
  <c r="H8" i="4"/>
  <c r="I8" i="4" s="1"/>
  <c r="E9" i="4"/>
  <c r="F9" i="4" s="1"/>
  <c r="H9" i="4"/>
  <c r="I9" i="4" s="1"/>
  <c r="E10" i="4"/>
  <c r="F10" i="4"/>
  <c r="H10" i="4"/>
  <c r="I10" i="4"/>
  <c r="E11" i="4"/>
  <c r="F11" i="4" s="1"/>
  <c r="H11" i="4"/>
  <c r="I11" i="4" s="1"/>
  <c r="E12" i="4"/>
  <c r="F12" i="4"/>
  <c r="H12" i="4"/>
  <c r="I12" i="4"/>
  <c r="E13" i="4"/>
  <c r="F13" i="4" s="1"/>
  <c r="H13" i="4"/>
  <c r="I13" i="4" s="1"/>
  <c r="E14" i="4"/>
  <c r="F14" i="4"/>
  <c r="H14" i="4"/>
  <c r="I14" i="4" s="1"/>
  <c r="E15" i="4"/>
  <c r="F15" i="4" s="1"/>
  <c r="H15" i="4"/>
  <c r="I15" i="4" s="1"/>
  <c r="E16" i="4"/>
  <c r="F16" i="4"/>
  <c r="H16" i="4"/>
  <c r="I16" i="4" s="1"/>
  <c r="E17" i="4"/>
  <c r="F17" i="4" s="1"/>
  <c r="H17" i="4"/>
  <c r="I17" i="4" s="1"/>
  <c r="C17" i="18"/>
  <c r="D17" i="18"/>
  <c r="H18" i="29"/>
  <c r="C16" i="30"/>
  <c r="D16" i="30"/>
  <c r="C17" i="30"/>
  <c r="D17" i="30"/>
  <c r="C16" i="29"/>
  <c r="D16" i="29"/>
  <c r="C17" i="29"/>
  <c r="D17" i="29"/>
  <c r="C16" i="18"/>
  <c r="D16" i="18"/>
  <c r="C16" i="1"/>
  <c r="D16" i="1"/>
  <c r="G16" i="1"/>
  <c r="C17" i="1"/>
  <c r="D17" i="1"/>
  <c r="E17" i="1" s="1"/>
  <c r="F17" i="1" s="1"/>
  <c r="G17" i="1"/>
  <c r="H17" i="32"/>
  <c r="I17" i="32" s="1"/>
  <c r="E17" i="32"/>
  <c r="F17" i="32" s="1"/>
  <c r="E16" i="32"/>
  <c r="F16" i="32" s="1"/>
  <c r="H17" i="31"/>
  <c r="I17" i="31" s="1"/>
  <c r="E17" i="31"/>
  <c r="F17" i="31" s="1"/>
  <c r="H16" i="31"/>
  <c r="E16" i="31"/>
  <c r="F16" i="31" s="1"/>
  <c r="H17" i="28"/>
  <c r="I17" i="28" s="1"/>
  <c r="E17" i="28"/>
  <c r="F17" i="28" s="1"/>
  <c r="H16" i="28"/>
  <c r="I16" i="28" s="1"/>
  <c r="E16" i="28"/>
  <c r="F16" i="28" s="1"/>
  <c r="H17" i="26"/>
  <c r="I17" i="26" s="1"/>
  <c r="E17" i="26"/>
  <c r="F17" i="26"/>
  <c r="I16" i="26"/>
  <c r="F16" i="26"/>
  <c r="H16" i="19"/>
  <c r="I16" i="19" s="1"/>
  <c r="E16" i="19"/>
  <c r="F16" i="19" s="1"/>
  <c r="H17" i="20"/>
  <c r="I17" i="20" s="1"/>
  <c r="E17" i="20"/>
  <c r="F17" i="20"/>
  <c r="H16" i="20"/>
  <c r="I16" i="20"/>
  <c r="E16" i="20"/>
  <c r="F16" i="20" s="1"/>
  <c r="H17" i="21"/>
  <c r="E17" i="21"/>
  <c r="F17" i="21"/>
  <c r="H16" i="21"/>
  <c r="I16" i="21" s="1"/>
  <c r="E16" i="21"/>
  <c r="F16" i="21"/>
  <c r="E16" i="3"/>
  <c r="F16" i="3" s="1"/>
  <c r="H16" i="3"/>
  <c r="I16" i="3" s="1"/>
  <c r="E17" i="3"/>
  <c r="F17" i="3" s="1"/>
  <c r="H17" i="3"/>
  <c r="I17" i="3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/>
  <c r="H4" i="3"/>
  <c r="I4" i="3" s="1"/>
  <c r="E5" i="3"/>
  <c r="F5" i="3" s="1"/>
  <c r="H5" i="3"/>
  <c r="I5" i="3"/>
  <c r="E6" i="3"/>
  <c r="F6" i="3"/>
  <c r="H6" i="3"/>
  <c r="I6" i="3" s="1"/>
  <c r="E7" i="3"/>
  <c r="F7" i="3" s="1"/>
  <c r="H7" i="3"/>
  <c r="I7" i="3" s="1"/>
  <c r="E8" i="3"/>
  <c r="F8" i="3"/>
  <c r="H8" i="3"/>
  <c r="I8" i="3" s="1"/>
  <c r="E9" i="3"/>
  <c r="F9" i="3" s="1"/>
  <c r="H9" i="3"/>
  <c r="I9" i="3"/>
  <c r="E10" i="3"/>
  <c r="F10" i="3"/>
  <c r="H10" i="3"/>
  <c r="I10" i="3" s="1"/>
  <c r="E11" i="3"/>
  <c r="F11" i="3" s="1"/>
  <c r="H11" i="3"/>
  <c r="I11" i="3"/>
  <c r="E12" i="3"/>
  <c r="F12" i="3"/>
  <c r="H12" i="3"/>
  <c r="I12" i="3" s="1"/>
  <c r="E13" i="3"/>
  <c r="F13" i="3" s="1"/>
  <c r="H13" i="3"/>
  <c r="I13" i="3"/>
  <c r="E14" i="3"/>
  <c r="F14" i="3"/>
  <c r="H14" i="3"/>
  <c r="I14" i="3" s="1"/>
  <c r="E15" i="3"/>
  <c r="F15" i="3" s="1"/>
  <c r="H15" i="3"/>
  <c r="I15" i="3" s="1"/>
  <c r="G6" i="1"/>
  <c r="G7" i="1"/>
  <c r="G8" i="1"/>
  <c r="G9" i="1"/>
  <c r="G10" i="1"/>
  <c r="G11" i="1"/>
  <c r="G12" i="1"/>
  <c r="G13" i="1"/>
  <c r="G14" i="1"/>
  <c r="G15" i="1"/>
  <c r="G5" i="1"/>
  <c r="G4" i="1"/>
  <c r="B4" i="34" a="1"/>
  <c r="B4" i="34" s="1"/>
  <c r="A4" i="34" a="1"/>
  <c r="A4" i="34" s="1"/>
  <c r="A1" i="34" a="1"/>
  <c r="A1" i="34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E15" i="29" s="1"/>
  <c r="F15" i="29" s="1"/>
  <c r="D14" i="29"/>
  <c r="C14" i="29"/>
  <c r="D13" i="29"/>
  <c r="C13" i="29"/>
  <c r="E13" i="29" s="1"/>
  <c r="F13" i="29" s="1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E7" i="29" s="1"/>
  <c r="F7" i="29" s="1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B4" i="30" a="1"/>
  <c r="B4" i="30" s="1"/>
  <c r="A1" i="30" a="1"/>
  <c r="A1" i="30"/>
  <c r="B4" i="29" a="1"/>
  <c r="B4" i="29" s="1"/>
  <c r="A4" i="29" a="1"/>
  <c r="A4" i="29" s="1"/>
  <c r="A1" i="29" a="1"/>
  <c r="A1" i="29"/>
  <c r="B4" i="18" a="1"/>
  <c r="B4" i="18" s="1"/>
  <c r="A4" i="18" a="1"/>
  <c r="A4" i="18" s="1"/>
  <c r="A1" i="18" a="1"/>
  <c r="A1" i="18"/>
  <c r="C15" i="1"/>
  <c r="E15" i="1" s="1"/>
  <c r="F15" i="1" s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E10" i="1" s="1"/>
  <c r="F10" i="1" s="1"/>
  <c r="D11" i="1"/>
  <c r="D12" i="1"/>
  <c r="D13" i="1"/>
  <c r="D14" i="1"/>
  <c r="D15" i="1"/>
  <c r="D5" i="1"/>
  <c r="D4" i="1"/>
  <c r="B4" i="1" a="1"/>
  <c r="B4" i="1" s="1"/>
  <c r="A1" i="1" a="1"/>
  <c r="A1" i="1"/>
  <c r="H4" i="33"/>
  <c r="I4" i="33" s="1"/>
  <c r="E4" i="33"/>
  <c r="F4" i="33" s="1"/>
  <c r="G2" i="33"/>
  <c r="D2" i="33"/>
  <c r="C2" i="33"/>
  <c r="J2" i="33" s="1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/>
  <c r="H14" i="31"/>
  <c r="E14" i="31"/>
  <c r="F14" i="31" s="1"/>
  <c r="H13" i="31"/>
  <c r="E13" i="31"/>
  <c r="F13" i="31" s="1"/>
  <c r="H12" i="31"/>
  <c r="I12" i="31" s="1"/>
  <c r="E12" i="31"/>
  <c r="F12" i="31" s="1"/>
  <c r="H11" i="31"/>
  <c r="I11" i="31"/>
  <c r="E11" i="31"/>
  <c r="F11" i="31" s="1"/>
  <c r="H10" i="31"/>
  <c r="I10" i="31"/>
  <c r="E10" i="31"/>
  <c r="F10" i="31" s="1"/>
  <c r="H9" i="31"/>
  <c r="I9" i="31" s="1"/>
  <c r="E9" i="31"/>
  <c r="F9" i="31"/>
  <c r="H8" i="31"/>
  <c r="I8" i="31" s="1"/>
  <c r="E8" i="31"/>
  <c r="F8" i="31" s="1"/>
  <c r="H7" i="31"/>
  <c r="I7" i="31" s="1"/>
  <c r="E7" i="31"/>
  <c r="F7" i="31" s="1"/>
  <c r="H6" i="31"/>
  <c r="I6" i="31"/>
  <c r="E6" i="31"/>
  <c r="F6" i="31" s="1"/>
  <c r="H5" i="31"/>
  <c r="I5" i="31"/>
  <c r="E5" i="31"/>
  <c r="F5" i="31" s="1"/>
  <c r="H4" i="31"/>
  <c r="E4" i="31"/>
  <c r="F4" i="31" s="1"/>
  <c r="G2" i="31"/>
  <c r="D2" i="31"/>
  <c r="C2" i="31"/>
  <c r="A1" i="31" a="1"/>
  <c r="A1" i="31" s="1"/>
  <c r="H15" i="28"/>
  <c r="E15" i="28"/>
  <c r="F15" i="28" s="1"/>
  <c r="H14" i="28"/>
  <c r="I14" i="28"/>
  <c r="E14" i="28"/>
  <c r="F14" i="28" s="1"/>
  <c r="H13" i="28"/>
  <c r="I13" i="28"/>
  <c r="E13" i="28"/>
  <c r="F13" i="28" s="1"/>
  <c r="H12" i="28"/>
  <c r="I12" i="28" s="1"/>
  <c r="E12" i="28"/>
  <c r="F12" i="28"/>
  <c r="H11" i="28"/>
  <c r="I11" i="28"/>
  <c r="E11" i="28"/>
  <c r="F11" i="28" s="1"/>
  <c r="H10" i="28"/>
  <c r="I10" i="28" s="1"/>
  <c r="E10" i="28"/>
  <c r="F10" i="28"/>
  <c r="H9" i="28"/>
  <c r="I9" i="28" s="1"/>
  <c r="E9" i="28"/>
  <c r="F9" i="28" s="1"/>
  <c r="H8" i="28"/>
  <c r="I8" i="28" s="1"/>
  <c r="E8" i="28"/>
  <c r="F8" i="28"/>
  <c r="H7" i="28"/>
  <c r="I7" i="28" s="1"/>
  <c r="E7" i="28"/>
  <c r="F7" i="28" s="1"/>
  <c r="H6" i="28"/>
  <c r="I6" i="28"/>
  <c r="E6" i="28"/>
  <c r="F6" i="28" s="1"/>
  <c r="I5" i="28"/>
  <c r="H4" i="28"/>
  <c r="I4" i="28"/>
  <c r="E4" i="28"/>
  <c r="F4" i="28" s="1"/>
  <c r="B4" i="28" a="1"/>
  <c r="B4" i="28" s="1"/>
  <c r="A4" i="28" a="1"/>
  <c r="A4" i="28" s="1"/>
  <c r="G2" i="28"/>
  <c r="D2" i="28"/>
  <c r="C2" i="28"/>
  <c r="A1" i="28" a="1"/>
  <c r="A1" i="28"/>
  <c r="E15" i="27"/>
  <c r="F15" i="27" s="1"/>
  <c r="E14" i="27"/>
  <c r="F14" i="27" s="1"/>
  <c r="E13" i="27"/>
  <c r="F13" i="27" s="1"/>
  <c r="E12" i="27"/>
  <c r="F12" i="27" s="1"/>
  <c r="E11" i="27"/>
  <c r="F11" i="27" s="1"/>
  <c r="E10" i="27"/>
  <c r="F10" i="27" s="1"/>
  <c r="E9" i="27"/>
  <c r="F9" i="27" s="1"/>
  <c r="E8" i="27"/>
  <c r="F8" i="27" s="1"/>
  <c r="H7" i="27"/>
  <c r="I7" i="27" s="1"/>
  <c r="E7" i="27"/>
  <c r="F7" i="27"/>
  <c r="H6" i="27"/>
  <c r="H6" i="29" s="1"/>
  <c r="I6" i="29" s="1"/>
  <c r="E6" i="27"/>
  <c r="F6" i="27" s="1"/>
  <c r="H5" i="27"/>
  <c r="F5" i="27"/>
  <c r="H4" i="27"/>
  <c r="I4" i="27" s="1"/>
  <c r="E4" i="27"/>
  <c r="F4" i="27" s="1"/>
  <c r="G2" i="27"/>
  <c r="D2" i="27"/>
  <c r="C2" i="27"/>
  <c r="A1" i="27" a="1"/>
  <c r="A1" i="27"/>
  <c r="F15" i="26"/>
  <c r="H13" i="26"/>
  <c r="I13" i="26" s="1"/>
  <c r="E13" i="26"/>
  <c r="F13" i="26" s="1"/>
  <c r="H12" i="26"/>
  <c r="E12" i="26"/>
  <c r="F12" i="26"/>
  <c r="H11" i="26"/>
  <c r="I11" i="26" s="1"/>
  <c r="E11" i="26"/>
  <c r="F11" i="26"/>
  <c r="H10" i="26"/>
  <c r="I10" i="26" s="1"/>
  <c r="E10" i="26"/>
  <c r="F10" i="26"/>
  <c r="H9" i="26"/>
  <c r="I9" i="26" s="1"/>
  <c r="E9" i="26"/>
  <c r="F9" i="26"/>
  <c r="H8" i="26"/>
  <c r="I8" i="26" s="1"/>
  <c r="E8" i="26"/>
  <c r="F8" i="26" s="1"/>
  <c r="H7" i="26"/>
  <c r="E7" i="26"/>
  <c r="F7" i="26" s="1"/>
  <c r="H6" i="26"/>
  <c r="I6" i="26" s="1"/>
  <c r="E6" i="26"/>
  <c r="F6" i="26"/>
  <c r="H5" i="26"/>
  <c r="I5" i="26" s="1"/>
  <c r="E5" i="26"/>
  <c r="F5" i="26"/>
  <c r="H4" i="26"/>
  <c r="E4" i="26"/>
  <c r="F4" i="26" s="1"/>
  <c r="G2" i="26"/>
  <c r="D2" i="26"/>
  <c r="C2" i="26"/>
  <c r="A1" i="26" a="1"/>
  <c r="A1" i="26"/>
  <c r="H15" i="19"/>
  <c r="I15" i="19" s="1"/>
  <c r="F15" i="19"/>
  <c r="H14" i="19"/>
  <c r="I14" i="19" s="1"/>
  <c r="H13" i="19"/>
  <c r="I13" i="19" s="1"/>
  <c r="H12" i="19"/>
  <c r="I12" i="19" s="1"/>
  <c r="H11" i="19"/>
  <c r="I11" i="19" s="1"/>
  <c r="E11" i="19"/>
  <c r="F11" i="19"/>
  <c r="H10" i="19"/>
  <c r="I10" i="19"/>
  <c r="E10" i="19"/>
  <c r="F10" i="19"/>
  <c r="H9" i="19"/>
  <c r="I9" i="19" s="1"/>
  <c r="E9" i="19"/>
  <c r="F9" i="19" s="1"/>
  <c r="H8" i="19"/>
  <c r="I8" i="19"/>
  <c r="E8" i="19"/>
  <c r="F8" i="19"/>
  <c r="H7" i="19"/>
  <c r="I7" i="19"/>
  <c r="E7" i="19"/>
  <c r="F7" i="19" s="1"/>
  <c r="H6" i="19"/>
  <c r="I6" i="19"/>
  <c r="E6" i="19"/>
  <c r="F6" i="19" s="1"/>
  <c r="H5" i="19"/>
  <c r="I5" i="19" s="1"/>
  <c r="E5" i="19"/>
  <c r="F5" i="19" s="1"/>
  <c r="H4" i="19"/>
  <c r="I4" i="19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/>
  <c r="H7" i="20"/>
  <c r="I7" i="20" s="1"/>
  <c r="E7" i="20"/>
  <c r="F7" i="20"/>
  <c r="H6" i="20"/>
  <c r="I6" i="20" s="1"/>
  <c r="E6" i="20"/>
  <c r="F6" i="20" s="1"/>
  <c r="H5" i="20"/>
  <c r="I5" i="20" s="1"/>
  <c r="F5" i="20"/>
  <c r="H4" i="20"/>
  <c r="I4" i="20"/>
  <c r="E4" i="20"/>
  <c r="F4" i="20" s="1"/>
  <c r="G2" i="20"/>
  <c r="D2" i="20"/>
  <c r="C2" i="20"/>
  <c r="A1" i="20" a="1"/>
  <c r="A1" i="20"/>
  <c r="H15" i="21"/>
  <c r="I15" i="21"/>
  <c r="E15" i="21"/>
  <c r="F15" i="21"/>
  <c r="H14" i="21"/>
  <c r="I14" i="21" s="1"/>
  <c r="E14" i="21"/>
  <c r="F14" i="21"/>
  <c r="H13" i="21"/>
  <c r="I13" i="21"/>
  <c r="E13" i="21"/>
  <c r="F13" i="21"/>
  <c r="H12" i="21"/>
  <c r="I12" i="21" s="1"/>
  <c r="E12" i="21"/>
  <c r="F12" i="21" s="1"/>
  <c r="H11" i="21"/>
  <c r="I11" i="21" s="1"/>
  <c r="E11" i="21"/>
  <c r="F11" i="21" s="1"/>
  <c r="H10" i="21"/>
  <c r="I10" i="21"/>
  <c r="E10" i="21"/>
  <c r="F10" i="21"/>
  <c r="H9" i="21"/>
  <c r="I9" i="21" s="1"/>
  <c r="E9" i="21"/>
  <c r="F9" i="21" s="1"/>
  <c r="H8" i="21"/>
  <c r="I8" i="21"/>
  <c r="E8" i="21"/>
  <c r="F8" i="21"/>
  <c r="H7" i="21"/>
  <c r="I7" i="21" s="1"/>
  <c r="E7" i="21"/>
  <c r="F7" i="21" s="1"/>
  <c r="H6" i="21"/>
  <c r="I6" i="21" s="1"/>
  <c r="E6" i="21"/>
  <c r="F6" i="21" s="1"/>
  <c r="H5" i="21"/>
  <c r="I5" i="2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/>
  <c r="G2" i="4"/>
  <c r="H2" i="4" s="1"/>
  <c r="I2" i="4" s="1"/>
  <c r="D2" i="4"/>
  <c r="C2" i="4"/>
  <c r="J2" i="4" s="1"/>
  <c r="A1" i="4" a="1"/>
  <c r="A1" i="4"/>
  <c r="G2" i="3"/>
  <c r="D2" i="3"/>
  <c r="C2" i="3"/>
  <c r="J2" i="3" s="1"/>
  <c r="A1" i="3" a="1"/>
  <c r="A1" i="3"/>
  <c r="H6" i="72"/>
  <c r="I6" i="72" s="1"/>
  <c r="H7" i="72"/>
  <c r="I7" i="72" s="1"/>
  <c r="H8" i="72"/>
  <c r="I8" i="72" s="1"/>
  <c r="H9" i="72"/>
  <c r="H9" i="1" s="1"/>
  <c r="I9" i="1" s="1"/>
  <c r="H10" i="72"/>
  <c r="I10" i="72" s="1"/>
  <c r="H11" i="72"/>
  <c r="H11" i="1" s="1"/>
  <c r="I11" i="1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A1" i="72" a="1"/>
  <c r="A1" i="72"/>
  <c r="H16" i="1"/>
  <c r="I16" i="1" s="1"/>
  <c r="H10" i="29"/>
  <c r="E12" i="29"/>
  <c r="F12" i="29" s="1"/>
  <c r="E5" i="18"/>
  <c r="F5" i="18" s="1"/>
  <c r="I17" i="21"/>
  <c r="E12" i="1"/>
  <c r="F12" i="1" s="1"/>
  <c r="I12" i="26"/>
  <c r="H14" i="29"/>
  <c r="E2" i="4"/>
  <c r="F2" i="4" s="1"/>
  <c r="E11" i="1" l="1"/>
  <c r="F11" i="1" s="1"/>
  <c r="E6" i="1"/>
  <c r="F6" i="1" s="1"/>
  <c r="I28" i="34"/>
  <c r="H26" i="34"/>
  <c r="F21" i="1"/>
  <c r="E13" i="1"/>
  <c r="F13" i="1" s="1"/>
  <c r="E5" i="1"/>
  <c r="F5" i="1" s="1"/>
  <c r="I11" i="72"/>
  <c r="E14" i="1"/>
  <c r="F14" i="1" s="1"/>
  <c r="E29" i="34"/>
  <c r="F29" i="34" s="1"/>
  <c r="E28" i="34"/>
  <c r="F28" i="34" s="1"/>
  <c r="E18" i="1"/>
  <c r="F18" i="1" s="1"/>
  <c r="E9" i="1"/>
  <c r="F9" i="1" s="1"/>
  <c r="I9" i="72"/>
  <c r="H2" i="72"/>
  <c r="I2" i="72" s="1"/>
  <c r="E7" i="1"/>
  <c r="F7" i="1" s="1"/>
  <c r="H15" i="1"/>
  <c r="I15" i="1" s="1"/>
  <c r="J2" i="72"/>
  <c r="E4" i="1"/>
  <c r="F4" i="1" s="1"/>
  <c r="C2" i="1"/>
  <c r="C15" i="34"/>
  <c r="G2" i="1"/>
  <c r="H13" i="1"/>
  <c r="I13" i="1" s="1"/>
  <c r="E16" i="1"/>
  <c r="F16" i="1" s="1"/>
  <c r="H18" i="1"/>
  <c r="I18" i="1" s="1"/>
  <c r="H19" i="1"/>
  <c r="I19" i="1" s="1"/>
  <c r="H21" i="1"/>
  <c r="I21" i="1" s="1"/>
  <c r="H8" i="18"/>
  <c r="H17" i="1"/>
  <c r="I17" i="1" s="1"/>
  <c r="I29" i="34"/>
  <c r="H15" i="29"/>
  <c r="I15" i="29" s="1"/>
  <c r="G5" i="34"/>
  <c r="H6" i="1"/>
  <c r="I6" i="1" s="1"/>
  <c r="H7" i="1"/>
  <c r="I7" i="1" s="1"/>
  <c r="I22" i="26"/>
  <c r="H14" i="1"/>
  <c r="I14" i="1" s="1"/>
  <c r="H10" i="1"/>
  <c r="I10" i="1" s="1"/>
  <c r="H5" i="1"/>
  <c r="I5" i="1" s="1"/>
  <c r="H11" i="30"/>
  <c r="I11" i="30" s="1"/>
  <c r="E16" i="18"/>
  <c r="F16" i="18" s="1"/>
  <c r="E19" i="1"/>
  <c r="F19" i="1" s="1"/>
  <c r="I23" i="27"/>
  <c r="H23" i="29"/>
  <c r="I23" i="29" s="1"/>
  <c r="D2" i="1"/>
  <c r="H4" i="1"/>
  <c r="I4" i="1" s="1"/>
  <c r="H18" i="18"/>
  <c r="I18" i="18" s="1"/>
  <c r="I20" i="26"/>
  <c r="H23" i="34"/>
  <c r="I23" i="34" s="1"/>
  <c r="E20" i="1"/>
  <c r="F20" i="1" s="1"/>
  <c r="H8" i="1"/>
  <c r="I8" i="1" s="1"/>
  <c r="H10" i="18"/>
  <c r="I10" i="18" s="1"/>
  <c r="H27" i="34"/>
  <c r="I27" i="34" s="1"/>
  <c r="E2" i="72"/>
  <c r="F2" i="72" s="1"/>
  <c r="H2" i="3"/>
  <c r="I2" i="3" s="1"/>
  <c r="E2" i="3"/>
  <c r="F2" i="3" s="1"/>
  <c r="E8" i="1"/>
  <c r="F8" i="1" s="1"/>
  <c r="C5" i="34"/>
  <c r="H20" i="1"/>
  <c r="I20" i="1" s="1"/>
  <c r="I19" i="4"/>
  <c r="H20" i="18"/>
  <c r="I20" i="18" s="1"/>
  <c r="E26" i="34"/>
  <c r="F26" i="34" s="1"/>
  <c r="H5" i="30"/>
  <c r="I5" i="30" s="1"/>
  <c r="H12" i="1"/>
  <c r="I12" i="1" s="1"/>
  <c r="H5" i="29"/>
  <c r="I5" i="29" s="1"/>
  <c r="D5" i="34"/>
  <c r="H21" i="29"/>
  <c r="I21" i="29" s="1"/>
  <c r="I25" i="27"/>
  <c r="H25" i="29"/>
  <c r="I25" i="29" s="1"/>
  <c r="I15" i="28"/>
  <c r="E6" i="18"/>
  <c r="F6" i="18" s="1"/>
  <c r="E10" i="29"/>
  <c r="F10" i="29" s="1"/>
  <c r="E6" i="30"/>
  <c r="F6" i="30" s="1"/>
  <c r="E14" i="30"/>
  <c r="F14" i="30" s="1"/>
  <c r="I24" i="27"/>
  <c r="H24" i="29"/>
  <c r="I24" i="29" s="1"/>
  <c r="H7" i="30"/>
  <c r="I7" i="30" s="1"/>
  <c r="H8" i="30"/>
  <c r="I8" i="30" s="1"/>
  <c r="I29" i="30"/>
  <c r="H16" i="30"/>
  <c r="I16" i="30" s="1"/>
  <c r="E10" i="30"/>
  <c r="F10" i="30" s="1"/>
  <c r="E2" i="33"/>
  <c r="F2" i="33" s="1"/>
  <c r="H2" i="33"/>
  <c r="I2" i="33" s="1"/>
  <c r="H19" i="30"/>
  <c r="I19" i="30" s="1"/>
  <c r="I7" i="32"/>
  <c r="H20" i="30"/>
  <c r="I20" i="30" s="1"/>
  <c r="H10" i="30"/>
  <c r="I10" i="30" s="1"/>
  <c r="H4" i="30"/>
  <c r="I4" i="30" s="1"/>
  <c r="H17" i="30"/>
  <c r="I17" i="30" s="1"/>
  <c r="I26" i="30"/>
  <c r="E13" i="30"/>
  <c r="F13" i="30" s="1"/>
  <c r="I26" i="34"/>
  <c r="E19" i="30"/>
  <c r="F19" i="30" s="1"/>
  <c r="E4" i="30"/>
  <c r="F4" i="30" s="1"/>
  <c r="E5" i="30"/>
  <c r="F5" i="30" s="1"/>
  <c r="I23" i="30"/>
  <c r="E21" i="30"/>
  <c r="F21" i="30" s="1"/>
  <c r="E17" i="30"/>
  <c r="F17" i="30" s="1"/>
  <c r="E16" i="30"/>
  <c r="F16" i="30" s="1"/>
  <c r="E11" i="30"/>
  <c r="F11" i="30" s="1"/>
  <c r="H14" i="30"/>
  <c r="I14" i="30" s="1"/>
  <c r="H13" i="30"/>
  <c r="I13" i="30" s="1"/>
  <c r="H18" i="30"/>
  <c r="I18" i="30" s="1"/>
  <c r="E18" i="30"/>
  <c r="F18" i="30" s="1"/>
  <c r="E20" i="30"/>
  <c r="F20" i="30" s="1"/>
  <c r="E9" i="30"/>
  <c r="F9" i="30" s="1"/>
  <c r="E8" i="30"/>
  <c r="F8" i="30" s="1"/>
  <c r="E7" i="30"/>
  <c r="F7" i="30" s="1"/>
  <c r="H6" i="30"/>
  <c r="I6" i="30" s="1"/>
  <c r="H2" i="32"/>
  <c r="I2" i="32" s="1"/>
  <c r="E2" i="32"/>
  <c r="F2" i="32" s="1"/>
  <c r="H15" i="30"/>
  <c r="I15" i="30" s="1"/>
  <c r="J2" i="32"/>
  <c r="I4" i="31"/>
  <c r="I14" i="31"/>
  <c r="H12" i="30"/>
  <c r="I12" i="30" s="1"/>
  <c r="D11" i="34"/>
  <c r="E12" i="30"/>
  <c r="F12" i="30" s="1"/>
  <c r="I13" i="31"/>
  <c r="G7" i="34"/>
  <c r="G6" i="34"/>
  <c r="I16" i="31"/>
  <c r="I25" i="30"/>
  <c r="H25" i="34"/>
  <c r="I25" i="34" s="1"/>
  <c r="E2" i="31"/>
  <c r="F2" i="31" s="1"/>
  <c r="H9" i="30"/>
  <c r="I9" i="30" s="1"/>
  <c r="D2" i="30"/>
  <c r="C2" i="30"/>
  <c r="E23" i="34"/>
  <c r="F23" i="34" s="1"/>
  <c r="G2" i="30"/>
  <c r="D15" i="34"/>
  <c r="E15" i="30"/>
  <c r="F15" i="30" s="1"/>
  <c r="J2" i="31"/>
  <c r="H2" i="31"/>
  <c r="I2" i="31" s="1"/>
  <c r="I21" i="30"/>
  <c r="E17" i="29"/>
  <c r="F17" i="29" s="1"/>
  <c r="D13" i="34"/>
  <c r="E25" i="34"/>
  <c r="F25" i="34" s="1"/>
  <c r="E18" i="29"/>
  <c r="F18" i="29" s="1"/>
  <c r="I20" i="29"/>
  <c r="H7" i="29"/>
  <c r="I7" i="29" s="1"/>
  <c r="H19" i="29"/>
  <c r="I19" i="29" s="1"/>
  <c r="H2" i="28"/>
  <c r="I2" i="28" s="1"/>
  <c r="J2" i="28"/>
  <c r="G4" i="34"/>
  <c r="H4" i="29"/>
  <c r="I4" i="29" s="1"/>
  <c r="E2" i="28"/>
  <c r="F2" i="28" s="1"/>
  <c r="E24" i="34"/>
  <c r="F24" i="34" s="1"/>
  <c r="H17" i="29"/>
  <c r="I17" i="29" s="1"/>
  <c r="I5" i="27"/>
  <c r="C16" i="34"/>
  <c r="I19" i="27"/>
  <c r="E21" i="29"/>
  <c r="F21" i="29" s="1"/>
  <c r="G17" i="34"/>
  <c r="H16" i="29"/>
  <c r="H11" i="29"/>
  <c r="I11" i="29" s="1"/>
  <c r="C11" i="34"/>
  <c r="E14" i="29"/>
  <c r="F14" i="29" s="1"/>
  <c r="H13" i="29"/>
  <c r="I13" i="29" s="1"/>
  <c r="C13" i="34"/>
  <c r="I10" i="29"/>
  <c r="D10" i="34"/>
  <c r="C10" i="34"/>
  <c r="D12" i="34"/>
  <c r="H12" i="29"/>
  <c r="I12" i="29" s="1"/>
  <c r="E20" i="29"/>
  <c r="F20" i="29" s="1"/>
  <c r="G9" i="34"/>
  <c r="E9" i="29"/>
  <c r="F9" i="29" s="1"/>
  <c r="H8" i="29"/>
  <c r="I8" i="29" s="1"/>
  <c r="G8" i="34"/>
  <c r="I6" i="27"/>
  <c r="G15" i="34"/>
  <c r="H2" i="27"/>
  <c r="I2" i="27" s="1"/>
  <c r="D4" i="34"/>
  <c r="E2" i="27"/>
  <c r="F2" i="27" s="1"/>
  <c r="C4" i="34"/>
  <c r="J2" i="27"/>
  <c r="C22" i="34"/>
  <c r="E22" i="34" s="1"/>
  <c r="F22" i="34" s="1"/>
  <c r="E22" i="29"/>
  <c r="F22" i="29" s="1"/>
  <c r="H22" i="34"/>
  <c r="I22" i="34" s="1"/>
  <c r="I22" i="29"/>
  <c r="E5" i="29"/>
  <c r="F5" i="29" s="1"/>
  <c r="E6" i="29"/>
  <c r="F6" i="29" s="1"/>
  <c r="E11" i="29"/>
  <c r="F11" i="29" s="1"/>
  <c r="I14" i="29"/>
  <c r="G18" i="34"/>
  <c r="I21" i="26"/>
  <c r="D21" i="34"/>
  <c r="I18" i="29"/>
  <c r="G21" i="34"/>
  <c r="C21" i="34"/>
  <c r="D17" i="34"/>
  <c r="G16" i="34"/>
  <c r="E16" i="29"/>
  <c r="F16" i="29" s="1"/>
  <c r="G11" i="34"/>
  <c r="G14" i="34"/>
  <c r="D14" i="34"/>
  <c r="C14" i="34"/>
  <c r="G13" i="34"/>
  <c r="G10" i="34"/>
  <c r="G2" i="29"/>
  <c r="G12" i="34"/>
  <c r="C18" i="34"/>
  <c r="D20" i="34"/>
  <c r="D9" i="34"/>
  <c r="H9" i="29"/>
  <c r="I9" i="29" s="1"/>
  <c r="D8" i="34"/>
  <c r="E2" i="26"/>
  <c r="F2" i="26" s="1"/>
  <c r="I7" i="26"/>
  <c r="D7" i="34"/>
  <c r="C7" i="34"/>
  <c r="D6" i="34"/>
  <c r="C19" i="34"/>
  <c r="C2" i="29"/>
  <c r="D2" i="29"/>
  <c r="J2" i="26"/>
  <c r="E4" i="29"/>
  <c r="F4" i="29" s="1"/>
  <c r="I4" i="26"/>
  <c r="H2" i="26"/>
  <c r="I2" i="26" s="1"/>
  <c r="H19" i="18"/>
  <c r="E8" i="18"/>
  <c r="F8" i="18" s="1"/>
  <c r="E12" i="18"/>
  <c r="F12" i="18" s="1"/>
  <c r="H5" i="18"/>
  <c r="E9" i="18"/>
  <c r="F9" i="18" s="1"/>
  <c r="C8" i="34"/>
  <c r="C9" i="34"/>
  <c r="C12" i="34"/>
  <c r="E21" i="18"/>
  <c r="F21" i="18" s="1"/>
  <c r="H17" i="18"/>
  <c r="I17" i="18" s="1"/>
  <c r="E11" i="18"/>
  <c r="F11" i="18" s="1"/>
  <c r="H11" i="18"/>
  <c r="E13" i="18"/>
  <c r="F13" i="18" s="1"/>
  <c r="H2" i="19"/>
  <c r="I2" i="19" s="1"/>
  <c r="I8" i="18"/>
  <c r="H6" i="18"/>
  <c r="E2" i="19"/>
  <c r="F2" i="19" s="1"/>
  <c r="J2" i="19"/>
  <c r="H4" i="18"/>
  <c r="I4" i="18" s="1"/>
  <c r="G20" i="34"/>
  <c r="E17" i="18"/>
  <c r="F17" i="18" s="1"/>
  <c r="C17" i="34"/>
  <c r="D16" i="34"/>
  <c r="H16" i="18"/>
  <c r="I16" i="18" s="1"/>
  <c r="H14" i="18"/>
  <c r="I14" i="18" s="1"/>
  <c r="H13" i="18"/>
  <c r="E10" i="18"/>
  <c r="F10" i="18" s="1"/>
  <c r="E2" i="20"/>
  <c r="F2" i="20" s="1"/>
  <c r="H9" i="18"/>
  <c r="H7" i="18"/>
  <c r="E7" i="18"/>
  <c r="F7" i="18" s="1"/>
  <c r="H15" i="18"/>
  <c r="I15" i="18" s="1"/>
  <c r="J2" i="20"/>
  <c r="H2" i="20"/>
  <c r="I2" i="20" s="1"/>
  <c r="E18" i="18"/>
  <c r="F18" i="18" s="1"/>
  <c r="H21" i="18"/>
  <c r="I21" i="18" s="1"/>
  <c r="I21" i="21"/>
  <c r="E14" i="18"/>
  <c r="F14" i="18" s="1"/>
  <c r="I13" i="18"/>
  <c r="H12" i="18"/>
  <c r="I12" i="18" s="1"/>
  <c r="D18" i="34"/>
  <c r="D2" i="18"/>
  <c r="E20" i="18"/>
  <c r="F20" i="18" s="1"/>
  <c r="C20" i="34"/>
  <c r="C6" i="34"/>
  <c r="G19" i="34"/>
  <c r="D19" i="34"/>
  <c r="E19" i="18"/>
  <c r="F19" i="18" s="1"/>
  <c r="E2" i="21"/>
  <c r="F2" i="21" s="1"/>
  <c r="E15" i="18"/>
  <c r="F15" i="18" s="1"/>
  <c r="H2" i="21"/>
  <c r="I2" i="21" s="1"/>
  <c r="C2" i="18"/>
  <c r="G2" i="18"/>
  <c r="E4" i="18"/>
  <c r="F4" i="18" s="1"/>
  <c r="H19" i="34" l="1"/>
  <c r="E5" i="34"/>
  <c r="F5" i="34" s="1"/>
  <c r="H2" i="1"/>
  <c r="I2" i="1" s="1"/>
  <c r="H7" i="34"/>
  <c r="I7" i="34" s="1"/>
  <c r="E15" i="34"/>
  <c r="F15" i="34" s="1"/>
  <c r="E2" i="1"/>
  <c r="F2" i="1" s="1"/>
  <c r="I19" i="18"/>
  <c r="H24" i="34"/>
  <c r="I24" i="34" s="1"/>
  <c r="H13" i="34"/>
  <c r="I13" i="34" s="1"/>
  <c r="H14" i="34"/>
  <c r="I14" i="34" s="1"/>
  <c r="H16" i="34"/>
  <c r="I16" i="34" s="1"/>
  <c r="H10" i="34"/>
  <c r="I10" i="34" s="1"/>
  <c r="E11" i="34"/>
  <c r="F11" i="34" s="1"/>
  <c r="H18" i="34"/>
  <c r="I18" i="34" s="1"/>
  <c r="H20" i="34"/>
  <c r="I20" i="34" s="1"/>
  <c r="H6" i="34"/>
  <c r="I6" i="34" s="1"/>
  <c r="E21" i="34"/>
  <c r="F21" i="34" s="1"/>
  <c r="E8" i="34"/>
  <c r="F8" i="34" s="1"/>
  <c r="E16" i="34"/>
  <c r="F16" i="34" s="1"/>
  <c r="E14" i="34"/>
  <c r="F14" i="34" s="1"/>
  <c r="E13" i="34"/>
  <c r="F13" i="34" s="1"/>
  <c r="H2" i="30"/>
  <c r="I2" i="30" s="1"/>
  <c r="E2" i="30"/>
  <c r="F2" i="30" s="1"/>
  <c r="E4" i="34"/>
  <c r="F4" i="34" s="1"/>
  <c r="E17" i="34"/>
  <c r="F17" i="34" s="1"/>
  <c r="E10" i="34"/>
  <c r="F10" i="34" s="1"/>
  <c r="H8" i="34"/>
  <c r="I8" i="34" s="1"/>
  <c r="E19" i="34"/>
  <c r="F19" i="34" s="1"/>
  <c r="I19" i="34"/>
  <c r="I16" i="29"/>
  <c r="H11" i="34"/>
  <c r="I11" i="34" s="1"/>
  <c r="E12" i="34"/>
  <c r="F12" i="34" s="1"/>
  <c r="E18" i="34"/>
  <c r="F18" i="34" s="1"/>
  <c r="E20" i="34"/>
  <c r="F20" i="34" s="1"/>
  <c r="E9" i="34"/>
  <c r="F9" i="34" s="1"/>
  <c r="E7" i="34"/>
  <c r="F7" i="34" s="1"/>
  <c r="E6" i="34"/>
  <c r="F6" i="34" s="1"/>
  <c r="H2" i="29"/>
  <c r="I2" i="29" s="1"/>
  <c r="E2" i="29"/>
  <c r="F2" i="29" s="1"/>
  <c r="H17" i="34"/>
  <c r="I17" i="34" s="1"/>
  <c r="I5" i="18"/>
  <c r="H5" i="34"/>
  <c r="I5" i="34" s="1"/>
  <c r="I11" i="18"/>
  <c r="I6" i="18"/>
  <c r="H15" i="34"/>
  <c r="I15" i="34" s="1"/>
  <c r="H4" i="34"/>
  <c r="I4" i="34" s="1"/>
  <c r="H9" i="34"/>
  <c r="I9" i="34" s="1"/>
  <c r="I9" i="18"/>
  <c r="I7" i="18"/>
  <c r="H21" i="34"/>
  <c r="I21" i="34" s="1"/>
  <c r="H12" i="34"/>
  <c r="I12" i="34" s="1"/>
  <c r="E2" i="18"/>
  <c r="F2" i="18" s="1"/>
  <c r="H2" i="18"/>
  <c r="I2" i="18" s="1"/>
  <c r="C2" i="34"/>
  <c r="G2" i="34"/>
  <c r="D2" i="34"/>
  <c r="E2" i="34" l="1"/>
  <c r="F2" i="34" s="1"/>
  <c r="H2" i="34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<sst xmlns="http://schemas.openxmlformats.org/spreadsheetml/2006/main" count="442" uniqueCount="181">
  <si>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</si>
  <si>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</si>
  <si>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</si>
  <si>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</si>
  <si>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</si>
  <si>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</si>
  <si>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</si>
  <si>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</si>
  <si>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</si>
  <si>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</si>
  <si>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</si>
  <si>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</si>
  <si>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=Sites[Site]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</si>
  <si>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</si>
  <si>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</si>
  <si>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</si>
  <si>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</si>
  <si>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</si>
  <si>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</si>
  <si>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</si>
  <si>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</si>
  <si>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</si>
  <si>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</si>
  <si>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1.Inverter 5 is having evening shading</t>
  </si>
  <si>
    <t>N/A</t>
  </si>
  <si>
    <t>1. No forcasted data available from 03/27 after Aderis has done some backend work.
2.Site was offline from 11:05 to 12:25 on 01/30 due to technicain was on site</t>
  </si>
  <si>
    <t>2.SR113194</t>
  </si>
  <si>
    <t>2.Workin progress</t>
  </si>
  <si>
    <t>1. Inverter was offline from 13:00 to 14:45 on 01/14 and from 11:30 on 01/19 to 08:00 on 11/20 and was offline from 08:00 to 15:45 on 1/21.</t>
  </si>
  <si>
    <t>1. SR114747, SR114565</t>
  </si>
  <si>
    <t>1. closed</t>
  </si>
  <si>
    <t>SR114565</t>
  </si>
  <si>
    <t>1. All inverters have heavey seasonal shading.
2.Site production was low on 01/07,01/17,01/18,01/25 due to snow</t>
  </si>
  <si>
    <t>1.Inverter 2 had seasonal shading
2.Site production was low on 01/07 ,01/10/,01/11,01/18,01/25 due to snow</t>
  </si>
  <si>
    <t>1. Inverter 1 is underperforming by approximately 5 kW compared to inverter 2 for whole month.
2.Site production was low on 01/07 ,01/10/,01/11,01/18,01/25 due to snow</t>
  </si>
  <si>
    <t>1. SR112066</t>
  </si>
  <si>
    <t>1. pending</t>
  </si>
  <si>
    <t>1. 12 modules need to be replaced.
2.1 string was offline found during the thermal aerial inspection.
3.Site production was low on 01/07 ,01/10/,01/14,01/17,01/18,01/25 to 01/31 due to snow</t>
  </si>
  <si>
    <t>1. SR112204
2.	SR113739</t>
  </si>
  <si>
    <t>1. Pending
2.pending</t>
  </si>
  <si>
    <t>SR113739</t>
  </si>
  <si>
    <t>1. Site was offline from 01/25 to end of the month due to snow</t>
  </si>
  <si>
    <t>1. Site was offline almost from 07:00 on 01/06 to 13:00 on 01/14.
2.All trackers were not communicated for whole month.</t>
  </si>
  <si>
    <t xml:space="preserve">1. SR114152, SR114224, </t>
  </si>
  <si>
    <t>SR114224</t>
  </si>
  <si>
    <t>1.  Site was offline from 01/01 to 14:00 on 01/12.
2. Inverter 2.6 was being RMA'd
3. Inverter 1.9 was being RMA'd
4. Inverter 1.3 was offline from 13:15 to end of the day on 01/28.</t>
  </si>
  <si>
    <t>1. SR109907
2. SR113245
3. SR107283
4. SR115431</t>
  </si>
  <si>
    <t>1. closed
2. Pending
3. Pending
4. Pending</t>
  </si>
  <si>
    <t>SR113245</t>
  </si>
  <si>
    <t>SR107283</t>
  </si>
  <si>
    <t>SR115431</t>
  </si>
  <si>
    <t>1. Inverters 1.9,2.6, 3.4, 4.4 and 4.1 were being RMA'd.
2. All inverters have morning shading.</t>
  </si>
  <si>
    <t>1. SR109394</t>
  </si>
  <si>
    <t>1. Pending</t>
  </si>
  <si>
    <t>1. Inverter 7 string 7.7.2 MC4 connectors need to be replaced, Inverter 3 string  3.4.1 Failure with 1.5 v and 1 optiimizer being RMA</t>
  </si>
  <si>
    <t>1. SR109357</t>
  </si>
  <si>
    <t>1. Site was back online at 10:45 on 01/13</t>
  </si>
  <si>
    <t>1. SR104969</t>
  </si>
  <si>
    <t>1. Closed</t>
  </si>
  <si>
    <t>1. Site was back online at 08:30 on 01/21</t>
  </si>
  <si>
    <t>1. SR104968</t>
  </si>
  <si>
    <t>1. Inverter 1 has heavy shading.
2. All the inverters have heavy seasonal shading in the afternoon.</t>
  </si>
  <si>
    <t>1. SR111836
2.	SR113241</t>
  </si>
  <si>
    <t>1. Closed
2.pending</t>
  </si>
  <si>
    <t>SR113241</t>
  </si>
  <si>
    <t>1. Inverter 1 has heavy seasonal shading.</t>
  </si>
  <si>
    <t>1. Inverter 4 DC relay board RMA'd.
2. Inverter 7 one string was isolated.
3. Inverter 7 unit 7.2 was offline for whole month.
4. Inverter 8 unit 8.6 was offline for whole month.
5. Inverter 1 unit 1.3 was offline 07:15 on 01/12 to end of the month.</t>
  </si>
  <si>
    <t>1. SR107806	
2. SR108798
3. SR104743
4. SR110186</t>
  </si>
  <si>
    <t>1. Pending
2. Pending
3. Pending
4. Denied</t>
  </si>
  <si>
    <t>SR108798</t>
  </si>
  <si>
    <t>SR104743</t>
  </si>
  <si>
    <t>SR110186</t>
  </si>
  <si>
    <t>1. All inverters have heavey seasonal shading.</t>
  </si>
  <si>
    <t xml:space="preserve">1. Site was offline from 17:00 on 12/29 to 11:45 on 01/03.
2.Array controller 2 TCU 1 unresponsive and locked at -29 deg. </t>
  </si>
  <si>
    <t>1. SR113772
2.SR112790</t>
  </si>
  <si>
    <t>SR112790</t>
  </si>
  <si>
    <t>1. Site was offline for whole month.</t>
  </si>
  <si>
    <t>1. SR105503</t>
  </si>
  <si>
    <t>1. Site tripped offline at 7:25 am on 01/24 and later back online at 10:15 on 01/27</t>
  </si>
  <si>
    <t>1.SR115286</t>
  </si>
  <si>
    <t>1.Work in progess</t>
  </si>
  <si>
    <t xml:space="preserve">1.Site production was low on 01/15 to 01/18 and 01/25 to 01/28  due to snow
2.A16 was back online at 09:30 on 01/16
3. Inverter A2 and B16 was underproduced due to shading.
</t>
  </si>
  <si>
    <t>2.	SR113111
3.SR109209</t>
  </si>
  <si>
    <t>2.Closed
3.Clsoed</t>
  </si>
  <si>
    <t>SR109209</t>
  </si>
  <si>
    <t>1.Site production was low on 01/15 to 01/18 and 01/25 to 01/28  due to snow</t>
  </si>
  <si>
    <t>1. Inverters 2,3,4, and 5 have tripped offline at 11:30 on 01/12, Inverter 1 tripped offline 09:15 on 01/13 later all inverters are back online at 12:15 on 01/16
2.Site production was low on 01/10, 01/18 to 01/22 due to snow.</t>
  </si>
  <si>
    <t>1.SR114457</t>
  </si>
  <si>
    <t>1.Closed</t>
  </si>
  <si>
    <t>1. Pad A (1 to 20) inverters have tripped offline at 14:15 on 01/09 and back online at 13:15 on 01/12
2.The tracker system is currently reporting a Manual Stow Mode after an Emergency stop was engaged from 03:30PM from 01/15</t>
  </si>
  <si>
    <t>1.SR114352
2.SR114684</t>
  </si>
  <si>
    <t>1.Closed
2.Pending</t>
  </si>
  <si>
    <t>SR114684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</si>
  <si>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</si>
  <si>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</si>
  <si>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</si>
  <si>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</si>
  <si>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</si>
  <si>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</si>
  <si>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</si>
  <si>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</si>
  <si>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</si>
  <si>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</si>
  <si>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</si>
  <si>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</si>
  <si>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</si>
  <si>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</si>
  <si>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</si>
  <si>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</si>
  <si>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</si>
  <si>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</si>
  <si>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Status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</si>
  <si>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</si>
  <si>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</si>
  <si>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</si>
  <si>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</si>
  <si>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</si>
  <si>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Catalyze</t>
  </si>
  <si>
    <t>Site DAS Name</t>
  </si>
  <si>
    <t>Update</t>
  </si>
  <si>
    <t>DAS</t>
  </si>
  <si>
    <t>CA Fresno - 3150 Shaw Ave - 19600 [T0275]</t>
  </si>
  <si>
    <t>Fresno - 3150 Shaw Ave</t>
  </si>
  <si>
    <t>CA</t>
  </si>
  <si>
    <t>AEF</t>
  </si>
  <si>
    <t>PowerTrack</t>
  </si>
  <si>
    <t>Sheep Creek Solar</t>
  </si>
  <si>
    <t>Adelanto - 1 Sheep Creek Road</t>
  </si>
  <si>
    <t>Aderis</t>
  </si>
  <si>
    <t>MA Blackstone - 83 Federal St - 18170</t>
  </si>
  <si>
    <t>Blackstone - 83 Federal Street</t>
  </si>
  <si>
    <t>MA</t>
  </si>
  <si>
    <t>MA Charlton - 299 Worcester Rd - 18063</t>
  </si>
  <si>
    <t>Charlton - 299 Worcester Road</t>
  </si>
  <si>
    <t>MA Wareham - 8 Thatcher Ln - 1010</t>
  </si>
  <si>
    <t>Wareham - 8 Thatcher Drive</t>
  </si>
  <si>
    <t>MA West Yarmouth - 42 Mid-Tech Drive - 17944</t>
  </si>
  <si>
    <t>West Yarmouth - 42 Mid Tech</t>
  </si>
  <si>
    <t>NY Harrison - 130 Union Ave - 18141</t>
  </si>
  <si>
    <t>Harrison - 130 Union Street</t>
  </si>
  <si>
    <t>NY</t>
  </si>
  <si>
    <t>NY Staten Island - 1 Ellis St - 18195</t>
  </si>
  <si>
    <t>Staten Island - Ellis Storage</t>
  </si>
  <si>
    <t>NY AMHERST 595 SCHOELLES RD - 18208</t>
  </si>
  <si>
    <t>Amherst - 595 Schoelles Road</t>
  </si>
  <si>
    <t>NY LANCASTER GUNNVILLE RD - SHISLER RD Site 1 - 18237</t>
  </si>
  <si>
    <t>Lancaster 1 - Gunnville Road</t>
  </si>
  <si>
    <t>NY LANCASTER GUNNVILLE RD - SHISLER RD Site 2 - 18238</t>
  </si>
  <si>
    <t>Lancaster 2 - Shisler Road</t>
  </si>
  <si>
    <t>CA Fullerton - 200 W Orangethorpe - 19603 [T1418]</t>
  </si>
  <si>
    <t>Fullerton - 200 W Orangethorpe</t>
  </si>
  <si>
    <t>TX El Paso - 10500 Railroad Drive - 19648</t>
  </si>
  <si>
    <t>El Paso - 10500 Railroad Drive</t>
  </si>
  <si>
    <t>TX</t>
  </si>
  <si>
    <t>TX Friona - 900 Millard Ave - 19506</t>
  </si>
  <si>
    <t>Friona - 900 Millard Ave</t>
  </si>
  <si>
    <t>ME Augusta - 13 York Farm Rd - 18196</t>
  </si>
  <si>
    <t>Augusta - 13 York Farm Road</t>
  </si>
  <si>
    <t>ME</t>
  </si>
  <si>
    <t>CA Santa Ana - 1441 W 17th St - 21198 [T1936]</t>
  </si>
  <si>
    <t xml:space="preserve">Santa Ana - 1441 West </t>
  </si>
  <si>
    <t>MD Jessup 7950 Oceano Ave - 22337</t>
  </si>
  <si>
    <t>Jessup -7950 Oceano Ave</t>
  </si>
  <si>
    <t>MD</t>
  </si>
  <si>
    <t>TX Ft Worth - 5200 Goldspike Drive - 19599</t>
  </si>
  <si>
    <t xml:space="preserve">TX: Fort Worth - 5200 Gold Spike Dr </t>
  </si>
  <si>
    <t>NY: Clifton Springs - Ontario 2 (21597)</t>
  </si>
  <si>
    <t>CA Oxnard - 2600 Sakioka Dr System A - 18249</t>
  </si>
  <si>
    <t>CA: Oxnard - 2600 Sakioka - System A</t>
  </si>
  <si>
    <t>CA Oxnard - 2600 Sakioka Dr System B - 21387</t>
  </si>
  <si>
    <t>CA: Oxnard - 2600 Sakioka - System B</t>
  </si>
  <si>
    <t>NY FONDA 182 BOSHART RD - Montgomery 1 (21601)</t>
  </si>
  <si>
    <t>NY: Fonda - Montgomery 1 (21601)</t>
  </si>
  <si>
    <t>NY EVANS 7690 SOUTHWESTER BLVD - SL EVANS ARRAY 1 (21106)</t>
  </si>
  <si>
    <t>NY: Evans - SL Evans Array 1 (21106) - (PW)</t>
  </si>
  <si>
    <t>NY EVANS 7690 SOUTHWESTER BLVD - SL EVANS ARRAY 2 (21107)</t>
  </si>
  <si>
    <t>NY: Evans - SL Evans Array 2 (21107) - (PW)</t>
  </si>
  <si>
    <t>NY FLUSHING 13121 14TH AVE (19421)</t>
  </si>
  <si>
    <t>NY: Flushing - 131-21 14th Ave</t>
  </si>
  <si>
    <t>NY JOHNSON CITY 2488 AIRPORT RD (18878)</t>
  </si>
  <si>
    <t>NY: Binghamton - Airport Rd (18878) - (PW)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</si>
</sst>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8"/>
      <name val="Arial"/>
      <family val="2"/>
    </font>
    <font>
      <sz val="11"/>
      <color rgb="FF242424"/>
      <name val="Aptos Narrow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103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3" fontId="31" fillId="0" borderId="1" xfId="1" applyNumberFormat="1" applyFont="1" applyFill="1" applyBorder="1" applyAlignment="1">
      <alignment horizontal="right" vertical="center" wrapText="1"/>
    </xf>
    <xf numFmtId="3" fontId="31" fillId="0" borderId="1" xfId="1" applyNumberFormat="1" applyFont="1" applyBorder="1" applyAlignment="1">
      <alignment vertical="center"/>
    </xf>
    <xf numFmtId="49" fontId="36" fillId="38" borderId="1" xfId="2" applyNumberFormat="1" applyFont="1" applyFill="1" applyBorder="1" applyAlignment="1">
      <alignment horizontal="left" vertical="top" wrapText="1"/>
    </xf>
    <xf numFmtId="3" fontId="37" fillId="0" borderId="0" xfId="0" applyNumberFormat="1" applyFont="1" applyAlignment="1">
      <alignment vertical="center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0" fontId="23" fillId="0" borderId="0" xfId="43" applyFont="1" applyAlignment="1">
      <alignment horizontal="left" wrapText="1"/>
    </xf>
    <xf numFmtId="0" fontId="23" fillId="0" borderId="0" xfId="43" applyFont="1"/>
    <xf numFmtId="164" fontId="29" fillId="0" borderId="1" xfId="1" applyNumberFormat="1" applyFont="1" applyBorder="1" applyAlignment="1">
      <alignment horizontal="center" vertical="center" wrapText="1"/>
    </xf>
    <xf numFmtId="49" fontId="28" fillId="0" borderId="1" xfId="0" applyNumberFormat="1" applyFont="1" applyBorder="1" applyAlignment="1">
      <alignment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29" fillId="0" borderId="11" xfId="0" applyNumberFormat="1" applyFont="1" applyBorder="1" applyAlignment="1">
      <alignment vertical="center" wrapText="1"/>
    </xf>
    <xf numFmtId="49" fontId="38" fillId="38" borderId="1" xfId="45" applyNumberFormat="1" applyFill="1" applyBorder="1" applyAlignment="1">
      <alignment vertical="top" wrapText="1"/>
    </xf>
    <xf numFmtId="49" fontId="38" fillId="0" borderId="1" xfId="45" applyNumberFormat="1" applyBorder="1" applyAlignment="1">
      <alignment horizontal="left" vertical="top" wrapText="1"/>
    </xf>
    <xf numFmtId="0" fontId="38" fillId="0" borderId="0" xfId="45"/>
    <xf numFmtId="49" fontId="38" fillId="0" borderId="1" xfId="45" applyNumberFormat="1" applyBorder="1" applyAlignment="1">
      <alignment vertical="top" wrapText="1"/>
    </xf>
    <xf numFmtId="0" fontId="0" fillId="0" borderId="0" xfId="0" applyAlignment="1">
      <alignment horizontal="left" vertical="top"/>
    </xf>
    <xf numFmtId="0" fontId="38" fillId="0" borderId="0" xfId="45" applyAlignment="1">
      <alignment horizontal="left" vertical="top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  <xf numFmtId="0" fontId="3" fillId="0" borderId="0" xfId="0" applyFont="1"/>
    <xf numFmtId="0" fontId="24" fillId="0" borderId="12" xfId="0" applyFont="1" applyBorder="1" applyAlignment="1">
      <alignment wrapText="1"/>
    </xf>
    <xf numFmtId="49" fontId="24" fillId="0" borderId="1" xfId="0" applyNumberFormat="1" applyFont="1" applyBorder="1" applyAlignment="1">
      <alignment horizontal="left" vertical="top" wrapText="1"/>
    </xf>
    <xf numFmtId="3" fontId="31" fillId="0" borderId="14" xfId="0" applyNumberFormat="1" applyFont="1" applyBorder="1" applyAlignment="1">
      <alignment horizontal="right" vertical="center"/>
    </xf>
    <xf numFmtId="3" fontId="31" fillId="0" borderId="15" xfId="1" applyNumberFormat="1" applyFont="1" applyFill="1" applyBorder="1" applyAlignment="1">
      <alignment vertical="center"/>
    </xf>
    <xf numFmtId="9" fontId="31" fillId="3" borderId="11" xfId="2" applyFont="1" applyFill="1" applyBorder="1" applyAlignment="1">
      <alignment horizontal="center" vertical="center"/>
    </xf>
    <xf numFmtId="9" fontId="31" fillId="0" borderId="16" xfId="2" applyFont="1" applyFill="1" applyBorder="1" applyAlignment="1">
      <alignment horizontal="center" vertical="center"/>
    </xf>
    <xf numFmtId="49" fontId="38" fillId="0" borderId="13" xfId="45" applyNumberFormat="1" applyBorder="1" applyAlignment="1">
      <alignment vertical="top" wrapText="1"/>
    </xf>
    <xf numFmtId="49" fontId="29" fillId="0" borderId="1" xfId="0" applyNumberFormat="1" applyFont="1" applyBorder="1" applyAlignment="1">
      <alignment vertical="top" wrapText="1"/>
    </xf>
    <xf numFmtId="49" fontId="38" fillId="38" borderId="1" xfId="45" applyNumberFormat="1" applyFill="1" applyBorder="1" applyAlignment="1">
      <alignment horizontal="left" vertical="top" wrapText="1"/>
    </xf>
    <xf numFmtId="14" fontId="38" fillId="0" borderId="0" xfId="45" applyNumberFormat="1"/>
    <xf numFmtId="49" fontId="29" fillId="0" borderId="1" xfId="0" applyNumberFormat="1" applyFont="1" applyBorder="1" applyAlignment="1">
      <alignment horizontal="left" vertical="center" wrapText="1"/>
    </xf>
    <xf numFmtId="49" fontId="28" fillId="0" borderId="1" xfId="0" applyNumberFormat="1" applyFont="1" applyBorder="1" applyAlignment="1">
      <alignment horizontal="left" vertical="center" wrapText="1"/>
    </xf>
    <xf numFmtId="9" fontId="31" fillId="0" borderId="1" xfId="2" applyFont="1" applyBorder="1" applyAlignment="1">
      <alignment horizontal="center" vertical="center"/>
    </xf>
    <xf numFmtId="0" fontId="24" fillId="0" borderId="0" xfId="0" applyFont="1"/>
    <xf numFmtId="0" fontId="24" fillId="0" borderId="0" xfId="0" applyFont="1" applyAlignment="1">
      <alignment horizontal="left" vertical="top" wrapText="1"/>
    </xf>
    <xf numFmtId="49" fontId="38" fillId="0" borderId="1" xfId="45" applyNumberFormat="1" applyBorder="1" applyAlignment="1">
      <alignment horizontal="left" vertical="center" wrapText="1"/>
    </xf>
    <xf numFmtId="0" fontId="23" fillId="0" borderId="0" xfId="43" applyFont="1" applyAlignment="1">
      <alignment horizontal="left" vertical="top" wrapText="1"/>
    </xf>
    <xf numFmtId="3" fontId="31" fillId="0" borderId="1" xfId="1" applyNumberFormat="1" applyFont="1" applyFill="1" applyBorder="1" applyAlignment="1">
      <alignment horizontal="right" vertical="center"/>
    </xf>
    <xf numFmtId="0" fontId="33" fillId="0" borderId="0" xfId="0" applyFont="1" applyAlignment="1">
      <alignment wrapText="1"/>
    </xf>
    <xf numFmtId="49" fontId="38" fillId="0" borderId="1" xfId="45" applyNumberFormat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38" fillId="0" borderId="0" xfId="45" applyAlignment="1">
      <alignment vertical="top"/>
    </xf>
    <xf numFmtId="0" fontId="40" fillId="0" borderId="0" xfId="0" applyFont="1"/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9" totalsRowShown="0">
  <autoFilter ref="A3:E29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14224" TargetMode="External"/><Relationship Id="rId13" Type="http://schemas.openxmlformats.org/officeDocument/2006/relationships/hyperlink" Target="https://us3.assetplanner.com/service_request?ID=109394" TargetMode="External"/><Relationship Id="rId18" Type="http://schemas.openxmlformats.org/officeDocument/2006/relationships/hyperlink" Target="https://us3.assetplanner.com/service_request?ID=113241" TargetMode="External"/><Relationship Id="rId26" Type="http://schemas.openxmlformats.org/officeDocument/2006/relationships/hyperlink" Target="https://us3.assetplanner.com/service_request?ID=115286" TargetMode="External"/><Relationship Id="rId3" Type="http://schemas.openxmlformats.org/officeDocument/2006/relationships/hyperlink" Target="https://us3.assetplanner.com/service_request?ID=114565" TargetMode="External"/><Relationship Id="rId21" Type="http://schemas.openxmlformats.org/officeDocument/2006/relationships/hyperlink" Target="https://us3.assetplanner.com/service_request?ID=104743" TargetMode="External"/><Relationship Id="rId7" Type="http://schemas.openxmlformats.org/officeDocument/2006/relationships/hyperlink" Target="https://us3.assetplanner.com/service_request?ID=114152" TargetMode="External"/><Relationship Id="rId12" Type="http://schemas.openxmlformats.org/officeDocument/2006/relationships/hyperlink" Target="https://us3.assetplanner.com/service_request?ID=115431" TargetMode="External"/><Relationship Id="rId17" Type="http://schemas.openxmlformats.org/officeDocument/2006/relationships/hyperlink" Target="https://us3.assetplanner.com/service_request?ID=111836" TargetMode="External"/><Relationship Id="rId25" Type="http://schemas.openxmlformats.org/officeDocument/2006/relationships/hyperlink" Target="https://us3.assetplanner.com/service_request?ID=105503" TargetMode="External"/><Relationship Id="rId2" Type="http://schemas.openxmlformats.org/officeDocument/2006/relationships/hyperlink" Target="https://us3.assetplanner.com/service_request?ID=114747" TargetMode="External"/><Relationship Id="rId16" Type="http://schemas.openxmlformats.org/officeDocument/2006/relationships/hyperlink" Target="https://us3.assetplanner.com/service_request?ID=104968" TargetMode="External"/><Relationship Id="rId20" Type="http://schemas.openxmlformats.org/officeDocument/2006/relationships/hyperlink" Target="https://us3.assetplanner.com/service_request?ID=108798" TargetMode="External"/><Relationship Id="rId29" Type="http://schemas.openxmlformats.org/officeDocument/2006/relationships/hyperlink" Target="https://us3.assetplanner.com/service_request?ID=114457" TargetMode="External"/><Relationship Id="rId1" Type="http://schemas.openxmlformats.org/officeDocument/2006/relationships/hyperlink" Target="https://us3.assetplanner.com/service_request?ID=113194" TargetMode="External"/><Relationship Id="rId6" Type="http://schemas.openxmlformats.org/officeDocument/2006/relationships/hyperlink" Target="https://us3.assetplanner.com/service_request?ID=113739" TargetMode="External"/><Relationship Id="rId11" Type="http://schemas.openxmlformats.org/officeDocument/2006/relationships/hyperlink" Target="https://us3.assetplanner.com/service_request?ID=107283" TargetMode="External"/><Relationship Id="rId24" Type="http://schemas.openxmlformats.org/officeDocument/2006/relationships/hyperlink" Target="https://us3.assetplanner.com/service_request?ID=112790" TargetMode="External"/><Relationship Id="rId32" Type="http://schemas.openxmlformats.org/officeDocument/2006/relationships/printerSettings" Target="../printerSettings/printerSettings3.bin"/><Relationship Id="rId5" Type="http://schemas.openxmlformats.org/officeDocument/2006/relationships/hyperlink" Target="https://us3.assetplanner.com/service_request?ID=112204" TargetMode="External"/><Relationship Id="rId15" Type="http://schemas.openxmlformats.org/officeDocument/2006/relationships/hyperlink" Target="https://us3.assetplanner.com/service_request?ID=104969" TargetMode="External"/><Relationship Id="rId23" Type="http://schemas.openxmlformats.org/officeDocument/2006/relationships/hyperlink" Target="https://us3.assetplanner.com/service_request?ID=113772" TargetMode="External"/><Relationship Id="rId28" Type="http://schemas.openxmlformats.org/officeDocument/2006/relationships/hyperlink" Target="https://us3.assetplanner.com/service_request?ID=109209" TargetMode="External"/><Relationship Id="rId10" Type="http://schemas.openxmlformats.org/officeDocument/2006/relationships/hyperlink" Target="https://us3.assetplanner.com/service_request?ID=113245" TargetMode="External"/><Relationship Id="rId19" Type="http://schemas.openxmlformats.org/officeDocument/2006/relationships/hyperlink" Target="https://us3.assetplanner.com/service_request?ID=107806" TargetMode="External"/><Relationship Id="rId31" Type="http://schemas.openxmlformats.org/officeDocument/2006/relationships/hyperlink" Target="https://us3.assetplanner.com/service_request?ID=114684" TargetMode="External"/><Relationship Id="rId4" Type="http://schemas.openxmlformats.org/officeDocument/2006/relationships/hyperlink" Target="https://us3.assetplanner.com/service_request?ID=112066" TargetMode="External"/><Relationship Id="rId9" Type="http://schemas.openxmlformats.org/officeDocument/2006/relationships/hyperlink" Target="https://us3.assetplanner.com/service_request?ID=109907" TargetMode="External"/><Relationship Id="rId14" Type="http://schemas.openxmlformats.org/officeDocument/2006/relationships/hyperlink" Target="https://us3.assetplanner.com/service_request?ID=109357" TargetMode="External"/><Relationship Id="rId22" Type="http://schemas.openxmlformats.org/officeDocument/2006/relationships/hyperlink" Target="https://us3.assetplanner.com/service_request?ID=110186" TargetMode="External"/><Relationship Id="rId27" Type="http://schemas.openxmlformats.org/officeDocument/2006/relationships/hyperlink" Target="https://us3.assetplanner.com/service_request?ID=113111" TargetMode="External"/><Relationship Id="rId30" Type="http://schemas.openxmlformats.org/officeDocument/2006/relationships/hyperlink" Target="https://us3.assetplanner.com/service_request?ID=11435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xSplit="2" ySplit="3" topLeftCell="C4" activePane="bottomRight" state="frozen"/>
      <selection pane="bottomRight" activeCell="L22" sqref="L2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100" t="str" cm="1">
        <f t="array" ref="A1">portfolio</f>
        <v>Catalyze</v>
      </c>
      <c r="B1" s="100"/>
      <c r="C1" s="100"/>
      <c r="D1" s="101" t="s">
        <v>0</v>
      </c>
      <c r="E1" s="101"/>
      <c r="F1" s="101"/>
      <c r="G1" s="99" t="s">
        <v>1</v>
      </c>
      <c r="H1" s="99"/>
      <c r="I1" s="99"/>
    </row>
    <row r="2" spans="1:9" ht="19.5" customHeight="1">
      <c r="A2" s="102" t="s">
        <v>2</v>
      </c>
      <c r="B2" s="102"/>
      <c r="C2" s="5">
        <f>SUM(C4:C92)</f>
        <v>2754544.4335638485</v>
      </c>
      <c r="D2" s="5">
        <f>SUM(D4:D92)</f>
        <v>4359232.3538000006</v>
      </c>
      <c r="E2" s="5">
        <f>C2-D2</f>
        <v>-1604687.9202361521</v>
      </c>
      <c r="F2" s="6">
        <f>IFERROR(E2/D2, 0)</f>
        <v>-0.36811250009128887</v>
      </c>
      <c r="G2" s="5">
        <f>SUM(G4:G92)</f>
        <v>4047377.1290000002</v>
      </c>
      <c r="H2" s="7">
        <f>C2-G2</f>
        <v>-1292832.6954361517</v>
      </c>
      <c r="I2" s="6">
        <f>IFERROR(H2/G2, 0)</f>
        <v>-0.31942481617856461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27" t="str" cm="1">
        <f t="array" ref="A4:A29">Sites[Site]</f>
        <v>Fresno - 3150 Shaw Ave</v>
      </c>
      <c r="B4" s="28" t="str" cm="1">
        <f t="array" ref="B4:B29">Sites[State]</f>
        <v>CA</v>
      </c>
      <c r="C4" s="29">
        <f>SUM('1st Qtr'!C4, '2nd Qtr'!C4, '3rd Qtr'!C4, '4th Qtr'!C4)</f>
        <v>46267.75</v>
      </c>
      <c r="D4" s="30">
        <f>SUM('1st Qtr'!D4, '2nd Qtr'!D4, '3rd Qtr'!D4, '4th Qtr'!D4)</f>
        <v>39649.39</v>
      </c>
      <c r="E4" s="30">
        <f>IF(AND(ISNUMBER(C4),ISNUMBER(D4)), C4-D4, "")</f>
        <v>6618.3600000000006</v>
      </c>
      <c r="F4" s="31">
        <f>IFERROR(E4/D4, "")</f>
        <v>0.16692211406026677</v>
      </c>
      <c r="G4" s="32">
        <f>SUM('1st Qtr'!G4, '2nd Qtr'!G4, '3rd Qtr'!G4, '4th Qtr'!G4)</f>
        <v>49997.93</v>
      </c>
      <c r="H4" s="32">
        <f>SUM('1st Qtr'!H4, '2nd Qtr'!H4, '3rd Qtr'!H4, '4th Qtr'!H4)</f>
        <v>-3730.1800000000003</v>
      </c>
      <c r="I4" s="33">
        <f>IFERROR(H4/G4, "")</f>
        <v>-7.4606688716912881E-2</v>
      </c>
    </row>
    <row r="5" spans="1:9" ht="15.6">
      <c r="A5" s="34" t="str">
        <v>Adelanto - 1 Sheep Creek Road</v>
      </c>
      <c r="B5" s="35" t="str">
        <v>CA</v>
      </c>
      <c r="C5" s="36">
        <f>SUM('1st Qtr'!C5, '2nd Qtr'!C5, '3rd Qtr'!C5, '4th Qtr'!C5)</f>
        <v>453094</v>
      </c>
      <c r="D5" s="36">
        <f>SUM('1st Qtr'!D5, '2nd Qtr'!D5, '3rd Qtr'!D5, '4th Qtr'!D5)</f>
        <v>363263.06879999995</v>
      </c>
      <c r="E5" s="37">
        <f t="shared" ref="E5:E15" si="0">IF(AND(ISNUMBER(C5),ISNUMBER(D5)), C5-D5, "")</f>
        <v>89830.93120000005</v>
      </c>
      <c r="F5" s="38">
        <f>IFERROR(E5/D5, "")</f>
        <v>0.24728891790940039</v>
      </c>
      <c r="G5" s="39">
        <f>SUM('1st Qtr'!G5, '2nd Qtr'!G5, '3rd Qtr'!G5, '4th Qtr'!G5)</f>
        <v>0</v>
      </c>
      <c r="H5" s="39">
        <f>SUM('1st Qtr'!H5, '2nd Qtr'!H5, '3rd Qtr'!H5, '4th Qtr'!H5)</f>
        <v>0</v>
      </c>
      <c r="I5" s="38" t="str">
        <f>IFERROR(H5/G5, "")</f>
        <v/>
      </c>
    </row>
    <row r="6" spans="1:9" ht="15.6">
      <c r="A6" s="27" t="str">
        <v>Blackstone - 83 Federal Street</v>
      </c>
      <c r="B6" s="28" t="str">
        <v>MA</v>
      </c>
      <c r="C6" s="29">
        <f>SUM('1st Qtr'!C6, '2nd Qtr'!C6, '3rd Qtr'!C6, '4th Qtr'!C6)</f>
        <v>154717.19999999899</v>
      </c>
      <c r="D6" s="30">
        <f>SUM('1st Qtr'!D6, '2nd Qtr'!D6, '3rd Qtr'!D6, '4th Qtr'!D6)</f>
        <v>436933.4</v>
      </c>
      <c r="E6" s="30">
        <f t="shared" si="0"/>
        <v>-282216.200000001</v>
      </c>
      <c r="F6" s="31">
        <f t="shared" ref="F6:F15" si="1">IFERROR(E6/D6, "")</f>
        <v>-0.64590209858070124</v>
      </c>
      <c r="G6" s="32">
        <f>SUM('1st Qtr'!G6, '2nd Qtr'!G6, '3rd Qtr'!G6, '4th Qtr'!G6)</f>
        <v>382449.3</v>
      </c>
      <c r="H6" s="32">
        <f>SUM('1st Qtr'!H6, '2nd Qtr'!H6, '3rd Qtr'!H6, '4th Qtr'!H6)</f>
        <v>-227732.100000001</v>
      </c>
      <c r="I6" s="33">
        <f t="shared" ref="I6:I15" si="2">IFERROR(H6/G6, "")</f>
        <v>-0.59545696645281088</v>
      </c>
    </row>
    <row r="7" spans="1:9" ht="15.6">
      <c r="A7" s="34" t="str">
        <v>Charlton - 299 Worcester Road</v>
      </c>
      <c r="B7" s="35" t="str">
        <v>MA</v>
      </c>
      <c r="C7" s="36">
        <f>SUM('1st Qtr'!C7, '2nd Qtr'!C7, '3rd Qtr'!C7, '4th Qtr'!C7)</f>
        <v>9415.5</v>
      </c>
      <c r="D7" s="36">
        <f>SUM('1st Qtr'!D7, '2nd Qtr'!D7, '3rd Qtr'!D7, '4th Qtr'!D7)</f>
        <v>34669.26</v>
      </c>
      <c r="E7" s="37">
        <f t="shared" si="0"/>
        <v>-25253.760000000002</v>
      </c>
      <c r="F7" s="38">
        <f t="shared" si="1"/>
        <v>-0.72841935478288256</v>
      </c>
      <c r="G7" s="39">
        <f>SUM('1st Qtr'!G7, '2nd Qtr'!G7, '3rd Qtr'!G7, '4th Qtr'!G7)</f>
        <v>31512.7</v>
      </c>
      <c r="H7" s="39">
        <f>SUM('1st Qtr'!H7, '2nd Qtr'!H7, '3rd Qtr'!H7, '4th Qtr'!H7)</f>
        <v>-22097.200000000001</v>
      </c>
      <c r="I7" s="38">
        <f t="shared" si="2"/>
        <v>-0.70121570033668967</v>
      </c>
    </row>
    <row r="8" spans="1:9" ht="15.6">
      <c r="A8" s="27" t="str">
        <v>Wareham - 8 Thatcher Drive</v>
      </c>
      <c r="B8" s="28" t="str">
        <v>MA</v>
      </c>
      <c r="C8" s="29">
        <f>SUM('1st Qtr'!C8, '2nd Qtr'!C8, '3rd Qtr'!C8, '4th Qtr'!C8)</f>
        <v>3823.625</v>
      </c>
      <c r="D8" s="30">
        <f>SUM('1st Qtr'!D8, '2nd Qtr'!D8, '3rd Qtr'!D8, '4th Qtr'!D8)</f>
        <v>8234.384</v>
      </c>
      <c r="E8" s="30">
        <f t="shared" si="0"/>
        <v>-4410.759</v>
      </c>
      <c r="F8" s="31">
        <f t="shared" si="1"/>
        <v>-0.53565136141331271</v>
      </c>
      <c r="G8" s="32">
        <f>SUM('1st Qtr'!G8, '2nd Qtr'!G8, '3rd Qtr'!G8, '4th Qtr'!G8)</f>
        <v>8913.4449999999997</v>
      </c>
      <c r="H8" s="32">
        <f>SUM('1st Qtr'!H8, '2nd Qtr'!H8, '3rd Qtr'!H8, '4th Qtr'!H8)</f>
        <v>-5089.82</v>
      </c>
      <c r="I8" s="33">
        <f t="shared" si="2"/>
        <v>-0.57102725152844946</v>
      </c>
    </row>
    <row r="9" spans="1:9" ht="15.6">
      <c r="A9" s="34" t="str">
        <v>West Yarmouth - 42 Mid Tech</v>
      </c>
      <c r="B9" s="35" t="str">
        <v>MA</v>
      </c>
      <c r="C9" s="36">
        <f>SUM('1st Qtr'!C9, '2nd Qtr'!C9, '3rd Qtr'!C9, '4th Qtr'!C9)</f>
        <v>1911.97486464179</v>
      </c>
      <c r="D9" s="36">
        <f>SUM('1st Qtr'!D9, '2nd Qtr'!D9, '3rd Qtr'!D9, '4th Qtr'!D9)</f>
        <v>6662.8509999999997</v>
      </c>
      <c r="E9" s="37">
        <f t="shared" si="0"/>
        <v>-4750.8761353582095</v>
      </c>
      <c r="F9" s="38">
        <f t="shared" si="1"/>
        <v>-0.71303952847785579</v>
      </c>
      <c r="G9" s="39">
        <f>SUM('1st Qtr'!G9, '2nd Qtr'!G9, '3rd Qtr'!G9, '4th Qtr'!G9)</f>
        <v>6736.0839999999998</v>
      </c>
      <c r="H9" s="39">
        <f>SUM('1st Qtr'!H9, '2nd Qtr'!H9, '3rd Qtr'!H9, '4th Qtr'!H9)</f>
        <v>-4824.1091353582096</v>
      </c>
      <c r="I9" s="38">
        <f t="shared" si="2"/>
        <v>-0.71615929007984602</v>
      </c>
    </row>
    <row r="10" spans="1:9" ht="15.6">
      <c r="A10" s="27" t="str">
        <v>Harrison - 130 Union Street</v>
      </c>
      <c r="B10" s="28" t="str">
        <v>NY</v>
      </c>
      <c r="C10" s="29">
        <f>SUM('1st Qtr'!C10, '2nd Qtr'!C10, '3rd Qtr'!C10, '4th Qtr'!C10)</f>
        <v>4243.25</v>
      </c>
      <c r="D10" s="30">
        <f>SUM('1st Qtr'!D10, '2nd Qtr'!D10, '3rd Qtr'!D10, '4th Qtr'!D10)</f>
        <v>12642.55</v>
      </c>
      <c r="E10" s="30">
        <f t="shared" si="0"/>
        <v>-8399.2999999999993</v>
      </c>
      <c r="F10" s="31">
        <f t="shared" si="1"/>
        <v>-0.66436755243206469</v>
      </c>
      <c r="G10" s="32">
        <f>SUM('1st Qtr'!G10, '2nd Qtr'!G10, '3rd Qtr'!G10, '4th Qtr'!G10)</f>
        <v>10640.74</v>
      </c>
      <c r="H10" s="32">
        <f>SUM('1st Qtr'!H10, '2nd Qtr'!H10, '3rd Qtr'!H10, '4th Qtr'!H10)</f>
        <v>-6397.49</v>
      </c>
      <c r="I10" s="33">
        <f t="shared" si="2"/>
        <v>-0.60122604254967227</v>
      </c>
    </row>
    <row r="11" spans="1:9" ht="15.6">
      <c r="A11" s="34" t="str">
        <v>Staten Island - Ellis Storage</v>
      </c>
      <c r="B11" s="35" t="str">
        <v>NY</v>
      </c>
      <c r="C11" s="36">
        <f>SUM('1st Qtr'!C11, '2nd Qtr'!C11, '3rd Qtr'!C11, '4th Qtr'!C11)</f>
        <v>13895.25</v>
      </c>
      <c r="D11" s="36">
        <f>SUM('1st Qtr'!D11, '2nd Qtr'!D11, '3rd Qtr'!D11, '4th Qtr'!D11)</f>
        <v>25513.11</v>
      </c>
      <c r="E11" s="37">
        <f t="shared" si="0"/>
        <v>-11617.86</v>
      </c>
      <c r="F11" s="38">
        <f t="shared" si="1"/>
        <v>-0.45536824009303456</v>
      </c>
      <c r="G11" s="39">
        <f>SUM('1st Qtr'!G11, '2nd Qtr'!G11, '3rd Qtr'!G11, '4th Qtr'!G11)</f>
        <v>22750.75</v>
      </c>
      <c r="H11" s="39">
        <f>SUM('1st Qtr'!H11, '2nd Qtr'!H11, '3rd Qtr'!H11, '4th Qtr'!H11)</f>
        <v>-8855.5</v>
      </c>
      <c r="I11" s="38">
        <f t="shared" si="2"/>
        <v>-0.38923991516763184</v>
      </c>
    </row>
    <row r="12" spans="1:9" ht="15.6">
      <c r="A12" s="27" t="str">
        <v>Amherst - 595 Schoelles Road</v>
      </c>
      <c r="B12" s="28" t="str">
        <v>NY</v>
      </c>
      <c r="C12" s="29">
        <f>SUM('1st Qtr'!C12, '2nd Qtr'!C12, '3rd Qtr'!C12, '4th Qtr'!C12)</f>
        <v>46166</v>
      </c>
      <c r="D12" s="30">
        <f>SUM('1st Qtr'!D12, '2nd Qtr'!D12, '3rd Qtr'!D12, '4th Qtr'!D12)</f>
        <v>264342.2</v>
      </c>
      <c r="E12" s="30">
        <f t="shared" si="0"/>
        <v>-218176.2</v>
      </c>
      <c r="F12" s="31">
        <f t="shared" si="1"/>
        <v>-0.82535516463129988</v>
      </c>
      <c r="G12" s="32">
        <f>SUM('1st Qtr'!G12, '2nd Qtr'!G12, '3rd Qtr'!G12, '4th Qtr'!G12)</f>
        <v>277726.90000000002</v>
      </c>
      <c r="H12" s="32">
        <f>SUM('1st Qtr'!H12, '2nd Qtr'!H12, '3rd Qtr'!H12, '4th Qtr'!H12)</f>
        <v>-231560.90000000002</v>
      </c>
      <c r="I12" s="33">
        <f t="shared" si="2"/>
        <v>-0.8337719536710344</v>
      </c>
    </row>
    <row r="13" spans="1:9" ht="15.6">
      <c r="A13" s="34" t="str">
        <v>Lancaster 1 - Gunnville Road</v>
      </c>
      <c r="B13" s="35" t="str">
        <v>NY</v>
      </c>
      <c r="C13" s="36">
        <f>SUM('1st Qtr'!C13, '2nd Qtr'!C13, '3rd Qtr'!C13, '4th Qtr'!C13)</f>
        <v>115702</v>
      </c>
      <c r="D13" s="36">
        <f>SUM('1st Qtr'!D13, '2nd Qtr'!D13, '3rd Qtr'!D13, '4th Qtr'!D13)</f>
        <v>226753.7</v>
      </c>
      <c r="E13" s="37">
        <f t="shared" si="0"/>
        <v>-111051.70000000001</v>
      </c>
      <c r="F13" s="38">
        <f t="shared" si="1"/>
        <v>-0.48974592255826477</v>
      </c>
      <c r="G13" s="39">
        <f>SUM('1st Qtr'!G13, '2nd Qtr'!G13, '3rd Qtr'!G13, '4th Qtr'!G13)</f>
        <v>190812.79999999999</v>
      </c>
      <c r="H13" s="39">
        <f>SUM('1st Qtr'!H13, '2nd Qtr'!H13, '3rd Qtr'!H13, '4th Qtr'!H13)</f>
        <v>-75110.799999999988</v>
      </c>
      <c r="I13" s="38">
        <f t="shared" si="2"/>
        <v>-0.39363606634355763</v>
      </c>
    </row>
    <row r="14" spans="1:9" ht="15.6">
      <c r="A14" s="27" t="str">
        <v>Lancaster 2 - Shisler Road</v>
      </c>
      <c r="B14" s="28" t="str">
        <v>NY</v>
      </c>
      <c r="C14" s="29">
        <f>SUM('1st Qtr'!C14, '2nd Qtr'!C14, '3rd Qtr'!C14, '4th Qtr'!C14)</f>
        <v>130208</v>
      </c>
      <c r="D14" s="30">
        <f>SUM('1st Qtr'!D14, '2nd Qtr'!D14, '3rd Qtr'!D14, '4th Qtr'!D14)</f>
        <v>298894.40000000002</v>
      </c>
      <c r="E14" s="30">
        <f t="shared" si="0"/>
        <v>-168686.40000000002</v>
      </c>
      <c r="F14" s="31">
        <f t="shared" si="1"/>
        <v>-0.56436788377433644</v>
      </c>
      <c r="G14" s="32">
        <f>SUM('1st Qtr'!G14, '2nd Qtr'!G14, '3rd Qtr'!G14, '4th Qtr'!G14)</f>
        <v>203856.3</v>
      </c>
      <c r="H14" s="32">
        <f>SUM('1st Qtr'!H14, '2nd Qtr'!H14, '3rd Qtr'!H14, '4th Qtr'!H14)</f>
        <v>-73648.299999999988</v>
      </c>
      <c r="I14" s="33">
        <f t="shared" si="2"/>
        <v>-0.36127556518979298</v>
      </c>
    </row>
    <row r="15" spans="1:9" ht="15.6">
      <c r="A15" s="34" t="str">
        <v>Fullerton - 200 W Orangethorpe</v>
      </c>
      <c r="B15" s="35" t="str">
        <v>CA</v>
      </c>
      <c r="C15" s="36">
        <f>SUM('1st Qtr'!C15, '2nd Qtr'!C15, '3rd Qtr'!C15, '4th Qtr'!C15)</f>
        <v>67370.75</v>
      </c>
      <c r="D15" s="36">
        <f>SUM('1st Qtr'!D15, '2nd Qtr'!D15, '3rd Qtr'!D15, '4th Qtr'!D15)</f>
        <v>71266.78</v>
      </c>
      <c r="E15" s="37">
        <f t="shared" si="0"/>
        <v>-3896.0299999999988</v>
      </c>
      <c r="F15" s="38">
        <f t="shared" si="1"/>
        <v>-5.4668247955078075E-2</v>
      </c>
      <c r="G15" s="39">
        <f>SUM('1st Qtr'!G15, '2nd Qtr'!G15, '3rd Qtr'!G15, '4th Qtr'!G15)</f>
        <v>74519.789999999994</v>
      </c>
      <c r="H15" s="39">
        <f>SUM('1st Qtr'!H15, '2nd Qtr'!H15, '3rd Qtr'!H15, '4th Qtr'!H15)</f>
        <v>-7149.0399999999936</v>
      </c>
      <c r="I15" s="38">
        <f t="shared" si="2"/>
        <v>-9.5934784571990797E-2</v>
      </c>
    </row>
    <row r="16" spans="1:9" ht="15.6">
      <c r="A16" s="27" t="str">
        <v>El Paso - 10500 Railroad Drive</v>
      </c>
      <c r="B16" s="28" t="str">
        <v>TX</v>
      </c>
      <c r="C16" s="29">
        <f>SUM('1st Qtr'!C16, '2nd Qtr'!C16, '3rd Qtr'!C16, '4th Qtr'!C16)</f>
        <v>55254.4110095301</v>
      </c>
      <c r="D16" s="30">
        <f>SUM('1st Qtr'!D16, '2nd Qtr'!D16, '3rd Qtr'!D16, '4th Qtr'!D16)</f>
        <v>55152.35</v>
      </c>
      <c r="E16" s="30">
        <f t="shared" ref="E16:E22" si="3">IF(AND(ISNUMBER(C16),ISNUMBER(D16)), C16-D16, "")</f>
        <v>102.06100953010173</v>
      </c>
      <c r="F16" s="31">
        <f t="shared" ref="F16:F23" si="4">IFERROR(E16/D16, "")</f>
        <v>1.8505287540803198E-3</v>
      </c>
      <c r="G16" s="32">
        <f>SUM('1st Qtr'!G16, '2nd Qtr'!G16, '3rd Qtr'!G16, '4th Qtr'!G16)</f>
        <v>94449.43</v>
      </c>
      <c r="H16" s="32">
        <f>SUM('1st Qtr'!H16, '2nd Qtr'!H16, '3rd Qtr'!H16, '4th Qtr'!H16)</f>
        <v>-39195.018990469893</v>
      </c>
      <c r="I16" s="33">
        <f t="shared" ref="I16:I23" si="5">IFERROR(H16/G16, "")</f>
        <v>-0.41498417714611824</v>
      </c>
    </row>
    <row r="17" spans="1:9" ht="15.6">
      <c r="A17" s="34" t="str">
        <v>Friona - 900 Millard Ave</v>
      </c>
      <c r="B17" s="35" t="str">
        <v>TX</v>
      </c>
      <c r="C17" s="36">
        <f>SUM('1st Qtr'!C17, '2nd Qtr'!C17, '3rd Qtr'!C17, '4th Qtr'!C17)</f>
        <v>17361.25</v>
      </c>
      <c r="D17" s="36">
        <f>SUM('1st Qtr'!D17, '2nd Qtr'!D17, '3rd Qtr'!D17, '4th Qtr'!D17)</f>
        <v>67965.45</v>
      </c>
      <c r="E17" s="37">
        <f t="shared" si="3"/>
        <v>-50604.2</v>
      </c>
      <c r="F17" s="38">
        <f t="shared" si="4"/>
        <v>-0.74455771277906646</v>
      </c>
      <c r="G17" s="39">
        <f>SUM('1st Qtr'!G17, '2nd Qtr'!G17, '3rd Qtr'!G17, '4th Qtr'!G17)</f>
        <v>71792.88</v>
      </c>
      <c r="H17" s="39">
        <f>SUM('1st Qtr'!H17, '2nd Qtr'!H17, '3rd Qtr'!H17, '4th Qtr'!H17)</f>
        <v>-54431.630000000005</v>
      </c>
      <c r="I17" s="38">
        <f t="shared" si="5"/>
        <v>-0.75817588039371042</v>
      </c>
    </row>
    <row r="18" spans="1:9" ht="15.6">
      <c r="A18" s="27" t="str">
        <v>Augusta - 13 York Farm Road</v>
      </c>
      <c r="B18" s="28" t="str">
        <v>ME</v>
      </c>
      <c r="C18" s="29">
        <f>SUM('1st Qtr'!C18, '2nd Qtr'!C18, '3rd Qtr'!C18, '4th Qtr'!C18)</f>
        <v>43920.500000000502</v>
      </c>
      <c r="D18" s="30">
        <f>SUM('1st Qtr'!D18, '2nd Qtr'!D18, '3rd Qtr'!D18, '4th Qtr'!D18)</f>
        <v>117363.2</v>
      </c>
      <c r="E18" s="30">
        <f t="shared" si="3"/>
        <v>-73442.699999999488</v>
      </c>
      <c r="F18" s="31">
        <f t="shared" si="4"/>
        <v>-0.62577281464717638</v>
      </c>
      <c r="G18" s="32">
        <f>SUM('1st Qtr'!G18, '2nd Qtr'!G18, '3rd Qtr'!G18, '4th Qtr'!G18)</f>
        <v>92011.95</v>
      </c>
      <c r="H18" s="32">
        <f>SUM('1st Qtr'!H18, '2nd Qtr'!H18, '3rd Qtr'!H18, '4th Qtr'!H18)</f>
        <v>-48091.449999999495</v>
      </c>
      <c r="I18" s="33">
        <f t="shared" si="5"/>
        <v>-0.52266526250122403</v>
      </c>
    </row>
    <row r="19" spans="1:9" ht="15.6">
      <c r="A19" s="34" t="str">
        <v xml:space="preserve">Santa Ana - 1441 West </v>
      </c>
      <c r="B19" s="35" t="str">
        <v>CA</v>
      </c>
      <c r="C19" s="36">
        <f>SUM('1st Qtr'!C19, '2nd Qtr'!C19, '3rd Qtr'!C19, '4th Qtr'!C19)</f>
        <v>39087.75</v>
      </c>
      <c r="D19" s="36">
        <f>SUM('1st Qtr'!D19, '2nd Qtr'!D19, '3rd Qtr'!D19, '4th Qtr'!D19)</f>
        <v>40595.61</v>
      </c>
      <c r="E19" s="37">
        <f t="shared" si="3"/>
        <v>-1507.8600000000006</v>
      </c>
      <c r="F19" s="38">
        <f t="shared" si="4"/>
        <v>-3.7143425114193399E-2</v>
      </c>
      <c r="G19" s="39">
        <f>SUM('1st Qtr'!G19, '2nd Qtr'!G19, '3rd Qtr'!G19, '4th Qtr'!G19)</f>
        <v>46950.7</v>
      </c>
      <c r="H19" s="39">
        <f>SUM('1st Qtr'!H19, '2nd Qtr'!H19, '3rd Qtr'!H19, '4th Qtr'!H19)</f>
        <v>-7862.9499999999971</v>
      </c>
      <c r="I19" s="38">
        <f t="shared" si="5"/>
        <v>-0.16747247644870039</v>
      </c>
    </row>
    <row r="20" spans="1:9" ht="15.6">
      <c r="A20" s="27" t="str">
        <v>Jessup -7950 Oceano Ave</v>
      </c>
      <c r="B20" s="28" t="str">
        <v>MD</v>
      </c>
      <c r="C20" s="29">
        <f>SUM('1st Qtr'!C20, '2nd Qtr'!C20, '3rd Qtr'!C20, '4th Qtr'!C20)</f>
        <v>69879.75</v>
      </c>
      <c r="D20" s="30">
        <f>SUM('1st Qtr'!D20, '2nd Qtr'!D20, '3rd Qtr'!D20, '4th Qtr'!D20)</f>
        <v>129411</v>
      </c>
      <c r="E20" s="30">
        <f t="shared" si="3"/>
        <v>-59531.25</v>
      </c>
      <c r="F20" s="31">
        <f t="shared" si="4"/>
        <v>-0.46001692282727125</v>
      </c>
      <c r="G20" s="32">
        <f>SUM('1st Qtr'!G20, '2nd Qtr'!G20, '3rd Qtr'!G20, '4th Qtr'!G20)</f>
        <v>120733.1</v>
      </c>
      <c r="H20" s="32">
        <f>SUM('1st Qtr'!H20, '2nd Qtr'!H20, '3rd Qtr'!H20, '4th Qtr'!H20)</f>
        <v>-50853.350000000006</v>
      </c>
      <c r="I20" s="33">
        <f t="shared" si="5"/>
        <v>-0.42120470691136069</v>
      </c>
    </row>
    <row r="21" spans="1:9" ht="15.6">
      <c r="A21" s="34" t="str">
        <v xml:space="preserve">TX: Fort Worth - 5200 Gold Spike Dr </v>
      </c>
      <c r="B21" s="35" t="str">
        <v>TX</v>
      </c>
      <c r="C21" s="36">
        <f>SUM('1st Qtr'!C21, '2nd Qtr'!C21, '3rd Qtr'!C21, '4th Qtr'!C21)</f>
        <v>405586.8</v>
      </c>
      <c r="D21" s="36">
        <f>SUM('1st Qtr'!D21, '2nd Qtr'!D21, '3rd Qtr'!D21, '4th Qtr'!D21)</f>
        <v>533953.19999999995</v>
      </c>
      <c r="E21" s="37">
        <f t="shared" si="3"/>
        <v>-128366.39999999997</v>
      </c>
      <c r="F21" s="38">
        <f>IFERROR(E21/D21, "")</f>
        <v>-0.24040758628284273</v>
      </c>
      <c r="G21" s="39">
        <f>SUM('1st Qtr'!G21, '2nd Qtr'!G21, '3rd Qtr'!G21, '4th Qtr'!G21)</f>
        <v>474899.3</v>
      </c>
      <c r="H21" s="39">
        <f>SUM('1st Qtr'!H21, '2nd Qtr'!H21, '3rd Qtr'!H21, '4th Qtr'!H21)</f>
        <v>-69312.5</v>
      </c>
      <c r="I21" s="38">
        <f>IFERROR(H21/G21, "")</f>
        <v>-0.14595199445440329</v>
      </c>
    </row>
    <row r="22" spans="1:9" ht="15.6">
      <c r="A22" s="27" t="str">
        <v>NY: Clifton Springs - Ontario 2 (21597)</v>
      </c>
      <c r="B22" s="28" t="str">
        <v>NY</v>
      </c>
      <c r="C22" s="29">
        <f>SUM('1st Qtr'!C22, '2nd Qtr'!C22, '3rd Qtr'!C22, '4th Qtr'!C22)</f>
        <v>181912.87523197799</v>
      </c>
      <c r="D22" s="30">
        <f>SUM('1st Qtr'!D22, '2nd Qtr'!D22, '3rd Qtr'!D22, '4th Qtr'!D22)</f>
        <v>354682</v>
      </c>
      <c r="E22" s="30">
        <f t="shared" si="3"/>
        <v>-172769.12476802201</v>
      </c>
      <c r="F22" s="31">
        <f t="shared" si="4"/>
        <v>-0.48710993162331895</v>
      </c>
      <c r="G22" s="32">
        <f>SUM('1st Qtr'!G22, '2nd Qtr'!G22, '3rd Qtr'!G22, '4th Qtr'!G22)</f>
        <v>319694.7</v>
      </c>
      <c r="H22" s="32">
        <f>SUM('1st Qtr'!H22, '2nd Qtr'!H22, '3rd Qtr'!H22, '4th Qtr'!H22)</f>
        <v>-137781.82476802202</v>
      </c>
      <c r="I22" s="33">
        <f t="shared" si="5"/>
        <v>-0.43097938366829985</v>
      </c>
    </row>
    <row r="23" spans="1:9" ht="15.6">
      <c r="A23" s="34" t="str">
        <v>CA: Oxnard - 2600 Sakioka - System A</v>
      </c>
      <c r="B23" s="35" t="str">
        <v>CA</v>
      </c>
      <c r="C23" s="36">
        <f>SUM('1st Qtr'!C23, '2nd Qtr'!C23, '3rd Qtr'!C23, '4th Qtr'!C23)</f>
        <v>193182.79625000001</v>
      </c>
      <c r="D23" s="36">
        <f>SUM('1st Qtr'!D23, '2nd Qtr'!D23, '3rd Qtr'!D23, '4th Qtr'!D23)</f>
        <v>190647.6</v>
      </c>
      <c r="E23" s="37">
        <f t="shared" ref="E23:E25" si="6">IF(AND(ISNUMBER(C23),ISNUMBER(D23)), C23-D23, "")</f>
        <v>2535.1962500000081</v>
      </c>
      <c r="F23" s="38">
        <f t="shared" si="4"/>
        <v>1.3297813610032374E-2</v>
      </c>
      <c r="G23" s="39">
        <f>SUM('1st Qtr'!G23, '2nd Qtr'!G23, '3rd Qtr'!G23, '4th Qtr'!G23)</f>
        <v>178494.4</v>
      </c>
      <c r="H23" s="39">
        <f>SUM('1st Qtr'!H23, '2nd Qtr'!H23, '3rd Qtr'!H23, '4th Qtr'!H23)</f>
        <v>14688.39625000002</v>
      </c>
      <c r="I23" s="38">
        <f t="shared" si="5"/>
        <v>8.2290515836911521E-2</v>
      </c>
    </row>
    <row r="24" spans="1:9" ht="15.6">
      <c r="A24" s="27" t="str">
        <v>CA: Oxnard - 2600 Sakioka - System B</v>
      </c>
      <c r="B24" s="28" t="str">
        <v>CA</v>
      </c>
      <c r="C24" s="29">
        <f>SUM('1st Qtr'!C24, '2nd Qtr'!C24, '3rd Qtr'!C24, '4th Qtr'!C24)</f>
        <v>0</v>
      </c>
      <c r="D24" s="30">
        <f>SUM('1st Qtr'!D24, '2nd Qtr'!D24, '3rd Qtr'!D24, '4th Qtr'!D24)</f>
        <v>0</v>
      </c>
      <c r="E24" s="30">
        <f t="shared" si="6"/>
        <v>0</v>
      </c>
      <c r="F24" s="31" t="str">
        <f t="shared" ref="F24:F25" si="7">IFERROR(E24/D24, "")</f>
        <v/>
      </c>
      <c r="G24" s="32">
        <f>SUM('1st Qtr'!G24, '2nd Qtr'!G24, '3rd Qtr'!G24, '4th Qtr'!G24)</f>
        <v>191359</v>
      </c>
      <c r="H24" s="32">
        <f>SUM('1st Qtr'!H24, '2nd Qtr'!H24, '3rd Qtr'!H24, '4th Qtr'!H24)</f>
        <v>-191359</v>
      </c>
      <c r="I24" s="33">
        <f t="shared" ref="I24:I25" si="8">IFERROR(H24/G24, "")</f>
        <v>-1</v>
      </c>
    </row>
    <row r="25" spans="1:9" ht="15.6">
      <c r="A25" s="34" t="str">
        <v>NY: Fonda - Montgomery 1 (21601)</v>
      </c>
      <c r="B25" s="35" t="str">
        <v>NY</v>
      </c>
      <c r="C25" s="36">
        <f>SUM('1st Qtr'!C25, '2nd Qtr'!C25, '3rd Qtr'!C25, '4th Qtr'!C25)</f>
        <v>292034</v>
      </c>
      <c r="D25" s="36">
        <f>SUM('1st Qtr'!D25, '2nd Qtr'!D25, '3rd Qtr'!D25, '4th Qtr'!D25)</f>
        <v>302017.09999999998</v>
      </c>
      <c r="E25" s="37">
        <f t="shared" si="6"/>
        <v>-9983.0999999999767</v>
      </c>
      <c r="F25" s="38">
        <f t="shared" si="7"/>
        <v>-3.3054750873377628E-2</v>
      </c>
      <c r="G25" s="39">
        <f>SUM('1st Qtr'!G25, '2nd Qtr'!G25, '3rd Qtr'!G25, '4th Qtr'!G25)</f>
        <v>416526</v>
      </c>
      <c r="H25" s="39">
        <f>SUM('1st Qtr'!H25, '2nd Qtr'!H25, '3rd Qtr'!H25, '4th Qtr'!H25)</f>
        <v>-124492</v>
      </c>
      <c r="I25" s="38">
        <f t="shared" si="8"/>
        <v>-0.29888170246275142</v>
      </c>
    </row>
    <row r="26" spans="1:9" ht="15.6">
      <c r="A26" s="27" t="str">
        <v>NY: Evans - SL Evans Array 1 (21106) - (PW)</v>
      </c>
      <c r="B26" s="28" t="str">
        <v>NY</v>
      </c>
      <c r="C26" s="29">
        <f>SUM('1st Qtr'!C26, '2nd Qtr'!C26, '3rd Qtr'!C26, '4th Qtr'!C26)</f>
        <v>78714</v>
      </c>
      <c r="D26" s="30">
        <f>SUM('1st Qtr'!D26, '2nd Qtr'!D26, '3rd Qtr'!D26, '4th Qtr'!D26)</f>
        <v>283027.59999999998</v>
      </c>
      <c r="E26" s="30">
        <f t="shared" ref="E26:E27" si="9">IF(AND(ISNUMBER(C26),ISNUMBER(D26)), C26-D26, "")</f>
        <v>-204313.59999999998</v>
      </c>
      <c r="F26" s="31">
        <f t="shared" ref="F26:F27" si="10">IFERROR(E26/D26, "")</f>
        <v>-0.72188578075071119</v>
      </c>
      <c r="G26" s="32">
        <f>SUM('1st Qtr'!G26, '2nd Qtr'!G26, '3rd Qtr'!G26, '4th Qtr'!G26)</f>
        <v>212141.5</v>
      </c>
      <c r="H26" s="32">
        <f>SUM('1st Qtr'!H26, '2nd Qtr'!H26, '3rd Qtr'!H26, '4th Qtr'!H26)</f>
        <v>-133427.5</v>
      </c>
      <c r="I26" s="33">
        <f t="shared" ref="I26:I27" si="11">IFERROR(H26/G26, "")</f>
        <v>-0.6289552020703163</v>
      </c>
    </row>
    <row r="27" spans="1:9" ht="15.6">
      <c r="A27" s="34" t="str">
        <v>NY: Evans - SL Evans Array 2 (21107) - (PW)</v>
      </c>
      <c r="B27" s="35" t="str">
        <v>NY</v>
      </c>
      <c r="C27" s="36">
        <f>SUM('1st Qtr'!C27, '2nd Qtr'!C27, '3rd Qtr'!C27, '4th Qtr'!C27)</f>
        <v>88859</v>
      </c>
      <c r="D27" s="36">
        <f>SUM('1st Qtr'!D27, '2nd Qtr'!D27, '3rd Qtr'!D27, '4th Qtr'!D27)</f>
        <v>219179.9</v>
      </c>
      <c r="E27" s="37">
        <f t="shared" si="9"/>
        <v>-130320.9</v>
      </c>
      <c r="F27" s="38">
        <f t="shared" si="10"/>
        <v>-0.59458417491749926</v>
      </c>
      <c r="G27" s="39">
        <f>SUM('1st Qtr'!G27, '2nd Qtr'!G27, '3rd Qtr'!G27, '4th Qtr'!G27)</f>
        <v>200417</v>
      </c>
      <c r="H27" s="39">
        <f>SUM('1st Qtr'!H27, '2nd Qtr'!H27, '3rd Qtr'!H27, '4th Qtr'!H27)</f>
        <v>-111558</v>
      </c>
      <c r="I27" s="38">
        <f t="shared" si="11"/>
        <v>-0.55662942764336354</v>
      </c>
    </row>
    <row r="28" spans="1:9" ht="15.6">
      <c r="A28" s="27" t="str">
        <v>NY: Flushing - 131-21 14th Ave</v>
      </c>
      <c r="B28" s="28" t="str">
        <v>NY</v>
      </c>
      <c r="C28" s="29">
        <f>SUM('1st Qtr'!C28, '2nd Qtr'!C28, '3rd Qtr'!C28, '4th Qtr'!C28)</f>
        <v>6569.3012076986497</v>
      </c>
      <c r="D28" s="30">
        <f>SUM('1st Qtr'!D28, '2nd Qtr'!D28, '3rd Qtr'!D28, '4th Qtr'!D28)</f>
        <v>12576.65</v>
      </c>
      <c r="E28" s="30">
        <f>IF(AND(ISNUMBER(C28),ISNUMBER(D28)), C28-D28, "")</f>
        <v>-6007.3487923013499</v>
      </c>
      <c r="F28" s="31">
        <f>IFERROR(E28/D28, "")</f>
        <v>-0.47765889901534592</v>
      </c>
      <c r="G28" s="32">
        <f>SUM('1st Qtr'!G28, '2nd Qtr'!G28, '3rd Qtr'!G28, '4th Qtr'!G28)</f>
        <v>14302.43</v>
      </c>
      <c r="H28" s="32">
        <f>SUM('1st Qtr'!H28, '2nd Qtr'!H28, '3rd Qtr'!H28, '4th Qtr'!H28)</f>
        <v>-7733.1287923013506</v>
      </c>
      <c r="I28" s="33">
        <f>IFERROR(H28/G28, "")</f>
        <v>-0.54068635835318546</v>
      </c>
    </row>
    <row r="29" spans="1:9" ht="15.6">
      <c r="A29" s="34" t="str">
        <v>NY: Binghamton - Airport Rd (18878) - (PW)</v>
      </c>
      <c r="B29" s="35" t="str">
        <v>NY</v>
      </c>
      <c r="C29" s="36">
        <f>SUM('1st Qtr'!C29, '2nd Qtr'!C29, '3rd Qtr'!C29, '4th Qtr'!C29)</f>
        <v>235366.7</v>
      </c>
      <c r="D29" s="36">
        <f>SUM('1st Qtr'!D29, '2nd Qtr'!D29, '3rd Qtr'!D29, '4th Qtr'!D29)</f>
        <v>263835.59999999998</v>
      </c>
      <c r="E29" s="37">
        <f>IF(AND(ISNUMBER(C29),ISNUMBER(D29)), C29-D29, "")</f>
        <v>-28468.899999999965</v>
      </c>
      <c r="F29" s="87">
        <f>IFERROR(E29/D29, "")</f>
        <v>-0.10790393714873947</v>
      </c>
      <c r="G29" s="55">
        <f>SUM('1st Qtr'!G29, '2nd Qtr'!G29, '3rd Qtr'!G29, '4th Qtr'!G29)</f>
        <v>353688</v>
      </c>
      <c r="H29" s="55">
        <f>SUM('1st Qtr'!H29, '2nd Qtr'!H29, '3rd Qtr'!H29, '4th Qtr'!H29)</f>
        <v>-118321.29999999999</v>
      </c>
      <c r="I29" s="87">
        <f>IFERROR(H29/G29, "")</f>
        <v>-0.33453580556874984</v>
      </c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  <row r="323" spans="1:9" ht="13.9">
      <c r="A323" s="9"/>
      <c r="B323" s="9"/>
      <c r="C323" s="9"/>
      <c r="D323" s="9"/>
      <c r="E323" s="9"/>
      <c r="F323" s="10"/>
      <c r="G323" s="9"/>
      <c r="H323" s="9"/>
      <c r="I323" s="10"/>
    </row>
    <row r="324" spans="1:9" ht="13.9">
      <c r="A324" s="9"/>
      <c r="B324" s="9"/>
      <c r="C324" s="9"/>
      <c r="D324" s="9"/>
      <c r="E324" s="9"/>
      <c r="F324" s="10"/>
      <c r="G324" s="9"/>
      <c r="H324" s="9"/>
      <c r="I324" s="10"/>
    </row>
    <row r="325" spans="1:9" ht="13.9">
      <c r="A325" s="9"/>
      <c r="B325" s="9"/>
      <c r="C325" s="9"/>
      <c r="D325" s="9"/>
      <c r="E325" s="9"/>
      <c r="F325" s="10"/>
      <c r="G325" s="9"/>
      <c r="H325" s="9"/>
      <c r="I325" s="10"/>
    </row>
    <row r="326" spans="1:9" ht="13.9">
      <c r="A326" s="9"/>
      <c r="B326" s="9"/>
      <c r="C326" s="9"/>
      <c r="D326" s="9"/>
      <c r="E326" s="9"/>
      <c r="F326" s="10"/>
      <c r="G326" s="9"/>
      <c r="H326" s="9"/>
      <c r="I326" s="10"/>
    </row>
    <row r="327" spans="1:9" ht="13.9">
      <c r="A327" s="9"/>
      <c r="B327" s="9"/>
      <c r="C327" s="9"/>
      <c r="D327" s="9"/>
      <c r="E327" s="9"/>
      <c r="F327" s="10"/>
      <c r="G327" s="9"/>
      <c r="H327" s="9"/>
      <c r="I327" s="10"/>
    </row>
    <row r="328" spans="1:9" ht="13.9">
      <c r="A328" s="9"/>
      <c r="B328" s="9"/>
      <c r="C328" s="9"/>
      <c r="D328" s="9"/>
      <c r="E328" s="9"/>
      <c r="F328" s="10"/>
      <c r="G328" s="9"/>
      <c r="H328" s="9"/>
      <c r="I328" s="10"/>
    </row>
    <row r="329" spans="1:9" ht="13.9">
      <c r="A329" s="9"/>
      <c r="B329" s="9"/>
      <c r="C329" s="9"/>
      <c r="D329" s="9"/>
      <c r="E329" s="9"/>
      <c r="F329" s="10"/>
      <c r="G329" s="9"/>
      <c r="H329" s="9"/>
      <c r="I329" s="10"/>
    </row>
    <row r="330" spans="1:9" ht="13.9">
      <c r="A330" s="9"/>
      <c r="B330" s="9"/>
      <c r="C330" s="9"/>
      <c r="D330" s="9"/>
      <c r="E330" s="9"/>
      <c r="F330" s="10"/>
      <c r="G330" s="9"/>
      <c r="H330" s="9"/>
      <c r="I330" s="10"/>
    </row>
    <row r="331" spans="1:9" ht="13.9">
      <c r="A331" s="9"/>
      <c r="B331" s="9"/>
      <c r="C331" s="9"/>
      <c r="D331" s="9"/>
      <c r="E331" s="9"/>
      <c r="F331" s="10"/>
      <c r="G331" s="9"/>
      <c r="H331" s="9"/>
      <c r="I331" s="10"/>
    </row>
    <row r="332" spans="1:9" ht="13.9">
      <c r="A332" s="9"/>
      <c r="B332" s="9"/>
      <c r="C332" s="9"/>
      <c r="D332" s="9"/>
      <c r="E332" s="9"/>
      <c r="F332" s="10"/>
      <c r="G332" s="9"/>
      <c r="H332" s="9"/>
      <c r="I332" s="10"/>
    </row>
    <row r="333" spans="1:9" ht="13.9">
      <c r="A333" s="9"/>
      <c r="B333" s="9"/>
      <c r="C333" s="9"/>
      <c r="D333" s="9"/>
      <c r="E333" s="9"/>
      <c r="F333" s="10"/>
      <c r="G333" s="9"/>
      <c r="H333" s="9"/>
      <c r="I333" s="10"/>
    </row>
    <row r="334" spans="1:9" ht="13.9">
      <c r="A334" s="9"/>
      <c r="B334" s="9"/>
      <c r="C334" s="9"/>
      <c r="D334" s="9"/>
      <c r="E334" s="9"/>
      <c r="F334" s="10"/>
      <c r="G334" s="9"/>
      <c r="H334" s="9"/>
      <c r="I334" s="1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xSplit="2" ySplit="3" topLeftCell="D4" activePane="bottomRight" state="frozen"/>
      <selection pane="bottomRight" activeCell="A4" sqref="A4:A29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100" t="str" cm="1">
        <f t="array" ref="A1">portfolio</f>
        <v>Catalyze</v>
      </c>
      <c r="B1" s="100"/>
      <c r="C1" s="100"/>
      <c r="D1" s="101" t="s">
        <v>10</v>
      </c>
      <c r="E1" s="101"/>
      <c r="F1" s="101"/>
      <c r="G1" s="99" t="s">
        <v>11</v>
      </c>
      <c r="H1" s="99"/>
      <c r="I1" s="99"/>
    </row>
    <row r="2" spans="1:9" ht="19.5" customHeight="1">
      <c r="A2" s="102" t="s">
        <v>2</v>
      </c>
      <c r="B2" s="102"/>
      <c r="C2" s="5">
        <f>SUM(C4:C92)</f>
        <v>2754544.4335638485</v>
      </c>
      <c r="D2" s="5">
        <f>SUM(D4:D92)</f>
        <v>4359232.3538000006</v>
      </c>
      <c r="E2" s="5">
        <f>C2-D2</f>
        <v>-1604687.9202361521</v>
      </c>
      <c r="F2" s="6">
        <f>IFERROR(E2/D2, 0)</f>
        <v>-0.36811250009128887</v>
      </c>
      <c r="G2" s="5">
        <f>SUM(G4:G92)</f>
        <v>4047377.1290000002</v>
      </c>
      <c r="H2" s="7">
        <f>C2-G2</f>
        <v>-1292832.6954361517</v>
      </c>
      <c r="I2" s="6">
        <f>IFERROR(H2/G2, 0)</f>
        <v>-0.31942481617856461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">
        <v>12</v>
      </c>
      <c r="B4" s="28" t="str" cm="1">
        <f t="array" ref="B4:B29">Sites[State]</f>
        <v>CA</v>
      </c>
      <c r="C4" s="29">
        <f>SUM(Jan!C4, Feb!C4, Mar!C4)</f>
        <v>46267.75</v>
      </c>
      <c r="D4" s="30">
        <f>SUM(Jan!D4, Feb!D4, Mar!D4)</f>
        <v>39649.39</v>
      </c>
      <c r="E4" s="30">
        <f>IF(AND(ISNUMBER(C4),ISNUMBER(D4)), C4-D4, "")</f>
        <v>6618.3600000000006</v>
      </c>
      <c r="F4" s="31">
        <f>IFERROR(E4/D4, "")</f>
        <v>0.16692211406026677</v>
      </c>
      <c r="G4" s="32">
        <f>SUM(Jan!G4, Feb!G4, Mar!G4)</f>
        <v>49997.93</v>
      </c>
      <c r="H4" s="32">
        <f>SUM(Jan!H4, Feb!H4, Mar!H4)</f>
        <v>-3730.1800000000003</v>
      </c>
      <c r="I4" s="33">
        <f>IFERROR(H4/G4, "")</f>
        <v>-7.4606688716912881E-2</v>
      </c>
    </row>
    <row r="5" spans="1:9" ht="15.6">
      <c r="A5" s="49"/>
      <c r="B5" s="35" t="str">
        <v>CA</v>
      </c>
      <c r="C5" s="36">
        <f>SUM(Jan!C5, Feb!C5, Mar!C5)</f>
        <v>453094</v>
      </c>
      <c r="D5" s="37">
        <f>SUM(Jan!D5, Feb!D5, Mar!D5)</f>
        <v>363263.06879999995</v>
      </c>
      <c r="E5" s="37">
        <f t="shared" ref="E5:E15" si="0">IF(AND(ISNUMBER(C5),ISNUMBER(D5)), C5-D5, "")</f>
        <v>89830.93120000005</v>
      </c>
      <c r="F5" s="38">
        <f>IFERROR(E5/D5, "")</f>
        <v>0.24728891790940039</v>
      </c>
      <c r="G5" s="39">
        <f>SUM(Jan!G5, Feb!G5, Mar!G5)</f>
        <v>0</v>
      </c>
      <c r="H5" s="39">
        <f>SUM(Jan!H5, Feb!H5, Mar!H5)</f>
        <v>0</v>
      </c>
      <c r="I5" s="38" t="str">
        <f>IFERROR(H5/G5, "")</f>
        <v/>
      </c>
    </row>
    <row r="6" spans="1:9" ht="15.6">
      <c r="A6" s="48"/>
      <c r="B6" s="28" t="str">
        <v>MA</v>
      </c>
      <c r="C6" s="29">
        <f>SUM(Jan!C6, Feb!C6, Mar!C6)</f>
        <v>154717.19999999899</v>
      </c>
      <c r="D6" s="30">
        <f>SUM(Jan!D6, Feb!D6, Mar!D6)</f>
        <v>436933.4</v>
      </c>
      <c r="E6" s="30">
        <f t="shared" si="0"/>
        <v>-282216.200000001</v>
      </c>
      <c r="F6" s="31">
        <f t="shared" ref="F6:F15" si="1">IFERROR(E6/D6, "")</f>
        <v>-0.64590209858070124</v>
      </c>
      <c r="G6" s="32">
        <f>SUM(Jan!G6, Feb!G6, Mar!G6)</f>
        <v>382449.3</v>
      </c>
      <c r="H6" s="32">
        <f>SUM(Jan!H6, Feb!H6, Mar!H6)</f>
        <v>-227732.100000001</v>
      </c>
      <c r="I6" s="33">
        <f t="shared" ref="I6:I15" si="2">IFERROR(H6/G6, "")</f>
        <v>-0.59545696645281088</v>
      </c>
    </row>
    <row r="7" spans="1:9" ht="15.6">
      <c r="A7" s="49"/>
      <c r="B7" s="35" t="str">
        <v>MA</v>
      </c>
      <c r="C7" s="36">
        <f>SUM(Jan!C7, Feb!C7, Mar!C7)</f>
        <v>9415.5</v>
      </c>
      <c r="D7" s="37">
        <f>SUM(Jan!D7, Feb!D7, Mar!D7)</f>
        <v>34669.26</v>
      </c>
      <c r="E7" s="37">
        <f t="shared" si="0"/>
        <v>-25253.760000000002</v>
      </c>
      <c r="F7" s="38">
        <f t="shared" si="1"/>
        <v>-0.72841935478288256</v>
      </c>
      <c r="G7" s="39">
        <f>SUM(Jan!G7, Feb!G7, Mar!G7)</f>
        <v>31512.7</v>
      </c>
      <c r="H7" s="39">
        <f>SUM(Jan!H7, Feb!H7, Mar!H7)</f>
        <v>-22097.200000000001</v>
      </c>
      <c r="I7" s="38">
        <f t="shared" si="2"/>
        <v>-0.70121570033668967</v>
      </c>
    </row>
    <row r="8" spans="1:9" ht="15.6">
      <c r="A8" s="48"/>
      <c r="B8" s="28" t="str">
        <v>MA</v>
      </c>
      <c r="C8" s="29">
        <f>SUM(Jan!C8, Feb!C8, Mar!C8)</f>
        <v>3823.625</v>
      </c>
      <c r="D8" s="30">
        <f>SUM(Jan!D8, Feb!D8, Mar!D8)</f>
        <v>8234.384</v>
      </c>
      <c r="E8" s="30">
        <f t="shared" si="0"/>
        <v>-4410.759</v>
      </c>
      <c r="F8" s="31">
        <f t="shared" si="1"/>
        <v>-0.53565136141331271</v>
      </c>
      <c r="G8" s="32">
        <f>SUM(Jan!G8, Feb!G8, Mar!G8)</f>
        <v>8913.4449999999997</v>
      </c>
      <c r="H8" s="32">
        <f>SUM(Jan!H8, Feb!H8, Mar!H8)</f>
        <v>-5089.82</v>
      </c>
      <c r="I8" s="33">
        <f t="shared" si="2"/>
        <v>-0.57102725152844946</v>
      </c>
    </row>
    <row r="9" spans="1:9" ht="15.6">
      <c r="A9" s="49"/>
      <c r="B9" s="35" t="str">
        <v>MA</v>
      </c>
      <c r="C9" s="36">
        <f>SUM(Jan!C9, Feb!C9, Mar!C9)</f>
        <v>1911.97486464179</v>
      </c>
      <c r="D9" s="37">
        <f>SUM(Jan!D9, Feb!D9, Mar!D9)</f>
        <v>6662.8509999999997</v>
      </c>
      <c r="E9" s="37">
        <f t="shared" si="0"/>
        <v>-4750.8761353582095</v>
      </c>
      <c r="F9" s="38">
        <f t="shared" si="1"/>
        <v>-0.71303952847785579</v>
      </c>
      <c r="G9" s="39">
        <f>SUM(Jan!G9, Feb!G9, Mar!G9)</f>
        <v>6736.0839999999998</v>
      </c>
      <c r="H9" s="39">
        <f>SUM(Jan!H9, Feb!H9, Mar!H9)</f>
        <v>-4824.1091353582096</v>
      </c>
      <c r="I9" s="38">
        <f t="shared" si="2"/>
        <v>-0.71615929007984602</v>
      </c>
    </row>
    <row r="10" spans="1:9" ht="15.6">
      <c r="A10" s="48"/>
      <c r="B10" s="28" t="str">
        <v>NY</v>
      </c>
      <c r="C10" s="29">
        <f>SUM(Jan!C10, Feb!C10, Mar!C10)</f>
        <v>4243.25</v>
      </c>
      <c r="D10" s="30">
        <f>SUM(Jan!D10, Feb!D10, Mar!D10)</f>
        <v>12642.55</v>
      </c>
      <c r="E10" s="30">
        <f t="shared" si="0"/>
        <v>-8399.2999999999993</v>
      </c>
      <c r="F10" s="31">
        <f t="shared" si="1"/>
        <v>-0.66436755243206469</v>
      </c>
      <c r="G10" s="32">
        <f>SUM(Jan!G10, Feb!G10, Mar!G10)</f>
        <v>10640.74</v>
      </c>
      <c r="H10" s="32">
        <f>SUM(Jan!H10, Feb!H10, Mar!H10)</f>
        <v>-6397.49</v>
      </c>
      <c r="I10" s="33">
        <f t="shared" si="2"/>
        <v>-0.60122604254967227</v>
      </c>
    </row>
    <row r="11" spans="1:9" ht="15.6">
      <c r="A11" s="49"/>
      <c r="B11" s="35" t="str">
        <v>NY</v>
      </c>
      <c r="C11" s="36">
        <f>SUM(Jan!C11, Feb!C11, Mar!C11)</f>
        <v>13895.25</v>
      </c>
      <c r="D11" s="37">
        <f>SUM(Jan!D11, Feb!D11, Mar!D11)</f>
        <v>25513.11</v>
      </c>
      <c r="E11" s="37">
        <f t="shared" si="0"/>
        <v>-11617.86</v>
      </c>
      <c r="F11" s="38">
        <f t="shared" si="1"/>
        <v>-0.45536824009303456</v>
      </c>
      <c r="G11" s="39">
        <f>SUM(Jan!G11, Feb!G11, Mar!G11)</f>
        <v>22750.75</v>
      </c>
      <c r="H11" s="39">
        <f>SUM(Jan!H11, Feb!H11, Mar!H11)</f>
        <v>-8855.5</v>
      </c>
      <c r="I11" s="38">
        <f t="shared" si="2"/>
        <v>-0.38923991516763184</v>
      </c>
    </row>
    <row r="12" spans="1:9" ht="15.6">
      <c r="A12" s="48"/>
      <c r="B12" s="28" t="str">
        <v>NY</v>
      </c>
      <c r="C12" s="29">
        <f>SUM(Jan!C12, Feb!C12, Mar!C12)</f>
        <v>46166</v>
      </c>
      <c r="D12" s="30">
        <f>SUM(Jan!D12, Feb!D12, Mar!D12)</f>
        <v>264342.2</v>
      </c>
      <c r="E12" s="30">
        <f t="shared" si="0"/>
        <v>-218176.2</v>
      </c>
      <c r="F12" s="31">
        <f t="shared" si="1"/>
        <v>-0.82535516463129988</v>
      </c>
      <c r="G12" s="32">
        <f>SUM(Jan!G12, Feb!G12, Mar!G12)</f>
        <v>277726.90000000002</v>
      </c>
      <c r="H12" s="32">
        <f>SUM(Jan!H12, Feb!H12, Mar!H12)</f>
        <v>-231560.90000000002</v>
      </c>
      <c r="I12" s="33">
        <f t="shared" si="2"/>
        <v>-0.8337719536710344</v>
      </c>
    </row>
    <row r="13" spans="1:9" ht="15.6">
      <c r="A13" s="49"/>
      <c r="B13" s="35" t="str">
        <v>NY</v>
      </c>
      <c r="C13" s="36">
        <f>SUM(Jan!C13, Feb!C13, Mar!C13)</f>
        <v>115702</v>
      </c>
      <c r="D13" s="37">
        <f>SUM(Jan!D13, Feb!D13, Mar!D13)</f>
        <v>226753.7</v>
      </c>
      <c r="E13" s="37">
        <f t="shared" si="0"/>
        <v>-111051.70000000001</v>
      </c>
      <c r="F13" s="38">
        <f t="shared" si="1"/>
        <v>-0.48974592255826477</v>
      </c>
      <c r="G13" s="39">
        <f>SUM(Jan!G13, Feb!G13, Mar!G13)</f>
        <v>190812.79999999999</v>
      </c>
      <c r="H13" s="39">
        <f>SUM(Jan!H13, Feb!H13, Mar!H13)</f>
        <v>-75110.799999999988</v>
      </c>
      <c r="I13" s="38">
        <f t="shared" si="2"/>
        <v>-0.39363606634355763</v>
      </c>
    </row>
    <row r="14" spans="1:9" ht="15.6">
      <c r="A14" s="48"/>
      <c r="B14" s="28" t="str">
        <v>NY</v>
      </c>
      <c r="C14" s="29">
        <f>SUM(Jan!C14, Feb!C14, Mar!C14)</f>
        <v>130208</v>
      </c>
      <c r="D14" s="30">
        <f>SUM(Jan!D14, Feb!D14, Mar!D14)</f>
        <v>298894.40000000002</v>
      </c>
      <c r="E14" s="30">
        <f t="shared" si="0"/>
        <v>-168686.40000000002</v>
      </c>
      <c r="F14" s="31">
        <f t="shared" si="1"/>
        <v>-0.56436788377433644</v>
      </c>
      <c r="G14" s="32">
        <f>SUM(Jan!G14, Feb!G14, Mar!G14)</f>
        <v>203856.3</v>
      </c>
      <c r="H14" s="32">
        <f>SUM(Jan!H14, Feb!H14, Mar!H14)</f>
        <v>-73648.299999999988</v>
      </c>
      <c r="I14" s="33">
        <f t="shared" si="2"/>
        <v>-0.36127556518979298</v>
      </c>
    </row>
    <row r="15" spans="1:9" ht="15.6">
      <c r="A15" s="49"/>
      <c r="B15" s="35" t="str">
        <v>CA</v>
      </c>
      <c r="C15" s="36">
        <f>SUM(Jan!C15, Feb!C15, Mar!C15)</f>
        <v>67370.75</v>
      </c>
      <c r="D15" s="37">
        <f>SUM(Jan!D15, Feb!D15, Mar!D15)</f>
        <v>71266.78</v>
      </c>
      <c r="E15" s="37">
        <f t="shared" si="0"/>
        <v>-3896.0299999999988</v>
      </c>
      <c r="F15" s="38">
        <f t="shared" si="1"/>
        <v>-5.4668247955078075E-2</v>
      </c>
      <c r="G15" s="39">
        <f>SUM(Jan!G15, Feb!G15, Mar!G15)</f>
        <v>74519.789999999994</v>
      </c>
      <c r="H15" s="39">
        <f>SUM(Jan!H15, Feb!H15, Mar!H15)</f>
        <v>-7149.0399999999936</v>
      </c>
      <c r="I15" s="38">
        <f t="shared" si="2"/>
        <v>-9.5934784571990797E-2</v>
      </c>
    </row>
    <row r="16" spans="1:9" ht="15.6">
      <c r="A16" s="48"/>
      <c r="B16" s="28" t="str">
        <v>TX</v>
      </c>
      <c r="C16" s="29">
        <f>SUM(Jan!C16, Feb!C16, Mar!C16)</f>
        <v>55254.4110095301</v>
      </c>
      <c r="D16" s="30">
        <f>SUM(Jan!D16, Feb!D16, Mar!D16)</f>
        <v>55152.35</v>
      </c>
      <c r="E16" s="30">
        <f t="shared" ref="E16:E17" si="3">IF(AND(ISNUMBER(C16),ISNUMBER(D16)), C16-D16, "")</f>
        <v>102.06100953010173</v>
      </c>
      <c r="F16" s="31">
        <f t="shared" ref="F16:F20" si="4">IFERROR(E16/D16, "")</f>
        <v>1.8505287540803198E-3</v>
      </c>
      <c r="G16" s="32">
        <f>SUM(Jan!G16, Feb!G16, Mar!G16)</f>
        <v>94449.43</v>
      </c>
      <c r="H16" s="32">
        <f>SUM(Jan!H16, Feb!H16, Mar!H16)</f>
        <v>-39195.018990469893</v>
      </c>
      <c r="I16" s="33">
        <f t="shared" ref="I16:I21" si="5">IFERROR(H16/G16, "")</f>
        <v>-0.41498417714611824</v>
      </c>
    </row>
    <row r="17" spans="1:9" ht="15.6">
      <c r="A17" s="49"/>
      <c r="B17" s="35" t="str">
        <v>TX</v>
      </c>
      <c r="C17" s="36">
        <f>SUM(Jan!C17, Feb!C17, Mar!C17)</f>
        <v>17361.25</v>
      </c>
      <c r="D17" s="37">
        <f>SUM(Jan!D17, Feb!D17, Mar!D17)</f>
        <v>67965.45</v>
      </c>
      <c r="E17" s="37">
        <f t="shared" si="3"/>
        <v>-50604.2</v>
      </c>
      <c r="F17" s="38">
        <f t="shared" si="4"/>
        <v>-0.74455771277906646</v>
      </c>
      <c r="G17" s="39">
        <f>SUM(Jan!G17, Feb!G17, Mar!G17)</f>
        <v>71792.88</v>
      </c>
      <c r="H17" s="39">
        <f>SUM(Jan!H17, Feb!H17, Mar!H17)</f>
        <v>-54431.630000000005</v>
      </c>
      <c r="I17" s="38">
        <f t="shared" si="5"/>
        <v>-0.75817588039371042</v>
      </c>
    </row>
    <row r="18" spans="1:9" ht="15.6">
      <c r="A18" s="48"/>
      <c r="B18" s="28" t="str">
        <v>ME</v>
      </c>
      <c r="C18" s="29">
        <f>SUM(Jan!C18, Feb!C18, Mar!C18)</f>
        <v>43920.500000000502</v>
      </c>
      <c r="D18" s="30">
        <f>SUM(Jan!D18, Feb!D18, Mar!D18)</f>
        <v>117363.2</v>
      </c>
      <c r="E18" s="30">
        <f>IF(AND(ISNUMBER(C18),ISNUMBER(D18)), C18-D18, "")</f>
        <v>-73442.699999999488</v>
      </c>
      <c r="F18" s="31">
        <f t="shared" si="4"/>
        <v>-0.62577281464717638</v>
      </c>
      <c r="G18" s="32">
        <f>SUM(Jan!G18, Feb!G18, Mar!G18)</f>
        <v>92011.95</v>
      </c>
      <c r="H18" s="32">
        <f>SUM(Jan!H18, Feb!H18, Mar!H18)</f>
        <v>-48091.449999999495</v>
      </c>
      <c r="I18" s="33">
        <f t="shared" si="5"/>
        <v>-0.52266526250122403</v>
      </c>
    </row>
    <row r="19" spans="1:9" ht="15.6">
      <c r="A19" s="49"/>
      <c r="B19" s="35" t="str">
        <v>CA</v>
      </c>
      <c r="C19" s="36">
        <f>SUM(Jan!C19, Feb!C19, Mar!C19)</f>
        <v>39087.75</v>
      </c>
      <c r="D19" s="37">
        <f>SUM(Jan!D19, Feb!D19, Mar!D19)</f>
        <v>40595.61</v>
      </c>
      <c r="E19" s="37">
        <f>SUM(Jan!E19, Feb!E19, Mar!E19)</f>
        <v>-1507.8600000000006</v>
      </c>
      <c r="F19" s="38">
        <f t="shared" si="4"/>
        <v>-3.7143425114193399E-2</v>
      </c>
      <c r="G19" s="39">
        <f>SUM(Jan!G19, Feb!G19, Mar!G19)</f>
        <v>46950.7</v>
      </c>
      <c r="H19" s="39">
        <f>SUM(Jan!H19, Feb!H19, Mar!H19)</f>
        <v>-7862.9499999999971</v>
      </c>
      <c r="I19" s="38">
        <f t="shared" si="5"/>
        <v>-0.16747247644870039</v>
      </c>
    </row>
    <row r="20" spans="1:9" ht="15.6">
      <c r="A20" s="48"/>
      <c r="B20" s="28" t="str">
        <v>MD</v>
      </c>
      <c r="C20" s="29">
        <f>SUM(Jan!C20, Feb!C20, Mar!C20)</f>
        <v>69879.75</v>
      </c>
      <c r="D20" s="30">
        <f>SUM(Jan!D20, Feb!D20, Mar!D20)</f>
        <v>129411</v>
      </c>
      <c r="E20" s="30">
        <f>SUM(Jan!E20, Feb!E20, Mar!E20)</f>
        <v>-59531.25</v>
      </c>
      <c r="F20" s="31">
        <f t="shared" si="4"/>
        <v>-0.46001692282727125</v>
      </c>
      <c r="G20" s="32">
        <f>SUM(Jan!G20, Feb!G20, Mar!G20)</f>
        <v>120733.1</v>
      </c>
      <c r="H20" s="32">
        <f>SUM(Jan!H20, Feb!H20, Mar!H20)</f>
        <v>-50853.350000000006</v>
      </c>
      <c r="I20" s="33">
        <f t="shared" si="5"/>
        <v>-0.42120470691136069</v>
      </c>
    </row>
    <row r="21" spans="1:9" ht="15.6">
      <c r="A21" s="49"/>
      <c r="B21" s="35" t="str">
        <v>TX</v>
      </c>
      <c r="C21" s="36">
        <f>SUM(Jan!C21, Feb!C21, Mar!C21)</f>
        <v>405586.8</v>
      </c>
      <c r="D21" s="37">
        <f>SUM(Jan!D21, Feb!D21, Mar!D21)</f>
        <v>533953.19999999995</v>
      </c>
      <c r="E21" s="37">
        <f>SUM(Jan!E21, Feb!E21, Mar!E21)</f>
        <v>-128366.39999999997</v>
      </c>
      <c r="F21" s="38">
        <f t="shared" ref="F21:F29" si="6">IFERROR(E21/D21, "")</f>
        <v>-0.24040758628284273</v>
      </c>
      <c r="G21" s="39">
        <f>SUM(Jan!G21, Feb!G21, Mar!G21)</f>
        <v>474899.3</v>
      </c>
      <c r="H21" s="39">
        <f>SUM(Jan!H21, Feb!H21, Mar!H21)</f>
        <v>-69312.5</v>
      </c>
      <c r="I21" s="38">
        <f t="shared" si="5"/>
        <v>-0.14595199445440329</v>
      </c>
    </row>
    <row r="22" spans="1:9" ht="15.6">
      <c r="A22" s="48"/>
      <c r="B22" s="28" t="str">
        <v>NY</v>
      </c>
      <c r="C22" s="29">
        <f>SUM(Jan!C22, Feb!C22, Mar!C22)</f>
        <v>181912.87523197799</v>
      </c>
      <c r="D22" s="30">
        <f>SUM(Jan!D22, Feb!D22, Mar!D22)</f>
        <v>354682</v>
      </c>
      <c r="E22" s="30">
        <f>SUM(Jan!E22, Feb!E22, Mar!E22)</f>
        <v>-172769.12476802201</v>
      </c>
      <c r="F22" s="31">
        <f t="shared" si="6"/>
        <v>-0.48710993162331895</v>
      </c>
      <c r="G22" s="32">
        <f>SUM(Jan!G22, Feb!G22, Mar!G22)</f>
        <v>319694.7</v>
      </c>
      <c r="H22" s="32">
        <f>SUM(Jan!H22, Feb!H22, Mar!H22)</f>
        <v>-137781.82476802202</v>
      </c>
      <c r="I22" s="33">
        <f t="shared" ref="I22:I25" si="7">IFERROR(H22/G22, "")</f>
        <v>-0.43097938366829985</v>
      </c>
    </row>
    <row r="23" spans="1:9" ht="15.6">
      <c r="A23" s="49"/>
      <c r="B23" s="35" t="str">
        <v>CA</v>
      </c>
      <c r="C23" s="36">
        <f>SUM(Jan!C23, Feb!C23, Mar!C23)</f>
        <v>193182.79625000001</v>
      </c>
      <c r="D23" s="37">
        <f>SUM(Jan!D23, Feb!D23, Mar!D23)</f>
        <v>190647.6</v>
      </c>
      <c r="E23" s="37">
        <f>SUM(Jan!E23, Feb!E23, Mar!E23)</f>
        <v>2535.1962500000081</v>
      </c>
      <c r="F23" s="38">
        <f t="shared" si="6"/>
        <v>1.3297813610032374E-2</v>
      </c>
      <c r="G23" s="39">
        <f>SUM(Jan!G23, Feb!G23, Mar!G23)</f>
        <v>178494.4</v>
      </c>
      <c r="H23" s="39">
        <f>SUM(Jan!H23, Feb!H23, Mar!H23)</f>
        <v>14688.39625000002</v>
      </c>
      <c r="I23" s="38">
        <f t="shared" si="7"/>
        <v>8.2290515836911521E-2</v>
      </c>
    </row>
    <row r="24" spans="1:9" ht="15.6">
      <c r="A24" s="48"/>
      <c r="B24" s="28" t="str">
        <v>CA</v>
      </c>
      <c r="C24" s="29">
        <f>SUM(Jan!C24, Feb!C24, Mar!C24)</f>
        <v>0</v>
      </c>
      <c r="D24" s="30">
        <f>SUM(Jan!D24, Feb!D24, Mar!D24)</f>
        <v>0</v>
      </c>
      <c r="E24" s="30">
        <f>SUM(Jan!E24, Feb!E24, Mar!E24)</f>
        <v>0</v>
      </c>
      <c r="F24" s="31" t="str">
        <f t="shared" si="6"/>
        <v/>
      </c>
      <c r="G24" s="32">
        <f>SUM(Jan!G24, Feb!G24, Mar!G24)</f>
        <v>191359</v>
      </c>
      <c r="H24" s="32">
        <f>SUM(Jan!H24, Feb!H24, Mar!H24)</f>
        <v>-191359</v>
      </c>
      <c r="I24" s="33">
        <f t="shared" si="7"/>
        <v>-1</v>
      </c>
    </row>
    <row r="25" spans="1:9" ht="15.6">
      <c r="A25" s="49"/>
      <c r="B25" s="35" t="str">
        <v>NY</v>
      </c>
      <c r="C25" s="36">
        <f>SUM(Jan!C25, Feb!C25, Mar!C25)</f>
        <v>292034</v>
      </c>
      <c r="D25" s="37">
        <f>SUM(Jan!D25, Feb!D25, Mar!D25)</f>
        <v>302017.09999999998</v>
      </c>
      <c r="E25" s="37">
        <f>SUM(Jan!E25, Feb!E25, Mar!E25)</f>
        <v>-9983.0999999999767</v>
      </c>
      <c r="F25" s="38">
        <f t="shared" si="6"/>
        <v>-3.3054750873377628E-2</v>
      </c>
      <c r="G25" s="39">
        <f>SUM(Jan!G25, Feb!G25, Mar!G25)</f>
        <v>416526</v>
      </c>
      <c r="H25" s="39">
        <f>SUM(Jan!H25, Feb!H25, Mar!H25)</f>
        <v>-124492</v>
      </c>
      <c r="I25" s="38">
        <f t="shared" si="7"/>
        <v>-0.29888170246275142</v>
      </c>
    </row>
    <row r="26" spans="1:9" ht="15.6">
      <c r="A26" s="48"/>
      <c r="B26" s="28" t="str">
        <v>NY</v>
      </c>
      <c r="C26" s="29">
        <f>SUM(Jan!C26, Feb!C26, Mar!C26)</f>
        <v>78714</v>
      </c>
      <c r="D26" s="30">
        <f>SUM(Jan!D26, Feb!D26, Mar!D26)</f>
        <v>283027.59999999998</v>
      </c>
      <c r="E26" s="30">
        <f>SUM(Jan!E26, Feb!E26, Mar!E26)</f>
        <v>-204313.59999999998</v>
      </c>
      <c r="F26" s="31">
        <f t="shared" si="6"/>
        <v>-0.72188578075071119</v>
      </c>
      <c r="G26" s="32">
        <f>SUM(Jan!G26, Feb!G26, Mar!G26)</f>
        <v>212141.5</v>
      </c>
      <c r="H26" s="32">
        <f>SUM(Jan!H26, Feb!H26, Mar!H26)</f>
        <v>-133427.5</v>
      </c>
      <c r="I26" s="33">
        <f>IFERROR(H26/G26, "")</f>
        <v>-0.6289552020703163</v>
      </c>
    </row>
    <row r="27" spans="1:9" ht="15.6">
      <c r="A27" s="49"/>
      <c r="B27" s="35" t="str">
        <v>NY</v>
      </c>
      <c r="C27" s="36">
        <f>SUM(Jan!C27, Feb!C27, Mar!C27)</f>
        <v>88859</v>
      </c>
      <c r="D27" s="37">
        <f>SUM(Jan!D27, Feb!D27, Mar!D27)</f>
        <v>219179.9</v>
      </c>
      <c r="E27" s="37">
        <f>SUM(Jan!E27, Feb!E27, Mar!E27)</f>
        <v>-130320.9</v>
      </c>
      <c r="F27" s="38">
        <f t="shared" si="6"/>
        <v>-0.59458417491749926</v>
      </c>
      <c r="G27" s="39">
        <f>SUM(Jan!G27, Feb!G27, Mar!G27)</f>
        <v>200417</v>
      </c>
      <c r="H27" s="39">
        <f>SUM(Jan!H27, Feb!H27, Mar!H27)</f>
        <v>-111558</v>
      </c>
      <c r="I27" s="38">
        <f>IFERROR(H27/G27, "")</f>
        <v>-0.55662942764336354</v>
      </c>
    </row>
    <row r="28" spans="1:9" ht="15.6">
      <c r="A28" s="48"/>
      <c r="B28" s="28" t="str">
        <v>NY</v>
      </c>
      <c r="C28" s="29">
        <f>SUM(Jan!C28, Feb!C28, Mar!C28)</f>
        <v>6569.3012076986497</v>
      </c>
      <c r="D28" s="30">
        <f>SUM(Jan!D28, Feb!D28, Mar!D28)</f>
        <v>12576.65</v>
      </c>
      <c r="E28" s="30">
        <f>SUM(Jan!E28, Feb!E28, Mar!E28)</f>
        <v>-6007.3487923013499</v>
      </c>
      <c r="F28" s="31">
        <f t="shared" si="6"/>
        <v>-0.47765889901534592</v>
      </c>
      <c r="G28" s="32">
        <f>SUM(Jan!G28, Feb!G28, Mar!G28)</f>
        <v>14302.43</v>
      </c>
      <c r="H28" s="32">
        <f>SUM(Jan!H28, Feb!H28, Mar!H28)</f>
        <v>-7733.1287923013506</v>
      </c>
      <c r="I28" s="33">
        <f>IFERROR(H28/G28, "")</f>
        <v>-0.54068635835318546</v>
      </c>
    </row>
    <row r="29" spans="1:9" ht="15.6">
      <c r="A29" s="49"/>
      <c r="B29" s="35" t="str">
        <v>NY</v>
      </c>
      <c r="C29" s="36">
        <f>SUM(Jan!C29, Feb!C29, Mar!C29)</f>
        <v>235366.7</v>
      </c>
      <c r="D29" s="37">
        <f>SUM(Jan!D29, Feb!D29, Mar!D29)</f>
        <v>263835.59999999998</v>
      </c>
      <c r="E29" s="37">
        <f>SUM(Jan!E29, Feb!E29, Mar!E29)</f>
        <v>-28468.899999999965</v>
      </c>
      <c r="F29" s="87">
        <f t="shared" si="6"/>
        <v>-0.10790393714873947</v>
      </c>
      <c r="G29" s="55">
        <f>SUM(Jan!G29, Feb!G29, Mar!G29)</f>
        <v>353688</v>
      </c>
      <c r="H29" s="55">
        <f>SUM(Jan!H29, Feb!H29, Mar!H29)</f>
        <v>-118321.29999999999</v>
      </c>
      <c r="I29" s="87">
        <f>IFERROR(H29/G29, "")</f>
        <v>-0.33453580556874984</v>
      </c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  <row r="323" spans="1:9" ht="13.9">
      <c r="A323" s="9"/>
      <c r="B323" s="9"/>
      <c r="C323" s="9"/>
      <c r="D323" s="9"/>
      <c r="E323" s="9"/>
      <c r="F323" s="10"/>
      <c r="G323" s="9"/>
      <c r="H323" s="9"/>
      <c r="I323" s="10"/>
    </row>
    <row r="324" spans="1:9" ht="13.9">
      <c r="A324" s="9"/>
      <c r="B324" s="9"/>
      <c r="C324" s="9"/>
      <c r="D324" s="9"/>
      <c r="E324" s="9"/>
      <c r="F324" s="10"/>
      <c r="G324" s="9"/>
      <c r="H324" s="9"/>
      <c r="I324" s="10"/>
    </row>
    <row r="325" spans="1:9" ht="13.9">
      <c r="A325" s="9"/>
      <c r="B325" s="9"/>
      <c r="C325" s="9"/>
      <c r="D325" s="9"/>
      <c r="E325" s="9"/>
      <c r="F325" s="10"/>
      <c r="G325" s="9"/>
      <c r="H325" s="9"/>
      <c r="I325" s="10"/>
    </row>
    <row r="326" spans="1:9" ht="13.9">
      <c r="A326" s="9"/>
      <c r="B326" s="9"/>
      <c r="C326" s="9"/>
      <c r="D326" s="9"/>
      <c r="E326" s="9"/>
      <c r="F326" s="10"/>
      <c r="G326" s="9"/>
      <c r="H326" s="9"/>
      <c r="I326" s="10"/>
    </row>
    <row r="327" spans="1:9" ht="13.9">
      <c r="A327" s="9"/>
      <c r="B327" s="9"/>
      <c r="C327" s="9"/>
      <c r="D327" s="9"/>
      <c r="E327" s="9"/>
      <c r="F327" s="10"/>
      <c r="G327" s="9"/>
      <c r="H327" s="9"/>
      <c r="I327" s="10"/>
    </row>
    <row r="328" spans="1:9" ht="13.9">
      <c r="A328" s="9"/>
      <c r="B328" s="9"/>
      <c r="C328" s="9"/>
      <c r="D328" s="9"/>
      <c r="E328" s="9"/>
      <c r="F328" s="10"/>
      <c r="G328" s="9"/>
      <c r="H328" s="9"/>
      <c r="I328" s="10"/>
    </row>
    <row r="329" spans="1:9" ht="13.9">
      <c r="A329" s="9"/>
      <c r="B329" s="9"/>
      <c r="C329" s="9"/>
      <c r="D329" s="9"/>
      <c r="E329" s="9"/>
      <c r="F329" s="10"/>
      <c r="G329" s="9"/>
      <c r="H329" s="9"/>
      <c r="I329" s="10"/>
    </row>
    <row r="330" spans="1:9" ht="13.9">
      <c r="A330" s="9"/>
      <c r="B330" s="9"/>
      <c r="C330" s="9"/>
      <c r="D330" s="9"/>
      <c r="E330" s="9"/>
      <c r="F330" s="10"/>
      <c r="G330" s="9"/>
      <c r="H330" s="9"/>
      <c r="I330" s="10"/>
    </row>
    <row r="331" spans="1:9" ht="13.9">
      <c r="A331" s="9"/>
      <c r="B331" s="9"/>
      <c r="C331" s="9"/>
      <c r="D331" s="9"/>
      <c r="E331" s="9"/>
      <c r="F331" s="10"/>
      <c r="G331" s="9"/>
      <c r="H331" s="9"/>
      <c r="I331" s="10"/>
    </row>
    <row r="332" spans="1:9" ht="13.9">
      <c r="A332" s="9"/>
      <c r="B332" s="9"/>
      <c r="C332" s="9"/>
      <c r="D332" s="9"/>
      <c r="E332" s="9"/>
      <c r="F332" s="10"/>
      <c r="G332" s="9"/>
      <c r="H332" s="9"/>
      <c r="I332" s="10"/>
    </row>
    <row r="333" spans="1:9" ht="13.9">
      <c r="A333" s="9"/>
      <c r="B333" s="9"/>
      <c r="C333" s="9"/>
      <c r="D333" s="9"/>
      <c r="E333" s="9"/>
      <c r="F333" s="10"/>
      <c r="G333" s="9"/>
      <c r="H333" s="9"/>
      <c r="I333" s="10"/>
    </row>
    <row r="334" spans="1:9" ht="13.9">
      <c r="A334" s="9"/>
      <c r="B334" s="9"/>
      <c r="C334" s="9"/>
      <c r="D334" s="9"/>
      <c r="E334" s="9"/>
      <c r="F334" s="10"/>
      <c r="G334" s="9"/>
      <c r="H334" s="9"/>
      <c r="I334" s="1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4"/>
  <sheetViews>
    <sheetView workbookViewId="0">
      <pane xSplit="2" ySplit="3" topLeftCell="C4" activePane="bottomRight" state="frozen"/>
      <selection pane="bottomRight" activeCell="I29" sqref="I29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100" t="str" cm="1">
        <f t="array" ref="A1">portfolio</f>
        <v>Catalyze</v>
      </c>
      <c r="B1" s="100"/>
      <c r="C1" s="100"/>
      <c r="D1" s="101" t="s">
        <v>13</v>
      </c>
      <c r="E1" s="101"/>
      <c r="F1" s="101"/>
      <c r="G1" s="99" t="s">
        <v>14</v>
      </c>
      <c r="H1" s="99"/>
      <c r="I1" s="99"/>
    </row>
    <row r="2" spans="1:9" ht="19.5" customHeight="1">
      <c r="A2" s="102" t="s">
        <v>2</v>
      </c>
      <c r="B2" s="10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29">Sites[Site]</f>
        <v>Fresno - 3150 Shaw Ave</v>
      </c>
      <c r="B4" s="28" t="str" cm="1">
        <f t="array" ref="B4:B29">Sites[State]</f>
        <v>CA</v>
      </c>
      <c r="C4" s="29">
        <f>SUM(Apr!C4, May!C4, Jun!C4)</f>
        <v>0</v>
      </c>
      <c r="D4" s="30">
        <f>SUM(Apr!D4, May!D4, Jun!D4)</f>
        <v>0</v>
      </c>
      <c r="E4" s="30">
        <f>IF(AND(ISNUMBER(C4),ISNUMBER(D4)), C4-D4, "")</f>
        <v>0</v>
      </c>
      <c r="F4" s="31" t="str">
        <f>IFERROR(E4/D4, "")</f>
        <v/>
      </c>
      <c r="G4" s="32">
        <f>SUM(Apr!G4+May!G4+Jun!G4)</f>
        <v>0</v>
      </c>
      <c r="H4" s="32">
        <f>SUM(Apr!H4, May!H4, Jun!H4)</f>
        <v>0</v>
      </c>
      <c r="I4" s="33" t="str">
        <f>IFERROR(H4/G4, "")</f>
        <v/>
      </c>
    </row>
    <row r="5" spans="1:9" ht="15.6">
      <c r="A5" s="49" t="str">
        <v>Adelanto - 1 Sheep Creek Road</v>
      </c>
      <c r="B5" s="35" t="str">
        <v>CA</v>
      </c>
      <c r="C5" s="36">
        <f>SUM(Apr!C5, May!C5, Jun!C5)</f>
        <v>0</v>
      </c>
      <c r="D5" s="37">
        <f>SUM(Apr!D5, May!D5, Jun!D5)</f>
        <v>0</v>
      </c>
      <c r="E5" s="37">
        <f t="shared" ref="E5:E15" si="0">IF(AND(ISNUMBER(C5),ISNUMBER(D5)), C5-D5, "")</f>
        <v>0</v>
      </c>
      <c r="F5" s="38" t="str">
        <f>IFERROR(E5/D5, "")</f>
        <v/>
      </c>
      <c r="G5" s="39">
        <f>SUM(Apr!G5+May!G5+Jun!G5)</f>
        <v>0</v>
      </c>
      <c r="H5" s="39">
        <f>SUM(Apr!H5, May!H5, Jun!H5)</f>
        <v>0</v>
      </c>
      <c r="I5" s="38" t="str">
        <f>IFERROR(H5/G5, "")</f>
        <v/>
      </c>
    </row>
    <row r="6" spans="1:9" ht="15.6">
      <c r="A6" s="48" t="str">
        <v>Blackstone - 83 Federal Street</v>
      </c>
      <c r="B6" s="28" t="str">
        <v>MA</v>
      </c>
      <c r="C6" s="29">
        <f>SUM(Apr!C6, May!C6, Jun!C6)</f>
        <v>0</v>
      </c>
      <c r="D6" s="30">
        <f>SUM(Apr!D6, May!D6, Jun!D6)</f>
        <v>0</v>
      </c>
      <c r="E6" s="30">
        <f t="shared" si="0"/>
        <v>0</v>
      </c>
      <c r="F6" s="31" t="str">
        <f t="shared" ref="F6:F29" si="1">IFERROR(E6/D6, "")</f>
        <v/>
      </c>
      <c r="G6" s="32">
        <f>SUM(Apr!G6+May!G6+Jun!G6)</f>
        <v>0</v>
      </c>
      <c r="H6" s="32">
        <f>SUM(Apr!H6, May!H6, Jun!H6)</f>
        <v>0</v>
      </c>
      <c r="I6" s="33" t="str">
        <f t="shared" ref="I6:I29" si="2">IFERROR(H6/G6, "")</f>
        <v/>
      </c>
    </row>
    <row r="7" spans="1:9" ht="15.6">
      <c r="A7" s="49" t="str">
        <v>Charlton - 299 Worcester Road</v>
      </c>
      <c r="B7" s="35" t="str">
        <v>MA</v>
      </c>
      <c r="C7" s="36">
        <f>SUM(Apr!C7, May!C7, Jun!C7)</f>
        <v>0</v>
      </c>
      <c r="D7" s="37">
        <f>SUM(Apr!D7, May!D7, Jun!D7)</f>
        <v>0</v>
      </c>
      <c r="E7" s="37">
        <f t="shared" si="0"/>
        <v>0</v>
      </c>
      <c r="F7" s="38" t="str">
        <f t="shared" si="1"/>
        <v/>
      </c>
      <c r="G7" s="39">
        <f>SUM(Apr!G7+May!G7+Jun!G7)</f>
        <v>0</v>
      </c>
      <c r="H7" s="39">
        <f>SUM(Apr!H7, May!H7, Jun!H7)</f>
        <v>0</v>
      </c>
      <c r="I7" s="38" t="str">
        <f t="shared" si="2"/>
        <v/>
      </c>
    </row>
    <row r="8" spans="1:9" ht="15.6">
      <c r="A8" s="48" t="str">
        <v>Wareham - 8 Thatcher Drive</v>
      </c>
      <c r="B8" s="28" t="str">
        <v>MA</v>
      </c>
      <c r="C8" s="29">
        <f>SUM(Apr!C8, May!C8, Jun!C8)</f>
        <v>0</v>
      </c>
      <c r="D8" s="30">
        <f>SUM(Apr!D8, May!D8, Jun!D8)</f>
        <v>0</v>
      </c>
      <c r="E8" s="30">
        <f t="shared" si="0"/>
        <v>0</v>
      </c>
      <c r="F8" s="31" t="str">
        <f t="shared" si="1"/>
        <v/>
      </c>
      <c r="G8" s="32">
        <f>SUM(Apr!G8+May!G8+Jun!G8)</f>
        <v>0</v>
      </c>
      <c r="H8" s="32">
        <f>SUM(Apr!H8, May!H8, Jun!H8)</f>
        <v>0</v>
      </c>
      <c r="I8" s="33" t="str">
        <f t="shared" si="2"/>
        <v/>
      </c>
    </row>
    <row r="9" spans="1:9" ht="15.6">
      <c r="A9" s="49" t="str">
        <v>West Yarmouth - 42 Mid Tech</v>
      </c>
      <c r="B9" s="35" t="str">
        <v>MA</v>
      </c>
      <c r="C9" s="36">
        <f>SUM(Apr!C9, May!C9, Jun!C9)</f>
        <v>0</v>
      </c>
      <c r="D9" s="37">
        <f>SUM(Apr!D9, May!D9, Jun!D9)</f>
        <v>0</v>
      </c>
      <c r="E9" s="37">
        <f t="shared" si="0"/>
        <v>0</v>
      </c>
      <c r="F9" s="38" t="str">
        <f t="shared" si="1"/>
        <v/>
      </c>
      <c r="G9" s="39">
        <f>SUM(Apr!G9+May!G9+Jun!G9)</f>
        <v>0</v>
      </c>
      <c r="H9" s="39">
        <f>SUM(Apr!H9, May!H9, Jun!H9)</f>
        <v>0</v>
      </c>
      <c r="I9" s="38" t="str">
        <f t="shared" si="2"/>
        <v/>
      </c>
    </row>
    <row r="10" spans="1:9" ht="15.6">
      <c r="A10" s="48" t="str">
        <v>Harrison - 130 Union Street</v>
      </c>
      <c r="B10" s="28" t="str">
        <v>NY</v>
      </c>
      <c r="C10" s="29">
        <f>SUM(Apr!C10, May!C10, Jun!C10)</f>
        <v>0</v>
      </c>
      <c r="D10" s="30">
        <f>SUM(Apr!D10, May!D10, Jun!D10)</f>
        <v>0</v>
      </c>
      <c r="E10" s="30">
        <f t="shared" si="0"/>
        <v>0</v>
      </c>
      <c r="F10" s="31" t="str">
        <f t="shared" si="1"/>
        <v/>
      </c>
      <c r="G10" s="32">
        <f>SUM(Apr!G10+May!G10+Jun!G10)</f>
        <v>0</v>
      </c>
      <c r="H10" s="32">
        <f>SUM(Apr!H10, May!H10, Jun!H10)</f>
        <v>0</v>
      </c>
      <c r="I10" s="33" t="str">
        <f t="shared" si="2"/>
        <v/>
      </c>
    </row>
    <row r="11" spans="1:9" ht="15.6">
      <c r="A11" s="49" t="str">
        <v>Staten Island - Ellis Storage</v>
      </c>
      <c r="B11" s="35" t="str">
        <v>NY</v>
      </c>
      <c r="C11" s="36">
        <f>SUM(Apr!C11, May!C11, Jun!C11)</f>
        <v>0</v>
      </c>
      <c r="D11" s="37">
        <f>SUM(Apr!D11, May!D11, Jun!D11)</f>
        <v>0</v>
      </c>
      <c r="E11" s="37">
        <f t="shared" si="0"/>
        <v>0</v>
      </c>
      <c r="F11" s="38" t="str">
        <f t="shared" si="1"/>
        <v/>
      </c>
      <c r="G11" s="39">
        <f>SUM(Apr!G11+May!G11+Jun!G11)</f>
        <v>0</v>
      </c>
      <c r="H11" s="39">
        <f>SUM(Apr!H11, May!H11, Jun!H11)</f>
        <v>0</v>
      </c>
      <c r="I11" s="38" t="str">
        <f t="shared" si="2"/>
        <v/>
      </c>
    </row>
    <row r="12" spans="1:9" ht="15.6">
      <c r="A12" s="48" t="str">
        <v>Amherst - 595 Schoelles Road</v>
      </c>
      <c r="B12" s="28" t="str">
        <v>NY</v>
      </c>
      <c r="C12" s="29">
        <f>SUM(Apr!C12, May!C12, Jun!C12)</f>
        <v>0</v>
      </c>
      <c r="D12" s="30">
        <f>SUM(Apr!D12, May!D12, Jun!D12)</f>
        <v>0</v>
      </c>
      <c r="E12" s="30">
        <f t="shared" si="0"/>
        <v>0</v>
      </c>
      <c r="F12" s="31" t="str">
        <f t="shared" si="1"/>
        <v/>
      </c>
      <c r="G12" s="32">
        <f>SUM(Apr!G12+May!G12+Jun!G12)</f>
        <v>0</v>
      </c>
      <c r="H12" s="32">
        <f>SUM(Apr!H12, May!H12, Jun!H12)</f>
        <v>0</v>
      </c>
      <c r="I12" s="33" t="str">
        <f t="shared" si="2"/>
        <v/>
      </c>
    </row>
    <row r="13" spans="1:9" ht="15.6">
      <c r="A13" s="49" t="str">
        <v>Lancaster 1 - Gunnville Road</v>
      </c>
      <c r="B13" s="35" t="str">
        <v>NY</v>
      </c>
      <c r="C13" s="36">
        <f>SUM(Apr!C13, May!C13, Jun!C13)</f>
        <v>0</v>
      </c>
      <c r="D13" s="37">
        <f>SUM(Apr!D13, May!D13, Jun!D13)</f>
        <v>0</v>
      </c>
      <c r="E13" s="37">
        <f t="shared" si="0"/>
        <v>0</v>
      </c>
      <c r="F13" s="38" t="str">
        <f t="shared" si="1"/>
        <v/>
      </c>
      <c r="G13" s="39">
        <f>SUM(Apr!G13+May!G13+Jun!G13)</f>
        <v>0</v>
      </c>
      <c r="H13" s="39">
        <f>SUM(Apr!H13, May!H13, Jun!H13)</f>
        <v>0</v>
      </c>
      <c r="I13" s="38" t="str">
        <f t="shared" si="2"/>
        <v/>
      </c>
    </row>
    <row r="14" spans="1:9" ht="15.6">
      <c r="A14" s="48" t="str">
        <v>Lancaster 2 - Shisler Road</v>
      </c>
      <c r="B14" s="28" t="str">
        <v>NY</v>
      </c>
      <c r="C14" s="29">
        <f>SUM(Apr!C14, May!C14, Jun!C14)</f>
        <v>0</v>
      </c>
      <c r="D14" s="30">
        <f>SUM(Apr!D14, May!D14, Jun!D14)</f>
        <v>0</v>
      </c>
      <c r="E14" s="30">
        <f t="shared" si="0"/>
        <v>0</v>
      </c>
      <c r="F14" s="31" t="str">
        <f t="shared" si="1"/>
        <v/>
      </c>
      <c r="G14" s="32">
        <f>SUM(Apr!G14+May!G14+Jun!G14)</f>
        <v>0</v>
      </c>
      <c r="H14" s="32">
        <f>SUM(Apr!H14, May!H14, Jun!H14)</f>
        <v>0</v>
      </c>
      <c r="I14" s="33" t="str">
        <f t="shared" si="2"/>
        <v/>
      </c>
    </row>
    <row r="15" spans="1:9" ht="15.6">
      <c r="A15" s="49" t="str">
        <v>Fullerton - 200 W Orangethorpe</v>
      </c>
      <c r="B15" s="35" t="str">
        <v>CA</v>
      </c>
      <c r="C15" s="36">
        <f>SUM(Apr!C15, May!C15, Jun!C15)</f>
        <v>0</v>
      </c>
      <c r="D15" s="37">
        <f>SUM(Apr!D15, May!D15, Jun!D15)</f>
        <v>0</v>
      </c>
      <c r="E15" s="37">
        <f t="shared" si="0"/>
        <v>0</v>
      </c>
      <c r="F15" s="38" t="str">
        <f t="shared" si="1"/>
        <v/>
      </c>
      <c r="G15" s="39">
        <f>SUM(Apr!G15+May!G15+Jun!G15)</f>
        <v>0</v>
      </c>
      <c r="H15" s="39">
        <f>SUM(Apr!H15, May!H15, Jun!H15)</f>
        <v>0</v>
      </c>
      <c r="I15" s="38" t="str">
        <f t="shared" si="2"/>
        <v/>
      </c>
    </row>
    <row r="16" spans="1:9" ht="15.6">
      <c r="A16" s="48" t="str">
        <v>El Paso - 10500 Railroad Drive</v>
      </c>
      <c r="B16" s="28" t="str">
        <v>TX</v>
      </c>
      <c r="C16" s="29">
        <f>SUM(Apr!C16, May!C16, Jun!C16)</f>
        <v>0</v>
      </c>
      <c r="D16" s="30">
        <f>SUM(Apr!D16, May!D16, Jun!D16)</f>
        <v>0</v>
      </c>
      <c r="E16" s="30">
        <f t="shared" ref="E16:E21" si="3">IF(AND(ISNUMBER(C16),ISNUMBER(D16)), C16-D16, "")</f>
        <v>0</v>
      </c>
      <c r="F16" s="31" t="str">
        <f t="shared" si="1"/>
        <v/>
      </c>
      <c r="G16" s="32">
        <f>SUM(Apr!G16+May!G16+Jun!G16)</f>
        <v>0</v>
      </c>
      <c r="H16" s="32">
        <f>SUM(Apr!H16, May!H16, Jun!H16)</f>
        <v>0</v>
      </c>
      <c r="I16" s="33" t="str">
        <f>IFERROR(H16/G16, "")</f>
        <v/>
      </c>
    </row>
    <row r="17" spans="1:9" ht="15.6">
      <c r="A17" s="49" t="str">
        <v>Friona - 900 Millard Ave</v>
      </c>
      <c r="B17" s="35" t="str">
        <v>TX</v>
      </c>
      <c r="C17" s="36">
        <f>SUM(Apr!C17, May!C17, Jun!C17)</f>
        <v>0</v>
      </c>
      <c r="D17" s="37">
        <f>SUM(Apr!D17, May!D17, Jun!D17)</f>
        <v>0</v>
      </c>
      <c r="E17" s="37">
        <f t="shared" si="3"/>
        <v>0</v>
      </c>
      <c r="F17" s="38" t="str">
        <f t="shared" si="1"/>
        <v/>
      </c>
      <c r="G17" s="39">
        <f>SUM(Apr!G17+May!G17+Jun!G17)</f>
        <v>0</v>
      </c>
      <c r="H17" s="39">
        <f>SUM(Apr!H17, May!H17, Jun!H17)</f>
        <v>0</v>
      </c>
      <c r="I17" s="38" t="str">
        <f t="shared" si="2"/>
        <v/>
      </c>
    </row>
    <row r="18" spans="1:9" ht="15.6">
      <c r="A18" s="48" t="str">
        <v>Augusta - 13 York Farm Road</v>
      </c>
      <c r="B18" s="28" t="str">
        <v>ME</v>
      </c>
      <c r="C18" s="29">
        <f>SUM(Apr!C18, May!C18, Jun!C18)</f>
        <v>0</v>
      </c>
      <c r="D18" s="30">
        <f>SUM(Apr!D18, May!D18, Jun!D18)</f>
        <v>0</v>
      </c>
      <c r="E18" s="30">
        <f t="shared" si="3"/>
        <v>0</v>
      </c>
      <c r="F18" s="31" t="str">
        <f t="shared" si="1"/>
        <v/>
      </c>
      <c r="G18" s="32">
        <f>SUM(Apr!G18+May!G18+Jun!G18)</f>
        <v>0</v>
      </c>
      <c r="H18" s="32">
        <f>SUM(Apr!H18, May!H18, Jun!H18)</f>
        <v>0</v>
      </c>
      <c r="I18" s="33" t="str">
        <f t="shared" si="2"/>
        <v/>
      </c>
    </row>
    <row r="19" spans="1:9" ht="15.6">
      <c r="A19" s="49" t="str">
        <v xml:space="preserve">Santa Ana - 1441 West </v>
      </c>
      <c r="B19" s="35" t="str">
        <v>CA</v>
      </c>
      <c r="C19" s="36">
        <f>SUM(Apr!C19, May!C19, Jun!C19)</f>
        <v>0</v>
      </c>
      <c r="D19" s="37">
        <f>SUM(Apr!D19, May!D19, Jun!D19)</f>
        <v>0</v>
      </c>
      <c r="E19" s="37">
        <f t="shared" si="3"/>
        <v>0</v>
      </c>
      <c r="F19" s="38" t="str">
        <f t="shared" si="1"/>
        <v/>
      </c>
      <c r="G19" s="39">
        <f>SUM(Apr!G19+May!G19+Jun!G19)</f>
        <v>0</v>
      </c>
      <c r="H19" s="39">
        <f>SUM(Apr!H19, May!H19, Jun!H19)</f>
        <v>0</v>
      </c>
      <c r="I19" s="38" t="str">
        <f t="shared" si="2"/>
        <v/>
      </c>
    </row>
    <row r="20" spans="1:9" ht="15.6">
      <c r="A20" s="48" t="str">
        <v>Jessup -7950 Oceano Ave</v>
      </c>
      <c r="B20" s="28" t="str">
        <v>MD</v>
      </c>
      <c r="C20" s="29">
        <f>SUM(Apr!C20, May!C20, Jun!C20)</f>
        <v>0</v>
      </c>
      <c r="D20" s="30">
        <f>SUM(Apr!D20, May!D20, Jun!D20)</f>
        <v>0</v>
      </c>
      <c r="E20" s="30">
        <f t="shared" si="3"/>
        <v>0</v>
      </c>
      <c r="F20" s="31" t="str">
        <f t="shared" si="1"/>
        <v/>
      </c>
      <c r="G20" s="32">
        <f>SUM(Apr!G20+May!G20+Jun!G20)</f>
        <v>0</v>
      </c>
      <c r="H20" s="32">
        <f>SUM(Apr!H20, May!H20, Jun!H20)</f>
        <v>0</v>
      </c>
      <c r="I20" s="33" t="str">
        <f t="shared" si="2"/>
        <v/>
      </c>
    </row>
    <row r="21" spans="1:9" ht="15.6">
      <c r="A21" s="49" t="str">
        <v xml:space="preserve">TX: Fort Worth - 5200 Gold Spike Dr </v>
      </c>
      <c r="B21" s="35" t="str">
        <v>TX</v>
      </c>
      <c r="C21" s="36">
        <f>SUM(Apr!C21, May!C21, Jun!C21)</f>
        <v>0</v>
      </c>
      <c r="D21" s="37">
        <f>SUM(Apr!D21, May!D21, Jun!D21)</f>
        <v>0</v>
      </c>
      <c r="E21" s="37">
        <f t="shared" si="3"/>
        <v>0</v>
      </c>
      <c r="F21" s="38" t="str">
        <f t="shared" si="1"/>
        <v/>
      </c>
      <c r="G21" s="39">
        <f>SUM(Apr!G21+May!G21+Jun!G21)</f>
        <v>0</v>
      </c>
      <c r="H21" s="39">
        <f>SUM(Apr!H21, May!H21, Jun!H21)</f>
        <v>0</v>
      </c>
      <c r="I21" s="38" t="str">
        <f t="shared" si="2"/>
        <v/>
      </c>
    </row>
    <row r="22" spans="1:9" ht="15.6">
      <c r="A22" s="48" t="str">
        <v>NY: Clifton Springs - Ontario 2 (21597)</v>
      </c>
      <c r="B22" s="28" t="str">
        <v>NY</v>
      </c>
      <c r="C22" s="29">
        <f>SUM(Apr!C22, May!C22, Jun!C22)</f>
        <v>0</v>
      </c>
      <c r="D22" s="30">
        <f>SUM(Apr!D22, May!D22, Jun!D22)</f>
        <v>0</v>
      </c>
      <c r="E22" s="30">
        <f t="shared" ref="E22:E25" si="4">IF(AND(ISNUMBER(C22),ISNUMBER(D22)), C22-D22, "")</f>
        <v>0</v>
      </c>
      <c r="F22" s="31" t="str">
        <f t="shared" si="1"/>
        <v/>
      </c>
      <c r="G22" s="32">
        <f>SUM(Apr!G22+May!G22+Jun!G22)</f>
        <v>0</v>
      </c>
      <c r="H22" s="32">
        <f>SUM(Apr!H22, May!H22, Jun!H22)</f>
        <v>0</v>
      </c>
      <c r="I22" s="33" t="str">
        <f t="shared" si="2"/>
        <v/>
      </c>
    </row>
    <row r="23" spans="1:9" ht="15.6">
      <c r="A23" s="49" t="str">
        <v>CA: Oxnard - 2600 Sakioka - System A</v>
      </c>
      <c r="B23" s="35" t="str">
        <v>CA</v>
      </c>
      <c r="C23" s="36">
        <f>SUM(Apr!C23, May!C23, Jun!C23)</f>
        <v>0</v>
      </c>
      <c r="D23" s="37">
        <f>SUM(Apr!D23, May!D23, Jun!D23)</f>
        <v>0</v>
      </c>
      <c r="E23" s="37">
        <f t="shared" si="4"/>
        <v>0</v>
      </c>
      <c r="F23" s="38" t="str">
        <f t="shared" si="1"/>
        <v/>
      </c>
      <c r="G23" s="39">
        <f>SUM(Apr!G23+May!G23+Jun!G23)</f>
        <v>0</v>
      </c>
      <c r="H23" s="39">
        <f>SUM(Apr!H23, May!H23, Jun!H23)</f>
        <v>0</v>
      </c>
      <c r="I23" s="38" t="str">
        <f t="shared" si="2"/>
        <v/>
      </c>
    </row>
    <row r="24" spans="1:9" ht="15.6">
      <c r="A24" s="48" t="str">
        <v>CA: Oxnard - 2600 Sakioka - System B</v>
      </c>
      <c r="B24" s="28" t="str">
        <v>CA</v>
      </c>
      <c r="C24" s="29">
        <f>SUM(Apr!C24, May!C24, Jun!C24)</f>
        <v>0</v>
      </c>
      <c r="D24" s="30">
        <f>SUM(Apr!D24, May!D24, Jun!D24)</f>
        <v>0</v>
      </c>
      <c r="E24" s="30">
        <f t="shared" si="4"/>
        <v>0</v>
      </c>
      <c r="F24" s="31" t="str">
        <f t="shared" si="1"/>
        <v/>
      </c>
      <c r="G24" s="32">
        <f>SUM(Apr!G24+May!G24+Jun!G24)</f>
        <v>0</v>
      </c>
      <c r="H24" s="32">
        <f>SUM(Apr!H24, May!H24, Jun!H24)</f>
        <v>0</v>
      </c>
      <c r="I24" s="33" t="str">
        <f t="shared" si="2"/>
        <v/>
      </c>
    </row>
    <row r="25" spans="1:9" ht="15.6">
      <c r="A25" s="49" t="str">
        <v>NY: Fonda - Montgomery 1 (21601)</v>
      </c>
      <c r="B25" s="35" t="str">
        <v>NY</v>
      </c>
      <c r="C25" s="36">
        <f>SUM(Apr!C25, May!C25, Jun!C25)</f>
        <v>0</v>
      </c>
      <c r="D25" s="37">
        <f>SUM(Apr!D25, May!D25, Jun!D25)</f>
        <v>0</v>
      </c>
      <c r="E25" s="37">
        <f t="shared" si="4"/>
        <v>0</v>
      </c>
      <c r="F25" s="38" t="str">
        <f t="shared" si="1"/>
        <v/>
      </c>
      <c r="G25" s="39">
        <f>SUM(Apr!G25+May!G25+Jun!G25)</f>
        <v>0</v>
      </c>
      <c r="H25" s="39">
        <f>SUM(Apr!H25, May!H25, Jun!H25)</f>
        <v>0</v>
      </c>
      <c r="I25" s="38" t="str">
        <f t="shared" si="2"/>
        <v/>
      </c>
    </row>
    <row r="26" spans="1:9" ht="15.6">
      <c r="A26" s="48" t="str">
        <v>NY: Evans - SL Evans Array 1 (21106) - (PW)</v>
      </c>
      <c r="B26" s="28" t="str">
        <v>NY</v>
      </c>
      <c r="C26" s="29">
        <f>SUM(Apr!C26, May!C26, Jun!C26)</f>
        <v>0</v>
      </c>
      <c r="D26" s="30">
        <f>SUM(Apr!D26, May!D26, Jun!D26)</f>
        <v>0</v>
      </c>
      <c r="E26" s="30">
        <f t="shared" ref="E26:E29" si="5">IF(AND(ISNUMBER(C26),ISNUMBER(D26)), C26-D26, "")</f>
        <v>0</v>
      </c>
      <c r="F26" s="31" t="str">
        <f t="shared" si="1"/>
        <v/>
      </c>
      <c r="G26" s="32">
        <f>SUM(Apr!G26+May!G26+Jun!G26)</f>
        <v>0</v>
      </c>
      <c r="H26" s="32">
        <f>SUM(Apr!H26, May!H26, Jun!H26)</f>
        <v>0</v>
      </c>
      <c r="I26" s="33" t="str">
        <f t="shared" si="2"/>
        <v/>
      </c>
    </row>
    <row r="27" spans="1:9" ht="15.6">
      <c r="A27" s="49" t="str">
        <v>NY: Evans - SL Evans Array 2 (21107) - (PW)</v>
      </c>
      <c r="B27" s="35" t="str">
        <v>NY</v>
      </c>
      <c r="C27" s="36">
        <f>SUM(Apr!C27, May!C27, Jun!C27)</f>
        <v>0</v>
      </c>
      <c r="D27" s="37">
        <f>SUM(Apr!D27, May!D27, Jun!D27)</f>
        <v>0</v>
      </c>
      <c r="E27" s="37">
        <f t="shared" si="5"/>
        <v>0</v>
      </c>
      <c r="F27" s="38" t="str">
        <f t="shared" si="1"/>
        <v/>
      </c>
      <c r="G27" s="39">
        <f>SUM(Apr!G27+May!G27+Jun!G27)</f>
        <v>0</v>
      </c>
      <c r="H27" s="39">
        <f>SUM(Apr!H27, May!H27, Jun!H27)</f>
        <v>0</v>
      </c>
      <c r="I27" s="38" t="str">
        <f t="shared" si="2"/>
        <v/>
      </c>
    </row>
    <row r="28" spans="1:9" ht="15.6">
      <c r="A28" s="48" t="str">
        <v>NY: Flushing - 131-21 14th Ave</v>
      </c>
      <c r="B28" s="28" t="str">
        <v>NY</v>
      </c>
      <c r="C28" s="29">
        <f>SUM(Apr!C28, May!C28, Jun!C28)</f>
        <v>0</v>
      </c>
      <c r="D28" s="30">
        <f>SUM(Apr!D28, May!D28, Jun!D28)</f>
        <v>0</v>
      </c>
      <c r="E28" s="30">
        <f t="shared" si="5"/>
        <v>0</v>
      </c>
      <c r="F28" s="31" t="str">
        <f t="shared" si="1"/>
        <v/>
      </c>
      <c r="G28" s="32">
        <f>SUM(Apr!G28+May!G28+Jun!G28)</f>
        <v>0</v>
      </c>
      <c r="H28" s="32">
        <f>SUM(Apr!H28, May!H28, Jun!H28)</f>
        <v>0</v>
      </c>
      <c r="I28" s="33" t="str">
        <f t="shared" si="2"/>
        <v/>
      </c>
    </row>
    <row r="29" spans="1:9" ht="15.6">
      <c r="A29" s="49" t="str">
        <v>NY: Binghamton - Airport Rd (18878) - (PW)</v>
      </c>
      <c r="B29" s="35" t="str">
        <v>NY</v>
      </c>
      <c r="C29" s="36">
        <f>SUM(Apr!C29, May!C29, Jun!C29)</f>
        <v>0</v>
      </c>
      <c r="D29" s="37">
        <f>SUM(Apr!D29, May!D29, Jun!D29)</f>
        <v>0</v>
      </c>
      <c r="E29" s="37">
        <f t="shared" si="5"/>
        <v>0</v>
      </c>
      <c r="F29" s="38" t="str">
        <f t="shared" si="1"/>
        <v/>
      </c>
      <c r="G29" s="39">
        <f>SUM(Apr!G29+May!G29+Jun!G29)</f>
        <v>0</v>
      </c>
      <c r="H29" s="39">
        <f>SUM(Apr!H29, May!H29, Jun!H29)</f>
        <v>0</v>
      </c>
      <c r="I29" s="38" t="str">
        <f t="shared" si="2"/>
        <v/>
      </c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  <row r="323" spans="1:9" ht="13.9">
      <c r="A323" s="9"/>
      <c r="B323" s="9"/>
      <c r="C323" s="9"/>
      <c r="D323" s="9"/>
      <c r="E323" s="9"/>
      <c r="F323" s="10"/>
      <c r="G323" s="9"/>
      <c r="H323" s="9"/>
      <c r="I323" s="10"/>
    </row>
    <row r="324" spans="1:9" ht="13.9">
      <c r="A324" s="9"/>
      <c r="B324" s="9"/>
      <c r="C324" s="9"/>
      <c r="D324" s="9"/>
      <c r="E324" s="9"/>
      <c r="F324" s="10"/>
      <c r="G324" s="9"/>
      <c r="H324" s="9"/>
      <c r="I324" s="10"/>
    </row>
    <row r="325" spans="1:9" ht="13.9">
      <c r="A325" s="9"/>
      <c r="B325" s="9"/>
      <c r="C325" s="9"/>
      <c r="D325" s="9"/>
      <c r="E325" s="9"/>
      <c r="F325" s="10"/>
      <c r="G325" s="9"/>
      <c r="H325" s="9"/>
      <c r="I325" s="10"/>
    </row>
    <row r="326" spans="1:9" ht="13.9">
      <c r="A326" s="9"/>
      <c r="B326" s="9"/>
      <c r="C326" s="9"/>
      <c r="D326" s="9"/>
      <c r="E326" s="9"/>
      <c r="F326" s="10"/>
      <c r="G326" s="9"/>
      <c r="H326" s="9"/>
      <c r="I326" s="10"/>
    </row>
    <row r="327" spans="1:9" ht="13.9">
      <c r="A327" s="9"/>
      <c r="B327" s="9"/>
      <c r="C327" s="9"/>
      <c r="D327" s="9"/>
      <c r="E327" s="9"/>
      <c r="F327" s="10"/>
      <c r="G327" s="9"/>
      <c r="H327" s="9"/>
      <c r="I327" s="10"/>
    </row>
    <row r="328" spans="1:9" ht="13.9">
      <c r="A328" s="9"/>
      <c r="B328" s="9"/>
      <c r="C328" s="9"/>
      <c r="D328" s="9"/>
      <c r="E328" s="9"/>
      <c r="F328" s="10"/>
      <c r="G328" s="9"/>
      <c r="H328" s="9"/>
      <c r="I328" s="10"/>
    </row>
    <row r="329" spans="1:9" ht="13.9">
      <c r="A329" s="9"/>
      <c r="B329" s="9"/>
      <c r="C329" s="9"/>
      <c r="D329" s="9"/>
      <c r="E329" s="9"/>
      <c r="F329" s="10"/>
      <c r="G329" s="9"/>
      <c r="H329" s="9"/>
      <c r="I329" s="10"/>
    </row>
    <row r="330" spans="1:9" ht="13.9">
      <c r="A330" s="9"/>
      <c r="B330" s="9"/>
      <c r="C330" s="9"/>
      <c r="D330" s="9"/>
      <c r="E330" s="9"/>
      <c r="F330" s="10"/>
      <c r="G330" s="9"/>
      <c r="H330" s="9"/>
      <c r="I330" s="10"/>
    </row>
    <row r="331" spans="1:9" ht="13.9">
      <c r="A331" s="9"/>
      <c r="B331" s="9"/>
      <c r="C331" s="9"/>
      <c r="D331" s="9"/>
      <c r="E331" s="9"/>
      <c r="F331" s="10"/>
      <c r="G331" s="9"/>
      <c r="H331" s="9"/>
      <c r="I331" s="10"/>
    </row>
    <row r="332" spans="1:9" ht="13.9">
      <c r="A332" s="9"/>
      <c r="B332" s="9"/>
      <c r="C332" s="9"/>
      <c r="D332" s="9"/>
      <c r="E332" s="9"/>
      <c r="F332" s="10"/>
      <c r="G332" s="9"/>
      <c r="H332" s="9"/>
      <c r="I332" s="10"/>
    </row>
    <row r="333" spans="1:9" ht="13.9">
      <c r="A333" s="9"/>
      <c r="B333" s="9"/>
      <c r="C333" s="9"/>
      <c r="D333" s="9"/>
      <c r="E333" s="9"/>
      <c r="F333" s="10"/>
      <c r="G333" s="9"/>
      <c r="H333" s="9"/>
      <c r="I333" s="10"/>
    </row>
    <row r="334" spans="1:9" ht="13.9">
      <c r="A334" s="9"/>
      <c r="B334" s="9"/>
      <c r="C334" s="9"/>
      <c r="D334" s="9"/>
      <c r="E334" s="9"/>
      <c r="F334" s="10"/>
      <c r="G334" s="9"/>
      <c r="H334" s="9"/>
      <c r="I334" s="1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2 I4:I92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4"/>
  <sheetViews>
    <sheetView workbookViewId="0">
      <pane xSplit="2" ySplit="3" topLeftCell="C9" activePane="bottomRight" state="frozen"/>
      <selection pane="bottomRight" activeCell="D32" sqref="D32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100" t="str" cm="1">
        <f t="array" ref="A1">portfolio</f>
        <v>Catalyze</v>
      </c>
      <c r="B1" s="100"/>
      <c r="C1" s="100"/>
      <c r="D1" s="101" t="s">
        <v>15</v>
      </c>
      <c r="E1" s="101"/>
      <c r="F1" s="101"/>
      <c r="G1" s="99" t="s">
        <v>16</v>
      </c>
      <c r="H1" s="99"/>
      <c r="I1" s="99"/>
    </row>
    <row r="2" spans="1:9" ht="19.5" customHeight="1">
      <c r="A2" s="102" t="s">
        <v>2</v>
      </c>
      <c r="B2" s="10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29">Sites[Site]</f>
        <v>Fresno - 3150 Shaw Ave</v>
      </c>
      <c r="B4" s="28" t="str" cm="1">
        <f t="array" ref="B4:B29">Sites[State]</f>
        <v>CA</v>
      </c>
      <c r="C4" s="29">
        <f>SUM(Jul!C4, Aug!C4, Sep!C4)</f>
        <v>0</v>
      </c>
      <c r="D4" s="30">
        <f>SUM(Jul!D4, Aug!D4, Sep!D4)</f>
        <v>0</v>
      </c>
      <c r="E4" s="30">
        <f>IF(AND(ISNUMBER(C4),ISNUMBER(D4)), C4-D4, "")</f>
        <v>0</v>
      </c>
      <c r="F4" s="31" t="str">
        <f>IFERROR(E4/D4, "")</f>
        <v/>
      </c>
      <c r="G4" s="32">
        <f>SUM(Jul!G4,Aug!G4,Sep!G4)</f>
        <v>0</v>
      </c>
      <c r="H4" s="32">
        <f>SUM(Jul!H4, Aug!H4, Sep!H4)</f>
        <v>0</v>
      </c>
      <c r="I4" s="33" t="str">
        <f>IFERROR(H4/G4, "")</f>
        <v/>
      </c>
    </row>
    <row r="5" spans="1:9" ht="15.6">
      <c r="A5" s="49" t="str">
        <v>Adelanto - 1 Sheep Creek Road</v>
      </c>
      <c r="B5" s="35" t="str">
        <v>CA</v>
      </c>
      <c r="C5" s="36">
        <f>SUM(Jul!C5, Aug!C5, Sep!C5)</f>
        <v>0</v>
      </c>
      <c r="D5" s="37">
        <f>SUM(Jul!D5, Aug!D5, Sep!D5)</f>
        <v>0</v>
      </c>
      <c r="E5" s="37">
        <f t="shared" ref="E5:E15" si="0">IF(AND(ISNUMBER(C5),ISNUMBER(D5)), C5-D5, "")</f>
        <v>0</v>
      </c>
      <c r="F5" s="38" t="str">
        <f>IFERROR(E5/D5, "")</f>
        <v/>
      </c>
      <c r="G5" s="39">
        <f>SUM(Jul!G5,Aug!G5,Sep!G5)</f>
        <v>0</v>
      </c>
      <c r="H5" s="39">
        <f>SUM(Jul!H5, Aug!H5, Sep!H5)</f>
        <v>0</v>
      </c>
      <c r="I5" s="38" t="str">
        <f>IFERROR(H5/G5, "")</f>
        <v/>
      </c>
    </row>
    <row r="6" spans="1:9" ht="15.6">
      <c r="A6" s="48" t="str">
        <v>Blackstone - 83 Federal Street</v>
      </c>
      <c r="B6" s="28" t="str">
        <v>MA</v>
      </c>
      <c r="C6" s="29">
        <f>SUM(Jul!C6, Aug!C6, Sep!C6)</f>
        <v>0</v>
      </c>
      <c r="D6" s="30">
        <f>SUM(Jul!D6, Aug!D6, Sep!D6)</f>
        <v>0</v>
      </c>
      <c r="E6" s="30">
        <f t="shared" si="0"/>
        <v>0</v>
      </c>
      <c r="F6" s="31" t="str">
        <f t="shared" ref="F6:F15" si="1">IFERROR(E6/D6, "")</f>
        <v/>
      </c>
      <c r="G6" s="32">
        <f>SUM(Jul!G6,Aug!G6,Sep!G6)</f>
        <v>0</v>
      </c>
      <c r="H6" s="32">
        <f>SUM(Jul!H6, Aug!H6, Sep!H6)</f>
        <v>0</v>
      </c>
      <c r="I6" s="33" t="str">
        <f t="shared" ref="I6:I15" si="2">IFERROR(H6/G6, "")</f>
        <v/>
      </c>
    </row>
    <row r="7" spans="1:9" ht="15.6">
      <c r="A7" s="49" t="str">
        <v>Charlton - 299 Worcester Road</v>
      </c>
      <c r="B7" s="35" t="str">
        <v>MA</v>
      </c>
      <c r="C7" s="36">
        <f>SUM(Jul!C7, Aug!C7, Sep!C7)</f>
        <v>0</v>
      </c>
      <c r="D7" s="37">
        <f>SUM(Jul!D7, Aug!D7, Sep!D7)</f>
        <v>0</v>
      </c>
      <c r="E7" s="37">
        <f t="shared" si="0"/>
        <v>0</v>
      </c>
      <c r="F7" s="38" t="str">
        <f t="shared" si="1"/>
        <v/>
      </c>
      <c r="G7" s="39">
        <f>SUM(Jul!G7,Aug!G7,Sep!G7)</f>
        <v>0</v>
      </c>
      <c r="H7" s="39">
        <f>SUM(Jul!H7, Aug!H7, Sep!H7)</f>
        <v>0</v>
      </c>
      <c r="I7" s="38" t="str">
        <f t="shared" si="2"/>
        <v/>
      </c>
    </row>
    <row r="8" spans="1:9" ht="15.6">
      <c r="A8" s="48" t="str">
        <v>Wareham - 8 Thatcher Drive</v>
      </c>
      <c r="B8" s="28" t="str">
        <v>MA</v>
      </c>
      <c r="C8" s="29">
        <f>SUM(Jul!C8, Aug!C8, Sep!C8)</f>
        <v>0</v>
      </c>
      <c r="D8" s="30">
        <f>SUM(Jul!D8, Aug!D8, Sep!D8)</f>
        <v>0</v>
      </c>
      <c r="E8" s="30">
        <f t="shared" si="0"/>
        <v>0</v>
      </c>
      <c r="F8" s="31" t="str">
        <f t="shared" si="1"/>
        <v/>
      </c>
      <c r="G8" s="32">
        <f>SUM(Jul!G8,Aug!G8,Sep!G8)</f>
        <v>0</v>
      </c>
      <c r="H8" s="32">
        <f>SUM(Jul!H8, Aug!H8, Sep!H8)</f>
        <v>0</v>
      </c>
      <c r="I8" s="33" t="str">
        <f t="shared" si="2"/>
        <v/>
      </c>
    </row>
    <row r="9" spans="1:9" ht="15.6">
      <c r="A9" s="49" t="str">
        <v>West Yarmouth - 42 Mid Tech</v>
      </c>
      <c r="B9" s="35" t="str">
        <v>MA</v>
      </c>
      <c r="C9" s="36">
        <f>SUM(Jul!C9, Aug!C9, Sep!C9)</f>
        <v>0</v>
      </c>
      <c r="D9" s="37">
        <f>SUM(Jul!D9, Aug!D9, Sep!D9)</f>
        <v>0</v>
      </c>
      <c r="E9" s="37">
        <f t="shared" si="0"/>
        <v>0</v>
      </c>
      <c r="F9" s="38" t="str">
        <f t="shared" si="1"/>
        <v/>
      </c>
      <c r="G9" s="39">
        <f>SUM(Jul!G9,Aug!G9,Sep!G9)</f>
        <v>0</v>
      </c>
      <c r="H9" s="39">
        <f>SUM(Jul!H9, Aug!H9, Sep!H9)</f>
        <v>0</v>
      </c>
      <c r="I9" s="38" t="str">
        <f t="shared" si="2"/>
        <v/>
      </c>
    </row>
    <row r="10" spans="1:9" ht="15.6">
      <c r="A10" s="48" t="str">
        <v>Harrison - 130 Union Street</v>
      </c>
      <c r="B10" s="28" t="str">
        <v>NY</v>
      </c>
      <c r="C10" s="29">
        <f>SUM(Jul!C10, Aug!C10, Sep!C10)</f>
        <v>0</v>
      </c>
      <c r="D10" s="30">
        <f>SUM(Jul!D10, Aug!D10, Sep!D10)</f>
        <v>0</v>
      </c>
      <c r="E10" s="30">
        <f t="shared" si="0"/>
        <v>0</v>
      </c>
      <c r="F10" s="31" t="str">
        <f t="shared" si="1"/>
        <v/>
      </c>
      <c r="G10" s="32">
        <f>SUM(Jul!G10,Aug!G10,Sep!G10)</f>
        <v>0</v>
      </c>
      <c r="H10" s="32">
        <f>SUM(Jul!H10, Aug!H10, Sep!H10)</f>
        <v>0</v>
      </c>
      <c r="I10" s="33" t="str">
        <f t="shared" si="2"/>
        <v/>
      </c>
    </row>
    <row r="11" spans="1:9" ht="15.6">
      <c r="A11" s="49" t="str">
        <v>Staten Island - Ellis Storage</v>
      </c>
      <c r="B11" s="35" t="str">
        <v>NY</v>
      </c>
      <c r="C11" s="36">
        <f>SUM(Jul!C11, Aug!C11, Sep!C11)</f>
        <v>0</v>
      </c>
      <c r="D11" s="37">
        <f>SUM(Jul!D11, Aug!D11, Sep!D11)</f>
        <v>0</v>
      </c>
      <c r="E11" s="37">
        <f t="shared" si="0"/>
        <v>0</v>
      </c>
      <c r="F11" s="38" t="str">
        <f t="shared" si="1"/>
        <v/>
      </c>
      <c r="G11" s="39">
        <f>SUM(Jul!G11,Aug!G11,Sep!G11)</f>
        <v>0</v>
      </c>
      <c r="H11" s="39">
        <f>SUM(Jul!H11, Aug!H11, Sep!H11)</f>
        <v>0</v>
      </c>
      <c r="I11" s="38" t="str">
        <f t="shared" si="2"/>
        <v/>
      </c>
    </row>
    <row r="12" spans="1:9" ht="15.6">
      <c r="A12" s="48" t="str">
        <v>Amherst - 595 Schoelles Road</v>
      </c>
      <c r="B12" s="28" t="str">
        <v>NY</v>
      </c>
      <c r="C12" s="29">
        <f>SUM(Jul!C12, Aug!C12, Sep!C12)</f>
        <v>0</v>
      </c>
      <c r="D12" s="30">
        <f>SUM(Jul!D12, Aug!D12, Sep!D12)</f>
        <v>0</v>
      </c>
      <c r="E12" s="30">
        <f t="shared" si="0"/>
        <v>0</v>
      </c>
      <c r="F12" s="31" t="str">
        <f t="shared" si="1"/>
        <v/>
      </c>
      <c r="G12" s="32">
        <f>SUM(Jul!G12,Aug!G12,Sep!G12)</f>
        <v>0</v>
      </c>
      <c r="H12" s="32">
        <f>SUM(Jul!H12, Aug!H12, Sep!H12)</f>
        <v>0</v>
      </c>
      <c r="I12" s="33" t="str">
        <f t="shared" si="2"/>
        <v/>
      </c>
    </row>
    <row r="13" spans="1:9" ht="15.6">
      <c r="A13" s="49" t="str">
        <v>Lancaster 1 - Gunnville Road</v>
      </c>
      <c r="B13" s="35" t="str">
        <v>NY</v>
      </c>
      <c r="C13" s="36">
        <f>SUM(Jul!C13, Aug!C13, Sep!C13)</f>
        <v>0</v>
      </c>
      <c r="D13" s="37">
        <f>SUM(Jul!D13, Aug!D13, Sep!D13)</f>
        <v>0</v>
      </c>
      <c r="E13" s="37">
        <f t="shared" si="0"/>
        <v>0</v>
      </c>
      <c r="F13" s="38" t="str">
        <f t="shared" si="1"/>
        <v/>
      </c>
      <c r="G13" s="39">
        <f>SUM(Jul!G13,Aug!G13,Sep!G13)</f>
        <v>0</v>
      </c>
      <c r="H13" s="39">
        <f>SUM(Jul!H13, Aug!H13, Sep!H13)</f>
        <v>0</v>
      </c>
      <c r="I13" s="38" t="str">
        <f t="shared" si="2"/>
        <v/>
      </c>
    </row>
    <row r="14" spans="1:9" ht="15.6">
      <c r="A14" s="48" t="str">
        <v>Lancaster 2 - Shisler Road</v>
      </c>
      <c r="B14" s="28" t="str">
        <v>NY</v>
      </c>
      <c r="C14" s="29">
        <f>SUM(Jul!C14, Aug!C14, Sep!C14)</f>
        <v>0</v>
      </c>
      <c r="D14" s="30">
        <f>SUM(Jul!D14, Aug!D14, Sep!D14)</f>
        <v>0</v>
      </c>
      <c r="E14" s="30">
        <f t="shared" si="0"/>
        <v>0</v>
      </c>
      <c r="F14" s="31" t="str">
        <f t="shared" si="1"/>
        <v/>
      </c>
      <c r="G14" s="32">
        <f>SUM(Jul!G14,Aug!G14,Sep!G14)</f>
        <v>0</v>
      </c>
      <c r="H14" s="32">
        <f>SUM(Jul!H14, Aug!H14, Sep!H14)</f>
        <v>0</v>
      </c>
      <c r="I14" s="33" t="str">
        <f t="shared" si="2"/>
        <v/>
      </c>
    </row>
    <row r="15" spans="1:9" ht="15.6">
      <c r="A15" s="49" t="str">
        <v>Fullerton - 200 W Orangethorpe</v>
      </c>
      <c r="B15" s="35" t="str">
        <v>CA</v>
      </c>
      <c r="C15" s="36">
        <f>SUM(Jul!C15, Aug!C15, Sep!C15)</f>
        <v>0</v>
      </c>
      <c r="D15" s="37">
        <f>SUM(Jul!D15, Aug!D15, Sep!D15)</f>
        <v>0</v>
      </c>
      <c r="E15" s="37">
        <f t="shared" si="0"/>
        <v>0</v>
      </c>
      <c r="F15" s="38" t="str">
        <f t="shared" si="1"/>
        <v/>
      </c>
      <c r="G15" s="39">
        <f>SUM(Jul!G15,Aug!G15,Sep!G15)</f>
        <v>0</v>
      </c>
      <c r="H15" s="39">
        <f>SUM(Jul!H15, Aug!H15, Sep!H15)</f>
        <v>0</v>
      </c>
      <c r="I15" s="38" t="str">
        <f t="shared" si="2"/>
        <v/>
      </c>
    </row>
    <row r="16" spans="1:9" ht="15.6">
      <c r="A16" s="48" t="str">
        <v>El Paso - 10500 Railroad Drive</v>
      </c>
      <c r="B16" s="28" t="str">
        <v>TX</v>
      </c>
      <c r="C16" s="29">
        <f>SUM(Jul!C16, Aug!C16, Sep!C16)</f>
        <v>0</v>
      </c>
      <c r="D16" s="30">
        <f>SUM(Jul!D16, Aug!D16, Sep!D16)</f>
        <v>0</v>
      </c>
      <c r="E16" s="30">
        <f t="shared" ref="E16:E19" si="3">IF(AND(ISNUMBER(C16),ISNUMBER(D16)), C16-D16, "")</f>
        <v>0</v>
      </c>
      <c r="F16" s="31" t="str">
        <f t="shared" ref="F16:F21" si="4">IFERROR(E16/D16, "")</f>
        <v/>
      </c>
      <c r="G16" s="32">
        <f>SUM(Jul!G16,Aug!G16,Sep!G16)</f>
        <v>0</v>
      </c>
      <c r="H16" s="32">
        <f>SUM(Jul!H16, Aug!H16, Sep!H16)</f>
        <v>0</v>
      </c>
      <c r="I16" s="33" t="str">
        <f t="shared" ref="I16:I22" si="5">IFERROR(H16/G16, "")</f>
        <v/>
      </c>
    </row>
    <row r="17" spans="1:9" ht="15.6">
      <c r="A17" s="49" t="str">
        <v>Friona - 900 Millard Ave</v>
      </c>
      <c r="B17" s="35" t="str">
        <v>TX</v>
      </c>
      <c r="C17" s="36">
        <f>SUM(Jul!C17, Aug!C17, Sep!C17)</f>
        <v>0</v>
      </c>
      <c r="D17" s="37">
        <f>SUM(Jul!D17, Aug!D17, Sep!D17)</f>
        <v>0</v>
      </c>
      <c r="E17" s="37">
        <f t="shared" si="3"/>
        <v>0</v>
      </c>
      <c r="F17" s="38" t="str">
        <f t="shared" si="4"/>
        <v/>
      </c>
      <c r="G17" s="39">
        <f>SUM(Jul!G17,Aug!G17,Sep!G17)</f>
        <v>0</v>
      </c>
      <c r="H17" s="39">
        <f>SUM(Jul!H17, Aug!H17, Sep!H17)</f>
        <v>0</v>
      </c>
      <c r="I17" s="38" t="str">
        <f t="shared" si="5"/>
        <v/>
      </c>
    </row>
    <row r="18" spans="1:9" ht="15.6">
      <c r="A18" s="48" t="str">
        <v>Augusta - 13 York Farm Road</v>
      </c>
      <c r="B18" s="28" t="str">
        <v>ME</v>
      </c>
      <c r="C18" s="29">
        <f>SUM(Jul!C18, Aug!C18, Sep!C18)</f>
        <v>0</v>
      </c>
      <c r="D18" s="30">
        <f>SUM(Jul!D18, Aug!D18, Sep!D18)</f>
        <v>0</v>
      </c>
      <c r="E18" s="30">
        <f t="shared" si="3"/>
        <v>0</v>
      </c>
      <c r="F18" s="31" t="str">
        <f t="shared" si="4"/>
        <v/>
      </c>
      <c r="G18" s="32">
        <f>SUM(Jul!G18,Aug!G18,Sep!G18)</f>
        <v>0</v>
      </c>
      <c r="H18" s="32">
        <f>SUM(Jul!H18, Aug!H18, Sep!H18)</f>
        <v>0</v>
      </c>
      <c r="I18" s="33" t="str">
        <f t="shared" si="5"/>
        <v/>
      </c>
    </row>
    <row r="19" spans="1:9" ht="15.6">
      <c r="A19" s="49" t="str">
        <v xml:space="preserve">Santa Ana - 1441 West </v>
      </c>
      <c r="B19" s="35" t="str">
        <v>CA</v>
      </c>
      <c r="C19" s="36">
        <f>SUM(Jul!C19, Aug!C19, Sep!C19)</f>
        <v>0</v>
      </c>
      <c r="D19" s="37">
        <f>SUM(Jul!D19, Aug!D19, Sep!D19)</f>
        <v>0</v>
      </c>
      <c r="E19" s="37">
        <f t="shared" si="3"/>
        <v>0</v>
      </c>
      <c r="F19" s="38" t="str">
        <f t="shared" si="4"/>
        <v/>
      </c>
      <c r="G19" s="39">
        <f>SUM(Jul!G19,Aug!G19,Sep!G19)</f>
        <v>0</v>
      </c>
      <c r="H19" s="39">
        <f>SUM(Jul!H19, Aug!H19, Sep!H19)</f>
        <v>0</v>
      </c>
      <c r="I19" s="38" t="str">
        <f t="shared" si="5"/>
        <v/>
      </c>
    </row>
    <row r="20" spans="1:9" ht="15.6">
      <c r="A20" s="48" t="str">
        <v>Jessup -7950 Oceano Ave</v>
      </c>
      <c r="B20" s="28" t="str">
        <v>MD</v>
      </c>
      <c r="C20" s="29">
        <f>SUM(Jul!C20, Aug!C20, Sep!C20)</f>
        <v>0</v>
      </c>
      <c r="D20" s="30">
        <f>SUM(Jul!D20, Aug!D20, Sep!D20)</f>
        <v>0</v>
      </c>
      <c r="E20" s="30">
        <f>IF(AND(ISNUMBER(C20),ISNUMBER(D20)), C20-D20, "")</f>
        <v>0</v>
      </c>
      <c r="F20" s="31" t="str">
        <f>IFERROR(E20/D20, "")</f>
        <v/>
      </c>
      <c r="G20" s="32">
        <f>SUM(Jul!G20,Aug!G20,Sep!G20)</f>
        <v>0</v>
      </c>
      <c r="H20" s="32">
        <f>SUM(Jul!H20, Aug!H20, Sep!H20)</f>
        <v>0</v>
      </c>
      <c r="I20" s="33" t="str">
        <f t="shared" si="5"/>
        <v/>
      </c>
    </row>
    <row r="21" spans="1:9" ht="15.6">
      <c r="A21" s="49" t="str">
        <v xml:space="preserve">TX: Fort Worth - 5200 Gold Spike Dr </v>
      </c>
      <c r="B21" s="35" t="str">
        <v>TX</v>
      </c>
      <c r="C21" s="36">
        <f>SUM(Jul!C21, Aug!C21, Sep!C21)</f>
        <v>0</v>
      </c>
      <c r="D21" s="37">
        <f>SUM(Jul!D21, Aug!D21, Sep!D21)</f>
        <v>0</v>
      </c>
      <c r="E21" s="37">
        <f>IF(AND(ISNUMBER(C21),ISNUMBER(D21)), C21-D21, "")</f>
        <v>0</v>
      </c>
      <c r="F21" s="38" t="str">
        <f t="shared" si="4"/>
        <v/>
      </c>
      <c r="G21" s="39">
        <f>SUM(Jul!G21,Aug!G21,Sep!G21)</f>
        <v>0</v>
      </c>
      <c r="H21" s="39">
        <f>SUM(Jul!H21, Aug!H21, Sep!H21)</f>
        <v>0</v>
      </c>
      <c r="I21" s="38" t="str">
        <f t="shared" si="5"/>
        <v/>
      </c>
    </row>
    <row r="22" spans="1:9" ht="15.6">
      <c r="A22" s="48" t="str">
        <v>NY: Clifton Springs - Ontario 2 (21597)</v>
      </c>
      <c r="B22" s="28" t="str">
        <v>NY</v>
      </c>
      <c r="C22" s="29">
        <f>SUM(Jul!C22, Aug!C22, Sep!C22)</f>
        <v>0</v>
      </c>
      <c r="D22" s="30">
        <f>SUM(Jul!D22, Aug!D22, Sep!D22)</f>
        <v>0</v>
      </c>
      <c r="E22" s="30">
        <f>IF(AND(ISNUMBER(C22),ISNUMBER(D22)), C22-D22, "")</f>
        <v>0</v>
      </c>
      <c r="F22" s="31" t="str">
        <f>IFERROR(E22/D22, "")</f>
        <v/>
      </c>
      <c r="G22" s="32">
        <f>SUM(Jul!G22,Aug!G22,Sep!G22)</f>
        <v>0</v>
      </c>
      <c r="H22" s="32">
        <f>SUM(Jul!H22, Aug!H22, Sep!H22)</f>
        <v>0</v>
      </c>
      <c r="I22" s="33" t="str">
        <f t="shared" si="5"/>
        <v/>
      </c>
    </row>
    <row r="23" spans="1:9" ht="15.6">
      <c r="A23" s="49" t="str">
        <v>CA: Oxnard - 2600 Sakioka - System A</v>
      </c>
      <c r="B23" s="35" t="str">
        <v>CA</v>
      </c>
      <c r="C23" s="36">
        <f>SUM(Jul!C23, Aug!C23, Sep!C23)</f>
        <v>0</v>
      </c>
      <c r="D23" s="37">
        <f>SUM(Jul!D23, Aug!D23, Sep!D23)</f>
        <v>0</v>
      </c>
      <c r="E23" s="37">
        <f t="shared" ref="E23:E25" si="6">IF(AND(ISNUMBER(C23),ISNUMBER(D23)), C23-D23, "")</f>
        <v>0</v>
      </c>
      <c r="F23" s="38" t="str">
        <f t="shared" ref="F23:F25" si="7">IFERROR(E23/D23, "")</f>
        <v/>
      </c>
      <c r="G23" s="39">
        <f>SUM(Jul!G23,Aug!G23,Sep!G23)</f>
        <v>0</v>
      </c>
      <c r="H23" s="39">
        <f>SUM(Jul!H23, Aug!H23, Sep!H23)</f>
        <v>0</v>
      </c>
      <c r="I23" s="38" t="str">
        <f t="shared" ref="I23:I25" si="8">IFERROR(H23/G23, "")</f>
        <v/>
      </c>
    </row>
    <row r="24" spans="1:9" ht="15.6">
      <c r="A24" s="48" t="str">
        <v>CA: Oxnard - 2600 Sakioka - System B</v>
      </c>
      <c r="B24" s="28" t="str">
        <v>CA</v>
      </c>
      <c r="C24" s="29">
        <f>SUM(Jul!C24, Aug!C24, Sep!C24)</f>
        <v>0</v>
      </c>
      <c r="D24" s="30">
        <f>SUM(Jul!D24, Aug!D24, Sep!D24)</f>
        <v>0</v>
      </c>
      <c r="E24" s="30">
        <f t="shared" si="6"/>
        <v>0</v>
      </c>
      <c r="F24" s="31" t="str">
        <f t="shared" si="7"/>
        <v/>
      </c>
      <c r="G24" s="32">
        <f>SUM(Jul!G24,Aug!G24,Sep!G24)</f>
        <v>0</v>
      </c>
      <c r="H24" s="32">
        <f>SUM(Jul!H24, Aug!H24, Sep!H24)</f>
        <v>0</v>
      </c>
      <c r="I24" s="33" t="str">
        <f t="shared" si="8"/>
        <v/>
      </c>
    </row>
    <row r="25" spans="1:9" ht="15.6">
      <c r="A25" s="49" t="str">
        <v>NY: Fonda - Montgomery 1 (21601)</v>
      </c>
      <c r="B25" s="35" t="str">
        <v>NY</v>
      </c>
      <c r="C25" s="36">
        <f>SUM(Jul!C25, Aug!C25, Sep!C25)</f>
        <v>0</v>
      </c>
      <c r="D25" s="37">
        <f>SUM(Jul!D25, Aug!D25, Sep!D25)</f>
        <v>0</v>
      </c>
      <c r="E25" s="37">
        <f t="shared" si="6"/>
        <v>0</v>
      </c>
      <c r="F25" s="38" t="str">
        <f t="shared" si="7"/>
        <v/>
      </c>
      <c r="G25" s="39">
        <f>SUM(Jul!G25,Aug!G25,Sep!G25)</f>
        <v>0</v>
      </c>
      <c r="H25" s="39">
        <f>SUM(Jul!H25, Aug!H25, Sep!H25)</f>
        <v>0</v>
      </c>
      <c r="I25" s="38" t="str">
        <f t="shared" si="8"/>
        <v/>
      </c>
    </row>
    <row r="26" spans="1:9" ht="15.6">
      <c r="A26" s="48" t="str">
        <v>NY: Evans - SL Evans Array 1 (21106) - (PW)</v>
      </c>
      <c r="B26" s="28" t="str">
        <v>NY</v>
      </c>
      <c r="C26" s="29">
        <f>SUM(Jul!C26, Aug!C26, Sep!C26)</f>
        <v>0</v>
      </c>
      <c r="D26" s="30">
        <f>SUM(Jul!D26, Aug!D26, Sep!D26)</f>
        <v>0</v>
      </c>
      <c r="E26" s="30">
        <f>IF(AND(ISNUMBER(C26),ISNUMBER(D26)), C26-D26, "")</f>
        <v>0</v>
      </c>
      <c r="F26" s="31" t="str">
        <f>IFERROR(E26/D26, "")</f>
        <v/>
      </c>
      <c r="G26" s="32">
        <f>SUM(Jul!G26,Aug!G26,Sep!G26)</f>
        <v>0</v>
      </c>
      <c r="H26" s="32">
        <f>SUM(Jul!H26, Aug!H26, Sep!H26)</f>
        <v>0</v>
      </c>
      <c r="I26" s="33" t="str">
        <f>IFERROR(H26/G26, "")</f>
        <v/>
      </c>
    </row>
    <row r="27" spans="1:9" ht="15.6">
      <c r="A27" s="49" t="str">
        <v>NY: Evans - SL Evans Array 2 (21107) - (PW)</v>
      </c>
      <c r="B27" s="35" t="str">
        <v>NY</v>
      </c>
      <c r="C27" s="36">
        <f>SUM(Jul!C27, Aug!C27, Sep!C27)</f>
        <v>0</v>
      </c>
      <c r="D27" s="37">
        <f>SUM(Jul!D27, Aug!D27, Sep!D27)</f>
        <v>0</v>
      </c>
      <c r="E27" s="37">
        <f>IF(AND(ISNUMBER(C27),ISNUMBER(D27)), C27-D27, "")</f>
        <v>0</v>
      </c>
      <c r="F27" s="87" t="str">
        <f>IFERROR(E27/D27, "")</f>
        <v/>
      </c>
      <c r="G27" s="55">
        <f>SUM(Jul!G27,Aug!G27,Sep!G27)</f>
        <v>0</v>
      </c>
      <c r="H27" s="55">
        <f>SUM(Jul!H27, Aug!H27, Sep!H27)</f>
        <v>0</v>
      </c>
      <c r="I27" s="87" t="str">
        <f>IFERROR(H27/G27, "")</f>
        <v/>
      </c>
    </row>
    <row r="28" spans="1:9" ht="15.6">
      <c r="A28" s="48" t="str">
        <v>NY: Flushing - 131-21 14th Ave</v>
      </c>
      <c r="B28" s="28" t="str">
        <v>NY</v>
      </c>
      <c r="C28" s="29">
        <f>SUM(Jul!C28, Aug!C28, Sep!C28)</f>
        <v>0</v>
      </c>
      <c r="D28" s="30">
        <f>SUM(Jul!D28, Aug!D28, Sep!D28)</f>
        <v>0</v>
      </c>
      <c r="E28" s="30">
        <f>IF(AND(ISNUMBER(C28),ISNUMBER(D28)), C28-D28, "")</f>
        <v>0</v>
      </c>
      <c r="F28" s="31" t="str">
        <f>IFERROR(E28/D28, "")</f>
        <v/>
      </c>
      <c r="G28" s="32">
        <f>SUM(Jul!G28,Aug!G28,Sep!G28)</f>
        <v>0</v>
      </c>
      <c r="H28" s="32">
        <f>SUM(Jul!H28, Aug!H28, Sep!H28)</f>
        <v>0</v>
      </c>
      <c r="I28" s="33" t="str">
        <f>IFERROR(H28/G28, "")</f>
        <v/>
      </c>
    </row>
    <row r="29" spans="1:9" ht="15.6">
      <c r="A29" s="49" t="str">
        <v>NY: Binghamton - Airport Rd (18878) - (PW)</v>
      </c>
      <c r="B29" s="35" t="str">
        <v>NY</v>
      </c>
      <c r="C29" s="36">
        <f>SUM(Jul!C29, Aug!C29, Sep!C29)</f>
        <v>0</v>
      </c>
      <c r="D29" s="37">
        <f>SUM(Jul!D29, Aug!D29, Sep!D29)</f>
        <v>0</v>
      </c>
      <c r="E29" s="37">
        <f>IF(AND(ISNUMBER(C29),ISNUMBER(D29)), C29-D29, "")</f>
        <v>0</v>
      </c>
      <c r="F29" s="87" t="str">
        <f>IFERROR(E29/D29, "")</f>
        <v/>
      </c>
      <c r="G29" s="55">
        <f>SUM(Jul!G29,Aug!G29,Sep!G29)</f>
        <v>0</v>
      </c>
      <c r="H29" s="55">
        <f>SUM(Jul!H29, Aug!H29, Sep!H29)</f>
        <v>0</v>
      </c>
      <c r="I29" s="87" t="str">
        <f>IFERROR(H29/G29, "")</f>
        <v/>
      </c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  <row r="323" spans="1:9" ht="13.9">
      <c r="A323" s="9"/>
      <c r="B323" s="9"/>
      <c r="C323" s="9"/>
      <c r="D323" s="9"/>
      <c r="E323" s="9"/>
      <c r="F323" s="10"/>
      <c r="G323" s="9"/>
      <c r="H323" s="9"/>
      <c r="I323" s="10"/>
    </row>
    <row r="324" spans="1:9" ht="13.9">
      <c r="A324" s="9"/>
      <c r="B324" s="9"/>
      <c r="C324" s="9"/>
      <c r="D324" s="9"/>
      <c r="E324" s="9"/>
      <c r="F324" s="10"/>
      <c r="G324" s="9"/>
      <c r="H324" s="9"/>
      <c r="I324" s="10"/>
    </row>
    <row r="325" spans="1:9" ht="13.9">
      <c r="A325" s="9"/>
      <c r="B325" s="9"/>
      <c r="C325" s="9"/>
      <c r="D325" s="9"/>
      <c r="E325" s="9"/>
      <c r="F325" s="10"/>
      <c r="G325" s="9"/>
      <c r="H325" s="9"/>
      <c r="I325" s="10"/>
    </row>
    <row r="326" spans="1:9" ht="13.9">
      <c r="A326" s="9"/>
      <c r="B326" s="9"/>
      <c r="C326" s="9"/>
      <c r="D326" s="9"/>
      <c r="E326" s="9"/>
      <c r="F326" s="10"/>
      <c r="G326" s="9"/>
      <c r="H326" s="9"/>
      <c r="I326" s="10"/>
    </row>
    <row r="327" spans="1:9" ht="13.9">
      <c r="A327" s="9"/>
      <c r="B327" s="9"/>
      <c r="C327" s="9"/>
      <c r="D327" s="9"/>
      <c r="E327" s="9"/>
      <c r="F327" s="10"/>
      <c r="G327" s="9"/>
      <c r="H327" s="9"/>
      <c r="I327" s="10"/>
    </row>
    <row r="328" spans="1:9" ht="13.9">
      <c r="A328" s="9"/>
      <c r="B328" s="9"/>
      <c r="C328" s="9"/>
      <c r="D328" s="9"/>
      <c r="E328" s="9"/>
      <c r="F328" s="10"/>
      <c r="G328" s="9"/>
      <c r="H328" s="9"/>
      <c r="I328" s="10"/>
    </row>
    <row r="329" spans="1:9" ht="13.9">
      <c r="A329" s="9"/>
      <c r="B329" s="9"/>
      <c r="C329" s="9"/>
      <c r="D329" s="9"/>
      <c r="E329" s="9"/>
      <c r="F329" s="10"/>
      <c r="G329" s="9"/>
      <c r="H329" s="9"/>
      <c r="I329" s="10"/>
    </row>
    <row r="330" spans="1:9" ht="13.9">
      <c r="A330" s="9"/>
      <c r="B330" s="9"/>
      <c r="C330" s="9"/>
      <c r="D330" s="9"/>
      <c r="E330" s="9"/>
      <c r="F330" s="10"/>
      <c r="G330" s="9"/>
      <c r="H330" s="9"/>
      <c r="I330" s="10"/>
    </row>
    <row r="331" spans="1:9" ht="13.9">
      <c r="A331" s="9"/>
      <c r="B331" s="9"/>
      <c r="C331" s="9"/>
      <c r="D331" s="9"/>
      <c r="E331" s="9"/>
      <c r="F331" s="10"/>
      <c r="G331" s="9"/>
      <c r="H331" s="9"/>
      <c r="I331" s="10"/>
    </row>
    <row r="332" spans="1:9" ht="13.9">
      <c r="A332" s="9"/>
      <c r="B332" s="9"/>
      <c r="C332" s="9"/>
      <c r="D332" s="9"/>
      <c r="E332" s="9"/>
      <c r="F332" s="10"/>
      <c r="G332" s="9"/>
      <c r="H332" s="9"/>
      <c r="I332" s="10"/>
    </row>
    <row r="333" spans="1:9" ht="13.9">
      <c r="A333" s="9"/>
      <c r="B333" s="9"/>
      <c r="C333" s="9"/>
      <c r="D333" s="9"/>
      <c r="E333" s="9"/>
      <c r="F333" s="10"/>
      <c r="G333" s="9"/>
      <c r="H333" s="9"/>
      <c r="I333" s="10"/>
    </row>
    <row r="334" spans="1:9" ht="13.9">
      <c r="A334" s="9"/>
      <c r="B334" s="9"/>
      <c r="C334" s="9"/>
      <c r="D334" s="9"/>
      <c r="E334" s="9"/>
      <c r="F334" s="10"/>
      <c r="G334" s="9"/>
      <c r="H334" s="9"/>
      <c r="I334" s="10"/>
    </row>
  </sheetData>
  <mergeCells count="4">
    <mergeCell ref="G1:I1"/>
    <mergeCell ref="A1:C1"/>
    <mergeCell ref="D1:F1"/>
    <mergeCell ref="A2:B2"/>
  </mergeCells>
  <conditionalFormatting sqref="F2 I2 F4:F92 I4:I92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4"/>
  <sheetViews>
    <sheetView workbookViewId="0">
      <pane xSplit="2" ySplit="3" topLeftCell="C4" activePane="bottomRight" state="frozen"/>
      <selection pane="bottomRight" activeCell="K27" sqref="K27"/>
      <selection pane="bottomLeft" activeCell="A18" sqref="A18:XFD24"/>
      <selection pane="topRight" activeCell="A18" sqref="A18:XFD24"/>
    </sheetView>
  </sheetViews>
  <sheetFormatPr defaultRowHeight="13.15"/>
  <cols>
    <col min="1" max="1" width="41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100" t="str" cm="1">
        <f t="array" ref="A1">portfolio</f>
        <v>Catalyze</v>
      </c>
      <c r="B1" s="100"/>
      <c r="C1" s="100"/>
      <c r="D1" s="101" t="s">
        <v>17</v>
      </c>
      <c r="E1" s="101"/>
      <c r="F1" s="101"/>
      <c r="G1" s="99" t="s">
        <v>18</v>
      </c>
      <c r="H1" s="99"/>
      <c r="I1" s="99"/>
    </row>
    <row r="2" spans="1:9" ht="19.5" customHeight="1">
      <c r="A2" s="102" t="s">
        <v>2</v>
      </c>
      <c r="B2" s="10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29">Sites[Site]</f>
        <v>Fresno - 3150 Shaw Ave</v>
      </c>
      <c r="B4" s="28" t="str" cm="1">
        <f t="array" ref="B4:B29">Sites[State]</f>
        <v>CA</v>
      </c>
      <c r="C4" s="29">
        <f>SUM(Oct!C4, Nov!C4, Dec!C4)</f>
        <v>0</v>
      </c>
      <c r="D4" s="30">
        <f>SUM(Oct!D4, Nov!D4, Dec!D4)</f>
        <v>0</v>
      </c>
      <c r="E4" s="30">
        <f>IF(AND(ISNUMBER(C4),ISNUMBER(D4)), C4-D4, "")</f>
        <v>0</v>
      </c>
      <c r="F4" s="31" t="str">
        <f>IFERROR(E4/D4, "")</f>
        <v/>
      </c>
      <c r="G4" s="32">
        <f>SUM(Oct!G4,Nov!G4,Dec!G4)</f>
        <v>0</v>
      </c>
      <c r="H4" s="32">
        <f>SUM(Oct!H4, Nov!H4, Dec!H4)</f>
        <v>0</v>
      </c>
      <c r="I4" s="33" t="str">
        <f>IFERROR(H4/G4, "")</f>
        <v/>
      </c>
    </row>
    <row r="5" spans="1:9" ht="15.6">
      <c r="A5" s="49" t="str">
        <v>Adelanto - 1 Sheep Creek Road</v>
      </c>
      <c r="B5" s="35" t="str">
        <v>CA</v>
      </c>
      <c r="C5" s="36">
        <f>SUM(Oct!C5, Nov!C5, Dec!C5)</f>
        <v>0</v>
      </c>
      <c r="D5" s="37">
        <f>SUM(Oct!D5, Nov!D5, Dec!D5)</f>
        <v>0</v>
      </c>
      <c r="E5" s="37">
        <f t="shared" ref="E5:E15" si="0">IF(AND(ISNUMBER(C5),ISNUMBER(D5)), C5-D5, "")</f>
        <v>0</v>
      </c>
      <c r="F5" s="38" t="str">
        <f>IFERROR(E5/D5, "")</f>
        <v/>
      </c>
      <c r="G5" s="37">
        <f>SUM(Oct!G5,Nov!G5,Dec!G5)</f>
        <v>0</v>
      </c>
      <c r="H5" s="39">
        <f>SUM(Oct!H5, Nov!H5, Dec!H5)</f>
        <v>0</v>
      </c>
      <c r="I5" s="38" t="str">
        <f>IFERROR(H5/G5, "")</f>
        <v/>
      </c>
    </row>
    <row r="6" spans="1:9" ht="15.6">
      <c r="A6" s="48" t="str">
        <v>Blackstone - 83 Federal Street</v>
      </c>
      <c r="B6" s="28" t="str">
        <v>MA</v>
      </c>
      <c r="C6" s="29">
        <f>SUM(Oct!C6, Nov!C6, Dec!C6)</f>
        <v>0</v>
      </c>
      <c r="D6" s="30">
        <f>SUM(Oct!D6, Nov!D6, Dec!D6)</f>
        <v>0</v>
      </c>
      <c r="E6" s="30">
        <f t="shared" si="0"/>
        <v>0</v>
      </c>
      <c r="F6" s="31" t="str">
        <f t="shared" ref="F6:F15" si="1">IFERROR(E6/D6, "")</f>
        <v/>
      </c>
      <c r="G6" s="32">
        <f>SUM(Oct!G6,Nov!G6,Dec!G6)</f>
        <v>0</v>
      </c>
      <c r="H6" s="32">
        <f>SUM(Oct!H6, Nov!H6, Dec!H6)</f>
        <v>0</v>
      </c>
      <c r="I6" s="33" t="str">
        <f t="shared" ref="I6:I15" si="2">IFERROR(H6/G6, "")</f>
        <v/>
      </c>
    </row>
    <row r="7" spans="1:9" ht="15.6">
      <c r="A7" s="49" t="str">
        <v>Charlton - 299 Worcester Road</v>
      </c>
      <c r="B7" s="35" t="str">
        <v>MA</v>
      </c>
      <c r="C7" s="36">
        <f>SUM(Oct!C7, Nov!C7, Dec!C7)</f>
        <v>0</v>
      </c>
      <c r="D7" s="37">
        <f>SUM(Oct!D7, Nov!D7, Dec!D7)</f>
        <v>0</v>
      </c>
      <c r="E7" s="37">
        <f t="shared" si="0"/>
        <v>0</v>
      </c>
      <c r="F7" s="38" t="str">
        <f t="shared" si="1"/>
        <v/>
      </c>
      <c r="G7" s="37">
        <f>SUM(Oct!G7,Nov!G7,Dec!G7)</f>
        <v>0</v>
      </c>
      <c r="H7" s="39">
        <f>SUM(Oct!H7, Nov!H7, Dec!H7)</f>
        <v>0</v>
      </c>
      <c r="I7" s="38" t="str">
        <f t="shared" si="2"/>
        <v/>
      </c>
    </row>
    <row r="8" spans="1:9" ht="15.6">
      <c r="A8" s="48" t="str">
        <v>Wareham - 8 Thatcher Drive</v>
      </c>
      <c r="B8" s="28" t="str">
        <v>MA</v>
      </c>
      <c r="C8" s="29">
        <f>SUM(Oct!C8, Nov!C8, Dec!C8)</f>
        <v>0</v>
      </c>
      <c r="D8" s="30">
        <f>SUM(Oct!D8, Nov!D8, Dec!D8)</f>
        <v>0</v>
      </c>
      <c r="E8" s="30">
        <f t="shared" si="0"/>
        <v>0</v>
      </c>
      <c r="F8" s="31" t="str">
        <f t="shared" si="1"/>
        <v/>
      </c>
      <c r="G8" s="32">
        <f>SUM(Oct!G8,Nov!G8,Dec!G8)</f>
        <v>0</v>
      </c>
      <c r="H8" s="32">
        <f>SUM(Oct!H8, Nov!H8, Dec!H8)</f>
        <v>0</v>
      </c>
      <c r="I8" s="33" t="str">
        <f t="shared" si="2"/>
        <v/>
      </c>
    </row>
    <row r="9" spans="1:9" ht="15.6">
      <c r="A9" s="49" t="str">
        <v>West Yarmouth - 42 Mid Tech</v>
      </c>
      <c r="B9" s="35" t="str">
        <v>MA</v>
      </c>
      <c r="C9" s="36">
        <f>SUM(Oct!C9, Nov!C9, Dec!C9)</f>
        <v>0</v>
      </c>
      <c r="D9" s="37">
        <f>SUM(Oct!D9, Nov!D9, Dec!D9)</f>
        <v>0</v>
      </c>
      <c r="E9" s="37">
        <f t="shared" si="0"/>
        <v>0</v>
      </c>
      <c r="F9" s="38" t="str">
        <f t="shared" si="1"/>
        <v/>
      </c>
      <c r="G9" s="37">
        <f>SUM(Oct!G9,Nov!G9,Dec!G9)</f>
        <v>0</v>
      </c>
      <c r="H9" s="39">
        <f>SUM(Oct!H9, Nov!H9, Dec!H9)</f>
        <v>0</v>
      </c>
      <c r="I9" s="38" t="str">
        <f t="shared" si="2"/>
        <v/>
      </c>
    </row>
    <row r="10" spans="1:9" ht="15.6">
      <c r="A10" s="48" t="str">
        <v>Harrison - 130 Union Street</v>
      </c>
      <c r="B10" s="28" t="str">
        <v>NY</v>
      </c>
      <c r="C10" s="29">
        <f>SUM(Oct!C10, Nov!C10, Dec!C10)</f>
        <v>0</v>
      </c>
      <c r="D10" s="30">
        <f>SUM(Oct!D10, Nov!D10, Dec!D10)</f>
        <v>0</v>
      </c>
      <c r="E10" s="30">
        <f t="shared" si="0"/>
        <v>0</v>
      </c>
      <c r="F10" s="31" t="str">
        <f t="shared" si="1"/>
        <v/>
      </c>
      <c r="G10" s="32">
        <f>SUM(Oct!G10,Nov!G10,Dec!G10)</f>
        <v>0</v>
      </c>
      <c r="H10" s="32">
        <f>SUM(Oct!H10, Nov!H10, Dec!H10)</f>
        <v>0</v>
      </c>
      <c r="I10" s="33" t="str">
        <f t="shared" si="2"/>
        <v/>
      </c>
    </row>
    <row r="11" spans="1:9" ht="15.6">
      <c r="A11" s="49" t="str">
        <v>Staten Island - Ellis Storage</v>
      </c>
      <c r="B11" s="35" t="str">
        <v>NY</v>
      </c>
      <c r="C11" s="36">
        <f>SUM(Oct!C11, Nov!C11, Dec!C11)</f>
        <v>0</v>
      </c>
      <c r="D11" s="37">
        <f>SUM(Oct!D11, Nov!D11, Dec!D11)</f>
        <v>0</v>
      </c>
      <c r="E11" s="37">
        <f t="shared" si="0"/>
        <v>0</v>
      </c>
      <c r="F11" s="38" t="str">
        <f t="shared" si="1"/>
        <v/>
      </c>
      <c r="G11" s="37">
        <f>SUM(Oct!G11,Nov!G11,Dec!G11)</f>
        <v>0</v>
      </c>
      <c r="H11" s="39">
        <f>SUM(Oct!H11, Nov!H11, Dec!H11)</f>
        <v>0</v>
      </c>
      <c r="I11" s="38" t="str">
        <f t="shared" si="2"/>
        <v/>
      </c>
    </row>
    <row r="12" spans="1:9" ht="15.6">
      <c r="A12" s="48" t="str">
        <v>Amherst - 595 Schoelles Road</v>
      </c>
      <c r="B12" s="28" t="str">
        <v>NY</v>
      </c>
      <c r="C12" s="29">
        <f>SUM(Oct!C12, Nov!C12, Dec!C12)</f>
        <v>0</v>
      </c>
      <c r="D12" s="30">
        <f>SUM(Oct!D12, Nov!D12, Dec!D12)</f>
        <v>0</v>
      </c>
      <c r="E12" s="30">
        <f t="shared" si="0"/>
        <v>0</v>
      </c>
      <c r="F12" s="31" t="str">
        <f t="shared" si="1"/>
        <v/>
      </c>
      <c r="G12" s="32">
        <f>SUM(Oct!G12,Nov!G12,Dec!G12)</f>
        <v>0</v>
      </c>
      <c r="H12" s="32">
        <f>SUM(Oct!H12, Nov!H12, Dec!H12)</f>
        <v>0</v>
      </c>
      <c r="I12" s="33" t="str">
        <f t="shared" si="2"/>
        <v/>
      </c>
    </row>
    <row r="13" spans="1:9" ht="15.6">
      <c r="A13" s="49" t="str">
        <v>Lancaster 1 - Gunnville Road</v>
      </c>
      <c r="B13" s="35" t="str">
        <v>NY</v>
      </c>
      <c r="C13" s="36">
        <f>SUM(Oct!C13, Nov!C13, Dec!C13)</f>
        <v>0</v>
      </c>
      <c r="D13" s="37">
        <f>SUM(Oct!D13, Nov!D13, Dec!D13)</f>
        <v>0</v>
      </c>
      <c r="E13" s="37">
        <f t="shared" si="0"/>
        <v>0</v>
      </c>
      <c r="F13" s="38" t="str">
        <f t="shared" si="1"/>
        <v/>
      </c>
      <c r="G13" s="37">
        <f>SUM(Oct!G13,Nov!G13,Dec!G13)</f>
        <v>0</v>
      </c>
      <c r="H13" s="39">
        <f>SUM(Oct!H13, Nov!H13, Dec!H13)</f>
        <v>0</v>
      </c>
      <c r="I13" s="38" t="str">
        <f t="shared" si="2"/>
        <v/>
      </c>
    </row>
    <row r="14" spans="1:9" ht="15.6">
      <c r="A14" s="48" t="str">
        <v>Lancaster 2 - Shisler Road</v>
      </c>
      <c r="B14" s="28" t="str">
        <v>NY</v>
      </c>
      <c r="C14" s="29">
        <f>SUM(Oct!C14, Nov!C14, Dec!C14)</f>
        <v>0</v>
      </c>
      <c r="D14" s="30">
        <f>SUM(Oct!D14, Nov!D14, Dec!D14)</f>
        <v>0</v>
      </c>
      <c r="E14" s="30">
        <f t="shared" si="0"/>
        <v>0</v>
      </c>
      <c r="F14" s="31" t="str">
        <f t="shared" si="1"/>
        <v/>
      </c>
      <c r="G14" s="32">
        <f>SUM(Oct!G14,Nov!G14,Dec!G14)</f>
        <v>0</v>
      </c>
      <c r="H14" s="32">
        <f>SUM(Oct!H14, Nov!H14, Dec!H14)</f>
        <v>0</v>
      </c>
      <c r="I14" s="33" t="str">
        <f t="shared" si="2"/>
        <v/>
      </c>
    </row>
    <row r="15" spans="1:9" ht="15.6">
      <c r="A15" s="49" t="str">
        <v>Fullerton - 200 W Orangethorpe</v>
      </c>
      <c r="B15" s="35" t="str">
        <v>CA</v>
      </c>
      <c r="C15" s="36">
        <f>SUM(Oct!C15, Nov!C15, Dec!C15)</f>
        <v>0</v>
      </c>
      <c r="D15" s="37">
        <f>SUM(Oct!D15, Nov!D15, Dec!D15)</f>
        <v>0</v>
      </c>
      <c r="E15" s="37">
        <f t="shared" si="0"/>
        <v>0</v>
      </c>
      <c r="F15" s="38" t="str">
        <f t="shared" si="1"/>
        <v/>
      </c>
      <c r="G15" s="37">
        <f>SUM(Oct!G15,Nov!G15,Dec!G15)</f>
        <v>0</v>
      </c>
      <c r="H15" s="39">
        <f>SUM(Oct!H15, Nov!H15, Dec!H15)</f>
        <v>0</v>
      </c>
      <c r="I15" s="38" t="str">
        <f t="shared" si="2"/>
        <v/>
      </c>
    </row>
    <row r="16" spans="1:9" ht="15.6">
      <c r="A16" s="48" t="str">
        <v>El Paso - 10500 Railroad Drive</v>
      </c>
      <c r="B16" s="28" t="str">
        <v>TX</v>
      </c>
      <c r="C16" s="29">
        <f>SUM(Oct!C16, Nov!C16, Dec!C16)</f>
        <v>0</v>
      </c>
      <c r="D16" s="30">
        <f>SUM(Oct!D16, Nov!D16, Dec!D16)</f>
        <v>0</v>
      </c>
      <c r="E16" s="30">
        <f t="shared" ref="E16:E21" si="3">IF(AND(ISNUMBER(C16),ISNUMBER(D16)), C16-D16, "")</f>
        <v>0</v>
      </c>
      <c r="F16" s="31" t="str">
        <f t="shared" ref="F16:F25" si="4">IFERROR(E16/D16, "")</f>
        <v/>
      </c>
      <c r="G16" s="32">
        <f>SUM(Oct!G16,Nov!G16,Dec!G16)</f>
        <v>0</v>
      </c>
      <c r="H16" s="32">
        <f>SUM(Oct!H16, Nov!H16, Dec!H16)</f>
        <v>0</v>
      </c>
      <c r="I16" s="33" t="str">
        <f t="shared" ref="I16:I25" si="5">IFERROR(H16/G16, "")</f>
        <v/>
      </c>
    </row>
    <row r="17" spans="1:9" ht="15.6">
      <c r="A17" s="49" t="str">
        <v>Friona - 900 Millard Ave</v>
      </c>
      <c r="B17" s="35" t="str">
        <v>TX</v>
      </c>
      <c r="C17" s="36">
        <f>SUM(Oct!C17, Nov!C17, Dec!C17)</f>
        <v>0</v>
      </c>
      <c r="D17" s="37">
        <f>SUM(Oct!D17, Nov!D17, Dec!D17)</f>
        <v>0</v>
      </c>
      <c r="E17" s="37">
        <f t="shared" si="3"/>
        <v>0</v>
      </c>
      <c r="F17" s="38" t="str">
        <f t="shared" si="4"/>
        <v/>
      </c>
      <c r="G17" s="37">
        <f>SUM(Oct!G17,Nov!G17,Dec!G17)</f>
        <v>0</v>
      </c>
      <c r="H17" s="39">
        <f>SUM(Oct!H17, Nov!H17, Dec!H17)</f>
        <v>0</v>
      </c>
      <c r="I17" s="38" t="str">
        <f t="shared" si="5"/>
        <v/>
      </c>
    </row>
    <row r="18" spans="1:9" ht="15.6">
      <c r="A18" s="48" t="str">
        <v>Augusta - 13 York Farm Road</v>
      </c>
      <c r="B18" s="28" t="str">
        <v>ME</v>
      </c>
      <c r="C18" s="29">
        <f>SUM(Oct!C18, Nov!C18, Dec!C18)</f>
        <v>0</v>
      </c>
      <c r="D18" s="30">
        <f>SUM(Oct!D18, Nov!D18, Dec!D18)</f>
        <v>0</v>
      </c>
      <c r="E18" s="30">
        <f t="shared" si="3"/>
        <v>0</v>
      </c>
      <c r="F18" s="31" t="str">
        <f t="shared" si="4"/>
        <v/>
      </c>
      <c r="G18" s="32">
        <f>SUM(Oct!G18,Nov!G18,Dec!G18)</f>
        <v>0</v>
      </c>
      <c r="H18" s="32">
        <f>SUM(Oct!H18, Nov!H18, Dec!H18)</f>
        <v>0</v>
      </c>
      <c r="I18" s="33" t="str">
        <f t="shared" si="5"/>
        <v/>
      </c>
    </row>
    <row r="19" spans="1:9" ht="15.6">
      <c r="A19" s="49" t="str">
        <v xml:space="preserve">Santa Ana - 1441 West </v>
      </c>
      <c r="B19" s="35" t="str">
        <v>CA</v>
      </c>
      <c r="C19" s="36">
        <f>SUM(Oct!C19, Nov!C19, Dec!C19)</f>
        <v>0</v>
      </c>
      <c r="D19" s="37">
        <f>SUM(Oct!D19, Nov!D19, Dec!D19)</f>
        <v>0</v>
      </c>
      <c r="E19" s="37">
        <f t="shared" si="3"/>
        <v>0</v>
      </c>
      <c r="F19" s="38" t="str">
        <f t="shared" si="4"/>
        <v/>
      </c>
      <c r="G19" s="37">
        <f>SUM(Oct!G19,Nov!G19,Dec!G19)</f>
        <v>0</v>
      </c>
      <c r="H19" s="39">
        <f>SUM(Oct!H19, Nov!H19, Dec!H19)</f>
        <v>0</v>
      </c>
      <c r="I19" s="38" t="str">
        <f t="shared" si="5"/>
        <v/>
      </c>
    </row>
    <row r="20" spans="1:9" ht="15.6">
      <c r="A20" s="48" t="str">
        <v>Jessup -7950 Oceano Ave</v>
      </c>
      <c r="B20" s="28" t="str">
        <v>MD</v>
      </c>
      <c r="C20" s="29">
        <f>SUM(Oct!C20, Nov!C20, Dec!C20)</f>
        <v>0</v>
      </c>
      <c r="D20" s="30">
        <f>SUM(Oct!D20, Nov!D20, Dec!D20)</f>
        <v>0</v>
      </c>
      <c r="E20" s="30">
        <f t="shared" si="3"/>
        <v>0</v>
      </c>
      <c r="F20" s="31" t="str">
        <f t="shared" si="4"/>
        <v/>
      </c>
      <c r="G20" s="32">
        <f>SUM(Oct!G20,Nov!G20,Dec!G20)</f>
        <v>0</v>
      </c>
      <c r="H20" s="32">
        <f>SUM(Oct!H20, Nov!H20, Dec!H20)</f>
        <v>0</v>
      </c>
      <c r="I20" s="33" t="str">
        <f t="shared" si="5"/>
        <v/>
      </c>
    </row>
    <row r="21" spans="1:9" ht="15.6">
      <c r="A21" s="49" t="str">
        <v xml:space="preserve">TX: Fort Worth - 5200 Gold Spike Dr </v>
      </c>
      <c r="B21" s="35" t="str">
        <v>TX</v>
      </c>
      <c r="C21" s="36">
        <f>SUM(Oct!C21, Nov!C21, Dec!C21)</f>
        <v>0</v>
      </c>
      <c r="D21" s="37">
        <f>SUM(Oct!D21, Nov!D21, Dec!D21)</f>
        <v>0</v>
      </c>
      <c r="E21" s="37">
        <f t="shared" si="3"/>
        <v>0</v>
      </c>
      <c r="F21" s="38" t="str">
        <f t="shared" si="4"/>
        <v/>
      </c>
      <c r="G21" s="37">
        <f>SUM(Oct!G21,Nov!G21,Dec!G21)</f>
        <v>0</v>
      </c>
      <c r="H21" s="39">
        <f>SUM(Oct!H21, Nov!H21, Dec!H21)</f>
        <v>0</v>
      </c>
      <c r="I21" s="38" t="str">
        <f t="shared" si="5"/>
        <v/>
      </c>
    </row>
    <row r="22" spans="1:9" ht="15.6">
      <c r="A22" s="48" t="str">
        <v>NY: Clifton Springs - Ontario 2 (21597)</v>
      </c>
      <c r="B22" s="28" t="str">
        <v>NY</v>
      </c>
      <c r="C22" s="29">
        <f>SUM(Oct!C22, Nov!C22, Dec!C22)</f>
        <v>0</v>
      </c>
      <c r="D22" s="30">
        <f>SUM(Oct!D22, Nov!D22, Dec!D22)</f>
        <v>0</v>
      </c>
      <c r="E22" s="30">
        <f t="shared" ref="E22:E25" si="6">IF(AND(ISNUMBER(C22),ISNUMBER(D22)), C22-D22, "")</f>
        <v>0</v>
      </c>
      <c r="F22" s="31" t="str">
        <f t="shared" si="4"/>
        <v/>
      </c>
      <c r="G22" s="32">
        <f>SUM(Oct!G22,Nov!G22,Dec!G22)</f>
        <v>0</v>
      </c>
      <c r="H22" s="32">
        <f>SUM(Oct!H22, Nov!H22, Dec!H22)</f>
        <v>0</v>
      </c>
      <c r="I22" s="33" t="str">
        <f t="shared" si="5"/>
        <v/>
      </c>
    </row>
    <row r="23" spans="1:9" ht="15.6">
      <c r="A23" s="49" t="str">
        <v>CA: Oxnard - 2600 Sakioka - System A</v>
      </c>
      <c r="B23" s="35" t="str">
        <v>CA</v>
      </c>
      <c r="C23" s="36">
        <f>SUM(Oct!C23, Nov!C23, Dec!C23)</f>
        <v>0</v>
      </c>
      <c r="D23" s="37">
        <f>SUM(Oct!D23, Nov!D23, Dec!D23)</f>
        <v>0</v>
      </c>
      <c r="E23" s="37">
        <f t="shared" si="6"/>
        <v>0</v>
      </c>
      <c r="F23" s="38" t="str">
        <f t="shared" si="4"/>
        <v/>
      </c>
      <c r="G23" s="37">
        <f>SUM(Oct!G23,Nov!G23,Dec!G23)</f>
        <v>0</v>
      </c>
      <c r="H23" s="39">
        <f>SUM(Oct!H23, Nov!H23, Dec!H23)</f>
        <v>0</v>
      </c>
      <c r="I23" s="38" t="str">
        <f t="shared" si="5"/>
        <v/>
      </c>
    </row>
    <row r="24" spans="1:9" ht="15.6">
      <c r="A24" s="48" t="str">
        <v>CA: Oxnard - 2600 Sakioka - System B</v>
      </c>
      <c r="B24" s="28" t="str">
        <v>CA</v>
      </c>
      <c r="C24" s="29">
        <f>SUM(Oct!C24, Nov!C24, Dec!C24)</f>
        <v>0</v>
      </c>
      <c r="D24" s="30">
        <f>SUM(Oct!D24, Nov!D24, Dec!D24)</f>
        <v>0</v>
      </c>
      <c r="E24" s="30">
        <f t="shared" si="6"/>
        <v>0</v>
      </c>
      <c r="F24" s="31" t="str">
        <f t="shared" si="4"/>
        <v/>
      </c>
      <c r="G24" s="32">
        <f>SUM(Oct!G24,Nov!G24,Dec!G24)</f>
        <v>0</v>
      </c>
      <c r="H24" s="32">
        <f>SUM(Oct!H24, Nov!H24, Dec!H24)</f>
        <v>0</v>
      </c>
      <c r="I24" s="33" t="str">
        <f t="shared" si="5"/>
        <v/>
      </c>
    </row>
    <row r="25" spans="1:9" ht="15.6">
      <c r="A25" s="49" t="str">
        <v>NY: Fonda - Montgomery 1 (21601)</v>
      </c>
      <c r="B25" s="35" t="str">
        <v>NY</v>
      </c>
      <c r="C25" s="36">
        <f>SUM(Oct!C25, Nov!C25, Dec!C25)</f>
        <v>0</v>
      </c>
      <c r="D25" s="37">
        <f>SUM(Oct!D25, Nov!D25, Dec!D25)</f>
        <v>0</v>
      </c>
      <c r="E25" s="37">
        <f t="shared" si="6"/>
        <v>0</v>
      </c>
      <c r="F25" s="38" t="str">
        <f t="shared" si="4"/>
        <v/>
      </c>
      <c r="G25" s="37">
        <f>SUM(Oct!G25,Nov!G25,Dec!G25)</f>
        <v>0</v>
      </c>
      <c r="H25" s="39">
        <f>SUM(Oct!H25, Nov!H25, Dec!H25)</f>
        <v>0</v>
      </c>
      <c r="I25" s="38" t="str">
        <f t="shared" si="5"/>
        <v/>
      </c>
    </row>
    <row r="26" spans="1:9" ht="15.6">
      <c r="A26" s="48" t="str">
        <v>NY: Evans - SL Evans Array 1 (21106) - (PW)</v>
      </c>
      <c r="B26" s="28" t="str">
        <v>NY</v>
      </c>
      <c r="C26" s="29">
        <f>SUM(Oct!C26, Nov!C26, Dec!C26)</f>
        <v>0</v>
      </c>
      <c r="D26" s="30">
        <f>SUM(Oct!D26, Nov!D26, Dec!D26)</f>
        <v>0</v>
      </c>
      <c r="E26" s="30">
        <f t="shared" ref="E26:E27" si="7">IF(AND(ISNUMBER(C26),ISNUMBER(D26)), C26-D26, "")</f>
        <v>0</v>
      </c>
      <c r="F26" s="31" t="str">
        <f t="shared" ref="F26:F27" si="8">IFERROR(E26/D26, "")</f>
        <v/>
      </c>
      <c r="G26" s="32">
        <f>SUM(Oct!G26,Nov!G26,Dec!G26)</f>
        <v>0</v>
      </c>
      <c r="H26" s="32">
        <f>SUM(Oct!H26, Nov!H26, Dec!H26)</f>
        <v>0</v>
      </c>
      <c r="I26" s="33" t="str">
        <f t="shared" ref="I26:I27" si="9">IFERROR(H26/G26, "")</f>
        <v/>
      </c>
    </row>
    <row r="27" spans="1:9" ht="15.6">
      <c r="A27" s="49" t="str">
        <v>NY: Evans - SL Evans Array 2 (21107) - (PW)</v>
      </c>
      <c r="B27" s="35" t="str">
        <v>NY</v>
      </c>
      <c r="C27" s="36">
        <f>SUM(Oct!C27, Nov!C27, Dec!C27)</f>
        <v>0</v>
      </c>
      <c r="D27" s="37">
        <f>SUM(Oct!D27, Nov!D27, Dec!D27)</f>
        <v>0</v>
      </c>
      <c r="E27" s="37">
        <f t="shared" si="7"/>
        <v>0</v>
      </c>
      <c r="F27" s="38" t="str">
        <f t="shared" si="8"/>
        <v/>
      </c>
      <c r="G27" s="37">
        <f>SUM(Oct!G27,Nov!G27,Dec!G27)</f>
        <v>0</v>
      </c>
      <c r="H27" s="39">
        <f>SUM(Oct!H27, Nov!H27, Dec!H27)</f>
        <v>0</v>
      </c>
      <c r="I27" s="38" t="str">
        <f t="shared" si="9"/>
        <v/>
      </c>
    </row>
    <row r="28" spans="1:9" ht="15.6">
      <c r="A28" s="48" t="str">
        <v>NY: Flushing - 131-21 14th Ave</v>
      </c>
      <c r="B28" s="28" t="str">
        <v>NY</v>
      </c>
      <c r="C28" s="29">
        <f>SUM(Oct!C28, Nov!C28, Dec!C28)</f>
        <v>0</v>
      </c>
      <c r="D28" s="30">
        <f>SUM(Oct!D28, Nov!D28, Dec!D28)</f>
        <v>0</v>
      </c>
      <c r="E28" s="30">
        <f>IF(AND(ISNUMBER(C28),ISNUMBER(D28)), C28-D28, "")</f>
        <v>0</v>
      </c>
      <c r="F28" s="31" t="str">
        <f>IFERROR(E28/D28, "")</f>
        <v/>
      </c>
      <c r="G28" s="32">
        <f>SUM(Oct!G28,Nov!G28,Dec!G28)</f>
        <v>0</v>
      </c>
      <c r="H28" s="32">
        <f>SUM(Oct!H28, Nov!H28, Dec!H28)</f>
        <v>0</v>
      </c>
      <c r="I28" s="33" t="str">
        <f>IFERROR(H28/G28, "")</f>
        <v/>
      </c>
    </row>
    <row r="29" spans="1:9" ht="15.6">
      <c r="A29" s="49" t="str">
        <v>NY: Binghamton - Airport Rd (18878) - (PW)</v>
      </c>
      <c r="B29" s="35" t="str">
        <v>NY</v>
      </c>
      <c r="C29" s="36">
        <f>SUM(Oct!C29, Nov!C29, Dec!C29)</f>
        <v>0</v>
      </c>
      <c r="D29" s="37">
        <f>SUM(Oct!D29, Nov!D29, Dec!D29)</f>
        <v>0</v>
      </c>
      <c r="E29" s="37">
        <f>IF(AND(ISNUMBER(C29),ISNUMBER(D29)), C29-D29, "")</f>
        <v>0</v>
      </c>
      <c r="F29" s="87" t="str">
        <f>IFERROR(E29/D29, "")</f>
        <v/>
      </c>
      <c r="G29" s="37">
        <f>SUM(Oct!G29,Nov!G29,Dec!G29)</f>
        <v>0</v>
      </c>
      <c r="H29" s="55">
        <f>SUM(Oct!H29, Nov!H29, Dec!H29)</f>
        <v>0</v>
      </c>
      <c r="I29" s="87" t="str">
        <f>IFERROR(H29/G29, "")</f>
        <v/>
      </c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  <row r="323" spans="1:9" ht="13.9">
      <c r="A323" s="9"/>
      <c r="B323" s="9"/>
      <c r="C323" s="9"/>
      <c r="D323" s="9"/>
      <c r="E323" s="9"/>
      <c r="F323" s="10"/>
      <c r="G323" s="9"/>
      <c r="H323" s="9"/>
      <c r="I323" s="10"/>
    </row>
    <row r="324" spans="1:9" ht="13.9">
      <c r="A324" s="9"/>
      <c r="B324" s="9"/>
      <c r="C324" s="9"/>
      <c r="D324" s="9"/>
      <c r="E324" s="9"/>
      <c r="F324" s="10"/>
      <c r="G324" s="9"/>
      <c r="H324" s="9"/>
      <c r="I324" s="10"/>
    </row>
    <row r="325" spans="1:9" ht="13.9">
      <c r="A325" s="9"/>
      <c r="B325" s="9"/>
      <c r="C325" s="9"/>
      <c r="D325" s="9"/>
      <c r="E325" s="9"/>
      <c r="F325" s="10"/>
      <c r="G325" s="9"/>
      <c r="H325" s="9"/>
      <c r="I325" s="10"/>
    </row>
    <row r="326" spans="1:9" ht="13.9">
      <c r="A326" s="9"/>
      <c r="B326" s="9"/>
      <c r="C326" s="9"/>
      <c r="D326" s="9"/>
      <c r="E326" s="9"/>
      <c r="F326" s="10"/>
      <c r="G326" s="9"/>
      <c r="H326" s="9"/>
      <c r="I326" s="10"/>
    </row>
    <row r="327" spans="1:9" ht="13.9">
      <c r="A327" s="9"/>
      <c r="B327" s="9"/>
      <c r="C327" s="9"/>
      <c r="D327" s="9"/>
      <c r="E327" s="9"/>
      <c r="F327" s="10"/>
      <c r="G327" s="9"/>
      <c r="H327" s="9"/>
      <c r="I327" s="10"/>
    </row>
    <row r="328" spans="1:9" ht="13.9">
      <c r="A328" s="9"/>
      <c r="B328" s="9"/>
      <c r="C328" s="9"/>
      <c r="D328" s="9"/>
      <c r="E328" s="9"/>
      <c r="F328" s="10"/>
      <c r="G328" s="9"/>
      <c r="H328" s="9"/>
      <c r="I328" s="10"/>
    </row>
    <row r="329" spans="1:9" ht="13.9">
      <c r="A329" s="9"/>
      <c r="B329" s="9"/>
      <c r="C329" s="9"/>
      <c r="D329" s="9"/>
      <c r="E329" s="9"/>
      <c r="F329" s="10"/>
      <c r="G329" s="9"/>
      <c r="H329" s="9"/>
      <c r="I329" s="10"/>
    </row>
    <row r="330" spans="1:9" ht="13.9">
      <c r="A330" s="9"/>
      <c r="B330" s="9"/>
      <c r="C330" s="9"/>
      <c r="D330" s="9"/>
      <c r="E330" s="9"/>
      <c r="F330" s="10"/>
      <c r="G330" s="9"/>
      <c r="H330" s="9"/>
      <c r="I330" s="10"/>
    </row>
    <row r="331" spans="1:9" ht="13.9">
      <c r="A331" s="9"/>
      <c r="B331" s="9"/>
      <c r="C331" s="9"/>
      <c r="D331" s="9"/>
      <c r="E331" s="9"/>
      <c r="F331" s="10"/>
      <c r="G331" s="9"/>
      <c r="H331" s="9"/>
      <c r="I331" s="10"/>
    </row>
    <row r="332" spans="1:9" ht="13.9">
      <c r="A332" s="9"/>
      <c r="B332" s="9"/>
      <c r="C332" s="9"/>
      <c r="D332" s="9"/>
      <c r="E332" s="9"/>
      <c r="F332" s="10"/>
      <c r="G332" s="9"/>
      <c r="H332" s="9"/>
      <c r="I332" s="10"/>
    </row>
    <row r="333" spans="1:9" ht="13.9">
      <c r="A333" s="9"/>
      <c r="B333" s="9"/>
      <c r="C333" s="9"/>
      <c r="D333" s="9"/>
      <c r="E333" s="9"/>
      <c r="F333" s="10"/>
      <c r="G333" s="9"/>
      <c r="H333" s="9"/>
      <c r="I333" s="10"/>
    </row>
    <row r="334" spans="1:9" ht="13.9">
      <c r="A334" s="9"/>
      <c r="B334" s="9"/>
      <c r="C334" s="9"/>
      <c r="D334" s="9"/>
      <c r="E334" s="9"/>
      <c r="F334" s="10"/>
      <c r="G334" s="9"/>
      <c r="H334" s="9"/>
      <c r="I334" s="10"/>
    </row>
  </sheetData>
  <mergeCells count="4">
    <mergeCell ref="G1:I1"/>
    <mergeCell ref="A1:C1"/>
    <mergeCell ref="D1:F1"/>
    <mergeCell ref="A2:B2"/>
  </mergeCells>
  <conditionalFormatting sqref="F2 I2 F4:F92 I4:I92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Q332"/>
  <sheetViews>
    <sheetView tabSelected="1" zoomScale="60" zoomScaleNormal="60" workbookViewId="0">
      <pane xSplit="2" ySplit="3" topLeftCell="I18" activePane="bottomRight" state="frozen"/>
      <selection pane="bottomRight" activeCell="A4" sqref="A4:A29"/>
      <selection pane="bottomLeft" activeCell="H36" sqref="H36"/>
      <selection pane="topRight" activeCell="H36" sqref="H36"/>
    </sheetView>
  </sheetViews>
  <sheetFormatPr defaultRowHeight="13.9"/>
  <cols>
    <col min="1" max="1" width="40.85546875" customWidth="1"/>
    <col min="2" max="2" width="14.5703125" style="15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140625" bestFit="1" customWidth="1"/>
    <col min="12" max="12" width="19.5703125" customWidth="1"/>
    <col min="13" max="17" width="8.85546875" style="70"/>
  </cols>
  <sheetData>
    <row r="1" spans="1:17" ht="15.6">
      <c r="A1" s="100" t="str" cm="1">
        <f t="array" ref="A1">portfolio</f>
        <v>Catalyze</v>
      </c>
      <c r="B1" s="100"/>
      <c r="C1" s="100"/>
      <c r="D1" s="101" t="s">
        <v>19</v>
      </c>
      <c r="E1" s="101"/>
      <c r="F1" s="101"/>
      <c r="G1" s="99" t="s">
        <v>20</v>
      </c>
      <c r="H1" s="99"/>
      <c r="I1" s="99"/>
      <c r="J1" s="4"/>
      <c r="K1" s="4"/>
      <c r="L1" s="4"/>
    </row>
    <row r="2" spans="1:17" ht="15.6">
      <c r="A2" s="102" t="s">
        <v>2</v>
      </c>
      <c r="B2" s="102"/>
      <c r="C2" s="5">
        <f>SUM(C4:C90)</f>
        <v>2754544.4335638485</v>
      </c>
      <c r="D2" s="5">
        <f>SUM(D4:D90)</f>
        <v>4359232.3538000006</v>
      </c>
      <c r="E2" s="5">
        <f>C2-D2</f>
        <v>-1604687.9202361521</v>
      </c>
      <c r="F2" s="6">
        <f>IFERROR(E2/D2, 0)</f>
        <v>-0.36811250009128887</v>
      </c>
      <c r="G2" s="5">
        <f>SUM(G4:G90)</f>
        <v>4047377.1290000002</v>
      </c>
      <c r="H2" s="7">
        <f>C2-G2</f>
        <v>-1292832.6954361517</v>
      </c>
      <c r="I2" s="6">
        <f>IFERROR(H2/G2, 0)</f>
        <v>-0.31942481617856461</v>
      </c>
      <c r="J2" s="12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7" ht="15.6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6" t="s">
        <v>9</v>
      </c>
      <c r="H3" s="24" t="s">
        <v>7</v>
      </c>
      <c r="I3" s="25" t="s">
        <v>8</v>
      </c>
      <c r="J3" s="11" t="s">
        <v>21</v>
      </c>
      <c r="K3" s="11" t="s">
        <v>22</v>
      </c>
      <c r="L3" s="11"/>
    </row>
    <row r="4" spans="1:17" ht="15.6">
      <c r="A4" s="44" t="str" cm="1">
        <f t="array" ref="A4:A29">Sites[Site]</f>
        <v>Fresno - 3150 Shaw Ave</v>
      </c>
      <c r="B4" s="41" t="str" cm="1">
        <f t="array" ref="B4:B29">Sites[State]</f>
        <v>CA</v>
      </c>
      <c r="C4" s="29">
        <v>46267.75</v>
      </c>
      <c r="D4" s="30">
        <v>39649.39</v>
      </c>
      <c r="E4" s="30">
        <f>IF(AND(ISNUMBER(C4),ISNUMBER(D4)), C4-D4, "")</f>
        <v>6618.3600000000006</v>
      </c>
      <c r="F4" s="33">
        <f>IFERROR(E4/D4, "")</f>
        <v>0.16692211406026677</v>
      </c>
      <c r="G4" s="32">
        <v>49997.93</v>
      </c>
      <c r="H4" s="32">
        <f>IF(AND(ISNUMBER(C4),ISNUMBER(G4)), C4-G4, "")</f>
        <v>-3730.1800000000003</v>
      </c>
      <c r="I4" s="33">
        <f>IFERROR(H4/G4, "")</f>
        <v>-7.4606688716912881E-2</v>
      </c>
      <c r="J4" s="50" t="s">
        <v>23</v>
      </c>
      <c r="K4" s="66"/>
      <c r="L4" s="66"/>
    </row>
    <row r="5" spans="1:17" ht="45" customHeight="1">
      <c r="A5" s="46" t="str">
        <v>Adelanto - 1 Sheep Creek Road</v>
      </c>
      <c r="B5" s="43" t="str">
        <v>CA</v>
      </c>
      <c r="C5" s="37">
        <v>453094</v>
      </c>
      <c r="D5" s="37">
        <v>363263.06879999995</v>
      </c>
      <c r="E5" s="37">
        <f t="shared" ref="E5:E11" si="0">IF(AND(ISNUMBER(C5),ISNUMBER(D5)), C5-D5, "")</f>
        <v>89830.93120000005</v>
      </c>
      <c r="F5" s="38">
        <f t="shared" ref="F5:F11" si="1">IFERROR(E5/D5, "")</f>
        <v>0.24728891790940039</v>
      </c>
      <c r="G5" s="92" t="s">
        <v>24</v>
      </c>
      <c r="H5" s="39" t="str">
        <f t="shared" ref="H5:H6" si="2">IF(AND(ISNUMBER(C5),ISNUMBER(G5)), C5-G5, "")</f>
        <v/>
      </c>
      <c r="I5" s="38" t="str">
        <f t="shared" ref="I5:I6" si="3">IFERROR(H5/G5, "")</f>
        <v/>
      </c>
      <c r="J5" s="59" t="s">
        <v>25</v>
      </c>
      <c r="K5" s="67" t="s">
        <v>26</v>
      </c>
      <c r="L5" s="59" t="s">
        <v>27</v>
      </c>
      <c r="N5" s="71"/>
      <c r="O5" s="71"/>
    </row>
    <row r="6" spans="1:17" ht="48" customHeight="1">
      <c r="A6" s="44" t="str">
        <v>Blackstone - 83 Federal Street</v>
      </c>
      <c r="B6" s="41" t="str">
        <v>MA</v>
      </c>
      <c r="C6" s="29">
        <v>154717.19999999899</v>
      </c>
      <c r="D6" s="30">
        <v>436933.4</v>
      </c>
      <c r="E6" s="30">
        <f t="shared" si="0"/>
        <v>-282216.200000001</v>
      </c>
      <c r="F6" s="33">
        <f t="shared" si="1"/>
        <v>-0.64590209858070124</v>
      </c>
      <c r="G6" s="32">
        <v>382449.3</v>
      </c>
      <c r="H6" s="32">
        <f t="shared" si="2"/>
        <v>-227732.100000001</v>
      </c>
      <c r="I6" s="33">
        <f t="shared" si="3"/>
        <v>-0.59545696645281088</v>
      </c>
      <c r="J6" s="50" t="s">
        <v>28</v>
      </c>
      <c r="K6" s="66" t="s">
        <v>29</v>
      </c>
      <c r="L6" s="50" t="s">
        <v>30</v>
      </c>
      <c r="M6" s="71" t="s">
        <v>31</v>
      </c>
      <c r="N6" s="71"/>
      <c r="O6" s="71"/>
      <c r="P6" s="71"/>
      <c r="Q6" s="71"/>
    </row>
    <row r="7" spans="1:17" ht="28.9">
      <c r="A7" s="46" t="str">
        <v>Charlton - 299 Worcester Road</v>
      </c>
      <c r="B7" s="43" t="str">
        <v>MA</v>
      </c>
      <c r="C7" s="37">
        <v>9415.5</v>
      </c>
      <c r="D7" s="37">
        <v>34669.26</v>
      </c>
      <c r="E7" s="37">
        <f t="shared" si="0"/>
        <v>-25253.760000000002</v>
      </c>
      <c r="F7" s="38">
        <f t="shared" si="1"/>
        <v>-0.72841935478288256</v>
      </c>
      <c r="G7" s="39">
        <v>31512.7</v>
      </c>
      <c r="H7" s="39">
        <f t="shared" ref="H7:H29" si="4">IF(AND(ISNUMBER(C7),ISNUMBER(G7)), C7-G7, "")</f>
        <v>-22097.200000000001</v>
      </c>
      <c r="I7" s="38">
        <f t="shared" ref="I7:I29" si="5">IFERROR(H7/G7, "")</f>
        <v>-0.70121570033668967</v>
      </c>
      <c r="J7" s="51" t="s">
        <v>32</v>
      </c>
      <c r="K7" s="51"/>
      <c r="L7" s="51"/>
    </row>
    <row r="8" spans="1:17" ht="28.9">
      <c r="A8" s="44" t="str">
        <v>Wareham - 8 Thatcher Drive</v>
      </c>
      <c r="B8" s="41" t="str">
        <v>MA</v>
      </c>
      <c r="C8" s="29">
        <v>3823.625</v>
      </c>
      <c r="D8" s="30">
        <v>8234.384</v>
      </c>
      <c r="E8" s="30">
        <f t="shared" si="0"/>
        <v>-4410.759</v>
      </c>
      <c r="F8" s="33">
        <f t="shared" si="1"/>
        <v>-0.53565136141331271</v>
      </c>
      <c r="G8" s="32">
        <v>8913.4449999999997</v>
      </c>
      <c r="H8" s="32">
        <f t="shared" si="4"/>
        <v>-5089.82</v>
      </c>
      <c r="I8" s="33">
        <f t="shared" si="5"/>
        <v>-0.57102725152844946</v>
      </c>
      <c r="J8" s="50" t="s">
        <v>33</v>
      </c>
      <c r="K8" s="50"/>
      <c r="L8" s="50"/>
    </row>
    <row r="9" spans="1:17" ht="28.9">
      <c r="A9" s="46" t="str">
        <v>West Yarmouth - 42 Mid Tech</v>
      </c>
      <c r="B9" s="43" t="str">
        <v>MA</v>
      </c>
      <c r="C9" s="37">
        <v>1911.97486464179</v>
      </c>
      <c r="D9" s="37">
        <v>6662.8509999999997</v>
      </c>
      <c r="E9" s="37">
        <f t="shared" si="0"/>
        <v>-4750.8761353582095</v>
      </c>
      <c r="F9" s="38">
        <f t="shared" si="1"/>
        <v>-0.71303952847785579</v>
      </c>
      <c r="G9" s="39">
        <v>6736.0839999999998</v>
      </c>
      <c r="H9" s="39">
        <f t="shared" si="4"/>
        <v>-4824.1091353582096</v>
      </c>
      <c r="I9" s="38">
        <f t="shared" si="5"/>
        <v>-0.71615929007984602</v>
      </c>
      <c r="J9" s="59" t="s">
        <v>34</v>
      </c>
      <c r="K9" s="67" t="s">
        <v>35</v>
      </c>
      <c r="L9" s="59" t="s">
        <v>36</v>
      </c>
    </row>
    <row r="10" spans="1:17" ht="43.15">
      <c r="A10" s="44" t="str">
        <v>Harrison - 130 Union Street</v>
      </c>
      <c r="B10" s="41" t="str">
        <v>NY</v>
      </c>
      <c r="C10" s="29">
        <v>4243.25</v>
      </c>
      <c r="D10" s="30">
        <v>12642.55</v>
      </c>
      <c r="E10" s="30">
        <f t="shared" si="0"/>
        <v>-8399.2999999999993</v>
      </c>
      <c r="F10" s="33">
        <f t="shared" si="1"/>
        <v>-0.66436755243206469</v>
      </c>
      <c r="G10" s="32">
        <v>10640.74</v>
      </c>
      <c r="H10" s="32">
        <f t="shared" si="4"/>
        <v>-6397.49</v>
      </c>
      <c r="I10" s="33">
        <f t="shared" si="5"/>
        <v>-0.60122604254967227</v>
      </c>
      <c r="J10" s="50" t="s">
        <v>37</v>
      </c>
      <c r="K10" s="66" t="s">
        <v>38</v>
      </c>
      <c r="L10" s="50" t="s">
        <v>39</v>
      </c>
      <c r="M10" s="71" t="s">
        <v>40</v>
      </c>
    </row>
    <row r="11" spans="1:17" ht="15.6">
      <c r="A11" s="46" t="str">
        <v>Staten Island - Ellis Storage</v>
      </c>
      <c r="B11" s="43" t="str">
        <v>NY</v>
      </c>
      <c r="C11" s="37">
        <v>13895.25</v>
      </c>
      <c r="D11" s="37">
        <v>25513.11</v>
      </c>
      <c r="E11" s="37">
        <f t="shared" si="0"/>
        <v>-11617.86</v>
      </c>
      <c r="F11" s="38">
        <f t="shared" si="1"/>
        <v>-0.45536824009303456</v>
      </c>
      <c r="G11" s="39">
        <v>22750.75</v>
      </c>
      <c r="H11" s="39">
        <f t="shared" si="4"/>
        <v>-8855.5</v>
      </c>
      <c r="I11" s="38">
        <f t="shared" si="5"/>
        <v>-0.38923991516763184</v>
      </c>
      <c r="J11" s="51" t="s">
        <v>41</v>
      </c>
      <c r="K11" s="59"/>
      <c r="L11" s="59"/>
    </row>
    <row r="12" spans="1:17" ht="28.9">
      <c r="A12" s="44" t="str">
        <v>Amherst - 595 Schoelles Road</v>
      </c>
      <c r="B12" s="41" t="str">
        <v>NY</v>
      </c>
      <c r="C12" s="29">
        <v>46166</v>
      </c>
      <c r="D12" s="30">
        <v>264342.2</v>
      </c>
      <c r="E12" s="30">
        <f t="shared" ref="E12:E29" si="6">IF(AND(ISNUMBER(C12),ISNUMBER(D12)), C12-D12, "")</f>
        <v>-218176.2</v>
      </c>
      <c r="F12" s="33">
        <f t="shared" ref="F12:F29" si="7">IFERROR(E12/D12, "")</f>
        <v>-0.82535516463129988</v>
      </c>
      <c r="G12" s="32">
        <v>277726.90000000002</v>
      </c>
      <c r="H12" s="32">
        <f t="shared" si="4"/>
        <v>-231560.90000000002</v>
      </c>
      <c r="I12" s="33">
        <f t="shared" si="5"/>
        <v>-0.8337719536710344</v>
      </c>
      <c r="J12" s="50" t="s">
        <v>42</v>
      </c>
      <c r="K12" s="66" t="s">
        <v>43</v>
      </c>
      <c r="L12" s="50" t="s">
        <v>30</v>
      </c>
      <c r="M12" s="71" t="s">
        <v>44</v>
      </c>
    </row>
    <row r="13" spans="1:17" ht="57.6">
      <c r="A13" s="46" t="str">
        <v>Lancaster 1 - Gunnville Road</v>
      </c>
      <c r="B13" s="43" t="str">
        <v>NY</v>
      </c>
      <c r="C13" s="37">
        <v>115702</v>
      </c>
      <c r="D13" s="37">
        <v>226753.7</v>
      </c>
      <c r="E13" s="37">
        <f>IF(AND(ISNUMBER(C13),ISNUMBER(D13)), C13-D13, "")</f>
        <v>-111051.70000000001</v>
      </c>
      <c r="F13" s="38">
        <f t="shared" si="7"/>
        <v>-0.48974592255826477</v>
      </c>
      <c r="G13" s="39">
        <v>190812.79999999999</v>
      </c>
      <c r="H13" s="39">
        <f t="shared" si="4"/>
        <v>-75110.799999999988</v>
      </c>
      <c r="I13" s="38">
        <f t="shared" si="5"/>
        <v>-0.39363606634355763</v>
      </c>
      <c r="J13" s="51" t="s">
        <v>45</v>
      </c>
      <c r="K13" s="67" t="s">
        <v>46</v>
      </c>
      <c r="L13" s="59" t="s">
        <v>47</v>
      </c>
      <c r="M13" s="71" t="s">
        <v>48</v>
      </c>
      <c r="N13" s="71" t="s">
        <v>49</v>
      </c>
      <c r="O13" s="71" t="s">
        <v>50</v>
      </c>
    </row>
    <row r="14" spans="1:17" ht="36" customHeight="1">
      <c r="A14" s="44" t="str">
        <v>Lancaster 2 - Shisler Road</v>
      </c>
      <c r="B14" s="41" t="str">
        <v>NY</v>
      </c>
      <c r="C14" s="29">
        <v>130208</v>
      </c>
      <c r="D14" s="30">
        <v>298894.40000000002</v>
      </c>
      <c r="E14" s="30">
        <f t="shared" si="6"/>
        <v>-168686.40000000002</v>
      </c>
      <c r="F14" s="33">
        <f t="shared" si="7"/>
        <v>-0.56436788377433644</v>
      </c>
      <c r="G14" s="32">
        <v>203856.3</v>
      </c>
      <c r="H14" s="32">
        <f t="shared" si="4"/>
        <v>-73648.299999999988</v>
      </c>
      <c r="I14" s="33">
        <f t="shared" si="5"/>
        <v>-0.36127556518979298</v>
      </c>
      <c r="J14" s="50" t="s">
        <v>51</v>
      </c>
      <c r="K14" s="66" t="s">
        <v>52</v>
      </c>
      <c r="L14" s="50" t="s">
        <v>53</v>
      </c>
      <c r="N14" s="71"/>
      <c r="O14" s="71"/>
    </row>
    <row r="15" spans="1:17" ht="28.9">
      <c r="A15" s="46" t="str">
        <v>Fullerton - 200 W Orangethorpe</v>
      </c>
      <c r="B15" s="43" t="str">
        <v>CA</v>
      </c>
      <c r="C15" s="37">
        <v>67370.75</v>
      </c>
      <c r="D15" s="37">
        <v>71266.78</v>
      </c>
      <c r="E15" s="37">
        <f t="shared" si="6"/>
        <v>-3896.0299999999988</v>
      </c>
      <c r="F15" s="38">
        <f t="shared" si="7"/>
        <v>-5.4668247955078075E-2</v>
      </c>
      <c r="G15" s="39">
        <v>74519.789999999994</v>
      </c>
      <c r="H15" s="39">
        <f t="shared" si="4"/>
        <v>-7149.0399999999936</v>
      </c>
      <c r="I15" s="38">
        <f t="shared" si="5"/>
        <v>-9.5934784571990797E-2</v>
      </c>
      <c r="J15" s="59" t="s">
        <v>54</v>
      </c>
      <c r="K15" s="67" t="s">
        <v>55</v>
      </c>
      <c r="L15" s="59" t="s">
        <v>30</v>
      </c>
    </row>
    <row r="16" spans="1:17" ht="15.6">
      <c r="A16" s="44" t="str">
        <v>El Paso - 10500 Railroad Drive</v>
      </c>
      <c r="B16" s="41" t="str">
        <v>TX</v>
      </c>
      <c r="C16" s="29">
        <v>55254.4110095301</v>
      </c>
      <c r="D16" s="30">
        <v>55152.35</v>
      </c>
      <c r="E16" s="30">
        <f t="shared" si="6"/>
        <v>102.06100953010173</v>
      </c>
      <c r="F16" s="33">
        <f t="shared" si="7"/>
        <v>1.8505287540803198E-3</v>
      </c>
      <c r="G16" s="32">
        <v>94449.43</v>
      </c>
      <c r="H16" s="32">
        <f t="shared" si="4"/>
        <v>-39195.018990469893</v>
      </c>
      <c r="I16" s="33">
        <f t="shared" si="5"/>
        <v>-0.41498417714611824</v>
      </c>
      <c r="J16" s="50" t="s">
        <v>56</v>
      </c>
      <c r="K16" s="66" t="s">
        <v>57</v>
      </c>
      <c r="L16" s="50" t="s">
        <v>58</v>
      </c>
    </row>
    <row r="17" spans="1:15" ht="15.6">
      <c r="A17" s="46" t="str">
        <v>Friona - 900 Millard Ave</v>
      </c>
      <c r="B17" s="42" t="str">
        <v>TX</v>
      </c>
      <c r="C17" s="37">
        <v>17361.25</v>
      </c>
      <c r="D17" s="37">
        <v>67965.45</v>
      </c>
      <c r="E17" s="37">
        <f t="shared" si="6"/>
        <v>-50604.2</v>
      </c>
      <c r="F17" s="38">
        <f t="shared" si="7"/>
        <v>-0.74455771277906646</v>
      </c>
      <c r="G17" s="39">
        <v>71792.88</v>
      </c>
      <c r="H17" s="39">
        <f t="shared" si="4"/>
        <v>-54431.630000000005</v>
      </c>
      <c r="I17" s="38">
        <f t="shared" si="5"/>
        <v>-0.75817588039371042</v>
      </c>
      <c r="J17" s="59" t="s">
        <v>59</v>
      </c>
      <c r="K17" s="67" t="s">
        <v>60</v>
      </c>
      <c r="L17" s="59" t="s">
        <v>53</v>
      </c>
    </row>
    <row r="18" spans="1:15" ht="28.9">
      <c r="A18" s="44" t="str">
        <v>Augusta - 13 York Farm Road</v>
      </c>
      <c r="B18" s="41" t="str">
        <v>ME</v>
      </c>
      <c r="C18" s="29">
        <v>43920.500000000502</v>
      </c>
      <c r="D18" s="30">
        <v>117363.2</v>
      </c>
      <c r="E18" s="30">
        <f t="shared" si="6"/>
        <v>-73442.699999999488</v>
      </c>
      <c r="F18" s="33">
        <f t="shared" si="7"/>
        <v>-0.62577281464717638</v>
      </c>
      <c r="G18" s="32">
        <v>92011.95</v>
      </c>
      <c r="H18" s="32">
        <f t="shared" si="4"/>
        <v>-48091.449999999495</v>
      </c>
      <c r="I18" s="33">
        <f t="shared" si="5"/>
        <v>-0.52266526250122403</v>
      </c>
      <c r="J18" s="64" t="s">
        <v>61</v>
      </c>
      <c r="K18" s="83" t="s">
        <v>62</v>
      </c>
      <c r="L18" s="64" t="s">
        <v>63</v>
      </c>
      <c r="M18" s="71" t="s">
        <v>64</v>
      </c>
    </row>
    <row r="19" spans="1:15" ht="15.6">
      <c r="A19" s="42" t="str">
        <v xml:space="preserve">Santa Ana - 1441 West </v>
      </c>
      <c r="B19" s="43" t="str">
        <v>CA</v>
      </c>
      <c r="C19" s="36">
        <v>39087.75</v>
      </c>
      <c r="D19" s="37">
        <v>40595.61</v>
      </c>
      <c r="E19" s="37">
        <f t="shared" si="6"/>
        <v>-1507.8600000000006</v>
      </c>
      <c r="F19" s="38">
        <f t="shared" si="7"/>
        <v>-3.7143425114193399E-2</v>
      </c>
      <c r="G19" s="39">
        <v>46950.7</v>
      </c>
      <c r="H19" s="39">
        <f t="shared" si="4"/>
        <v>-7862.9499999999971</v>
      </c>
      <c r="I19" s="38">
        <f t="shared" si="5"/>
        <v>-0.16747247644870039</v>
      </c>
      <c r="J19" s="59" t="s">
        <v>65</v>
      </c>
      <c r="K19" s="76"/>
      <c r="L19" s="76"/>
    </row>
    <row r="20" spans="1:15" ht="72">
      <c r="A20" s="44" t="str">
        <v>Jessup -7950 Oceano Ave</v>
      </c>
      <c r="B20" s="41" t="str">
        <v>MD</v>
      </c>
      <c r="C20" s="29">
        <v>69879.75</v>
      </c>
      <c r="D20" s="30">
        <v>129411</v>
      </c>
      <c r="E20" s="30">
        <f t="shared" si="6"/>
        <v>-59531.25</v>
      </c>
      <c r="F20" s="33">
        <f t="shared" si="7"/>
        <v>-0.46001692282727125</v>
      </c>
      <c r="G20" s="32">
        <v>120733.1</v>
      </c>
      <c r="H20" s="32">
        <f t="shared" si="4"/>
        <v>-50853.350000000006</v>
      </c>
      <c r="I20" s="33">
        <f t="shared" si="5"/>
        <v>-0.42120470691136069</v>
      </c>
      <c r="J20" s="50" t="s">
        <v>66</v>
      </c>
      <c r="K20" s="66" t="s">
        <v>67</v>
      </c>
      <c r="L20" s="50" t="s">
        <v>68</v>
      </c>
      <c r="M20" s="71" t="s">
        <v>69</v>
      </c>
      <c r="N20" s="71" t="s">
        <v>70</v>
      </c>
      <c r="O20" s="71" t="s">
        <v>71</v>
      </c>
    </row>
    <row r="21" spans="1:15" ht="15.6">
      <c r="A21" s="42" t="str">
        <v xml:space="preserve">TX: Fort Worth - 5200 Gold Spike Dr </v>
      </c>
      <c r="B21" s="43" t="str">
        <v>TX</v>
      </c>
      <c r="C21" s="36">
        <v>405586.8</v>
      </c>
      <c r="D21" s="37">
        <v>533953.19999999995</v>
      </c>
      <c r="E21" s="37">
        <f t="shared" si="6"/>
        <v>-128366.39999999997</v>
      </c>
      <c r="F21" s="38">
        <f t="shared" si="7"/>
        <v>-0.24040758628284273</v>
      </c>
      <c r="G21" s="39">
        <v>474899.3</v>
      </c>
      <c r="H21" s="39">
        <f t="shared" si="4"/>
        <v>-69312.5</v>
      </c>
      <c r="I21" s="38">
        <f t="shared" si="5"/>
        <v>-0.14595199445440329</v>
      </c>
      <c r="J21" s="65" t="s">
        <v>72</v>
      </c>
      <c r="K21" s="59"/>
      <c r="L21" s="59"/>
    </row>
    <row r="22" spans="1:15" ht="28.9">
      <c r="A22" s="44" t="str">
        <v>NY: Clifton Springs - Ontario 2 (21597)</v>
      </c>
      <c r="B22" s="41" t="str">
        <v>NY</v>
      </c>
      <c r="C22" s="29">
        <v>181912.87523197799</v>
      </c>
      <c r="D22" s="30">
        <v>354682</v>
      </c>
      <c r="E22" s="30">
        <f t="shared" si="6"/>
        <v>-172769.12476802201</v>
      </c>
      <c r="F22" s="33">
        <f t="shared" si="7"/>
        <v>-0.48710993162331895</v>
      </c>
      <c r="G22" s="32">
        <v>319694.7</v>
      </c>
      <c r="H22" s="32">
        <f t="shared" si="4"/>
        <v>-137781.82476802202</v>
      </c>
      <c r="I22" s="33">
        <f t="shared" si="5"/>
        <v>-0.43097938366829985</v>
      </c>
      <c r="J22" s="50" t="s">
        <v>73</v>
      </c>
      <c r="K22" s="66" t="s">
        <v>74</v>
      </c>
      <c r="L22" s="50" t="s">
        <v>63</v>
      </c>
      <c r="M22" s="71" t="s">
        <v>75</v>
      </c>
    </row>
    <row r="23" spans="1:15" ht="15.6">
      <c r="A23" s="42" t="str">
        <v>CA: Oxnard - 2600 Sakioka - System A</v>
      </c>
      <c r="B23" s="43" t="str">
        <v>CA</v>
      </c>
      <c r="C23" s="36">
        <v>193182.79625000001</v>
      </c>
      <c r="D23" s="37">
        <v>190647.6</v>
      </c>
      <c r="E23" s="37">
        <f t="shared" si="6"/>
        <v>2535.1962500000081</v>
      </c>
      <c r="F23" s="38">
        <f t="shared" si="7"/>
        <v>1.3297813610032374E-2</v>
      </c>
      <c r="G23" s="39">
        <v>178494.4</v>
      </c>
      <c r="H23" s="39">
        <f t="shared" si="4"/>
        <v>14688.39625000002</v>
      </c>
      <c r="I23" s="38">
        <f t="shared" si="5"/>
        <v>8.2290515836911521E-2</v>
      </c>
      <c r="J23" s="65"/>
      <c r="K23" s="59"/>
      <c r="L23" s="59"/>
    </row>
    <row r="24" spans="1:15" ht="15.6">
      <c r="A24" s="44" t="str">
        <v>CA: Oxnard - 2600 Sakioka - System B</v>
      </c>
      <c r="B24" s="41" t="str">
        <v>CA</v>
      </c>
      <c r="C24" s="29">
        <v>0</v>
      </c>
      <c r="D24" s="30">
        <v>0</v>
      </c>
      <c r="E24" s="30">
        <f t="shared" si="6"/>
        <v>0</v>
      </c>
      <c r="F24" s="33" t="str">
        <f t="shared" si="7"/>
        <v/>
      </c>
      <c r="G24" s="32">
        <v>191359</v>
      </c>
      <c r="H24" s="32">
        <f t="shared" si="4"/>
        <v>-191359</v>
      </c>
      <c r="I24" s="33">
        <f t="shared" si="5"/>
        <v>-1</v>
      </c>
      <c r="J24" s="50" t="s">
        <v>76</v>
      </c>
      <c r="K24" s="66" t="s">
        <v>77</v>
      </c>
      <c r="L24" s="50" t="s">
        <v>58</v>
      </c>
    </row>
    <row r="25" spans="1:15" ht="15.6">
      <c r="A25" s="42" t="str">
        <v>NY: Fonda - Montgomery 1 (21601)</v>
      </c>
      <c r="B25" s="43" t="str">
        <v>NY</v>
      </c>
      <c r="C25" s="36">
        <v>292034</v>
      </c>
      <c r="D25" s="37">
        <v>302017.09999999998</v>
      </c>
      <c r="E25" s="37">
        <f t="shared" si="6"/>
        <v>-9983.0999999999767</v>
      </c>
      <c r="F25" s="38">
        <f t="shared" si="7"/>
        <v>-3.3054750873377628E-2</v>
      </c>
      <c r="G25" s="39">
        <v>416526</v>
      </c>
      <c r="H25" s="39">
        <f t="shared" si="4"/>
        <v>-124492</v>
      </c>
      <c r="I25" s="38">
        <f t="shared" si="5"/>
        <v>-0.29888170246275142</v>
      </c>
      <c r="J25" s="65" t="s">
        <v>78</v>
      </c>
      <c r="K25" s="67" t="s">
        <v>79</v>
      </c>
      <c r="L25" s="59" t="s">
        <v>80</v>
      </c>
    </row>
    <row r="26" spans="1:15" ht="57.6">
      <c r="A26" s="44" t="str">
        <v>NY: Evans - SL Evans Array 1 (21106) - (PW)</v>
      </c>
      <c r="B26" s="41" t="str">
        <v>NY</v>
      </c>
      <c r="C26" s="29">
        <v>78714</v>
      </c>
      <c r="D26" s="30">
        <v>283027.59999999998</v>
      </c>
      <c r="E26" s="30">
        <f t="shared" si="6"/>
        <v>-204313.59999999998</v>
      </c>
      <c r="F26" s="33">
        <f t="shared" si="7"/>
        <v>-0.72188578075071119</v>
      </c>
      <c r="G26" s="32">
        <v>212141.5</v>
      </c>
      <c r="H26" s="32">
        <f t="shared" si="4"/>
        <v>-133427.5</v>
      </c>
      <c r="I26" s="33">
        <f t="shared" si="5"/>
        <v>-0.6289552020703163</v>
      </c>
      <c r="J26" s="50" t="s">
        <v>81</v>
      </c>
      <c r="K26" s="66" t="s">
        <v>82</v>
      </c>
      <c r="L26" s="50" t="s">
        <v>83</v>
      </c>
      <c r="M26" s="71" t="s">
        <v>84</v>
      </c>
    </row>
    <row r="27" spans="1:15" ht="15.6">
      <c r="A27" s="42" t="str">
        <v>NY: Evans - SL Evans Array 2 (21107) - (PW)</v>
      </c>
      <c r="B27" s="43" t="str">
        <v>NY</v>
      </c>
      <c r="C27" s="36">
        <v>88859</v>
      </c>
      <c r="D27" s="37">
        <v>219179.9</v>
      </c>
      <c r="E27" s="37">
        <f t="shared" si="6"/>
        <v>-130320.9</v>
      </c>
      <c r="F27" s="38">
        <f t="shared" si="7"/>
        <v>-0.59458417491749926</v>
      </c>
      <c r="G27" s="39">
        <v>200417</v>
      </c>
      <c r="H27" s="39">
        <f t="shared" si="4"/>
        <v>-111558</v>
      </c>
      <c r="I27" s="38">
        <f t="shared" si="5"/>
        <v>-0.55662942764336354</v>
      </c>
      <c r="J27" s="65" t="s">
        <v>85</v>
      </c>
      <c r="K27" s="59"/>
      <c r="L27" s="59"/>
    </row>
    <row r="28" spans="1:15" ht="43.15">
      <c r="A28" s="44" t="str">
        <v>NY: Flushing - 131-21 14th Ave</v>
      </c>
      <c r="B28" s="41" t="str">
        <v>NY</v>
      </c>
      <c r="C28" s="29">
        <v>6569.3012076986497</v>
      </c>
      <c r="D28" s="30">
        <v>12576.65</v>
      </c>
      <c r="E28" s="30">
        <f t="shared" si="6"/>
        <v>-6007.3487923013499</v>
      </c>
      <c r="F28" s="33">
        <f t="shared" si="7"/>
        <v>-0.47765889901534592</v>
      </c>
      <c r="G28" s="32">
        <v>14302.43</v>
      </c>
      <c r="H28" s="32">
        <f t="shared" si="4"/>
        <v>-7733.1287923013506</v>
      </c>
      <c r="I28" s="33">
        <f t="shared" si="5"/>
        <v>-0.54068635835318546</v>
      </c>
      <c r="J28" s="50" t="s">
        <v>86</v>
      </c>
      <c r="K28" s="66" t="s">
        <v>87</v>
      </c>
      <c r="L28" s="50" t="s">
        <v>88</v>
      </c>
    </row>
    <row r="29" spans="1:15" ht="43.15">
      <c r="A29" s="42" t="str">
        <v>NY: Binghamton - Airport Rd (18878) - (PW)</v>
      </c>
      <c r="B29" s="43" t="str">
        <v>NY</v>
      </c>
      <c r="C29" s="36">
        <v>235366.7</v>
      </c>
      <c r="D29" s="37">
        <v>263835.59999999998</v>
      </c>
      <c r="E29" s="37">
        <f t="shared" si="6"/>
        <v>-28468.899999999965</v>
      </c>
      <c r="F29" s="38">
        <f t="shared" si="7"/>
        <v>-0.10790393714873947</v>
      </c>
      <c r="G29" s="39">
        <v>353688</v>
      </c>
      <c r="H29" s="39">
        <f t="shared" si="4"/>
        <v>-118321.29999999999</v>
      </c>
      <c r="I29" s="38">
        <f t="shared" si="5"/>
        <v>-0.33453580556874984</v>
      </c>
      <c r="J29" s="65" t="s">
        <v>89</v>
      </c>
      <c r="K29" s="94" t="s">
        <v>90</v>
      </c>
      <c r="L29" s="52" t="s">
        <v>91</v>
      </c>
      <c r="M29" s="71" t="s">
        <v>92</v>
      </c>
    </row>
    <row r="30" spans="1:15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  <c r="L30" s="9"/>
    </row>
    <row r="31" spans="1:15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  <c r="L31" s="9"/>
    </row>
    <row r="32" spans="1:15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  <c r="L32" s="9"/>
    </row>
    <row r="33" spans="1:12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  <c r="L33" s="9"/>
    </row>
    <row r="34" spans="1:12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  <c r="L34" s="9"/>
    </row>
    <row r="35" spans="1:12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  <c r="L35" s="9"/>
    </row>
    <row r="36" spans="1:12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  <c r="L36" s="9"/>
    </row>
    <row r="37" spans="1:12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  <c r="L37" s="9"/>
    </row>
    <row r="38" spans="1:12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  <c r="L38" s="9"/>
    </row>
    <row r="39" spans="1:12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  <c r="L39" s="9"/>
    </row>
    <row r="40" spans="1:12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  <c r="L40" s="9"/>
    </row>
    <row r="41" spans="1:12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  <c r="L41" s="9"/>
    </row>
    <row r="42" spans="1:12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  <c r="L42" s="9"/>
    </row>
    <row r="43" spans="1:12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  <c r="L43" s="9"/>
    </row>
    <row r="44" spans="1:12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  <c r="L44" s="9"/>
    </row>
    <row r="45" spans="1:12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  <c r="L45" s="9"/>
    </row>
    <row r="46" spans="1:12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  <c r="L46" s="9"/>
    </row>
    <row r="47" spans="1:12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  <c r="L47" s="9"/>
    </row>
    <row r="48" spans="1:12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  <c r="L48" s="9"/>
    </row>
    <row r="49" spans="1:12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  <c r="L49" s="9"/>
    </row>
    <row r="50" spans="1:12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  <c r="L50" s="9"/>
    </row>
    <row r="51" spans="1:12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  <c r="L51" s="9"/>
    </row>
    <row r="52" spans="1:12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  <c r="L52" s="9"/>
    </row>
    <row r="53" spans="1:12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  <c r="L53" s="9"/>
    </row>
    <row r="54" spans="1:12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  <c r="L54" s="9"/>
    </row>
    <row r="55" spans="1:12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  <c r="L55" s="9"/>
    </row>
    <row r="56" spans="1:12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  <c r="L56" s="9"/>
    </row>
    <row r="57" spans="1:12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  <c r="L57" s="9"/>
    </row>
    <row r="58" spans="1:12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  <c r="L58" s="9"/>
    </row>
    <row r="59" spans="1:12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  <c r="L59" s="9"/>
    </row>
    <row r="60" spans="1:12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  <c r="L60" s="9"/>
    </row>
    <row r="61" spans="1:12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  <c r="L61" s="9"/>
    </row>
    <row r="62" spans="1:12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  <c r="L62" s="9"/>
    </row>
    <row r="63" spans="1:12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  <c r="L63" s="9"/>
    </row>
    <row r="64" spans="1:12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  <c r="L64" s="9"/>
    </row>
    <row r="65" spans="1:12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  <c r="L65" s="9"/>
    </row>
    <row r="66" spans="1:12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  <c r="L66" s="9"/>
    </row>
    <row r="67" spans="1:12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  <c r="L67" s="9"/>
    </row>
    <row r="68" spans="1:12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  <c r="L68" s="9"/>
    </row>
    <row r="69" spans="1:12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  <c r="L69" s="9"/>
    </row>
    <row r="70" spans="1:12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  <c r="L70" s="9"/>
    </row>
    <row r="71" spans="1:12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  <c r="L71" s="9"/>
    </row>
    <row r="72" spans="1:12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  <c r="L72" s="9"/>
    </row>
    <row r="73" spans="1:12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  <c r="L73" s="9"/>
    </row>
    <row r="74" spans="1:12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  <c r="L74" s="9"/>
    </row>
    <row r="75" spans="1:12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  <c r="L75" s="9"/>
    </row>
    <row r="76" spans="1:12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  <c r="L76" s="9"/>
    </row>
    <row r="77" spans="1:12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  <c r="L77" s="9"/>
    </row>
    <row r="78" spans="1:12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  <c r="L78" s="9"/>
    </row>
    <row r="79" spans="1:12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  <c r="L79" s="9"/>
    </row>
    <row r="80" spans="1:12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  <c r="L80" s="9"/>
    </row>
    <row r="81" spans="1:12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  <c r="L81" s="9"/>
    </row>
    <row r="82" spans="1:12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  <c r="L82" s="9"/>
    </row>
    <row r="83" spans="1:12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  <c r="L83" s="9"/>
    </row>
    <row r="84" spans="1:12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  <c r="L84" s="9"/>
    </row>
    <row r="85" spans="1:12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  <c r="L85" s="9"/>
    </row>
    <row r="86" spans="1:12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  <c r="L86" s="9"/>
    </row>
    <row r="87" spans="1:12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  <c r="L87" s="9"/>
    </row>
    <row r="88" spans="1:12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  <c r="L88" s="9"/>
    </row>
    <row r="89" spans="1:12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  <c r="L89" s="9"/>
    </row>
    <row r="90" spans="1:12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  <c r="L90" s="9"/>
    </row>
    <row r="91" spans="1:12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  <c r="L91" s="9"/>
    </row>
    <row r="92" spans="1:12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  <c r="L92" s="9"/>
    </row>
    <row r="93" spans="1:12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  <c r="L93" s="9"/>
    </row>
    <row r="94" spans="1:12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  <c r="L94" s="9"/>
    </row>
    <row r="95" spans="1:12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  <c r="L95" s="9"/>
    </row>
    <row r="96" spans="1:12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  <c r="L96" s="9"/>
    </row>
    <row r="97" spans="1:12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  <c r="L97" s="9"/>
    </row>
    <row r="98" spans="1:12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  <c r="L98" s="9"/>
    </row>
    <row r="99" spans="1:12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  <c r="L99" s="9"/>
    </row>
    <row r="100" spans="1:12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  <c r="L100" s="9"/>
    </row>
    <row r="101" spans="1:12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  <c r="L101" s="9"/>
    </row>
    <row r="102" spans="1:12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  <c r="L102" s="9"/>
    </row>
    <row r="103" spans="1:12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  <c r="L103" s="9"/>
    </row>
    <row r="104" spans="1:12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  <c r="L104" s="9"/>
    </row>
    <row r="105" spans="1:12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  <c r="L105" s="9"/>
    </row>
    <row r="106" spans="1:12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  <c r="L106" s="9"/>
    </row>
    <row r="107" spans="1:12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  <c r="L107" s="9"/>
    </row>
    <row r="108" spans="1:12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  <c r="L108" s="9"/>
    </row>
    <row r="109" spans="1:12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  <c r="L109" s="9"/>
    </row>
    <row r="110" spans="1:12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  <c r="L110" s="9"/>
    </row>
    <row r="111" spans="1:12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  <c r="L111" s="9"/>
    </row>
    <row r="112" spans="1:12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  <c r="L112" s="9"/>
    </row>
    <row r="113" spans="1:12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  <c r="L113" s="9"/>
    </row>
    <row r="114" spans="1:12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  <c r="L114" s="9"/>
    </row>
    <row r="115" spans="1:12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  <c r="L115" s="9"/>
    </row>
    <row r="116" spans="1:12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  <c r="L116" s="9"/>
    </row>
    <row r="117" spans="1:12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  <c r="L117" s="9"/>
    </row>
    <row r="118" spans="1:12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  <c r="L118" s="9"/>
    </row>
    <row r="119" spans="1:12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  <c r="L119" s="9"/>
    </row>
    <row r="120" spans="1:12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  <c r="L120" s="9"/>
    </row>
    <row r="121" spans="1:12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  <c r="L121" s="9"/>
    </row>
    <row r="122" spans="1:12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  <c r="L122" s="9"/>
    </row>
    <row r="123" spans="1:12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  <c r="L123" s="9"/>
    </row>
    <row r="124" spans="1:12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  <c r="L124" s="9"/>
    </row>
    <row r="125" spans="1:12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  <c r="L125" s="9"/>
    </row>
    <row r="126" spans="1:12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  <c r="L126" s="9"/>
    </row>
    <row r="127" spans="1:12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  <c r="L127" s="9"/>
    </row>
    <row r="128" spans="1:12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  <c r="L128" s="9"/>
    </row>
    <row r="129" spans="1:12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  <c r="L129" s="9"/>
    </row>
    <row r="130" spans="1:12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  <c r="L130" s="9"/>
    </row>
    <row r="131" spans="1:12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  <c r="L131" s="9"/>
    </row>
    <row r="132" spans="1:12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  <c r="L132" s="9"/>
    </row>
    <row r="133" spans="1:12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  <c r="L133" s="9"/>
    </row>
    <row r="134" spans="1:12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  <c r="L134" s="9"/>
    </row>
    <row r="135" spans="1:12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  <c r="L135" s="9"/>
    </row>
    <row r="136" spans="1:12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  <c r="L136" s="9"/>
    </row>
    <row r="137" spans="1:12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  <c r="L137" s="9"/>
    </row>
    <row r="138" spans="1:12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  <c r="L138" s="9"/>
    </row>
    <row r="139" spans="1:12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  <c r="L139" s="9"/>
    </row>
    <row r="140" spans="1:12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  <c r="L140" s="9"/>
    </row>
    <row r="141" spans="1:12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  <c r="L141" s="9"/>
    </row>
    <row r="142" spans="1:12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  <c r="L142" s="9"/>
    </row>
    <row r="143" spans="1:12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  <c r="L143" s="9"/>
    </row>
    <row r="144" spans="1:12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  <c r="L144" s="9"/>
    </row>
    <row r="145" spans="1:12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  <c r="L145" s="9"/>
    </row>
    <row r="146" spans="1:12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  <c r="L146" s="9"/>
    </row>
    <row r="147" spans="1:12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  <c r="L147" s="9"/>
    </row>
    <row r="148" spans="1:12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  <c r="L148" s="9"/>
    </row>
    <row r="149" spans="1:12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  <c r="L149" s="9"/>
    </row>
    <row r="150" spans="1:12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  <c r="L150" s="9"/>
    </row>
    <row r="151" spans="1:12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  <c r="L151" s="9"/>
    </row>
    <row r="152" spans="1:12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  <c r="L152" s="9"/>
    </row>
    <row r="153" spans="1:12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  <c r="L153" s="9"/>
    </row>
    <row r="154" spans="1:12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  <c r="L154" s="9"/>
    </row>
    <row r="155" spans="1:12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  <c r="L155" s="9"/>
    </row>
    <row r="156" spans="1:12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  <c r="L156" s="9"/>
    </row>
    <row r="157" spans="1:12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  <c r="L157" s="9"/>
    </row>
    <row r="158" spans="1:12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  <c r="L158" s="9"/>
    </row>
    <row r="159" spans="1:12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  <c r="L159" s="9"/>
    </row>
    <row r="160" spans="1:12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  <c r="L160" s="9"/>
    </row>
    <row r="161" spans="1:12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  <c r="L161" s="9"/>
    </row>
    <row r="162" spans="1:12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  <c r="L162" s="9"/>
    </row>
    <row r="163" spans="1:12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  <c r="L163" s="9"/>
    </row>
    <row r="164" spans="1:12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  <c r="L164" s="9"/>
    </row>
    <row r="165" spans="1:12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  <c r="L165" s="9"/>
    </row>
    <row r="166" spans="1:12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  <c r="L166" s="9"/>
    </row>
    <row r="167" spans="1:12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  <c r="L167" s="9"/>
    </row>
    <row r="168" spans="1:12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  <c r="L168" s="9"/>
    </row>
    <row r="169" spans="1:12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  <c r="L169" s="9"/>
    </row>
    <row r="170" spans="1:12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  <c r="L170" s="9"/>
    </row>
    <row r="171" spans="1:12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  <c r="L171" s="9"/>
    </row>
    <row r="172" spans="1:12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  <c r="L172" s="9"/>
    </row>
    <row r="173" spans="1:12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  <c r="L173" s="9"/>
    </row>
    <row r="174" spans="1:12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  <c r="L174" s="9"/>
    </row>
    <row r="175" spans="1:12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  <c r="L175" s="9"/>
    </row>
    <row r="176" spans="1:12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  <c r="L176" s="9"/>
    </row>
    <row r="177" spans="1:12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  <c r="L177" s="9"/>
    </row>
    <row r="178" spans="1:12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  <c r="L178" s="9"/>
    </row>
    <row r="179" spans="1:12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  <c r="L179" s="9"/>
    </row>
    <row r="180" spans="1:12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  <c r="L180" s="9"/>
    </row>
    <row r="181" spans="1:12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  <c r="L181" s="9"/>
    </row>
    <row r="182" spans="1:12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  <c r="L182" s="9"/>
    </row>
    <row r="183" spans="1:12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  <c r="L183" s="9"/>
    </row>
    <row r="184" spans="1:12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  <c r="L184" s="9"/>
    </row>
    <row r="185" spans="1:12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  <c r="L185" s="9"/>
    </row>
    <row r="186" spans="1:12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  <c r="L186" s="9"/>
    </row>
    <row r="187" spans="1:12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  <c r="L187" s="9"/>
    </row>
    <row r="188" spans="1:12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  <c r="L188" s="9"/>
    </row>
    <row r="189" spans="1:12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  <c r="L189" s="9"/>
    </row>
    <row r="190" spans="1:12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  <c r="L190" s="9"/>
    </row>
    <row r="191" spans="1:12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  <c r="L191" s="9"/>
    </row>
    <row r="192" spans="1:12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  <c r="L192" s="9"/>
    </row>
    <row r="193" spans="1:12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  <c r="L193" s="9"/>
    </row>
    <row r="194" spans="1:12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  <c r="L194" s="9"/>
    </row>
    <row r="195" spans="1:12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  <c r="L195" s="9"/>
    </row>
    <row r="196" spans="1:12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  <c r="L196" s="9"/>
    </row>
    <row r="197" spans="1:12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  <c r="L197" s="9"/>
    </row>
    <row r="198" spans="1:12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  <c r="L198" s="9"/>
    </row>
    <row r="199" spans="1:12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  <c r="L199" s="9"/>
    </row>
    <row r="200" spans="1:12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  <c r="L200" s="9"/>
    </row>
    <row r="201" spans="1:12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  <c r="L201" s="9"/>
    </row>
    <row r="202" spans="1:12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  <c r="L202" s="9"/>
    </row>
    <row r="203" spans="1:12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  <c r="L203" s="9"/>
    </row>
    <row r="204" spans="1:12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  <c r="L204" s="9"/>
    </row>
    <row r="205" spans="1:12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  <c r="L205" s="9"/>
    </row>
    <row r="206" spans="1:12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  <c r="L206" s="9"/>
    </row>
    <row r="207" spans="1:12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  <c r="L207" s="9"/>
    </row>
    <row r="208" spans="1:12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  <c r="L208" s="9"/>
    </row>
    <row r="209" spans="1:12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  <c r="L209" s="9"/>
    </row>
    <row r="210" spans="1:12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  <c r="L210" s="9"/>
    </row>
    <row r="211" spans="1:12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  <c r="L211" s="9"/>
    </row>
    <row r="212" spans="1:12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  <c r="L212" s="9"/>
    </row>
    <row r="213" spans="1:12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  <c r="L213" s="9"/>
    </row>
    <row r="214" spans="1:12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  <c r="L214" s="9"/>
    </row>
    <row r="215" spans="1:12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  <c r="L215" s="9"/>
    </row>
    <row r="216" spans="1:12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  <c r="L216" s="9"/>
    </row>
    <row r="217" spans="1:12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  <c r="L217" s="9"/>
    </row>
    <row r="218" spans="1:12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  <c r="L218" s="9"/>
    </row>
    <row r="219" spans="1:12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  <c r="L219" s="9"/>
    </row>
    <row r="220" spans="1:12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  <c r="L220" s="9"/>
    </row>
    <row r="221" spans="1:12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  <c r="L221" s="9"/>
    </row>
    <row r="222" spans="1:12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  <c r="L222" s="9"/>
    </row>
    <row r="223" spans="1:12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  <c r="L223" s="9"/>
    </row>
    <row r="224" spans="1:12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  <c r="L224" s="9"/>
    </row>
    <row r="225" spans="1:12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  <c r="L225" s="9"/>
    </row>
    <row r="226" spans="1:12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  <c r="L226" s="9"/>
    </row>
    <row r="227" spans="1:12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  <c r="L227" s="9"/>
    </row>
    <row r="228" spans="1:12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  <c r="L228" s="9"/>
    </row>
    <row r="229" spans="1:12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  <c r="L229" s="9"/>
    </row>
    <row r="230" spans="1:12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  <c r="L230" s="9"/>
    </row>
    <row r="231" spans="1:12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  <c r="L231" s="9"/>
    </row>
    <row r="232" spans="1:12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  <c r="L232" s="9"/>
    </row>
    <row r="233" spans="1:12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  <c r="L233" s="9"/>
    </row>
    <row r="234" spans="1:12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  <c r="L234" s="9"/>
    </row>
    <row r="235" spans="1:12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  <c r="L235" s="9"/>
    </row>
    <row r="236" spans="1:12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  <c r="L236" s="9"/>
    </row>
    <row r="237" spans="1:12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  <c r="L237" s="9"/>
    </row>
    <row r="238" spans="1:12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  <c r="L238" s="9"/>
    </row>
    <row r="239" spans="1:12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  <c r="L239" s="9"/>
    </row>
    <row r="240" spans="1:12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  <c r="L240" s="9"/>
    </row>
    <row r="241" spans="1:12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  <c r="L241" s="9"/>
    </row>
    <row r="242" spans="1:12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  <c r="L242" s="9"/>
    </row>
    <row r="243" spans="1:12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  <c r="L243" s="9"/>
    </row>
    <row r="244" spans="1:12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  <c r="L244" s="9"/>
    </row>
    <row r="245" spans="1:12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  <c r="L245" s="9"/>
    </row>
    <row r="246" spans="1:12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  <c r="L246" s="9"/>
    </row>
    <row r="247" spans="1:12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  <c r="L247" s="9"/>
    </row>
    <row r="248" spans="1:12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  <c r="L248" s="9"/>
    </row>
    <row r="249" spans="1:12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  <c r="L249" s="9"/>
    </row>
    <row r="250" spans="1:12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  <c r="L250" s="9"/>
    </row>
    <row r="251" spans="1:12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  <c r="L251" s="9"/>
    </row>
    <row r="252" spans="1:12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  <c r="L252" s="9"/>
    </row>
    <row r="253" spans="1:12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  <c r="L253" s="9"/>
    </row>
    <row r="254" spans="1:12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  <c r="L254" s="9"/>
    </row>
    <row r="255" spans="1:12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  <c r="L255" s="9"/>
    </row>
    <row r="256" spans="1:12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  <c r="L256" s="9"/>
    </row>
    <row r="257" spans="1:12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  <c r="L257" s="9"/>
    </row>
    <row r="258" spans="1:12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  <c r="L258" s="9"/>
    </row>
    <row r="259" spans="1:12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  <c r="L259" s="9"/>
    </row>
    <row r="260" spans="1:12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  <c r="L260" s="9"/>
    </row>
    <row r="261" spans="1:12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  <c r="L261" s="9"/>
    </row>
    <row r="262" spans="1:12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  <c r="L262" s="9"/>
    </row>
    <row r="263" spans="1:12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  <c r="L263" s="9"/>
    </row>
    <row r="264" spans="1:12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  <c r="L264" s="9"/>
    </row>
    <row r="265" spans="1:12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  <c r="L265" s="9"/>
    </row>
    <row r="266" spans="1:12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  <c r="L266" s="9"/>
    </row>
    <row r="267" spans="1:12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  <c r="L267" s="9"/>
    </row>
    <row r="268" spans="1:12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  <c r="L268" s="9"/>
    </row>
    <row r="269" spans="1:12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  <c r="L269" s="9"/>
    </row>
    <row r="270" spans="1:12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  <c r="L270" s="9"/>
    </row>
    <row r="271" spans="1:12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  <c r="L271" s="9"/>
    </row>
    <row r="272" spans="1:12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  <c r="L272" s="9"/>
    </row>
    <row r="273" spans="1:12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  <c r="L273" s="9"/>
    </row>
    <row r="274" spans="1:12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  <c r="L274" s="9"/>
    </row>
    <row r="275" spans="1:12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  <c r="L275" s="9"/>
    </row>
    <row r="276" spans="1:12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  <c r="L276" s="9"/>
    </row>
    <row r="277" spans="1:12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  <c r="L277" s="9"/>
    </row>
    <row r="278" spans="1:12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  <c r="L278" s="9"/>
    </row>
    <row r="279" spans="1:12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  <c r="L279" s="9"/>
    </row>
    <row r="280" spans="1:12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  <c r="L280" s="9"/>
    </row>
    <row r="281" spans="1:12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  <c r="L281" s="9"/>
    </row>
    <row r="282" spans="1:12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  <c r="L282" s="9"/>
    </row>
    <row r="283" spans="1:12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  <c r="L283" s="9"/>
    </row>
    <row r="284" spans="1:12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  <c r="L284" s="9"/>
    </row>
    <row r="285" spans="1:12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  <c r="L285" s="9"/>
    </row>
    <row r="286" spans="1:12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  <c r="L286" s="9"/>
    </row>
    <row r="287" spans="1:12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  <c r="L287" s="9"/>
    </row>
    <row r="288" spans="1:12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  <c r="L288" s="9"/>
    </row>
    <row r="289" spans="1:12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  <c r="L289" s="9"/>
    </row>
    <row r="290" spans="1:12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  <c r="L290" s="9"/>
    </row>
    <row r="291" spans="1:12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  <c r="L291" s="9"/>
    </row>
    <row r="292" spans="1:12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  <c r="L292" s="9"/>
    </row>
    <row r="293" spans="1:12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  <c r="L293" s="9"/>
    </row>
    <row r="294" spans="1:12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  <c r="L294" s="9"/>
    </row>
    <row r="295" spans="1:12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  <c r="L295" s="9"/>
    </row>
    <row r="296" spans="1:12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  <c r="L296" s="9"/>
    </row>
    <row r="297" spans="1:12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  <c r="L297" s="9"/>
    </row>
    <row r="298" spans="1:12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  <c r="L298" s="9"/>
    </row>
    <row r="299" spans="1:12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  <c r="L299" s="9"/>
    </row>
    <row r="300" spans="1:12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  <c r="L300" s="9"/>
    </row>
    <row r="301" spans="1:12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  <c r="L301" s="9"/>
    </row>
    <row r="302" spans="1:12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  <c r="L302" s="9"/>
    </row>
    <row r="303" spans="1:12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  <c r="L303" s="9"/>
    </row>
    <row r="304" spans="1:12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  <c r="L304" s="9"/>
    </row>
    <row r="305" spans="1:12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  <c r="L305" s="9"/>
    </row>
    <row r="306" spans="1:12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  <c r="L306" s="9"/>
    </row>
    <row r="307" spans="1:12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  <c r="L307" s="9"/>
    </row>
    <row r="308" spans="1:12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  <c r="L308" s="9"/>
    </row>
    <row r="309" spans="1:12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  <c r="L309" s="9"/>
    </row>
    <row r="310" spans="1:12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  <c r="L310" s="9"/>
    </row>
    <row r="311" spans="1:12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  <c r="L311" s="9"/>
    </row>
    <row r="312" spans="1:12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  <c r="L312" s="9"/>
    </row>
    <row r="313" spans="1:12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  <c r="L313" s="9"/>
    </row>
    <row r="314" spans="1:12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  <c r="L314" s="9"/>
    </row>
    <row r="315" spans="1:12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  <c r="L315" s="9"/>
    </row>
    <row r="316" spans="1:12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  <c r="L316" s="9"/>
    </row>
    <row r="317" spans="1:12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  <c r="L317" s="9"/>
    </row>
    <row r="318" spans="1:12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  <c r="L318" s="9"/>
    </row>
    <row r="319" spans="1:12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  <c r="L319" s="9"/>
    </row>
    <row r="320" spans="1:12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  <c r="L320" s="9"/>
    </row>
    <row r="321" spans="1:12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  <c r="L321" s="9"/>
    </row>
    <row r="322" spans="1:12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  <c r="L322" s="9"/>
    </row>
    <row r="323" spans="1:12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  <c r="L323" s="9"/>
    </row>
    <row r="324" spans="1:12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  <c r="L324" s="9"/>
    </row>
    <row r="325" spans="1:12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  <c r="L325" s="9"/>
    </row>
    <row r="326" spans="1:12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  <c r="L326" s="9"/>
    </row>
    <row r="327" spans="1:12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  <c r="L327" s="9"/>
    </row>
    <row r="328" spans="1:12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  <c r="L328" s="9"/>
    </row>
    <row r="329" spans="1:12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  <c r="L329" s="9"/>
    </row>
    <row r="330" spans="1:12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  <c r="L330" s="9"/>
    </row>
    <row r="331" spans="1:12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  <c r="L331" s="9"/>
    </row>
    <row r="332" spans="1:12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  <c r="L332" s="9"/>
    </row>
  </sheetData>
  <mergeCells count="4">
    <mergeCell ref="D1:F1"/>
    <mergeCell ref="A1:C1"/>
    <mergeCell ref="G1:I1"/>
    <mergeCell ref="A2:B2"/>
  </mergeCells>
  <conditionalFormatting sqref="F2 I2 F4:F90 I4:I90">
    <cfRule type="cellIs" dxfId="42" priority="8" stopIfTrue="1" operator="lessThanOrEqual">
      <formula>-0.1</formula>
    </cfRule>
    <cfRule type="expression" dxfId="41" priority="9">
      <formula>AND(ISNUMBER(F2), F2&gt;=0.1)</formula>
    </cfRule>
  </conditionalFormatting>
  <hyperlinks>
    <hyperlink ref="K5" r:id="rId1" display="https://us3.assetplanner.com/service_request?ID=113194" xr:uid="{4C24B446-C6BB-4FBF-B540-92052CB5A391}"/>
    <hyperlink ref="K6" r:id="rId2" display="https://us3.assetplanner.com/service_request?ID=114747" xr:uid="{39CF8DCF-A960-4D77-A5E2-7EFF3CDC4578}"/>
    <hyperlink ref="M6" r:id="rId3" display="https://us3.assetplanner.com/service_request?ID=114565" xr:uid="{F1EA7DD7-0A26-420E-A11E-1D2D4D5A1C3E}"/>
    <hyperlink ref="K9" r:id="rId4" display="https://us3.assetplanner.com/service_request?ID=112066" xr:uid="{B3C65F99-08CA-4625-9B33-4A3293A6F28E}"/>
    <hyperlink ref="K10" r:id="rId5" display="https://us3.assetplanner.com/service_request?ID=112204" xr:uid="{BBAD2C46-8B6D-43CA-A9E3-4912245DAC9B}"/>
    <hyperlink ref="M10" r:id="rId6" display="https://us3.assetplanner.com/service_request?ID=113739" xr:uid="{6BFBD6F3-D913-471D-9327-B3DBC5AC6FC0}"/>
    <hyperlink ref="K12" r:id="rId7" display="https://us3.assetplanner.com/service_request?ID=114152" xr:uid="{D184CEE2-AA0E-4159-8F60-262E9B11705C}"/>
    <hyperlink ref="M12" r:id="rId8" display="https://us3.assetplanner.com/service_request?ID=114224" xr:uid="{B6DA424A-986D-48D0-A9B0-D92B0019CC85}"/>
    <hyperlink ref="K13" r:id="rId9" display="https://us3.assetplanner.com/service_request?ID=109907" xr:uid="{C63F6970-D7E1-4DB3-B8B9-90BE9A74E6C2}"/>
    <hyperlink ref="M13" r:id="rId10" display="https://us3.assetplanner.com/service_request?ID=113245" xr:uid="{825CFF0D-FAD4-4247-9A8E-E4F644BA68B7}"/>
    <hyperlink ref="N13" r:id="rId11" display="https://us3.assetplanner.com/service_request?ID=107283" xr:uid="{6A969BD9-3D56-48F7-AA27-EDB664D51A37}"/>
    <hyperlink ref="O13" r:id="rId12" display="https://us3.assetplanner.com/service_request?ID=115431" xr:uid="{00A749A5-EBBF-42AD-9C38-F288F6EF7911}"/>
    <hyperlink ref="K14" r:id="rId13" display="https://us3.assetplanner.com/service_request?ID=109394" xr:uid="{E14D8FCE-87DF-4061-AF73-0FDC524A0333}"/>
    <hyperlink ref="K15" r:id="rId14" display="https://us3.assetplanner.com/service_request?ID=109357" xr:uid="{F7E981A9-8FA7-489D-8184-953F2B626C05}"/>
    <hyperlink ref="K16" r:id="rId15" display="https://us3.assetplanner.com/service_request?ID=104969" xr:uid="{CD542414-331D-4318-AAC5-A42203AA8DC9}"/>
    <hyperlink ref="K17" r:id="rId16" display="https://us3.assetplanner.com/service_request?ID=104968" xr:uid="{23EAE101-F976-4A7E-B753-82CC8B02BAAC}"/>
    <hyperlink ref="K18" r:id="rId17" display="https://us3.assetplanner.com/service_request?ID=111836" xr:uid="{974D33B6-24FD-4DFE-A9C9-9D7370869D4A}"/>
    <hyperlink ref="M18" r:id="rId18" display="https://us3.assetplanner.com/service_request?ID=113241" xr:uid="{85547D15-B5B7-47D4-9BFF-6BFD7563D74F}"/>
    <hyperlink ref="K20" r:id="rId19" display="https://us3.assetplanner.com/service_request?ID=107806" xr:uid="{3FD95851-CE8A-4B49-8516-475E06F640E0}"/>
    <hyperlink ref="M20" r:id="rId20" display="https://us3.assetplanner.com/service_request?ID=108798" xr:uid="{9D1160B5-3A0C-4866-9089-F79BF4F2C6AF}"/>
    <hyperlink ref="N20" r:id="rId21" display="https://us3.assetplanner.com/service_request?ID=104743" xr:uid="{BC4CFE6E-99A4-49B8-8559-2961BC9A6544}"/>
    <hyperlink ref="O20" r:id="rId22" display="https://us3.assetplanner.com/service_request?ID=110186" xr:uid="{6208B5E2-3507-4C54-8975-32F413863985}"/>
    <hyperlink ref="K22" r:id="rId23" display="https://us3.assetplanner.com/service_request?ID=113772" xr:uid="{C0AFA60E-8EBE-4BF0-A318-4ECFF9931A3A}"/>
    <hyperlink ref="M22" r:id="rId24" display="https://us3.assetplanner.com/service_request?ID=112790" xr:uid="{AC671165-211C-43BD-ACCD-DAB8FB6C4B47}"/>
    <hyperlink ref="K24" r:id="rId25" display="https://us3.assetplanner.com/service_request?ID=105503" xr:uid="{E3F91C64-F3DF-4F43-868D-0B1D373EA6AD}"/>
    <hyperlink ref="K25" r:id="rId26" display="https://us3.assetplanner.com/service_request?ID=115286" xr:uid="{6FBA615B-973D-4978-9F40-1EDF31B74A5C}"/>
    <hyperlink ref="K26" r:id="rId27" display="https://us3.assetplanner.com/service_request?ID=113111" xr:uid="{743A2DCD-DD75-4D39-9E5A-8BE3E90063B0}"/>
    <hyperlink ref="M26" r:id="rId28" display="https://us3.assetplanner.com/service_request?ID=109209" xr:uid="{D5736794-74C4-4BAB-AC2A-70F0440C6C66}"/>
    <hyperlink ref="K28" r:id="rId29" display="https://us3.assetplanner.com/service_request?ID=114457" xr:uid="{9499DEC5-7CE8-42EB-A590-10A3337DA362}"/>
    <hyperlink ref="K29" r:id="rId30" display="https://us3.assetplanner.com/service_request?ID=114352" xr:uid="{F0C73B52-6C7F-4D58-B11F-9009736F37CE}"/>
    <hyperlink ref="M29" r:id="rId31" display="https://us3.assetplanner.com/service_request?ID=114684" xr:uid="{4AAC323F-2A5D-4218-92F1-2D2F548268E2}"/>
  </hyperlinks>
  <pageMargins left="0.4" right="0.7" top="0.25" bottom="0.25" header="0.3" footer="0.3"/>
  <pageSetup fitToHeight="99" orientation="landscape" r:id="rId3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33"/>
  <sheetViews>
    <sheetView zoomScale="50" zoomScaleNormal="50" workbookViewId="0">
      <pane xSplit="2" ySplit="3" topLeftCell="C4" activePane="bottomRight" state="frozen"/>
      <selection pane="bottomRight" activeCell="H36" sqref="H36"/>
      <selection pane="bottomLeft" activeCell="H36" sqref="H36"/>
      <selection pane="topRight" activeCell="H36" sqref="H36"/>
    </sheetView>
  </sheetViews>
  <sheetFormatPr defaultRowHeight="13.9"/>
  <cols>
    <col min="1" max="1" width="35.85546875" bestFit="1" customWidth="1"/>
    <col min="2" max="2" width="8.42578125" style="1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80.140625" customWidth="1"/>
    <col min="11" max="11" width="20.5703125" bestFit="1" customWidth="1"/>
    <col min="12" max="13" width="8.85546875" style="70"/>
  </cols>
  <sheetData>
    <row r="1" spans="1:13" ht="19.5" customHeight="1">
      <c r="A1" s="100" t="str" cm="1">
        <f t="array" ref="A1">portfolio</f>
        <v>Catalyze</v>
      </c>
      <c r="B1" s="100"/>
      <c r="C1" s="100"/>
      <c r="D1" s="101" t="s">
        <v>93</v>
      </c>
      <c r="E1" s="101"/>
      <c r="F1" s="101"/>
      <c r="G1" s="99" t="s">
        <v>94</v>
      </c>
      <c r="H1" s="99"/>
      <c r="I1" s="99"/>
      <c r="J1" s="4"/>
      <c r="K1" s="4"/>
    </row>
    <row r="2" spans="1:13" ht="19.5" customHeight="1">
      <c r="A2" s="102" t="s">
        <v>2</v>
      </c>
      <c r="B2" s="102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12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21</v>
      </c>
      <c r="K3" s="11" t="s">
        <v>22</v>
      </c>
    </row>
    <row r="4" spans="1:13" ht="15.6">
      <c r="A4" s="45" t="str" cm="1">
        <f t="array" ref="A4:A29">Sites[Site]</f>
        <v>Fresno - 3150 Shaw Ave</v>
      </c>
      <c r="B4" s="41" t="str" cm="1">
        <f t="array" ref="B4:B29">Sites[State]</f>
        <v>CA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66"/>
      <c r="L4" s="71"/>
      <c r="M4" s="71"/>
    </row>
    <row r="5" spans="1:13" ht="15.6">
      <c r="A5" s="46" t="str">
        <v>Adelanto - 1 Sheep Creek Road</v>
      </c>
      <c r="B5" s="43" t="str">
        <v>CA</v>
      </c>
      <c r="C5" s="36"/>
      <c r="D5" s="37"/>
      <c r="E5" s="37" t="str">
        <f t="shared" ref="E5:E15" si="0">IF(AND(ISNUMBER(C5),ISNUMBER(D5)), C5-D5, "")</f>
        <v/>
      </c>
      <c r="F5" s="38" t="str">
        <f>IFERROR(E5/D5, "")</f>
        <v/>
      </c>
      <c r="G5" s="39"/>
      <c r="H5" s="39" t="str">
        <f t="shared" ref="H5:H15" si="1">IF(AND(ISNUMBER(C5),ISNUMBER(G5)), C5-G5, "")</f>
        <v/>
      </c>
      <c r="I5" s="38" t="str">
        <f t="shared" ref="I5:I15" si="2">IFERROR(H5/G5, "")</f>
        <v/>
      </c>
      <c r="J5" s="59"/>
      <c r="K5" s="67"/>
      <c r="L5" s="71"/>
      <c r="M5" s="71"/>
    </row>
    <row r="6" spans="1:13" ht="15.6">
      <c r="A6" s="47" t="str">
        <v>Blackstone - 83 Federal Street</v>
      </c>
      <c r="B6" s="41" t="str">
        <v>MA</v>
      </c>
      <c r="C6" s="29"/>
      <c r="D6" s="37"/>
      <c r="E6" s="30" t="str">
        <f t="shared" si="0"/>
        <v/>
      </c>
      <c r="F6" s="31" t="str">
        <f t="shared" ref="F6:F15" si="3">IFERROR(E6/D6, "")</f>
        <v/>
      </c>
      <c r="G6" s="32"/>
      <c r="H6" s="32" t="str">
        <f t="shared" si="1"/>
        <v/>
      </c>
      <c r="I6" s="33" t="str">
        <f t="shared" si="2"/>
        <v/>
      </c>
      <c r="J6" s="50"/>
      <c r="K6" s="66"/>
    </row>
    <row r="7" spans="1:13" ht="62.25" customHeight="1">
      <c r="A7" s="46" t="str">
        <v>Charlton - 299 Worcester Road</v>
      </c>
      <c r="B7" s="43" t="str">
        <v>MA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1"/>
      <c r="K7" s="69"/>
    </row>
    <row r="8" spans="1:13" ht="15.6">
      <c r="A8" s="47" t="str">
        <v>Wareham - 8 Thatcher Drive</v>
      </c>
      <c r="B8" s="41" t="str">
        <v>MA</v>
      </c>
      <c r="C8" s="29"/>
      <c r="D8" s="37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0"/>
      <c r="K8" s="66"/>
    </row>
    <row r="9" spans="1:13" ht="15.6">
      <c r="A9" s="46" t="str">
        <v>West Yarmouth - 42 Mid Tech</v>
      </c>
      <c r="B9" s="43" t="str">
        <v>MA</v>
      </c>
      <c r="C9" s="36"/>
      <c r="D9" s="37"/>
      <c r="E9" s="37" t="str">
        <f t="shared" si="0"/>
        <v/>
      </c>
      <c r="F9" s="38" t="str">
        <f t="shared" si="3"/>
        <v/>
      </c>
      <c r="G9" s="39"/>
      <c r="H9" s="39" t="str">
        <f t="shared" si="1"/>
        <v/>
      </c>
      <c r="I9" s="38" t="str">
        <f t="shared" si="2"/>
        <v/>
      </c>
      <c r="J9" s="51"/>
      <c r="K9" s="51"/>
    </row>
    <row r="10" spans="1:13" ht="15.6">
      <c r="A10" s="47" t="str">
        <v>Harrison - 130 Union Street</v>
      </c>
      <c r="B10" s="41" t="str">
        <v>NY</v>
      </c>
      <c r="C10" s="29"/>
      <c r="D10" s="30"/>
      <c r="E10" s="30" t="str">
        <f t="shared" si="0"/>
        <v/>
      </c>
      <c r="F10" s="31" t="str">
        <f t="shared" si="3"/>
        <v/>
      </c>
      <c r="G10" s="32"/>
      <c r="H10" s="32" t="str">
        <f t="shared" si="1"/>
        <v/>
      </c>
      <c r="I10" s="33" t="str">
        <f t="shared" si="2"/>
        <v/>
      </c>
      <c r="J10" s="50"/>
      <c r="K10" s="50"/>
    </row>
    <row r="11" spans="1:13" ht="15.6">
      <c r="A11" s="46" t="str">
        <v>Staten Island - Ellis Storage</v>
      </c>
      <c r="B11" s="43" t="str">
        <v>NY</v>
      </c>
      <c r="C11" s="36"/>
      <c r="D11" s="37"/>
      <c r="E11" s="37" t="str">
        <f t="shared" si="0"/>
        <v/>
      </c>
      <c r="F11" s="38" t="str">
        <f t="shared" si="3"/>
        <v/>
      </c>
      <c r="G11" s="39"/>
      <c r="H11" s="39" t="str">
        <f t="shared" si="1"/>
        <v/>
      </c>
      <c r="I11" s="38" t="str">
        <f t="shared" si="2"/>
        <v/>
      </c>
      <c r="J11" s="51"/>
      <c r="K11" s="51"/>
    </row>
    <row r="12" spans="1:13" ht="15.6">
      <c r="A12" s="47" t="str">
        <v>Amherst - 595 Schoelles Road</v>
      </c>
      <c r="B12" s="41" t="str">
        <v>NY</v>
      </c>
      <c r="C12" s="29"/>
      <c r="D12" s="30"/>
      <c r="E12" s="30" t="str">
        <f t="shared" si="0"/>
        <v/>
      </c>
      <c r="F12" s="31" t="str">
        <f t="shared" si="3"/>
        <v/>
      </c>
      <c r="G12" s="32"/>
      <c r="H12" s="32" t="str">
        <f t="shared" si="1"/>
        <v/>
      </c>
      <c r="I12" s="33" t="str">
        <f t="shared" si="2"/>
        <v/>
      </c>
      <c r="J12" s="50"/>
      <c r="K12" s="66"/>
      <c r="L12" s="71"/>
      <c r="M12" s="71"/>
    </row>
    <row r="13" spans="1:13" ht="15.6">
      <c r="A13" s="46" t="str">
        <v>Lancaster 1 - Gunnville Road</v>
      </c>
      <c r="B13" s="43" t="str">
        <v>NY</v>
      </c>
      <c r="C13" s="36"/>
      <c r="D13" s="37"/>
      <c r="E13" s="37" t="str">
        <f t="shared" si="0"/>
        <v/>
      </c>
      <c r="F13" s="38" t="str">
        <f t="shared" si="3"/>
        <v/>
      </c>
      <c r="G13" s="39"/>
      <c r="H13" s="39" t="str">
        <f t="shared" si="1"/>
        <v/>
      </c>
      <c r="I13" s="38" t="str">
        <f t="shared" si="2"/>
        <v/>
      </c>
      <c r="J13" s="88"/>
      <c r="K13" s="51"/>
    </row>
    <row r="14" spans="1:13" ht="15.6">
      <c r="A14" s="47" t="str">
        <v>Lancaster 2 - Shisler Road</v>
      </c>
      <c r="B14" s="41" t="str">
        <v>NY</v>
      </c>
      <c r="C14" s="29"/>
      <c r="D14" s="30"/>
      <c r="E14" s="30" t="str">
        <f t="shared" si="0"/>
        <v/>
      </c>
      <c r="F14" s="31" t="str">
        <f t="shared" si="3"/>
        <v/>
      </c>
      <c r="G14" s="32"/>
      <c r="H14" s="32" t="str">
        <f t="shared" si="1"/>
        <v/>
      </c>
      <c r="I14" s="33" t="str">
        <f t="shared" si="2"/>
        <v/>
      </c>
      <c r="J14" s="50"/>
      <c r="K14" s="66"/>
    </row>
    <row r="15" spans="1:13" ht="15.6">
      <c r="A15" s="46" t="str">
        <v>Fullerton - 200 W Orangethorpe</v>
      </c>
      <c r="B15" s="43" t="str">
        <v>CA</v>
      </c>
      <c r="C15" s="36"/>
      <c r="D15" s="37"/>
      <c r="E15" s="37" t="str">
        <f t="shared" si="0"/>
        <v/>
      </c>
      <c r="F15" s="38" t="str">
        <f t="shared" si="3"/>
        <v/>
      </c>
      <c r="G15" s="39"/>
      <c r="H15" s="39" t="str">
        <f t="shared" si="1"/>
        <v/>
      </c>
      <c r="I15" s="38" t="str">
        <f t="shared" si="2"/>
        <v/>
      </c>
      <c r="J15" s="51"/>
      <c r="K15" s="51"/>
    </row>
    <row r="16" spans="1:13" ht="15.6">
      <c r="A16" s="47" t="str">
        <v>El Paso - 10500 Railroad Drive</v>
      </c>
      <c r="B16" s="41" t="str">
        <v>TX</v>
      </c>
      <c r="C16" s="29"/>
      <c r="D16" s="30"/>
      <c r="E16" s="30" t="str">
        <f t="shared" ref="E16:E17" si="4">IF(AND(ISNUMBER(C16),ISNUMBER(D16)), C16-D16, "")</f>
        <v/>
      </c>
      <c r="F16" s="31" t="str">
        <f t="shared" ref="F16:F17" si="5">IFERROR(E16/D16, "")</f>
        <v/>
      </c>
      <c r="G16" s="32"/>
      <c r="H16" s="32" t="str">
        <f t="shared" ref="H16:H17" si="6">IF(AND(ISNUMBER(C16),ISNUMBER(G16)), C16-G16, "")</f>
        <v/>
      </c>
      <c r="I16" s="33" t="str">
        <f t="shared" ref="I16:I17" si="7">IFERROR(H16/G16, "")</f>
        <v/>
      </c>
      <c r="J16" s="50"/>
      <c r="K16" s="50"/>
    </row>
    <row r="17" spans="1:13" ht="15.6">
      <c r="A17" s="46" t="str">
        <v>Friona - 900 Millard Ave</v>
      </c>
      <c r="B17" s="43" t="str">
        <v>TX</v>
      </c>
      <c r="C17" s="36"/>
      <c r="D17" s="37"/>
      <c r="E17" s="37" t="str">
        <f t="shared" si="4"/>
        <v/>
      </c>
      <c r="F17" s="38" t="str">
        <f t="shared" si="5"/>
        <v/>
      </c>
      <c r="G17" s="39"/>
      <c r="H17" s="39" t="str">
        <f t="shared" si="6"/>
        <v/>
      </c>
      <c r="I17" s="38" t="str">
        <f t="shared" si="7"/>
        <v/>
      </c>
      <c r="J17" s="75"/>
      <c r="K17" s="81"/>
    </row>
    <row r="18" spans="1:13" ht="15.6">
      <c r="A18" s="47" t="str">
        <v>Augusta - 13 York Farm Road</v>
      </c>
      <c r="B18" s="41" t="str">
        <v>ME</v>
      </c>
      <c r="C18" s="29"/>
      <c r="D18" s="30"/>
      <c r="E18" s="30" t="str">
        <f>IF(AND(ISNUMBER(C18),ISNUMBER(D18)), C18-D18, "")</f>
        <v/>
      </c>
      <c r="F18" s="31" t="str">
        <f>IFERROR(E18/D18, "")</f>
        <v/>
      </c>
      <c r="G18" s="32"/>
      <c r="H18" s="32" t="str">
        <f>IF(AND(ISNUMBER(C18),ISNUMBER(G18)), C18-G18, "")</f>
        <v/>
      </c>
      <c r="I18" s="33" t="str">
        <f>IFERROR(H18/G18, "")</f>
        <v/>
      </c>
      <c r="J18" s="50"/>
      <c r="K18" s="50"/>
    </row>
    <row r="19" spans="1:13" ht="15.6">
      <c r="A19" s="42" t="str">
        <v xml:space="preserve">Santa Ana - 1441 West </v>
      </c>
      <c r="B19" s="43" t="str">
        <v>CA</v>
      </c>
      <c r="C19" s="36"/>
      <c r="D19" s="37"/>
      <c r="E19" s="37" t="str">
        <f>IF(AND(ISNUMBER(C19),ISNUMBER(D19)), C19-D19, "")</f>
        <v/>
      </c>
      <c r="F19" s="38" t="str">
        <f>IFERROR(E19/D19, "")</f>
        <v/>
      </c>
      <c r="G19" s="39"/>
      <c r="H19" s="39" t="str">
        <f>IF(AND(ISNUMBER(C19),ISNUMBER(G19)), C19-G19, "")</f>
        <v/>
      </c>
      <c r="I19" s="38" t="str">
        <f>IFERROR(H19/G19, "")</f>
        <v/>
      </c>
      <c r="J19" s="51"/>
      <c r="K19" s="52"/>
    </row>
    <row r="20" spans="1:13" ht="36" customHeight="1">
      <c r="A20" s="45" t="str">
        <v>Jessup -7950 Oceano Ave</v>
      </c>
      <c r="B20" s="41" t="str">
        <v>MD</v>
      </c>
      <c r="C20" s="29"/>
      <c r="D20" s="30"/>
      <c r="E20" s="30" t="str">
        <f>IF(AND(ISNUMBER(C20),ISNUMBER(D20)), C20-D20, "")</f>
        <v/>
      </c>
      <c r="F20" s="79" t="str">
        <f>IFERROR(E20/D20, "")</f>
        <v/>
      </c>
      <c r="G20" s="32"/>
      <c r="H20" s="32" t="str">
        <f>IF(AND(ISNUMBER(C20),ISNUMBER(G20)), C20-G20, "")</f>
        <v/>
      </c>
      <c r="I20" s="33" t="str">
        <f>IFERROR(H20/G20, "")</f>
        <v/>
      </c>
      <c r="J20" s="50"/>
      <c r="K20" s="66"/>
    </row>
    <row r="21" spans="1:13" ht="105" customHeight="1">
      <c r="A21" s="42" t="str">
        <v xml:space="preserve">TX: Fort Worth - 5200 Gold Spike Dr </v>
      </c>
      <c r="B21" s="43" t="str">
        <v>TX</v>
      </c>
      <c r="C21" s="36"/>
      <c r="D21" s="37"/>
      <c r="E21" s="77" t="str">
        <f>IF(AND(ISNUMBER(C21),ISNUMBER(D21)), C21-D21, "")</f>
        <v/>
      </c>
      <c r="F21" s="80" t="str">
        <f>IFERROR(E21/D21, "")</f>
        <v/>
      </c>
      <c r="G21" s="78"/>
      <c r="H21" s="39" t="str">
        <f>IF(AND(ISNUMBER(C21),ISNUMBER(G21)), C21-G21, "")</f>
        <v/>
      </c>
      <c r="I21" s="38" t="str">
        <f>IFERROR(H21/G21, "")</f>
        <v/>
      </c>
      <c r="J21" s="51"/>
      <c r="K21" s="67"/>
      <c r="L21" s="71"/>
      <c r="M21" s="71"/>
    </row>
    <row r="22" spans="1:13" ht="14.45">
      <c r="A22" s="9" t="str">
        <v>NY: Clifton Springs - Ontario 2 (21597)</v>
      </c>
      <c r="B22" s="14" t="str">
        <v>NY</v>
      </c>
      <c r="C22" s="9"/>
      <c r="D22" s="9"/>
      <c r="E22" s="9"/>
      <c r="F22" s="8"/>
      <c r="G22" s="9"/>
      <c r="H22" s="9"/>
      <c r="I22" s="9"/>
      <c r="J22" s="9"/>
      <c r="K22" s="9"/>
    </row>
    <row r="23" spans="1:13" ht="14.45">
      <c r="A23" s="9" t="str">
        <v>CA: Oxnard - 2600 Sakioka - System A</v>
      </c>
      <c r="B23" s="14" t="str">
        <v>CA</v>
      </c>
      <c r="C23" s="9"/>
      <c r="D23" s="9"/>
      <c r="E23" s="9"/>
      <c r="F23" s="9"/>
      <c r="G23" s="9"/>
      <c r="H23" s="9"/>
      <c r="I23" s="9"/>
      <c r="J23" s="9"/>
      <c r="K23" s="9"/>
    </row>
    <row r="24" spans="1:13" ht="14.45">
      <c r="A24" s="9" t="str">
        <v>CA: Oxnard - 2600 Sakioka - System B</v>
      </c>
      <c r="B24" s="14" t="str">
        <v>CA</v>
      </c>
      <c r="C24" s="9"/>
      <c r="D24" s="9"/>
      <c r="E24" s="9"/>
      <c r="F24" s="10"/>
      <c r="G24" s="9"/>
      <c r="H24" s="9"/>
      <c r="I24" s="10"/>
      <c r="J24" s="9"/>
      <c r="K24" s="9"/>
    </row>
    <row r="25" spans="1:13" ht="14.45">
      <c r="A25" s="9" t="str">
        <v>NY: Fonda - Montgomery 1 (21601)</v>
      </c>
      <c r="B25" s="14" t="str">
        <v>NY</v>
      </c>
      <c r="C25" s="9"/>
      <c r="D25" s="9"/>
      <c r="E25" s="9"/>
      <c r="F25" s="10"/>
      <c r="G25" s="9"/>
      <c r="H25" s="9"/>
      <c r="I25" s="10"/>
      <c r="J25" s="9"/>
      <c r="K25" s="9"/>
    </row>
    <row r="26" spans="1:13" ht="14.45">
      <c r="A26" s="9" t="str">
        <v>NY: Evans - SL Evans Array 1 (21106) - (PW)</v>
      </c>
      <c r="B26" s="14" t="str">
        <v>NY</v>
      </c>
      <c r="C26" s="9"/>
      <c r="D26" s="9"/>
      <c r="E26" s="9"/>
      <c r="F26" s="10"/>
      <c r="G26" s="9"/>
      <c r="H26" s="9"/>
      <c r="I26" s="10"/>
      <c r="J26" s="9"/>
      <c r="K26" s="9"/>
    </row>
    <row r="27" spans="1:13" ht="14.45">
      <c r="A27" s="9" t="str">
        <v>NY: Evans - SL Evans Array 2 (21107) - (PW)</v>
      </c>
      <c r="B27" s="14" t="str">
        <v>NY</v>
      </c>
      <c r="C27" s="9"/>
      <c r="D27" s="9"/>
      <c r="E27" s="9"/>
      <c r="F27" s="10"/>
      <c r="G27" s="9"/>
      <c r="H27" s="9"/>
      <c r="I27" s="10"/>
      <c r="J27" s="9"/>
      <c r="K27" s="9"/>
    </row>
    <row r="28" spans="1:13" ht="14.45">
      <c r="A28" s="9" t="str">
        <v>NY: Flushing - 131-21 14th Ave</v>
      </c>
      <c r="B28" s="14" t="str">
        <v>NY</v>
      </c>
      <c r="C28" s="9"/>
      <c r="D28" s="9"/>
      <c r="E28" s="9"/>
      <c r="F28" s="10"/>
      <c r="G28" s="9"/>
      <c r="H28" s="9"/>
      <c r="I28" s="10"/>
      <c r="J28" s="9"/>
      <c r="K28" s="9"/>
    </row>
    <row r="29" spans="1:13" ht="14.45">
      <c r="A29" s="9" t="str">
        <v>NY: Binghamton - Airport Rd (18878) - (PW)</v>
      </c>
      <c r="B29" s="14" t="str">
        <v>NY</v>
      </c>
      <c r="C29" s="9"/>
      <c r="D29" s="9"/>
      <c r="E29" s="9"/>
      <c r="F29" s="10"/>
      <c r="G29" s="9"/>
      <c r="H29" s="9"/>
      <c r="I29" s="10"/>
      <c r="J29" s="9"/>
      <c r="K29" s="9"/>
    </row>
    <row r="30" spans="1:13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3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3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C333" s="9"/>
      <c r="D333" s="9"/>
      <c r="E333" s="9"/>
      <c r="F333" s="10"/>
      <c r="G333" s="9"/>
      <c r="H333" s="9"/>
      <c r="I333" s="10"/>
      <c r="J333" s="9"/>
      <c r="K333" s="9"/>
    </row>
  </sheetData>
  <mergeCells count="4">
    <mergeCell ref="G1:I1"/>
    <mergeCell ref="A1:C1"/>
    <mergeCell ref="D1:F1"/>
    <mergeCell ref="A2:B2"/>
  </mergeCells>
  <conditionalFormatting sqref="F2 I2 I4:I91 F23:F91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21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T334"/>
  <sheetViews>
    <sheetView zoomScale="50" zoomScaleNormal="50" workbookViewId="0">
      <pane xSplit="2" ySplit="3" topLeftCell="H4" activePane="bottomRight" state="frozen"/>
      <selection pane="bottomRight" activeCell="H36" sqref="H36"/>
      <selection pane="bottomLeft" activeCell="H36" sqref="H36"/>
      <selection pane="topRight" activeCell="H36" sqref="H36"/>
    </sheetView>
  </sheetViews>
  <sheetFormatPr defaultRowHeight="13.9"/>
  <cols>
    <col min="1" max="1" width="35.85546875" bestFit="1" customWidth="1"/>
    <col min="2" max="2" width="8.42578125" style="1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4.85546875" bestFit="1" customWidth="1"/>
    <col min="11" max="11" width="20.5703125" bestFit="1" customWidth="1"/>
  </cols>
  <sheetData>
    <row r="1" spans="1:17" ht="19.5" customHeight="1">
      <c r="A1" s="100" t="str" cm="1">
        <f t="array" ref="A1">portfolio</f>
        <v>Catalyze</v>
      </c>
      <c r="B1" s="100"/>
      <c r="C1" s="100"/>
      <c r="D1" s="101" t="s">
        <v>95</v>
      </c>
      <c r="E1" s="101"/>
      <c r="F1" s="101"/>
      <c r="G1" s="99" t="s">
        <v>96</v>
      </c>
      <c r="H1" s="99"/>
      <c r="I1" s="99"/>
      <c r="J1" s="4"/>
      <c r="K1" s="4"/>
    </row>
    <row r="2" spans="1:17" ht="19.5" customHeight="1">
      <c r="A2" s="102" t="s">
        <v>2</v>
      </c>
      <c r="B2" s="10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2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7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21</v>
      </c>
      <c r="K3" s="11" t="s">
        <v>22</v>
      </c>
    </row>
    <row r="4" spans="1:17" ht="15.6">
      <c r="A4" s="45" t="str" cm="1">
        <f t="array" ref="A4:A29">Sites[Site]</f>
        <v>Fresno - 3150 Shaw Ave</v>
      </c>
      <c r="B4" s="41" t="str" cm="1">
        <f t="array" ref="B4:B29">Sites[State]</f>
        <v>CA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64"/>
      <c r="K4" s="83"/>
      <c r="L4" s="68"/>
      <c r="M4" s="84"/>
    </row>
    <row r="5" spans="1:17" ht="129.75" customHeight="1">
      <c r="A5" s="46" t="str">
        <v>Adelanto - 1 Sheep Creek Road</v>
      </c>
      <c r="B5" s="43" t="str">
        <v>CA</v>
      </c>
      <c r="C5" s="36"/>
      <c r="D5" s="37"/>
      <c r="E5" s="37" t="str">
        <f t="shared" ref="E5:E17" si="0">IF(AND(ISNUMBER(C5),ISNUMBER(D5)), C5-D5, "")</f>
        <v/>
      </c>
      <c r="F5" s="38" t="str">
        <f>IFERROR(E5/D5, "")</f>
        <v/>
      </c>
      <c r="G5" s="39"/>
      <c r="H5" s="39" t="str">
        <f t="shared" ref="H5:H17" si="1">IF(AND(ISNUMBER(C5),ISNUMBER(G5)), C5-G5, "")</f>
        <v/>
      </c>
      <c r="I5" s="38" t="str">
        <f t="shared" ref="I5:I17" si="2">IFERROR(H5/G5, "")</f>
        <v/>
      </c>
      <c r="J5" s="59"/>
      <c r="K5" s="69"/>
      <c r="L5" s="68"/>
      <c r="M5" s="84"/>
      <c r="N5" s="68"/>
      <c r="O5" s="68"/>
      <c r="P5" s="68"/>
      <c r="Q5" s="68"/>
    </row>
    <row r="6" spans="1:17" ht="52.35" customHeight="1">
      <c r="A6" s="47" t="str">
        <v>Blackstone - 83 Federal Street</v>
      </c>
      <c r="B6" s="41" t="str">
        <v>MA</v>
      </c>
      <c r="C6" s="29"/>
      <c r="D6" s="30"/>
      <c r="E6" s="30" t="str">
        <f t="shared" si="0"/>
        <v/>
      </c>
      <c r="F6" s="31" t="str">
        <f t="shared" ref="F6:F17" si="3">IFERROR(E6/D6, "")</f>
        <v/>
      </c>
      <c r="G6" s="32"/>
      <c r="H6" s="32" t="str">
        <f t="shared" si="1"/>
        <v/>
      </c>
      <c r="I6" s="33" t="str">
        <f t="shared" si="2"/>
        <v/>
      </c>
      <c r="J6" s="64"/>
      <c r="K6" s="83"/>
      <c r="L6" s="68"/>
      <c r="M6" s="84"/>
    </row>
    <row r="7" spans="1:17" ht="89.25" customHeight="1">
      <c r="A7" s="46" t="str">
        <v>Charlton - 299 Worcester Road</v>
      </c>
      <c r="B7" s="43" t="str">
        <v>MA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9"/>
      <c r="K7" s="67"/>
      <c r="L7" s="68"/>
      <c r="M7" s="84"/>
    </row>
    <row r="8" spans="1:17" ht="15.6">
      <c r="A8" s="47" t="str">
        <v>Wareham - 8 Thatcher Drive</v>
      </c>
      <c r="B8" s="41" t="str">
        <v>MA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64"/>
      <c r="K8" s="64"/>
      <c r="M8" s="53"/>
    </row>
    <row r="9" spans="1:17" ht="15.6">
      <c r="A9" s="46" t="str">
        <v>West Yarmouth - 42 Mid Tech</v>
      </c>
      <c r="B9" s="43" t="str">
        <v>MA</v>
      </c>
      <c r="C9" s="36"/>
      <c r="D9" s="37"/>
      <c r="E9" s="37" t="str">
        <f t="shared" si="0"/>
        <v/>
      </c>
      <c r="F9" s="38" t="str">
        <f t="shared" si="3"/>
        <v/>
      </c>
      <c r="G9" s="39"/>
      <c r="H9" s="39" t="str">
        <f t="shared" si="1"/>
        <v/>
      </c>
      <c r="I9" s="38" t="str">
        <f t="shared" si="2"/>
        <v/>
      </c>
      <c r="J9" s="59"/>
      <c r="K9" s="58"/>
      <c r="M9" s="53"/>
    </row>
    <row r="10" spans="1:17" ht="15.6">
      <c r="A10" s="47" t="str">
        <v>Harrison - 130 Union Street</v>
      </c>
      <c r="B10" s="41" t="str">
        <v>NY</v>
      </c>
      <c r="C10" s="29"/>
      <c r="D10" s="30"/>
      <c r="E10" s="30" t="str">
        <f t="shared" si="0"/>
        <v/>
      </c>
      <c r="F10" s="31" t="str">
        <f t="shared" si="3"/>
        <v/>
      </c>
      <c r="G10" s="32"/>
      <c r="H10" s="32" t="str">
        <f t="shared" si="1"/>
        <v/>
      </c>
      <c r="I10" s="33" t="str">
        <f t="shared" si="2"/>
        <v/>
      </c>
      <c r="J10" s="64"/>
      <c r="K10" s="64"/>
      <c r="M10" s="53"/>
    </row>
    <row r="11" spans="1:17" ht="15.6">
      <c r="A11" s="46" t="str">
        <v>Staten Island - Ellis Storage</v>
      </c>
      <c r="B11" s="43" t="str">
        <v>NY</v>
      </c>
      <c r="C11" s="36"/>
      <c r="D11" s="37"/>
      <c r="E11" s="37" t="str">
        <f t="shared" si="0"/>
        <v/>
      </c>
      <c r="F11" s="38" t="str">
        <f t="shared" si="3"/>
        <v/>
      </c>
      <c r="G11" s="39"/>
      <c r="H11" s="39" t="str">
        <f t="shared" si="1"/>
        <v/>
      </c>
      <c r="I11" s="38" t="str">
        <f t="shared" si="2"/>
        <v/>
      </c>
      <c r="J11" s="59"/>
      <c r="K11" s="58"/>
      <c r="M11" s="53"/>
    </row>
    <row r="12" spans="1:17" ht="15.6">
      <c r="A12" s="47" t="str">
        <v>Amherst - 595 Schoelles Road</v>
      </c>
      <c r="B12" s="41" t="str">
        <v>NY</v>
      </c>
      <c r="C12" s="29"/>
      <c r="D12" s="30"/>
      <c r="E12" s="30" t="str">
        <f t="shared" si="0"/>
        <v/>
      </c>
      <c r="F12" s="31" t="str">
        <f t="shared" si="3"/>
        <v/>
      </c>
      <c r="G12" s="32"/>
      <c r="H12" s="32" t="str">
        <f t="shared" si="1"/>
        <v/>
      </c>
      <c r="I12" s="33" t="str">
        <f t="shared" si="2"/>
        <v/>
      </c>
      <c r="J12" s="64"/>
      <c r="K12" s="83"/>
      <c r="L12" s="68"/>
      <c r="M12" s="84"/>
      <c r="N12" s="68"/>
    </row>
    <row r="13" spans="1:17" ht="15.6">
      <c r="A13" s="46" t="str">
        <v>Lancaster 1 - Gunnville Road</v>
      </c>
      <c r="B13" s="43" t="str">
        <v>NY</v>
      </c>
      <c r="C13" s="36"/>
      <c r="D13" s="37"/>
      <c r="E13" s="37" t="str">
        <f t="shared" si="0"/>
        <v/>
      </c>
      <c r="F13" s="38" t="str">
        <f t="shared" si="3"/>
        <v/>
      </c>
      <c r="G13" s="39"/>
      <c r="H13" s="39" t="str">
        <f t="shared" si="1"/>
        <v/>
      </c>
      <c r="I13" s="38" t="str">
        <f t="shared" si="2"/>
        <v/>
      </c>
      <c r="J13" s="59"/>
      <c r="K13" s="67"/>
      <c r="M13" s="53"/>
    </row>
    <row r="14" spans="1:17" ht="15.6">
      <c r="A14" s="47" t="str">
        <v>Lancaster 2 - Shisler Road</v>
      </c>
      <c r="B14" s="41" t="str">
        <v>NY</v>
      </c>
      <c r="C14" s="29"/>
      <c r="D14" s="30"/>
      <c r="E14" s="30" t="str">
        <f t="shared" si="0"/>
        <v/>
      </c>
      <c r="F14" s="31" t="str">
        <f t="shared" si="3"/>
        <v/>
      </c>
      <c r="G14" s="32"/>
      <c r="H14" s="32" t="str">
        <f t="shared" si="1"/>
        <v/>
      </c>
      <c r="I14" s="33" t="str">
        <f t="shared" si="2"/>
        <v/>
      </c>
      <c r="J14" s="64"/>
      <c r="K14" s="83"/>
      <c r="M14" s="53"/>
    </row>
    <row r="15" spans="1:17" ht="15.6">
      <c r="A15" s="46" t="str">
        <v>Fullerton - 200 W Orangethorpe</v>
      </c>
      <c r="B15" s="43" t="str">
        <v>CA</v>
      </c>
      <c r="C15" s="36"/>
      <c r="D15" s="37"/>
      <c r="E15" s="37" t="str">
        <f t="shared" si="0"/>
        <v/>
      </c>
      <c r="F15" s="38" t="str">
        <f t="shared" si="3"/>
        <v/>
      </c>
      <c r="G15" s="39"/>
      <c r="H15" s="39" t="str">
        <f t="shared" si="1"/>
        <v/>
      </c>
      <c r="I15" s="38" t="str">
        <f t="shared" si="2"/>
        <v/>
      </c>
      <c r="J15" s="59"/>
      <c r="K15" s="67"/>
      <c r="M15" s="53"/>
    </row>
    <row r="16" spans="1:17" ht="15.6">
      <c r="A16" s="47" t="str">
        <v>El Paso - 10500 Railroad Drive</v>
      </c>
      <c r="B16" s="41" t="str">
        <v>TX</v>
      </c>
      <c r="C16" s="29"/>
      <c r="D16" s="30"/>
      <c r="E16" s="30" t="str">
        <f t="shared" si="0"/>
        <v/>
      </c>
      <c r="F16" s="31" t="str">
        <f t="shared" si="3"/>
        <v/>
      </c>
      <c r="G16" s="32"/>
      <c r="H16" s="32" t="str">
        <f t="shared" si="1"/>
        <v/>
      </c>
      <c r="I16" s="33" t="str">
        <f t="shared" si="2"/>
        <v/>
      </c>
      <c r="J16" s="64"/>
      <c r="K16" s="83"/>
      <c r="M16" s="53"/>
    </row>
    <row r="17" spans="1:20" ht="15.6">
      <c r="A17" s="46" t="str">
        <v>Friona - 900 Millard Ave</v>
      </c>
      <c r="B17" s="43" t="str">
        <v>TX</v>
      </c>
      <c r="C17" s="36"/>
      <c r="D17" s="37"/>
      <c r="E17" s="37" t="str">
        <f t="shared" si="0"/>
        <v/>
      </c>
      <c r="F17" s="38" t="str">
        <f t="shared" si="3"/>
        <v/>
      </c>
      <c r="G17" s="39"/>
      <c r="H17" s="39" t="str">
        <f t="shared" si="1"/>
        <v/>
      </c>
      <c r="I17" s="38" t="str">
        <f t="shared" si="2"/>
        <v/>
      </c>
      <c r="J17" s="59"/>
      <c r="K17" s="67"/>
      <c r="L17" s="68"/>
      <c r="M17" s="84"/>
    </row>
    <row r="18" spans="1:20" ht="15.6">
      <c r="A18" s="44" t="str">
        <v>Augusta - 13 York Farm Road</v>
      </c>
      <c r="B18" s="41" t="str">
        <v>ME</v>
      </c>
      <c r="C18" s="29"/>
      <c r="D18" s="30"/>
      <c r="E18" s="30" t="str">
        <f>IF(AND(ISNUMBER(C18),ISNUMBER(D18)), C18-D18, "")</f>
        <v/>
      </c>
      <c r="F18" s="31" t="str">
        <f>IFERROR(E18/D18, "")</f>
        <v/>
      </c>
      <c r="G18" s="32"/>
      <c r="H18" s="32" t="str">
        <f>IF(AND(ISNUMBER(C18),ISNUMBER(G18)), C18-G18, "")</f>
        <v/>
      </c>
      <c r="I18" s="33" t="str">
        <f>IFERROR(H18/G18, "")</f>
        <v/>
      </c>
      <c r="J18" s="50"/>
      <c r="K18" s="50"/>
    </row>
    <row r="19" spans="1:20" ht="15.6">
      <c r="A19" s="42" t="str">
        <v xml:space="preserve">Santa Ana - 1441 West </v>
      </c>
      <c r="B19" s="43" t="str">
        <v>CA</v>
      </c>
      <c r="C19" s="36"/>
      <c r="D19" s="37"/>
      <c r="E19" s="37" t="str">
        <f>IF(AND(ISNUMBER(C19),ISNUMBER(D19)), C19-D19, "")</f>
        <v/>
      </c>
      <c r="F19" s="38" t="str">
        <f>IFERROR(E19/D19, "")</f>
        <v/>
      </c>
      <c r="G19" s="39"/>
      <c r="H19" s="39" t="str">
        <f>IF(AND(ISNUMBER(C19),ISNUMBER(G19)), C19-G19, "")</f>
        <v/>
      </c>
      <c r="I19" s="38" t="str">
        <f>IFERROR(H19/G19, "")</f>
        <v/>
      </c>
      <c r="J19" s="82"/>
      <c r="K19" s="63"/>
    </row>
    <row r="20" spans="1:20" ht="15.6">
      <c r="A20" s="44" t="str">
        <v>Jessup -7950 Oceano Ave</v>
      </c>
      <c r="B20" s="41" t="str">
        <v>MD</v>
      </c>
      <c r="C20" s="29"/>
      <c r="D20" s="30"/>
      <c r="E20" s="30" t="str">
        <f>IF(AND(ISNUMBER(C20),ISNUMBER(D20)), C20-D20, "")</f>
        <v/>
      </c>
      <c r="F20" s="31" t="str">
        <f>IFERROR(E20/D20, "")</f>
        <v/>
      </c>
      <c r="G20" s="32"/>
      <c r="H20" s="32" t="str">
        <f>IF(AND(ISNUMBER(C20),ISNUMBER(G20)), C20-G20, "")</f>
        <v/>
      </c>
      <c r="I20" s="33" t="str">
        <f>IFERROR(H20/G20, "")</f>
        <v/>
      </c>
      <c r="J20" s="50"/>
      <c r="K20" s="66"/>
      <c r="L20" s="68"/>
    </row>
    <row r="21" spans="1:20" ht="15.6">
      <c r="A21" s="42" t="str">
        <v xml:space="preserve">TX: Fort Worth - 5200 Gold Spike Dr </v>
      </c>
      <c r="B21" s="43" t="str">
        <v>TX</v>
      </c>
      <c r="C21" s="36"/>
      <c r="D21" s="37"/>
      <c r="E21" s="37" t="str">
        <f>IF(AND(ISNUMBER(C21),ISNUMBER(D21)), C21-D21, "")</f>
        <v/>
      </c>
      <c r="F21" s="38" t="str">
        <f>IFERROR(E21/D21, "")</f>
        <v/>
      </c>
      <c r="G21" s="39"/>
      <c r="H21" s="39" t="str">
        <f>IF(AND(ISNUMBER(C21),ISNUMBER(G21)), C21-G21, "")</f>
        <v/>
      </c>
      <c r="I21" s="38" t="str">
        <f>IFERROR(H21/G21, "")</f>
        <v/>
      </c>
      <c r="J21" s="82"/>
      <c r="K21" s="69"/>
      <c r="L21" s="68"/>
      <c r="M21" s="68"/>
      <c r="N21" s="68"/>
      <c r="O21" s="68"/>
      <c r="P21" s="68"/>
      <c r="Q21" s="68"/>
      <c r="R21" s="68"/>
      <c r="S21" s="68"/>
      <c r="T21" s="68"/>
    </row>
    <row r="22" spans="1:20" ht="14.45">
      <c r="A22" s="9" t="str">
        <v>NY: Clifton Springs - Ontario 2 (21597)</v>
      </c>
      <c r="B22" s="14" t="str">
        <v>NY</v>
      </c>
      <c r="C22" s="9"/>
      <c r="D22" s="9"/>
      <c r="E22" s="9"/>
      <c r="F22" s="9"/>
      <c r="G22" s="9"/>
      <c r="H22" s="9"/>
      <c r="I22" s="9"/>
      <c r="J22" s="9"/>
      <c r="K22" s="9"/>
      <c r="M22" s="53"/>
    </row>
    <row r="23" spans="1:20" ht="14.45">
      <c r="A23" s="9" t="str">
        <v>CA: Oxnard - 2600 Sakioka - System A</v>
      </c>
      <c r="B23" s="14" t="str">
        <v>CA</v>
      </c>
      <c r="C23" s="9"/>
      <c r="D23" s="9"/>
      <c r="E23" s="9"/>
      <c r="F23" s="9"/>
      <c r="G23" s="9"/>
      <c r="H23" s="9"/>
      <c r="I23" s="9"/>
      <c r="J23" s="9"/>
      <c r="K23" s="9"/>
      <c r="M23" s="53"/>
    </row>
    <row r="24" spans="1:20" ht="14.45">
      <c r="A24" s="9" t="str">
        <v>CA: Oxnard - 2600 Sakioka - System B</v>
      </c>
      <c r="B24" s="14" t="str">
        <v>CA</v>
      </c>
      <c r="C24" s="9"/>
      <c r="D24" s="9"/>
      <c r="E24" s="9"/>
      <c r="F24" s="9"/>
      <c r="G24" s="9"/>
      <c r="H24" s="9"/>
      <c r="I24" s="9"/>
      <c r="J24" s="9"/>
      <c r="K24" s="9"/>
      <c r="M24" s="53"/>
    </row>
    <row r="25" spans="1:20" ht="14.45">
      <c r="A25" s="9" t="str">
        <v>NY: Fonda - Montgomery 1 (21601)</v>
      </c>
      <c r="B25" s="14" t="str">
        <v>NY</v>
      </c>
      <c r="C25" s="9"/>
      <c r="D25" s="9"/>
      <c r="E25" s="9"/>
      <c r="F25" s="10"/>
      <c r="G25" s="9"/>
      <c r="H25" s="9"/>
      <c r="I25" s="10"/>
      <c r="J25" s="9"/>
      <c r="K25" s="9"/>
      <c r="M25" s="53"/>
    </row>
    <row r="26" spans="1:20" ht="14.45">
      <c r="A26" s="9" t="str">
        <v>NY: Evans - SL Evans Array 1 (21106) - (PW)</v>
      </c>
      <c r="B26" s="14" t="str">
        <v>NY</v>
      </c>
      <c r="C26" s="9"/>
      <c r="D26" s="9"/>
      <c r="E26" s="9"/>
      <c r="F26" s="10"/>
      <c r="G26" s="9"/>
      <c r="H26" s="9"/>
      <c r="I26" s="10"/>
      <c r="J26" s="9"/>
      <c r="K26" s="9"/>
      <c r="M26" s="53"/>
    </row>
    <row r="27" spans="1:20" ht="14.45">
      <c r="A27" s="9" t="str">
        <v>NY: Evans - SL Evans Array 2 (21107) - (PW)</v>
      </c>
      <c r="B27" s="14" t="str">
        <v>NY</v>
      </c>
      <c r="C27" s="9"/>
      <c r="D27" s="9"/>
      <c r="E27" s="9"/>
      <c r="F27" s="10"/>
      <c r="G27" s="9"/>
      <c r="H27" s="9"/>
      <c r="I27" s="10"/>
      <c r="J27" s="9"/>
      <c r="K27" s="9"/>
      <c r="M27" s="53"/>
    </row>
    <row r="28" spans="1:20" ht="14.45">
      <c r="A28" s="9" t="str">
        <v>NY: Flushing - 131-21 14th Ave</v>
      </c>
      <c r="B28" s="14" t="str">
        <v>NY</v>
      </c>
      <c r="C28" s="9"/>
      <c r="D28" s="9"/>
      <c r="E28" s="9"/>
      <c r="F28" s="10"/>
      <c r="G28" s="9"/>
      <c r="H28" s="9"/>
      <c r="I28" s="10"/>
      <c r="J28" s="9"/>
      <c r="K28" s="9"/>
      <c r="M28" s="53"/>
    </row>
    <row r="29" spans="1:20" ht="14.45">
      <c r="A29" s="9" t="str">
        <v>NY: Binghamton - Airport Rd (18878) - (PW)</v>
      </c>
      <c r="B29" s="14" t="str">
        <v>NY</v>
      </c>
      <c r="C29" s="9"/>
      <c r="D29" s="9"/>
      <c r="E29" s="9"/>
      <c r="F29" s="10"/>
      <c r="G29" s="9"/>
      <c r="H29" s="9"/>
      <c r="I29" s="10"/>
      <c r="J29" s="9"/>
      <c r="K29" s="9"/>
      <c r="M29" s="53"/>
    </row>
    <row r="30" spans="1:20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  <c r="M30" s="53"/>
    </row>
    <row r="31" spans="1:20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  <c r="M31" s="53"/>
    </row>
    <row r="32" spans="1:20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  <c r="M32" s="53"/>
    </row>
    <row r="33" spans="1:13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  <c r="M33" s="53"/>
    </row>
    <row r="34" spans="1:13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  <c r="M34" s="53"/>
    </row>
    <row r="35" spans="1:13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  <c r="M35" s="53"/>
    </row>
    <row r="36" spans="1:13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  <c r="M36" s="53"/>
    </row>
    <row r="37" spans="1:13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  <c r="M37" s="53"/>
    </row>
    <row r="38" spans="1:13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  <c r="M38" s="53"/>
    </row>
    <row r="39" spans="1:13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  <c r="M39" s="53"/>
    </row>
    <row r="40" spans="1:13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  <c r="M40" s="53"/>
    </row>
    <row r="41" spans="1:13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  <c r="M41" s="53"/>
    </row>
    <row r="42" spans="1:13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3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3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3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3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3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3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C334" s="9"/>
      <c r="D334" s="9"/>
      <c r="E334" s="9"/>
      <c r="F334" s="10"/>
      <c r="G334" s="9"/>
      <c r="H334" s="9"/>
      <c r="I334" s="10"/>
      <c r="J334" s="9"/>
      <c r="K334" s="9"/>
    </row>
  </sheetData>
  <mergeCells count="4">
    <mergeCell ref="G1:I1"/>
    <mergeCell ref="A1:C1"/>
    <mergeCell ref="D1:F1"/>
    <mergeCell ref="A2:B2"/>
  </mergeCells>
  <conditionalFormatting sqref="F2 I2">
    <cfRule type="cellIs" dxfId="36" priority="5" stopIfTrue="1" operator="lessThanOrEqual">
      <formula>-0.1</formula>
    </cfRule>
    <cfRule type="expression" dxfId="35" priority="6">
      <formula>AND(ISNUMBER(F2), F2&gt;=0.1)</formula>
    </cfRule>
  </conditionalFormatting>
  <conditionalFormatting sqref="F4:F92 I4:I92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Q334"/>
  <sheetViews>
    <sheetView zoomScale="50" zoomScaleNormal="50" workbookViewId="0">
      <pane xSplit="2" ySplit="3" topLeftCell="C6" activePane="bottomRight" state="frozen"/>
      <selection pane="bottomRight" activeCell="H36" sqref="H36"/>
      <selection pane="bottomLeft" activeCell="H36" sqref="H36"/>
      <selection pane="topRight" activeCell="H36" sqref="H36"/>
    </sheetView>
  </sheetViews>
  <sheetFormatPr defaultRowHeight="13.9"/>
  <cols>
    <col min="1" max="1" width="35.85546875" bestFit="1" customWidth="1"/>
    <col min="2" max="2" width="8.42578125" style="1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7" ht="19.5" customHeight="1">
      <c r="A1" s="100" t="str" cm="1">
        <f t="array" ref="A1">portfolio</f>
        <v>Catalyze</v>
      </c>
      <c r="B1" s="100"/>
      <c r="C1" s="100"/>
      <c r="D1" s="101" t="s">
        <v>97</v>
      </c>
      <c r="E1" s="101"/>
      <c r="F1" s="101"/>
      <c r="G1" s="99" t="s">
        <v>98</v>
      </c>
      <c r="H1" s="99"/>
      <c r="I1" s="99"/>
      <c r="J1" s="4"/>
      <c r="K1" s="4"/>
    </row>
    <row r="2" spans="1:17" ht="19.5" customHeight="1">
      <c r="A2" s="102" t="s">
        <v>2</v>
      </c>
      <c r="B2" s="10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2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7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21</v>
      </c>
      <c r="K3" s="11" t="s">
        <v>22</v>
      </c>
    </row>
    <row r="4" spans="1:17" ht="15.6">
      <c r="A4" s="40" t="str" cm="1">
        <f t="array" ref="A4:A29">Sites[Site]</f>
        <v>Fresno - 3150 Shaw Ave</v>
      </c>
      <c r="B4" s="41" t="str" cm="1">
        <f t="array" ref="B4:B29">Sites[State]</f>
        <v>CA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64"/>
      <c r="K4" s="83"/>
      <c r="L4" s="70"/>
      <c r="M4" s="70"/>
      <c r="N4" s="70"/>
      <c r="O4" s="70"/>
      <c r="P4" s="70"/>
      <c r="Q4" s="70"/>
    </row>
    <row r="5" spans="1:17" ht="121.5" customHeight="1">
      <c r="A5" s="42" t="str">
        <v>Adelanto - 1 Sheep Creek Road</v>
      </c>
      <c r="B5" s="43" t="str">
        <v>CA</v>
      </c>
      <c r="C5" s="36"/>
      <c r="D5" s="37"/>
      <c r="E5" s="37" t="str">
        <f t="shared" ref="E5:E21" si="0">IF(AND(ISNUMBER(C5),ISNUMBER(D5)), C5-D5, "")</f>
        <v/>
      </c>
      <c r="F5" s="38" t="str">
        <f>IFERROR(E5/D5, "")</f>
        <v/>
      </c>
      <c r="G5" s="54"/>
      <c r="H5" s="39" t="str">
        <f t="shared" ref="H5:H21" si="1">IF(AND(ISNUMBER(C5),ISNUMBER(G5)), C5-G5, "")</f>
        <v/>
      </c>
      <c r="I5" s="38" t="str">
        <f t="shared" ref="I5:I21" si="2">IFERROR(H5/G5, "")</f>
        <v/>
      </c>
      <c r="J5" s="76"/>
      <c r="K5" s="67"/>
      <c r="L5" s="71"/>
      <c r="M5" s="71"/>
      <c r="N5" s="70"/>
      <c r="O5" s="70"/>
      <c r="P5" s="70"/>
      <c r="Q5" s="70"/>
    </row>
    <row r="6" spans="1:17" ht="225" customHeight="1">
      <c r="A6" s="44" t="str">
        <v>Blackstone - 83 Federal Street</v>
      </c>
      <c r="B6" s="41" t="str">
        <v>MA</v>
      </c>
      <c r="C6" s="29"/>
      <c r="D6" s="30"/>
      <c r="E6" s="30" t="str">
        <f t="shared" si="0"/>
        <v/>
      </c>
      <c r="F6" s="31" t="str">
        <f t="shared" ref="F6:F21" si="3">IFERROR(E6/D6, "")</f>
        <v/>
      </c>
      <c r="G6" s="32"/>
      <c r="H6" s="32" t="str">
        <f t="shared" si="1"/>
        <v/>
      </c>
      <c r="I6" s="33" t="str">
        <f t="shared" si="2"/>
        <v/>
      </c>
      <c r="J6" s="64"/>
      <c r="K6" s="83"/>
      <c r="L6" s="71"/>
      <c r="M6" s="71"/>
      <c r="N6" s="71"/>
      <c r="O6" s="71"/>
      <c r="P6" s="71"/>
      <c r="Q6" s="71"/>
    </row>
    <row r="7" spans="1:17" ht="36" customHeight="1">
      <c r="A7" s="42" t="str">
        <v>Charlton - 299 Worcester Road</v>
      </c>
      <c r="B7" s="43" t="str">
        <v>MA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9"/>
      <c r="K7" s="67"/>
      <c r="L7" s="70"/>
      <c r="M7" s="70"/>
      <c r="N7" s="70"/>
      <c r="O7" s="70"/>
      <c r="P7" s="70"/>
      <c r="Q7" s="70"/>
    </row>
    <row r="8" spans="1:17" ht="15.6">
      <c r="A8" s="44" t="str">
        <v>Wareham - 8 Thatcher Drive</v>
      </c>
      <c r="B8" s="41" t="str">
        <v>MA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64"/>
      <c r="K8" s="64"/>
      <c r="L8" s="70"/>
      <c r="M8" s="70"/>
      <c r="N8" s="70"/>
      <c r="O8" s="70"/>
      <c r="P8" s="70"/>
      <c r="Q8" s="70"/>
    </row>
    <row r="9" spans="1:17" ht="15.6">
      <c r="A9" s="42" t="str">
        <v>West Yarmouth - 42 Mid Tech</v>
      </c>
      <c r="B9" s="43" t="str">
        <v>MA</v>
      </c>
      <c r="C9" s="36"/>
      <c r="D9" s="37"/>
      <c r="E9" s="37" t="str">
        <f t="shared" si="0"/>
        <v/>
      </c>
      <c r="F9" s="38" t="str">
        <f t="shared" si="3"/>
        <v/>
      </c>
      <c r="G9" s="39"/>
      <c r="H9" s="39" t="str">
        <f t="shared" si="1"/>
        <v/>
      </c>
      <c r="I9" s="38" t="str">
        <f t="shared" si="2"/>
        <v/>
      </c>
      <c r="J9" s="85"/>
      <c r="K9" s="86"/>
      <c r="L9" s="70"/>
      <c r="M9" s="70"/>
      <c r="N9" s="70"/>
      <c r="O9" s="70"/>
      <c r="P9" s="70"/>
      <c r="Q9" s="70"/>
    </row>
    <row r="10" spans="1:17" ht="16.5" customHeight="1">
      <c r="A10" s="44" t="str">
        <v>Harrison - 130 Union Street</v>
      </c>
      <c r="B10" s="41" t="str">
        <v>NY</v>
      </c>
      <c r="C10" s="29"/>
      <c r="D10" s="30"/>
      <c r="E10" s="30" t="str">
        <f t="shared" si="0"/>
        <v/>
      </c>
      <c r="F10" s="31" t="str">
        <f t="shared" si="3"/>
        <v/>
      </c>
      <c r="G10" s="32"/>
      <c r="H10" s="32" t="str">
        <f t="shared" si="1"/>
        <v/>
      </c>
      <c r="I10" s="33" t="str">
        <f t="shared" si="2"/>
        <v/>
      </c>
      <c r="J10" s="64"/>
      <c r="K10" s="64"/>
      <c r="L10" s="70"/>
      <c r="M10" s="70"/>
      <c r="N10" s="70"/>
      <c r="O10" s="70"/>
      <c r="P10" s="70"/>
      <c r="Q10" s="70"/>
    </row>
    <row r="11" spans="1:17" ht="15.6">
      <c r="A11" s="42" t="str">
        <v>Staten Island - Ellis Storage</v>
      </c>
      <c r="B11" s="43" t="str">
        <v>NY</v>
      </c>
      <c r="C11" s="36"/>
      <c r="D11" s="37"/>
      <c r="E11" s="37" t="str">
        <f t="shared" si="0"/>
        <v/>
      </c>
      <c r="F11" s="38" t="str">
        <f t="shared" si="3"/>
        <v/>
      </c>
      <c r="G11" s="39"/>
      <c r="H11" s="39" t="str">
        <f t="shared" si="1"/>
        <v/>
      </c>
      <c r="I11" s="38" t="str">
        <f t="shared" si="2"/>
        <v/>
      </c>
      <c r="J11" s="85"/>
      <c r="K11" s="86"/>
      <c r="L11" s="70"/>
      <c r="M11" s="70"/>
      <c r="N11" s="70"/>
      <c r="O11" s="70"/>
      <c r="P11" s="70"/>
      <c r="Q11" s="70"/>
    </row>
    <row r="12" spans="1:17" ht="15.6">
      <c r="A12" s="44" t="str">
        <v>Amherst - 595 Schoelles Road</v>
      </c>
      <c r="B12" s="41" t="str">
        <v>NY</v>
      </c>
      <c r="C12" s="29"/>
      <c r="D12" s="30"/>
      <c r="E12" s="30" t="str">
        <f t="shared" si="0"/>
        <v/>
      </c>
      <c r="F12" s="31" t="str">
        <f t="shared" si="3"/>
        <v/>
      </c>
      <c r="G12" s="32"/>
      <c r="H12" s="32" t="str">
        <f t="shared" si="1"/>
        <v/>
      </c>
      <c r="I12" s="33" t="str">
        <f t="shared" si="2"/>
        <v/>
      </c>
      <c r="J12" s="64"/>
      <c r="K12" s="83"/>
      <c r="L12" s="70"/>
      <c r="M12" s="70"/>
      <c r="N12" s="70"/>
      <c r="O12" s="70"/>
      <c r="P12" s="70"/>
      <c r="Q12" s="70"/>
    </row>
    <row r="13" spans="1:17" ht="98.25" customHeight="1">
      <c r="A13" s="42" t="str">
        <v>Lancaster 1 - Gunnville Road</v>
      </c>
      <c r="B13" s="43" t="str">
        <v>NY</v>
      </c>
      <c r="C13" s="36"/>
      <c r="D13" s="37"/>
      <c r="E13" s="37" t="str">
        <f t="shared" si="0"/>
        <v/>
      </c>
      <c r="F13" s="38" t="str">
        <f t="shared" si="3"/>
        <v/>
      </c>
      <c r="G13" s="39"/>
      <c r="H13" s="39" t="str">
        <f t="shared" si="1"/>
        <v/>
      </c>
      <c r="I13" s="38" t="str">
        <f t="shared" si="2"/>
        <v/>
      </c>
      <c r="J13" s="59"/>
      <c r="K13" s="67"/>
      <c r="L13" s="71"/>
      <c r="M13" s="71"/>
      <c r="N13" s="71"/>
      <c r="O13" s="70"/>
      <c r="P13" s="70"/>
      <c r="Q13" s="70"/>
    </row>
    <row r="14" spans="1:17" ht="15.6">
      <c r="A14" s="44" t="str">
        <v>Lancaster 2 - Shisler Road</v>
      </c>
      <c r="B14" s="41" t="str">
        <v>NY</v>
      </c>
      <c r="C14" s="29"/>
      <c r="D14" s="30"/>
      <c r="E14" s="30" t="str">
        <f t="shared" si="0"/>
        <v/>
      </c>
      <c r="F14" s="31" t="str">
        <f t="shared" si="3"/>
        <v/>
      </c>
      <c r="G14" s="32"/>
      <c r="H14" s="32" t="str">
        <f t="shared" si="1"/>
        <v/>
      </c>
      <c r="I14" s="33" t="str">
        <f t="shared" si="2"/>
        <v/>
      </c>
      <c r="J14" s="64"/>
      <c r="K14" s="83"/>
      <c r="L14" s="71"/>
      <c r="M14" s="70"/>
      <c r="N14" s="70"/>
      <c r="O14" s="70"/>
      <c r="P14" s="70"/>
      <c r="Q14" s="70"/>
    </row>
    <row r="15" spans="1:17" ht="15.6">
      <c r="A15" s="42" t="str">
        <v>Fullerton - 200 W Orangethorpe</v>
      </c>
      <c r="B15" s="43" t="str">
        <v>CA</v>
      </c>
      <c r="C15" s="36"/>
      <c r="D15" s="37"/>
      <c r="E15" s="37" t="str">
        <f t="shared" si="0"/>
        <v/>
      </c>
      <c r="F15" s="38" t="str">
        <f t="shared" si="3"/>
        <v/>
      </c>
      <c r="G15" s="39"/>
      <c r="H15" s="39" t="str">
        <f t="shared" si="1"/>
        <v/>
      </c>
      <c r="I15" s="38" t="str">
        <f t="shared" si="2"/>
        <v/>
      </c>
      <c r="J15" s="85"/>
      <c r="K15" s="86"/>
      <c r="L15" s="70"/>
      <c r="M15" s="70"/>
      <c r="N15" s="70"/>
      <c r="O15" s="70"/>
      <c r="P15" s="70"/>
      <c r="Q15" s="70"/>
    </row>
    <row r="16" spans="1:17" ht="15.6">
      <c r="A16" s="44" t="str">
        <v>El Paso - 10500 Railroad Drive</v>
      </c>
      <c r="B16" s="41" t="str">
        <v>TX</v>
      </c>
      <c r="C16" s="29"/>
      <c r="D16" s="30"/>
      <c r="E16" s="30" t="str">
        <f t="shared" si="0"/>
        <v/>
      </c>
      <c r="F16" s="31" t="str">
        <f t="shared" si="3"/>
        <v/>
      </c>
      <c r="G16" s="32"/>
      <c r="H16" s="32" t="str">
        <f t="shared" si="1"/>
        <v/>
      </c>
      <c r="I16" s="33" t="str">
        <f t="shared" si="2"/>
        <v/>
      </c>
      <c r="J16" s="89"/>
      <c r="K16" s="83"/>
      <c r="L16" s="70"/>
      <c r="M16" s="70"/>
      <c r="N16" s="70"/>
      <c r="O16" s="70"/>
      <c r="P16" s="70"/>
      <c r="Q16" s="70"/>
    </row>
    <row r="17" spans="1:17" ht="15.6">
      <c r="A17" s="42" t="str">
        <v>Friona - 900 Millard Ave</v>
      </c>
      <c r="B17" s="43" t="str">
        <v>TX</v>
      </c>
      <c r="C17" s="36"/>
      <c r="D17" s="37"/>
      <c r="E17" s="37" t="str">
        <f t="shared" si="0"/>
        <v/>
      </c>
      <c r="F17" s="38" t="str">
        <f t="shared" si="3"/>
        <v/>
      </c>
      <c r="G17" s="39"/>
      <c r="H17" s="39" t="str">
        <f t="shared" si="1"/>
        <v/>
      </c>
      <c r="I17" s="38" t="str">
        <f t="shared" si="2"/>
        <v/>
      </c>
      <c r="J17" s="64"/>
      <c r="K17" s="67"/>
      <c r="L17" s="70"/>
      <c r="M17" s="70"/>
      <c r="N17" s="70"/>
      <c r="O17" s="70"/>
      <c r="P17" s="70"/>
      <c r="Q17" s="70"/>
    </row>
    <row r="18" spans="1:17" ht="15.6">
      <c r="A18" s="44" t="str">
        <v>Augusta - 13 York Farm Road</v>
      </c>
      <c r="B18" s="41" t="str">
        <v>ME</v>
      </c>
      <c r="C18" s="29"/>
      <c r="D18" s="30"/>
      <c r="E18" s="30" t="str">
        <f t="shared" si="0"/>
        <v/>
      </c>
      <c r="F18" s="31" t="str">
        <f t="shared" si="3"/>
        <v/>
      </c>
      <c r="G18" s="32"/>
      <c r="H18" s="32" t="str">
        <f t="shared" si="1"/>
        <v/>
      </c>
      <c r="I18" s="33" t="str">
        <f t="shared" si="2"/>
        <v/>
      </c>
      <c r="J18" s="64"/>
      <c r="K18" s="64"/>
      <c r="L18" s="70"/>
      <c r="M18" s="70"/>
      <c r="N18" s="70"/>
      <c r="O18" s="70"/>
      <c r="P18" s="70"/>
      <c r="Q18" s="70"/>
    </row>
    <row r="19" spans="1:17" ht="15.6">
      <c r="A19" s="42" t="str">
        <v xml:space="preserve">Santa Ana - 1441 West </v>
      </c>
      <c r="B19" s="43" t="str">
        <v>CA</v>
      </c>
      <c r="C19" s="36"/>
      <c r="D19" s="37"/>
      <c r="E19" s="37" t="str">
        <f t="shared" si="0"/>
        <v/>
      </c>
      <c r="F19" s="38" t="str">
        <f t="shared" si="3"/>
        <v/>
      </c>
      <c r="G19" s="39"/>
      <c r="H19" s="39" t="str">
        <f t="shared" si="1"/>
        <v/>
      </c>
      <c r="I19" s="38" t="str">
        <f t="shared" si="2"/>
        <v/>
      </c>
      <c r="J19" s="59"/>
      <c r="K19" s="67"/>
      <c r="L19" s="70"/>
      <c r="M19" s="70"/>
      <c r="N19" s="70"/>
      <c r="O19" s="70"/>
      <c r="P19" s="70"/>
      <c r="Q19" s="70"/>
    </row>
    <row r="20" spans="1:17" ht="172.5" customHeight="1">
      <c r="A20" s="44" t="str">
        <v>Jessup -7950 Oceano Ave</v>
      </c>
      <c r="B20" s="41" t="str">
        <v>MD</v>
      </c>
      <c r="C20" s="29"/>
      <c r="D20" s="30"/>
      <c r="E20" s="30" t="str">
        <f t="shared" si="0"/>
        <v/>
      </c>
      <c r="F20" s="31" t="str">
        <f t="shared" si="3"/>
        <v/>
      </c>
      <c r="G20" s="32"/>
      <c r="H20" s="32" t="str">
        <f t="shared" si="1"/>
        <v/>
      </c>
      <c r="I20" s="33" t="str">
        <f t="shared" si="2"/>
        <v/>
      </c>
      <c r="J20" s="64"/>
      <c r="K20" s="83"/>
      <c r="L20" s="71"/>
      <c r="M20" s="71"/>
      <c r="N20" s="71"/>
      <c r="O20" s="70"/>
      <c r="P20" s="70"/>
      <c r="Q20" s="70"/>
    </row>
    <row r="21" spans="1:17" ht="15.6">
      <c r="A21" s="42" t="str">
        <v xml:space="preserve">TX: Fort Worth - 5200 Gold Spike Dr </v>
      </c>
      <c r="B21" s="43" t="str">
        <v>TX</v>
      </c>
      <c r="C21" s="36"/>
      <c r="D21" s="37"/>
      <c r="E21" s="37" t="str">
        <f t="shared" si="0"/>
        <v/>
      </c>
      <c r="F21" s="38" t="str">
        <f t="shared" si="3"/>
        <v/>
      </c>
      <c r="G21" s="39"/>
      <c r="H21" s="39" t="str">
        <f t="shared" si="1"/>
        <v/>
      </c>
      <c r="I21" s="38" t="str">
        <f t="shared" si="2"/>
        <v/>
      </c>
      <c r="J21" s="85"/>
      <c r="K21" s="67"/>
      <c r="L21" s="71"/>
      <c r="M21" s="71"/>
      <c r="N21" s="71"/>
      <c r="O21" s="70"/>
      <c r="P21" s="70"/>
      <c r="Q21" s="70"/>
    </row>
    <row r="22" spans="1:17" ht="14.45">
      <c r="A22" s="9" t="str">
        <v>NY: Clifton Springs - Ontario 2 (21597)</v>
      </c>
      <c r="B22" s="14" t="str">
        <v>NY</v>
      </c>
      <c r="C22" s="9"/>
      <c r="D22" s="9"/>
      <c r="E22" s="9"/>
      <c r="F22" s="9"/>
      <c r="G22" s="9"/>
      <c r="H22" s="9"/>
      <c r="I22" s="9"/>
      <c r="J22" s="9"/>
      <c r="K22" s="9"/>
    </row>
    <row r="23" spans="1:17" ht="14.45">
      <c r="A23" s="9" t="str">
        <v>CA: Oxnard - 2600 Sakioka - System A</v>
      </c>
      <c r="B23" s="14" t="str">
        <v>CA</v>
      </c>
      <c r="C23" s="9"/>
      <c r="D23" s="9"/>
      <c r="E23" s="9"/>
      <c r="F23" s="9"/>
      <c r="G23" s="9"/>
      <c r="H23" s="9"/>
      <c r="I23" s="9"/>
      <c r="J23" s="9"/>
      <c r="K23" s="9"/>
    </row>
    <row r="24" spans="1:17" ht="14.45">
      <c r="A24" s="9" t="str">
        <v>CA: Oxnard - 2600 Sakioka - System B</v>
      </c>
      <c r="B24" s="14" t="str">
        <v>CA</v>
      </c>
      <c r="C24" s="9"/>
      <c r="D24" s="9"/>
      <c r="E24" s="9"/>
      <c r="F24" s="9"/>
      <c r="G24" s="9"/>
      <c r="H24" s="9"/>
      <c r="I24" s="9"/>
      <c r="J24" s="9"/>
      <c r="K24" s="9"/>
    </row>
    <row r="25" spans="1:17" ht="14.45">
      <c r="A25" s="9" t="str">
        <v>NY: Fonda - Montgomery 1 (21601)</v>
      </c>
      <c r="B25" s="14" t="str">
        <v>NY</v>
      </c>
      <c r="C25" s="9"/>
      <c r="D25" s="9"/>
      <c r="E25" s="9"/>
      <c r="F25" s="10"/>
      <c r="G25" s="9"/>
      <c r="H25" s="9"/>
      <c r="I25" s="10"/>
      <c r="J25" s="9"/>
      <c r="K25" s="9"/>
    </row>
    <row r="26" spans="1:17" ht="14.45">
      <c r="A26" s="9" t="str">
        <v>NY: Evans - SL Evans Array 1 (21106) - (PW)</v>
      </c>
      <c r="B26" s="14" t="str">
        <v>NY</v>
      </c>
      <c r="C26" s="9"/>
      <c r="D26" s="9"/>
      <c r="E26" s="9"/>
      <c r="F26" s="10"/>
      <c r="G26" s="9"/>
      <c r="H26" s="9"/>
      <c r="I26" s="10"/>
      <c r="J26" s="9"/>
      <c r="K26" s="9"/>
    </row>
    <row r="27" spans="1:17" ht="14.45">
      <c r="A27" s="9" t="str">
        <v>NY: Evans - SL Evans Array 2 (21107) - (PW)</v>
      </c>
      <c r="B27" s="14" t="str">
        <v>NY</v>
      </c>
      <c r="C27" s="9"/>
      <c r="D27" s="9"/>
      <c r="E27" s="9"/>
      <c r="F27" s="10"/>
      <c r="G27" s="9"/>
      <c r="H27" s="9"/>
      <c r="I27" s="10"/>
      <c r="J27" s="9"/>
      <c r="K27" s="9"/>
    </row>
    <row r="28" spans="1:17" ht="14.45">
      <c r="A28" s="9" t="str">
        <v>NY: Flushing - 131-21 14th Ave</v>
      </c>
      <c r="B28" s="14" t="str">
        <v>NY</v>
      </c>
      <c r="C28" s="9"/>
      <c r="D28" s="9"/>
      <c r="E28" s="9"/>
      <c r="F28" s="10"/>
      <c r="G28" s="9"/>
      <c r="H28" s="9"/>
      <c r="I28" s="10"/>
      <c r="J28" s="9"/>
      <c r="K28" s="9"/>
    </row>
    <row r="29" spans="1:17" ht="14.45">
      <c r="A29" s="9" t="str">
        <v>NY: Binghamton - Airport Rd (18878) - (PW)</v>
      </c>
      <c r="B29" s="14" t="str">
        <v>NY</v>
      </c>
      <c r="C29" s="9"/>
      <c r="D29" s="9"/>
      <c r="E29" s="9"/>
      <c r="F29" s="10"/>
      <c r="G29" s="9"/>
      <c r="H29" s="9"/>
      <c r="I29" s="10"/>
      <c r="J29" s="9"/>
      <c r="K29" s="9"/>
    </row>
    <row r="30" spans="1:17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7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7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C334" s="9"/>
      <c r="D334" s="9"/>
      <c r="E334" s="9"/>
      <c r="F334" s="10"/>
      <c r="G334" s="9"/>
      <c r="H334" s="9"/>
      <c r="I334" s="10"/>
      <c r="J334" s="9"/>
      <c r="K334" s="9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92 I4:I92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Q334"/>
  <sheetViews>
    <sheetView zoomScale="50" zoomScaleNormal="50" workbookViewId="0">
      <pane xSplit="2" ySplit="3" topLeftCell="C7" activePane="bottomRight" state="frozen"/>
      <selection pane="bottomRight" activeCell="H36" sqref="H36"/>
      <selection pane="bottomLeft" activeCell="H36" sqref="H36"/>
      <selection pane="topRight" activeCell="H36" sqref="H36"/>
    </sheetView>
  </sheetViews>
  <sheetFormatPr defaultRowHeight="13.9"/>
  <cols>
    <col min="1" max="1" width="35.85546875" bestFit="1" customWidth="1"/>
    <col min="2" max="2" width="8.42578125" style="1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7" ht="19.5" customHeight="1">
      <c r="A1" s="100" t="str" cm="1">
        <f t="array" ref="A1">portfolio</f>
        <v>Catalyze</v>
      </c>
      <c r="B1" s="100"/>
      <c r="C1" s="100"/>
      <c r="D1" s="101" t="s">
        <v>99</v>
      </c>
      <c r="E1" s="101"/>
      <c r="F1" s="101"/>
      <c r="G1" s="99" t="s">
        <v>100</v>
      </c>
      <c r="H1" s="99"/>
      <c r="I1" s="99"/>
      <c r="J1" s="4"/>
      <c r="K1" s="4"/>
    </row>
    <row r="2" spans="1:17" ht="19.5" customHeight="1">
      <c r="A2" s="102" t="s">
        <v>2</v>
      </c>
      <c r="B2" s="10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2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7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21</v>
      </c>
      <c r="K3" s="11" t="s">
        <v>22</v>
      </c>
    </row>
    <row r="4" spans="1:17" ht="15.6">
      <c r="A4" s="40" t="str" cm="1">
        <f t="array" ref="A4:A29">Sites[Site]</f>
        <v>Fresno - 3150 Shaw Ave</v>
      </c>
      <c r="B4" s="41" t="str" cm="1">
        <f t="array" ref="B4:B29">Sites[State]</f>
        <v>CA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50"/>
      <c r="L4" s="70"/>
      <c r="M4" s="70"/>
      <c r="N4" s="70"/>
      <c r="O4" s="70"/>
      <c r="P4" s="70"/>
      <c r="Q4" s="70"/>
    </row>
    <row r="5" spans="1:17" ht="15.6">
      <c r="A5" s="42" t="str">
        <v>Adelanto - 1 Sheep Creek Road</v>
      </c>
      <c r="B5" s="43" t="str">
        <v>CA</v>
      </c>
      <c r="C5" s="36"/>
      <c r="D5" s="37"/>
      <c r="E5" s="37" t="str">
        <f>IF(AND(ISNUMBER(C5),ISNUMBER(D5)), C5-D5, "")</f>
        <v/>
      </c>
      <c r="F5" s="38" t="str">
        <f>IFERROR(E5/D5, "")</f>
        <v/>
      </c>
      <c r="G5" s="39"/>
      <c r="H5" s="39" t="str">
        <f t="shared" ref="H5:H17" si="0">IF(AND(ISNUMBER(C5),ISNUMBER(G5)), C5-G5, "")</f>
        <v/>
      </c>
      <c r="I5" s="38" t="str">
        <f t="shared" ref="I5:I17" si="1">IFERROR(H5/G5, "")</f>
        <v/>
      </c>
      <c r="J5" s="59"/>
      <c r="K5" s="67"/>
      <c r="L5" s="71"/>
      <c r="M5" s="71"/>
      <c r="N5" s="70"/>
      <c r="O5" s="70"/>
      <c r="P5" s="70"/>
      <c r="Q5" s="70"/>
    </row>
    <row r="6" spans="1:17" ht="15.6">
      <c r="A6" s="44" t="str">
        <v>Blackstone - 83 Federal Street</v>
      </c>
      <c r="B6" s="41" t="str">
        <v>MA</v>
      </c>
      <c r="C6" s="29"/>
      <c r="D6" s="30"/>
      <c r="E6" s="30" t="str">
        <f t="shared" ref="E6:E17" si="2">IF(AND(ISNUMBER(C6),ISNUMBER(D6)), C6-D6, "")</f>
        <v/>
      </c>
      <c r="F6" s="31" t="str">
        <f t="shared" ref="F6:F17" si="3">IFERROR(E6/D6, "")</f>
        <v/>
      </c>
      <c r="G6" s="32"/>
      <c r="H6" s="32" t="str">
        <f t="shared" si="0"/>
        <v/>
      </c>
      <c r="I6" s="33" t="str">
        <f t="shared" si="1"/>
        <v/>
      </c>
      <c r="J6" s="50"/>
      <c r="K6" s="66"/>
      <c r="L6" s="71"/>
      <c r="M6" s="71"/>
      <c r="N6" s="71"/>
      <c r="O6" s="70"/>
      <c r="P6" s="70"/>
      <c r="Q6" s="70"/>
    </row>
    <row r="7" spans="1:17" ht="15.6">
      <c r="A7" s="42" t="str">
        <v>Charlton - 299 Worcester Road</v>
      </c>
      <c r="B7" s="43" t="str">
        <v>MA</v>
      </c>
      <c r="C7" s="36"/>
      <c r="D7" s="37"/>
      <c r="E7" s="37" t="str">
        <f t="shared" si="2"/>
        <v/>
      </c>
      <c r="F7" s="38" t="str">
        <f t="shared" si="3"/>
        <v/>
      </c>
      <c r="G7" s="39"/>
      <c r="H7" s="39" t="str">
        <f t="shared" si="0"/>
        <v/>
      </c>
      <c r="I7" s="38" t="str">
        <f t="shared" si="1"/>
        <v/>
      </c>
      <c r="J7" s="51"/>
      <c r="K7" s="67"/>
      <c r="L7" s="70"/>
      <c r="M7" s="70"/>
      <c r="N7" s="70"/>
      <c r="O7" s="70"/>
      <c r="P7" s="70"/>
      <c r="Q7" s="70"/>
    </row>
    <row r="8" spans="1:17" ht="15.6">
      <c r="A8" s="44" t="str">
        <v>Wareham - 8 Thatcher Drive</v>
      </c>
      <c r="B8" s="41" t="str">
        <v>MA</v>
      </c>
      <c r="C8" s="29"/>
      <c r="D8" s="30"/>
      <c r="E8" s="30" t="str">
        <f t="shared" si="2"/>
        <v/>
      </c>
      <c r="F8" s="31" t="str">
        <f t="shared" si="3"/>
        <v/>
      </c>
      <c r="G8" s="32"/>
      <c r="H8" s="32" t="str">
        <f t="shared" si="0"/>
        <v/>
      </c>
      <c r="I8" s="33" t="str">
        <f t="shared" si="1"/>
        <v/>
      </c>
      <c r="J8" s="50"/>
      <c r="K8" s="66"/>
      <c r="L8" s="70"/>
      <c r="M8" s="70"/>
      <c r="N8" s="70"/>
      <c r="O8" s="70"/>
      <c r="P8" s="70"/>
      <c r="Q8" s="70"/>
    </row>
    <row r="9" spans="1:17" ht="15.6">
      <c r="A9" s="42" t="str">
        <v>West Yarmouth - 42 Mid Tech</v>
      </c>
      <c r="B9" s="43" t="str">
        <v>MA</v>
      </c>
      <c r="C9" s="36"/>
      <c r="D9" s="37"/>
      <c r="E9" s="37" t="str">
        <f t="shared" si="2"/>
        <v/>
      </c>
      <c r="F9" s="38" t="str">
        <f t="shared" si="3"/>
        <v/>
      </c>
      <c r="G9" s="39"/>
      <c r="H9" s="39" t="str">
        <f t="shared" si="0"/>
        <v/>
      </c>
      <c r="I9" s="38" t="str">
        <f t="shared" si="1"/>
        <v/>
      </c>
      <c r="J9" s="88"/>
      <c r="K9" s="52"/>
      <c r="L9" s="70"/>
      <c r="M9" s="70"/>
      <c r="N9" s="70"/>
      <c r="O9" s="70"/>
      <c r="P9" s="70"/>
      <c r="Q9" s="70"/>
    </row>
    <row r="10" spans="1:17" ht="15.6">
      <c r="A10" s="44" t="str">
        <v>Harrison - 130 Union Street</v>
      </c>
      <c r="B10" s="41" t="str">
        <v>NY</v>
      </c>
      <c r="C10" s="29"/>
      <c r="D10" s="30"/>
      <c r="E10" s="30" t="str">
        <f t="shared" si="2"/>
        <v/>
      </c>
      <c r="F10" s="31" t="str">
        <f t="shared" si="3"/>
        <v/>
      </c>
      <c r="G10" s="32"/>
      <c r="H10" s="32" t="str">
        <f t="shared" si="0"/>
        <v/>
      </c>
      <c r="I10" s="33" t="str">
        <f t="shared" si="1"/>
        <v/>
      </c>
      <c r="J10" s="50"/>
      <c r="K10" s="66"/>
      <c r="L10" s="70"/>
      <c r="M10" s="70"/>
      <c r="N10" s="70"/>
      <c r="O10" s="70"/>
      <c r="P10" s="70"/>
      <c r="Q10" s="70"/>
    </row>
    <row r="11" spans="1:17" ht="45.75" customHeight="1">
      <c r="A11" s="42" t="str">
        <v>Staten Island - Ellis Storage</v>
      </c>
      <c r="B11" s="43" t="str">
        <v>NY</v>
      </c>
      <c r="C11" s="36"/>
      <c r="D11" s="37"/>
      <c r="E11" s="37" t="str">
        <f t="shared" si="2"/>
        <v/>
      </c>
      <c r="F11" s="38" t="str">
        <f t="shared" si="3"/>
        <v/>
      </c>
      <c r="G11" s="39"/>
      <c r="H11" s="39" t="str">
        <f t="shared" si="0"/>
        <v/>
      </c>
      <c r="I11" s="38" t="str">
        <f t="shared" si="1"/>
        <v/>
      </c>
      <c r="J11" s="59"/>
      <c r="K11" s="52"/>
      <c r="L11" s="70"/>
      <c r="M11" s="70"/>
      <c r="N11" s="70"/>
      <c r="O11" s="70"/>
      <c r="P11" s="70"/>
      <c r="Q11" s="70"/>
    </row>
    <row r="12" spans="1:17" ht="15.6">
      <c r="A12" s="44" t="str">
        <v>Amherst - 595 Schoelles Road</v>
      </c>
      <c r="B12" s="41" t="str">
        <v>NY</v>
      </c>
      <c r="C12" s="29"/>
      <c r="D12" s="30"/>
      <c r="E12" s="30" t="str">
        <f t="shared" si="2"/>
        <v/>
      </c>
      <c r="F12" s="31" t="str">
        <f t="shared" si="3"/>
        <v/>
      </c>
      <c r="G12" s="32"/>
      <c r="H12" s="32" t="str">
        <f t="shared" si="0"/>
        <v/>
      </c>
      <c r="I12" s="33" t="str">
        <f t="shared" si="1"/>
        <v/>
      </c>
      <c r="J12" s="50"/>
      <c r="K12" s="66"/>
      <c r="L12" s="70"/>
      <c r="M12" s="70"/>
      <c r="N12" s="70"/>
      <c r="O12" s="70"/>
      <c r="P12" s="70"/>
      <c r="Q12" s="70"/>
    </row>
    <row r="13" spans="1:17" ht="15.6">
      <c r="A13" s="42" t="str">
        <v>Lancaster 1 - Gunnville Road</v>
      </c>
      <c r="B13" s="43" t="str">
        <v>NY</v>
      </c>
      <c r="C13" s="36"/>
      <c r="D13" s="37"/>
      <c r="E13" s="37" t="str">
        <f t="shared" si="2"/>
        <v/>
      </c>
      <c r="F13" s="38" t="str">
        <f t="shared" si="3"/>
        <v/>
      </c>
      <c r="G13" s="55"/>
      <c r="H13" s="39" t="str">
        <f t="shared" si="0"/>
        <v/>
      </c>
      <c r="I13" s="38" t="str">
        <f t="shared" si="1"/>
        <v/>
      </c>
      <c r="J13" s="59"/>
      <c r="K13" s="69"/>
      <c r="L13" s="71"/>
      <c r="M13" s="71"/>
      <c r="N13" s="71"/>
      <c r="O13" s="70"/>
      <c r="P13" s="70"/>
      <c r="Q13" s="70"/>
    </row>
    <row r="14" spans="1:17" ht="66" customHeight="1">
      <c r="A14" s="44" t="str">
        <v>Lancaster 2 - Shisler Road</v>
      </c>
      <c r="B14" s="41" t="str">
        <v>NY</v>
      </c>
      <c r="C14" s="29"/>
      <c r="D14" s="30"/>
      <c r="E14" s="30" t="str">
        <f t="shared" si="2"/>
        <v/>
      </c>
      <c r="F14" s="31" t="str">
        <f t="shared" si="3"/>
        <v/>
      </c>
      <c r="G14" s="32"/>
      <c r="H14" s="32" t="str">
        <f t="shared" si="0"/>
        <v/>
      </c>
      <c r="I14" s="33" t="str">
        <f t="shared" si="1"/>
        <v/>
      </c>
      <c r="J14" s="50"/>
      <c r="K14" s="66"/>
      <c r="L14" s="70"/>
      <c r="M14" s="70"/>
      <c r="N14" s="70"/>
      <c r="O14" s="70"/>
      <c r="P14" s="70"/>
      <c r="Q14" s="70"/>
    </row>
    <row r="15" spans="1:17" ht="15.6">
      <c r="A15" s="42" t="str">
        <v>Fullerton - 200 W Orangethorpe</v>
      </c>
      <c r="B15" s="43" t="str">
        <v>CA</v>
      </c>
      <c r="C15" s="36"/>
      <c r="D15" s="37"/>
      <c r="E15" s="37" t="str">
        <f t="shared" si="2"/>
        <v/>
      </c>
      <c r="F15" s="38" t="str">
        <f t="shared" si="3"/>
        <v/>
      </c>
      <c r="G15" s="39"/>
      <c r="H15" s="39" t="str">
        <f t="shared" si="0"/>
        <v/>
      </c>
      <c r="I15" s="38" t="str">
        <f t="shared" si="1"/>
        <v/>
      </c>
      <c r="J15" s="51"/>
      <c r="K15" s="69"/>
      <c r="L15" s="71"/>
      <c r="M15" s="71"/>
      <c r="N15" s="71"/>
      <c r="O15" s="70"/>
      <c r="P15" s="70"/>
      <c r="Q15" s="70"/>
    </row>
    <row r="16" spans="1:17" ht="15.6">
      <c r="A16" s="44" t="str">
        <v>El Paso - 10500 Railroad Drive</v>
      </c>
      <c r="B16" s="41" t="str">
        <v>TX</v>
      </c>
      <c r="C16" s="29"/>
      <c r="D16" s="30"/>
      <c r="E16" s="30" t="str">
        <f t="shared" si="2"/>
        <v/>
      </c>
      <c r="F16" s="31" t="str">
        <f t="shared" si="3"/>
        <v/>
      </c>
      <c r="G16" s="32"/>
      <c r="H16" s="32" t="str">
        <f t="shared" si="0"/>
        <v/>
      </c>
      <c r="I16" s="33" t="str">
        <f t="shared" si="1"/>
        <v/>
      </c>
      <c r="J16" s="50"/>
      <c r="K16" s="66"/>
      <c r="L16" s="70"/>
      <c r="M16" s="70"/>
      <c r="N16" s="70"/>
      <c r="O16" s="70"/>
      <c r="P16" s="70"/>
      <c r="Q16" s="70"/>
    </row>
    <row r="17" spans="1:17" ht="90.75" customHeight="1">
      <c r="A17" s="42" t="str">
        <v>Friona - 900 Millard Ave</v>
      </c>
      <c r="B17" s="43" t="str">
        <v>TX</v>
      </c>
      <c r="C17" s="36"/>
      <c r="D17" s="37"/>
      <c r="E17" s="37" t="str">
        <f t="shared" si="2"/>
        <v/>
      </c>
      <c r="F17" s="38" t="str">
        <f t="shared" si="3"/>
        <v/>
      </c>
      <c r="G17" s="39"/>
      <c r="H17" s="39" t="str">
        <f t="shared" si="0"/>
        <v/>
      </c>
      <c r="I17" s="38" t="str">
        <f t="shared" si="1"/>
        <v/>
      </c>
      <c r="J17" s="82"/>
      <c r="K17" s="69"/>
      <c r="L17" s="71"/>
      <c r="M17" s="70"/>
      <c r="N17" s="70"/>
      <c r="O17" s="70"/>
      <c r="P17" s="70"/>
      <c r="Q17" s="70"/>
    </row>
    <row r="18" spans="1:17" ht="15.6">
      <c r="A18" s="44" t="str">
        <v>Augusta - 13 York Farm Road</v>
      </c>
      <c r="B18" s="41" t="str">
        <v>ME</v>
      </c>
      <c r="C18" s="29"/>
      <c r="D18" s="30"/>
      <c r="E18" s="30" t="str">
        <f>IF(AND(ISNUMBER(C18),ISNUMBER(D18)), C18-D18, "")</f>
        <v/>
      </c>
      <c r="F18" s="31" t="str">
        <f>IFERROR(E18/D18, "")</f>
        <v/>
      </c>
      <c r="G18" s="32"/>
      <c r="H18" s="32" t="str">
        <f>IF(AND(ISNUMBER(C18),ISNUMBER(G18)), C18-G18, "")</f>
        <v/>
      </c>
      <c r="I18" s="33" t="str">
        <f>IFERROR(H18/G18, "")</f>
        <v/>
      </c>
      <c r="J18" s="50"/>
      <c r="K18" s="50"/>
      <c r="L18" s="70"/>
      <c r="M18" s="70"/>
      <c r="N18" s="70"/>
      <c r="O18" s="70"/>
      <c r="P18" s="70"/>
      <c r="Q18" s="70"/>
    </row>
    <row r="19" spans="1:17" ht="15.6">
      <c r="A19" s="42" t="str">
        <v xml:space="preserve">Santa Ana - 1441 West </v>
      </c>
      <c r="B19" s="43" t="str">
        <v>CA</v>
      </c>
      <c r="C19" s="36"/>
      <c r="D19" s="37"/>
      <c r="E19" s="37" t="str">
        <f>IF(AND(ISNUMBER(C19),ISNUMBER(D19)), C19-D19, "")</f>
        <v/>
      </c>
      <c r="F19" s="38" t="str">
        <f>IFERROR(E19/D19, "")</f>
        <v/>
      </c>
      <c r="G19" s="39"/>
      <c r="H19" s="39" t="str">
        <f>IF(AND(ISNUMBER(C19),ISNUMBER(G19)), C19-G19, "")</f>
        <v/>
      </c>
      <c r="I19" s="38" t="str">
        <f>IFERROR(H19/G19, "")</f>
        <v/>
      </c>
      <c r="J19" s="51"/>
      <c r="K19" s="69"/>
      <c r="L19" s="71"/>
      <c r="M19" s="70"/>
      <c r="N19" s="70"/>
      <c r="O19" s="70"/>
      <c r="P19" s="70"/>
      <c r="Q19" s="70"/>
    </row>
    <row r="20" spans="1:17" ht="196.5" customHeight="1">
      <c r="A20" s="44" t="str">
        <v>Jessup -7950 Oceano Ave</v>
      </c>
      <c r="B20" s="41" t="str">
        <v>MD</v>
      </c>
      <c r="C20" s="29"/>
      <c r="D20" s="30"/>
      <c r="E20" s="30" t="str">
        <f>IF(AND(ISNUMBER(C20),ISNUMBER(D20)), C20-D20, "")</f>
        <v/>
      </c>
      <c r="F20" s="31" t="str">
        <f>IFERROR(E20/D20, "")</f>
        <v/>
      </c>
      <c r="G20" s="32"/>
      <c r="H20" s="32" t="str">
        <f>IF(AND(ISNUMBER(C20),ISNUMBER(G20)), C20-G20, "")</f>
        <v/>
      </c>
      <c r="I20" s="33" t="str">
        <f>IFERROR(H20/G20, "")</f>
        <v/>
      </c>
      <c r="J20" s="50"/>
      <c r="K20" s="66"/>
      <c r="L20" s="71"/>
      <c r="M20" s="71"/>
      <c r="N20" s="71"/>
      <c r="O20" s="70"/>
      <c r="P20" s="70"/>
      <c r="Q20" s="70"/>
    </row>
    <row r="21" spans="1:17" ht="106.5" customHeight="1">
      <c r="A21" s="42" t="str">
        <v xml:space="preserve">TX: Fort Worth - 5200 Gold Spike Dr </v>
      </c>
      <c r="B21" s="43" t="str">
        <v>TX</v>
      </c>
      <c r="C21" s="36"/>
      <c r="D21" s="37"/>
      <c r="E21" s="37" t="str">
        <f>IF(AND(ISNUMBER(C21),ISNUMBER(D21)), C21-D21, "")</f>
        <v/>
      </c>
      <c r="F21" s="87" t="str">
        <f>IFERROR(E21/D21, "")</f>
        <v/>
      </c>
      <c r="G21" s="55"/>
      <c r="H21" s="55" t="str">
        <f>IF(AND(ISNUMBER(C21),ISNUMBER(G21)), C21-G21, "")</f>
        <v/>
      </c>
      <c r="I21" s="87" t="str">
        <f>IFERROR(H21/G21, "")</f>
        <v/>
      </c>
      <c r="J21" s="82"/>
      <c r="K21" s="67"/>
      <c r="L21" s="71"/>
      <c r="M21" s="71"/>
      <c r="N21" s="71"/>
      <c r="O21" s="70"/>
      <c r="P21" s="70"/>
      <c r="Q21" s="70"/>
    </row>
    <row r="22" spans="1:17" ht="14.45">
      <c r="A22" s="9" t="str">
        <v>NY: Clifton Springs - Ontario 2 (21597)</v>
      </c>
      <c r="B22" s="14" t="str">
        <v>NY</v>
      </c>
      <c r="C22" s="9"/>
      <c r="D22" s="9"/>
      <c r="E22" s="9" t="str">
        <f>IF(AND(ISNUMBER(C22),ISNUMBER(D22)), C22-D22, "")</f>
        <v/>
      </c>
      <c r="F22" s="9"/>
      <c r="G22" s="9"/>
      <c r="H22" s="9"/>
      <c r="I22" s="9"/>
      <c r="J22" s="9"/>
      <c r="K22" s="9"/>
    </row>
    <row r="23" spans="1:17" ht="14.45">
      <c r="A23" s="9" t="str">
        <v>CA: Oxnard - 2600 Sakioka - System A</v>
      </c>
      <c r="B23" s="14" t="str">
        <v>CA</v>
      </c>
      <c r="C23" s="9"/>
      <c r="D23" s="9"/>
      <c r="E23" s="9"/>
      <c r="F23" s="9"/>
      <c r="G23" s="9"/>
      <c r="H23" s="9"/>
      <c r="I23" s="9"/>
      <c r="J23" s="9"/>
      <c r="K23" s="9"/>
    </row>
    <row r="24" spans="1:17" ht="14.45">
      <c r="A24" s="9" t="str">
        <v>CA: Oxnard - 2600 Sakioka - System B</v>
      </c>
      <c r="B24" s="14" t="str">
        <v>CA</v>
      </c>
      <c r="C24" s="9"/>
      <c r="D24" s="9"/>
      <c r="E24" s="9"/>
      <c r="F24" s="9"/>
      <c r="G24" s="9"/>
      <c r="H24" s="9"/>
      <c r="I24" s="9"/>
      <c r="J24" s="9"/>
      <c r="K24" s="9"/>
    </row>
    <row r="25" spans="1:17" ht="14.45">
      <c r="A25" s="9" t="str">
        <v>NY: Fonda - Montgomery 1 (21601)</v>
      </c>
      <c r="B25" s="14" t="str">
        <v>NY</v>
      </c>
      <c r="C25" s="9"/>
      <c r="D25" s="9"/>
      <c r="E25" s="9"/>
      <c r="F25" s="10"/>
      <c r="G25" s="9"/>
      <c r="H25" s="9"/>
      <c r="I25" s="10"/>
      <c r="J25" s="9"/>
      <c r="K25" s="9"/>
    </row>
    <row r="26" spans="1:17" ht="14.45">
      <c r="A26" s="9" t="str">
        <v>NY: Evans - SL Evans Array 1 (21106) - (PW)</v>
      </c>
      <c r="B26" s="14" t="str">
        <v>NY</v>
      </c>
      <c r="C26" s="9"/>
      <c r="D26" s="9"/>
      <c r="E26" s="9"/>
      <c r="F26" s="10"/>
      <c r="G26" s="9"/>
      <c r="H26" s="9"/>
      <c r="I26" s="10"/>
      <c r="J26" s="9"/>
      <c r="K26" s="9"/>
    </row>
    <row r="27" spans="1:17" ht="14.45">
      <c r="A27" s="9" t="str">
        <v>NY: Evans - SL Evans Array 2 (21107) - (PW)</v>
      </c>
      <c r="B27" s="14" t="str">
        <v>NY</v>
      </c>
      <c r="C27" s="9"/>
      <c r="D27" s="9"/>
      <c r="E27" s="9"/>
      <c r="F27" s="10"/>
      <c r="G27" s="9"/>
      <c r="H27" s="9"/>
      <c r="I27" s="10"/>
      <c r="J27" s="9"/>
      <c r="K27" s="9"/>
    </row>
    <row r="28" spans="1:17" ht="14.45">
      <c r="A28" s="9" t="str">
        <v>NY: Flushing - 131-21 14th Ave</v>
      </c>
      <c r="B28" s="14" t="str">
        <v>NY</v>
      </c>
      <c r="C28" s="9"/>
      <c r="D28" s="9"/>
      <c r="E28" s="9"/>
      <c r="F28" s="10"/>
      <c r="G28" s="9"/>
      <c r="H28" s="9"/>
      <c r="I28" s="10"/>
      <c r="J28" s="9"/>
      <c r="K28" s="9"/>
    </row>
    <row r="29" spans="1:17" ht="14.45">
      <c r="A29" s="9" t="str">
        <v>NY: Binghamton - Airport Rd (18878) - (PW)</v>
      </c>
      <c r="B29" s="14" t="str">
        <v>NY</v>
      </c>
      <c r="C29" s="9"/>
      <c r="D29" s="9"/>
      <c r="E29" s="9"/>
      <c r="F29" s="10"/>
      <c r="G29" s="9"/>
      <c r="H29" s="9"/>
      <c r="I29" s="10"/>
      <c r="J29" s="9"/>
      <c r="K29" s="9"/>
    </row>
    <row r="30" spans="1:17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7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7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C334" s="9"/>
      <c r="D334" s="9"/>
      <c r="E334" s="9"/>
      <c r="F334" s="10"/>
      <c r="G334" s="9"/>
      <c r="H334" s="9"/>
      <c r="I334" s="10"/>
      <c r="J334" s="9"/>
      <c r="K334" s="9"/>
    </row>
  </sheetData>
  <mergeCells count="4">
    <mergeCell ref="G1:I1"/>
    <mergeCell ref="A1:C1"/>
    <mergeCell ref="D1:F1"/>
    <mergeCell ref="A2:B2"/>
  </mergeCells>
  <conditionalFormatting sqref="F2 I2">
    <cfRule type="cellIs" dxfId="28" priority="5" stopIfTrue="1" operator="lessThanOrEqual">
      <formula>-0.1</formula>
    </cfRule>
    <cfRule type="expression" dxfId="27" priority="6">
      <formula>AND(ISNUMBER(F2), F2&gt;=0.1)</formula>
    </cfRule>
  </conditionalFormatting>
  <conditionalFormatting sqref="F4:F92 I4:I92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P334"/>
  <sheetViews>
    <sheetView zoomScale="50" zoomScaleNormal="50" workbookViewId="0">
      <pane xSplit="2" ySplit="3" topLeftCell="G4" activePane="bottomRight" state="frozen"/>
      <selection pane="bottomRight" activeCell="H36" sqref="H36"/>
      <selection pane="bottomLeft" activeCell="H36" sqref="H36"/>
      <selection pane="topRight" activeCell="H36" sqref="H36"/>
    </sheetView>
  </sheetViews>
  <sheetFormatPr defaultRowHeight="13.9"/>
  <cols>
    <col min="1" max="1" width="35.85546875" bestFit="1" customWidth="1"/>
    <col min="2" max="2" width="8.42578125" style="1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6" ht="19.5" customHeight="1">
      <c r="A1" s="100" t="str" cm="1">
        <f t="array" ref="A1">portfolio</f>
        <v>Catalyze</v>
      </c>
      <c r="B1" s="100"/>
      <c r="C1" s="100"/>
      <c r="D1" s="101" t="s">
        <v>101</v>
      </c>
      <c r="E1" s="101"/>
      <c r="F1" s="101"/>
      <c r="G1" s="99" t="s">
        <v>102</v>
      </c>
      <c r="H1" s="99"/>
      <c r="I1" s="99"/>
      <c r="J1" s="4"/>
      <c r="K1" s="4"/>
    </row>
    <row r="2" spans="1:16" ht="19.5" customHeight="1">
      <c r="A2" s="102" t="s">
        <v>2</v>
      </c>
      <c r="B2" s="10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2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21</v>
      </c>
      <c r="K3" s="11" t="s">
        <v>22</v>
      </c>
    </row>
    <row r="4" spans="1:16" ht="49.5" customHeight="1">
      <c r="A4" s="40" t="str" cm="1">
        <f t="array" ref="A4:A29">Sites[Site]</f>
        <v>Fresno - 3150 Shaw Ave</v>
      </c>
      <c r="B4" s="41" t="str" cm="1">
        <f t="array" ref="B4:B29">Sites[State]</f>
        <v>CA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6"/>
      <c r="K4" s="83"/>
      <c r="L4" s="71"/>
      <c r="M4" s="70"/>
      <c r="N4" s="70"/>
      <c r="O4" s="70"/>
      <c r="P4" s="70"/>
    </row>
    <row r="5" spans="1:16" ht="111.75" customHeight="1">
      <c r="A5" s="42" t="str">
        <v>Adelanto - 1 Sheep Creek Road</v>
      </c>
      <c r="B5" s="43" t="str">
        <v>CA</v>
      </c>
      <c r="C5" s="36"/>
      <c r="D5" s="57"/>
      <c r="E5" s="37" t="str">
        <f t="shared" ref="E5:E16" si="0">IF(AND(ISNUMBER(C5),ISNUMBER(D5)), C5-D5, "")</f>
        <v/>
      </c>
      <c r="F5" s="38" t="str">
        <f>IFERROR(E5/D5, "")</f>
        <v/>
      </c>
      <c r="G5" s="57"/>
      <c r="H5" s="39" t="str">
        <f t="shared" ref="H5:H16" si="1">IF(AND(ISNUMBER(C5),ISNUMBER(G5)), C5-G5, "")</f>
        <v/>
      </c>
      <c r="I5" s="38" t="str">
        <f t="shared" ref="I5:I16" si="2">IFERROR(H5/G5, "")</f>
        <v/>
      </c>
      <c r="J5" s="73"/>
      <c r="K5" s="67"/>
      <c r="L5" s="71"/>
      <c r="M5" s="70"/>
      <c r="N5" s="70"/>
      <c r="O5" s="70"/>
      <c r="P5" s="70"/>
    </row>
    <row r="6" spans="1:16" ht="110.25" customHeight="1">
      <c r="A6" s="44" t="str">
        <v>Blackstone - 83 Federal Street</v>
      </c>
      <c r="B6" s="41" t="str">
        <v>MA</v>
      </c>
      <c r="C6" s="29"/>
      <c r="D6" s="30"/>
      <c r="E6" s="30" t="str">
        <f t="shared" si="0"/>
        <v/>
      </c>
      <c r="F6" s="31" t="str">
        <f t="shared" ref="F6:F16" si="3">IFERROR(E6/D6, "")</f>
        <v/>
      </c>
      <c r="G6" s="32"/>
      <c r="H6" s="32" t="str">
        <f t="shared" si="1"/>
        <v/>
      </c>
      <c r="I6" s="33" t="str">
        <f t="shared" si="2"/>
        <v/>
      </c>
      <c r="J6" s="56"/>
      <c r="K6" s="83"/>
      <c r="L6" s="71"/>
      <c r="M6" s="71"/>
      <c r="N6" s="71"/>
      <c r="O6" s="71"/>
      <c r="P6" s="70"/>
    </row>
    <row r="7" spans="1:16" ht="61.5" customHeight="1">
      <c r="A7" s="42" t="str">
        <v>Charlton - 299 Worcester Road</v>
      </c>
      <c r="B7" s="43" t="str">
        <v>MA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73"/>
      <c r="K7" s="67"/>
      <c r="L7" s="71"/>
      <c r="M7" s="70"/>
      <c r="N7" s="70"/>
      <c r="O7" s="70"/>
      <c r="P7" s="70"/>
    </row>
    <row r="8" spans="1:16" ht="15.6">
      <c r="A8" s="44" t="str">
        <v>Wareham - 8 Thatcher Drive</v>
      </c>
      <c r="B8" s="41" t="str">
        <v>MA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6"/>
      <c r="K8" s="56"/>
      <c r="L8" s="70"/>
      <c r="M8" s="70"/>
      <c r="N8" s="70"/>
      <c r="O8" s="70"/>
      <c r="P8" s="70"/>
    </row>
    <row r="9" spans="1:16" ht="15.6">
      <c r="A9" s="42" t="str">
        <v>West Yarmouth - 42 Mid Tech</v>
      </c>
      <c r="B9" s="43" t="str">
        <v>MA</v>
      </c>
      <c r="C9" s="36"/>
      <c r="D9" s="37"/>
      <c r="E9" s="37" t="str">
        <f t="shared" si="0"/>
        <v/>
      </c>
      <c r="F9" s="38" t="str">
        <f t="shared" si="3"/>
        <v/>
      </c>
      <c r="G9" s="39"/>
      <c r="H9" s="39" t="str">
        <f t="shared" si="1"/>
        <v/>
      </c>
      <c r="I9" s="38" t="str">
        <f t="shared" si="2"/>
        <v/>
      </c>
      <c r="J9" s="72"/>
      <c r="K9" s="72"/>
      <c r="L9" s="70"/>
      <c r="M9" s="70"/>
      <c r="N9" s="70"/>
      <c r="O9" s="70"/>
      <c r="P9" s="70"/>
    </row>
    <row r="10" spans="1:16" ht="38.25" customHeight="1">
      <c r="A10" s="44" t="str">
        <v>Harrison - 130 Union Street</v>
      </c>
      <c r="B10" s="41" t="str">
        <v>NY</v>
      </c>
      <c r="C10" s="29"/>
      <c r="D10" s="30"/>
      <c r="E10" s="30" t="str">
        <f t="shared" si="0"/>
        <v/>
      </c>
      <c r="F10" s="31" t="str">
        <f t="shared" si="3"/>
        <v/>
      </c>
      <c r="G10" s="32"/>
      <c r="H10" s="32" t="str">
        <f t="shared" si="1"/>
        <v/>
      </c>
      <c r="I10" s="33" t="str">
        <f t="shared" si="2"/>
        <v/>
      </c>
      <c r="J10" s="56"/>
      <c r="K10" s="83"/>
      <c r="L10" s="70"/>
      <c r="M10" s="70"/>
      <c r="N10" s="70"/>
      <c r="O10" s="70"/>
      <c r="P10" s="70"/>
    </row>
    <row r="11" spans="1:16" ht="15.6">
      <c r="A11" s="42" t="str">
        <v>Staten Island - Ellis Storage</v>
      </c>
      <c r="B11" s="43" t="str">
        <v>NY</v>
      </c>
      <c r="C11" s="36"/>
      <c r="D11" s="37"/>
      <c r="E11" s="37" t="str">
        <f t="shared" si="0"/>
        <v/>
      </c>
      <c r="F11" s="38" t="str">
        <f t="shared" si="3"/>
        <v/>
      </c>
      <c r="G11" s="39"/>
      <c r="H11" s="39" t="str">
        <f t="shared" si="1"/>
        <v/>
      </c>
      <c r="I11" s="38" t="str">
        <f t="shared" si="2"/>
        <v/>
      </c>
      <c r="J11" s="72"/>
      <c r="K11" s="72"/>
      <c r="L11" s="70"/>
      <c r="M11" s="70"/>
      <c r="N11" s="70"/>
      <c r="O11" s="70"/>
      <c r="P11" s="70"/>
    </row>
    <row r="12" spans="1:16" ht="98.25" customHeight="1">
      <c r="A12" s="44" t="str">
        <v>Amherst - 595 Schoelles Road</v>
      </c>
      <c r="B12" s="41" t="str">
        <v>NY</v>
      </c>
      <c r="C12" s="29"/>
      <c r="D12" s="30"/>
      <c r="E12" s="30" t="str">
        <f t="shared" si="0"/>
        <v/>
      </c>
      <c r="F12" s="31" t="str">
        <f t="shared" si="3"/>
        <v/>
      </c>
      <c r="G12" s="32"/>
      <c r="H12" s="32" t="str">
        <f t="shared" si="1"/>
        <v/>
      </c>
      <c r="I12" s="33" t="str">
        <f t="shared" si="2"/>
        <v/>
      </c>
      <c r="J12" s="56"/>
      <c r="K12" s="83"/>
      <c r="L12" s="71"/>
      <c r="M12" s="71"/>
      <c r="N12" s="71"/>
      <c r="O12" s="70"/>
      <c r="P12" s="70"/>
    </row>
    <row r="13" spans="1:16" ht="137.25" customHeight="1">
      <c r="A13" s="42" t="str">
        <v>Lancaster 1 - Gunnville Road</v>
      </c>
      <c r="B13" s="43" t="str">
        <v>NY</v>
      </c>
      <c r="C13" s="36"/>
      <c r="D13" s="37"/>
      <c r="E13" s="37" t="str">
        <f t="shared" si="0"/>
        <v/>
      </c>
      <c r="F13" s="38" t="str">
        <f t="shared" si="3"/>
        <v/>
      </c>
      <c r="G13" s="39"/>
      <c r="H13" s="39" t="str">
        <f t="shared" si="1"/>
        <v/>
      </c>
      <c r="I13" s="38" t="str">
        <f t="shared" si="2"/>
        <v/>
      </c>
      <c r="J13" s="72"/>
      <c r="K13" s="69"/>
      <c r="L13" s="71"/>
      <c r="M13" s="71"/>
      <c r="N13" s="71"/>
      <c r="O13" s="71"/>
      <c r="P13" s="71"/>
    </row>
    <row r="14" spans="1:16" ht="15.6">
      <c r="A14" s="44" t="str">
        <v>Lancaster 2 - Shisler Road</v>
      </c>
      <c r="B14" s="41" t="str">
        <v>NY</v>
      </c>
      <c r="C14" s="29"/>
      <c r="D14" s="30"/>
      <c r="E14" s="30" t="str">
        <f t="shared" si="0"/>
        <v/>
      </c>
      <c r="F14" s="31" t="str">
        <f t="shared" si="3"/>
        <v/>
      </c>
      <c r="G14" s="32"/>
      <c r="H14" s="32" t="str">
        <f t="shared" si="1"/>
        <v/>
      </c>
      <c r="I14" s="33" t="str">
        <f t="shared" si="2"/>
        <v/>
      </c>
      <c r="J14" s="56"/>
      <c r="K14" s="83"/>
      <c r="L14" s="71"/>
      <c r="M14" s="71"/>
      <c r="N14" s="70"/>
      <c r="O14" s="70"/>
      <c r="P14" s="70"/>
    </row>
    <row r="15" spans="1:16" ht="15.6">
      <c r="A15" s="42" t="str">
        <v>Fullerton - 200 W Orangethorpe</v>
      </c>
      <c r="B15" s="43" t="str">
        <v>CA</v>
      </c>
      <c r="C15" s="36"/>
      <c r="D15" s="37"/>
      <c r="E15" s="37" t="str">
        <f t="shared" si="0"/>
        <v/>
      </c>
      <c r="F15" s="38" t="str">
        <f t="shared" si="3"/>
        <v/>
      </c>
      <c r="G15" s="39"/>
      <c r="H15" s="39" t="str">
        <f t="shared" si="1"/>
        <v/>
      </c>
      <c r="I15" s="38" t="str">
        <f t="shared" si="2"/>
        <v/>
      </c>
      <c r="J15" s="72"/>
      <c r="K15" s="90"/>
      <c r="L15" s="70"/>
      <c r="M15" s="70"/>
      <c r="N15" s="70"/>
      <c r="O15" s="70"/>
      <c r="P15" s="70"/>
    </row>
    <row r="16" spans="1:16" ht="15.6">
      <c r="A16" s="44" t="str">
        <v>El Paso - 10500 Railroad Drive</v>
      </c>
      <c r="B16" s="41" t="str">
        <v>TX</v>
      </c>
      <c r="C16" s="29"/>
      <c r="D16" s="30"/>
      <c r="E16" s="30" t="str">
        <f t="shared" si="0"/>
        <v/>
      </c>
      <c r="F16" s="31" t="str">
        <f t="shared" si="3"/>
        <v/>
      </c>
      <c r="G16" s="32"/>
      <c r="H16" s="32" t="str">
        <f t="shared" si="1"/>
        <v/>
      </c>
      <c r="I16" s="33" t="str">
        <f t="shared" si="2"/>
        <v/>
      </c>
      <c r="J16" s="56"/>
      <c r="K16" s="83"/>
      <c r="L16" s="70"/>
      <c r="M16" s="70"/>
      <c r="N16" s="70"/>
      <c r="O16" s="70"/>
      <c r="P16" s="70"/>
    </row>
    <row r="17" spans="1:16" ht="15.6">
      <c r="A17" s="42" t="str">
        <v>Friona - 900 Millard Ave</v>
      </c>
      <c r="B17" s="43" t="str">
        <v>TX</v>
      </c>
      <c r="C17" s="36"/>
      <c r="D17" s="37"/>
      <c r="E17" s="37" t="str">
        <f t="shared" ref="E17:E21" si="4">IF(AND(ISNUMBER(C17),ISNUMBER(D17)), C17-D17, "")</f>
        <v/>
      </c>
      <c r="F17" s="38" t="str">
        <f t="shared" ref="F17:F21" si="5">IFERROR(E17/D17, "")</f>
        <v/>
      </c>
      <c r="G17" s="39"/>
      <c r="H17" s="39" t="str">
        <f t="shared" ref="H17:H21" si="6">IF(AND(ISNUMBER(C17),ISNUMBER(G17)), C17-G17, "")</f>
        <v/>
      </c>
      <c r="I17" s="38" t="str">
        <f t="shared" ref="I17:I21" si="7">IFERROR(H17/G17, "")</f>
        <v/>
      </c>
      <c r="J17" s="72"/>
      <c r="K17" s="67"/>
      <c r="L17" s="70"/>
      <c r="M17" s="70"/>
      <c r="N17" s="70"/>
      <c r="O17" s="70"/>
      <c r="P17" s="70"/>
    </row>
    <row r="18" spans="1:16" ht="15.6">
      <c r="A18" s="44" t="str">
        <v>Augusta - 13 York Farm Road</v>
      </c>
      <c r="B18" s="41" t="str">
        <v>ME</v>
      </c>
      <c r="C18" s="29"/>
      <c r="D18" s="30"/>
      <c r="E18" s="30" t="str">
        <f t="shared" si="4"/>
        <v/>
      </c>
      <c r="F18" s="31" t="str">
        <f t="shared" si="5"/>
        <v/>
      </c>
      <c r="G18" s="32"/>
      <c r="H18" s="32" t="str">
        <f t="shared" si="6"/>
        <v/>
      </c>
      <c r="I18" s="33" t="str">
        <f t="shared" si="7"/>
        <v/>
      </c>
      <c r="J18" s="56"/>
      <c r="K18" s="83"/>
      <c r="L18" s="71"/>
      <c r="M18" s="70"/>
      <c r="N18" s="70"/>
      <c r="O18" s="70"/>
      <c r="P18" s="70"/>
    </row>
    <row r="19" spans="1:16" ht="15.6">
      <c r="A19" s="42" t="str">
        <v xml:space="preserve">Santa Ana - 1441 West </v>
      </c>
      <c r="B19" s="43" t="str">
        <v>CA</v>
      </c>
      <c r="C19" s="36"/>
      <c r="D19" s="37"/>
      <c r="E19" s="37" t="str">
        <f t="shared" si="4"/>
        <v/>
      </c>
      <c r="F19" s="38" t="str">
        <f t="shared" si="5"/>
        <v/>
      </c>
      <c r="G19" s="39"/>
      <c r="H19" s="39" t="str">
        <f t="shared" si="6"/>
        <v/>
      </c>
      <c r="I19" s="38" t="str">
        <f t="shared" si="7"/>
        <v/>
      </c>
      <c r="J19" s="73"/>
      <c r="K19" s="67"/>
      <c r="L19" s="71"/>
      <c r="M19" s="70"/>
      <c r="N19" s="70"/>
      <c r="O19" s="70"/>
      <c r="P19" s="70"/>
    </row>
    <row r="20" spans="1:16" ht="148.5" customHeight="1">
      <c r="A20" s="44" t="str">
        <v>Jessup -7950 Oceano Ave</v>
      </c>
      <c r="B20" s="41" t="str">
        <v>MD</v>
      </c>
      <c r="C20" s="29"/>
      <c r="D20" s="30"/>
      <c r="E20" s="30" t="str">
        <f t="shared" si="4"/>
        <v/>
      </c>
      <c r="F20" s="31" t="str">
        <f t="shared" si="5"/>
        <v/>
      </c>
      <c r="G20" s="32"/>
      <c r="H20" s="32" t="str">
        <f t="shared" si="6"/>
        <v/>
      </c>
      <c r="I20" s="33" t="str">
        <f t="shared" si="7"/>
        <v/>
      </c>
      <c r="J20" s="56"/>
      <c r="K20" s="83"/>
      <c r="L20" s="71"/>
      <c r="M20" s="71"/>
      <c r="N20" s="71"/>
      <c r="O20" s="71"/>
      <c r="P20" s="70"/>
    </row>
    <row r="21" spans="1:16" ht="15.6">
      <c r="A21" s="42" t="str">
        <v xml:space="preserve">TX: Fort Worth - 5200 Gold Spike Dr </v>
      </c>
      <c r="B21" s="43" t="str">
        <v>TX</v>
      </c>
      <c r="C21" s="36"/>
      <c r="D21" s="37"/>
      <c r="E21" s="37" t="str">
        <f t="shared" si="4"/>
        <v/>
      </c>
      <c r="F21" s="38" t="str">
        <f t="shared" si="5"/>
        <v/>
      </c>
      <c r="G21" s="39"/>
      <c r="H21" s="39" t="str">
        <f t="shared" si="6"/>
        <v/>
      </c>
      <c r="I21" s="38" t="str">
        <f t="shared" si="7"/>
        <v/>
      </c>
      <c r="J21" s="72"/>
      <c r="K21" s="67"/>
      <c r="L21" s="70"/>
      <c r="M21" s="70"/>
      <c r="N21" s="70"/>
      <c r="O21" s="70"/>
      <c r="P21" s="70"/>
    </row>
    <row r="22" spans="1:16" ht="14.45">
      <c r="A22" s="9" t="str">
        <v>NY: Clifton Springs - Ontario 2 (21597)</v>
      </c>
      <c r="B22" s="14" t="str">
        <v>NY</v>
      </c>
      <c r="C22" s="9"/>
      <c r="D22" s="9"/>
      <c r="E22" s="9"/>
      <c r="F22" s="9"/>
      <c r="G22" s="9"/>
      <c r="H22" s="9"/>
      <c r="I22" s="9"/>
      <c r="J22" s="9"/>
      <c r="K22" s="9"/>
    </row>
    <row r="23" spans="1:16" ht="14.45">
      <c r="A23" s="9" t="str">
        <v>CA: Oxnard - 2600 Sakioka - System A</v>
      </c>
      <c r="B23" s="14" t="str">
        <v>CA</v>
      </c>
      <c r="C23" s="9"/>
      <c r="D23" s="9"/>
      <c r="E23" s="9"/>
      <c r="F23" s="9"/>
      <c r="G23" s="9"/>
      <c r="H23" s="9"/>
      <c r="I23" s="9"/>
      <c r="J23" s="9"/>
      <c r="K23" s="9"/>
    </row>
    <row r="24" spans="1:16" ht="14.45">
      <c r="A24" s="9" t="str">
        <v>CA: Oxnard - 2600 Sakioka - System B</v>
      </c>
      <c r="B24" s="14" t="str">
        <v>CA</v>
      </c>
      <c r="C24" s="9"/>
      <c r="D24" s="9"/>
      <c r="E24" s="9"/>
      <c r="F24" s="9"/>
      <c r="G24" s="9"/>
      <c r="H24" s="9"/>
      <c r="I24" s="9"/>
      <c r="J24" s="9"/>
      <c r="K24" s="9"/>
    </row>
    <row r="25" spans="1:16" ht="14.45">
      <c r="A25" s="9" t="str">
        <v>NY: Fonda - Montgomery 1 (21601)</v>
      </c>
      <c r="B25" s="14" t="str">
        <v>NY</v>
      </c>
      <c r="C25" s="9"/>
      <c r="D25" s="9"/>
      <c r="E25" s="9"/>
      <c r="F25" s="10"/>
      <c r="G25" s="9"/>
      <c r="H25" s="9"/>
      <c r="I25" s="10"/>
      <c r="J25" s="9"/>
      <c r="K25" s="9"/>
    </row>
    <row r="26" spans="1:16" ht="14.45">
      <c r="A26" s="9" t="str">
        <v>NY: Evans - SL Evans Array 1 (21106) - (PW)</v>
      </c>
      <c r="B26" s="14" t="str">
        <v>NY</v>
      </c>
      <c r="C26" s="9"/>
      <c r="D26" s="9"/>
      <c r="E26" s="9"/>
      <c r="F26" s="10"/>
      <c r="G26" s="9"/>
      <c r="H26" s="9"/>
      <c r="I26" s="10"/>
      <c r="J26" s="9"/>
      <c r="K26" s="9"/>
    </row>
    <row r="27" spans="1:16" ht="14.45">
      <c r="A27" s="9" t="str">
        <v>NY: Evans - SL Evans Array 2 (21107) - (PW)</v>
      </c>
      <c r="B27" s="14" t="str">
        <v>NY</v>
      </c>
      <c r="C27" s="9"/>
      <c r="D27" s="9"/>
      <c r="E27" s="9"/>
      <c r="F27" s="10"/>
      <c r="G27" s="9"/>
      <c r="H27" s="9"/>
      <c r="I27" s="10"/>
      <c r="J27" s="9"/>
      <c r="K27" s="9"/>
    </row>
    <row r="28" spans="1:16" ht="14.45">
      <c r="A28" s="9" t="str">
        <v>NY: Flushing - 131-21 14th Ave</v>
      </c>
      <c r="B28" s="14" t="str">
        <v>NY</v>
      </c>
      <c r="C28" s="9"/>
      <c r="D28" s="9"/>
      <c r="E28" s="9"/>
      <c r="F28" s="10"/>
      <c r="G28" s="9"/>
      <c r="H28" s="9"/>
      <c r="I28" s="10"/>
      <c r="J28" s="9"/>
      <c r="K28" s="9"/>
    </row>
    <row r="29" spans="1:16" ht="14.45">
      <c r="A29" s="9" t="str">
        <v>NY: Binghamton - Airport Rd (18878) - (PW)</v>
      </c>
      <c r="B29" s="14" t="str">
        <v>NY</v>
      </c>
      <c r="C29" s="9"/>
      <c r="D29" s="9"/>
      <c r="E29" s="9"/>
      <c r="F29" s="10"/>
      <c r="G29" s="9"/>
      <c r="H29" s="9"/>
      <c r="I29" s="10"/>
      <c r="J29" s="9"/>
      <c r="K29" s="9"/>
    </row>
    <row r="30" spans="1:16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6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6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C334" s="9"/>
      <c r="D334" s="9"/>
      <c r="E334" s="9"/>
      <c r="F334" s="10"/>
      <c r="G334" s="9"/>
      <c r="H334" s="9"/>
      <c r="I334" s="10"/>
      <c r="J334" s="9"/>
      <c r="K334" s="9"/>
    </row>
  </sheetData>
  <mergeCells count="4">
    <mergeCell ref="G1:I1"/>
    <mergeCell ref="A1:C1"/>
    <mergeCell ref="D1:F1"/>
    <mergeCell ref="A2:B2"/>
  </mergeCells>
  <conditionalFormatting sqref="F2 I2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F4:F92 I4:I92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S334"/>
  <sheetViews>
    <sheetView zoomScale="50" zoomScaleNormal="50" workbookViewId="0">
      <pane xSplit="2" ySplit="3" topLeftCell="C4" activePane="bottomRight" state="frozen"/>
      <selection pane="bottomRight" activeCell="H36" sqref="H36"/>
      <selection pane="bottomLeft" activeCell="H36" sqref="H36"/>
      <selection pane="topRight" activeCell="H36" sqref="H36"/>
    </sheetView>
  </sheetViews>
  <sheetFormatPr defaultRowHeight="13.9"/>
  <cols>
    <col min="1" max="1" width="35.85546875" bestFit="1" customWidth="1"/>
    <col min="2" max="2" width="8.42578125" style="1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9" ht="19.5" customHeight="1">
      <c r="A1" s="100" t="str" cm="1">
        <f t="array" ref="A1">portfolio</f>
        <v>Catalyze</v>
      </c>
      <c r="B1" s="100"/>
      <c r="C1" s="100"/>
      <c r="D1" s="101" t="s">
        <v>103</v>
      </c>
      <c r="E1" s="101"/>
      <c r="F1" s="101"/>
      <c r="G1" s="99" t="s">
        <v>104</v>
      </c>
      <c r="H1" s="99"/>
      <c r="I1" s="99"/>
      <c r="J1" s="4"/>
      <c r="K1" s="4"/>
    </row>
    <row r="2" spans="1:19" ht="19.5" customHeight="1">
      <c r="A2" s="102" t="s">
        <v>2</v>
      </c>
      <c r="B2" s="10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2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21</v>
      </c>
      <c r="K3" s="11" t="s">
        <v>22</v>
      </c>
    </row>
    <row r="4" spans="1:19" ht="42" customHeight="1">
      <c r="A4" s="40" t="str" cm="1">
        <f t="array" ref="A4:A29">Sites[Site]</f>
        <v>Fresno - 3150 Shaw Ave</v>
      </c>
      <c r="B4" s="41" t="str" cm="1">
        <f t="array" ref="B4:B29">Sites[State]</f>
        <v>CA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6"/>
      <c r="K4" s="66"/>
      <c r="L4" s="70"/>
      <c r="M4" s="70"/>
      <c r="N4" s="70"/>
      <c r="O4" s="70"/>
      <c r="P4" s="70"/>
      <c r="Q4" s="70"/>
      <c r="R4" s="70"/>
      <c r="S4" s="70"/>
    </row>
    <row r="5" spans="1:19" ht="62.25" customHeight="1">
      <c r="A5" s="42" t="str">
        <v>Adelanto - 1 Sheep Creek Road</v>
      </c>
      <c r="B5" s="43" t="str">
        <v>CA</v>
      </c>
      <c r="C5" s="36"/>
      <c r="D5" s="37"/>
      <c r="E5" s="37" t="str">
        <f t="shared" ref="E5:E22" si="0">IF(AND(ISNUMBER(C5),ISNUMBER(D5)), C5-D5, "")</f>
        <v/>
      </c>
      <c r="F5" s="38" t="str">
        <f>IFERROR(E5/D5, "")</f>
        <v/>
      </c>
      <c r="G5" s="39"/>
      <c r="H5" s="39" t="str">
        <f t="shared" ref="H5:H22" si="1">IF(AND(ISNUMBER(C5),ISNUMBER(G5)), C5-G5, "")</f>
        <v/>
      </c>
      <c r="I5" s="38" t="str">
        <f t="shared" ref="I5:I22" si="2">IFERROR(H5/G5, "")</f>
        <v/>
      </c>
      <c r="J5" s="73"/>
      <c r="K5" s="69"/>
      <c r="L5" s="70"/>
      <c r="M5" s="70"/>
      <c r="N5" s="70"/>
      <c r="O5" s="70"/>
      <c r="P5" s="70"/>
      <c r="Q5" s="70"/>
      <c r="R5" s="70"/>
      <c r="S5" s="70"/>
    </row>
    <row r="6" spans="1:19" ht="15.6">
      <c r="A6" s="44" t="str">
        <v>Blackstone - 83 Federal Street</v>
      </c>
      <c r="B6" s="41" t="str">
        <v>MA</v>
      </c>
      <c r="C6" s="29"/>
      <c r="D6" s="30"/>
      <c r="E6" s="30" t="str">
        <f t="shared" si="0"/>
        <v/>
      </c>
      <c r="F6" s="31" t="str">
        <f t="shared" ref="F6:F22" si="3">IFERROR(E6/D6, "")</f>
        <v/>
      </c>
      <c r="G6" s="32"/>
      <c r="H6" s="32" t="str">
        <f t="shared" si="1"/>
        <v/>
      </c>
      <c r="I6" s="33" t="str">
        <f t="shared" si="2"/>
        <v/>
      </c>
      <c r="J6" s="50"/>
      <c r="K6" s="66"/>
      <c r="L6" s="70"/>
      <c r="M6" s="70"/>
      <c r="N6" s="70"/>
      <c r="O6" s="70"/>
      <c r="P6" s="70"/>
      <c r="Q6" s="70"/>
      <c r="R6" s="70"/>
      <c r="S6" s="70"/>
    </row>
    <row r="7" spans="1:19" ht="15.6">
      <c r="A7" s="42" t="str">
        <v>Charlton - 299 Worcester Road</v>
      </c>
      <c r="B7" s="43" t="str">
        <v>MA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1"/>
      <c r="K7" s="52"/>
      <c r="L7" s="70"/>
      <c r="M7" s="70"/>
      <c r="N7" s="70"/>
      <c r="O7" s="70"/>
      <c r="P7" s="70"/>
      <c r="Q7" s="70"/>
      <c r="R7" s="70"/>
      <c r="S7" s="70"/>
    </row>
    <row r="8" spans="1:19" ht="15.6">
      <c r="A8" s="44" t="str">
        <v>Wareham - 8 Thatcher Drive</v>
      </c>
      <c r="B8" s="41" t="str">
        <v>MA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0"/>
      <c r="K8" s="50"/>
      <c r="L8" s="70"/>
      <c r="M8" s="70"/>
      <c r="N8" s="70"/>
      <c r="O8" s="70"/>
      <c r="P8" s="70"/>
      <c r="Q8" s="70"/>
      <c r="R8" s="70"/>
      <c r="S8" s="70"/>
    </row>
    <row r="9" spans="1:19" ht="15.6">
      <c r="A9" s="42" t="str">
        <v>West Yarmouth - 42 Mid Tech</v>
      </c>
      <c r="B9" s="43" t="str">
        <v>MA</v>
      </c>
      <c r="C9" s="36"/>
      <c r="D9" s="37"/>
      <c r="E9" s="37" t="str">
        <f t="shared" si="0"/>
        <v/>
      </c>
      <c r="F9" s="38" t="str">
        <f t="shared" si="3"/>
        <v/>
      </c>
      <c r="G9" s="39"/>
      <c r="H9" s="39" t="str">
        <f t="shared" si="1"/>
        <v/>
      </c>
      <c r="I9" s="38" t="str">
        <f t="shared" si="2"/>
        <v/>
      </c>
      <c r="J9" s="51"/>
      <c r="K9" s="52"/>
      <c r="L9" s="70"/>
      <c r="M9" s="70"/>
      <c r="N9" s="70"/>
      <c r="O9" s="70"/>
      <c r="P9" s="70"/>
      <c r="Q9" s="70"/>
      <c r="R9" s="70"/>
      <c r="S9" s="70"/>
    </row>
    <row r="10" spans="1:19" ht="15.6">
      <c r="A10" s="44" t="str">
        <v>Harrison - 130 Union Street</v>
      </c>
      <c r="B10" s="41" t="str">
        <v>NY</v>
      </c>
      <c r="C10" s="29"/>
      <c r="D10" s="30"/>
      <c r="E10" s="30" t="str">
        <f t="shared" si="0"/>
        <v/>
      </c>
      <c r="F10" s="31" t="str">
        <f t="shared" si="3"/>
        <v/>
      </c>
      <c r="G10" s="32"/>
      <c r="H10" s="32" t="str">
        <f t="shared" si="1"/>
        <v/>
      </c>
      <c r="I10" s="33" t="str">
        <f t="shared" si="2"/>
        <v/>
      </c>
      <c r="J10" s="56"/>
      <c r="K10" s="66"/>
      <c r="L10" s="70"/>
      <c r="M10" s="70"/>
      <c r="N10" s="70"/>
      <c r="O10" s="70"/>
      <c r="P10" s="70"/>
      <c r="Q10" s="70"/>
      <c r="R10" s="70"/>
      <c r="S10" s="70"/>
    </row>
    <row r="11" spans="1:19" ht="15.6">
      <c r="A11" s="42" t="str">
        <v>Staten Island - Ellis Storage</v>
      </c>
      <c r="B11" s="43" t="str">
        <v>NY</v>
      </c>
      <c r="C11" s="36"/>
      <c r="D11" s="37"/>
      <c r="E11" s="37" t="str">
        <f t="shared" si="0"/>
        <v/>
      </c>
      <c r="F11" s="38" t="str">
        <f t="shared" si="3"/>
        <v/>
      </c>
      <c r="G11" s="39"/>
      <c r="H11" s="39" t="str">
        <f t="shared" si="1"/>
        <v/>
      </c>
      <c r="I11" s="38" t="str">
        <f t="shared" si="2"/>
        <v/>
      </c>
      <c r="J11" s="51"/>
      <c r="K11" s="52"/>
      <c r="L11" s="70"/>
      <c r="M11" s="70"/>
      <c r="N11" s="70"/>
      <c r="O11" s="70"/>
      <c r="P11" s="70"/>
      <c r="Q11" s="70"/>
      <c r="R11" s="70"/>
      <c r="S11" s="70"/>
    </row>
    <row r="12" spans="1:19" ht="15.6">
      <c r="A12" s="44" t="str">
        <v>Amherst - 595 Schoelles Road</v>
      </c>
      <c r="B12" s="41" t="str">
        <v>NY</v>
      </c>
      <c r="C12" s="29"/>
      <c r="D12" s="30"/>
      <c r="E12" s="30" t="str">
        <f t="shared" si="0"/>
        <v/>
      </c>
      <c r="F12" s="31" t="str">
        <f t="shared" si="3"/>
        <v/>
      </c>
      <c r="G12" s="32"/>
      <c r="H12" s="32" t="str">
        <f t="shared" si="1"/>
        <v/>
      </c>
      <c r="I12" s="33" t="str">
        <f t="shared" si="2"/>
        <v/>
      </c>
      <c r="J12" s="50"/>
      <c r="K12" s="66"/>
      <c r="L12" s="70"/>
      <c r="M12" s="70"/>
      <c r="N12" s="70"/>
      <c r="O12" s="70"/>
      <c r="P12" s="70"/>
      <c r="Q12" s="70"/>
      <c r="R12" s="70"/>
      <c r="S12" s="70"/>
    </row>
    <row r="13" spans="1:19" ht="93.75" customHeight="1">
      <c r="A13" s="42" t="str">
        <v>Lancaster 1 - Gunnville Road</v>
      </c>
      <c r="B13" s="43" t="str">
        <v>NY</v>
      </c>
      <c r="C13" s="36"/>
      <c r="D13" s="37"/>
      <c r="E13" s="37" t="str">
        <f t="shared" si="0"/>
        <v/>
      </c>
      <c r="F13" s="38" t="str">
        <f t="shared" si="3"/>
        <v/>
      </c>
      <c r="G13" s="39"/>
      <c r="H13" s="39" t="str">
        <f t="shared" si="1"/>
        <v/>
      </c>
      <c r="I13" s="38" t="str">
        <f t="shared" si="2"/>
        <v/>
      </c>
      <c r="J13" s="59"/>
      <c r="K13" s="67"/>
      <c r="L13" s="71"/>
      <c r="M13" s="70"/>
      <c r="N13" s="70"/>
      <c r="O13" s="70"/>
      <c r="P13" s="70"/>
      <c r="Q13" s="70"/>
      <c r="R13" s="70"/>
      <c r="S13" s="70"/>
    </row>
    <row r="14" spans="1:19" ht="80.25" customHeight="1">
      <c r="A14" s="44" t="str">
        <v>Lancaster 2 - Shisler Road</v>
      </c>
      <c r="B14" s="41" t="str">
        <v>NY</v>
      </c>
      <c r="C14" s="29"/>
      <c r="D14" s="30"/>
      <c r="E14" s="30" t="str">
        <f>IF(AND(ISNUMBER(C14),ISNUMBER(D14)), C14-D14, "")</f>
        <v/>
      </c>
      <c r="F14" s="31" t="str">
        <f t="shared" si="3"/>
        <v/>
      </c>
      <c r="G14" s="32"/>
      <c r="H14" s="32" t="str">
        <f>IF(AND(ISNUMBER(C14),ISNUMBER(G14)), C14-G14, "")</f>
        <v/>
      </c>
      <c r="I14" s="33" t="str">
        <f t="shared" si="2"/>
        <v/>
      </c>
      <c r="J14" s="50"/>
      <c r="K14" s="66"/>
      <c r="L14" s="71"/>
      <c r="M14" s="71"/>
      <c r="N14" s="71"/>
      <c r="O14" s="70"/>
      <c r="P14" s="70"/>
      <c r="Q14" s="70"/>
      <c r="R14" s="70"/>
      <c r="S14" s="70"/>
    </row>
    <row r="15" spans="1:19" ht="15.6">
      <c r="A15" s="42" t="str">
        <v>Fullerton - 200 W Orangethorpe</v>
      </c>
      <c r="B15" s="43" t="str">
        <v>CA</v>
      </c>
      <c r="C15" s="36"/>
      <c r="D15" s="37"/>
      <c r="E15" s="55" t="str">
        <f>IF(AND(ISNUMBER(C15),ISNUMBER(D15)), C15-D15, "")</f>
        <v/>
      </c>
      <c r="F15" s="38" t="str">
        <f t="shared" si="3"/>
        <v/>
      </c>
      <c r="G15" s="39"/>
      <c r="H15" s="55" t="str">
        <f>IF(AND(ISNUMBER(C15),ISNUMBER(G15)), C15-G15, "")</f>
        <v/>
      </c>
      <c r="I15" s="38" t="str">
        <f t="shared" si="2"/>
        <v/>
      </c>
      <c r="J15" s="51"/>
      <c r="K15" s="52"/>
      <c r="L15" s="70"/>
      <c r="M15" s="70"/>
      <c r="N15" s="70"/>
      <c r="O15" s="70"/>
      <c r="P15" s="70"/>
      <c r="Q15" s="70"/>
      <c r="R15" s="70"/>
      <c r="S15" s="70"/>
    </row>
    <row r="16" spans="1:19" ht="15.6">
      <c r="A16" s="44" t="str">
        <v>El Paso - 10500 Railroad Drive</v>
      </c>
      <c r="B16" s="41" t="str">
        <v>TX</v>
      </c>
      <c r="C16" s="29"/>
      <c r="D16" s="30"/>
      <c r="E16" s="30">
        <v>0</v>
      </c>
      <c r="F16" s="31" t="str">
        <f t="shared" si="3"/>
        <v/>
      </c>
      <c r="G16" s="32"/>
      <c r="H16" s="32">
        <v>0</v>
      </c>
      <c r="I16" s="33" t="str">
        <f t="shared" si="2"/>
        <v/>
      </c>
      <c r="J16" s="56"/>
      <c r="K16" s="66"/>
      <c r="L16" s="71"/>
      <c r="M16" s="70"/>
      <c r="N16" s="70"/>
      <c r="O16" s="70"/>
      <c r="P16" s="70"/>
      <c r="Q16" s="70"/>
      <c r="R16" s="70"/>
      <c r="S16" s="70"/>
    </row>
    <row r="17" spans="1:19" ht="15.6">
      <c r="A17" s="42" t="str">
        <v>Friona - 900 Millard Ave</v>
      </c>
      <c r="B17" s="43" t="str">
        <v>TX</v>
      </c>
      <c r="C17" s="36"/>
      <c r="D17" s="37"/>
      <c r="E17" s="37" t="str">
        <f t="shared" si="0"/>
        <v/>
      </c>
      <c r="F17" s="38" t="str">
        <f t="shared" si="3"/>
        <v/>
      </c>
      <c r="G17" s="39"/>
      <c r="H17" s="39" t="str">
        <f t="shared" si="1"/>
        <v/>
      </c>
      <c r="I17" s="38" t="str">
        <f t="shared" si="2"/>
        <v/>
      </c>
      <c r="J17" s="72"/>
      <c r="K17" s="67"/>
      <c r="L17" s="71"/>
      <c r="M17" s="70"/>
      <c r="N17" s="70"/>
      <c r="O17" s="70"/>
      <c r="P17" s="70"/>
      <c r="Q17" s="70"/>
      <c r="R17" s="70"/>
      <c r="S17" s="70"/>
    </row>
    <row r="18" spans="1:19" ht="15.6">
      <c r="A18" s="44" t="str">
        <v>Augusta - 13 York Farm Road</v>
      </c>
      <c r="B18" s="41" t="str">
        <v>ME</v>
      </c>
      <c r="C18" s="29"/>
      <c r="D18" s="30"/>
      <c r="E18" s="30" t="str">
        <f t="shared" si="0"/>
        <v/>
      </c>
      <c r="F18" s="31" t="str">
        <f t="shared" si="3"/>
        <v/>
      </c>
      <c r="G18" s="32"/>
      <c r="H18" s="32" t="str">
        <f t="shared" si="1"/>
        <v/>
      </c>
      <c r="I18" s="33" t="str">
        <f t="shared" si="2"/>
        <v/>
      </c>
      <c r="J18" s="50"/>
      <c r="K18" s="66"/>
      <c r="L18" s="71"/>
      <c r="M18" s="71"/>
      <c r="N18" s="70"/>
      <c r="O18" s="70"/>
      <c r="P18" s="70"/>
      <c r="Q18" s="70"/>
      <c r="R18" s="70"/>
      <c r="S18" s="70"/>
    </row>
    <row r="19" spans="1:19" ht="15.6">
      <c r="A19" s="42" t="str">
        <v xml:space="preserve">Santa Ana - 1441 West </v>
      </c>
      <c r="B19" s="43" t="str">
        <v>CA</v>
      </c>
      <c r="C19" s="36"/>
      <c r="D19" s="37"/>
      <c r="E19" s="37" t="str">
        <f t="shared" si="0"/>
        <v/>
      </c>
      <c r="F19" s="38" t="str">
        <f t="shared" si="3"/>
        <v/>
      </c>
      <c r="G19" s="39"/>
      <c r="H19" s="39" t="str">
        <f t="shared" si="1"/>
        <v/>
      </c>
      <c r="I19" s="38" t="str">
        <f t="shared" si="2"/>
        <v/>
      </c>
      <c r="J19" s="51"/>
      <c r="K19" s="52"/>
      <c r="L19" s="70"/>
      <c r="M19" s="70"/>
      <c r="N19" s="70"/>
      <c r="O19" s="70"/>
      <c r="P19" s="70"/>
      <c r="Q19" s="70"/>
      <c r="R19" s="70"/>
      <c r="S19" s="70"/>
    </row>
    <row r="20" spans="1:19" ht="117.75" customHeight="1">
      <c r="A20" s="44" t="str">
        <v>Jessup -7950 Oceano Ave</v>
      </c>
      <c r="B20" s="41" t="str">
        <v>MD</v>
      </c>
      <c r="C20" s="29"/>
      <c r="D20" s="30"/>
      <c r="E20" s="30" t="str">
        <f t="shared" si="0"/>
        <v/>
      </c>
      <c r="F20" s="31" t="str">
        <f t="shared" si="3"/>
        <v/>
      </c>
      <c r="G20" s="32"/>
      <c r="H20" s="32" t="str">
        <f t="shared" si="1"/>
        <v/>
      </c>
      <c r="I20" s="33" t="str">
        <f t="shared" si="2"/>
        <v/>
      </c>
      <c r="J20" s="50"/>
      <c r="K20" s="66"/>
      <c r="L20" s="71"/>
      <c r="M20" s="71"/>
      <c r="N20" s="71"/>
      <c r="O20" s="71"/>
      <c r="P20" s="71"/>
      <c r="Q20" s="70"/>
      <c r="R20" s="70"/>
      <c r="S20" s="70"/>
    </row>
    <row r="21" spans="1:19" ht="15.6">
      <c r="A21" s="42" t="str">
        <v xml:space="preserve">TX: Fort Worth - 5200 Gold Spike Dr </v>
      </c>
      <c r="B21" s="43" t="str">
        <v>TX</v>
      </c>
      <c r="C21" s="36"/>
      <c r="D21" s="37"/>
      <c r="E21" s="37" t="str">
        <f t="shared" si="0"/>
        <v/>
      </c>
      <c r="F21" s="38" t="str">
        <f t="shared" si="3"/>
        <v/>
      </c>
      <c r="G21" s="39"/>
      <c r="H21" s="39" t="str">
        <f t="shared" si="1"/>
        <v/>
      </c>
      <c r="I21" s="38" t="str">
        <f t="shared" si="2"/>
        <v/>
      </c>
      <c r="J21" s="73"/>
      <c r="K21" s="69"/>
      <c r="L21" s="70"/>
      <c r="M21" s="70"/>
      <c r="N21" s="70"/>
      <c r="O21" s="70"/>
      <c r="P21" s="70"/>
      <c r="Q21" s="70"/>
      <c r="R21" s="70"/>
      <c r="S21" s="70"/>
    </row>
    <row r="22" spans="1:19" ht="15.6">
      <c r="A22" s="44" t="str">
        <v>NY: Clifton Springs - Ontario 2 (21597)</v>
      </c>
      <c r="B22" s="41" t="str">
        <v>NY</v>
      </c>
      <c r="C22" s="29"/>
      <c r="D22" s="30"/>
      <c r="E22" s="30" t="str">
        <f t="shared" si="0"/>
        <v/>
      </c>
      <c r="F22" s="31" t="str">
        <f t="shared" si="3"/>
        <v/>
      </c>
      <c r="G22" s="32"/>
      <c r="H22" s="32" t="str">
        <f t="shared" si="1"/>
        <v/>
      </c>
      <c r="I22" s="33" t="str">
        <f t="shared" si="2"/>
        <v/>
      </c>
      <c r="J22" s="56"/>
      <c r="K22" s="50"/>
      <c r="L22" s="70"/>
      <c r="M22" s="70"/>
      <c r="N22" s="70"/>
      <c r="O22" s="70"/>
      <c r="P22" s="70"/>
      <c r="Q22" s="70"/>
      <c r="R22" s="70"/>
      <c r="S22" s="70"/>
    </row>
    <row r="23" spans="1:19" ht="14.45">
      <c r="A23" s="9" t="str">
        <v>CA: Oxnard - 2600 Sakioka - System A</v>
      </c>
      <c r="B23" s="14" t="str">
        <v>CA</v>
      </c>
      <c r="C23" s="9"/>
      <c r="D23" s="9"/>
      <c r="E23" s="9"/>
      <c r="F23" s="9"/>
      <c r="G23" s="9"/>
      <c r="H23" s="9"/>
      <c r="I23" s="9"/>
      <c r="J23" s="9"/>
      <c r="K23" s="9"/>
    </row>
    <row r="24" spans="1:19" ht="14.45">
      <c r="A24" s="9" t="str">
        <v>CA: Oxnard - 2600 Sakioka - System B</v>
      </c>
      <c r="B24" s="14" t="str">
        <v>CA</v>
      </c>
      <c r="C24" s="9"/>
      <c r="D24" s="9"/>
      <c r="E24" s="9"/>
      <c r="F24" s="9"/>
      <c r="G24" s="9"/>
      <c r="H24" s="9"/>
      <c r="I24" s="9"/>
      <c r="J24" s="9"/>
      <c r="K24" s="9"/>
    </row>
    <row r="25" spans="1:19" ht="14.45">
      <c r="A25" s="9" t="str">
        <v>NY: Fonda - Montgomery 1 (21601)</v>
      </c>
      <c r="B25" s="14" t="str">
        <v>NY</v>
      </c>
      <c r="C25" s="9"/>
      <c r="D25" s="9"/>
      <c r="E25" s="9"/>
      <c r="F25" s="10"/>
      <c r="G25" s="9"/>
      <c r="H25" s="9"/>
      <c r="I25" s="10"/>
      <c r="J25" s="9"/>
      <c r="K25" s="9"/>
    </row>
    <row r="26" spans="1:19" ht="14.45">
      <c r="A26" s="9" t="str">
        <v>NY: Evans - SL Evans Array 1 (21106) - (PW)</v>
      </c>
      <c r="B26" s="14" t="str">
        <v>NY</v>
      </c>
      <c r="C26" s="9"/>
      <c r="D26" s="9"/>
      <c r="E26" s="9"/>
      <c r="F26" s="10"/>
      <c r="G26" s="9"/>
      <c r="H26" s="9"/>
      <c r="I26" s="10"/>
      <c r="J26" s="9"/>
      <c r="K26" s="9"/>
    </row>
    <row r="27" spans="1:19" ht="14.45">
      <c r="A27" s="9" t="str">
        <v>NY: Evans - SL Evans Array 2 (21107) - (PW)</v>
      </c>
      <c r="B27" s="14" t="str">
        <v>NY</v>
      </c>
      <c r="C27" s="9"/>
      <c r="D27" s="9"/>
      <c r="E27" s="9"/>
      <c r="F27" s="10"/>
      <c r="G27" s="9"/>
      <c r="H27" s="9"/>
      <c r="I27" s="10"/>
      <c r="J27" s="9"/>
      <c r="K27" s="9"/>
    </row>
    <row r="28" spans="1:19" ht="14.45">
      <c r="A28" s="9" t="str">
        <v>NY: Flushing - 131-21 14th Ave</v>
      </c>
      <c r="B28" s="14" t="str">
        <v>NY</v>
      </c>
      <c r="C28" s="9"/>
      <c r="D28" s="9"/>
      <c r="E28" s="9"/>
      <c r="F28" s="10"/>
      <c r="G28" s="9"/>
      <c r="H28" s="9"/>
      <c r="I28" s="10"/>
      <c r="J28" s="9"/>
      <c r="K28" s="9"/>
    </row>
    <row r="29" spans="1:19" ht="14.45">
      <c r="A29" s="9" t="str">
        <v>NY: Binghamton - Airport Rd (18878) - (PW)</v>
      </c>
      <c r="B29" s="14" t="str">
        <v>NY</v>
      </c>
      <c r="C29" s="9"/>
      <c r="D29" s="9"/>
      <c r="E29" s="9"/>
      <c r="F29" s="10"/>
      <c r="G29" s="9"/>
      <c r="H29" s="9"/>
      <c r="I29" s="10"/>
      <c r="J29" s="9"/>
      <c r="K29" s="9"/>
    </row>
    <row r="30" spans="1:19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9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9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C334" s="9"/>
      <c r="D334" s="9"/>
      <c r="E334" s="9"/>
      <c r="F334" s="10"/>
      <c r="G334" s="9"/>
      <c r="H334" s="9"/>
      <c r="I334" s="10"/>
      <c r="J334" s="9"/>
      <c r="K334" s="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phoneticPr fontId="39" type="noConversion"/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92 I4:I92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R334"/>
  <sheetViews>
    <sheetView zoomScale="50" zoomScaleNormal="50" workbookViewId="0">
      <pane xSplit="2" ySplit="3" topLeftCell="J4" activePane="bottomRight" state="frozen"/>
      <selection pane="bottomRight" activeCell="H36" sqref="H36"/>
      <selection pane="bottomLeft" activeCell="H36" sqref="H36"/>
      <selection pane="topRight" activeCell="H36" sqref="H36"/>
    </sheetView>
  </sheetViews>
  <sheetFormatPr defaultRowHeight="13.9"/>
  <cols>
    <col min="1" max="1" width="35.85546875" bestFit="1" customWidth="1"/>
    <col min="2" max="2" width="8.42578125" style="1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8" ht="19.5" customHeight="1">
      <c r="A1" s="100" t="str" cm="1">
        <f t="array" ref="A1">portfolio</f>
        <v>Catalyze</v>
      </c>
      <c r="B1" s="100"/>
      <c r="C1" s="100"/>
      <c r="D1" s="101" t="s">
        <v>105</v>
      </c>
      <c r="E1" s="101"/>
      <c r="F1" s="101"/>
      <c r="G1" s="99" t="s">
        <v>106</v>
      </c>
      <c r="H1" s="99"/>
      <c r="I1" s="99"/>
      <c r="J1" s="4"/>
      <c r="K1" s="4"/>
    </row>
    <row r="2" spans="1:18" ht="19.5" customHeight="1">
      <c r="A2" s="102" t="s">
        <v>2</v>
      </c>
      <c r="B2" s="10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2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8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21</v>
      </c>
      <c r="K3" s="11" t="s">
        <v>22</v>
      </c>
    </row>
    <row r="4" spans="1:18" ht="15.6">
      <c r="A4" s="40" t="str" cm="1">
        <f t="array" ref="A4:A29">Sites[Site]</f>
        <v>Fresno - 3150 Shaw Ave</v>
      </c>
      <c r="B4" s="41" t="str" cm="1">
        <f t="array" ref="B4:B29">Sites[State]</f>
        <v>CA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64"/>
      <c r="K4" s="83"/>
      <c r="L4" s="70"/>
      <c r="M4" s="70"/>
      <c r="N4" s="70"/>
      <c r="O4" s="70"/>
      <c r="P4" s="70"/>
      <c r="Q4" s="70"/>
      <c r="R4" s="70"/>
    </row>
    <row r="5" spans="1:18" ht="104.25" customHeight="1">
      <c r="A5" s="42" t="str">
        <v>Adelanto - 1 Sheep Creek Road</v>
      </c>
      <c r="B5" s="43" t="str">
        <v>CA</v>
      </c>
      <c r="C5" s="36"/>
      <c r="D5" s="37"/>
      <c r="E5" s="37" t="str">
        <f t="shared" ref="E5:E15" si="0">IF(AND(ISNUMBER(C5),ISNUMBER(D5)), C5-D5, "")</f>
        <v/>
      </c>
      <c r="F5" s="38" t="str">
        <f>IFERROR(E5/D5, "")</f>
        <v/>
      </c>
      <c r="G5" s="92"/>
      <c r="H5" s="39" t="str">
        <f t="shared" ref="H5:H7" si="1">IF(AND(ISNUMBER(C5),ISNUMBER(G5)), C5-G5, "")</f>
        <v/>
      </c>
      <c r="I5" s="38" t="str">
        <f t="shared" ref="I5:I7" si="2">IFERROR(H5/G5, "")</f>
        <v/>
      </c>
      <c r="J5" s="59"/>
      <c r="K5" s="67"/>
      <c r="L5" s="71"/>
      <c r="M5" s="71"/>
      <c r="N5" s="71"/>
      <c r="O5" s="70"/>
      <c r="P5" s="70"/>
      <c r="Q5" s="70"/>
      <c r="R5" s="70"/>
    </row>
    <row r="6" spans="1:18" ht="15.6">
      <c r="A6" s="44" t="str">
        <v>Blackstone - 83 Federal Street</v>
      </c>
      <c r="B6" s="41" t="str">
        <v>MA</v>
      </c>
      <c r="C6" s="29"/>
      <c r="D6" s="30"/>
      <c r="E6" s="30" t="str">
        <f t="shared" si="0"/>
        <v/>
      </c>
      <c r="F6" s="31" t="str">
        <f t="shared" ref="F6:F11" si="3">IFERROR(E6/D6, "")</f>
        <v/>
      </c>
      <c r="G6" s="32"/>
      <c r="H6" s="32" t="str">
        <f t="shared" si="1"/>
        <v/>
      </c>
      <c r="I6" s="33" t="str">
        <f t="shared" si="2"/>
        <v/>
      </c>
      <c r="J6" s="64"/>
      <c r="K6" s="83"/>
      <c r="L6" s="70"/>
      <c r="M6" s="70"/>
      <c r="N6" s="70"/>
      <c r="O6" s="70"/>
      <c r="P6" s="70"/>
      <c r="Q6" s="70"/>
      <c r="R6" s="70"/>
    </row>
    <row r="7" spans="1:18" ht="15.6">
      <c r="A7" s="42" t="str">
        <v>Charlton - 299 Worcester Road</v>
      </c>
      <c r="B7" s="43" t="str">
        <v>MA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9"/>
      <c r="K7" s="59"/>
      <c r="L7" s="70"/>
      <c r="M7" s="70"/>
      <c r="N7" s="70"/>
      <c r="O7" s="70"/>
      <c r="P7" s="70"/>
      <c r="Q7" s="70"/>
      <c r="R7" s="70"/>
    </row>
    <row r="8" spans="1:18" ht="15.6">
      <c r="A8" s="44" t="str">
        <v>Wareham - 8 Thatcher Drive</v>
      </c>
      <c r="B8" s="41" t="str">
        <v>MA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ref="H8:H25" si="4">IF(AND(ISNUMBER(C8),ISNUMBER(G8)), C8-G8, "")</f>
        <v/>
      </c>
      <c r="I8" s="33" t="str">
        <f t="shared" ref="I8:I25" si="5">IFERROR(H8/G8, "")</f>
        <v/>
      </c>
      <c r="J8" s="64"/>
      <c r="K8" s="64"/>
      <c r="L8" s="70"/>
      <c r="M8" s="70"/>
      <c r="N8" s="70"/>
      <c r="O8" s="70"/>
      <c r="P8" s="70"/>
      <c r="Q8" s="70"/>
      <c r="R8" s="70"/>
    </row>
    <row r="9" spans="1:18" ht="15.6">
      <c r="A9" s="42" t="str">
        <v>West Yarmouth - 42 Mid Tech</v>
      </c>
      <c r="B9" s="43" t="str">
        <v>MA</v>
      </c>
      <c r="C9" s="36"/>
      <c r="D9" s="37"/>
      <c r="E9" s="37" t="str">
        <f t="shared" si="0"/>
        <v/>
      </c>
      <c r="F9" s="38" t="str">
        <f t="shared" si="3"/>
        <v/>
      </c>
      <c r="G9" s="39"/>
      <c r="H9" s="39" t="str">
        <f t="shared" si="4"/>
        <v/>
      </c>
      <c r="I9" s="38" t="str">
        <f t="shared" si="5"/>
        <v/>
      </c>
      <c r="J9" s="59"/>
      <c r="K9" s="58"/>
      <c r="L9" s="70"/>
      <c r="M9" s="70"/>
      <c r="N9" s="70"/>
      <c r="O9" s="70"/>
      <c r="P9" s="70"/>
      <c r="Q9" s="70"/>
      <c r="R9" s="70"/>
    </row>
    <row r="10" spans="1:18" ht="15.6">
      <c r="A10" s="44" t="str">
        <v>Harrison - 130 Union Street</v>
      </c>
      <c r="B10" s="41" t="str">
        <v>NY</v>
      </c>
      <c r="C10" s="29"/>
      <c r="D10" s="30"/>
      <c r="E10" s="30" t="str">
        <f t="shared" si="0"/>
        <v/>
      </c>
      <c r="F10" s="31" t="str">
        <f t="shared" si="3"/>
        <v/>
      </c>
      <c r="G10" s="32"/>
      <c r="H10" s="32" t="str">
        <f t="shared" si="4"/>
        <v/>
      </c>
      <c r="I10" s="33" t="str">
        <f t="shared" si="5"/>
        <v/>
      </c>
      <c r="J10" s="64"/>
      <c r="K10" s="83"/>
      <c r="L10" s="70"/>
      <c r="M10" s="70"/>
      <c r="N10" s="70"/>
      <c r="O10" s="70"/>
      <c r="P10" s="70"/>
      <c r="Q10" s="70"/>
      <c r="R10" s="70"/>
    </row>
    <row r="11" spans="1:18" ht="15.6">
      <c r="A11" s="42" t="str">
        <v>Staten Island - Ellis Storage</v>
      </c>
      <c r="B11" s="43" t="str">
        <v>NY</v>
      </c>
      <c r="C11" s="36"/>
      <c r="D11" s="37"/>
      <c r="E11" s="37" t="str">
        <f t="shared" si="0"/>
        <v/>
      </c>
      <c r="F11" s="38" t="str">
        <f t="shared" si="3"/>
        <v/>
      </c>
      <c r="G11" s="39"/>
      <c r="H11" s="39" t="str">
        <f t="shared" si="4"/>
        <v/>
      </c>
      <c r="I11" s="38" t="str">
        <f t="shared" si="5"/>
        <v/>
      </c>
      <c r="J11" s="59"/>
      <c r="K11" s="58"/>
      <c r="L11" s="70"/>
      <c r="M11" s="70"/>
      <c r="N11" s="70"/>
      <c r="O11" s="70"/>
      <c r="P11" s="70"/>
      <c r="Q11" s="70"/>
      <c r="R11" s="70"/>
    </row>
    <row r="12" spans="1:18" ht="15.6">
      <c r="A12" s="44" t="str">
        <v>Amherst - 595 Schoelles Road</v>
      </c>
      <c r="B12" s="41" t="str">
        <v>NY</v>
      </c>
      <c r="C12" s="29"/>
      <c r="D12" s="30"/>
      <c r="E12" s="30" t="str">
        <f t="shared" si="0"/>
        <v/>
      </c>
      <c r="F12" s="31" t="str">
        <f t="shared" ref="F12:F25" si="6">IFERROR(E12/D12, "")</f>
        <v/>
      </c>
      <c r="G12" s="32"/>
      <c r="H12" s="32" t="str">
        <f t="shared" si="4"/>
        <v/>
      </c>
      <c r="I12" s="33" t="str">
        <f t="shared" si="5"/>
        <v/>
      </c>
      <c r="J12" s="64"/>
      <c r="K12" s="83"/>
      <c r="L12" s="70"/>
      <c r="M12" s="70"/>
      <c r="N12" s="70"/>
      <c r="O12" s="70"/>
      <c r="P12" s="70"/>
      <c r="Q12" s="70"/>
      <c r="R12" s="70"/>
    </row>
    <row r="13" spans="1:18" ht="15.6">
      <c r="A13" s="42" t="str">
        <v>Lancaster 1 - Gunnville Road</v>
      </c>
      <c r="B13" s="43" t="str">
        <v>NY</v>
      </c>
      <c r="C13" s="36"/>
      <c r="D13" s="37"/>
      <c r="E13" s="37" t="str">
        <f t="shared" si="0"/>
        <v/>
      </c>
      <c r="F13" s="38" t="str">
        <f t="shared" si="6"/>
        <v/>
      </c>
      <c r="G13" s="39"/>
      <c r="H13" s="39" t="str">
        <f t="shared" si="4"/>
        <v/>
      </c>
      <c r="I13" s="38" t="str">
        <f t="shared" si="5"/>
        <v/>
      </c>
      <c r="J13" s="59"/>
      <c r="K13" s="67"/>
      <c r="L13" s="71"/>
      <c r="M13" s="71"/>
      <c r="N13" s="70"/>
      <c r="O13" s="70"/>
      <c r="P13" s="70"/>
      <c r="Q13" s="70"/>
      <c r="R13" s="70"/>
    </row>
    <row r="14" spans="1:18" ht="15.6">
      <c r="A14" s="44" t="str">
        <v>Lancaster 2 - Shisler Road</v>
      </c>
      <c r="B14" s="41" t="str">
        <v>NY</v>
      </c>
      <c r="C14" s="29"/>
      <c r="D14" s="30"/>
      <c r="E14" s="30" t="str">
        <f t="shared" si="0"/>
        <v/>
      </c>
      <c r="F14" s="31" t="str">
        <f t="shared" si="6"/>
        <v/>
      </c>
      <c r="G14" s="32"/>
      <c r="H14" s="32" t="str">
        <f t="shared" si="4"/>
        <v/>
      </c>
      <c r="I14" s="33" t="str">
        <f t="shared" si="5"/>
        <v/>
      </c>
      <c r="J14" s="64"/>
      <c r="K14" s="83"/>
      <c r="L14" s="71"/>
      <c r="M14" s="71"/>
      <c r="N14" s="70"/>
      <c r="O14" s="70"/>
      <c r="P14" s="70"/>
      <c r="Q14" s="70"/>
      <c r="R14" s="70"/>
    </row>
    <row r="15" spans="1:18" ht="15.6">
      <c r="A15" s="42" t="str">
        <v>Fullerton - 200 W Orangethorpe</v>
      </c>
      <c r="B15" s="43" t="str">
        <v>CA</v>
      </c>
      <c r="C15" s="36"/>
      <c r="D15" s="37"/>
      <c r="E15" s="37" t="str">
        <f t="shared" si="0"/>
        <v/>
      </c>
      <c r="F15" s="38" t="str">
        <f t="shared" si="6"/>
        <v/>
      </c>
      <c r="G15" s="39"/>
      <c r="H15" s="39" t="str">
        <f t="shared" si="4"/>
        <v/>
      </c>
      <c r="I15" s="38" t="str">
        <f t="shared" si="5"/>
        <v/>
      </c>
      <c r="J15" s="59"/>
      <c r="K15" s="67"/>
      <c r="L15" s="70"/>
      <c r="M15" s="70"/>
      <c r="N15" s="70"/>
      <c r="O15" s="70"/>
      <c r="P15" s="70"/>
      <c r="Q15" s="70"/>
      <c r="R15" s="70"/>
    </row>
    <row r="16" spans="1:18" ht="15.6">
      <c r="A16" s="44" t="str">
        <v>El Paso - 10500 Railroad Drive</v>
      </c>
      <c r="B16" s="41" t="str">
        <v>TX</v>
      </c>
      <c r="C16" s="29"/>
      <c r="D16" s="30"/>
      <c r="E16" s="30" t="str">
        <f t="shared" ref="E16:E25" si="7">IF(AND(ISNUMBER(C16),ISNUMBER(D16)), C16-D16, "")</f>
        <v/>
      </c>
      <c r="F16" s="31" t="str">
        <f t="shared" si="6"/>
        <v/>
      </c>
      <c r="G16" s="32"/>
      <c r="H16" s="32" t="str">
        <f t="shared" si="4"/>
        <v/>
      </c>
      <c r="I16" s="33" t="str">
        <f t="shared" si="5"/>
        <v/>
      </c>
      <c r="J16" s="64"/>
      <c r="K16" s="83"/>
      <c r="L16" s="70"/>
      <c r="M16" s="70"/>
      <c r="N16" s="70"/>
      <c r="O16" s="70"/>
      <c r="P16" s="70"/>
      <c r="Q16" s="70"/>
      <c r="R16" s="70"/>
    </row>
    <row r="17" spans="1:18" ht="15.6">
      <c r="A17" s="42" t="str">
        <v>Friona - 900 Millard Ave</v>
      </c>
      <c r="B17" s="43" t="str">
        <v>TX</v>
      </c>
      <c r="C17" s="36"/>
      <c r="D17" s="37"/>
      <c r="E17" s="37" t="str">
        <f t="shared" si="7"/>
        <v/>
      </c>
      <c r="F17" s="38" t="str">
        <f t="shared" si="6"/>
        <v/>
      </c>
      <c r="G17" s="39"/>
      <c r="H17" s="39" t="str">
        <f t="shared" si="4"/>
        <v/>
      </c>
      <c r="I17" s="38" t="str">
        <f t="shared" si="5"/>
        <v/>
      </c>
      <c r="J17" s="59"/>
      <c r="K17" s="67"/>
      <c r="L17" s="70"/>
      <c r="M17" s="70"/>
      <c r="N17" s="70"/>
      <c r="O17" s="70"/>
      <c r="P17" s="70"/>
      <c r="Q17" s="70"/>
      <c r="R17" s="70"/>
    </row>
    <row r="18" spans="1:18" ht="15.6">
      <c r="A18" s="44" t="str">
        <v>Augusta - 13 York Farm Road</v>
      </c>
      <c r="B18" s="41" t="str">
        <v>ME</v>
      </c>
      <c r="C18" s="29"/>
      <c r="D18" s="30"/>
      <c r="E18" s="30" t="str">
        <f t="shared" si="7"/>
        <v/>
      </c>
      <c r="F18" s="31" t="str">
        <f t="shared" si="6"/>
        <v/>
      </c>
      <c r="G18" s="32"/>
      <c r="H18" s="32" t="str">
        <f t="shared" si="4"/>
        <v/>
      </c>
      <c r="I18" s="33" t="str">
        <f t="shared" si="5"/>
        <v/>
      </c>
      <c r="J18" s="64"/>
      <c r="K18" s="83"/>
      <c r="L18" s="71"/>
      <c r="M18" s="71"/>
      <c r="N18" s="70"/>
      <c r="O18" s="70"/>
      <c r="P18" s="70"/>
      <c r="Q18" s="70"/>
      <c r="R18" s="70"/>
    </row>
    <row r="19" spans="1:18" ht="15.6">
      <c r="A19" s="42" t="str">
        <v xml:space="preserve">Santa Ana - 1441 West </v>
      </c>
      <c r="B19" s="43" t="str">
        <v>CA</v>
      </c>
      <c r="C19" s="36"/>
      <c r="D19" s="37"/>
      <c r="E19" s="37" t="str">
        <f t="shared" si="7"/>
        <v/>
      </c>
      <c r="F19" s="87" t="str">
        <f t="shared" si="6"/>
        <v/>
      </c>
      <c r="G19" s="39"/>
      <c r="H19" s="39" t="str">
        <f t="shared" si="4"/>
        <v/>
      </c>
      <c r="I19" s="38" t="str">
        <f t="shared" si="5"/>
        <v/>
      </c>
      <c r="J19" s="59"/>
      <c r="K19" s="58"/>
      <c r="L19" s="70"/>
      <c r="M19" s="70"/>
      <c r="N19" s="70"/>
      <c r="O19" s="70"/>
      <c r="P19" s="70"/>
      <c r="Q19" s="70"/>
      <c r="R19" s="70"/>
    </row>
    <row r="20" spans="1:18" ht="15.6">
      <c r="A20" s="44" t="str">
        <v>Jessup -7950 Oceano Ave</v>
      </c>
      <c r="B20" s="41" t="str">
        <v>MD</v>
      </c>
      <c r="C20" s="29"/>
      <c r="D20" s="30"/>
      <c r="E20" s="30" t="str">
        <f t="shared" si="7"/>
        <v/>
      </c>
      <c r="F20" s="31" t="str">
        <f t="shared" si="6"/>
        <v/>
      </c>
      <c r="G20" s="32"/>
      <c r="H20" s="32" t="str">
        <f t="shared" si="4"/>
        <v/>
      </c>
      <c r="I20" s="33" t="str">
        <f t="shared" si="5"/>
        <v/>
      </c>
      <c r="J20" s="64"/>
      <c r="K20" s="83"/>
      <c r="L20" s="71"/>
      <c r="M20" s="71"/>
      <c r="N20" s="71"/>
      <c r="O20" s="71"/>
      <c r="P20" s="71"/>
      <c r="Q20" s="71"/>
      <c r="R20" s="70"/>
    </row>
    <row r="21" spans="1:18" ht="15.6">
      <c r="A21" s="42" t="str">
        <v xml:space="preserve">TX: Fort Worth - 5200 Gold Spike Dr </v>
      </c>
      <c r="B21" s="43" t="str">
        <v>TX</v>
      </c>
      <c r="C21" s="36"/>
      <c r="D21" s="37"/>
      <c r="E21" s="37" t="str">
        <f t="shared" si="7"/>
        <v/>
      </c>
      <c r="F21" s="38" t="str">
        <f t="shared" si="6"/>
        <v/>
      </c>
      <c r="G21" s="39"/>
      <c r="H21" s="39" t="str">
        <f t="shared" si="4"/>
        <v/>
      </c>
      <c r="I21" s="38" t="str">
        <f t="shared" si="5"/>
        <v/>
      </c>
      <c r="J21" s="88"/>
      <c r="K21" s="67"/>
      <c r="L21" s="70"/>
      <c r="M21" s="70"/>
      <c r="N21" s="70"/>
      <c r="O21" s="70"/>
      <c r="P21" s="70"/>
      <c r="Q21" s="70"/>
      <c r="R21" s="70"/>
    </row>
    <row r="22" spans="1:18" ht="15.6">
      <c r="A22" s="44" t="str">
        <v>NY: Clifton Springs - Ontario 2 (21597)</v>
      </c>
      <c r="B22" s="41" t="str">
        <v>NY</v>
      </c>
      <c r="C22" s="29"/>
      <c r="D22" s="30"/>
      <c r="E22" s="30" t="str">
        <f t="shared" si="7"/>
        <v/>
      </c>
      <c r="F22" s="31" t="str">
        <f t="shared" si="6"/>
        <v/>
      </c>
      <c r="G22" s="32"/>
      <c r="H22" s="32" t="str">
        <f t="shared" si="4"/>
        <v/>
      </c>
      <c r="I22" s="33" t="str">
        <f t="shared" si="5"/>
        <v/>
      </c>
      <c r="J22" s="64"/>
      <c r="K22" s="83"/>
      <c r="L22" s="70"/>
      <c r="M22" s="70"/>
      <c r="N22" s="70"/>
      <c r="O22" s="70"/>
      <c r="P22" s="70"/>
      <c r="Q22" s="70"/>
      <c r="R22" s="70"/>
    </row>
    <row r="23" spans="1:18" ht="15.6">
      <c r="A23" s="42" t="str">
        <v>CA: Oxnard - 2600 Sakioka - System A</v>
      </c>
      <c r="B23" s="43" t="str">
        <v>CA</v>
      </c>
      <c r="C23" s="36"/>
      <c r="D23" s="37"/>
      <c r="E23" s="37" t="str">
        <f t="shared" si="7"/>
        <v/>
      </c>
      <c r="F23" s="38" t="str">
        <f t="shared" si="6"/>
        <v/>
      </c>
      <c r="G23" s="39"/>
      <c r="H23" s="39" t="str">
        <f t="shared" si="4"/>
        <v/>
      </c>
      <c r="I23" s="38" t="str">
        <f t="shared" si="5"/>
        <v/>
      </c>
      <c r="J23" s="59"/>
      <c r="K23" s="58"/>
      <c r="L23" s="70"/>
      <c r="M23" s="70"/>
      <c r="N23" s="70"/>
      <c r="O23" s="70"/>
      <c r="P23" s="70"/>
      <c r="Q23" s="70"/>
      <c r="R23" s="70"/>
    </row>
    <row r="24" spans="1:18" ht="15.6">
      <c r="A24" s="44" t="str">
        <v>CA: Oxnard - 2600 Sakioka - System B</v>
      </c>
      <c r="B24" s="41" t="str">
        <v>CA</v>
      </c>
      <c r="C24" s="29"/>
      <c r="D24" s="30"/>
      <c r="E24" s="30" t="str">
        <f t="shared" si="7"/>
        <v/>
      </c>
      <c r="F24" s="31" t="str">
        <f t="shared" si="6"/>
        <v/>
      </c>
      <c r="G24" s="32"/>
      <c r="H24" s="32" t="str">
        <f t="shared" si="4"/>
        <v/>
      </c>
      <c r="I24" s="33" t="str">
        <f t="shared" si="5"/>
        <v/>
      </c>
      <c r="J24" s="64"/>
      <c r="K24" s="83"/>
      <c r="L24" s="70"/>
      <c r="M24" s="70"/>
      <c r="N24" s="70"/>
      <c r="O24" s="70"/>
      <c r="P24" s="70"/>
      <c r="Q24" s="70"/>
      <c r="R24" s="70"/>
    </row>
    <row r="25" spans="1:18" ht="15.6">
      <c r="A25" s="42" t="str">
        <v>NY: Fonda - Montgomery 1 (21601)</v>
      </c>
      <c r="B25" s="43" t="str">
        <v>NY</v>
      </c>
      <c r="C25" s="36"/>
      <c r="D25" s="37"/>
      <c r="E25" s="37" t="str">
        <f t="shared" si="7"/>
        <v/>
      </c>
      <c r="F25" s="87" t="str">
        <f t="shared" si="6"/>
        <v/>
      </c>
      <c r="G25" s="39"/>
      <c r="H25" s="39" t="str">
        <f t="shared" si="4"/>
        <v/>
      </c>
      <c r="I25" s="38" t="str">
        <f t="shared" si="5"/>
        <v/>
      </c>
      <c r="J25" s="59"/>
      <c r="K25" s="67"/>
      <c r="L25" s="70"/>
      <c r="M25" s="70"/>
      <c r="N25" s="70"/>
      <c r="O25" s="70"/>
      <c r="P25" s="70"/>
      <c r="Q25" s="70"/>
      <c r="R25" s="70"/>
    </row>
    <row r="26" spans="1:18" ht="14.45">
      <c r="A26" s="9" t="str">
        <v>NY: Evans - SL Evans Array 1 (21106) - (PW)</v>
      </c>
      <c r="B26" s="14" t="str">
        <v>NY</v>
      </c>
      <c r="C26" s="9"/>
      <c r="D26" s="9"/>
      <c r="E26" s="9"/>
      <c r="F26" s="10"/>
      <c r="G26" s="9"/>
      <c r="H26" s="9"/>
      <c r="I26" s="10"/>
      <c r="J26" s="9"/>
      <c r="K26" s="9"/>
    </row>
    <row r="27" spans="1:18" ht="14.45">
      <c r="A27" s="9" t="str">
        <v>NY: Evans - SL Evans Array 2 (21107) - (PW)</v>
      </c>
      <c r="B27" s="14" t="str">
        <v>NY</v>
      </c>
      <c r="C27" s="9"/>
      <c r="D27" s="9"/>
      <c r="E27" s="9"/>
      <c r="F27" s="10"/>
      <c r="G27" s="9"/>
      <c r="H27" s="9"/>
      <c r="I27" s="10"/>
      <c r="J27" s="9"/>
      <c r="K27" s="9"/>
    </row>
    <row r="28" spans="1:18" ht="14.45">
      <c r="A28" s="9" t="str">
        <v>NY: Flushing - 131-21 14th Ave</v>
      </c>
      <c r="B28" s="14" t="str">
        <v>NY</v>
      </c>
      <c r="C28" s="9"/>
      <c r="D28" s="9"/>
      <c r="E28" s="9"/>
      <c r="F28" s="10"/>
      <c r="G28" s="9"/>
      <c r="H28" s="9"/>
      <c r="I28" s="10"/>
      <c r="J28" s="9"/>
      <c r="K28" s="9"/>
    </row>
    <row r="29" spans="1:18" ht="14.45">
      <c r="A29" s="9" t="str">
        <v>NY: Binghamton - Airport Rd (18878) - (PW)</v>
      </c>
      <c r="B29" s="14" t="str">
        <v>NY</v>
      </c>
      <c r="C29" s="9"/>
      <c r="D29" s="9"/>
      <c r="E29" s="9"/>
      <c r="F29" s="10"/>
      <c r="G29" s="9"/>
      <c r="H29" s="9"/>
      <c r="I29" s="10"/>
      <c r="J29" s="9"/>
      <c r="K29" s="9"/>
    </row>
    <row r="30" spans="1:18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8" ht="14.45">
      <c r="A31" s="9"/>
      <c r="B31" s="14"/>
      <c r="C31" s="9"/>
      <c r="D31" s="9"/>
      <c r="E31" s="9"/>
      <c r="F31" s="10"/>
      <c r="G31" s="9"/>
      <c r="H31" s="9"/>
      <c r="I31" s="10"/>
      <c r="J31" s="93"/>
      <c r="K31" s="9"/>
    </row>
    <row r="32" spans="1:18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C334" s="9"/>
      <c r="D334" s="9"/>
      <c r="E334" s="9"/>
      <c r="F334" s="10"/>
      <c r="G334" s="9"/>
      <c r="H334" s="9"/>
      <c r="I334" s="10"/>
      <c r="J334" s="9"/>
      <c r="K334" s="9"/>
    </row>
  </sheetData>
  <mergeCells count="4">
    <mergeCell ref="G1:I1"/>
    <mergeCell ref="A1:C1"/>
    <mergeCell ref="D1:F1"/>
    <mergeCell ref="A2:B2"/>
  </mergeCells>
  <conditionalFormatting sqref="F2 I2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F4:F92 I4:I92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Q334"/>
  <sheetViews>
    <sheetView zoomScale="50" zoomScaleNormal="50" workbookViewId="0">
      <pane xSplit="2" ySplit="3" topLeftCell="C5" activePane="bottomRight" state="frozen"/>
      <selection pane="bottomRight" activeCell="H36" sqref="H36"/>
      <selection pane="bottomLeft" activeCell="H36" sqref="H36"/>
      <selection pane="topRight" activeCell="H36" sqref="H36"/>
    </sheetView>
  </sheetViews>
  <sheetFormatPr defaultRowHeight="13.9"/>
  <cols>
    <col min="1" max="1" width="35.85546875" bestFit="1" customWidth="1"/>
    <col min="2" max="2" width="8.42578125" style="1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7" width="8.85546875" style="70"/>
  </cols>
  <sheetData>
    <row r="1" spans="1:14" ht="19.5" customHeight="1">
      <c r="A1" s="100" t="str" cm="1">
        <f t="array" ref="A1">portfolio</f>
        <v>Catalyze</v>
      </c>
      <c r="B1" s="100"/>
      <c r="C1" s="100"/>
      <c r="D1" s="101" t="s">
        <v>107</v>
      </c>
      <c r="E1" s="101"/>
      <c r="F1" s="101"/>
      <c r="G1" s="99" t="s">
        <v>108</v>
      </c>
      <c r="H1" s="99"/>
      <c r="I1" s="99"/>
      <c r="J1" s="4"/>
      <c r="K1" s="4"/>
    </row>
    <row r="2" spans="1:14" ht="19.5" customHeight="1">
      <c r="A2" s="102" t="s">
        <v>2</v>
      </c>
      <c r="B2" s="10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2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21</v>
      </c>
      <c r="K3" s="11" t="s">
        <v>22</v>
      </c>
    </row>
    <row r="4" spans="1:14" ht="15.6">
      <c r="A4" s="40" t="str" cm="1">
        <f t="array" ref="A4:A29">Sites[Site]</f>
        <v>Fresno - 3150 Shaw Ave</v>
      </c>
      <c r="B4" s="41" t="str" cm="1">
        <f t="array" ref="B4:B29">Sites[State]</f>
        <v>CA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K4" s="50"/>
    </row>
    <row r="5" spans="1:14" ht="84" customHeight="1">
      <c r="A5" s="42" t="str">
        <v>Adelanto - 1 Sheep Creek Road</v>
      </c>
      <c r="B5" s="43" t="str">
        <v>CA</v>
      </c>
      <c r="C5" s="62"/>
      <c r="D5" s="37"/>
      <c r="E5" s="37" t="str">
        <f t="shared" ref="E5:E25" si="0">IF(AND(ISNUMBER(C5),ISNUMBER(D5)), C5-D5, "")</f>
        <v/>
      </c>
      <c r="F5" s="38" t="str">
        <f>IFERROR(E5/D5, "")</f>
        <v/>
      </c>
      <c r="G5" s="39"/>
      <c r="H5" s="55" t="str">
        <f>IF(AND(ISNUMBER(C5),ISNUMBER(G5)), C5-G5, "")</f>
        <v/>
      </c>
      <c r="I5" s="38" t="str">
        <f t="shared" ref="I5:I25" si="1">IFERROR(H5/G5, "")</f>
        <v/>
      </c>
      <c r="J5" s="51"/>
      <c r="K5" s="67"/>
      <c r="L5" s="71"/>
      <c r="M5" s="71"/>
      <c r="N5" s="71"/>
    </row>
    <row r="6" spans="1:14" ht="15.6">
      <c r="A6" s="44" t="str">
        <v>Blackstone - 83 Federal Street</v>
      </c>
      <c r="B6" s="41" t="str">
        <v>MA</v>
      </c>
      <c r="C6" s="29"/>
      <c r="D6" s="30"/>
      <c r="E6" s="30" t="str">
        <f t="shared" si="0"/>
        <v/>
      </c>
      <c r="F6" s="31" t="str">
        <f t="shared" ref="F6:F25" si="2">IFERROR(E6/D6, "")</f>
        <v/>
      </c>
      <c r="G6" s="32"/>
      <c r="H6" s="32" t="str">
        <f t="shared" ref="H6:H25" si="3">IF(AND(ISNUMBER(C6),ISNUMBER(G6)), C6-G6, "")</f>
        <v/>
      </c>
      <c r="I6" s="33" t="str">
        <f t="shared" si="1"/>
        <v/>
      </c>
      <c r="J6" s="50"/>
      <c r="K6" s="66"/>
      <c r="L6" s="71"/>
    </row>
    <row r="7" spans="1:14" ht="15.6">
      <c r="A7" s="42" t="str">
        <v>Charlton - 299 Worcester Road</v>
      </c>
      <c r="B7" s="43" t="str">
        <v>MA</v>
      </c>
      <c r="C7" s="36"/>
      <c r="D7" s="37"/>
      <c r="E7" s="37" t="str">
        <f t="shared" si="0"/>
        <v/>
      </c>
      <c r="F7" s="38" t="str">
        <f t="shared" si="2"/>
        <v/>
      </c>
      <c r="G7" s="39"/>
      <c r="H7" s="39" t="str">
        <f t="shared" si="3"/>
        <v/>
      </c>
      <c r="I7" s="38" t="str">
        <f t="shared" si="1"/>
        <v/>
      </c>
      <c r="J7" s="51"/>
      <c r="K7" s="52"/>
    </row>
    <row r="8" spans="1:14" ht="15.6">
      <c r="A8" s="44" t="str">
        <v>Wareham - 8 Thatcher Drive</v>
      </c>
      <c r="B8" s="41" t="str">
        <v>MA</v>
      </c>
      <c r="C8" s="29"/>
      <c r="D8" s="30"/>
      <c r="E8" s="30" t="str">
        <f t="shared" si="0"/>
        <v/>
      </c>
      <c r="F8" s="31" t="str">
        <f t="shared" si="2"/>
        <v/>
      </c>
      <c r="G8" s="32"/>
      <c r="H8" s="32" t="str">
        <f t="shared" si="3"/>
        <v/>
      </c>
      <c r="I8" s="33" t="str">
        <f t="shared" si="1"/>
        <v/>
      </c>
      <c r="J8" s="50"/>
      <c r="K8" s="50"/>
    </row>
    <row r="9" spans="1:14" ht="15.6">
      <c r="A9" s="42" t="str">
        <v>West Yarmouth - 42 Mid Tech</v>
      </c>
      <c r="B9" s="43" t="str">
        <v>MA</v>
      </c>
      <c r="C9" s="36"/>
      <c r="D9" s="37"/>
      <c r="E9" s="37" t="str">
        <f t="shared" si="0"/>
        <v/>
      </c>
      <c r="F9" s="38" t="str">
        <f t="shared" si="2"/>
        <v/>
      </c>
      <c r="G9" s="39"/>
      <c r="H9" s="39" t="str">
        <f t="shared" si="3"/>
        <v/>
      </c>
      <c r="I9" s="38" t="str">
        <f t="shared" si="1"/>
        <v/>
      </c>
      <c r="J9" s="51"/>
      <c r="K9" s="94"/>
    </row>
    <row r="10" spans="1:14" ht="15.6">
      <c r="A10" s="44" t="str">
        <v>Harrison - 130 Union Street</v>
      </c>
      <c r="B10" s="41" t="str">
        <v>NY</v>
      </c>
      <c r="C10" s="29"/>
      <c r="D10" s="30"/>
      <c r="E10" s="30" t="str">
        <f t="shared" si="0"/>
        <v/>
      </c>
      <c r="F10" s="31" t="str">
        <f t="shared" si="2"/>
        <v/>
      </c>
      <c r="G10" s="32"/>
      <c r="H10" s="32" t="str">
        <f t="shared" si="3"/>
        <v/>
      </c>
      <c r="I10" s="33" t="str">
        <f t="shared" si="1"/>
        <v/>
      </c>
      <c r="J10" s="50"/>
      <c r="K10" s="66"/>
    </row>
    <row r="11" spans="1:14" ht="15.6">
      <c r="A11" s="42" t="str">
        <v>Staten Island - Ellis Storage</v>
      </c>
      <c r="B11" s="43" t="str">
        <v>NY</v>
      </c>
      <c r="C11" s="36"/>
      <c r="D11" s="37"/>
      <c r="E11" s="37" t="str">
        <f t="shared" si="0"/>
        <v/>
      </c>
      <c r="F11" s="38" t="str">
        <f t="shared" si="2"/>
        <v/>
      </c>
      <c r="G11" s="39"/>
      <c r="H11" s="39" t="str">
        <f t="shared" si="3"/>
        <v/>
      </c>
      <c r="I11" s="38" t="str">
        <f>IFERROR(H11/G11, "")</f>
        <v/>
      </c>
      <c r="J11" s="51"/>
      <c r="K11" s="52"/>
    </row>
    <row r="12" spans="1:14" ht="15.6">
      <c r="A12" s="44" t="str">
        <v>Amherst - 595 Schoelles Road</v>
      </c>
      <c r="B12" s="41" t="str">
        <v>NY</v>
      </c>
      <c r="C12" s="29"/>
      <c r="D12" s="30"/>
      <c r="E12" s="30" t="str">
        <f t="shared" si="0"/>
        <v/>
      </c>
      <c r="F12" s="31" t="str">
        <f t="shared" si="2"/>
        <v/>
      </c>
      <c r="G12" s="32"/>
      <c r="H12" s="32" t="str">
        <f t="shared" si="3"/>
        <v/>
      </c>
      <c r="I12" s="33" t="str">
        <f t="shared" si="1"/>
        <v/>
      </c>
      <c r="J12" s="50"/>
      <c r="K12" s="66"/>
      <c r="L12" s="71"/>
    </row>
    <row r="13" spans="1:14" ht="15.6">
      <c r="A13" s="42" t="str">
        <v>Lancaster 1 - Gunnville Road</v>
      </c>
      <c r="B13" s="43" t="str">
        <v>NY</v>
      </c>
      <c r="C13" s="36"/>
      <c r="D13" s="37"/>
      <c r="E13" s="37" t="str">
        <f t="shared" si="0"/>
        <v/>
      </c>
      <c r="F13" s="38" t="str">
        <f t="shared" si="2"/>
        <v/>
      </c>
      <c r="G13" s="39"/>
      <c r="H13" s="39" t="str">
        <f t="shared" si="3"/>
        <v/>
      </c>
      <c r="I13" s="38" t="str">
        <f t="shared" si="1"/>
        <v/>
      </c>
      <c r="J13" s="51"/>
      <c r="K13" s="94"/>
      <c r="L13" s="71"/>
    </row>
    <row r="14" spans="1:14" ht="15.6">
      <c r="A14" s="44" t="str">
        <v>Lancaster 2 - Shisler Road</v>
      </c>
      <c r="B14" s="41" t="str">
        <v>NY</v>
      </c>
      <c r="C14" s="29"/>
      <c r="D14" s="30"/>
      <c r="E14" s="30" t="str">
        <f t="shared" si="0"/>
        <v/>
      </c>
      <c r="F14" s="31" t="str">
        <f t="shared" si="2"/>
        <v/>
      </c>
      <c r="G14" s="32"/>
      <c r="H14" s="32" t="str">
        <f t="shared" si="3"/>
        <v/>
      </c>
      <c r="I14" s="33" t="str">
        <f t="shared" si="1"/>
        <v/>
      </c>
      <c r="J14" s="50"/>
      <c r="K14" s="66"/>
      <c r="L14" s="71"/>
    </row>
    <row r="15" spans="1:14" ht="15.6">
      <c r="A15" s="42" t="str">
        <v>Fullerton - 200 W Orangethorpe</v>
      </c>
      <c r="B15" s="43" t="str">
        <v>CA</v>
      </c>
      <c r="C15" s="36"/>
      <c r="D15" s="37"/>
      <c r="E15" s="37" t="str">
        <f t="shared" si="0"/>
        <v/>
      </c>
      <c r="F15" s="38" t="str">
        <f t="shared" si="2"/>
        <v/>
      </c>
      <c r="G15" s="39"/>
      <c r="H15" s="39" t="str">
        <f t="shared" si="3"/>
        <v/>
      </c>
      <c r="I15" s="38" t="str">
        <f t="shared" si="1"/>
        <v/>
      </c>
      <c r="J15" s="59"/>
      <c r="K15" s="94"/>
    </row>
    <row r="16" spans="1:14" ht="15.6">
      <c r="A16" s="44" t="str">
        <v>El Paso - 10500 Railroad Drive</v>
      </c>
      <c r="B16" s="41" t="str">
        <v>TX</v>
      </c>
      <c r="C16" s="29"/>
      <c r="D16" s="30"/>
      <c r="E16" s="30" t="str">
        <f t="shared" si="0"/>
        <v/>
      </c>
      <c r="F16" s="31" t="str">
        <f t="shared" si="2"/>
        <v/>
      </c>
      <c r="G16" s="32"/>
      <c r="H16" s="32" t="str">
        <f t="shared" si="3"/>
        <v/>
      </c>
      <c r="I16" s="33" t="str">
        <f t="shared" si="1"/>
        <v/>
      </c>
      <c r="J16" s="64"/>
      <c r="K16" s="66"/>
    </row>
    <row r="17" spans="1:16" ht="15.6">
      <c r="A17" s="42" t="str">
        <v>Friona - 900 Millard Ave</v>
      </c>
      <c r="B17" s="43" t="str">
        <v>TX</v>
      </c>
      <c r="C17" s="36"/>
      <c r="D17" s="37"/>
      <c r="E17" s="37" t="str">
        <f t="shared" si="0"/>
        <v/>
      </c>
      <c r="F17" s="38" t="str">
        <f t="shared" si="2"/>
        <v/>
      </c>
      <c r="G17" s="39"/>
      <c r="H17" s="39" t="str">
        <f t="shared" si="3"/>
        <v/>
      </c>
      <c r="I17" s="38" t="str">
        <f t="shared" si="1"/>
        <v/>
      </c>
      <c r="J17" s="59"/>
      <c r="K17" s="94"/>
    </row>
    <row r="18" spans="1:16" ht="15.6">
      <c r="A18" s="44" t="str">
        <v>Augusta - 13 York Farm Road</v>
      </c>
      <c r="B18" s="41" t="str">
        <v>ME</v>
      </c>
      <c r="C18" s="29"/>
      <c r="D18" s="30"/>
      <c r="E18" s="30" t="str">
        <f t="shared" si="0"/>
        <v/>
      </c>
      <c r="F18" s="31" t="str">
        <f t="shared" si="2"/>
        <v/>
      </c>
      <c r="G18" s="32"/>
      <c r="H18" s="32" t="str">
        <f t="shared" si="3"/>
        <v/>
      </c>
      <c r="I18" s="33" t="str">
        <f t="shared" si="1"/>
        <v/>
      </c>
      <c r="J18" s="50"/>
      <c r="K18" s="66"/>
    </row>
    <row r="19" spans="1:16" ht="15.6">
      <c r="A19" s="42" t="str">
        <v xml:space="preserve">Santa Ana - 1441 West </v>
      </c>
      <c r="B19" s="43" t="str">
        <v>CA</v>
      </c>
      <c r="C19" s="36"/>
      <c r="D19" s="37"/>
      <c r="E19" s="37" t="str">
        <f t="shared" si="0"/>
        <v/>
      </c>
      <c r="F19" s="38" t="str">
        <f t="shared" si="2"/>
        <v/>
      </c>
      <c r="G19" s="39"/>
      <c r="H19" s="39" t="str">
        <f t="shared" si="3"/>
        <v/>
      </c>
      <c r="I19" s="38" t="str">
        <f t="shared" si="1"/>
        <v/>
      </c>
      <c r="J19" s="51"/>
      <c r="K19" s="52"/>
    </row>
    <row r="20" spans="1:16" ht="15.6">
      <c r="A20" s="44" t="str">
        <v>Jessup -7950 Oceano Ave</v>
      </c>
      <c r="B20" s="41" t="str">
        <v>MD</v>
      </c>
      <c r="C20" s="29"/>
      <c r="D20" s="30"/>
      <c r="E20" s="30" t="str">
        <f t="shared" si="0"/>
        <v/>
      </c>
      <c r="F20" s="31" t="str">
        <f t="shared" si="2"/>
        <v/>
      </c>
      <c r="G20" s="32"/>
      <c r="H20" s="32" t="str">
        <f t="shared" si="3"/>
        <v/>
      </c>
      <c r="I20" s="33" t="str">
        <f t="shared" si="1"/>
        <v/>
      </c>
      <c r="J20" s="50"/>
      <c r="K20" s="66"/>
      <c r="L20" s="71"/>
      <c r="M20" s="71"/>
      <c r="N20" s="71"/>
      <c r="O20" s="71"/>
      <c r="P20" s="71"/>
    </row>
    <row r="21" spans="1:16" ht="15.6">
      <c r="A21" s="42" t="str">
        <v xml:space="preserve">TX: Fort Worth - 5200 Gold Spike Dr </v>
      </c>
      <c r="B21" s="43" t="str">
        <v>TX</v>
      </c>
      <c r="C21" s="36"/>
      <c r="D21" s="37"/>
      <c r="E21" s="37" t="str">
        <f t="shared" si="0"/>
        <v/>
      </c>
      <c r="F21" s="38" t="str">
        <f t="shared" si="2"/>
        <v/>
      </c>
      <c r="G21" s="39"/>
      <c r="H21" s="39" t="str">
        <f t="shared" si="3"/>
        <v/>
      </c>
      <c r="I21" s="38" t="str">
        <f t="shared" si="1"/>
        <v/>
      </c>
      <c r="J21" s="88"/>
      <c r="K21" s="94"/>
    </row>
    <row r="22" spans="1:16" ht="15.6">
      <c r="A22" s="44" t="str">
        <v>NY: Clifton Springs - Ontario 2 (21597)</v>
      </c>
      <c r="B22" s="41" t="str">
        <v>NY</v>
      </c>
      <c r="C22" s="29"/>
      <c r="D22" s="30"/>
      <c r="E22" s="30" t="str">
        <f t="shared" si="0"/>
        <v/>
      </c>
      <c r="F22" s="31" t="str">
        <f t="shared" si="2"/>
        <v/>
      </c>
      <c r="G22" s="32"/>
      <c r="H22" s="32" t="str">
        <f t="shared" si="3"/>
        <v/>
      </c>
      <c r="I22" s="33" t="str">
        <f t="shared" si="1"/>
        <v/>
      </c>
      <c r="J22" s="9"/>
      <c r="K22" s="50"/>
    </row>
    <row r="23" spans="1:16" ht="15.6">
      <c r="A23" s="42" t="str">
        <v>CA: Oxnard - 2600 Sakioka - System A</v>
      </c>
      <c r="B23" s="43" t="str">
        <v>CA</v>
      </c>
      <c r="C23" s="36"/>
      <c r="D23" s="37"/>
      <c r="E23" s="37" t="str">
        <f t="shared" si="0"/>
        <v/>
      </c>
      <c r="F23" s="38" t="str">
        <f t="shared" si="2"/>
        <v/>
      </c>
      <c r="G23" s="39"/>
      <c r="H23" s="39" t="str">
        <f t="shared" si="3"/>
        <v/>
      </c>
      <c r="I23" s="38" t="str">
        <f t="shared" si="1"/>
        <v/>
      </c>
      <c r="J23" s="51"/>
      <c r="K23" s="52"/>
    </row>
    <row r="24" spans="1:16" ht="15.6">
      <c r="A24" s="44" t="str">
        <v>CA: Oxnard - 2600 Sakioka - System B</v>
      </c>
      <c r="B24" s="41" t="str">
        <v>CA</v>
      </c>
      <c r="C24" s="29"/>
      <c r="D24" s="30"/>
      <c r="E24" s="30" t="str">
        <f t="shared" si="0"/>
        <v/>
      </c>
      <c r="F24" s="31" t="str">
        <f t="shared" si="2"/>
        <v/>
      </c>
      <c r="G24" s="32"/>
      <c r="H24" s="32" t="str">
        <f t="shared" si="3"/>
        <v/>
      </c>
      <c r="I24" s="33" t="str">
        <f t="shared" si="1"/>
        <v/>
      </c>
      <c r="J24" s="50"/>
      <c r="K24" s="66"/>
    </row>
    <row r="25" spans="1:16" ht="15.6">
      <c r="A25" s="42" t="str">
        <v>NY: Fonda - Montgomery 1 (21601)</v>
      </c>
      <c r="B25" s="43" t="str">
        <v>NY</v>
      </c>
      <c r="C25" s="36"/>
      <c r="D25" s="37"/>
      <c r="E25" s="37" t="str">
        <f t="shared" si="0"/>
        <v/>
      </c>
      <c r="F25" s="38" t="str">
        <f t="shared" si="2"/>
        <v/>
      </c>
      <c r="G25" s="39"/>
      <c r="H25" s="39" t="str">
        <f t="shared" si="3"/>
        <v/>
      </c>
      <c r="I25" s="38" t="str">
        <f t="shared" si="1"/>
        <v/>
      </c>
      <c r="J25" s="51"/>
      <c r="K25" s="52"/>
    </row>
    <row r="26" spans="1:16" ht="15.6">
      <c r="A26" s="44" t="str">
        <v>NY: Evans - SL Evans Array 1 (21106) - (PW)</v>
      </c>
      <c r="B26" s="41" t="str">
        <v>NY</v>
      </c>
      <c r="C26" s="29"/>
      <c r="D26" s="30"/>
      <c r="E26" s="30" t="str">
        <f t="shared" ref="E26:E27" si="4">IF(AND(ISNUMBER(C26),ISNUMBER(D26)), C26-D26, "")</f>
        <v/>
      </c>
      <c r="F26" s="31" t="str">
        <f t="shared" ref="F26:F27" si="5">IFERROR(E26/D26, "")</f>
        <v/>
      </c>
      <c r="G26" s="32"/>
      <c r="H26" s="32" t="str">
        <f t="shared" ref="H26:H27" si="6">IF(AND(ISNUMBER(C26),ISNUMBER(G26)), C26-G26, "")</f>
        <v/>
      </c>
      <c r="I26" s="33" t="str">
        <f t="shared" ref="I26:I27" si="7">IFERROR(H26/G26, "")</f>
        <v/>
      </c>
      <c r="J26" s="50"/>
      <c r="K26" s="66"/>
    </row>
    <row r="27" spans="1:16" ht="15.6">
      <c r="A27" s="42" t="str">
        <v>NY: Evans - SL Evans Array 2 (21107) - (PW)</v>
      </c>
      <c r="B27" s="43" t="str">
        <v>NY</v>
      </c>
      <c r="C27" s="36"/>
      <c r="D27" s="37"/>
      <c r="E27" s="37" t="str">
        <f t="shared" si="4"/>
        <v/>
      </c>
      <c r="F27" s="38" t="str">
        <f t="shared" si="5"/>
        <v/>
      </c>
      <c r="G27" s="39"/>
      <c r="H27" s="39" t="str">
        <f t="shared" si="6"/>
        <v/>
      </c>
      <c r="I27" s="38" t="str">
        <f t="shared" si="7"/>
        <v/>
      </c>
      <c r="J27" s="51"/>
      <c r="K27" s="67"/>
      <c r="L27" s="71"/>
    </row>
    <row r="28" spans="1:16" ht="14.45">
      <c r="A28" s="9" t="str">
        <v>NY: Flushing - 131-21 14th Ave</v>
      </c>
      <c r="B28" s="14" t="str">
        <v>NY</v>
      </c>
      <c r="C28" s="9"/>
      <c r="D28" s="9"/>
      <c r="E28" s="9"/>
      <c r="F28" s="10"/>
      <c r="G28" s="9"/>
      <c r="H28" s="9"/>
      <c r="I28" s="10"/>
      <c r="J28" s="9"/>
      <c r="K28" s="9"/>
    </row>
    <row r="29" spans="1:16" ht="14.45">
      <c r="A29" s="9" t="str">
        <v>NY: Binghamton - Airport Rd (18878) - (PW)</v>
      </c>
      <c r="B29" s="14" t="str">
        <v>NY</v>
      </c>
      <c r="C29" s="9"/>
      <c r="D29" s="9"/>
      <c r="E29" s="9"/>
      <c r="F29" s="10"/>
      <c r="G29" s="9"/>
      <c r="H29" s="9"/>
      <c r="I29" s="10"/>
      <c r="J29" s="9"/>
      <c r="K29" s="9"/>
    </row>
    <row r="30" spans="1:16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6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6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C334" s="9"/>
      <c r="D334" s="9"/>
      <c r="E334" s="9"/>
      <c r="F334" s="10"/>
      <c r="G334" s="9"/>
      <c r="H334" s="9"/>
      <c r="I334" s="10"/>
      <c r="J334" s="9"/>
      <c r="K334" s="9"/>
    </row>
  </sheetData>
  <mergeCells count="4">
    <mergeCell ref="G1:I1"/>
    <mergeCell ref="A1:C1"/>
    <mergeCell ref="D1:F1"/>
    <mergeCell ref="A2:B2"/>
  </mergeCells>
  <conditionalFormatting sqref="F2 I2 F4:F92 I4:I9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O343"/>
  <sheetViews>
    <sheetView zoomScale="50" zoomScaleNormal="50" workbookViewId="0">
      <pane xSplit="2" ySplit="3" topLeftCell="C4" activePane="bottomRight" state="frozen"/>
      <selection pane="bottomRight" activeCell="H36" sqref="H36"/>
      <selection pane="bottomLeft" activeCell="H36" sqref="H36"/>
      <selection pane="topRight" activeCell="H36" sqref="H36"/>
    </sheetView>
  </sheetViews>
  <sheetFormatPr defaultRowHeight="13.9"/>
  <cols>
    <col min="1" max="1" width="35.85546875" bestFit="1" customWidth="1"/>
    <col min="2" max="2" width="8.42578125" style="1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4.85546875" customWidth="1"/>
    <col min="11" max="11" width="20.5703125" bestFit="1" customWidth="1"/>
    <col min="12" max="12" width="20.5703125" customWidth="1"/>
  </cols>
  <sheetData>
    <row r="1" spans="1:14" ht="19.5" customHeight="1">
      <c r="A1" s="100" t="str" cm="1">
        <f t="array" ref="A1">portfolio</f>
        <v>Catalyze</v>
      </c>
      <c r="B1" s="100"/>
      <c r="C1" s="100"/>
      <c r="D1" s="101" t="s">
        <v>109</v>
      </c>
      <c r="E1" s="101"/>
      <c r="F1" s="101"/>
      <c r="G1" s="99" t="s">
        <v>110</v>
      </c>
      <c r="H1" s="99"/>
      <c r="I1" s="99"/>
      <c r="J1" s="4"/>
      <c r="K1" s="4"/>
      <c r="L1" s="70"/>
    </row>
    <row r="2" spans="1:14" ht="19.5" customHeight="1">
      <c r="A2" s="102" t="s">
        <v>2</v>
      </c>
      <c r="B2" s="10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2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70"/>
    </row>
    <row r="3" spans="1:14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21</v>
      </c>
      <c r="K3" s="11" t="s">
        <v>22</v>
      </c>
      <c r="L3" s="11" t="s">
        <v>111</v>
      </c>
    </row>
    <row r="4" spans="1:14" ht="15.6">
      <c r="A4" s="40" t="str" cm="1">
        <f t="array" ref="A4:A29">Sites[Site]</f>
        <v>Fresno - 3150 Shaw Ave</v>
      </c>
      <c r="B4" s="41" t="str" cm="1">
        <f t="array" ref="B4:B29">Sites[State]</f>
        <v>CA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64"/>
      <c r="K4" s="64"/>
      <c r="L4" s="64"/>
    </row>
    <row r="5" spans="1:14" ht="15.6">
      <c r="A5" s="42" t="str">
        <v>Adelanto - 1 Sheep Creek Road</v>
      </c>
      <c r="B5" s="43" t="str">
        <v>CA</v>
      </c>
      <c r="C5" s="36"/>
      <c r="D5" s="37"/>
      <c r="E5" s="37" t="str">
        <f t="shared" ref="E5:E27" si="0">IF(AND(ISNUMBER(C5),ISNUMBER(D5)), C5-D5, "")</f>
        <v/>
      </c>
      <c r="F5" s="38" t="str">
        <f>IFERROR(E5/D5, "")</f>
        <v/>
      </c>
      <c r="G5" s="92"/>
      <c r="H5" s="39" t="str">
        <f t="shared" ref="H5:H27" si="1">IF(AND(ISNUMBER(C5),ISNUMBER(G5)), C5-G5, "")</f>
        <v/>
      </c>
      <c r="I5" s="38" t="str">
        <f t="shared" ref="I5:I27" si="2">IFERROR(H5/G5, "")</f>
        <v/>
      </c>
      <c r="J5" s="59"/>
      <c r="K5" s="59"/>
      <c r="L5" s="59"/>
    </row>
    <row r="6" spans="1:14" ht="15.6">
      <c r="A6" s="44" t="str">
        <v>Blackstone - 83 Federal Street</v>
      </c>
      <c r="B6" s="41" t="str">
        <v>MA</v>
      </c>
      <c r="C6" s="29"/>
      <c r="D6" s="30"/>
      <c r="E6" s="30" t="str">
        <f t="shared" si="0"/>
        <v/>
      </c>
      <c r="F6" s="31" t="str">
        <f t="shared" ref="F6:F27" si="3">IFERROR(E6/D6, "")</f>
        <v/>
      </c>
      <c r="G6" s="32"/>
      <c r="H6" s="32" t="str">
        <f t="shared" si="1"/>
        <v/>
      </c>
      <c r="I6" s="33" t="str">
        <f t="shared" si="2"/>
        <v/>
      </c>
      <c r="J6" s="64"/>
      <c r="K6" s="64"/>
      <c r="L6" s="64"/>
    </row>
    <row r="7" spans="1:14" ht="15.6">
      <c r="A7" s="42" t="str">
        <v>Charlton - 299 Worcester Road</v>
      </c>
      <c r="B7" s="43" t="str">
        <v>MA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9"/>
      <c r="K7" s="58"/>
      <c r="L7" s="59"/>
    </row>
    <row r="8" spans="1:14" ht="15.6">
      <c r="A8" s="44" t="str">
        <v>Wareham - 8 Thatcher Drive</v>
      </c>
      <c r="B8" s="41" t="str">
        <v>MA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64"/>
      <c r="K8" s="64"/>
      <c r="L8" s="64"/>
    </row>
    <row r="9" spans="1:14" ht="15.6">
      <c r="A9" s="42" t="str">
        <v>West Yarmouth - 42 Mid Tech</v>
      </c>
      <c r="B9" s="43" t="str">
        <v>MA</v>
      </c>
      <c r="C9" s="36"/>
      <c r="D9" s="37"/>
      <c r="E9" s="37" t="str">
        <f t="shared" si="0"/>
        <v/>
      </c>
      <c r="F9" s="38" t="str">
        <f t="shared" si="3"/>
        <v/>
      </c>
      <c r="G9" s="39"/>
      <c r="H9" s="39" t="str">
        <f t="shared" si="1"/>
        <v/>
      </c>
      <c r="I9" s="38" t="str">
        <f t="shared" si="2"/>
        <v/>
      </c>
      <c r="J9" s="59"/>
      <c r="K9" s="58"/>
      <c r="L9" s="59"/>
    </row>
    <row r="10" spans="1:14" ht="15.6">
      <c r="A10" s="44" t="str">
        <v>Harrison - 130 Union Street</v>
      </c>
      <c r="B10" s="41" t="str">
        <v>NY</v>
      </c>
      <c r="C10" s="29"/>
      <c r="D10" s="30"/>
      <c r="E10" s="30" t="str">
        <f t="shared" si="0"/>
        <v/>
      </c>
      <c r="F10" s="31" t="str">
        <f t="shared" si="3"/>
        <v/>
      </c>
      <c r="G10" s="32"/>
      <c r="H10" s="32" t="str">
        <f t="shared" si="1"/>
        <v/>
      </c>
      <c r="I10" s="33" t="str">
        <f t="shared" si="2"/>
        <v/>
      </c>
      <c r="J10" s="64"/>
      <c r="K10" s="83"/>
      <c r="L10" s="64"/>
    </row>
    <row r="11" spans="1:14" ht="15.6">
      <c r="A11" s="42" t="str">
        <v>Staten Island - Ellis Storage</v>
      </c>
      <c r="B11" s="43" t="str">
        <v>NY</v>
      </c>
      <c r="C11" s="36"/>
      <c r="D11" s="37"/>
      <c r="E11" s="37" t="str">
        <f t="shared" si="0"/>
        <v/>
      </c>
      <c r="F11" s="38" t="str">
        <f t="shared" si="3"/>
        <v/>
      </c>
      <c r="G11" s="39"/>
      <c r="H11" s="39" t="str">
        <f t="shared" si="1"/>
        <v/>
      </c>
      <c r="I11" s="38" t="str">
        <f t="shared" si="2"/>
        <v/>
      </c>
      <c r="J11" s="59"/>
      <c r="K11" s="58"/>
      <c r="L11" s="59"/>
    </row>
    <row r="12" spans="1:14" ht="28.5" customHeight="1">
      <c r="A12" s="44" t="str">
        <v>Amherst - 595 Schoelles Road</v>
      </c>
      <c r="B12" s="41" t="str">
        <v>NY</v>
      </c>
      <c r="C12" s="29"/>
      <c r="D12" s="30"/>
      <c r="E12" s="30" t="str">
        <f t="shared" si="0"/>
        <v/>
      </c>
      <c r="F12" s="31" t="str">
        <f t="shared" si="3"/>
        <v/>
      </c>
      <c r="G12" s="32"/>
      <c r="H12" s="32" t="str">
        <f t="shared" si="1"/>
        <v/>
      </c>
      <c r="I12" s="33" t="str">
        <f t="shared" si="2"/>
        <v/>
      </c>
      <c r="J12" s="64"/>
      <c r="K12" s="83"/>
      <c r="L12" s="64"/>
      <c r="M12" s="68"/>
    </row>
    <row r="13" spans="1:14" ht="18.75" customHeight="1">
      <c r="A13" s="42" t="str">
        <v>Lancaster 1 - Gunnville Road</v>
      </c>
      <c r="B13" s="43" t="str">
        <v>NY</v>
      </c>
      <c r="C13" s="36"/>
      <c r="D13" s="37"/>
      <c r="E13" s="37" t="str">
        <f t="shared" si="0"/>
        <v/>
      </c>
      <c r="F13" s="38" t="str">
        <f t="shared" si="3"/>
        <v/>
      </c>
      <c r="G13" s="39"/>
      <c r="H13" s="39" t="str">
        <f t="shared" si="1"/>
        <v/>
      </c>
      <c r="I13" s="38" t="str">
        <f t="shared" si="2"/>
        <v/>
      </c>
      <c r="J13" s="59"/>
      <c r="K13" s="67"/>
      <c r="L13" s="59"/>
    </row>
    <row r="14" spans="1:14" ht="15.6">
      <c r="A14" s="44" t="str">
        <v>Lancaster 2 - Shisler Road</v>
      </c>
      <c r="B14" s="41" t="str">
        <v>NY</v>
      </c>
      <c r="C14" s="29"/>
      <c r="D14" s="30"/>
      <c r="E14" s="30" t="str">
        <f t="shared" si="0"/>
        <v/>
      </c>
      <c r="F14" s="31" t="str">
        <f t="shared" si="3"/>
        <v/>
      </c>
      <c r="G14" s="32"/>
      <c r="H14" s="32" t="str">
        <f t="shared" si="1"/>
        <v/>
      </c>
      <c r="I14" s="33" t="str">
        <f t="shared" si="2"/>
        <v/>
      </c>
      <c r="J14" s="64"/>
      <c r="K14" s="83"/>
      <c r="L14" s="64"/>
      <c r="M14" s="68"/>
      <c r="N14" s="68"/>
    </row>
    <row r="15" spans="1:14" ht="15.6">
      <c r="A15" s="42" t="str">
        <v>Fullerton - 200 W Orangethorpe</v>
      </c>
      <c r="B15" s="43" t="str">
        <v>CA</v>
      </c>
      <c r="C15" s="36"/>
      <c r="D15" s="37"/>
      <c r="E15" s="37" t="str">
        <f t="shared" si="0"/>
        <v/>
      </c>
      <c r="F15" s="38" t="str">
        <f t="shared" si="3"/>
        <v/>
      </c>
      <c r="G15" s="39"/>
      <c r="H15" s="39" t="str">
        <f t="shared" si="1"/>
        <v/>
      </c>
      <c r="I15" s="38" t="str">
        <f t="shared" si="2"/>
        <v/>
      </c>
      <c r="J15" s="59"/>
      <c r="K15" s="58"/>
      <c r="L15" s="59"/>
    </row>
    <row r="16" spans="1:14" ht="15.6">
      <c r="A16" s="44" t="str">
        <v>El Paso - 10500 Railroad Drive</v>
      </c>
      <c r="B16" s="41" t="str">
        <v>TX</v>
      </c>
      <c r="C16" s="29"/>
      <c r="D16" s="30"/>
      <c r="E16" s="30" t="str">
        <f t="shared" si="0"/>
        <v/>
      </c>
      <c r="F16" s="31" t="str">
        <f>IFERROR(E16/D16, "")</f>
        <v/>
      </c>
      <c r="G16" s="32"/>
      <c r="H16" s="32" t="str">
        <f t="shared" si="1"/>
        <v/>
      </c>
      <c r="I16" s="33" t="str">
        <f t="shared" si="2"/>
        <v/>
      </c>
      <c r="J16" s="64"/>
      <c r="K16" s="83"/>
      <c r="L16" s="64"/>
    </row>
    <row r="17" spans="1:15" ht="15.6">
      <c r="A17" s="42" t="str">
        <v>Friona - 900 Millard Ave</v>
      </c>
      <c r="B17" s="43" t="str">
        <v>TX</v>
      </c>
      <c r="C17" s="36"/>
      <c r="D17" s="37"/>
      <c r="E17" s="37" t="str">
        <f t="shared" si="0"/>
        <v/>
      </c>
      <c r="F17" s="38" t="str">
        <f t="shared" si="3"/>
        <v/>
      </c>
      <c r="G17" s="39"/>
      <c r="H17" s="39" t="str">
        <f t="shared" si="1"/>
        <v/>
      </c>
      <c r="I17" s="38" t="str">
        <f t="shared" si="2"/>
        <v/>
      </c>
      <c r="J17" s="59"/>
      <c r="K17" s="67"/>
      <c r="L17" s="59"/>
    </row>
    <row r="18" spans="1:15" ht="15.6">
      <c r="A18" s="44" t="str">
        <v>Augusta - 13 York Farm Road</v>
      </c>
      <c r="B18" s="41" t="str">
        <v>ME</v>
      </c>
      <c r="C18" s="29"/>
      <c r="D18" s="30"/>
      <c r="E18" s="30" t="str">
        <f t="shared" si="0"/>
        <v/>
      </c>
      <c r="F18" s="31" t="str">
        <f>IFERROR(E18/D18, "")</f>
        <v/>
      </c>
      <c r="G18" s="32"/>
      <c r="H18" s="32" t="str">
        <f t="shared" si="1"/>
        <v/>
      </c>
      <c r="I18" s="33" t="str">
        <f t="shared" si="2"/>
        <v/>
      </c>
      <c r="J18" s="64"/>
      <c r="K18" s="83"/>
      <c r="L18" s="64"/>
    </row>
    <row r="19" spans="1:15" ht="15.6">
      <c r="A19" s="42" t="str">
        <v xml:space="preserve">Santa Ana - 1441 West </v>
      </c>
      <c r="B19" s="43" t="str">
        <v>CA</v>
      </c>
      <c r="C19" s="36"/>
      <c r="D19" s="37"/>
      <c r="E19" s="37" t="str">
        <f t="shared" si="0"/>
        <v/>
      </c>
      <c r="F19" s="38" t="str">
        <f t="shared" si="3"/>
        <v/>
      </c>
      <c r="G19" s="39"/>
      <c r="H19" s="39" t="str">
        <f t="shared" si="1"/>
        <v/>
      </c>
      <c r="I19" s="38" t="str">
        <f t="shared" si="2"/>
        <v/>
      </c>
      <c r="J19" s="59"/>
      <c r="K19" s="59"/>
      <c r="L19" s="59"/>
    </row>
    <row r="20" spans="1:15" ht="15.6">
      <c r="A20" s="44" t="str">
        <v>Jessup -7950 Oceano Ave</v>
      </c>
      <c r="B20" s="41" t="str">
        <v>MD</v>
      </c>
      <c r="C20" s="29"/>
      <c r="D20" s="30"/>
      <c r="E20" s="30" t="str">
        <f t="shared" si="0"/>
        <v/>
      </c>
      <c r="F20" s="31" t="str">
        <f t="shared" si="3"/>
        <v/>
      </c>
      <c r="G20" s="32"/>
      <c r="H20" s="32" t="str">
        <f t="shared" si="1"/>
        <v/>
      </c>
      <c r="I20" s="33" t="str">
        <f t="shared" si="2"/>
        <v/>
      </c>
      <c r="J20" s="64"/>
      <c r="K20" s="83"/>
      <c r="L20" s="64"/>
      <c r="M20" s="68"/>
      <c r="N20" s="68"/>
      <c r="O20" s="68"/>
    </row>
    <row r="21" spans="1:15" ht="15.6">
      <c r="A21" s="42" t="str">
        <v xml:space="preserve">TX: Fort Worth - 5200 Gold Spike Dr </v>
      </c>
      <c r="B21" s="43" t="str">
        <v>TX</v>
      </c>
      <c r="C21" s="36"/>
      <c r="D21" s="37"/>
      <c r="E21" s="37" t="str">
        <f t="shared" si="0"/>
        <v/>
      </c>
      <c r="F21" s="38" t="str">
        <f t="shared" si="3"/>
        <v/>
      </c>
      <c r="G21" s="39"/>
      <c r="H21" s="39" t="str">
        <f t="shared" si="1"/>
        <v/>
      </c>
      <c r="I21" s="38" t="str">
        <f t="shared" si="2"/>
        <v/>
      </c>
      <c r="J21" s="59"/>
      <c r="K21" s="67"/>
      <c r="L21" s="59"/>
    </row>
    <row r="22" spans="1:15" ht="15.6">
      <c r="A22" s="44" t="str">
        <v>NY: Clifton Springs - Ontario 2 (21597)</v>
      </c>
      <c r="B22" s="41" t="str">
        <v>NY</v>
      </c>
      <c r="C22" s="29"/>
      <c r="D22" s="30"/>
      <c r="E22" s="30" t="str">
        <f t="shared" si="0"/>
        <v/>
      </c>
      <c r="F22" s="31" t="str">
        <f t="shared" si="3"/>
        <v/>
      </c>
      <c r="G22" s="32"/>
      <c r="H22" s="32" t="str">
        <f t="shared" si="1"/>
        <v/>
      </c>
      <c r="I22" s="33" t="str">
        <f t="shared" si="2"/>
        <v/>
      </c>
      <c r="J22" s="64"/>
      <c r="K22" s="64"/>
      <c r="L22" s="64"/>
    </row>
    <row r="23" spans="1:15" ht="15.6">
      <c r="A23" s="42" t="str">
        <v>CA: Oxnard - 2600 Sakioka - System A</v>
      </c>
      <c r="B23" s="43" t="str">
        <v>CA</v>
      </c>
      <c r="C23" s="36"/>
      <c r="D23" s="37"/>
      <c r="E23" s="37" t="str">
        <f t="shared" si="0"/>
        <v/>
      </c>
      <c r="F23" s="38" t="str">
        <f t="shared" si="3"/>
        <v/>
      </c>
      <c r="G23" s="39"/>
      <c r="H23" s="39" t="str">
        <f t="shared" si="1"/>
        <v/>
      </c>
      <c r="I23" s="38" t="str">
        <f t="shared" si="2"/>
        <v/>
      </c>
      <c r="J23" s="59"/>
      <c r="K23" s="59"/>
      <c r="L23" s="59"/>
    </row>
    <row r="24" spans="1:15" ht="15.6">
      <c r="A24" s="44" t="str">
        <v>CA: Oxnard - 2600 Sakioka - System B</v>
      </c>
      <c r="B24" s="41" t="str">
        <v>CA</v>
      </c>
      <c r="C24" s="29"/>
      <c r="D24" s="30"/>
      <c r="E24" s="30" t="str">
        <f t="shared" si="0"/>
        <v/>
      </c>
      <c r="F24" s="31" t="str">
        <f t="shared" si="3"/>
        <v/>
      </c>
      <c r="G24" s="32"/>
      <c r="H24" s="32" t="str">
        <f t="shared" si="1"/>
        <v/>
      </c>
      <c r="I24" s="33" t="str">
        <f t="shared" si="2"/>
        <v/>
      </c>
      <c r="J24" s="64"/>
      <c r="K24" s="83"/>
      <c r="L24" s="64"/>
    </row>
    <row r="25" spans="1:15" ht="15.6">
      <c r="A25" s="42" t="str">
        <v>NY: Fonda - Montgomery 1 (21601)</v>
      </c>
      <c r="B25" s="43" t="str">
        <v>NY</v>
      </c>
      <c r="C25" s="36"/>
      <c r="D25" s="37"/>
      <c r="E25" s="37" t="str">
        <f t="shared" si="0"/>
        <v/>
      </c>
      <c r="F25" s="38" t="str">
        <f t="shared" si="3"/>
        <v/>
      </c>
      <c r="G25" s="39"/>
      <c r="H25" s="39" t="str">
        <f t="shared" si="1"/>
        <v/>
      </c>
      <c r="I25" s="38" t="str">
        <f t="shared" si="2"/>
        <v/>
      </c>
      <c r="J25" s="59"/>
      <c r="K25" s="67"/>
      <c r="L25" s="59"/>
    </row>
    <row r="26" spans="1:15" ht="15.6">
      <c r="A26" s="44" t="str">
        <v>NY: Evans - SL Evans Array 1 (21106) - (PW)</v>
      </c>
      <c r="B26" s="41" t="str">
        <v>NY</v>
      </c>
      <c r="C26" s="29"/>
      <c r="D26" s="30"/>
      <c r="E26" s="30" t="str">
        <f t="shared" si="0"/>
        <v/>
      </c>
      <c r="F26" s="31" t="str">
        <f t="shared" si="3"/>
        <v/>
      </c>
      <c r="G26" s="32"/>
      <c r="H26" s="32" t="str">
        <f t="shared" si="1"/>
        <v/>
      </c>
      <c r="I26" s="33" t="str">
        <f t="shared" si="2"/>
        <v/>
      </c>
      <c r="J26" s="64"/>
      <c r="K26" s="83"/>
      <c r="L26" s="64"/>
      <c r="M26" s="68"/>
    </row>
    <row r="27" spans="1:15" ht="15.6">
      <c r="A27" s="42" t="str">
        <v>NY: Evans - SL Evans Array 2 (21107) - (PW)</v>
      </c>
      <c r="B27" s="43" t="str">
        <v>NY</v>
      </c>
      <c r="C27" s="36"/>
      <c r="D27" s="37"/>
      <c r="E27" s="37" t="str">
        <f t="shared" si="0"/>
        <v/>
      </c>
      <c r="F27" s="38" t="str">
        <f t="shared" si="3"/>
        <v/>
      </c>
      <c r="G27" s="39"/>
      <c r="H27" s="39" t="str">
        <f t="shared" si="1"/>
        <v/>
      </c>
      <c r="I27" s="38" t="str">
        <f t="shared" si="2"/>
        <v/>
      </c>
      <c r="J27" s="59"/>
      <c r="K27" s="67"/>
      <c r="L27" s="59"/>
      <c r="M27" s="68"/>
      <c r="N27" s="68"/>
    </row>
    <row r="28" spans="1:15" ht="14.45">
      <c r="A28" s="9" t="str">
        <v>NY: Flushing - 131-21 14th Ave</v>
      </c>
      <c r="B28" s="14" t="str">
        <v>NY</v>
      </c>
      <c r="C28" s="9"/>
      <c r="D28" s="9"/>
      <c r="E28" s="9"/>
      <c r="F28" s="10"/>
      <c r="G28" s="9"/>
      <c r="H28" s="9"/>
      <c r="I28" s="10"/>
      <c r="J28" s="9"/>
      <c r="K28" s="9"/>
      <c r="L28" s="70"/>
    </row>
    <row r="29" spans="1:15" ht="14.45">
      <c r="A29" s="9" t="str">
        <v>NY: Binghamton - Airport Rd (18878) - (PW)</v>
      </c>
      <c r="B29" s="14" t="str">
        <v>NY</v>
      </c>
      <c r="C29" s="9"/>
      <c r="D29" s="9"/>
      <c r="E29" s="9"/>
      <c r="F29" s="10"/>
      <c r="G29" s="9"/>
      <c r="H29" s="9"/>
      <c r="I29" s="10"/>
      <c r="J29" s="9"/>
      <c r="K29" s="9"/>
      <c r="L29" s="70"/>
    </row>
    <row r="30" spans="1:15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  <c r="L30" s="95"/>
    </row>
    <row r="31" spans="1:15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  <c r="L31" s="70"/>
    </row>
    <row r="32" spans="1:15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  <c r="L32" s="95"/>
    </row>
    <row r="33" spans="1:12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  <c r="L33" s="95"/>
    </row>
    <row r="34" spans="1:12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  <c r="L34" s="95"/>
    </row>
    <row r="35" spans="1:12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  <c r="L35" s="95"/>
    </row>
    <row r="36" spans="1:12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  <c r="L36" s="95"/>
    </row>
    <row r="37" spans="1:12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  <c r="L37" s="70"/>
    </row>
    <row r="38" spans="1:12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  <c r="L38" s="70"/>
    </row>
    <row r="39" spans="1:12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  <c r="L39" s="70"/>
    </row>
    <row r="40" spans="1:12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  <c r="L40" s="70"/>
    </row>
    <row r="41" spans="1:12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  <c r="L41" s="70"/>
    </row>
    <row r="42" spans="1:12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  <c r="L42" s="70"/>
    </row>
    <row r="43" spans="1:12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  <c r="L43" s="70"/>
    </row>
    <row r="44" spans="1:12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  <c r="L44" s="70"/>
    </row>
    <row r="45" spans="1:12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  <c r="L45" s="70"/>
    </row>
    <row r="46" spans="1:12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  <c r="L46" s="70"/>
    </row>
    <row r="47" spans="1:12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  <c r="L47" s="70"/>
    </row>
    <row r="48" spans="1:12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  <c r="L48" s="70"/>
    </row>
    <row r="49" spans="1:12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  <c r="L49" s="70"/>
    </row>
    <row r="50" spans="1:12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  <c r="L50" s="70"/>
    </row>
    <row r="51" spans="1:12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  <c r="L51" s="70"/>
    </row>
    <row r="52" spans="1:12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  <c r="L52" s="70"/>
    </row>
    <row r="53" spans="1:12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  <c r="L53" s="70"/>
    </row>
    <row r="54" spans="1:12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  <c r="L54" s="70"/>
    </row>
    <row r="55" spans="1:12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  <c r="L55" s="70"/>
    </row>
    <row r="56" spans="1:12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  <c r="L56" s="70"/>
    </row>
    <row r="57" spans="1:12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  <c r="L57" s="70"/>
    </row>
    <row r="58" spans="1:12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  <c r="L58" s="70"/>
    </row>
    <row r="59" spans="1:12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  <c r="L59" s="70"/>
    </row>
    <row r="60" spans="1:12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  <c r="L60" s="70"/>
    </row>
    <row r="61" spans="1:12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  <c r="L61" s="70"/>
    </row>
    <row r="62" spans="1:12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  <c r="L62" s="70"/>
    </row>
    <row r="63" spans="1:12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  <c r="L63" s="70"/>
    </row>
    <row r="64" spans="1:12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  <c r="L64" s="70"/>
    </row>
    <row r="65" spans="1:12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  <c r="L65" s="70"/>
    </row>
    <row r="66" spans="1:12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  <c r="L66" s="70"/>
    </row>
    <row r="67" spans="1:12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  <c r="L67" s="70"/>
    </row>
    <row r="68" spans="1:12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  <c r="L68" s="70"/>
    </row>
    <row r="69" spans="1:12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  <c r="L69" s="70"/>
    </row>
    <row r="70" spans="1:12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  <c r="L70" s="70"/>
    </row>
    <row r="71" spans="1:12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  <c r="L71" s="70"/>
    </row>
    <row r="72" spans="1:12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  <c r="L72" s="70"/>
    </row>
    <row r="73" spans="1:12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  <c r="L73" s="70"/>
    </row>
    <row r="74" spans="1:12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  <c r="L74" s="70"/>
    </row>
    <row r="75" spans="1:12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  <c r="L75" s="70"/>
    </row>
    <row r="76" spans="1:12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  <c r="L76" s="70"/>
    </row>
    <row r="77" spans="1:12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  <c r="L77" s="70"/>
    </row>
    <row r="78" spans="1:12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  <c r="L78" s="70"/>
    </row>
    <row r="79" spans="1:12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  <c r="L79" s="70"/>
    </row>
    <row r="80" spans="1:12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  <c r="L80" s="70"/>
    </row>
    <row r="81" spans="1:12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  <c r="L81" s="70"/>
    </row>
    <row r="82" spans="1:12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  <c r="L82" s="70"/>
    </row>
    <row r="83" spans="1:12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  <c r="L83" s="70"/>
    </row>
    <row r="84" spans="1:12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  <c r="L84" s="70"/>
    </row>
    <row r="85" spans="1:12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  <c r="L85" s="70"/>
    </row>
    <row r="86" spans="1:12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  <c r="L86" s="70"/>
    </row>
    <row r="87" spans="1:12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  <c r="L87" s="70"/>
    </row>
    <row r="88" spans="1:12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  <c r="L88" s="70"/>
    </row>
    <row r="89" spans="1:12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  <c r="L89" s="70"/>
    </row>
    <row r="90" spans="1:12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  <c r="L90" s="70"/>
    </row>
    <row r="91" spans="1:12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  <c r="L91" s="70"/>
    </row>
    <row r="92" spans="1:12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  <c r="L92" s="70"/>
    </row>
    <row r="93" spans="1:12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  <c r="L93" s="70"/>
    </row>
    <row r="94" spans="1:12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  <c r="L94" s="70"/>
    </row>
    <row r="95" spans="1:12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  <c r="L95" s="70"/>
    </row>
    <row r="96" spans="1:12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  <c r="L96" s="70"/>
    </row>
    <row r="97" spans="1:12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  <c r="L97" s="70"/>
    </row>
    <row r="98" spans="1:12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  <c r="L98" s="70"/>
    </row>
    <row r="99" spans="1:12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  <c r="L99" s="70"/>
    </row>
    <row r="100" spans="1:12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  <c r="L100" s="70"/>
    </row>
    <row r="101" spans="1:12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  <c r="L101" s="70"/>
    </row>
    <row r="102" spans="1:12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  <c r="L102" s="70"/>
    </row>
    <row r="103" spans="1:12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  <c r="L103" s="70"/>
    </row>
    <row r="104" spans="1:12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  <c r="L104" s="70"/>
    </row>
    <row r="105" spans="1:12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  <c r="L105" s="70"/>
    </row>
    <row r="106" spans="1:12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  <c r="L106" s="70"/>
    </row>
    <row r="107" spans="1:12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  <c r="L107" s="70"/>
    </row>
    <row r="108" spans="1:12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  <c r="L108" s="70"/>
    </row>
    <row r="109" spans="1:12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  <c r="L109" s="70"/>
    </row>
    <row r="110" spans="1:12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  <c r="L110" s="70"/>
    </row>
    <row r="111" spans="1:12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  <c r="L111" s="70"/>
    </row>
    <row r="112" spans="1:12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  <c r="L112" s="70"/>
    </row>
    <row r="113" spans="1:12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  <c r="L113" s="70"/>
    </row>
    <row r="114" spans="1:12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  <c r="L114" s="70"/>
    </row>
    <row r="115" spans="1:12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  <c r="L115" s="70"/>
    </row>
    <row r="116" spans="1:12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  <c r="L116" s="70"/>
    </row>
    <row r="117" spans="1:12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  <c r="L117" s="70"/>
    </row>
    <row r="118" spans="1:12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  <c r="L118" s="70"/>
    </row>
    <row r="119" spans="1:12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  <c r="L119" s="70"/>
    </row>
    <row r="120" spans="1:12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  <c r="L120" s="70"/>
    </row>
    <row r="121" spans="1:12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  <c r="L121" s="70"/>
    </row>
    <row r="122" spans="1:12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  <c r="L122" s="70"/>
    </row>
    <row r="123" spans="1:12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  <c r="L123" s="70"/>
    </row>
    <row r="124" spans="1:12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  <c r="L124" s="70"/>
    </row>
    <row r="125" spans="1:12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  <c r="L125" s="70"/>
    </row>
    <row r="126" spans="1:12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  <c r="L126" s="70"/>
    </row>
    <row r="127" spans="1:12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  <c r="L127" s="70"/>
    </row>
    <row r="128" spans="1:12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  <c r="L128" s="70"/>
    </row>
    <row r="129" spans="1:12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  <c r="L129" s="70"/>
    </row>
    <row r="130" spans="1:12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  <c r="L130" s="70"/>
    </row>
    <row r="131" spans="1:12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  <c r="L131" s="70"/>
    </row>
    <row r="132" spans="1:12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  <c r="L132" s="70"/>
    </row>
    <row r="133" spans="1:12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  <c r="L133" s="70"/>
    </row>
    <row r="134" spans="1:12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  <c r="L134" s="70"/>
    </row>
    <row r="135" spans="1:12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  <c r="L135" s="70"/>
    </row>
    <row r="136" spans="1:12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  <c r="L136" s="70"/>
    </row>
    <row r="137" spans="1:12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  <c r="L137" s="70"/>
    </row>
    <row r="138" spans="1:12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  <c r="L138" s="70"/>
    </row>
    <row r="139" spans="1:12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  <c r="L139" s="70"/>
    </row>
    <row r="140" spans="1:12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  <c r="L140" s="70"/>
    </row>
    <row r="141" spans="1:12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  <c r="L141" s="70"/>
    </row>
    <row r="142" spans="1:12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  <c r="L142" s="70"/>
    </row>
    <row r="143" spans="1:12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  <c r="L143" s="70"/>
    </row>
    <row r="144" spans="1:12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  <c r="L144" s="70"/>
    </row>
    <row r="145" spans="1:12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  <c r="L145" s="70"/>
    </row>
    <row r="146" spans="1:12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  <c r="L146" s="70"/>
    </row>
    <row r="147" spans="1:12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  <c r="L147" s="70"/>
    </row>
    <row r="148" spans="1:12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  <c r="L148" s="70"/>
    </row>
    <row r="149" spans="1:12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  <c r="L149" s="70"/>
    </row>
    <row r="150" spans="1:12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  <c r="L150" s="70"/>
    </row>
    <row r="151" spans="1:12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  <c r="L151" s="70"/>
    </row>
    <row r="152" spans="1:12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  <c r="L152" s="70"/>
    </row>
    <row r="153" spans="1:12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  <c r="L153" s="70"/>
    </row>
    <row r="154" spans="1:12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  <c r="L154" s="70"/>
    </row>
    <row r="155" spans="1:12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  <c r="L155" s="70"/>
    </row>
    <row r="156" spans="1:12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  <c r="L156" s="70"/>
    </row>
    <row r="157" spans="1:12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  <c r="L157" s="70"/>
    </row>
    <row r="158" spans="1:12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  <c r="L158" s="70"/>
    </row>
    <row r="159" spans="1:12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  <c r="L159" s="70"/>
    </row>
    <row r="160" spans="1:12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  <c r="L160" s="70"/>
    </row>
    <row r="161" spans="1:12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  <c r="L161" s="70"/>
    </row>
    <row r="162" spans="1:12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  <c r="L162" s="70"/>
    </row>
    <row r="163" spans="1:12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  <c r="L163" s="70"/>
    </row>
    <row r="164" spans="1:12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  <c r="L164" s="70"/>
    </row>
    <row r="165" spans="1:12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  <c r="L165" s="70"/>
    </row>
    <row r="166" spans="1:12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  <c r="L166" s="70"/>
    </row>
    <row r="167" spans="1:12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  <c r="L167" s="70"/>
    </row>
    <row r="168" spans="1:12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  <c r="L168" s="70"/>
    </row>
    <row r="169" spans="1:12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  <c r="L169" s="70"/>
    </row>
    <row r="170" spans="1:12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  <c r="L170" s="70"/>
    </row>
    <row r="171" spans="1:12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  <c r="L171" s="70"/>
    </row>
    <row r="172" spans="1:12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  <c r="L172" s="70"/>
    </row>
    <row r="173" spans="1:12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  <c r="L173" s="70"/>
    </row>
    <row r="174" spans="1:12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  <c r="L174" s="70"/>
    </row>
    <row r="175" spans="1:12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  <c r="L175" s="70"/>
    </row>
    <row r="176" spans="1:12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  <c r="L176" s="70"/>
    </row>
    <row r="177" spans="1:12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  <c r="L177" s="70"/>
    </row>
    <row r="178" spans="1:12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  <c r="L178" s="70"/>
    </row>
    <row r="179" spans="1:12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  <c r="L179" s="70"/>
    </row>
    <row r="180" spans="1:12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  <c r="L180" s="70"/>
    </row>
    <row r="181" spans="1:12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  <c r="L181" s="70"/>
    </row>
    <row r="182" spans="1:12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  <c r="L182" s="70"/>
    </row>
    <row r="183" spans="1:12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  <c r="L183" s="70"/>
    </row>
    <row r="184" spans="1:12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  <c r="L184" s="70"/>
    </row>
    <row r="185" spans="1:12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  <c r="L185" s="70"/>
    </row>
    <row r="186" spans="1:12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  <c r="L186" s="70"/>
    </row>
    <row r="187" spans="1:12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  <c r="L187" s="70"/>
    </row>
    <row r="188" spans="1:12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  <c r="L188" s="70"/>
    </row>
    <row r="189" spans="1:12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  <c r="L189" s="70"/>
    </row>
    <row r="190" spans="1:12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  <c r="L190" s="70"/>
    </row>
    <row r="191" spans="1:12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  <c r="L191" s="70"/>
    </row>
    <row r="192" spans="1:12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  <c r="L192" s="70"/>
    </row>
    <row r="193" spans="1:12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  <c r="L193" s="70"/>
    </row>
    <row r="194" spans="1:12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  <c r="L194" s="70"/>
    </row>
    <row r="195" spans="1:12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  <c r="L195" s="70"/>
    </row>
    <row r="196" spans="1:12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  <c r="L196" s="70"/>
    </row>
    <row r="197" spans="1:12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  <c r="L197" s="70"/>
    </row>
    <row r="198" spans="1:12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  <c r="L198" s="70"/>
    </row>
    <row r="199" spans="1:12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  <c r="L199" s="70"/>
    </row>
    <row r="200" spans="1:12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  <c r="L200" s="70"/>
    </row>
    <row r="201" spans="1:12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  <c r="L201" s="70"/>
    </row>
    <row r="202" spans="1:12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  <c r="L202" s="70"/>
    </row>
    <row r="203" spans="1:12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  <c r="L203" s="70"/>
    </row>
    <row r="204" spans="1:12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  <c r="L204" s="70"/>
    </row>
    <row r="205" spans="1:12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  <c r="L205" s="70"/>
    </row>
    <row r="206" spans="1:12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  <c r="L206" s="70"/>
    </row>
    <row r="207" spans="1:12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  <c r="L207" s="70"/>
    </row>
    <row r="208" spans="1:12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  <c r="L208" s="70"/>
    </row>
    <row r="209" spans="1:12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  <c r="L209" s="70"/>
    </row>
    <row r="210" spans="1:12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  <c r="L210" s="70"/>
    </row>
    <row r="211" spans="1:12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  <c r="L211" s="70"/>
    </row>
    <row r="212" spans="1:12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  <c r="L212" s="70"/>
    </row>
    <row r="213" spans="1:12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  <c r="L213" s="70"/>
    </row>
    <row r="214" spans="1:12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  <c r="L214" s="70"/>
    </row>
    <row r="215" spans="1:12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  <c r="L215" s="70"/>
    </row>
    <row r="216" spans="1:12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  <c r="L216" s="70"/>
    </row>
    <row r="217" spans="1:12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  <c r="L217" s="70"/>
    </row>
    <row r="218" spans="1:12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  <c r="L218" s="70"/>
    </row>
    <row r="219" spans="1:12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  <c r="L219" s="70"/>
    </row>
    <row r="220" spans="1:12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  <c r="L220" s="70"/>
    </row>
    <row r="221" spans="1:12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  <c r="L221" s="70"/>
    </row>
    <row r="222" spans="1:12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  <c r="L222" s="70"/>
    </row>
    <row r="223" spans="1:12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  <c r="L223" s="70"/>
    </row>
    <row r="224" spans="1:12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  <c r="L224" s="70"/>
    </row>
    <row r="225" spans="1:12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  <c r="L225" s="70"/>
    </row>
    <row r="226" spans="1:12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  <c r="L226" s="70"/>
    </row>
    <row r="227" spans="1:12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  <c r="L227" s="70"/>
    </row>
    <row r="228" spans="1:12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  <c r="L228" s="70"/>
    </row>
    <row r="229" spans="1:12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  <c r="L229" s="70"/>
    </row>
    <row r="230" spans="1:12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  <c r="L230" s="70"/>
    </row>
    <row r="231" spans="1:12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  <c r="L231" s="70"/>
    </row>
    <row r="232" spans="1:12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  <c r="L232" s="70"/>
    </row>
    <row r="233" spans="1:12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  <c r="L233" s="70"/>
    </row>
    <row r="234" spans="1:12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  <c r="L234" s="70"/>
    </row>
    <row r="235" spans="1:12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  <c r="L235" s="70"/>
    </row>
    <row r="236" spans="1:12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  <c r="L236" s="70"/>
    </row>
    <row r="237" spans="1:12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  <c r="L237" s="70"/>
    </row>
    <row r="238" spans="1:12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  <c r="L238" s="70"/>
    </row>
    <row r="239" spans="1:12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  <c r="L239" s="70"/>
    </row>
    <row r="240" spans="1:12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  <c r="L240" s="70"/>
    </row>
    <row r="241" spans="1:12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  <c r="L241" s="70"/>
    </row>
    <row r="242" spans="1:12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  <c r="L242" s="70"/>
    </row>
    <row r="243" spans="1:12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  <c r="L243" s="70"/>
    </row>
    <row r="244" spans="1:12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  <c r="L244" s="70"/>
    </row>
    <row r="245" spans="1:12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  <c r="L245" s="70"/>
    </row>
    <row r="246" spans="1:12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  <c r="L246" s="70"/>
    </row>
    <row r="247" spans="1:12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  <c r="L247" s="70"/>
    </row>
    <row r="248" spans="1:12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  <c r="L248" s="70"/>
    </row>
    <row r="249" spans="1:12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  <c r="L249" s="70"/>
    </row>
    <row r="250" spans="1:12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  <c r="L250" s="70"/>
    </row>
    <row r="251" spans="1:12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  <c r="L251" s="70"/>
    </row>
    <row r="252" spans="1:12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  <c r="L252" s="70"/>
    </row>
    <row r="253" spans="1:12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  <c r="L253" s="70"/>
    </row>
    <row r="254" spans="1:12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  <c r="L254" s="70"/>
    </row>
    <row r="255" spans="1:12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  <c r="L255" s="70"/>
    </row>
    <row r="256" spans="1:12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  <c r="L256" s="70"/>
    </row>
    <row r="257" spans="1:12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  <c r="L257" s="70"/>
    </row>
    <row r="258" spans="1:12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  <c r="L258" s="70"/>
    </row>
    <row r="259" spans="1:12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  <c r="L259" s="70"/>
    </row>
    <row r="260" spans="1:12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  <c r="L260" s="70"/>
    </row>
    <row r="261" spans="1:12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  <c r="L261" s="70"/>
    </row>
    <row r="262" spans="1:12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  <c r="L262" s="70"/>
    </row>
    <row r="263" spans="1:12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  <c r="L263" s="70"/>
    </row>
    <row r="264" spans="1:12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  <c r="L264" s="70"/>
    </row>
    <row r="265" spans="1:12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  <c r="L265" s="70"/>
    </row>
    <row r="266" spans="1:12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  <c r="L266" s="70"/>
    </row>
    <row r="267" spans="1:12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  <c r="L267" s="70"/>
    </row>
    <row r="268" spans="1:12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  <c r="L268" s="70"/>
    </row>
    <row r="269" spans="1:12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  <c r="L269" s="70"/>
    </row>
    <row r="270" spans="1:12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  <c r="L270" s="70"/>
    </row>
    <row r="271" spans="1:12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  <c r="L271" s="70"/>
    </row>
    <row r="272" spans="1:12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  <c r="L272" s="70"/>
    </row>
    <row r="273" spans="1:12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  <c r="L273" s="70"/>
    </row>
    <row r="274" spans="1:12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  <c r="L274" s="70"/>
    </row>
    <row r="275" spans="1:12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  <c r="L275" s="70"/>
    </row>
    <row r="276" spans="1:12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  <c r="L276" s="70"/>
    </row>
    <row r="277" spans="1:12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  <c r="L277" s="70"/>
    </row>
    <row r="278" spans="1:12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  <c r="L278" s="70"/>
    </row>
    <row r="279" spans="1:12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  <c r="L279" s="70"/>
    </row>
    <row r="280" spans="1:12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  <c r="L280" s="70"/>
    </row>
    <row r="281" spans="1:12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  <c r="L281" s="70"/>
    </row>
    <row r="282" spans="1:12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  <c r="L282" s="70"/>
    </row>
    <row r="283" spans="1:12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  <c r="L283" s="70"/>
    </row>
    <row r="284" spans="1:12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  <c r="L284" s="70"/>
    </row>
    <row r="285" spans="1:12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  <c r="L285" s="70"/>
    </row>
    <row r="286" spans="1:12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  <c r="L286" s="70"/>
    </row>
    <row r="287" spans="1:12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  <c r="L287" s="70"/>
    </row>
    <row r="288" spans="1:12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  <c r="L288" s="70"/>
    </row>
    <row r="289" spans="1:12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  <c r="L289" s="70"/>
    </row>
    <row r="290" spans="1:12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  <c r="L290" s="70"/>
    </row>
    <row r="291" spans="1:12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  <c r="L291" s="70"/>
    </row>
    <row r="292" spans="1:12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  <c r="L292" s="70"/>
    </row>
    <row r="293" spans="1:12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  <c r="L293" s="70"/>
    </row>
    <row r="294" spans="1:12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  <c r="L294" s="70"/>
    </row>
    <row r="295" spans="1:12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  <c r="L295" s="70"/>
    </row>
    <row r="296" spans="1:12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  <c r="L296" s="70"/>
    </row>
    <row r="297" spans="1:12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  <c r="L297" s="70"/>
    </row>
    <row r="298" spans="1:12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  <c r="L298" s="70"/>
    </row>
    <row r="299" spans="1:12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  <c r="L299" s="70"/>
    </row>
    <row r="300" spans="1:12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  <c r="L300" s="70"/>
    </row>
    <row r="301" spans="1:12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  <c r="L301" s="70"/>
    </row>
    <row r="302" spans="1:12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  <c r="L302" s="70"/>
    </row>
    <row r="303" spans="1:12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  <c r="L303" s="70"/>
    </row>
    <row r="304" spans="1:12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  <c r="L304" s="70"/>
    </row>
    <row r="305" spans="1:12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  <c r="L305" s="70"/>
    </row>
    <row r="306" spans="1:12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  <c r="L306" s="70"/>
    </row>
    <row r="307" spans="1:12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  <c r="L307" s="70"/>
    </row>
    <row r="308" spans="1:12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  <c r="L308" s="70"/>
    </row>
    <row r="309" spans="1:12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  <c r="L309" s="70"/>
    </row>
    <row r="310" spans="1:12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  <c r="L310" s="70"/>
    </row>
    <row r="311" spans="1:12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  <c r="L311" s="70"/>
    </row>
    <row r="312" spans="1:12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  <c r="L312" s="70"/>
    </row>
    <row r="313" spans="1:12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  <c r="L313" s="70"/>
    </row>
    <row r="314" spans="1:12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  <c r="L314" s="70"/>
    </row>
    <row r="315" spans="1:12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  <c r="L315" s="70"/>
    </row>
    <row r="316" spans="1:12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  <c r="L316" s="70"/>
    </row>
    <row r="317" spans="1:12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  <c r="L317" s="70"/>
    </row>
    <row r="318" spans="1:12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  <c r="L318" s="70"/>
    </row>
    <row r="319" spans="1:12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  <c r="L319" s="70"/>
    </row>
    <row r="320" spans="1:12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  <c r="L320" s="70"/>
    </row>
    <row r="321" spans="1:12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  <c r="L321" s="70"/>
    </row>
    <row r="322" spans="1:12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  <c r="L322" s="70"/>
    </row>
    <row r="323" spans="1:12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  <c r="L323" s="70"/>
    </row>
    <row r="324" spans="1:12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  <c r="L324" s="70"/>
    </row>
    <row r="325" spans="1:12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  <c r="L325" s="70"/>
    </row>
    <row r="326" spans="1:12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  <c r="L326" s="70"/>
    </row>
    <row r="327" spans="1:12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  <c r="L327" s="70"/>
    </row>
    <row r="328" spans="1:12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  <c r="L328" s="70"/>
    </row>
    <row r="329" spans="1:12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  <c r="L329" s="70"/>
    </row>
    <row r="330" spans="1:12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  <c r="L330" s="70"/>
    </row>
    <row r="331" spans="1:12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  <c r="L331" s="70"/>
    </row>
    <row r="332" spans="1:12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  <c r="L332" s="70"/>
    </row>
    <row r="333" spans="1:12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  <c r="L333" s="70"/>
    </row>
    <row r="334" spans="1:12" ht="14.45">
      <c r="C334" s="9"/>
      <c r="D334" s="9"/>
      <c r="E334" s="9"/>
      <c r="F334" s="10"/>
      <c r="G334" s="9"/>
      <c r="H334" s="9"/>
      <c r="I334" s="10"/>
      <c r="J334" s="9"/>
      <c r="K334" s="9"/>
      <c r="L334" s="70"/>
    </row>
    <row r="335" spans="1:12">
      <c r="L335" s="70"/>
    </row>
    <row r="336" spans="1:12">
      <c r="L336" s="70"/>
    </row>
    <row r="337" spans="12:12">
      <c r="L337" s="70"/>
    </row>
    <row r="338" spans="12:12">
      <c r="L338" s="70"/>
    </row>
    <row r="339" spans="12:12">
      <c r="L339" s="70"/>
    </row>
    <row r="340" spans="12:12">
      <c r="L340" s="70"/>
    </row>
    <row r="341" spans="12:12">
      <c r="L341" s="70"/>
    </row>
    <row r="342" spans="12:12">
      <c r="L342" s="70"/>
    </row>
    <row r="343" spans="12:12">
      <c r="L343" s="70"/>
    </row>
  </sheetData>
  <mergeCells count="4">
    <mergeCell ref="G1:I1"/>
    <mergeCell ref="A1:C1"/>
    <mergeCell ref="D1:F1"/>
    <mergeCell ref="A2:B2"/>
  </mergeCells>
  <conditionalFormatting sqref="F2 I2 F4:F92 I4:I9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O334"/>
  <sheetViews>
    <sheetView zoomScale="50" zoomScaleNormal="50" workbookViewId="0">
      <pane xSplit="2" ySplit="3" topLeftCell="C20" activePane="bottomRight" state="frozen"/>
      <selection pane="bottomRight" activeCell="H36" sqref="H36"/>
      <selection pane="bottomLeft" activeCell="H36" sqref="H36"/>
      <selection pane="topRight" activeCell="H36" sqref="H36"/>
    </sheetView>
  </sheetViews>
  <sheetFormatPr defaultRowHeight="13.9"/>
  <cols>
    <col min="1" max="1" width="35.85546875" bestFit="1" customWidth="1"/>
    <col min="2" max="2" width="8.42578125" style="1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14.85546875" customWidth="1"/>
    <col min="13" max="15" width="9.140625" style="96"/>
  </cols>
  <sheetData>
    <row r="1" spans="1:13" ht="19.5" customHeight="1">
      <c r="A1" s="100" t="str" cm="1">
        <f t="array" ref="A1">portfolio</f>
        <v>Catalyze</v>
      </c>
      <c r="B1" s="100"/>
      <c r="C1" s="100"/>
      <c r="D1" s="101" t="s">
        <v>112</v>
      </c>
      <c r="E1" s="101"/>
      <c r="F1" s="101"/>
      <c r="G1" s="99" t="s">
        <v>113</v>
      </c>
      <c r="H1" s="99"/>
      <c r="I1" s="99"/>
      <c r="J1" s="4"/>
      <c r="K1" s="4"/>
    </row>
    <row r="2" spans="1:13" ht="19.5" customHeight="1">
      <c r="A2" s="102" t="s">
        <v>2</v>
      </c>
      <c r="B2" s="10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2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21</v>
      </c>
      <c r="K3" s="11" t="s">
        <v>22</v>
      </c>
      <c r="L3" s="11" t="s">
        <v>111</v>
      </c>
    </row>
    <row r="4" spans="1:13" ht="15.6">
      <c r="A4" s="40" t="str" cm="1">
        <f t="array" ref="A4:A29">Sites[Site]</f>
        <v>Fresno - 3150 Shaw Ave</v>
      </c>
      <c r="B4" s="41" t="str" cm="1">
        <f t="array" ref="B4:B29">Sites[State]</f>
        <v>CA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64"/>
      <c r="K4" s="64"/>
      <c r="L4" s="64"/>
    </row>
    <row r="5" spans="1:13" ht="15.6">
      <c r="A5" s="42" t="str">
        <v>Adelanto - 1 Sheep Creek Road</v>
      </c>
      <c r="B5" s="43" t="str">
        <v>CA</v>
      </c>
      <c r="C5" s="36"/>
      <c r="D5" s="37"/>
      <c r="E5" s="37" t="str">
        <f t="shared" ref="E5:E17" si="0">IF(AND(ISNUMBER(C5),ISNUMBER(D5)), C5-D5, "")</f>
        <v/>
      </c>
      <c r="F5" s="38" t="str">
        <f>IFERROR(E5/D5, "")</f>
        <v/>
      </c>
      <c r="G5" s="92"/>
      <c r="H5" s="39" t="str">
        <f t="shared" ref="H5:H17" si="1">IF(AND(ISNUMBER(C5),ISNUMBER(G5)), C5-G5, "")</f>
        <v/>
      </c>
      <c r="I5" s="38" t="str">
        <f t="shared" ref="I5:I15" si="2">IFERROR(H5/G5, "")</f>
        <v/>
      </c>
      <c r="J5" s="59"/>
      <c r="K5" s="67"/>
      <c r="L5" s="59"/>
    </row>
    <row r="6" spans="1:13" ht="49.5" customHeight="1">
      <c r="A6" s="44" t="str">
        <v>Blackstone - 83 Federal Street</v>
      </c>
      <c r="B6" s="41" t="str">
        <v>MA</v>
      </c>
      <c r="C6" s="29"/>
      <c r="D6" s="30"/>
      <c r="E6" s="30" t="str">
        <f t="shared" si="0"/>
        <v/>
      </c>
      <c r="F6" s="31" t="str">
        <f t="shared" ref="F6:F17" si="3">IFERROR(E6/D6, "")</f>
        <v/>
      </c>
      <c r="G6" s="32"/>
      <c r="H6" s="32" t="str">
        <f t="shared" si="1"/>
        <v/>
      </c>
      <c r="I6" s="33" t="str">
        <f t="shared" si="2"/>
        <v/>
      </c>
      <c r="J6" s="64"/>
      <c r="K6" s="83"/>
      <c r="L6" s="64"/>
      <c r="M6" s="97"/>
    </row>
    <row r="7" spans="1:13" ht="15.6">
      <c r="A7" s="42" t="str">
        <v>Charlton - 299 Worcester Road</v>
      </c>
      <c r="B7" s="43" t="str">
        <v>MA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9"/>
      <c r="K7" s="58"/>
      <c r="L7" s="59"/>
    </row>
    <row r="8" spans="1:13" ht="15.6">
      <c r="A8" s="44" t="str">
        <v>Wareham - 8 Thatcher Drive</v>
      </c>
      <c r="B8" s="41" t="str">
        <v>MA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64"/>
      <c r="K8" s="64"/>
      <c r="L8" s="64"/>
    </row>
    <row r="9" spans="1:13" ht="15.6">
      <c r="A9" s="42" t="str">
        <v>West Yarmouth - 42 Mid Tech</v>
      </c>
      <c r="B9" s="43" t="str">
        <v>MA</v>
      </c>
      <c r="C9" s="36"/>
      <c r="D9" s="37"/>
      <c r="E9" s="37" t="str">
        <f t="shared" si="0"/>
        <v/>
      </c>
      <c r="F9" s="38" t="str">
        <f t="shared" si="3"/>
        <v/>
      </c>
      <c r="G9" s="39"/>
      <c r="H9" s="39" t="str">
        <f t="shared" si="1"/>
        <v/>
      </c>
      <c r="I9" s="38" t="str">
        <f t="shared" si="2"/>
        <v/>
      </c>
      <c r="J9" s="59"/>
      <c r="K9" s="67"/>
      <c r="L9" s="76"/>
    </row>
    <row r="10" spans="1:13" ht="15.6">
      <c r="A10" s="44" t="str">
        <v>Harrison - 130 Union Street</v>
      </c>
      <c r="B10" s="41" t="str">
        <v>NY</v>
      </c>
      <c r="C10" s="29"/>
      <c r="D10" s="30"/>
      <c r="E10" s="30" t="str">
        <f t="shared" si="0"/>
        <v/>
      </c>
      <c r="F10" s="31" t="str">
        <f t="shared" si="3"/>
        <v/>
      </c>
      <c r="G10" s="32"/>
      <c r="H10" s="32" t="str">
        <f t="shared" si="1"/>
        <v/>
      </c>
      <c r="I10" s="33" t="str">
        <f t="shared" si="2"/>
        <v/>
      </c>
      <c r="J10" s="64"/>
      <c r="K10" s="83"/>
      <c r="L10" s="64"/>
    </row>
    <row r="11" spans="1:13" ht="15.6">
      <c r="A11" s="42" t="str">
        <v>Staten Island - Ellis Storage</v>
      </c>
      <c r="B11" s="43" t="str">
        <v>NY</v>
      </c>
      <c r="C11" s="36"/>
      <c r="D11" s="37"/>
      <c r="E11" s="37" t="str">
        <f t="shared" si="0"/>
        <v/>
      </c>
      <c r="F11" s="38" t="str">
        <f t="shared" si="3"/>
        <v/>
      </c>
      <c r="G11" s="39"/>
      <c r="H11" s="39" t="str">
        <f t="shared" si="1"/>
        <v/>
      </c>
      <c r="I11" s="38" t="str">
        <f t="shared" si="2"/>
        <v/>
      </c>
      <c r="J11" s="59"/>
      <c r="K11" s="58"/>
    </row>
    <row r="12" spans="1:13" ht="57.75" customHeight="1">
      <c r="A12" s="44" t="str">
        <v>Amherst - 595 Schoelles Road</v>
      </c>
      <c r="B12" s="41" t="str">
        <v>NY</v>
      </c>
      <c r="C12" s="29"/>
      <c r="D12" s="30"/>
      <c r="E12" s="30" t="str">
        <f t="shared" si="0"/>
        <v/>
      </c>
      <c r="F12" s="31" t="str">
        <f t="shared" si="3"/>
        <v/>
      </c>
      <c r="G12" s="32"/>
      <c r="H12" s="32" t="str">
        <f t="shared" si="1"/>
        <v/>
      </c>
      <c r="I12" s="33" t="str">
        <f t="shared" si="2"/>
        <v/>
      </c>
      <c r="J12" s="64"/>
      <c r="K12" s="83"/>
      <c r="L12" s="64"/>
    </row>
    <row r="13" spans="1:13" ht="15.6">
      <c r="A13" s="42" t="str">
        <v>Lancaster 1 - Gunnville Road</v>
      </c>
      <c r="B13" s="43" t="str">
        <v>NY</v>
      </c>
      <c r="C13" s="36"/>
      <c r="D13" s="37"/>
      <c r="E13" s="37" t="str">
        <f t="shared" si="0"/>
        <v/>
      </c>
      <c r="F13" s="38" t="str">
        <f t="shared" si="3"/>
        <v/>
      </c>
      <c r="G13" s="39"/>
      <c r="H13" s="39" t="str">
        <f t="shared" si="1"/>
        <v/>
      </c>
      <c r="I13" s="38" t="str">
        <f t="shared" si="2"/>
        <v/>
      </c>
      <c r="J13" s="59"/>
      <c r="K13" s="67"/>
      <c r="L13" s="76"/>
    </row>
    <row r="14" spans="1:13" ht="15.6">
      <c r="A14" s="44" t="str">
        <v>Lancaster 2 - Shisler Road</v>
      </c>
      <c r="B14" s="41" t="str">
        <v>NY</v>
      </c>
      <c r="C14" s="29"/>
      <c r="D14" s="30"/>
      <c r="E14" s="30" t="str">
        <f t="shared" si="0"/>
        <v/>
      </c>
      <c r="F14" s="31" t="str">
        <f t="shared" si="3"/>
        <v/>
      </c>
      <c r="G14" s="32"/>
      <c r="H14" s="32" t="str">
        <f t="shared" si="1"/>
        <v/>
      </c>
      <c r="I14" s="33" t="str">
        <f t="shared" si="2"/>
        <v/>
      </c>
      <c r="J14" s="64"/>
      <c r="K14" s="83"/>
      <c r="L14" s="64"/>
    </row>
    <row r="15" spans="1:13" ht="37.5" customHeight="1">
      <c r="A15" s="42" t="str">
        <v>Fullerton - 200 W Orangethorpe</v>
      </c>
      <c r="B15" s="43" t="str">
        <v>CA</v>
      </c>
      <c r="C15" s="36"/>
      <c r="D15" s="37"/>
      <c r="E15" s="37" t="str">
        <f t="shared" si="0"/>
        <v/>
      </c>
      <c r="F15" s="38" t="str">
        <f t="shared" si="3"/>
        <v/>
      </c>
      <c r="G15" s="39"/>
      <c r="H15" s="39" t="str">
        <f t="shared" si="1"/>
        <v/>
      </c>
      <c r="I15" s="38" t="str">
        <f t="shared" si="2"/>
        <v/>
      </c>
      <c r="J15" s="59"/>
      <c r="K15" s="67"/>
      <c r="L15" s="76"/>
    </row>
    <row r="16" spans="1:13" ht="15.6">
      <c r="A16" s="44" t="str">
        <v>El Paso - 10500 Railroad Drive</v>
      </c>
      <c r="B16" s="41" t="str">
        <v>TX</v>
      </c>
      <c r="C16" s="29"/>
      <c r="D16" s="30"/>
      <c r="E16" s="30" t="str">
        <f t="shared" si="0"/>
        <v/>
      </c>
      <c r="F16" s="31" t="str">
        <f t="shared" si="3"/>
        <v/>
      </c>
      <c r="G16" s="32"/>
      <c r="H16" s="32" t="str">
        <f>IF(AND(ISNUMBER(C16),ISNUMBER(G16)), C16-G16, "")</f>
        <v/>
      </c>
      <c r="I16" s="33" t="str">
        <f>IFERROR(H16/G16, "")</f>
        <v/>
      </c>
      <c r="J16" s="64"/>
      <c r="K16" s="83"/>
      <c r="L16" s="64"/>
    </row>
    <row r="17" spans="1:15" ht="15.6">
      <c r="A17" s="42" t="str">
        <v>Friona - 900 Millard Ave</v>
      </c>
      <c r="B17" s="43" t="str">
        <v>TX</v>
      </c>
      <c r="C17" s="36"/>
      <c r="D17" s="37"/>
      <c r="E17" s="37" t="str">
        <f t="shared" si="0"/>
        <v/>
      </c>
      <c r="F17" s="38" t="str">
        <f t="shared" si="3"/>
        <v/>
      </c>
      <c r="G17" s="39"/>
      <c r="H17" s="39" t="str">
        <f t="shared" si="1"/>
        <v/>
      </c>
      <c r="I17" s="38" t="str">
        <f>IFERROR(H17/G17, "")</f>
        <v/>
      </c>
      <c r="J17" s="59"/>
      <c r="K17" s="67"/>
      <c r="L17" s="76"/>
    </row>
    <row r="18" spans="1:15" ht="15.6">
      <c r="A18" s="44" t="str">
        <v>Augusta - 13 York Farm Road</v>
      </c>
      <c r="B18" s="41" t="str">
        <v>ME</v>
      </c>
      <c r="C18" s="29"/>
      <c r="D18" s="30"/>
      <c r="E18" s="30" t="str">
        <f>IF(AND(ISNUMBER(C18),ISNUMBER(D18)), C18-D18, "")</f>
        <v/>
      </c>
      <c r="F18" s="31" t="str">
        <f>IFERROR(E18/D18, "")</f>
        <v/>
      </c>
      <c r="G18" s="32"/>
      <c r="H18" s="32" t="str">
        <f>IF(AND(ISNUMBER(C18),ISNUMBER(G18)), C18-G18, "")</f>
        <v/>
      </c>
      <c r="I18" s="33" t="str">
        <f>IFERROR(H18/G18, "")</f>
        <v/>
      </c>
      <c r="J18" s="64"/>
      <c r="K18" s="83"/>
      <c r="L18" s="64"/>
    </row>
    <row r="19" spans="1:15" ht="15.6">
      <c r="A19" s="42" t="str">
        <v xml:space="preserve">Santa Ana - 1441 West </v>
      </c>
      <c r="B19" s="43" t="str">
        <v>CA</v>
      </c>
      <c r="C19" s="36"/>
      <c r="D19" s="37"/>
      <c r="E19" s="37" t="str">
        <f>IF(AND(ISNUMBER(C19),ISNUMBER(D19)), C19-D19, "")</f>
        <v/>
      </c>
      <c r="F19" s="38" t="str">
        <f>IFERROR(E19/D19, "")</f>
        <v/>
      </c>
      <c r="G19" s="39"/>
      <c r="H19" s="39" t="str">
        <f>IF(AND(ISNUMBER(C19),ISNUMBER(G19)), C19-G19, "")</f>
        <v/>
      </c>
      <c r="I19" s="38" t="str">
        <f>IFERROR(H19/G19, "")</f>
        <v/>
      </c>
      <c r="J19" s="59"/>
      <c r="K19" s="76"/>
      <c r="L19" s="76"/>
    </row>
    <row r="20" spans="1:15" ht="15.6">
      <c r="A20" s="44" t="str">
        <v>Jessup -7950 Oceano Ave</v>
      </c>
      <c r="B20" s="41" t="str">
        <v>MD</v>
      </c>
      <c r="C20" s="29"/>
      <c r="D20" s="30"/>
      <c r="E20" s="30" t="str">
        <f>IF(AND(ISNUMBER(C20),ISNUMBER(D20)), C20-D20, "")</f>
        <v/>
      </c>
      <c r="F20" s="31" t="str">
        <f>IFERROR(E20/D20, "")</f>
        <v/>
      </c>
      <c r="G20" s="32"/>
      <c r="H20" s="32" t="str">
        <f>IF(AND(ISNUMBER(C20),ISNUMBER(G20)), C20-G20, "")</f>
        <v/>
      </c>
      <c r="I20" s="33" t="str">
        <f>IFERROR(H20/G20, "")</f>
        <v/>
      </c>
      <c r="J20" s="64"/>
      <c r="K20" s="66"/>
      <c r="L20" s="50"/>
      <c r="M20" s="97"/>
      <c r="N20" s="97"/>
      <c r="O20" s="97"/>
    </row>
    <row r="21" spans="1:15" ht="15.6">
      <c r="A21" s="42" t="str">
        <v xml:space="preserve">TX: Fort Worth - 5200 Gold Spike Dr </v>
      </c>
      <c r="B21" s="43" t="str">
        <v>TX</v>
      </c>
      <c r="C21" s="36"/>
      <c r="D21" s="37"/>
      <c r="E21" s="37" t="str">
        <f t="shared" ref="E21:E27" si="4">IF(AND(ISNUMBER(C21),ISNUMBER(D21)), C21-D21, "")</f>
        <v/>
      </c>
      <c r="F21" s="38" t="str">
        <f t="shared" ref="F21:F27" si="5">IFERROR(E21/D21, "")</f>
        <v/>
      </c>
      <c r="G21" s="39"/>
      <c r="H21" s="39" t="str">
        <f t="shared" ref="H21:H29" si="6">IF(AND(ISNUMBER(C21),ISNUMBER(G21)), C21-G21, "")</f>
        <v/>
      </c>
      <c r="I21" s="38" t="str">
        <f t="shared" ref="I21:I27" si="7">IFERROR(H21/G21, "")</f>
        <v/>
      </c>
      <c r="J21" s="59"/>
      <c r="K21" s="76"/>
      <c r="L21" s="76"/>
    </row>
    <row r="22" spans="1:15" ht="15.6">
      <c r="A22" s="44" t="str">
        <v>NY: Clifton Springs - Ontario 2 (21597)</v>
      </c>
      <c r="B22" s="41" t="str">
        <v>NY</v>
      </c>
      <c r="C22" s="29"/>
      <c r="D22" s="30"/>
      <c r="E22" s="30" t="str">
        <f t="shared" si="4"/>
        <v/>
      </c>
      <c r="F22" s="31" t="str">
        <f t="shared" si="5"/>
        <v/>
      </c>
      <c r="G22" s="32"/>
      <c r="H22" s="32" t="str">
        <f t="shared" si="6"/>
        <v/>
      </c>
      <c r="I22" s="33" t="str">
        <f t="shared" si="7"/>
        <v/>
      </c>
      <c r="J22" s="64"/>
      <c r="K22" s="66"/>
      <c r="L22" s="50"/>
      <c r="M22" s="97"/>
    </row>
    <row r="23" spans="1:15" ht="15.6">
      <c r="A23" s="42" t="str">
        <v>CA: Oxnard - 2600 Sakioka - System A</v>
      </c>
      <c r="B23" s="43" t="str">
        <v>CA</v>
      </c>
      <c r="C23" s="36"/>
      <c r="D23" s="37"/>
      <c r="E23" s="37" t="str">
        <f>IF(AND(ISNUMBER(C23),ISNUMBER(D23)), C23-D23, "")</f>
        <v/>
      </c>
      <c r="F23" s="38" t="str">
        <f t="shared" si="5"/>
        <v/>
      </c>
      <c r="G23" s="39"/>
      <c r="H23" s="39" t="str">
        <f t="shared" si="6"/>
        <v/>
      </c>
      <c r="I23" s="38" t="str">
        <f t="shared" si="7"/>
        <v/>
      </c>
      <c r="J23" s="59"/>
      <c r="K23" s="76"/>
      <c r="L23" s="76"/>
    </row>
    <row r="24" spans="1:15" ht="15.6">
      <c r="A24" s="44" t="str">
        <v>CA: Oxnard - 2600 Sakioka - System B</v>
      </c>
      <c r="B24" s="41" t="str">
        <v>CA</v>
      </c>
      <c r="C24" s="29"/>
      <c r="D24" s="30"/>
      <c r="E24" s="30" t="str">
        <f t="shared" si="4"/>
        <v/>
      </c>
      <c r="F24" s="31" t="str">
        <f t="shared" si="5"/>
        <v/>
      </c>
      <c r="G24" s="32"/>
      <c r="H24" s="32" t="str">
        <f t="shared" si="6"/>
        <v/>
      </c>
      <c r="I24" s="33" t="str">
        <f t="shared" si="7"/>
        <v/>
      </c>
      <c r="J24" s="64"/>
      <c r="K24" s="66"/>
      <c r="L24" s="50"/>
    </row>
    <row r="25" spans="1:15" ht="15.6">
      <c r="A25" s="42" t="str">
        <v>NY: Fonda - Montgomery 1 (21601)</v>
      </c>
      <c r="B25" s="43" t="str">
        <v>NY</v>
      </c>
      <c r="C25" s="36"/>
      <c r="D25" s="37"/>
      <c r="E25" s="37" t="str">
        <f t="shared" si="4"/>
        <v/>
      </c>
      <c r="F25" s="38" t="str">
        <f t="shared" si="5"/>
        <v/>
      </c>
      <c r="G25" s="39"/>
      <c r="H25" s="39" t="str">
        <f t="shared" si="6"/>
        <v/>
      </c>
      <c r="I25" s="38" t="str">
        <f t="shared" si="7"/>
        <v/>
      </c>
      <c r="J25" s="59"/>
      <c r="K25" s="67"/>
      <c r="L25" s="76"/>
    </row>
    <row r="26" spans="1:15" ht="15.6">
      <c r="A26" s="44" t="str">
        <v>NY: Evans - SL Evans Array 1 (21106) - (PW)</v>
      </c>
      <c r="B26" s="41" t="str">
        <v>NY</v>
      </c>
      <c r="C26" s="29"/>
      <c r="D26" s="30"/>
      <c r="E26" s="30" t="str">
        <f t="shared" si="4"/>
        <v/>
      </c>
      <c r="F26" s="31" t="str">
        <f t="shared" si="5"/>
        <v/>
      </c>
      <c r="G26" s="32"/>
      <c r="H26" s="32" t="str">
        <f t="shared" si="6"/>
        <v/>
      </c>
      <c r="I26" s="33" t="str">
        <f t="shared" si="7"/>
        <v/>
      </c>
      <c r="J26" s="64"/>
      <c r="K26" s="66"/>
      <c r="L26" s="50"/>
      <c r="M26" s="97"/>
    </row>
    <row r="27" spans="1:15" ht="15.6">
      <c r="A27" s="42" t="str">
        <v>NY: Evans - SL Evans Array 2 (21107) - (PW)</v>
      </c>
      <c r="B27" s="43" t="str">
        <v>NY</v>
      </c>
      <c r="C27" s="36"/>
      <c r="D27" s="37"/>
      <c r="E27" s="37" t="str">
        <f t="shared" si="4"/>
        <v/>
      </c>
      <c r="F27" s="38" t="str">
        <f t="shared" si="5"/>
        <v/>
      </c>
      <c r="G27" s="39"/>
      <c r="H27" s="39" t="str">
        <f t="shared" si="6"/>
        <v/>
      </c>
      <c r="I27" s="38" t="str">
        <f t="shared" si="7"/>
        <v/>
      </c>
      <c r="J27" s="59"/>
      <c r="K27" s="67"/>
      <c r="L27" s="76"/>
      <c r="M27" s="97"/>
    </row>
    <row r="28" spans="1:15" ht="15.6">
      <c r="A28" s="44" t="str">
        <v>NY: Flushing - 131-21 14th Ave</v>
      </c>
      <c r="B28" s="41" t="str">
        <v>NY</v>
      </c>
      <c r="C28" s="29"/>
      <c r="D28" s="30"/>
      <c r="E28" s="30" t="str">
        <f t="shared" ref="E28:E30" si="8">IF(AND(ISNUMBER(C28),ISNUMBER(D28)), C28-D28, "")</f>
        <v/>
      </c>
      <c r="F28" s="31" t="str">
        <f t="shared" ref="F28:F29" si="9">IFERROR(E28/D28, "")</f>
        <v/>
      </c>
      <c r="G28" s="32"/>
      <c r="H28" s="32" t="str">
        <f t="shared" ref="H28:H30" si="10">IF(AND(ISNUMBER(C28),ISNUMBER(G28)), C28-G28, "")</f>
        <v/>
      </c>
      <c r="I28" s="33" t="str">
        <f>IFERROR(H28/G28, "")</f>
        <v/>
      </c>
      <c r="J28" s="64"/>
      <c r="K28" s="50"/>
      <c r="L28" s="50"/>
    </row>
    <row r="29" spans="1:15" ht="15.6">
      <c r="A29" s="42" t="str">
        <v>NY: Binghamton - Airport Rd (18878) - (PW)</v>
      </c>
      <c r="B29" s="43" t="str">
        <v>NY</v>
      </c>
      <c r="C29" s="36"/>
      <c r="D29" s="37"/>
      <c r="E29" s="37" t="str">
        <f t="shared" si="8"/>
        <v/>
      </c>
      <c r="F29" s="38" t="str">
        <f t="shared" si="9"/>
        <v/>
      </c>
      <c r="G29" s="39"/>
      <c r="H29" s="39" t="str">
        <f t="shared" si="6"/>
        <v/>
      </c>
      <c r="I29" s="38" t="str">
        <f>IFERROR(H29/G29, "")</f>
        <v/>
      </c>
      <c r="J29" s="59"/>
      <c r="K29" s="67"/>
      <c r="L29" s="76"/>
    </row>
    <row r="30" spans="1:15" ht="15.6">
      <c r="A30" s="44"/>
      <c r="B30" s="41"/>
      <c r="C30" s="29"/>
      <c r="D30" s="30"/>
      <c r="E30" s="30" t="str">
        <f t="shared" si="8"/>
        <v/>
      </c>
      <c r="F30" s="31"/>
      <c r="G30" s="32"/>
      <c r="H30" s="32" t="str">
        <f t="shared" si="10"/>
        <v/>
      </c>
      <c r="I30" s="33" t="str">
        <f>IFERROR(H30/G30, "")</f>
        <v/>
      </c>
      <c r="J30" s="64"/>
      <c r="K30" s="50"/>
      <c r="L30" s="50"/>
    </row>
    <row r="31" spans="1:15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5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C334" s="9"/>
      <c r="D334" s="9"/>
      <c r="E334" s="9"/>
      <c r="F334" s="10"/>
      <c r="G334" s="9"/>
      <c r="H334" s="9"/>
      <c r="I334" s="10"/>
      <c r="J334" s="9"/>
      <c r="K334" s="9"/>
    </row>
  </sheetData>
  <mergeCells count="4">
    <mergeCell ref="G1:I1"/>
    <mergeCell ref="A1:C1"/>
    <mergeCell ref="D1:F1"/>
    <mergeCell ref="A2:B2"/>
  </mergeCells>
  <conditionalFormatting sqref="F2 I2 F4:F92 I4:I9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O334"/>
  <sheetViews>
    <sheetView zoomScale="50" zoomScaleNormal="50" workbookViewId="0">
      <pane xSplit="2" ySplit="3" topLeftCell="H18" activePane="bottomRight" state="frozen"/>
      <selection pane="bottomRight" activeCell="J30" sqref="J30"/>
      <selection pane="bottomLeft" activeCell="H36" sqref="H36"/>
      <selection pane="topRight" activeCell="H36" sqref="H36"/>
    </sheetView>
  </sheetViews>
  <sheetFormatPr defaultRowHeight="13.9"/>
  <cols>
    <col min="1" max="1" width="35.85546875" bestFit="1" customWidth="1"/>
    <col min="2" max="2" width="8.42578125" style="1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16.5703125" customWidth="1"/>
  </cols>
  <sheetData>
    <row r="1" spans="1:14" ht="19.5" customHeight="1">
      <c r="A1" s="100" t="str" cm="1">
        <f t="array" ref="A1">portfolio</f>
        <v>Catalyze</v>
      </c>
      <c r="B1" s="100"/>
      <c r="C1" s="100"/>
      <c r="D1" s="101" t="s">
        <v>114</v>
      </c>
      <c r="E1" s="101"/>
      <c r="F1" s="101"/>
      <c r="G1" s="99" t="s">
        <v>115</v>
      </c>
      <c r="H1" s="99"/>
      <c r="I1" s="99"/>
      <c r="J1" s="4"/>
      <c r="K1" s="4"/>
      <c r="L1" s="4"/>
    </row>
    <row r="2" spans="1:14" ht="19.5" customHeight="1">
      <c r="A2" s="102" t="s">
        <v>2</v>
      </c>
      <c r="B2" s="102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2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4"/>
    </row>
    <row r="3" spans="1:14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21</v>
      </c>
      <c r="K3" s="11" t="s">
        <v>22</v>
      </c>
      <c r="L3" s="11" t="s">
        <v>111</v>
      </c>
    </row>
    <row r="4" spans="1:14" ht="15.6">
      <c r="A4" s="40" t="str" cm="1">
        <f t="array" ref="A4:A29">Sites[Site]</f>
        <v>Fresno - 3150 Shaw Ave</v>
      </c>
      <c r="B4" s="41" t="str" cm="1">
        <f t="array" ref="B4:B29">Sites[State]</f>
        <v>CA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64"/>
      <c r="K4" s="64"/>
      <c r="L4" s="64"/>
    </row>
    <row r="5" spans="1:14" ht="15.6">
      <c r="A5" s="42" t="str">
        <v>Adelanto - 1 Sheep Creek Road</v>
      </c>
      <c r="B5" s="43" t="str">
        <v>CA</v>
      </c>
      <c r="C5" s="36"/>
      <c r="D5" s="37"/>
      <c r="E5" s="37" t="str">
        <f t="shared" ref="E5:E20" si="0">IF(AND(ISNUMBER(C5),ISNUMBER(D5)), C5-D5, "")</f>
        <v/>
      </c>
      <c r="F5" s="38" t="str">
        <f t="shared" ref="F5:F20" si="1">IFERROR(E5/D5, "")</f>
        <v/>
      </c>
      <c r="G5" s="92"/>
      <c r="H5" s="39" t="str">
        <f t="shared" ref="H5:H20" si="2">IF(AND(ISNUMBER(C5),ISNUMBER(G5)), C5-G5, "")</f>
        <v/>
      </c>
      <c r="I5" s="38" t="str">
        <f t="shared" ref="I5:I20" si="3">IFERROR(H5/G5, "")</f>
        <v/>
      </c>
      <c r="J5" s="59"/>
      <c r="K5" s="67"/>
      <c r="L5" s="59"/>
    </row>
    <row r="6" spans="1:14" ht="49.5" customHeight="1">
      <c r="A6" s="44" t="str">
        <v>Blackstone - 83 Federal Street</v>
      </c>
      <c r="B6" s="41" t="str">
        <v>MA</v>
      </c>
      <c r="C6" s="29"/>
      <c r="D6" s="30"/>
      <c r="E6" s="30" t="str">
        <f t="shared" si="0"/>
        <v/>
      </c>
      <c r="F6" s="31" t="str">
        <f t="shared" si="1"/>
        <v/>
      </c>
      <c r="G6" s="32"/>
      <c r="H6" s="32" t="str">
        <f t="shared" si="2"/>
        <v/>
      </c>
      <c r="I6" s="33" t="str">
        <f t="shared" si="3"/>
        <v/>
      </c>
      <c r="J6" s="50"/>
      <c r="K6" s="66"/>
      <c r="L6" s="50"/>
    </row>
    <row r="7" spans="1:14" ht="15.6">
      <c r="A7" s="42" t="str">
        <v>Charlton - 299 Worcester Road</v>
      </c>
      <c r="B7" s="43" t="str">
        <v>MA</v>
      </c>
      <c r="C7" s="36"/>
      <c r="D7" s="37"/>
      <c r="E7" s="37" t="str">
        <f t="shared" si="0"/>
        <v/>
      </c>
      <c r="F7" s="38" t="str">
        <f t="shared" si="1"/>
        <v/>
      </c>
      <c r="G7" s="39"/>
      <c r="H7" s="39" t="str">
        <f t="shared" si="2"/>
        <v/>
      </c>
      <c r="I7" s="38" t="str">
        <f t="shared" si="3"/>
        <v/>
      </c>
      <c r="J7" s="59"/>
      <c r="K7" s="67"/>
      <c r="L7" s="59"/>
    </row>
    <row r="8" spans="1:14" ht="15.6">
      <c r="A8" s="44" t="str">
        <v>Wareham - 8 Thatcher Drive</v>
      </c>
      <c r="B8" s="41" t="str">
        <v>MA</v>
      </c>
      <c r="C8" s="29"/>
      <c r="D8" s="30"/>
      <c r="E8" s="30" t="str">
        <f t="shared" si="0"/>
        <v/>
      </c>
      <c r="F8" s="31" t="str">
        <f t="shared" si="1"/>
        <v/>
      </c>
      <c r="G8" s="32"/>
      <c r="H8" s="32" t="str">
        <f t="shared" si="2"/>
        <v/>
      </c>
      <c r="I8" s="33" t="str">
        <f t="shared" si="3"/>
        <v/>
      </c>
      <c r="J8" s="50"/>
      <c r="K8" s="50"/>
      <c r="L8" s="50"/>
    </row>
    <row r="9" spans="1:14" ht="15.6">
      <c r="A9" s="42" t="str">
        <v>West Yarmouth - 42 Mid Tech</v>
      </c>
      <c r="B9" s="43" t="str">
        <v>MA</v>
      </c>
      <c r="C9" s="36"/>
      <c r="D9" s="37"/>
      <c r="E9" s="37" t="str">
        <f t="shared" si="0"/>
        <v/>
      </c>
      <c r="F9" s="38" t="str">
        <f t="shared" si="1"/>
        <v/>
      </c>
      <c r="G9" s="39"/>
      <c r="H9" s="39" t="str">
        <f t="shared" si="2"/>
        <v/>
      </c>
      <c r="I9" s="38" t="str">
        <f t="shared" si="3"/>
        <v/>
      </c>
      <c r="J9" s="59"/>
      <c r="K9" s="67"/>
      <c r="L9" s="59"/>
    </row>
    <row r="10" spans="1:14" ht="15.6">
      <c r="A10" s="44" t="str">
        <v>Harrison - 130 Union Street</v>
      </c>
      <c r="B10" s="41" t="str">
        <v>NY</v>
      </c>
      <c r="C10" s="29"/>
      <c r="D10" s="30"/>
      <c r="E10" s="30" t="str">
        <f t="shared" si="0"/>
        <v/>
      </c>
      <c r="F10" s="31" t="str">
        <f t="shared" si="1"/>
        <v/>
      </c>
      <c r="G10" s="32"/>
      <c r="H10" s="32" t="str">
        <f t="shared" si="2"/>
        <v/>
      </c>
      <c r="I10" s="33" t="str">
        <f t="shared" si="3"/>
        <v/>
      </c>
      <c r="J10" s="50"/>
      <c r="K10" s="66"/>
      <c r="L10" s="50"/>
    </row>
    <row r="11" spans="1:14" ht="15.6">
      <c r="A11" s="42" t="str">
        <v>Staten Island - Ellis Storage</v>
      </c>
      <c r="B11" s="43" t="str">
        <v>NY</v>
      </c>
      <c r="C11" s="36"/>
      <c r="D11" s="37"/>
      <c r="E11" s="37" t="str">
        <f t="shared" si="0"/>
        <v/>
      </c>
      <c r="F11" s="38" t="str">
        <f t="shared" si="1"/>
        <v/>
      </c>
      <c r="G11" s="39"/>
      <c r="H11" s="39" t="str">
        <f t="shared" si="2"/>
        <v/>
      </c>
      <c r="I11" s="38" t="str">
        <f t="shared" si="3"/>
        <v/>
      </c>
      <c r="J11" s="98"/>
      <c r="K11" s="59"/>
      <c r="L11" s="59"/>
    </row>
    <row r="12" spans="1:14" ht="15.6">
      <c r="A12" s="44" t="str">
        <v>Amherst - 595 Schoelles Road</v>
      </c>
      <c r="B12" s="41" t="str">
        <v>NY</v>
      </c>
      <c r="C12" s="29"/>
      <c r="D12" s="30"/>
      <c r="E12" s="30" t="str">
        <f t="shared" si="0"/>
        <v/>
      </c>
      <c r="F12" s="31" t="str">
        <f t="shared" si="1"/>
        <v/>
      </c>
      <c r="G12" s="32"/>
      <c r="H12" s="32" t="str">
        <f t="shared" si="2"/>
        <v/>
      </c>
      <c r="I12" s="33" t="str">
        <f t="shared" si="3"/>
        <v/>
      </c>
      <c r="J12" s="50"/>
      <c r="K12" s="66"/>
      <c r="L12" s="50"/>
      <c r="M12" s="68"/>
      <c r="N12" s="68"/>
    </row>
    <row r="13" spans="1:14" ht="15.6">
      <c r="A13" s="42" t="str">
        <v>Lancaster 1 - Gunnville Road</v>
      </c>
      <c r="B13" s="43" t="str">
        <v>NY</v>
      </c>
      <c r="C13" s="36"/>
      <c r="D13" s="37"/>
      <c r="E13" s="37" t="str">
        <f t="shared" si="0"/>
        <v/>
      </c>
      <c r="F13" s="38" t="str">
        <f t="shared" si="1"/>
        <v/>
      </c>
      <c r="G13" s="39"/>
      <c r="H13" s="39" t="str">
        <f t="shared" si="2"/>
        <v/>
      </c>
      <c r="I13" s="38" t="str">
        <f t="shared" si="3"/>
        <v/>
      </c>
      <c r="J13" s="59"/>
      <c r="K13" s="67"/>
      <c r="L13" s="59"/>
    </row>
    <row r="14" spans="1:14" ht="93.75" customHeight="1">
      <c r="A14" s="44" t="str">
        <v>Lancaster 2 - Shisler Road</v>
      </c>
      <c r="B14" s="41" t="str">
        <v>NY</v>
      </c>
      <c r="C14" s="29"/>
      <c r="D14" s="30"/>
      <c r="E14" s="30" t="str">
        <f t="shared" si="0"/>
        <v/>
      </c>
      <c r="F14" s="31" t="str">
        <f t="shared" si="1"/>
        <v/>
      </c>
      <c r="G14" s="32"/>
      <c r="H14" s="32" t="str">
        <f t="shared" si="2"/>
        <v/>
      </c>
      <c r="I14" s="33" t="str">
        <f t="shared" si="3"/>
        <v/>
      </c>
      <c r="J14" s="50"/>
      <c r="K14" s="66"/>
      <c r="L14" s="50"/>
    </row>
    <row r="15" spans="1:14" ht="15.6">
      <c r="A15" s="42" t="str">
        <v>Fullerton - 200 W Orangethorpe</v>
      </c>
      <c r="B15" s="43" t="str">
        <v>CA</v>
      </c>
      <c r="C15" s="36"/>
      <c r="D15" s="37"/>
      <c r="E15" s="37" t="str">
        <f t="shared" si="0"/>
        <v/>
      </c>
      <c r="F15" s="38" t="str">
        <f t="shared" si="1"/>
        <v/>
      </c>
      <c r="G15" s="39"/>
      <c r="H15" s="39" t="str">
        <f t="shared" si="2"/>
        <v/>
      </c>
      <c r="I15" s="38" t="str">
        <f t="shared" si="3"/>
        <v/>
      </c>
      <c r="J15" s="59"/>
      <c r="K15" s="67"/>
      <c r="L15" s="59"/>
    </row>
    <row r="16" spans="1:14" ht="15.6">
      <c r="A16" s="44" t="str">
        <v>El Paso - 10500 Railroad Drive</v>
      </c>
      <c r="B16" s="41" t="str">
        <v>TX</v>
      </c>
      <c r="C16" s="29"/>
      <c r="D16" s="30"/>
      <c r="E16" s="30" t="str">
        <f t="shared" si="0"/>
        <v/>
      </c>
      <c r="F16" s="31" t="str">
        <f t="shared" si="1"/>
        <v/>
      </c>
      <c r="G16" s="32"/>
      <c r="H16" s="32" t="str">
        <f t="shared" si="2"/>
        <v/>
      </c>
      <c r="I16" s="33" t="str">
        <f t="shared" si="3"/>
        <v/>
      </c>
      <c r="J16" s="50"/>
      <c r="K16" s="66"/>
      <c r="L16" s="50"/>
    </row>
    <row r="17" spans="1:15" ht="15.6">
      <c r="A17" s="42" t="str">
        <v>Friona - 900 Millard Ave</v>
      </c>
      <c r="B17" s="43" t="str">
        <v>TX</v>
      </c>
      <c r="C17" s="36"/>
      <c r="D17" s="37"/>
      <c r="E17" s="37" t="str">
        <f t="shared" si="0"/>
        <v/>
      </c>
      <c r="F17" s="38" t="str">
        <f t="shared" si="1"/>
        <v/>
      </c>
      <c r="G17" s="39"/>
      <c r="H17" s="39" t="str">
        <f t="shared" si="2"/>
        <v/>
      </c>
      <c r="I17" s="38" t="str">
        <f t="shared" si="3"/>
        <v/>
      </c>
      <c r="J17" s="59"/>
      <c r="K17" s="67"/>
      <c r="L17" s="59"/>
    </row>
    <row r="18" spans="1:15" ht="15.6">
      <c r="A18" s="44" t="str">
        <v>Augusta - 13 York Farm Road</v>
      </c>
      <c r="B18" s="41" t="str">
        <v>ME</v>
      </c>
      <c r="C18" s="29"/>
      <c r="D18" s="30"/>
      <c r="E18" s="30" t="str">
        <f t="shared" si="0"/>
        <v/>
      </c>
      <c r="F18" s="31" t="str">
        <f t="shared" si="1"/>
        <v/>
      </c>
      <c r="G18" s="32"/>
      <c r="H18" s="32" t="str">
        <f t="shared" si="2"/>
        <v/>
      </c>
      <c r="I18" s="33" t="str">
        <f t="shared" si="3"/>
        <v/>
      </c>
      <c r="J18" s="64"/>
      <c r="K18" s="83"/>
      <c r="L18" s="64"/>
    </row>
    <row r="19" spans="1:15" ht="15.6">
      <c r="A19" s="42" t="str">
        <v xml:space="preserve">Santa Ana - 1441 West </v>
      </c>
      <c r="B19" s="43" t="str">
        <v>CA</v>
      </c>
      <c r="C19" s="36"/>
      <c r="D19" s="37"/>
      <c r="E19" s="37" t="str">
        <f t="shared" si="0"/>
        <v/>
      </c>
      <c r="F19" s="38" t="str">
        <f t="shared" si="1"/>
        <v/>
      </c>
      <c r="G19" s="39"/>
      <c r="H19" s="39" t="str">
        <f t="shared" si="2"/>
        <v/>
      </c>
      <c r="I19" s="38" t="str">
        <f t="shared" si="3"/>
        <v/>
      </c>
      <c r="J19" s="59"/>
      <c r="K19" s="76"/>
      <c r="L19" s="76"/>
    </row>
    <row r="20" spans="1:15" ht="15.6">
      <c r="A20" s="44" t="str">
        <v>Jessup -7950 Oceano Ave</v>
      </c>
      <c r="B20" s="41" t="str">
        <v>MD</v>
      </c>
      <c r="C20" s="29"/>
      <c r="D20" s="30"/>
      <c r="E20" s="30" t="str">
        <f t="shared" si="0"/>
        <v/>
      </c>
      <c r="F20" s="31" t="str">
        <f t="shared" si="1"/>
        <v/>
      </c>
      <c r="G20" s="32"/>
      <c r="H20" s="32" t="str">
        <f t="shared" si="2"/>
        <v/>
      </c>
      <c r="I20" s="33" t="str">
        <f t="shared" si="3"/>
        <v/>
      </c>
      <c r="J20" s="50"/>
      <c r="K20" s="66"/>
      <c r="L20" s="50"/>
      <c r="M20" s="68"/>
      <c r="N20" s="68"/>
      <c r="O20" s="68"/>
    </row>
    <row r="21" spans="1:15" ht="15.6">
      <c r="A21" s="42" t="str">
        <v xml:space="preserve">TX: Fort Worth - 5200 Gold Spike Dr </v>
      </c>
      <c r="B21" s="43" t="str">
        <v>TX</v>
      </c>
      <c r="C21" s="36"/>
      <c r="D21" s="37"/>
      <c r="E21" s="37" t="str">
        <f t="shared" ref="E21:E30" si="4">IF(AND(ISNUMBER(C21),ISNUMBER(D21)), C21-D21, "")</f>
        <v/>
      </c>
      <c r="F21" s="38" t="str">
        <f t="shared" ref="F21:F30" si="5">IFERROR(E21/D21, "")</f>
        <v/>
      </c>
      <c r="G21" s="39"/>
      <c r="H21" s="39" t="str">
        <f t="shared" ref="H21:H30" si="6">IF(AND(ISNUMBER(C21),ISNUMBER(G21)), C21-G21, "")</f>
        <v/>
      </c>
      <c r="I21" s="38" t="str">
        <f t="shared" ref="I21:I30" si="7">IFERROR(H21/G21, "")</f>
        <v/>
      </c>
      <c r="J21" s="59"/>
      <c r="K21" s="67"/>
      <c r="L21" s="76"/>
    </row>
    <row r="22" spans="1:15" ht="15.6">
      <c r="A22" s="44" t="str">
        <v>NY: Clifton Springs - Ontario 2 (21597)</v>
      </c>
      <c r="B22" s="41" t="str">
        <v>NY</v>
      </c>
      <c r="C22" s="29"/>
      <c r="D22" s="30"/>
      <c r="E22" s="30" t="str">
        <f t="shared" si="4"/>
        <v/>
      </c>
      <c r="F22" s="31" t="str">
        <f t="shared" si="5"/>
        <v/>
      </c>
      <c r="G22" s="32"/>
      <c r="H22" s="32" t="str">
        <f t="shared" si="6"/>
        <v/>
      </c>
      <c r="I22" s="33" t="str">
        <f t="shared" si="7"/>
        <v/>
      </c>
      <c r="J22" s="50"/>
      <c r="K22" s="66"/>
      <c r="L22" s="50"/>
      <c r="M22" s="68"/>
    </row>
    <row r="23" spans="1:15" ht="15.6">
      <c r="A23" s="42" t="str">
        <v>CA: Oxnard - 2600 Sakioka - System A</v>
      </c>
      <c r="B23" s="43" t="str">
        <v>CA</v>
      </c>
      <c r="C23" s="36"/>
      <c r="D23" s="37"/>
      <c r="E23" s="37" t="str">
        <f t="shared" si="4"/>
        <v/>
      </c>
      <c r="F23" s="38" t="str">
        <f t="shared" si="5"/>
        <v/>
      </c>
      <c r="G23" s="39"/>
      <c r="H23" s="39" t="str">
        <f t="shared" si="6"/>
        <v/>
      </c>
      <c r="I23" s="38" t="str">
        <f t="shared" si="7"/>
        <v/>
      </c>
      <c r="J23" s="59"/>
      <c r="K23" s="76"/>
      <c r="L23" s="76"/>
    </row>
    <row r="24" spans="1:15" ht="15.6">
      <c r="A24" s="44" t="str">
        <v>CA: Oxnard - 2600 Sakioka - System B</v>
      </c>
      <c r="B24" s="41" t="str">
        <v>CA</v>
      </c>
      <c r="C24" s="29"/>
      <c r="D24" s="30"/>
      <c r="E24" s="30" t="str">
        <f t="shared" si="4"/>
        <v/>
      </c>
      <c r="F24" s="31" t="str">
        <f t="shared" si="5"/>
        <v/>
      </c>
      <c r="G24" s="32"/>
      <c r="H24" s="32" t="str">
        <f t="shared" si="6"/>
        <v/>
      </c>
      <c r="I24" s="33" t="str">
        <f t="shared" si="7"/>
        <v/>
      </c>
      <c r="J24" s="50"/>
      <c r="K24" s="66"/>
      <c r="L24" s="50"/>
    </row>
    <row r="25" spans="1:15" ht="15.6">
      <c r="A25" s="42" t="str">
        <v>NY: Fonda - Montgomery 1 (21601)</v>
      </c>
      <c r="B25" s="43" t="str">
        <v>NY</v>
      </c>
      <c r="C25" s="36"/>
      <c r="D25" s="37"/>
      <c r="E25" s="37" t="str">
        <f t="shared" si="4"/>
        <v/>
      </c>
      <c r="F25" s="38" t="str">
        <f t="shared" si="5"/>
        <v/>
      </c>
      <c r="G25" s="39"/>
      <c r="H25" s="39" t="str">
        <f t="shared" si="6"/>
        <v/>
      </c>
      <c r="I25" s="38" t="str">
        <f t="shared" si="7"/>
        <v/>
      </c>
      <c r="J25" s="59"/>
      <c r="K25" s="76"/>
      <c r="L25" s="76"/>
    </row>
    <row r="26" spans="1:15" ht="15.6">
      <c r="A26" s="44" t="str">
        <v>NY: Evans - SL Evans Array 1 (21106) - (PW)</v>
      </c>
      <c r="B26" s="41" t="str">
        <v>NY</v>
      </c>
      <c r="C26" s="29"/>
      <c r="D26" s="30"/>
      <c r="E26" s="30" t="str">
        <f t="shared" si="4"/>
        <v/>
      </c>
      <c r="F26" s="31" t="str">
        <f t="shared" si="5"/>
        <v/>
      </c>
      <c r="G26" s="32"/>
      <c r="H26" s="32" t="str">
        <f t="shared" si="6"/>
        <v/>
      </c>
      <c r="I26" s="33" t="str">
        <f t="shared" si="7"/>
        <v/>
      </c>
      <c r="J26" s="50"/>
      <c r="K26" s="66"/>
      <c r="L26" s="50"/>
      <c r="M26" s="68"/>
    </row>
    <row r="27" spans="1:15" ht="57.75" customHeight="1">
      <c r="A27" s="42" t="str">
        <v>NY: Evans - SL Evans Array 2 (21107) - (PW)</v>
      </c>
      <c r="B27" s="43" t="str">
        <v>NY</v>
      </c>
      <c r="C27" s="36"/>
      <c r="D27" s="37"/>
      <c r="E27" s="37" t="str">
        <f t="shared" si="4"/>
        <v/>
      </c>
      <c r="F27" s="38" t="str">
        <f t="shared" si="5"/>
        <v/>
      </c>
      <c r="G27" s="39"/>
      <c r="H27" s="39" t="str">
        <f t="shared" si="6"/>
        <v/>
      </c>
      <c r="I27" s="38" t="str">
        <f t="shared" si="7"/>
        <v/>
      </c>
      <c r="J27" s="59"/>
      <c r="K27" s="67"/>
      <c r="L27" s="76"/>
    </row>
    <row r="28" spans="1:15" ht="15.6">
      <c r="A28" s="44" t="str">
        <v>NY: Flushing - 131-21 14th Ave</v>
      </c>
      <c r="B28" s="41" t="str">
        <v>NY</v>
      </c>
      <c r="C28" s="29"/>
      <c r="D28" s="30"/>
      <c r="E28" s="30" t="str">
        <f t="shared" si="4"/>
        <v/>
      </c>
      <c r="F28" s="31" t="str">
        <f t="shared" si="5"/>
        <v/>
      </c>
      <c r="G28" s="32"/>
      <c r="H28" s="32" t="str">
        <f t="shared" si="6"/>
        <v/>
      </c>
      <c r="I28" s="33" t="str">
        <f t="shared" si="7"/>
        <v/>
      </c>
      <c r="J28" s="50"/>
      <c r="K28" s="50"/>
      <c r="L28" s="50"/>
    </row>
    <row r="29" spans="1:15" ht="126" customHeight="1">
      <c r="A29" s="42" t="str">
        <v>NY: Binghamton - Airport Rd (18878) - (PW)</v>
      </c>
      <c r="B29" s="43" t="str">
        <v>NY</v>
      </c>
      <c r="C29" s="36"/>
      <c r="D29" s="37"/>
      <c r="E29" s="37" t="str">
        <f t="shared" si="4"/>
        <v/>
      </c>
      <c r="F29" s="38" t="str">
        <f t="shared" si="5"/>
        <v/>
      </c>
      <c r="G29" s="39"/>
      <c r="H29" s="39" t="str">
        <f t="shared" si="6"/>
        <v/>
      </c>
      <c r="I29" s="38" t="str">
        <f t="shared" si="7"/>
        <v/>
      </c>
      <c r="J29" s="59"/>
      <c r="K29" s="67"/>
      <c r="L29" s="76"/>
      <c r="M29" s="68"/>
      <c r="N29" s="68"/>
      <c r="O29" s="68"/>
    </row>
    <row r="30" spans="1:15" ht="15.6">
      <c r="A30" s="44"/>
      <c r="B30" s="41"/>
      <c r="C30" s="29"/>
      <c r="D30" s="30"/>
      <c r="E30" s="30" t="str">
        <f t="shared" si="4"/>
        <v/>
      </c>
      <c r="F30" s="31" t="str">
        <f t="shared" si="5"/>
        <v/>
      </c>
      <c r="G30" s="32"/>
      <c r="H30" s="32" t="str">
        <f t="shared" si="6"/>
        <v/>
      </c>
      <c r="I30" s="33" t="str">
        <f t="shared" si="7"/>
        <v/>
      </c>
      <c r="J30" s="50"/>
      <c r="K30" s="50"/>
      <c r="L30" s="50"/>
    </row>
    <row r="31" spans="1:15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  <c r="L31" s="9"/>
    </row>
    <row r="32" spans="1:15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  <c r="L32" s="9"/>
    </row>
    <row r="33" spans="1:12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  <c r="L33" s="9"/>
    </row>
    <row r="34" spans="1:12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  <c r="L34" s="9"/>
    </row>
    <row r="35" spans="1:12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  <c r="L35" s="9"/>
    </row>
    <row r="36" spans="1:12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  <c r="L36" s="9"/>
    </row>
    <row r="37" spans="1:12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  <c r="L37" s="9"/>
    </row>
    <row r="38" spans="1:12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  <c r="L38" s="9"/>
    </row>
    <row r="39" spans="1:12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  <c r="L39" s="9"/>
    </row>
    <row r="40" spans="1:12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  <c r="L40" s="9"/>
    </row>
    <row r="41" spans="1:12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  <c r="L41" s="9"/>
    </row>
    <row r="42" spans="1:12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  <c r="L42" s="9"/>
    </row>
    <row r="43" spans="1:12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  <c r="L43" s="9"/>
    </row>
    <row r="44" spans="1:12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  <c r="L44" s="9"/>
    </row>
    <row r="45" spans="1:12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  <c r="L45" s="9"/>
    </row>
    <row r="46" spans="1:12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  <c r="L46" s="9"/>
    </row>
    <row r="47" spans="1:12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  <c r="L47" s="9"/>
    </row>
    <row r="48" spans="1:12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  <c r="L48" s="9"/>
    </row>
    <row r="49" spans="1:12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  <c r="L49" s="9"/>
    </row>
    <row r="50" spans="1:12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  <c r="L50" s="9"/>
    </row>
    <row r="51" spans="1:12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  <c r="L51" s="9"/>
    </row>
    <row r="52" spans="1:12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  <c r="L52" s="9"/>
    </row>
    <row r="53" spans="1:12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  <c r="L53" s="9"/>
    </row>
    <row r="54" spans="1:12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  <c r="L54" s="9"/>
    </row>
    <row r="55" spans="1:12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  <c r="L55" s="9"/>
    </row>
    <row r="56" spans="1:12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  <c r="L56" s="9"/>
    </row>
    <row r="57" spans="1:12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  <c r="L57" s="9"/>
    </row>
    <row r="58" spans="1:12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  <c r="L58" s="9"/>
    </row>
    <row r="59" spans="1:12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  <c r="L59" s="9"/>
    </row>
    <row r="60" spans="1:12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  <c r="L60" s="9"/>
    </row>
    <row r="61" spans="1:12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  <c r="L61" s="9"/>
    </row>
    <row r="62" spans="1:12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  <c r="L62" s="9"/>
    </row>
    <row r="63" spans="1:12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  <c r="L63" s="9"/>
    </row>
    <row r="64" spans="1:12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  <c r="L64" s="9"/>
    </row>
    <row r="65" spans="1:12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  <c r="L65" s="9"/>
    </row>
    <row r="66" spans="1:12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  <c r="L66" s="9"/>
    </row>
    <row r="67" spans="1:12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  <c r="L67" s="9"/>
    </row>
    <row r="68" spans="1:12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  <c r="L68" s="9"/>
    </row>
    <row r="69" spans="1:12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  <c r="L69" s="9"/>
    </row>
    <row r="70" spans="1:12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  <c r="L70" s="9"/>
    </row>
    <row r="71" spans="1:12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  <c r="L71" s="9"/>
    </row>
    <row r="72" spans="1:12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  <c r="L72" s="9"/>
    </row>
    <row r="73" spans="1:12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  <c r="L73" s="9"/>
    </row>
    <row r="74" spans="1:12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  <c r="L74" s="9"/>
    </row>
    <row r="75" spans="1:12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  <c r="L75" s="9"/>
    </row>
    <row r="76" spans="1:12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  <c r="L76" s="9"/>
    </row>
    <row r="77" spans="1:12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  <c r="L77" s="9"/>
    </row>
    <row r="78" spans="1:12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  <c r="L78" s="9"/>
    </row>
    <row r="79" spans="1:12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  <c r="L79" s="9"/>
    </row>
    <row r="80" spans="1:12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  <c r="L80" s="9"/>
    </row>
    <row r="81" spans="1:12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  <c r="L81" s="9"/>
    </row>
    <row r="82" spans="1:12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  <c r="L82" s="9"/>
    </row>
    <row r="83" spans="1:12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  <c r="L83" s="9"/>
    </row>
    <row r="84" spans="1:12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  <c r="L84" s="9"/>
    </row>
    <row r="85" spans="1:12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  <c r="L85" s="9"/>
    </row>
    <row r="86" spans="1:12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  <c r="L86" s="9"/>
    </row>
    <row r="87" spans="1:12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  <c r="L87" s="9"/>
    </row>
    <row r="88" spans="1:12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  <c r="L88" s="9"/>
    </row>
    <row r="89" spans="1:12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  <c r="L89" s="9"/>
    </row>
    <row r="90" spans="1:12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  <c r="L90" s="9"/>
    </row>
    <row r="91" spans="1:12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  <c r="L91" s="9"/>
    </row>
    <row r="92" spans="1:12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  <c r="L92" s="9"/>
    </row>
    <row r="93" spans="1:12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  <c r="L93" s="9"/>
    </row>
    <row r="94" spans="1:12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  <c r="L94" s="9"/>
    </row>
    <row r="95" spans="1:12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  <c r="L95" s="9"/>
    </row>
    <row r="96" spans="1:12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  <c r="L96" s="9"/>
    </row>
    <row r="97" spans="1:12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  <c r="L97" s="9"/>
    </row>
    <row r="98" spans="1:12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  <c r="L98" s="9"/>
    </row>
    <row r="99" spans="1:12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  <c r="L99" s="9"/>
    </row>
    <row r="100" spans="1:12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  <c r="L100" s="9"/>
    </row>
    <row r="101" spans="1:12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  <c r="L101" s="9"/>
    </row>
    <row r="102" spans="1:12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  <c r="L102" s="9"/>
    </row>
    <row r="103" spans="1:12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  <c r="L103" s="9"/>
    </row>
    <row r="104" spans="1:12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  <c r="L104" s="9"/>
    </row>
    <row r="105" spans="1:12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  <c r="L105" s="9"/>
    </row>
    <row r="106" spans="1:12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  <c r="L106" s="9"/>
    </row>
    <row r="107" spans="1:12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  <c r="L107" s="9"/>
    </row>
    <row r="108" spans="1:12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  <c r="L108" s="9"/>
    </row>
    <row r="109" spans="1:12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  <c r="L109" s="9"/>
    </row>
    <row r="110" spans="1:12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  <c r="L110" s="9"/>
    </row>
    <row r="111" spans="1:12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  <c r="L111" s="9"/>
    </row>
    <row r="112" spans="1:12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  <c r="L112" s="9"/>
    </row>
    <row r="113" spans="1:12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  <c r="L113" s="9"/>
    </row>
    <row r="114" spans="1:12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  <c r="L114" s="9"/>
    </row>
    <row r="115" spans="1:12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  <c r="L115" s="9"/>
    </row>
    <row r="116" spans="1:12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  <c r="L116" s="9"/>
    </row>
    <row r="117" spans="1:12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  <c r="L117" s="9"/>
    </row>
    <row r="118" spans="1:12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  <c r="L118" s="9"/>
    </row>
    <row r="119" spans="1:12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  <c r="L119" s="9"/>
    </row>
    <row r="120" spans="1:12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  <c r="L120" s="9"/>
    </row>
    <row r="121" spans="1:12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  <c r="L121" s="9"/>
    </row>
    <row r="122" spans="1:12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  <c r="L122" s="9"/>
    </row>
    <row r="123" spans="1:12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  <c r="L123" s="9"/>
    </row>
    <row r="124" spans="1:12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  <c r="L124" s="9"/>
    </row>
    <row r="125" spans="1:12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  <c r="L125" s="9"/>
    </row>
    <row r="126" spans="1:12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  <c r="L126" s="9"/>
    </row>
    <row r="127" spans="1:12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  <c r="L127" s="9"/>
    </row>
    <row r="128" spans="1:12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  <c r="L128" s="9"/>
    </row>
    <row r="129" spans="1:12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  <c r="L129" s="9"/>
    </row>
    <row r="130" spans="1:12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  <c r="L130" s="9"/>
    </row>
    <row r="131" spans="1:12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  <c r="L131" s="9"/>
    </row>
    <row r="132" spans="1:12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  <c r="L132" s="9"/>
    </row>
    <row r="133" spans="1:12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  <c r="L133" s="9"/>
    </row>
    <row r="134" spans="1:12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  <c r="L134" s="9"/>
    </row>
    <row r="135" spans="1:12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  <c r="L135" s="9"/>
    </row>
    <row r="136" spans="1:12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  <c r="L136" s="9"/>
    </row>
    <row r="137" spans="1:12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  <c r="L137" s="9"/>
    </row>
    <row r="138" spans="1:12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  <c r="L138" s="9"/>
    </row>
    <row r="139" spans="1:12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  <c r="L139" s="9"/>
    </row>
    <row r="140" spans="1:12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  <c r="L140" s="9"/>
    </row>
    <row r="141" spans="1:12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  <c r="L141" s="9"/>
    </row>
    <row r="142" spans="1:12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  <c r="L142" s="9"/>
    </row>
    <row r="143" spans="1:12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  <c r="L143" s="9"/>
    </row>
    <row r="144" spans="1:12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  <c r="L144" s="9"/>
    </row>
    <row r="145" spans="1:12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  <c r="L145" s="9"/>
    </row>
    <row r="146" spans="1:12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  <c r="L146" s="9"/>
    </row>
    <row r="147" spans="1:12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  <c r="L147" s="9"/>
    </row>
    <row r="148" spans="1:12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  <c r="L148" s="9"/>
    </row>
    <row r="149" spans="1:12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  <c r="L149" s="9"/>
    </row>
    <row r="150" spans="1:12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  <c r="L150" s="9"/>
    </row>
    <row r="151" spans="1:12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  <c r="L151" s="9"/>
    </row>
    <row r="152" spans="1:12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  <c r="L152" s="9"/>
    </row>
    <row r="153" spans="1:12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  <c r="L153" s="9"/>
    </row>
    <row r="154" spans="1:12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  <c r="L154" s="9"/>
    </row>
    <row r="155" spans="1:12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  <c r="L155" s="9"/>
    </row>
    <row r="156" spans="1:12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  <c r="L156" s="9"/>
    </row>
    <row r="157" spans="1:12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  <c r="L157" s="9"/>
    </row>
    <row r="158" spans="1:12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  <c r="L158" s="9"/>
    </row>
    <row r="159" spans="1:12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  <c r="L159" s="9"/>
    </row>
    <row r="160" spans="1:12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  <c r="L160" s="9"/>
    </row>
    <row r="161" spans="1:12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  <c r="L161" s="9"/>
    </row>
    <row r="162" spans="1:12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  <c r="L162" s="9"/>
    </row>
    <row r="163" spans="1:12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  <c r="L163" s="9"/>
    </row>
    <row r="164" spans="1:12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  <c r="L164" s="9"/>
    </row>
    <row r="165" spans="1:12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  <c r="L165" s="9"/>
    </row>
    <row r="166" spans="1:12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  <c r="L166" s="9"/>
    </row>
    <row r="167" spans="1:12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  <c r="L167" s="9"/>
    </row>
    <row r="168" spans="1:12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  <c r="L168" s="9"/>
    </row>
    <row r="169" spans="1:12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  <c r="L169" s="9"/>
    </row>
    <row r="170" spans="1:12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  <c r="L170" s="9"/>
    </row>
    <row r="171" spans="1:12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  <c r="L171" s="9"/>
    </row>
    <row r="172" spans="1:12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  <c r="L172" s="9"/>
    </row>
    <row r="173" spans="1:12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  <c r="L173" s="9"/>
    </row>
    <row r="174" spans="1:12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  <c r="L174" s="9"/>
    </row>
    <row r="175" spans="1:12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  <c r="L175" s="9"/>
    </row>
    <row r="176" spans="1:12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  <c r="L176" s="9"/>
    </row>
    <row r="177" spans="1:12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  <c r="L177" s="9"/>
    </row>
    <row r="178" spans="1:12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  <c r="L178" s="9"/>
    </row>
    <row r="179" spans="1:12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  <c r="L179" s="9"/>
    </row>
    <row r="180" spans="1:12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  <c r="L180" s="9"/>
    </row>
    <row r="181" spans="1:12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  <c r="L181" s="9"/>
    </row>
    <row r="182" spans="1:12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  <c r="L182" s="9"/>
    </row>
    <row r="183" spans="1:12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  <c r="L183" s="9"/>
    </row>
    <row r="184" spans="1:12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  <c r="L184" s="9"/>
    </row>
    <row r="185" spans="1:12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  <c r="L185" s="9"/>
    </row>
    <row r="186" spans="1:12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  <c r="L186" s="9"/>
    </row>
    <row r="187" spans="1:12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  <c r="L187" s="9"/>
    </row>
    <row r="188" spans="1:12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  <c r="L188" s="9"/>
    </row>
    <row r="189" spans="1:12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  <c r="L189" s="9"/>
    </row>
    <row r="190" spans="1:12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  <c r="L190" s="9"/>
    </row>
    <row r="191" spans="1:12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  <c r="L191" s="9"/>
    </row>
    <row r="192" spans="1:12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  <c r="L192" s="9"/>
    </row>
    <row r="193" spans="1:12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  <c r="L193" s="9"/>
    </row>
    <row r="194" spans="1:12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  <c r="L194" s="9"/>
    </row>
    <row r="195" spans="1:12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  <c r="L195" s="9"/>
    </row>
    <row r="196" spans="1:12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  <c r="L196" s="9"/>
    </row>
    <row r="197" spans="1:12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  <c r="L197" s="9"/>
    </row>
    <row r="198" spans="1:12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  <c r="L198" s="9"/>
    </row>
    <row r="199" spans="1:12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  <c r="L199" s="9"/>
    </row>
    <row r="200" spans="1:12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  <c r="L200" s="9"/>
    </row>
    <row r="201" spans="1:12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  <c r="L201" s="9"/>
    </row>
    <row r="202" spans="1:12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  <c r="L202" s="9"/>
    </row>
    <row r="203" spans="1:12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  <c r="L203" s="9"/>
    </row>
    <row r="204" spans="1:12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  <c r="L204" s="9"/>
    </row>
    <row r="205" spans="1:12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  <c r="L205" s="9"/>
    </row>
    <row r="206" spans="1:12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  <c r="L206" s="9"/>
    </row>
    <row r="207" spans="1:12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  <c r="L207" s="9"/>
    </row>
    <row r="208" spans="1:12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  <c r="L208" s="9"/>
    </row>
    <row r="209" spans="1:12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  <c r="L209" s="9"/>
    </row>
    <row r="210" spans="1:12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  <c r="L210" s="9"/>
    </row>
    <row r="211" spans="1:12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  <c r="L211" s="9"/>
    </row>
    <row r="212" spans="1:12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  <c r="L212" s="9"/>
    </row>
    <row r="213" spans="1:12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  <c r="L213" s="9"/>
    </row>
    <row r="214" spans="1:12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  <c r="L214" s="9"/>
    </row>
    <row r="215" spans="1:12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  <c r="L215" s="9"/>
    </row>
    <row r="216" spans="1:12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  <c r="L216" s="9"/>
    </row>
    <row r="217" spans="1:12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  <c r="L217" s="9"/>
    </row>
    <row r="218" spans="1:12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  <c r="L218" s="9"/>
    </row>
    <row r="219" spans="1:12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  <c r="L219" s="9"/>
    </row>
    <row r="220" spans="1:12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  <c r="L220" s="9"/>
    </row>
    <row r="221" spans="1:12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  <c r="L221" s="9"/>
    </row>
    <row r="222" spans="1:12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  <c r="L222" s="9"/>
    </row>
    <row r="223" spans="1:12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  <c r="L223" s="9"/>
    </row>
    <row r="224" spans="1:12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  <c r="L224" s="9"/>
    </row>
    <row r="225" spans="1:12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  <c r="L225" s="9"/>
    </row>
    <row r="226" spans="1:12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  <c r="L226" s="9"/>
    </row>
    <row r="227" spans="1:12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  <c r="L227" s="9"/>
    </row>
    <row r="228" spans="1:12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  <c r="L228" s="9"/>
    </row>
    <row r="229" spans="1:12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  <c r="L229" s="9"/>
    </row>
    <row r="230" spans="1:12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  <c r="L230" s="9"/>
    </row>
    <row r="231" spans="1:12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  <c r="L231" s="9"/>
    </row>
    <row r="232" spans="1:12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  <c r="L232" s="9"/>
    </row>
    <row r="233" spans="1:12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  <c r="L233" s="9"/>
    </row>
    <row r="234" spans="1:12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  <c r="L234" s="9"/>
    </row>
    <row r="235" spans="1:12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  <c r="L235" s="9"/>
    </row>
    <row r="236" spans="1:12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  <c r="L236" s="9"/>
    </row>
    <row r="237" spans="1:12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  <c r="L237" s="9"/>
    </row>
    <row r="238" spans="1:12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  <c r="L238" s="9"/>
    </row>
    <row r="239" spans="1:12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  <c r="L239" s="9"/>
    </row>
    <row r="240" spans="1:12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  <c r="L240" s="9"/>
    </row>
    <row r="241" spans="1:12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  <c r="L241" s="9"/>
    </row>
    <row r="242" spans="1:12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  <c r="L242" s="9"/>
    </row>
    <row r="243" spans="1:12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  <c r="L243" s="9"/>
    </row>
    <row r="244" spans="1:12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  <c r="L244" s="9"/>
    </row>
    <row r="245" spans="1:12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  <c r="L245" s="9"/>
    </row>
    <row r="246" spans="1:12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  <c r="L246" s="9"/>
    </row>
    <row r="247" spans="1:12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  <c r="L247" s="9"/>
    </row>
    <row r="248" spans="1:12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  <c r="L248" s="9"/>
    </row>
    <row r="249" spans="1:12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  <c r="L249" s="9"/>
    </row>
    <row r="250" spans="1:12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  <c r="L250" s="9"/>
    </row>
    <row r="251" spans="1:12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  <c r="L251" s="9"/>
    </row>
    <row r="252" spans="1:12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  <c r="L252" s="9"/>
    </row>
    <row r="253" spans="1:12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  <c r="L253" s="9"/>
    </row>
    <row r="254" spans="1:12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  <c r="L254" s="9"/>
    </row>
    <row r="255" spans="1:12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  <c r="L255" s="9"/>
    </row>
    <row r="256" spans="1:12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  <c r="L256" s="9"/>
    </row>
    <row r="257" spans="1:12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  <c r="L257" s="9"/>
    </row>
    <row r="258" spans="1:12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  <c r="L258" s="9"/>
    </row>
    <row r="259" spans="1:12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  <c r="L259" s="9"/>
    </row>
    <row r="260" spans="1:12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  <c r="L260" s="9"/>
    </row>
    <row r="261" spans="1:12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  <c r="L261" s="9"/>
    </row>
    <row r="262" spans="1:12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  <c r="L262" s="9"/>
    </row>
    <row r="263" spans="1:12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  <c r="L263" s="9"/>
    </row>
    <row r="264" spans="1:12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  <c r="L264" s="9"/>
    </row>
    <row r="265" spans="1:12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  <c r="L265" s="9"/>
    </row>
    <row r="266" spans="1:12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  <c r="L266" s="9"/>
    </row>
    <row r="267" spans="1:12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  <c r="L267" s="9"/>
    </row>
    <row r="268" spans="1:12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  <c r="L268" s="9"/>
    </row>
    <row r="269" spans="1:12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  <c r="L269" s="9"/>
    </row>
    <row r="270" spans="1:12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  <c r="L270" s="9"/>
    </row>
    <row r="271" spans="1:12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  <c r="L271" s="9"/>
    </row>
    <row r="272" spans="1:12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  <c r="L272" s="9"/>
    </row>
    <row r="273" spans="1:12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  <c r="L273" s="9"/>
    </row>
    <row r="274" spans="1:12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  <c r="L274" s="9"/>
    </row>
    <row r="275" spans="1:12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  <c r="L275" s="9"/>
    </row>
    <row r="276" spans="1:12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  <c r="L276" s="9"/>
    </row>
    <row r="277" spans="1:12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  <c r="L277" s="9"/>
    </row>
    <row r="278" spans="1:12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  <c r="L278" s="9"/>
    </row>
    <row r="279" spans="1:12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  <c r="L279" s="9"/>
    </row>
    <row r="280" spans="1:12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  <c r="L280" s="9"/>
    </row>
    <row r="281" spans="1:12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  <c r="L281" s="9"/>
    </row>
    <row r="282" spans="1:12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  <c r="L282" s="9"/>
    </row>
    <row r="283" spans="1:12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  <c r="L283" s="9"/>
    </row>
    <row r="284" spans="1:12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  <c r="L284" s="9"/>
    </row>
    <row r="285" spans="1:12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  <c r="L285" s="9"/>
    </row>
    <row r="286" spans="1:12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  <c r="L286" s="9"/>
    </row>
    <row r="287" spans="1:12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  <c r="L287" s="9"/>
    </row>
    <row r="288" spans="1:12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  <c r="L288" s="9"/>
    </row>
    <row r="289" spans="1:12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  <c r="L289" s="9"/>
    </row>
    <row r="290" spans="1:12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  <c r="L290" s="9"/>
    </row>
    <row r="291" spans="1:12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  <c r="L291" s="9"/>
    </row>
    <row r="292" spans="1:12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  <c r="L292" s="9"/>
    </row>
    <row r="293" spans="1:12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  <c r="L293" s="9"/>
    </row>
    <row r="294" spans="1:12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  <c r="L294" s="9"/>
    </row>
    <row r="295" spans="1:12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  <c r="L295" s="9"/>
    </row>
    <row r="296" spans="1:12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  <c r="L296" s="9"/>
    </row>
    <row r="297" spans="1:12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  <c r="L297" s="9"/>
    </row>
    <row r="298" spans="1:12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  <c r="L298" s="9"/>
    </row>
    <row r="299" spans="1:12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  <c r="L299" s="9"/>
    </row>
    <row r="300" spans="1:12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  <c r="L300" s="9"/>
    </row>
    <row r="301" spans="1:12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  <c r="L301" s="9"/>
    </row>
    <row r="302" spans="1:12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  <c r="L302" s="9"/>
    </row>
    <row r="303" spans="1:12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  <c r="L303" s="9"/>
    </row>
    <row r="304" spans="1:12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  <c r="L304" s="9"/>
    </row>
    <row r="305" spans="1:12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  <c r="L305" s="9"/>
    </row>
    <row r="306" spans="1:12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  <c r="L306" s="9"/>
    </row>
    <row r="307" spans="1:12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  <c r="L307" s="9"/>
    </row>
    <row r="308" spans="1:12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  <c r="L308" s="9"/>
    </row>
    <row r="309" spans="1:12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  <c r="L309" s="9"/>
    </row>
    <row r="310" spans="1:12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  <c r="L310" s="9"/>
    </row>
    <row r="311" spans="1:12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  <c r="L311" s="9"/>
    </row>
    <row r="312" spans="1:12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  <c r="L312" s="9"/>
    </row>
    <row r="313" spans="1:12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  <c r="L313" s="9"/>
    </row>
    <row r="314" spans="1:12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  <c r="L314" s="9"/>
    </row>
    <row r="315" spans="1:12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  <c r="L315" s="9"/>
    </row>
    <row r="316" spans="1:12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  <c r="L316" s="9"/>
    </row>
    <row r="317" spans="1:12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  <c r="L317" s="9"/>
    </row>
    <row r="318" spans="1:12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  <c r="L318" s="9"/>
    </row>
    <row r="319" spans="1:12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  <c r="L319" s="9"/>
    </row>
    <row r="320" spans="1:12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  <c r="L320" s="9"/>
    </row>
    <row r="321" spans="1:12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  <c r="L321" s="9"/>
    </row>
    <row r="322" spans="1:12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  <c r="L322" s="9"/>
    </row>
    <row r="323" spans="1:12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  <c r="L323" s="9"/>
    </row>
    <row r="324" spans="1:12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  <c r="L324" s="9"/>
    </row>
    <row r="325" spans="1:12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  <c r="L325" s="9"/>
    </row>
    <row r="326" spans="1:12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  <c r="L326" s="9"/>
    </row>
    <row r="327" spans="1:12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  <c r="L327" s="9"/>
    </row>
    <row r="328" spans="1:12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  <c r="L328" s="9"/>
    </row>
    <row r="329" spans="1:12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  <c r="L329" s="9"/>
    </row>
    <row r="330" spans="1:12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  <c r="L330" s="9"/>
    </row>
    <row r="331" spans="1:12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  <c r="L331" s="9"/>
    </row>
    <row r="332" spans="1:12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  <c r="L332" s="9"/>
    </row>
    <row r="333" spans="1:12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  <c r="L333" s="9"/>
    </row>
    <row r="334" spans="1:12" ht="14.45">
      <c r="C334" s="9"/>
      <c r="D334" s="9"/>
      <c r="E334" s="9"/>
      <c r="F334" s="10"/>
      <c r="G334" s="9"/>
      <c r="H334" s="9"/>
      <c r="I334" s="10"/>
      <c r="J334" s="9"/>
      <c r="K334" s="9"/>
      <c r="L334" s="9"/>
    </row>
  </sheetData>
  <mergeCells count="4">
    <mergeCell ref="G1:I1"/>
    <mergeCell ref="A1:C1"/>
    <mergeCell ref="D1:F1"/>
    <mergeCell ref="A2:B2"/>
  </mergeCells>
  <conditionalFormatting sqref="F2 I2">
    <cfRule type="cellIs" dxfId="6" priority="19" stopIfTrue="1" operator="lessThanOrEqual">
      <formula>-0.1</formula>
    </cfRule>
    <cfRule type="expression" dxfId="5" priority="20">
      <formula>AND(ISNUMBER(F2), F2&gt;=0.1)</formula>
    </cfRule>
  </conditionalFormatting>
  <conditionalFormatting sqref="F4:F92 I4:I92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9"/>
  <sheetViews>
    <sheetView workbookViewId="0">
      <pane ySplit="3" topLeftCell="A12" activePane="bottomLeft" state="frozen"/>
      <selection pane="bottomLeft" activeCell="A22" sqref="A22:XFD2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116</v>
      </c>
      <c r="B1" t="s">
        <v>117</v>
      </c>
    </row>
    <row r="3" spans="1:12" ht="13.15">
      <c r="A3" t="s">
        <v>118</v>
      </c>
      <c r="B3" t="s">
        <v>3</v>
      </c>
      <c r="C3" t="s">
        <v>4</v>
      </c>
      <c r="D3" t="s">
        <v>119</v>
      </c>
      <c r="E3" s="2" t="s">
        <v>120</v>
      </c>
    </row>
    <row r="4" spans="1:12" ht="14.45">
      <c r="A4" s="19" t="s">
        <v>121</v>
      </c>
      <c r="B4" t="s">
        <v>122</v>
      </c>
      <c r="C4" s="18" t="s">
        <v>123</v>
      </c>
      <c r="D4" s="17" t="s">
        <v>124</v>
      </c>
      <c r="E4" t="s">
        <v>125</v>
      </c>
      <c r="G4" s="3"/>
    </row>
    <row r="5" spans="1:12" ht="14.45">
      <c r="A5" s="19" t="s">
        <v>126</v>
      </c>
      <c r="B5" t="s">
        <v>127</v>
      </c>
      <c r="C5" s="18" t="s">
        <v>123</v>
      </c>
      <c r="D5" s="17"/>
      <c r="E5" t="s">
        <v>128</v>
      </c>
      <c r="G5" s="3"/>
    </row>
    <row r="6" spans="1:12" ht="14.45">
      <c r="A6" s="19" t="s">
        <v>129</v>
      </c>
      <c r="B6" t="s">
        <v>130</v>
      </c>
      <c r="C6" s="18" t="s">
        <v>131</v>
      </c>
      <c r="D6" s="17" t="s">
        <v>124</v>
      </c>
      <c r="E6" t="s">
        <v>125</v>
      </c>
      <c r="G6" s="3"/>
    </row>
    <row r="7" spans="1:12" ht="12.75" customHeight="1">
      <c r="A7" s="19" t="s">
        <v>132</v>
      </c>
      <c r="B7" t="s">
        <v>133</v>
      </c>
      <c r="C7" s="18" t="s">
        <v>131</v>
      </c>
      <c r="D7" s="17" t="s">
        <v>124</v>
      </c>
      <c r="E7" t="s">
        <v>125</v>
      </c>
    </row>
    <row r="8" spans="1:12" ht="12.75" customHeight="1">
      <c r="A8" s="19" t="s">
        <v>134</v>
      </c>
      <c r="B8" t="s">
        <v>135</v>
      </c>
      <c r="C8" s="18" t="s">
        <v>131</v>
      </c>
      <c r="D8" s="17" t="s">
        <v>124</v>
      </c>
      <c r="E8" t="s">
        <v>125</v>
      </c>
    </row>
    <row r="9" spans="1:12" ht="12.75" customHeight="1">
      <c r="A9" s="19" t="s">
        <v>136</v>
      </c>
      <c r="B9" t="s">
        <v>137</v>
      </c>
      <c r="C9" s="18" t="s">
        <v>131</v>
      </c>
      <c r="D9" s="17" t="s">
        <v>124</v>
      </c>
      <c r="E9" t="s">
        <v>125</v>
      </c>
    </row>
    <row r="10" spans="1:12" ht="12.75" customHeight="1">
      <c r="A10" s="19" t="s">
        <v>138</v>
      </c>
      <c r="B10" t="s">
        <v>139</v>
      </c>
      <c r="C10" s="18" t="s">
        <v>140</v>
      </c>
      <c r="D10" s="17" t="s">
        <v>124</v>
      </c>
      <c r="E10" t="s">
        <v>125</v>
      </c>
      <c r="K10" s="16"/>
      <c r="L10" s="16"/>
    </row>
    <row r="11" spans="1:12" ht="12.75" customHeight="1">
      <c r="A11" s="19" t="s">
        <v>141</v>
      </c>
      <c r="B11" t="s">
        <v>142</v>
      </c>
      <c r="C11" s="18" t="s">
        <v>140</v>
      </c>
      <c r="D11" s="17" t="s">
        <v>124</v>
      </c>
      <c r="E11" t="s">
        <v>125</v>
      </c>
      <c r="K11" s="16"/>
      <c r="L11" s="16"/>
    </row>
    <row r="12" spans="1:12" ht="12.75" customHeight="1">
      <c r="A12" s="19" t="s">
        <v>143</v>
      </c>
      <c r="B12" t="s">
        <v>144</v>
      </c>
      <c r="C12" s="18" t="s">
        <v>140</v>
      </c>
      <c r="D12" s="17" t="s">
        <v>124</v>
      </c>
      <c r="E12" t="s">
        <v>128</v>
      </c>
      <c r="K12" s="16"/>
      <c r="L12" s="16"/>
    </row>
    <row r="13" spans="1:12" ht="12.75" customHeight="1">
      <c r="A13" s="19" t="s">
        <v>145</v>
      </c>
      <c r="B13" t="s">
        <v>146</v>
      </c>
      <c r="C13" s="18" t="s">
        <v>140</v>
      </c>
      <c r="D13" s="17" t="s">
        <v>124</v>
      </c>
      <c r="E13" t="s">
        <v>125</v>
      </c>
      <c r="K13" s="16"/>
      <c r="L13" s="16"/>
    </row>
    <row r="14" spans="1:12" ht="12.75" customHeight="1">
      <c r="A14" s="19" t="s">
        <v>147</v>
      </c>
      <c r="B14" t="s">
        <v>148</v>
      </c>
      <c r="C14" s="18" t="s">
        <v>140</v>
      </c>
      <c r="D14" s="17" t="s">
        <v>124</v>
      </c>
      <c r="E14" t="s">
        <v>125</v>
      </c>
      <c r="K14" s="16"/>
      <c r="L14" s="16"/>
    </row>
    <row r="15" spans="1:12" ht="12.75" customHeight="1">
      <c r="A15" s="19" t="s">
        <v>149</v>
      </c>
      <c r="B15" t="s">
        <v>150</v>
      </c>
      <c r="C15" s="18" t="s">
        <v>123</v>
      </c>
      <c r="D15" s="17" t="s">
        <v>124</v>
      </c>
      <c r="E15" t="s">
        <v>125</v>
      </c>
      <c r="K15" s="16"/>
      <c r="L15" s="16"/>
    </row>
    <row r="16" spans="1:12" ht="12.75" customHeight="1">
      <c r="A16" s="19" t="s">
        <v>151</v>
      </c>
      <c r="B16" t="s">
        <v>152</v>
      </c>
      <c r="C16" s="18" t="s">
        <v>153</v>
      </c>
      <c r="D16" s="17" t="s">
        <v>124</v>
      </c>
      <c r="E16" t="s">
        <v>125</v>
      </c>
      <c r="K16" s="16"/>
      <c r="L16" s="16"/>
    </row>
    <row r="17" spans="1:12" ht="12.75" customHeight="1">
      <c r="A17" s="19" t="s">
        <v>154</v>
      </c>
      <c r="B17" t="s">
        <v>155</v>
      </c>
      <c r="C17" s="18" t="s">
        <v>153</v>
      </c>
      <c r="D17" s="17" t="s">
        <v>124</v>
      </c>
      <c r="E17" t="s">
        <v>125</v>
      </c>
      <c r="K17" s="16"/>
      <c r="L17" s="16"/>
    </row>
    <row r="18" spans="1:12" ht="12.75" customHeight="1">
      <c r="A18" s="60" t="s">
        <v>156</v>
      </c>
      <c r="B18" s="61" t="s">
        <v>157</v>
      </c>
      <c r="C18" s="18" t="s">
        <v>158</v>
      </c>
      <c r="D18" s="17" t="s">
        <v>124</v>
      </c>
      <c r="E18" t="s">
        <v>125</v>
      </c>
      <c r="K18" s="16"/>
      <c r="L18" s="16"/>
    </row>
    <row r="19" spans="1:12" ht="12.75" customHeight="1">
      <c r="A19" s="60" t="s">
        <v>159</v>
      </c>
      <c r="B19" s="61" t="s">
        <v>160</v>
      </c>
      <c r="C19" s="18" t="s">
        <v>123</v>
      </c>
      <c r="D19" s="17" t="s">
        <v>124</v>
      </c>
      <c r="E19" t="s">
        <v>125</v>
      </c>
      <c r="K19" s="16"/>
      <c r="L19" s="16"/>
    </row>
    <row r="20" spans="1:12" ht="12.75" customHeight="1">
      <c r="A20" s="60" t="s">
        <v>161</v>
      </c>
      <c r="B20" s="61" t="s">
        <v>162</v>
      </c>
      <c r="C20" s="18" t="s">
        <v>163</v>
      </c>
      <c r="D20" s="17" t="s">
        <v>124</v>
      </c>
      <c r="E20" t="s">
        <v>125</v>
      </c>
      <c r="K20" s="16"/>
      <c r="L20" s="16"/>
    </row>
    <row r="21" spans="1:12" ht="12.75" customHeight="1">
      <c r="A21" s="60" t="s">
        <v>164</v>
      </c>
      <c r="B21" s="61" t="s">
        <v>165</v>
      </c>
      <c r="C21" s="18" t="s">
        <v>153</v>
      </c>
      <c r="D21" s="2" t="s">
        <v>124</v>
      </c>
      <c r="E21" s="74" t="s">
        <v>125</v>
      </c>
      <c r="K21" s="16"/>
      <c r="L21" s="16"/>
    </row>
    <row r="22" spans="1:12" ht="12.75" customHeight="1">
      <c r="A22" s="60" t="s">
        <v>166</v>
      </c>
      <c r="B22" s="61" t="s">
        <v>166</v>
      </c>
      <c r="C22" s="18" t="s">
        <v>140</v>
      </c>
      <c r="D22" s="2"/>
      <c r="E22" t="s">
        <v>125</v>
      </c>
      <c r="K22" s="16"/>
      <c r="L22" s="16"/>
    </row>
    <row r="23" spans="1:12" ht="12.75" customHeight="1">
      <c r="A23" s="91" t="s">
        <v>167</v>
      </c>
      <c r="B23" s="61" t="s">
        <v>168</v>
      </c>
      <c r="C23" s="18" t="s">
        <v>123</v>
      </c>
      <c r="D23" s="2" t="s">
        <v>124</v>
      </c>
      <c r="E23" t="s">
        <v>125</v>
      </c>
      <c r="K23" s="16"/>
      <c r="L23" s="16"/>
    </row>
    <row r="24" spans="1:12" ht="12.75" customHeight="1">
      <c r="A24" s="60" t="s">
        <v>169</v>
      </c>
      <c r="B24" s="61" t="s">
        <v>170</v>
      </c>
      <c r="C24" s="18" t="s">
        <v>123</v>
      </c>
      <c r="D24" s="2" t="s">
        <v>124</v>
      </c>
      <c r="E24" t="s">
        <v>125</v>
      </c>
    </row>
    <row r="25" spans="1:12" ht="12.75" customHeight="1">
      <c r="A25" s="91" t="s">
        <v>171</v>
      </c>
      <c r="B25" s="61" t="s">
        <v>172</v>
      </c>
      <c r="C25" s="18" t="s">
        <v>140</v>
      </c>
      <c r="D25" s="2" t="s">
        <v>124</v>
      </c>
      <c r="E25" t="s">
        <v>125</v>
      </c>
    </row>
    <row r="26" spans="1:12" ht="12.75" customHeight="1">
      <c r="A26" s="91" t="s">
        <v>173</v>
      </c>
      <c r="B26" t="s">
        <v>174</v>
      </c>
      <c r="C26" s="18" t="s">
        <v>140</v>
      </c>
      <c r="D26" s="2" t="s">
        <v>124</v>
      </c>
      <c r="E26" t="s">
        <v>125</v>
      </c>
    </row>
    <row r="27" spans="1:12" ht="12.75" customHeight="1">
      <c r="A27" s="91" t="s">
        <v>175</v>
      </c>
      <c r="B27" t="s">
        <v>176</v>
      </c>
      <c r="C27" s="18" t="s">
        <v>140</v>
      </c>
      <c r="D27" s="2" t="s">
        <v>124</v>
      </c>
      <c r="E27" t="s">
        <v>125</v>
      </c>
    </row>
    <row r="28" spans="1:12" ht="12.75" customHeight="1">
      <c r="A28" s="60" t="s">
        <v>177</v>
      </c>
      <c r="B28" s="61" t="s">
        <v>178</v>
      </c>
      <c r="C28" s="18" t="s">
        <v>140</v>
      </c>
      <c r="D28" t="s">
        <v>124</v>
      </c>
      <c r="E28" t="s">
        <v>125</v>
      </c>
    </row>
    <row r="29" spans="1:12" ht="12.75" customHeight="1">
      <c r="A29" s="91" t="s">
        <v>179</v>
      </c>
      <c r="B29" s="61" t="s">
        <v>180</v>
      </c>
      <c r="C29" s="18" t="s">
        <v>140</v>
      </c>
      <c r="D29" t="s">
        <v>124</v>
      </c>
      <c r="E29" t="s">
        <v>125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A5C3F61B-E972-488B-A032-D3E78E1DF41E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2026-02-20T18:05:29Z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2025-03-24T14:07:31Z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939b750a-c1f0-47fe-9c7b-152ce37e9586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